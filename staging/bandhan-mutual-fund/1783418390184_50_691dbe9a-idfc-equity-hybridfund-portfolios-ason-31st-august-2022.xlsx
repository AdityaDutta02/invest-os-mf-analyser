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5.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7.xml" ContentType="application/vnd.openxmlformats-officedocument.drawing+xml"/>
  <Override PartName="/xl/charts/chart23.xml" ContentType="application/vnd.openxmlformats-officedocument.drawingml.chart+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Sept 2022\"/>
    </mc:Choice>
  </mc:AlternateContent>
  <xr:revisionPtr revIDLastSave="0" documentId="13_ncr:1_{7D674380-6421-43E5-ACCF-81FEFD9F6F03}"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 MidCap F" sheetId="33" r:id="rId6"/>
    <sheet name="IDFC MCF" sheetId="30" r:id="rId7"/>
    <sheet name="IDFC FCF" sheetId="11" r:id="rId8"/>
    <sheet name="IDFC EBF" sheetId="28" r:id="rId9"/>
    <sheet name="IDFC IF" sheetId="8" r:id="rId10"/>
    <sheet name="IDFC-TAF" sheetId="13" r:id="rId11"/>
    <sheet name="IDFC-AF" sheetId="27" r:id="rId12"/>
    <sheet name="IDFC BAF" sheetId="5" r:id="rId13"/>
    <sheet name="IDFC-ESF" sheetId="25" r:id="rId14"/>
    <sheet name="IDFC-RSF" sheetId="18" r:id="rId15"/>
    <sheet name="IDFC-HEF" sheetId="26" r:id="rId16"/>
    <sheet name="IDFCAAF-AP" sheetId="19" r:id="rId17"/>
    <sheet name="IDFCAAF-MP" sheetId="20" r:id="rId18"/>
    <sheet name="IDFCAAF-CP" sheetId="21" r:id="rId19"/>
    <sheet name="IDFC-NIFTY 50 Index" sheetId="10" r:id="rId20"/>
    <sheet name="IDFC- S&amp;P BSE SENSEX ETF" sheetId="16" r:id="rId21"/>
    <sheet name="IDFC- Nifty 50 ETF" sheetId="17" r:id="rId22"/>
    <sheet name="IDFC-Nifty 100 Index" sheetId="31" r:id="rId23"/>
  </sheets>
  <definedNames>
    <definedName name="_xlnm._FilterDatabase" localSheetId="12" hidden="1">'IDFC BAF'!$I$34:$J$44</definedName>
    <definedName name="_xlnm._FilterDatabase" localSheetId="16" hidden="1">'IDFCAAF-AP'!$C$12:$D$15</definedName>
    <definedName name="_xlnm.Print_Area" localSheetId="11">'IDFC-AF'!$C$5:$E$31</definedName>
  </definedNames>
  <calcPr calcId="191029"/>
</workbook>
</file>

<file path=xl/calcChain.xml><?xml version="1.0" encoding="utf-8"?>
<calcChain xmlns="http://schemas.openxmlformats.org/spreadsheetml/2006/main">
  <c r="E21" i="33" l="1"/>
  <c r="D15" i="21"/>
  <c r="E25" i="27"/>
  <c r="E33" i="25" l="1"/>
  <c r="E48" i="5"/>
  <c r="E43" i="5"/>
  <c r="E38" i="5"/>
  <c r="E40" i="26" l="1"/>
  <c r="K10" i="26" s="1"/>
  <c r="E32" i="26"/>
  <c r="E45" i="18" l="1"/>
  <c r="E36" i="18"/>
  <c r="E23" i="25" l="1"/>
  <c r="E34" i="5"/>
  <c r="E37" i="25" l="1"/>
  <c r="K13" i="25"/>
  <c r="E23" i="5"/>
  <c r="E52" i="5" s="1"/>
  <c r="E24" i="31" l="1"/>
  <c r="D11" i="21" l="1"/>
  <c r="K9" i="18"/>
  <c r="D19" i="21" l="1"/>
  <c r="E24" i="30"/>
  <c r="D16" i="19" l="1"/>
  <c r="J10" i="29"/>
  <c r="J9" i="29"/>
  <c r="K13" i="18" l="1"/>
  <c r="E24" i="12" l="1"/>
  <c r="K9" i="25" l="1"/>
  <c r="S8" i="27"/>
  <c r="S9" i="27" s="1"/>
  <c r="E24" i="8"/>
  <c r="J8" i="29" l="1"/>
  <c r="I9" i="18" l="1"/>
  <c r="I10" i="18"/>
  <c r="K14" i="18" l="1"/>
  <c r="K12" i="18"/>
  <c r="K11" i="18"/>
  <c r="E24" i="28" l="1"/>
  <c r="D11" i="19" l="1"/>
  <c r="E24" i="18" l="1"/>
  <c r="E52" i="18" s="1"/>
  <c r="K10" i="18" l="1"/>
  <c r="E24" i="26"/>
  <c r="E44" i="26" s="1"/>
  <c r="K11" i="26"/>
  <c r="I10" i="26"/>
  <c r="I9" i="26"/>
  <c r="I8" i="26"/>
  <c r="K9" i="26" l="1"/>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D20" i="19"/>
  <c r="J9" i="19"/>
  <c r="K12" i="26" l="1"/>
</calcChain>
</file>

<file path=xl/sharedStrings.xml><?xml version="1.0" encoding="utf-8"?>
<sst xmlns="http://schemas.openxmlformats.org/spreadsheetml/2006/main" count="1374" uniqueCount="278">
  <si>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</si>
  <si>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</si>
  <si>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</si>
  <si>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</si>
  <si>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</si>
  <si>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</si>
  <si>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</si>
  <si>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</si>
  <si>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</si>
  <si>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</si>
  <si>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</si>
  <si>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</si>
  <si>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</si>
  <si>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</si>
  <si>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</si>
  <si>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</si>
  <si>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</si>
  <si>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</si>
  <si>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</si>
  <si>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</si>
  <si>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</si>
  <si>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</si>
  <si>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</si>
  <si>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</si>
  <si>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</si>
  <si>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</si>
  <si>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</si>
  <si>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</si>
  <si>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</si>
  <si>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</si>
  <si>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</si>
  <si>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</si>
  <si>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</si>
  <si>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</si>
  <si>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</si>
  <si>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</si>
  <si>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</si>
  <si>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</si>
  <si>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</si>
  <si>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</si>
  <si>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</si>
  <si>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</si>
  <si>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</si>
  <si>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</si>
  <si>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</si>
  <si>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</si>
  <si>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</si>
  <si>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</si>
  <si>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</si>
  <si>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</si>
  <si>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</si>
  <si>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</si>
  <si>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</si>
  <si>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</si>
  <si>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</si>
  <si>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</si>
  <si>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</si>
  <si>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Equity</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</si>
  <si>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</si>
  <si>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</si>
  <si>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</si>
  <si>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</si>
  <si>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</si>
  <si>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</si>
  <si>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</si>
  <si>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</si>
  <si>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</si>
  <si>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</si>
  <si>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</si>
  <si>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</si>
  <si>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</si>
  <si>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</si>
  <si>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</si>
  <si>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</si>
  <si>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</si>
  <si>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Corporate bond</t>
  </si>
  <si>
    <t>SOV</t>
  </si>
  <si>
    <t>IDFC FOCUSED EQUITY FUND</t>
  </si>
  <si>
    <t>NTPC Limited</t>
  </si>
  <si>
    <t>Zero Coupon Bond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</si>
  <si>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</si>
  <si>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</si>
  <si>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</si>
  <si>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</si>
  <si>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</si>
  <si>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</si>
  <si>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</si>
  <si>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</si>
  <si>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</si>
  <si>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</si>
  <si>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</si>
  <si>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</si>
  <si>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</si>
  <si>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</si>
  <si>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</si>
  <si>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</si>
  <si>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</si>
  <si>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</si>
  <si>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</si>
  <si>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</si>
  <si>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</si>
  <si>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</si>
  <si>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</si>
  <si>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</si>
  <si>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</si>
  <si>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</si>
  <si>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</si>
  <si>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Divi's Laboratories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</si>
  <si>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</si>
  <si>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</si>
  <si>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</si>
  <si>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</si>
  <si>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</si>
  <si>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</si>
  <si>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</si>
  <si>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</si>
  <si>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</si>
  <si>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</si>
  <si>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</si>
  <si>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</si>
  <si>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</si>
  <si>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5.22% GOI (MD 15/06/2025)</t>
  </si>
  <si>
    <t>State Bank of India</t>
  </si>
  <si>
    <t>Tata Motors Limited</t>
  </si>
  <si>
    <t>Bajaj Finance Limited</t>
  </si>
  <si>
    <t>IDFC Nifty ETF</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</si>
  <si>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</si>
  <si>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</si>
  <si>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</si>
  <si>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</si>
  <si>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</si>
  <si>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</si>
  <si>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</si>
  <si>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</si>
  <si>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</si>
  <si>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H.G. Infra Engineering Limited</t>
  </si>
  <si>
    <t>Bharat Forge Limited</t>
  </si>
  <si>
    <t>Britannia Industries Limited</t>
  </si>
  <si>
    <t>Avenue Supermarts Limited</t>
  </si>
  <si>
    <t>5.63% GOI (MD 12/04/2026)</t>
  </si>
  <si>
    <t>Top 15 Net Equity Holdings</t>
  </si>
  <si>
    <t>Other Net Equity Holdings</t>
  </si>
  <si>
    <t>Aditya Birla Fashion and Retail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</si>
  <si>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</si>
  <si>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</si>
  <si>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</si>
  <si>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</si>
  <si>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</si>
  <si>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</si>
  <si>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</si>
  <si>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</si>
  <si>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Greenpanel Industries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</si>
  <si>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</si>
  <si>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</si>
  <si>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</si>
  <si>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</si>
  <si>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</si>
  <si>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</si>
  <si>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</si>
  <si>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</si>
  <si>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</si>
  <si>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</si>
  <si>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</si>
  <si>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</si>
  <si>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</si>
  <si>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</si>
  <si>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</si>
  <si>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</si>
  <si>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Navin Fluorine International Limited</t>
  </si>
  <si>
    <t>Narayana Hrudayalaya Limited</t>
  </si>
  <si>
    <t>A1+</t>
  </si>
  <si>
    <t>8.07% Gujrat SDL (MD 11/02/2025)</t>
  </si>
  <si>
    <t>8.28% GOI (M/D 21/09/2027)</t>
  </si>
  <si>
    <t>8.33% GOI 2026 (M/D 09/07/2026)</t>
  </si>
  <si>
    <t>Average Maturity in Days</t>
  </si>
  <si>
    <t>Balrampur Chini Mills Limited</t>
  </si>
  <si>
    <t>PVR Limited</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</si>
  <si>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</si>
  <si>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</si>
  <si>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</si>
  <si>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</si>
  <si>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</si>
  <si>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</si>
  <si>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</si>
  <si>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</si>
  <si>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</si>
  <si>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</si>
  <si>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</si>
  <si>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</si>
  <si>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</si>
  <si>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</si>
  <si>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</si>
  <si>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</si>
  <si>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</si>
  <si>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</si>
  <si>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</si>
  <si>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</si>
  <si>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</si>
  <si>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</si>
  <si>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</si>
  <si>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</si>
  <si>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</si>
  <si>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</si>
  <si>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</si>
  <si>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</si>
  <si>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</si>
  <si>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</si>
  <si>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</si>
  <si>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</si>
  <si>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</si>
  <si>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</si>
  <si>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</si>
  <si>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</si>
  <si>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</si>
  <si>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</si>
  <si>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</si>
  <si>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</si>
  <si>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</si>
  <si>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</si>
  <si>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</si>
  <si>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Tata Consumer Products Limited</t>
  </si>
  <si>
    <t>Nestle India Limited</t>
  </si>
  <si>
    <t>Mutual Fund Units: IDFC  Cash Fund -Direct Plan -Growth</t>
  </si>
  <si>
    <t>TVS Motor Company Limited</t>
  </si>
  <si>
    <t>Westlife Development Limited</t>
  </si>
  <si>
    <t>Container Corporation of India Limited</t>
  </si>
  <si>
    <t>Adani Ports and Special Economic Zone Limited</t>
  </si>
  <si>
    <t>Mutual Fund Units: IDFC  Cash Fund-Direct Plan -Growth</t>
  </si>
  <si>
    <t>182 Days Tbill (MD 15/12/2022)</t>
  </si>
  <si>
    <t>Anupam Rasayan India Limited</t>
  </si>
  <si>
    <t>IndusInd Bank Limited</t>
  </si>
  <si>
    <t>Schaeffler India Limited</t>
  </si>
  <si>
    <t>Automotive Axles Limited</t>
  </si>
  <si>
    <t>182 Days Tbill (MD 22/12/2022)</t>
  </si>
  <si>
    <t>IDFC S&amp;P BSE SENSEX Exchange Traded Fund</t>
  </si>
  <si>
    <t>IDFC NIFTY 50 Exchange Traded Fund</t>
  </si>
  <si>
    <t>IDFC NIFTY 50 INDEX FUND</t>
  </si>
  <si>
    <t>ACC Limited</t>
  </si>
  <si>
    <t>Godrej Consumer Products Limited</t>
  </si>
  <si>
    <t>UNO Minda Limited</t>
  </si>
  <si>
    <t>Mahindra Lifespace Developers Limited</t>
  </si>
  <si>
    <t>Bajaj Finserv Limited</t>
  </si>
  <si>
    <t>Industrial Manufacturing</t>
  </si>
  <si>
    <t>Fine Organic Industries Limited</t>
  </si>
  <si>
    <t>Titan Company Limited</t>
  </si>
  <si>
    <t>EIH Limited</t>
  </si>
  <si>
    <t>Sagar Cements Limited</t>
  </si>
  <si>
    <t>Tata Chemicals Limited</t>
  </si>
  <si>
    <t>364 Days Tbill (MD 09/02/2023)</t>
  </si>
  <si>
    <t xml:space="preserve"> IDFC MIDCAP FUND</t>
  </si>
  <si>
    <t>Persistent Systems Limited</t>
  </si>
  <si>
    <t>Trent Limited</t>
  </si>
  <si>
    <t>Vinati Organics Limited</t>
  </si>
  <si>
    <t>Portfolio as on - (31st August 2022)</t>
  </si>
  <si>
    <t>Net Assets as on 31st August 2022</t>
  </si>
  <si>
    <t>326.04 crs</t>
  </si>
  <si>
    <t>2416.45 crs</t>
  </si>
  <si>
    <t>1100.48 crs</t>
  </si>
  <si>
    <t>1357.70 crs</t>
  </si>
  <si>
    <t>4906.38 crs</t>
  </si>
  <si>
    <t>534.62 crs</t>
  </si>
  <si>
    <t>1100.61 crs</t>
  </si>
  <si>
    <t>5907.43 crs</t>
  </si>
  <si>
    <t>1477.08 crs</t>
  </si>
  <si>
    <t>656.71 crs</t>
  </si>
  <si>
    <t>3851.42 crs</t>
  </si>
  <si>
    <t>4195.74 crs</t>
  </si>
  <si>
    <t>3044.88 crs</t>
  </si>
  <si>
    <t>107.65 crs</t>
  </si>
  <si>
    <t>171.88 crs</t>
  </si>
  <si>
    <t>588.45 crs</t>
  </si>
  <si>
    <t>15.90 crs</t>
  </si>
  <si>
    <t>17.68 crs</t>
  </si>
  <si>
    <t>8.98 crs</t>
  </si>
  <si>
    <t>498.90 crs</t>
  </si>
  <si>
    <t>1.51 crs</t>
  </si>
  <si>
    <t>17.76 crs</t>
  </si>
  <si>
    <t>54.17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</si>
</sst>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9">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0" borderId="0" xfId="0" applyAlignment="1"/>
    <xf numFmtId="10" fontId="0" fillId="0" borderId="0" xfId="0" applyNumberFormat="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0" fontId="10" fillId="0" borderId="9" xfId="0" applyNumberFormat="1" applyFont="1" applyFill="1" applyBorder="1" applyAlignment="1">
      <alignment vertical="center" wrapText="1"/>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0" fillId="0" borderId="0" xfId="0" applyNumberFormat="1" applyAlignment="1"/>
    <xf numFmtId="0" fontId="5" fillId="4" borderId="0" xfId="0" applyFont="1" applyFill="1" applyBorder="1"/>
    <xf numFmtId="0" fontId="5" fillId="4" borderId="15" xfId="0" applyFont="1" applyFill="1" applyBorder="1"/>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0.98287500000000005</c:v>
                </c:pt>
                <c:pt idx="1">
                  <c:v>-7.2659999999999999E-3</c:v>
                </c:pt>
                <c:pt idx="2">
                  <c:v>2.4390999999999999E-2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CEF'!$W$8:$W$30</c:f>
              <c:strCache>
                <c:ptCount val="23"/>
                <c:pt idx="0">
                  <c:v>Banks</c:v>
                </c:pt>
                <c:pt idx="1">
                  <c:v>IT - Software</c:v>
                </c:pt>
                <c:pt idx="2">
                  <c:v>Pharmaceuticals &amp; Biotechnology</c:v>
                </c:pt>
                <c:pt idx="3">
                  <c:v>Automobiles</c:v>
                </c:pt>
                <c:pt idx="4">
                  <c:v>Industrial Products</c:v>
                </c:pt>
                <c:pt idx="5">
                  <c:v>Auto Components</c:v>
                </c:pt>
                <c:pt idx="6">
                  <c:v>Cement &amp; Cement Products</c:v>
                </c:pt>
                <c:pt idx="7">
                  <c:v>Construction</c:v>
                </c:pt>
                <c:pt idx="8">
                  <c:v>Petroleum Products</c:v>
                </c:pt>
                <c:pt idx="9">
                  <c:v>Leisure Services</c:v>
                </c:pt>
                <c:pt idx="10">
                  <c:v>Telecom - Services</c:v>
                </c:pt>
                <c:pt idx="11">
                  <c:v>Retailing</c:v>
                </c:pt>
                <c:pt idx="12">
                  <c:v>Electrical Equipment</c:v>
                </c:pt>
                <c:pt idx="13">
                  <c:v>Finance</c:v>
                </c:pt>
                <c:pt idx="14">
                  <c:v>Ferrous Metals</c:v>
                </c:pt>
                <c:pt idx="15">
                  <c:v>Personal Products</c:v>
                </c:pt>
                <c:pt idx="16">
                  <c:v>Power</c:v>
                </c:pt>
                <c:pt idx="17">
                  <c:v>Chemicals &amp; Petrochemicals</c:v>
                </c:pt>
                <c:pt idx="18">
                  <c:v>Gas</c:v>
                </c:pt>
                <c:pt idx="19">
                  <c:v>Insurance</c:v>
                </c:pt>
                <c:pt idx="20">
                  <c:v>Consumer Durables</c:v>
                </c:pt>
                <c:pt idx="21">
                  <c:v>Capital Markets</c:v>
                </c:pt>
                <c:pt idx="22">
                  <c:v>Diversified</c:v>
                </c:pt>
              </c:strCache>
            </c:strRef>
          </c:cat>
          <c:val>
            <c:numRef>
              <c:f>'IDFC CEF'!$X$8:$X$30</c:f>
              <c:numCache>
                <c:formatCode>0.00%</c:formatCode>
                <c:ptCount val="23"/>
                <c:pt idx="0">
                  <c:v>0.23901300000000003</c:v>
                </c:pt>
                <c:pt idx="1">
                  <c:v>9.2354999999999993E-2</c:v>
                </c:pt>
                <c:pt idx="2">
                  <c:v>6.9791000000000006E-2</c:v>
                </c:pt>
                <c:pt idx="3">
                  <c:v>6.6394000000000009E-2</c:v>
                </c:pt>
                <c:pt idx="4">
                  <c:v>6.3050999999999996E-2</c:v>
                </c:pt>
                <c:pt idx="5">
                  <c:v>6.1225000000000002E-2</c:v>
                </c:pt>
                <c:pt idx="6">
                  <c:v>5.5508999999999996E-2</c:v>
                </c:pt>
                <c:pt idx="7">
                  <c:v>4.1294999999999998E-2</c:v>
                </c:pt>
                <c:pt idx="8">
                  <c:v>3.4605999999999998E-2</c:v>
                </c:pt>
                <c:pt idx="9">
                  <c:v>2.9054E-2</c:v>
                </c:pt>
                <c:pt idx="10">
                  <c:v>2.8979999999999999E-2</c:v>
                </c:pt>
                <c:pt idx="11">
                  <c:v>2.4657999999999999E-2</c:v>
                </c:pt>
                <c:pt idx="12">
                  <c:v>2.4232999999999998E-2</c:v>
                </c:pt>
                <c:pt idx="13">
                  <c:v>2.3394999999999999E-2</c:v>
                </c:pt>
                <c:pt idx="14">
                  <c:v>2.2280999999999999E-2</c:v>
                </c:pt>
                <c:pt idx="15">
                  <c:v>2.0395E-2</c:v>
                </c:pt>
                <c:pt idx="16">
                  <c:v>1.9137999999999999E-2</c:v>
                </c:pt>
                <c:pt idx="17">
                  <c:v>1.8502000000000001E-2</c:v>
                </c:pt>
                <c:pt idx="18">
                  <c:v>1.5151999999999999E-2</c:v>
                </c:pt>
                <c:pt idx="19">
                  <c:v>1.3667E-2</c:v>
                </c:pt>
                <c:pt idx="20">
                  <c:v>7.928000000000001E-3</c:v>
                </c:pt>
                <c:pt idx="21">
                  <c:v>6.4289999999999998E-3</c:v>
                </c:pt>
                <c:pt idx="22">
                  <c:v>5.927E-3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LCF'!$W$8:$W$28</c:f>
              <c:strCache>
                <c:ptCount val="21"/>
                <c:pt idx="0">
                  <c:v>Banks</c:v>
                </c:pt>
                <c:pt idx="1">
                  <c:v>IT - Software</c:v>
                </c:pt>
                <c:pt idx="2">
                  <c:v>Automobiles</c:v>
                </c:pt>
                <c:pt idx="3">
                  <c:v>Petroleum Products</c:v>
                </c:pt>
                <c:pt idx="4">
                  <c:v>Diversified FMCG</c:v>
                </c:pt>
                <c:pt idx="5">
                  <c:v>Finance</c:v>
                </c:pt>
                <c:pt idx="6">
                  <c:v>Chemicals &amp; Petrochemicals</c:v>
                </c:pt>
                <c:pt idx="7">
                  <c:v>Consumer Durables</c:v>
                </c:pt>
                <c:pt idx="8">
                  <c:v>Pharmaceuticals &amp; Biotechnology</c:v>
                </c:pt>
                <c:pt idx="9">
                  <c:v>Construction</c:v>
                </c:pt>
                <c:pt idx="10">
                  <c:v>Leisure Services</c:v>
                </c:pt>
                <c:pt idx="11">
                  <c:v>Telecom - Services</c:v>
                </c:pt>
                <c:pt idx="12">
                  <c:v>Cement &amp; Cement Products</c:v>
                </c:pt>
                <c:pt idx="13">
                  <c:v>Personal Products</c:v>
                </c:pt>
                <c:pt idx="14">
                  <c:v>Realty</c:v>
                </c:pt>
                <c:pt idx="15">
                  <c:v>Industrial Products</c:v>
                </c:pt>
                <c:pt idx="16">
                  <c:v>IT - Services</c:v>
                </c:pt>
                <c:pt idx="17">
                  <c:v>Insurance</c:v>
                </c:pt>
                <c:pt idx="18">
                  <c:v>Electrical Equipment</c:v>
                </c:pt>
                <c:pt idx="19">
                  <c:v>Healthcare Services</c:v>
                </c:pt>
                <c:pt idx="20">
                  <c:v>Textiles &amp; Apparels</c:v>
                </c:pt>
              </c:strCache>
            </c:strRef>
          </c:cat>
          <c:val>
            <c:numRef>
              <c:f>'IDFC LCF'!$X$8:$X$28</c:f>
              <c:numCache>
                <c:formatCode>0.00%</c:formatCode>
                <c:ptCount val="21"/>
                <c:pt idx="0">
                  <c:v>0.27990500000000001</c:v>
                </c:pt>
                <c:pt idx="1">
                  <c:v>0.11115900000000001</c:v>
                </c:pt>
                <c:pt idx="2">
                  <c:v>9.1383000000000006E-2</c:v>
                </c:pt>
                <c:pt idx="3">
                  <c:v>6.2361E-2</c:v>
                </c:pt>
                <c:pt idx="4">
                  <c:v>5.5765000000000002E-2</c:v>
                </c:pt>
                <c:pt idx="5">
                  <c:v>5.0972000000000003E-2</c:v>
                </c:pt>
                <c:pt idx="6">
                  <c:v>4.4292000000000005E-2</c:v>
                </c:pt>
                <c:pt idx="7">
                  <c:v>4.3232000000000007E-2</c:v>
                </c:pt>
                <c:pt idx="8">
                  <c:v>4.1005E-2</c:v>
                </c:pt>
                <c:pt idx="9">
                  <c:v>3.8935999999999998E-2</c:v>
                </c:pt>
                <c:pt idx="10">
                  <c:v>2.7053000000000001E-2</c:v>
                </c:pt>
                <c:pt idx="11">
                  <c:v>2.6036E-2</c:v>
                </c:pt>
                <c:pt idx="12">
                  <c:v>2.0299999999999999E-2</c:v>
                </c:pt>
                <c:pt idx="13">
                  <c:v>1.9584000000000001E-2</c:v>
                </c:pt>
                <c:pt idx="14">
                  <c:v>1.9259999999999999E-2</c:v>
                </c:pt>
                <c:pt idx="15">
                  <c:v>1.7575E-2</c:v>
                </c:pt>
                <c:pt idx="16">
                  <c:v>1.3941E-2</c:v>
                </c:pt>
                <c:pt idx="17">
                  <c:v>1.3018999999999999E-2</c:v>
                </c:pt>
                <c:pt idx="18">
                  <c:v>1.1844E-2</c:v>
                </c:pt>
                <c:pt idx="19">
                  <c:v>4.7650000000000001E-3</c:v>
                </c:pt>
                <c:pt idx="20">
                  <c:v>3.0330000000000001E-3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FEF'!$W$8:$W$24</c:f>
              <c:strCache>
                <c:ptCount val="17"/>
                <c:pt idx="0">
                  <c:v>Banks</c:v>
                </c:pt>
                <c:pt idx="1">
                  <c:v>IT - Software</c:v>
                </c:pt>
                <c:pt idx="2">
                  <c:v>Automobiles</c:v>
                </c:pt>
                <c:pt idx="3">
                  <c:v>Finance</c:v>
                </c:pt>
                <c:pt idx="4">
                  <c:v>Chemicals &amp; Petrochemicals</c:v>
                </c:pt>
                <c:pt idx="5">
                  <c:v>Petroleum Products</c:v>
                </c:pt>
                <c:pt idx="6">
                  <c:v>Pharmaceuticals &amp; Biotechnology</c:v>
                </c:pt>
                <c:pt idx="7">
                  <c:v>Diversified FMCG</c:v>
                </c:pt>
                <c:pt idx="8">
                  <c:v>Consumer Durables</c:v>
                </c:pt>
                <c:pt idx="9">
                  <c:v>Leisure Services</c:v>
                </c:pt>
                <c:pt idx="10">
                  <c:v>Cement &amp; Cement Products</c:v>
                </c:pt>
                <c:pt idx="11">
                  <c:v>Personal Products</c:v>
                </c:pt>
                <c:pt idx="12">
                  <c:v>Industrial Products</c:v>
                </c:pt>
                <c:pt idx="13">
                  <c:v>Realty</c:v>
                </c:pt>
                <c:pt idx="14">
                  <c:v>IT - Services</c:v>
                </c:pt>
                <c:pt idx="15">
                  <c:v>Food Products</c:v>
                </c:pt>
                <c:pt idx="16">
                  <c:v>Diversified</c:v>
                </c:pt>
              </c:strCache>
            </c:strRef>
          </c:cat>
          <c:val>
            <c:numRef>
              <c:f>'IDFC FEF'!$X$8:$X$24</c:f>
              <c:numCache>
                <c:formatCode>0.00%</c:formatCode>
                <c:ptCount val="17"/>
                <c:pt idx="0">
                  <c:v>0.24007599999999998</c:v>
                </c:pt>
                <c:pt idx="1">
                  <c:v>8.9399999999999993E-2</c:v>
                </c:pt>
                <c:pt idx="2">
                  <c:v>8.2821000000000006E-2</c:v>
                </c:pt>
                <c:pt idx="3">
                  <c:v>6.9101999999999997E-2</c:v>
                </c:pt>
                <c:pt idx="4">
                  <c:v>6.6783000000000009E-2</c:v>
                </c:pt>
                <c:pt idx="5">
                  <c:v>4.6857999999999997E-2</c:v>
                </c:pt>
                <c:pt idx="6">
                  <c:v>4.5062999999999999E-2</c:v>
                </c:pt>
                <c:pt idx="7">
                  <c:v>4.0273999999999997E-2</c:v>
                </c:pt>
                <c:pt idx="8">
                  <c:v>3.9695000000000001E-2</c:v>
                </c:pt>
                <c:pt idx="9">
                  <c:v>3.5693000000000003E-2</c:v>
                </c:pt>
                <c:pt idx="10">
                  <c:v>3.3327000000000002E-2</c:v>
                </c:pt>
                <c:pt idx="11">
                  <c:v>3.3187000000000001E-2</c:v>
                </c:pt>
                <c:pt idx="12">
                  <c:v>3.1369000000000001E-2</c:v>
                </c:pt>
                <c:pt idx="13">
                  <c:v>2.8340000000000001E-2</c:v>
                </c:pt>
                <c:pt idx="14">
                  <c:v>2.6275E-2</c:v>
                </c:pt>
                <c:pt idx="15">
                  <c:v>2.6051999999999999E-2</c:v>
                </c:pt>
                <c:pt idx="16">
                  <c:v>2.1350000000000001E-2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Auto Components</c:v>
                </c:pt>
                <c:pt idx="3">
                  <c:v>IT - Software</c:v>
                </c:pt>
                <c:pt idx="4">
                  <c:v>Electrical Equipment</c:v>
                </c:pt>
                <c:pt idx="5">
                  <c:v>Finance</c:v>
                </c:pt>
                <c:pt idx="6">
                  <c:v>Consumer Durables</c:v>
                </c:pt>
                <c:pt idx="7">
                  <c:v>Industrial Products</c:v>
                </c:pt>
                <c:pt idx="8">
                  <c:v>Ferrous Metals</c:v>
                </c:pt>
                <c:pt idx="9">
                  <c:v>Cement &amp; Cement Products</c:v>
                </c:pt>
                <c:pt idx="10">
                  <c:v>Leisure Services</c:v>
                </c:pt>
                <c:pt idx="11">
                  <c:v>Transport Services</c:v>
                </c:pt>
                <c:pt idx="12">
                  <c:v>Automobiles</c:v>
                </c:pt>
                <c:pt idx="13">
                  <c:v>Insurance</c:v>
                </c:pt>
                <c:pt idx="14">
                  <c:v>Diversified FMCG</c:v>
                </c:pt>
                <c:pt idx="15">
                  <c:v>Chemicals &amp; Petrochemicals</c:v>
                </c:pt>
                <c:pt idx="16">
                  <c:v>Beverages</c:v>
                </c:pt>
                <c:pt idx="17">
                  <c:v>Food Products</c:v>
                </c:pt>
                <c:pt idx="18">
                  <c:v>Personal Products</c:v>
                </c:pt>
                <c:pt idx="19">
                  <c:v>Petroleum Products</c:v>
                </c:pt>
                <c:pt idx="20">
                  <c:v>Gas</c:v>
                </c:pt>
                <c:pt idx="21">
                  <c:v>Agricultural Food &amp; other Products</c:v>
                </c:pt>
                <c:pt idx="22">
                  <c:v>Textiles &amp; Apparels</c:v>
                </c:pt>
                <c:pt idx="23">
                  <c:v>Construction</c:v>
                </c:pt>
                <c:pt idx="24">
                  <c:v>Power</c:v>
                </c:pt>
                <c:pt idx="25">
                  <c:v>Retailing</c:v>
                </c:pt>
                <c:pt idx="26">
                  <c:v>Entertainment</c:v>
                </c:pt>
              </c:strCache>
            </c:strRef>
          </c:cat>
          <c:val>
            <c:numRef>
              <c:f>'IDFC SVF'!$X$8:$X$34</c:f>
              <c:numCache>
                <c:formatCode>0.00%</c:formatCode>
                <c:ptCount val="27"/>
                <c:pt idx="0">
                  <c:v>0.149812</c:v>
                </c:pt>
                <c:pt idx="1">
                  <c:v>8.4295000000000009E-2</c:v>
                </c:pt>
                <c:pt idx="2">
                  <c:v>6.7558999999999994E-2</c:v>
                </c:pt>
                <c:pt idx="3">
                  <c:v>5.7471999999999995E-2</c:v>
                </c:pt>
                <c:pt idx="4">
                  <c:v>4.7808000000000003E-2</c:v>
                </c:pt>
                <c:pt idx="5">
                  <c:v>4.3461E-2</c:v>
                </c:pt>
                <c:pt idx="6">
                  <c:v>4.3196999999999999E-2</c:v>
                </c:pt>
                <c:pt idx="7">
                  <c:v>4.0600999999999998E-2</c:v>
                </c:pt>
                <c:pt idx="8">
                  <c:v>3.9739000000000003E-2</c:v>
                </c:pt>
                <c:pt idx="9">
                  <c:v>3.8075000000000005E-2</c:v>
                </c:pt>
                <c:pt idx="10">
                  <c:v>3.6197E-2</c:v>
                </c:pt>
                <c:pt idx="11">
                  <c:v>2.6417E-2</c:v>
                </c:pt>
                <c:pt idx="12">
                  <c:v>2.5593999999999999E-2</c:v>
                </c:pt>
                <c:pt idx="13">
                  <c:v>2.2557999999999998E-2</c:v>
                </c:pt>
                <c:pt idx="14">
                  <c:v>2.2210000000000001E-2</c:v>
                </c:pt>
                <c:pt idx="15">
                  <c:v>2.1378000000000001E-2</c:v>
                </c:pt>
                <c:pt idx="16">
                  <c:v>1.9203999999999999E-2</c:v>
                </c:pt>
                <c:pt idx="17">
                  <c:v>1.891E-2</c:v>
                </c:pt>
                <c:pt idx="18">
                  <c:v>1.8838000000000001E-2</c:v>
                </c:pt>
                <c:pt idx="19">
                  <c:v>1.8818000000000001E-2</c:v>
                </c:pt>
                <c:pt idx="20">
                  <c:v>1.7306999999999999E-2</c:v>
                </c:pt>
                <c:pt idx="21">
                  <c:v>1.6501999999999999E-2</c:v>
                </c:pt>
                <c:pt idx="22">
                  <c:v>1.6079E-2</c:v>
                </c:pt>
                <c:pt idx="23">
                  <c:v>1.5134E-2</c:v>
                </c:pt>
                <c:pt idx="24">
                  <c:v>1.0028E-2</c:v>
                </c:pt>
                <c:pt idx="25">
                  <c:v>8.9219999999999994E-3</c:v>
                </c:pt>
                <c:pt idx="26">
                  <c:v>7.4599999999999996E-3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MidCap 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MidCap F'!$W$8:$W$14</c:f>
              <c:strCache>
                <c:ptCount val="7"/>
                <c:pt idx="0">
                  <c:v>Chemicals &amp; Petrochemicals</c:v>
                </c:pt>
                <c:pt idx="1">
                  <c:v>Banks</c:v>
                </c:pt>
                <c:pt idx="2">
                  <c:v>Auto Components</c:v>
                </c:pt>
                <c:pt idx="3">
                  <c:v>Retailing</c:v>
                </c:pt>
                <c:pt idx="4">
                  <c:v>IT - Software</c:v>
                </c:pt>
                <c:pt idx="5">
                  <c:v>Consumer Durables</c:v>
                </c:pt>
                <c:pt idx="6">
                  <c:v>Leisure Services</c:v>
                </c:pt>
              </c:strCache>
            </c:strRef>
          </c:cat>
          <c:val>
            <c:numRef>
              <c:f>'IDFC MidCap F'!$X$8:$X$14</c:f>
              <c:numCache>
                <c:formatCode>0.00%</c:formatCode>
                <c:ptCount val="7"/>
                <c:pt idx="0">
                  <c:v>3.1885999999999998E-2</c:v>
                </c:pt>
                <c:pt idx="1">
                  <c:v>2.8139000000000001E-2</c:v>
                </c:pt>
                <c:pt idx="2">
                  <c:v>2.6471999999999999E-2</c:v>
                </c:pt>
                <c:pt idx="3">
                  <c:v>1.2673E-2</c:v>
                </c:pt>
                <c:pt idx="4">
                  <c:v>8.7829999999999991E-3</c:v>
                </c:pt>
                <c:pt idx="5">
                  <c:v>5.8110000000000002E-3</c:v>
                </c:pt>
                <c:pt idx="6">
                  <c:v>4.9300000000000004E-3</c:v>
                </c:pt>
              </c:numCache>
            </c:numRef>
          </c:val>
          <c:extLst>
            <c:ext xmlns:c16="http://schemas.microsoft.com/office/drawing/2014/chart" uri="{C3380CC4-5D6E-409C-BE32-E72D297353CC}">
              <c16:uniqueId val="{00000017-3A67-4661-95F4-D55833095ECF}"/>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MCF'!$W$8:$W$34</c:f>
              <c:strCache>
                <c:ptCount val="27"/>
                <c:pt idx="0">
                  <c:v>Banks</c:v>
                </c:pt>
                <c:pt idx="1">
                  <c:v>Finance</c:v>
                </c:pt>
                <c:pt idx="2">
                  <c:v>Pharmaceuticals &amp; Biotechnology</c:v>
                </c:pt>
                <c:pt idx="3">
                  <c:v>IT - Software</c:v>
                </c:pt>
                <c:pt idx="4">
                  <c:v>Consumer Durables</c:v>
                </c:pt>
                <c:pt idx="5">
                  <c:v>Cement &amp; Cement Products</c:v>
                </c:pt>
                <c:pt idx="6">
                  <c:v>Auto Components</c:v>
                </c:pt>
                <c:pt idx="7">
                  <c:v>Industrial Products</c:v>
                </c:pt>
                <c:pt idx="8">
                  <c:v>Beverages</c:v>
                </c:pt>
                <c:pt idx="9">
                  <c:v>Construction</c:v>
                </c:pt>
                <c:pt idx="10">
                  <c:v>Petroleum Products</c:v>
                </c:pt>
                <c:pt idx="11">
                  <c:v>Chemicals &amp; Petrochemicals</c:v>
                </c:pt>
                <c:pt idx="12">
                  <c:v>Automobiles</c:v>
                </c:pt>
                <c:pt idx="13">
                  <c:v>Leisure Services</c:v>
                </c:pt>
                <c:pt idx="14">
                  <c:v>Realty</c:v>
                </c:pt>
                <c:pt idx="15">
                  <c:v>Ferrous Metals</c:v>
                </c:pt>
                <c:pt idx="16">
                  <c:v>Entertainment</c:v>
                </c:pt>
                <c:pt idx="17">
                  <c:v>Food Products</c:v>
                </c:pt>
                <c:pt idx="18">
                  <c:v>Agricultural Food &amp; other Products</c:v>
                </c:pt>
                <c:pt idx="19">
                  <c:v>IT - Services</c:v>
                </c:pt>
                <c:pt idx="20">
                  <c:v>Gas</c:v>
                </c:pt>
                <c:pt idx="21">
                  <c:v>Diversified FMCG</c:v>
                </c:pt>
                <c:pt idx="22">
                  <c:v>Fertilizers &amp; Agrochemicals</c:v>
                </c:pt>
                <c:pt idx="23">
                  <c:v>Telecom - Services</c:v>
                </c:pt>
                <c:pt idx="24">
                  <c:v>Industrial Manufacturing</c:v>
                </c:pt>
                <c:pt idx="25">
                  <c:v>Electrical Equipment</c:v>
                </c:pt>
                <c:pt idx="26">
                  <c:v>Insurance</c:v>
                </c:pt>
              </c:strCache>
            </c:strRef>
          </c:cat>
          <c:val>
            <c:numRef>
              <c:f>'IDFC MCF'!$X$8:$X$34</c:f>
              <c:numCache>
                <c:formatCode>0.00%</c:formatCode>
                <c:ptCount val="27"/>
                <c:pt idx="0">
                  <c:v>0.13703000000000001</c:v>
                </c:pt>
                <c:pt idx="1">
                  <c:v>9.3060999999999991E-2</c:v>
                </c:pt>
                <c:pt idx="2">
                  <c:v>7.2637000000000007E-2</c:v>
                </c:pt>
                <c:pt idx="3">
                  <c:v>5.8972000000000004E-2</c:v>
                </c:pt>
                <c:pt idx="4">
                  <c:v>5.7926999999999999E-2</c:v>
                </c:pt>
                <c:pt idx="5">
                  <c:v>5.5989999999999998E-2</c:v>
                </c:pt>
                <c:pt idx="6">
                  <c:v>5.4819E-2</c:v>
                </c:pt>
                <c:pt idx="7">
                  <c:v>4.1951999999999996E-2</c:v>
                </c:pt>
                <c:pt idx="8">
                  <c:v>3.4804000000000002E-2</c:v>
                </c:pt>
                <c:pt idx="9">
                  <c:v>3.1883000000000002E-2</c:v>
                </c:pt>
                <c:pt idx="10">
                  <c:v>2.3968E-2</c:v>
                </c:pt>
                <c:pt idx="11">
                  <c:v>2.3740000000000001E-2</c:v>
                </c:pt>
                <c:pt idx="12">
                  <c:v>2.3662000000000002E-2</c:v>
                </c:pt>
                <c:pt idx="13">
                  <c:v>2.2658999999999999E-2</c:v>
                </c:pt>
                <c:pt idx="14">
                  <c:v>2.2391999999999999E-2</c:v>
                </c:pt>
                <c:pt idx="15">
                  <c:v>2.1655000000000001E-2</c:v>
                </c:pt>
                <c:pt idx="16">
                  <c:v>2.1614999999999999E-2</c:v>
                </c:pt>
                <c:pt idx="17">
                  <c:v>2.1496000000000001E-2</c:v>
                </c:pt>
                <c:pt idx="18">
                  <c:v>1.6920000000000001E-2</c:v>
                </c:pt>
                <c:pt idx="19">
                  <c:v>1.6889999999999999E-2</c:v>
                </c:pt>
                <c:pt idx="20">
                  <c:v>1.6073E-2</c:v>
                </c:pt>
                <c:pt idx="21">
                  <c:v>1.456E-2</c:v>
                </c:pt>
                <c:pt idx="22">
                  <c:v>1.4317E-2</c:v>
                </c:pt>
                <c:pt idx="23">
                  <c:v>1.3204E-2</c:v>
                </c:pt>
                <c:pt idx="24">
                  <c:v>8.4430000000000009E-3</c:v>
                </c:pt>
                <c:pt idx="25">
                  <c:v>7.7629999999999999E-3</c:v>
                </c:pt>
                <c:pt idx="26">
                  <c:v>5.9189999999999998E-3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FCF'!$W$8:$W$32</c:f>
              <c:strCache>
                <c:ptCount val="25"/>
                <c:pt idx="0">
                  <c:v>Banks</c:v>
                </c:pt>
                <c:pt idx="1">
                  <c:v>IT - Software</c:v>
                </c:pt>
                <c:pt idx="2">
                  <c:v>Consumer Durables</c:v>
                </c:pt>
                <c:pt idx="3">
                  <c:v>Auto Components</c:v>
                </c:pt>
                <c:pt idx="4">
                  <c:v>Chemicals &amp; Petrochemicals</c:v>
                </c:pt>
                <c:pt idx="5">
                  <c:v>Automobiles</c:v>
                </c:pt>
                <c:pt idx="6">
                  <c:v>Industrial Products</c:v>
                </c:pt>
                <c:pt idx="7">
                  <c:v>Cement &amp; Cement Products</c:v>
                </c:pt>
                <c:pt idx="8">
                  <c:v>Finance</c:v>
                </c:pt>
                <c:pt idx="9">
                  <c:v>Retailing</c:v>
                </c:pt>
                <c:pt idx="10">
                  <c:v>Pharmaceuticals &amp; Biotechnology</c:v>
                </c:pt>
                <c:pt idx="11">
                  <c:v>Construction</c:v>
                </c:pt>
                <c:pt idx="12">
                  <c:v>Telecom - Services</c:v>
                </c:pt>
                <c:pt idx="13">
                  <c:v>Aerospace &amp; Defense</c:v>
                </c:pt>
                <c:pt idx="14">
                  <c:v>Leisure Services</c:v>
                </c:pt>
                <c:pt idx="15">
                  <c:v>Diversified FMCG</c:v>
                </c:pt>
                <c:pt idx="16">
                  <c:v>Diversified</c:v>
                </c:pt>
                <c:pt idx="17">
                  <c:v>Textiles &amp; Apparels</c:v>
                </c:pt>
                <c:pt idx="18">
                  <c:v>Personal Products</c:v>
                </c:pt>
                <c:pt idx="19">
                  <c:v>Non - Ferrous Metals</c:v>
                </c:pt>
                <c:pt idx="20">
                  <c:v>Food Products</c:v>
                </c:pt>
                <c:pt idx="21">
                  <c:v>Paper, Forest &amp; Jute Products</c:v>
                </c:pt>
                <c:pt idx="22">
                  <c:v>Electrical Equipment</c:v>
                </c:pt>
                <c:pt idx="23">
                  <c:v>Beverages</c:v>
                </c:pt>
                <c:pt idx="24">
                  <c:v>Realty</c:v>
                </c:pt>
              </c:strCache>
            </c:strRef>
          </c:cat>
          <c:val>
            <c:numRef>
              <c:f>'IDFC FCF'!$X$8:$X$32</c:f>
              <c:numCache>
                <c:formatCode>0.00%</c:formatCode>
                <c:ptCount val="25"/>
                <c:pt idx="0">
                  <c:v>0.24715799999999999</c:v>
                </c:pt>
                <c:pt idx="1">
                  <c:v>0.108625</c:v>
                </c:pt>
                <c:pt idx="2">
                  <c:v>8.3148E-2</c:v>
                </c:pt>
                <c:pt idx="3">
                  <c:v>5.9977000000000003E-2</c:v>
                </c:pt>
                <c:pt idx="4">
                  <c:v>5.3497000000000003E-2</c:v>
                </c:pt>
                <c:pt idx="5">
                  <c:v>5.3048999999999999E-2</c:v>
                </c:pt>
                <c:pt idx="6">
                  <c:v>4.6967999999999996E-2</c:v>
                </c:pt>
                <c:pt idx="7">
                  <c:v>4.2657E-2</c:v>
                </c:pt>
                <c:pt idx="8">
                  <c:v>4.0332E-2</c:v>
                </c:pt>
                <c:pt idx="9">
                  <c:v>2.8913999999999999E-2</c:v>
                </c:pt>
                <c:pt idx="10">
                  <c:v>2.6103000000000001E-2</c:v>
                </c:pt>
                <c:pt idx="11">
                  <c:v>2.5076999999999999E-2</c:v>
                </c:pt>
                <c:pt idx="12">
                  <c:v>2.477E-2</c:v>
                </c:pt>
                <c:pt idx="13">
                  <c:v>1.8183000000000001E-2</c:v>
                </c:pt>
                <c:pt idx="14">
                  <c:v>1.5989E-2</c:v>
                </c:pt>
                <c:pt idx="15">
                  <c:v>1.5664999999999998E-2</c:v>
                </c:pt>
                <c:pt idx="16">
                  <c:v>1.5615E-2</c:v>
                </c:pt>
                <c:pt idx="17">
                  <c:v>9.1640000000000003E-3</c:v>
                </c:pt>
                <c:pt idx="18">
                  <c:v>8.8470000000000007E-3</c:v>
                </c:pt>
                <c:pt idx="19">
                  <c:v>8.8330000000000006E-3</c:v>
                </c:pt>
                <c:pt idx="20">
                  <c:v>6.5719999999999997E-3</c:v>
                </c:pt>
                <c:pt idx="21">
                  <c:v>6.3940000000000004E-3</c:v>
                </c:pt>
                <c:pt idx="22">
                  <c:v>5.483E-3</c:v>
                </c:pt>
                <c:pt idx="23">
                  <c:v>5.3819999999999996E-3</c:v>
                </c:pt>
                <c:pt idx="24">
                  <c:v>1.3129999999999999E-3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(31st August 2022)</c:v>
                </c:pt>
              </c:strCache>
            </c:strRef>
          </c:tx>
          <c:invertIfNegative val="0"/>
          <c:cat>
            <c:strRef>
              <c:f>'IDFC FCF'!$W$8:$W$32</c:f>
              <c:strCache>
                <c:ptCount val="25"/>
                <c:pt idx="0">
                  <c:v>Banks</c:v>
                </c:pt>
                <c:pt idx="1">
                  <c:v>IT - Software</c:v>
                </c:pt>
                <c:pt idx="2">
                  <c:v>Consumer Durables</c:v>
                </c:pt>
                <c:pt idx="3">
                  <c:v>Auto Components</c:v>
                </c:pt>
                <c:pt idx="4">
                  <c:v>Chemicals &amp; Petrochemicals</c:v>
                </c:pt>
                <c:pt idx="5">
                  <c:v>Automobiles</c:v>
                </c:pt>
                <c:pt idx="6">
                  <c:v>Industrial Products</c:v>
                </c:pt>
                <c:pt idx="7">
                  <c:v>Cement &amp; Cement Products</c:v>
                </c:pt>
                <c:pt idx="8">
                  <c:v>Finance</c:v>
                </c:pt>
                <c:pt idx="9">
                  <c:v>Retailing</c:v>
                </c:pt>
                <c:pt idx="10">
                  <c:v>Pharmaceuticals &amp; Biotechnology</c:v>
                </c:pt>
                <c:pt idx="11">
                  <c:v>Construction</c:v>
                </c:pt>
                <c:pt idx="12">
                  <c:v>Telecom - Services</c:v>
                </c:pt>
                <c:pt idx="13">
                  <c:v>Aerospace &amp; Defense</c:v>
                </c:pt>
                <c:pt idx="14">
                  <c:v>Leisure Services</c:v>
                </c:pt>
                <c:pt idx="15">
                  <c:v>Diversified FMCG</c:v>
                </c:pt>
                <c:pt idx="16">
                  <c:v>Diversified</c:v>
                </c:pt>
                <c:pt idx="17">
                  <c:v>Textiles &amp; Apparels</c:v>
                </c:pt>
                <c:pt idx="18">
                  <c:v>Personal Products</c:v>
                </c:pt>
                <c:pt idx="19">
                  <c:v>Non - Ferrous Metals</c:v>
                </c:pt>
                <c:pt idx="20">
                  <c:v>Food Products</c:v>
                </c:pt>
                <c:pt idx="21">
                  <c:v>Paper, Forest &amp; Jute Products</c:v>
                </c:pt>
                <c:pt idx="22">
                  <c:v>Electrical Equipment</c:v>
                </c:pt>
                <c:pt idx="23">
                  <c:v>Beverages</c:v>
                </c:pt>
                <c:pt idx="24">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EBF'!$W$8:$W$37</c:f>
              <c:strCache>
                <c:ptCount val="30"/>
                <c:pt idx="0">
                  <c:v>Auto Components</c:v>
                </c:pt>
                <c:pt idx="1">
                  <c:v>Consumer Durables</c:v>
                </c:pt>
                <c:pt idx="2">
                  <c:v>Industrial Products</c:v>
                </c:pt>
                <c:pt idx="3">
                  <c:v>Leisure Services</c:v>
                </c:pt>
                <c:pt idx="4">
                  <c:v>Chemicals &amp; Petrochemicals</c:v>
                </c:pt>
                <c:pt idx="5">
                  <c:v>Beverages</c:v>
                </c:pt>
                <c:pt idx="6">
                  <c:v>Healthcare Services</c:v>
                </c:pt>
                <c:pt idx="7">
                  <c:v>Finance</c:v>
                </c:pt>
                <c:pt idx="8">
                  <c:v>Pharmaceuticals &amp; Biotechnology</c:v>
                </c:pt>
                <c:pt idx="9">
                  <c:v>Commercial Services &amp; Supplies</c:v>
                </c:pt>
                <c:pt idx="10">
                  <c:v>Cement &amp; Cement Products</c:v>
                </c:pt>
                <c:pt idx="11">
                  <c:v>IT - Software</c:v>
                </c:pt>
                <c:pt idx="12">
                  <c:v>Capital Markets</c:v>
                </c:pt>
                <c:pt idx="13">
                  <c:v>Automobiles</c:v>
                </c:pt>
                <c:pt idx="14">
                  <c:v>Retailing</c:v>
                </c:pt>
                <c:pt idx="15">
                  <c:v>Food Products</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Realty</c:v>
                </c:pt>
                <c:pt idx="25">
                  <c:v>Industrial Manufacturing</c:v>
                </c:pt>
                <c:pt idx="26">
                  <c:v>Cigarettes &amp; Tobacco Products</c:v>
                </c:pt>
                <c:pt idx="27">
                  <c:v>Personal Products</c:v>
                </c:pt>
                <c:pt idx="28">
                  <c:v>Textiles &amp; Apparels</c:v>
                </c:pt>
                <c:pt idx="29">
                  <c:v>Insurance</c:v>
                </c:pt>
              </c:strCache>
            </c:strRef>
          </c:cat>
          <c:val>
            <c:numRef>
              <c:f>'IDFC EBF'!$X$8:$X$37</c:f>
              <c:numCache>
                <c:formatCode>0.00%</c:formatCode>
                <c:ptCount val="30"/>
                <c:pt idx="0">
                  <c:v>9.7828000000000012E-2</c:v>
                </c:pt>
                <c:pt idx="1">
                  <c:v>9.6853999999999996E-2</c:v>
                </c:pt>
                <c:pt idx="2">
                  <c:v>8.0385000000000012E-2</c:v>
                </c:pt>
                <c:pt idx="3">
                  <c:v>6.8758E-2</c:v>
                </c:pt>
                <c:pt idx="4">
                  <c:v>6.0433000000000001E-2</c:v>
                </c:pt>
                <c:pt idx="5">
                  <c:v>4.0483000000000005E-2</c:v>
                </c:pt>
                <c:pt idx="6">
                  <c:v>3.9483000000000004E-2</c:v>
                </c:pt>
                <c:pt idx="7">
                  <c:v>3.5379000000000001E-2</c:v>
                </c:pt>
                <c:pt idx="8">
                  <c:v>3.3939999999999998E-2</c:v>
                </c:pt>
                <c:pt idx="9">
                  <c:v>3.2161000000000002E-2</c:v>
                </c:pt>
                <c:pt idx="10">
                  <c:v>3.1534E-2</c:v>
                </c:pt>
                <c:pt idx="11">
                  <c:v>3.0686999999999999E-2</c:v>
                </c:pt>
                <c:pt idx="12">
                  <c:v>3.0011000000000003E-2</c:v>
                </c:pt>
                <c:pt idx="13">
                  <c:v>2.9963E-2</c:v>
                </c:pt>
                <c:pt idx="14">
                  <c:v>2.9579000000000001E-2</c:v>
                </c:pt>
                <c:pt idx="15">
                  <c:v>2.9553999999999997E-2</c:v>
                </c:pt>
                <c:pt idx="16">
                  <c:v>2.3252999999999999E-2</c:v>
                </c:pt>
                <c:pt idx="17">
                  <c:v>2.1447999999999998E-2</c:v>
                </c:pt>
                <c:pt idx="18">
                  <c:v>1.8924E-2</c:v>
                </c:pt>
                <c:pt idx="19">
                  <c:v>1.6854999999999998E-2</c:v>
                </c:pt>
                <c:pt idx="20">
                  <c:v>1.6024E-2</c:v>
                </c:pt>
                <c:pt idx="21">
                  <c:v>1.4474000000000001E-2</c:v>
                </c:pt>
                <c:pt idx="22">
                  <c:v>1.2798E-2</c:v>
                </c:pt>
                <c:pt idx="23">
                  <c:v>1.2569E-2</c:v>
                </c:pt>
                <c:pt idx="24">
                  <c:v>1.0226000000000001E-2</c:v>
                </c:pt>
                <c:pt idx="25">
                  <c:v>9.6539999999999994E-3</c:v>
                </c:pt>
                <c:pt idx="26">
                  <c:v>8.8319999999999996E-3</c:v>
                </c:pt>
                <c:pt idx="27">
                  <c:v>7.3400000000000002E-3</c:v>
                </c:pt>
                <c:pt idx="28">
                  <c:v>7.1240000000000001E-3</c:v>
                </c:pt>
                <c:pt idx="29">
                  <c:v>2.8140000000000001E-3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(31st August 2022)</c:v>
                </c:pt>
              </c:strCache>
            </c:strRef>
          </c:tx>
          <c:invertIfNegative val="0"/>
          <c:cat>
            <c:strRef>
              <c:f>'IDFC EBF'!$W$8:$W$37</c:f>
              <c:strCache>
                <c:ptCount val="30"/>
                <c:pt idx="0">
                  <c:v>Auto Components</c:v>
                </c:pt>
                <c:pt idx="1">
                  <c:v>Consumer Durables</c:v>
                </c:pt>
                <c:pt idx="2">
                  <c:v>Industrial Products</c:v>
                </c:pt>
                <c:pt idx="3">
                  <c:v>Leisure Services</c:v>
                </c:pt>
                <c:pt idx="4">
                  <c:v>Chemicals &amp; Petrochemicals</c:v>
                </c:pt>
                <c:pt idx="5">
                  <c:v>Beverages</c:v>
                </c:pt>
                <c:pt idx="6">
                  <c:v>Healthcare Services</c:v>
                </c:pt>
                <c:pt idx="7">
                  <c:v>Finance</c:v>
                </c:pt>
                <c:pt idx="8">
                  <c:v>Pharmaceuticals &amp; Biotechnology</c:v>
                </c:pt>
                <c:pt idx="9">
                  <c:v>Commercial Services &amp; Supplies</c:v>
                </c:pt>
                <c:pt idx="10">
                  <c:v>Cement &amp; Cement Products</c:v>
                </c:pt>
                <c:pt idx="11">
                  <c:v>IT - Software</c:v>
                </c:pt>
                <c:pt idx="12">
                  <c:v>Capital Markets</c:v>
                </c:pt>
                <c:pt idx="13">
                  <c:v>Automobiles</c:v>
                </c:pt>
                <c:pt idx="14">
                  <c:v>Retailing</c:v>
                </c:pt>
                <c:pt idx="15">
                  <c:v>Food Products</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Realty</c:v>
                </c:pt>
                <c:pt idx="25">
                  <c:v>Industrial Manufacturing</c:v>
                </c:pt>
                <c:pt idx="26">
                  <c:v>Cigarettes &amp; Tobacco Products</c:v>
                </c:pt>
                <c:pt idx="27">
                  <c:v>Personal Products</c:v>
                </c:pt>
                <c:pt idx="28">
                  <c:v>Textiles &amp; Apparels</c:v>
                </c:pt>
                <c:pt idx="29">
                  <c:v>Insurance</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(31st August 2022)</c:v>
                </c:pt>
              </c:strCache>
            </c:strRef>
          </c:tx>
          <c:invertIfNegative val="0"/>
          <c:cat>
            <c:strRef>
              <c:f>'IDFC EBF'!$W$8:$W$37</c:f>
              <c:strCache>
                <c:ptCount val="30"/>
                <c:pt idx="0">
                  <c:v>Auto Components</c:v>
                </c:pt>
                <c:pt idx="1">
                  <c:v>Consumer Durables</c:v>
                </c:pt>
                <c:pt idx="2">
                  <c:v>Industrial Products</c:v>
                </c:pt>
                <c:pt idx="3">
                  <c:v>Leisure Services</c:v>
                </c:pt>
                <c:pt idx="4">
                  <c:v>Chemicals &amp; Petrochemicals</c:v>
                </c:pt>
                <c:pt idx="5">
                  <c:v>Beverages</c:v>
                </c:pt>
                <c:pt idx="6">
                  <c:v>Healthcare Services</c:v>
                </c:pt>
                <c:pt idx="7">
                  <c:v>Finance</c:v>
                </c:pt>
                <c:pt idx="8">
                  <c:v>Pharmaceuticals &amp; Biotechnology</c:v>
                </c:pt>
                <c:pt idx="9">
                  <c:v>Commercial Services &amp; Supplies</c:v>
                </c:pt>
                <c:pt idx="10">
                  <c:v>Cement &amp; Cement Products</c:v>
                </c:pt>
                <c:pt idx="11">
                  <c:v>IT - Software</c:v>
                </c:pt>
                <c:pt idx="12">
                  <c:v>Capital Markets</c:v>
                </c:pt>
                <c:pt idx="13">
                  <c:v>Automobiles</c:v>
                </c:pt>
                <c:pt idx="14">
                  <c:v>Retailing</c:v>
                </c:pt>
                <c:pt idx="15">
                  <c:v>Food Products</c:v>
                </c:pt>
                <c:pt idx="16">
                  <c:v>Agricultural, Commercial &amp; Construction Vehicles</c:v>
                </c:pt>
                <c:pt idx="17">
                  <c:v>Agricultural Food &amp; other Products</c:v>
                </c:pt>
                <c:pt idx="18">
                  <c:v>Banks</c:v>
                </c:pt>
                <c:pt idx="19">
                  <c:v>Construction</c:v>
                </c:pt>
                <c:pt idx="20">
                  <c:v>IT - Services</c:v>
                </c:pt>
                <c:pt idx="21">
                  <c:v>Fertilizers &amp; Agrochemicals</c:v>
                </c:pt>
                <c:pt idx="22">
                  <c:v>Diversified</c:v>
                </c:pt>
                <c:pt idx="23">
                  <c:v>Petroleum Products</c:v>
                </c:pt>
                <c:pt idx="24">
                  <c:v>Realty</c:v>
                </c:pt>
                <c:pt idx="25">
                  <c:v>Industrial Manufacturing</c:v>
                </c:pt>
                <c:pt idx="26">
                  <c:v>Cigarettes &amp; Tobacco Products</c:v>
                </c:pt>
                <c:pt idx="27">
                  <c:v>Personal Products</c:v>
                </c:pt>
                <c:pt idx="28">
                  <c:v>Textiles &amp; Apparels</c:v>
                </c:pt>
                <c:pt idx="29">
                  <c:v>Insurance</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Telecom - Services</c:v>
                </c:pt>
                <c:pt idx="5">
                  <c:v>Ferrous Metals</c:v>
                </c:pt>
                <c:pt idx="6">
                  <c:v>Gas</c:v>
                </c:pt>
                <c:pt idx="7">
                  <c:v>Industrial Products</c:v>
                </c:pt>
                <c:pt idx="8">
                  <c:v>Aerospace &amp; Defense</c:v>
                </c:pt>
                <c:pt idx="9">
                  <c:v>Power</c:v>
                </c:pt>
                <c:pt idx="10">
                  <c:v>Transport Infrastructure</c:v>
                </c:pt>
                <c:pt idx="11">
                  <c:v>Realty</c:v>
                </c:pt>
                <c:pt idx="12">
                  <c:v>Non - Ferrous Metals</c:v>
                </c:pt>
                <c:pt idx="13">
                  <c:v>Petroleum Products</c:v>
                </c:pt>
                <c:pt idx="14">
                  <c:v>Paper, Forest &amp; Jute Products</c:v>
                </c:pt>
              </c:strCache>
            </c:strRef>
          </c:cat>
          <c:val>
            <c:numRef>
              <c:f>'IDFC IF'!$X$8:$X$22</c:f>
              <c:numCache>
                <c:formatCode>0.00%</c:formatCode>
                <c:ptCount val="15"/>
                <c:pt idx="0">
                  <c:v>0.27415600000000001</c:v>
                </c:pt>
                <c:pt idx="1">
                  <c:v>0.16158500000000001</c:v>
                </c:pt>
                <c:pt idx="2">
                  <c:v>0.117326</c:v>
                </c:pt>
                <c:pt idx="3">
                  <c:v>9.2378999999999989E-2</c:v>
                </c:pt>
                <c:pt idx="4">
                  <c:v>4.6854000000000007E-2</c:v>
                </c:pt>
                <c:pt idx="5">
                  <c:v>4.6393000000000004E-2</c:v>
                </c:pt>
                <c:pt idx="6">
                  <c:v>4.6322000000000002E-2</c:v>
                </c:pt>
                <c:pt idx="7">
                  <c:v>4.4579000000000001E-2</c:v>
                </c:pt>
                <c:pt idx="8">
                  <c:v>4.1453999999999998E-2</c:v>
                </c:pt>
                <c:pt idx="9">
                  <c:v>3.9261999999999998E-2</c:v>
                </c:pt>
                <c:pt idx="10">
                  <c:v>3.1508000000000001E-2</c:v>
                </c:pt>
                <c:pt idx="11">
                  <c:v>1.5723000000000001E-2</c:v>
                </c:pt>
                <c:pt idx="12">
                  <c:v>9.4260000000000004E-3</c:v>
                </c:pt>
                <c:pt idx="13">
                  <c:v>9.2720000000000007E-3</c:v>
                </c:pt>
                <c:pt idx="14">
                  <c:v>8.8679999999999991E-3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Automobiles</c:v>
                </c:pt>
                <c:pt idx="4">
                  <c:v>Finance</c:v>
                </c:pt>
                <c:pt idx="5">
                  <c:v>Chemicals &amp; Petrochemicals</c:v>
                </c:pt>
                <c:pt idx="6">
                  <c:v>Auto Components</c:v>
                </c:pt>
                <c:pt idx="7">
                  <c:v>Cement &amp; Cement Products</c:v>
                </c:pt>
                <c:pt idx="8">
                  <c:v>Petroleum Products</c:v>
                </c:pt>
                <c:pt idx="9">
                  <c:v>Electrical Equipment</c:v>
                </c:pt>
                <c:pt idx="10">
                  <c:v>Industrial Products</c:v>
                </c:pt>
                <c:pt idx="11">
                  <c:v>Leisure Services</c:v>
                </c:pt>
                <c:pt idx="12">
                  <c:v>Ferrous Metals</c:v>
                </c:pt>
                <c:pt idx="13">
                  <c:v>Consumer Durables</c:v>
                </c:pt>
                <c:pt idx="14">
                  <c:v>Construction</c:v>
                </c:pt>
                <c:pt idx="15">
                  <c:v>Telecom - Services</c:v>
                </c:pt>
                <c:pt idx="16">
                  <c:v>Transport Services</c:v>
                </c:pt>
                <c:pt idx="17">
                  <c:v>Beverages</c:v>
                </c:pt>
                <c:pt idx="18">
                  <c:v>Agricultural Food &amp; other Products</c:v>
                </c:pt>
                <c:pt idx="19">
                  <c:v>Insurance</c:v>
                </c:pt>
              </c:strCache>
            </c:strRef>
          </c:cat>
          <c:val>
            <c:numRef>
              <c:f>'IDFC-TAF'!$X$8:$X$27</c:f>
              <c:numCache>
                <c:formatCode>0.00%</c:formatCode>
                <c:ptCount val="20"/>
                <c:pt idx="0">
                  <c:v>0.21645200000000001</c:v>
                </c:pt>
                <c:pt idx="1">
                  <c:v>9.4903999999999988E-2</c:v>
                </c:pt>
                <c:pt idx="2">
                  <c:v>7.2249999999999995E-2</c:v>
                </c:pt>
                <c:pt idx="3">
                  <c:v>6.2384999999999996E-2</c:v>
                </c:pt>
                <c:pt idx="4">
                  <c:v>5.6225000000000004E-2</c:v>
                </c:pt>
                <c:pt idx="5">
                  <c:v>4.2625999999999997E-2</c:v>
                </c:pt>
                <c:pt idx="6">
                  <c:v>4.1266999999999998E-2</c:v>
                </c:pt>
                <c:pt idx="7">
                  <c:v>3.8474000000000001E-2</c:v>
                </c:pt>
                <c:pt idx="8">
                  <c:v>3.7671000000000003E-2</c:v>
                </c:pt>
                <c:pt idx="9">
                  <c:v>3.7636000000000003E-2</c:v>
                </c:pt>
                <c:pt idx="10">
                  <c:v>3.7443999999999998E-2</c:v>
                </c:pt>
                <c:pt idx="11">
                  <c:v>2.9714999999999998E-2</c:v>
                </c:pt>
                <c:pt idx="12">
                  <c:v>2.9488E-2</c:v>
                </c:pt>
                <c:pt idx="13">
                  <c:v>2.7832000000000003E-2</c:v>
                </c:pt>
                <c:pt idx="14">
                  <c:v>2.7765000000000001E-2</c:v>
                </c:pt>
                <c:pt idx="15">
                  <c:v>2.6412000000000001E-2</c:v>
                </c:pt>
                <c:pt idx="16">
                  <c:v>2.3807999999999999E-2</c:v>
                </c:pt>
                <c:pt idx="17">
                  <c:v>1.7916999999999999E-2</c:v>
                </c:pt>
                <c:pt idx="18">
                  <c:v>1.4715000000000001E-2</c:v>
                </c:pt>
                <c:pt idx="19">
                  <c:v>2.7520000000000001E-3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0.68230500000000005</c:v>
                </c:pt>
                <c:pt idx="1">
                  <c:v>0.31769499999999995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Finance</c:v>
                </c:pt>
                <c:pt idx="2">
                  <c:v>IT - Software</c:v>
                </c:pt>
                <c:pt idx="3">
                  <c:v>Automobiles</c:v>
                </c:pt>
                <c:pt idx="4">
                  <c:v>Retailing</c:v>
                </c:pt>
                <c:pt idx="5">
                  <c:v>Auto Components</c:v>
                </c:pt>
                <c:pt idx="6">
                  <c:v>Consumer Durables</c:v>
                </c:pt>
                <c:pt idx="7">
                  <c:v>Petroleum Products</c:v>
                </c:pt>
                <c:pt idx="8">
                  <c:v>Chemicals &amp; Petrochemicals</c:v>
                </c:pt>
                <c:pt idx="9">
                  <c:v>Pharmaceuticals &amp; Biotechnology</c:v>
                </c:pt>
                <c:pt idx="10">
                  <c:v>Cement &amp; Cement Products</c:v>
                </c:pt>
                <c:pt idx="11">
                  <c:v>Telecom - Services</c:v>
                </c:pt>
                <c:pt idx="12">
                  <c:v>Diversified FMCG</c:v>
                </c:pt>
                <c:pt idx="13">
                  <c:v>Electrical Equipment</c:v>
                </c:pt>
                <c:pt idx="14">
                  <c:v>Industrial Products</c:v>
                </c:pt>
                <c:pt idx="15">
                  <c:v>Personal Products</c:v>
                </c:pt>
              </c:strCache>
            </c:strRef>
          </c:cat>
          <c:val>
            <c:numRef>
              <c:f>'IDFC BAF'!$X$8:$X$23</c:f>
              <c:numCache>
                <c:formatCode>0.00%</c:formatCode>
                <c:ptCount val="16"/>
                <c:pt idx="0">
                  <c:v>0.11409300000000001</c:v>
                </c:pt>
                <c:pt idx="1">
                  <c:v>7.7796999999999991E-2</c:v>
                </c:pt>
                <c:pt idx="2">
                  <c:v>7.1252999999999997E-2</c:v>
                </c:pt>
                <c:pt idx="3">
                  <c:v>3.2065999999999997E-2</c:v>
                </c:pt>
                <c:pt idx="4">
                  <c:v>2.9748000000000004E-2</c:v>
                </c:pt>
                <c:pt idx="5">
                  <c:v>2.7862999999999999E-2</c:v>
                </c:pt>
                <c:pt idx="6">
                  <c:v>2.6615E-2</c:v>
                </c:pt>
                <c:pt idx="7">
                  <c:v>2.5463000000000003E-2</c:v>
                </c:pt>
                <c:pt idx="8">
                  <c:v>2.2198999999999997E-2</c:v>
                </c:pt>
                <c:pt idx="9">
                  <c:v>1.9921999999999995E-2</c:v>
                </c:pt>
                <c:pt idx="10">
                  <c:v>1.8828999999999999E-2</c:v>
                </c:pt>
                <c:pt idx="11">
                  <c:v>1.7080999999999995E-2</c:v>
                </c:pt>
                <c:pt idx="12">
                  <c:v>1.6232999999999997E-2</c:v>
                </c:pt>
                <c:pt idx="13">
                  <c:v>1.4918000000000001E-2</c:v>
                </c:pt>
                <c:pt idx="14">
                  <c:v>1.3794000000000001E-2</c:v>
                </c:pt>
                <c:pt idx="15">
                  <c:v>1.0524E-2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Finance</c:v>
                </c:pt>
                <c:pt idx="2">
                  <c:v>IT - Software</c:v>
                </c:pt>
                <c:pt idx="3">
                  <c:v>Automobiles</c:v>
                </c:pt>
                <c:pt idx="4">
                  <c:v>Retailing</c:v>
                </c:pt>
                <c:pt idx="5">
                  <c:v>Auto Components</c:v>
                </c:pt>
                <c:pt idx="6">
                  <c:v>Consumer Durables</c:v>
                </c:pt>
                <c:pt idx="7">
                  <c:v>Petroleum Products</c:v>
                </c:pt>
                <c:pt idx="8">
                  <c:v>Chemicals &amp; Petrochemicals</c:v>
                </c:pt>
                <c:pt idx="9">
                  <c:v>Pharmaceuticals &amp; Biotechnology</c:v>
                </c:pt>
                <c:pt idx="10">
                  <c:v>Cement &amp; Cement Products</c:v>
                </c:pt>
                <c:pt idx="11">
                  <c:v>Telecom - Services</c:v>
                </c:pt>
                <c:pt idx="12">
                  <c:v>Diversified FMCG</c:v>
                </c:pt>
                <c:pt idx="13">
                  <c:v>Electrical Equipment</c:v>
                </c:pt>
                <c:pt idx="14">
                  <c:v>Industrial Products</c:v>
                </c:pt>
                <c:pt idx="15">
                  <c:v>Personal Products</c:v>
                </c:pt>
                <c:pt idx="16">
                  <c:v>Beverages</c:v>
                </c:pt>
              </c:strCache>
            </c:strRef>
          </c:cat>
          <c:val>
            <c:numRef>
              <c:f>'IDFC BAF'!$X$8:$X$24</c:f>
              <c:numCache>
                <c:formatCode>0.00%</c:formatCode>
                <c:ptCount val="17"/>
                <c:pt idx="0">
                  <c:v>0.11409300000000001</c:v>
                </c:pt>
                <c:pt idx="1">
                  <c:v>7.7796999999999991E-2</c:v>
                </c:pt>
                <c:pt idx="2">
                  <c:v>7.1252999999999997E-2</c:v>
                </c:pt>
                <c:pt idx="3">
                  <c:v>3.2065999999999997E-2</c:v>
                </c:pt>
                <c:pt idx="4">
                  <c:v>2.9748000000000004E-2</c:v>
                </c:pt>
                <c:pt idx="5">
                  <c:v>2.7862999999999999E-2</c:v>
                </c:pt>
                <c:pt idx="6">
                  <c:v>2.6615E-2</c:v>
                </c:pt>
                <c:pt idx="7">
                  <c:v>2.5463000000000003E-2</c:v>
                </c:pt>
                <c:pt idx="8">
                  <c:v>2.2198999999999997E-2</c:v>
                </c:pt>
                <c:pt idx="9">
                  <c:v>1.9921999999999995E-2</c:v>
                </c:pt>
                <c:pt idx="10">
                  <c:v>1.8828999999999999E-2</c:v>
                </c:pt>
                <c:pt idx="11">
                  <c:v>1.7080999999999995E-2</c:v>
                </c:pt>
                <c:pt idx="12">
                  <c:v>1.6232999999999997E-2</c:v>
                </c:pt>
                <c:pt idx="13">
                  <c:v>1.4918000000000001E-2</c:v>
                </c:pt>
                <c:pt idx="14">
                  <c:v>1.3794000000000001E-2</c:v>
                </c:pt>
                <c:pt idx="15">
                  <c:v>1.0524E-2</c:v>
                </c:pt>
                <c:pt idx="16">
                  <c:v>1.0223000000000001E-2</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BAF'!$W$8:$W$29</c:f>
              <c:strCache>
                <c:ptCount val="22"/>
                <c:pt idx="0">
                  <c:v>Banks</c:v>
                </c:pt>
                <c:pt idx="1">
                  <c:v>Finance</c:v>
                </c:pt>
                <c:pt idx="2">
                  <c:v>IT - Software</c:v>
                </c:pt>
                <c:pt idx="3">
                  <c:v>Automobiles</c:v>
                </c:pt>
                <c:pt idx="4">
                  <c:v>Retailing</c:v>
                </c:pt>
                <c:pt idx="5">
                  <c:v>Auto Components</c:v>
                </c:pt>
                <c:pt idx="6">
                  <c:v>Consumer Durables</c:v>
                </c:pt>
                <c:pt idx="7">
                  <c:v>Petroleum Products</c:v>
                </c:pt>
                <c:pt idx="8">
                  <c:v>Chemicals &amp; Petrochemicals</c:v>
                </c:pt>
                <c:pt idx="9">
                  <c:v>Pharmaceuticals &amp; Biotechnology</c:v>
                </c:pt>
                <c:pt idx="10">
                  <c:v>Cement &amp; Cement Products</c:v>
                </c:pt>
                <c:pt idx="11">
                  <c:v>Telecom - Services</c:v>
                </c:pt>
                <c:pt idx="12">
                  <c:v>Diversified FMCG</c:v>
                </c:pt>
                <c:pt idx="13">
                  <c:v>Electrical Equipment</c:v>
                </c:pt>
                <c:pt idx="14">
                  <c:v>Industrial Products</c:v>
                </c:pt>
                <c:pt idx="15">
                  <c:v>Personal Products</c:v>
                </c:pt>
                <c:pt idx="16">
                  <c:v>Beverages</c:v>
                </c:pt>
                <c:pt idx="17">
                  <c:v>Healthcare Services</c:v>
                </c:pt>
                <c:pt idx="18">
                  <c:v>Paper, Forest &amp; Jute Products</c:v>
                </c:pt>
                <c:pt idx="19">
                  <c:v>Food Products</c:v>
                </c:pt>
                <c:pt idx="20">
                  <c:v>Fertilizers &amp; Agrochemicals</c:v>
                </c:pt>
                <c:pt idx="21">
                  <c:v>Aerospace &amp; Defense</c:v>
                </c:pt>
              </c:strCache>
            </c:strRef>
          </c:cat>
          <c:val>
            <c:numRef>
              <c:f>'IDFC BAF'!$X$8:$X$29</c:f>
              <c:numCache>
                <c:formatCode>0.00%</c:formatCode>
                <c:ptCount val="22"/>
                <c:pt idx="0">
                  <c:v>0.11409300000000001</c:v>
                </c:pt>
                <c:pt idx="1">
                  <c:v>7.7796999999999991E-2</c:v>
                </c:pt>
                <c:pt idx="2">
                  <c:v>7.1252999999999997E-2</c:v>
                </c:pt>
                <c:pt idx="3">
                  <c:v>3.2065999999999997E-2</c:v>
                </c:pt>
                <c:pt idx="4">
                  <c:v>2.9748000000000004E-2</c:v>
                </c:pt>
                <c:pt idx="5">
                  <c:v>2.7862999999999999E-2</c:v>
                </c:pt>
                <c:pt idx="6">
                  <c:v>2.6615E-2</c:v>
                </c:pt>
                <c:pt idx="7">
                  <c:v>2.5463000000000003E-2</c:v>
                </c:pt>
                <c:pt idx="8">
                  <c:v>2.2198999999999997E-2</c:v>
                </c:pt>
                <c:pt idx="9">
                  <c:v>1.9921999999999995E-2</c:v>
                </c:pt>
                <c:pt idx="10">
                  <c:v>1.8828999999999999E-2</c:v>
                </c:pt>
                <c:pt idx="11">
                  <c:v>1.7080999999999995E-2</c:v>
                </c:pt>
                <c:pt idx="12">
                  <c:v>1.6232999999999997E-2</c:v>
                </c:pt>
                <c:pt idx="13">
                  <c:v>1.4918000000000001E-2</c:v>
                </c:pt>
                <c:pt idx="14">
                  <c:v>1.3794000000000001E-2</c:v>
                </c:pt>
                <c:pt idx="15">
                  <c:v>1.0524E-2</c:v>
                </c:pt>
                <c:pt idx="16">
                  <c:v>1.0223000000000001E-2</c:v>
                </c:pt>
                <c:pt idx="17">
                  <c:v>9.3880000000000005E-3</c:v>
                </c:pt>
                <c:pt idx="18">
                  <c:v>5.47E-3</c:v>
                </c:pt>
                <c:pt idx="19">
                  <c:v>4.908E-3</c:v>
                </c:pt>
                <c:pt idx="20">
                  <c:v>4.359E-3</c:v>
                </c:pt>
                <c:pt idx="21">
                  <c:v>1.0070000000000001E-3</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0.20685799999999999</c:v>
                </c:pt>
                <c:pt idx="1">
                  <c:v>0.17048000000000002</c:v>
                </c:pt>
                <c:pt idx="2">
                  <c:v>0.51717400000000002</c:v>
                </c:pt>
                <c:pt idx="3">
                  <c:v>2.938E-2</c:v>
                </c:pt>
                <c:pt idx="4">
                  <c:v>7.6107999999999995E-2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0566246090403276"/>
                  <c:y val="7.501083837013040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126833242249291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Zero Coupon Bond</c:v>
                </c:pt>
                <c:pt idx="3">
                  <c:v>Net Current Asset</c:v>
                </c:pt>
                <c:pt idx="4">
                  <c:v>Government Bond</c:v>
                </c:pt>
                <c:pt idx="5">
                  <c:v>State Government Bond</c:v>
                </c:pt>
              </c:strCache>
            </c:strRef>
          </c:cat>
          <c:val>
            <c:numRef>
              <c:f>'IDFC-RSF'!$K$9:$K$14</c:f>
              <c:numCache>
                <c:formatCode>0.00%</c:formatCode>
                <c:ptCount val="6"/>
                <c:pt idx="0">
                  <c:v>6.1259000000000001E-2</c:v>
                </c:pt>
                <c:pt idx="1">
                  <c:v>0.237121</c:v>
                </c:pt>
                <c:pt idx="2">
                  <c:v>0</c:v>
                </c:pt>
                <c:pt idx="3">
                  <c:v>0.274422</c:v>
                </c:pt>
                <c:pt idx="4">
                  <c:v>0.36752500000000005</c:v>
                </c:pt>
                <c:pt idx="5">
                  <c:v>5.9672999999999997E-2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497391191647316"/>
          <c:y val="0.31507965798753984"/>
          <c:w val="0.89502608808352679"/>
          <c:h val="0.61676865851891904"/>
        </c:manualLayout>
      </c:layout>
      <c:pie3DChart>
        <c:varyColors val="1"/>
        <c:ser>
          <c:idx val="0"/>
          <c:order val="0"/>
          <c:dLbls>
            <c:dLbl>
              <c:idx val="0"/>
              <c:layout>
                <c:manualLayout>
                  <c:x val="-1.2854795595165301E-2"/>
                  <c:y val="9.7447097762570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6E-426F-844D-C17907546440}"/>
                </c:ext>
              </c:extLst>
            </c:dLbl>
            <c:dLbl>
              <c:idx val="1"/>
              <c:layout>
                <c:manualLayout>
                  <c:x val="-5.0042691467845075E-2"/>
                  <c:y val="1.67215920198843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6E-426F-844D-C17907546440}"/>
                </c:ext>
              </c:extLst>
            </c:dLbl>
            <c:dLbl>
              <c:idx val="2"/>
              <c:layout>
                <c:manualLayout>
                  <c:x val="-7.9821872399106347E-2"/>
                  <c:y val="-9.77991496405644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C-4C6F-9911-263F6934A3C7}"/>
                </c:ext>
              </c:extLst>
            </c:dLbl>
            <c:dLbl>
              <c:idx val="3"/>
              <c:layout>
                <c:manualLayout>
                  <c:x val="4.2049796910166103E-2"/>
                  <c:y val="-7.6187476566371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60-4CFB-BA54-A723B592659D}"/>
                </c:ext>
              </c:extLst>
            </c:dLbl>
            <c:dLbl>
              <c:idx val="4"/>
              <c:delete val="1"/>
              <c:extLst>
                <c:ext xmlns:c15="http://schemas.microsoft.com/office/drawing/2012/chart" uri="{CE6537A1-D6FC-4f65-9D91-7224C49458BB}"/>
                <c:ext xmlns:c16="http://schemas.microsoft.com/office/drawing/2014/chart" uri="{C3380CC4-5D6E-409C-BE32-E72D297353CC}">
                  <c16:uniqueId val="{00000004-BD6E-426F-844D-C17907546440}"/>
                </c:ext>
              </c:extLst>
            </c:dLbl>
            <c:dLbl>
              <c:idx val="5"/>
              <c:layout>
                <c:manualLayout>
                  <c:x val="6.6823507652176553E-2"/>
                  <c:y val="-4.318335598622116E-2"/>
                </c:manualLayout>
              </c:layout>
              <c:showLegendKey val="0"/>
              <c:showVal val="1"/>
              <c:showCatName val="1"/>
              <c:showSerName val="0"/>
              <c:showPercent val="0"/>
              <c:showBubbleSize val="0"/>
              <c:extLst>
                <c:ext xmlns:c15="http://schemas.microsoft.com/office/drawing/2012/chart" uri="{CE6537A1-D6FC-4f65-9D91-7224C49458BB}">
                  <c15:layout>
                    <c:manualLayout>
                      <c:w val="0.15693399524374796"/>
                      <c:h val="0.17170712846440772"/>
                    </c:manualLayout>
                  </c15:layout>
                </c:ext>
                <c:ext xmlns:c16="http://schemas.microsoft.com/office/drawing/2014/chart" uri="{C3380CC4-5D6E-409C-BE32-E72D297353CC}">
                  <c16:uniqueId val="{00000005-BD6E-426F-844D-C17907546440}"/>
                </c:ext>
              </c:extLst>
            </c:dLbl>
            <c:dLbl>
              <c:idx val="6"/>
              <c:layout>
                <c:manualLayout>
                  <c:x val="0.25365173488399162"/>
                  <c:y val="1.0539265126436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6E-426F-844D-C17907546440}"/>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'IDFC-HEF'!$J$9:$J$13</c:f>
              <c:strCache>
                <c:ptCount val="4"/>
                <c:pt idx="0">
                  <c:v>Equity</c:v>
                </c:pt>
                <c:pt idx="1">
                  <c:v>Government Bond</c:v>
                </c:pt>
                <c:pt idx="2">
                  <c:v>Net Current Asset</c:v>
                </c:pt>
                <c:pt idx="3">
                  <c:v>Corporate bond</c:v>
                </c:pt>
              </c:strCache>
            </c:strRef>
          </c:cat>
          <c:val>
            <c:numRef>
              <c:f>'IDFC-HEF'!$K$9:$K$13</c:f>
              <c:numCache>
                <c:formatCode>0.00%</c:formatCode>
                <c:ptCount val="5"/>
                <c:pt idx="0">
                  <c:v>0.76674000000000009</c:v>
                </c:pt>
                <c:pt idx="1">
                  <c:v>7.3367000000000002E-2</c:v>
                </c:pt>
                <c:pt idx="2">
                  <c:v>4.7793999999999996E-2</c:v>
                </c:pt>
                <c:pt idx="3">
                  <c:v>0.112099</c:v>
                </c:pt>
              </c:numCache>
            </c:numRef>
          </c:val>
          <c:extLst>
            <c:ext xmlns:c16="http://schemas.microsoft.com/office/drawing/2014/chart" uri="{C3380CC4-5D6E-409C-BE32-E72D297353CC}">
              <c16:uniqueId val="{00000008-BD6E-426F-844D-C17907546440}"/>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0.26305899999999999</c:v>
                </c:pt>
                <c:pt idx="1">
                  <c:v>0.73230700000000004</c:v>
                </c:pt>
                <c:pt idx="2">
                  <c:v>4.634000000000001E-3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0.48128199999999999</c:v>
                </c:pt>
                <c:pt idx="1">
                  <c:v>0.48241499999999993</c:v>
                </c:pt>
                <c:pt idx="2">
                  <c:v>3.6303000000000002E-2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0.67830000000000001</c:v>
                </c:pt>
                <c:pt idx="1">
                  <c:v>0.27685700000000002</c:v>
                </c:pt>
                <c:pt idx="2">
                  <c:v>4.4842999999999994E-2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Index'!$W$8:$W$29</c:f>
              <c:strCache>
                <c:ptCount val="22"/>
                <c:pt idx="0">
                  <c:v>Banks</c:v>
                </c:pt>
                <c:pt idx="1">
                  <c:v>IT - Software</c:v>
                </c:pt>
                <c:pt idx="2">
                  <c:v>Petroleum Products</c:v>
                </c:pt>
                <c:pt idx="3">
                  <c:v>Finance</c:v>
                </c:pt>
                <c:pt idx="4">
                  <c:v>Diversified FMCG</c:v>
                </c:pt>
                <c:pt idx="5">
                  <c:v>Automobiles</c:v>
                </c:pt>
                <c:pt idx="6">
                  <c:v>Consumer Durables</c:v>
                </c:pt>
                <c:pt idx="7">
                  <c:v>Pharmaceuticals &amp; Biotechnology</c:v>
                </c:pt>
                <c:pt idx="8">
                  <c:v>Construction</c:v>
                </c:pt>
                <c:pt idx="9">
                  <c:v>Telecom - Services</c:v>
                </c:pt>
                <c:pt idx="10">
                  <c:v>Cement &amp; Cement Products</c:v>
                </c:pt>
                <c:pt idx="11">
                  <c:v>Power</c:v>
                </c:pt>
                <c:pt idx="12">
                  <c:v>Ferrous Metals</c:v>
                </c:pt>
                <c:pt idx="13">
                  <c:v>Food Products</c:v>
                </c:pt>
                <c:pt idx="14">
                  <c:v>Insurance</c:v>
                </c:pt>
                <c:pt idx="15">
                  <c:v>Non - Ferrous Metals</c:v>
                </c:pt>
                <c:pt idx="16">
                  <c:v>Transport Infrastructure</c:v>
                </c:pt>
                <c:pt idx="17">
                  <c:v>Oil</c:v>
                </c:pt>
                <c:pt idx="18">
                  <c:v>Consumable Fuels</c:v>
                </c:pt>
                <c:pt idx="19">
                  <c:v>Agricultural Food &amp; other Products</c:v>
                </c:pt>
                <c:pt idx="20">
                  <c:v>Healthcare Services</c:v>
                </c:pt>
                <c:pt idx="21">
                  <c:v>Fertilizers &amp; Agrochemicals</c:v>
                </c:pt>
              </c:strCache>
            </c:strRef>
          </c:cat>
          <c:val>
            <c:numRef>
              <c:f>'IDFC-NIFTY 50 Index'!$X$8:$X$29</c:f>
              <c:numCache>
                <c:formatCode>0.00%</c:formatCode>
                <c:ptCount val="22"/>
                <c:pt idx="0">
                  <c:v>0.25946799999999998</c:v>
                </c:pt>
                <c:pt idx="1">
                  <c:v>0.14186700000000002</c:v>
                </c:pt>
                <c:pt idx="2">
                  <c:v>0.12057999999999999</c:v>
                </c:pt>
                <c:pt idx="3">
                  <c:v>9.4842999999999997E-2</c:v>
                </c:pt>
                <c:pt idx="4">
                  <c:v>6.6359000000000001E-2</c:v>
                </c:pt>
                <c:pt idx="5">
                  <c:v>5.9889000000000005E-2</c:v>
                </c:pt>
                <c:pt idx="6">
                  <c:v>3.3461999999999999E-2</c:v>
                </c:pt>
                <c:pt idx="7">
                  <c:v>3.2049000000000001E-2</c:v>
                </c:pt>
                <c:pt idx="8">
                  <c:v>2.9774999999999999E-2</c:v>
                </c:pt>
                <c:pt idx="9">
                  <c:v>2.2497E-2</c:v>
                </c:pt>
                <c:pt idx="10">
                  <c:v>2.1715999999999999E-2</c:v>
                </c:pt>
                <c:pt idx="11">
                  <c:v>2.0018000000000001E-2</c:v>
                </c:pt>
                <c:pt idx="12">
                  <c:v>1.9451000000000003E-2</c:v>
                </c:pt>
                <c:pt idx="13">
                  <c:v>1.4777E-2</c:v>
                </c:pt>
                <c:pt idx="14">
                  <c:v>1.4513999999999999E-2</c:v>
                </c:pt>
                <c:pt idx="15">
                  <c:v>8.2109999999999995E-3</c:v>
                </c:pt>
                <c:pt idx="16">
                  <c:v>7.7499999999999999E-3</c:v>
                </c:pt>
                <c:pt idx="17">
                  <c:v>6.9280000000000001E-3</c:v>
                </c:pt>
                <c:pt idx="18">
                  <c:v>6.2969999999999996E-3</c:v>
                </c:pt>
                <c:pt idx="19">
                  <c:v>6.2170000000000003E-3</c:v>
                </c:pt>
                <c:pt idx="20">
                  <c:v>5.6499999999999996E-3</c:v>
                </c:pt>
                <c:pt idx="21">
                  <c:v>5.3249999999999999E-3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Consumer Durables</c:v>
                </c:pt>
                <c:pt idx="6">
                  <c:v>Automobiles</c:v>
                </c:pt>
                <c:pt idx="7">
                  <c:v>Construction</c:v>
                </c:pt>
                <c:pt idx="8">
                  <c:v>Telecom - Services</c:v>
                </c:pt>
                <c:pt idx="9">
                  <c:v>Power</c:v>
                </c:pt>
                <c:pt idx="10">
                  <c:v>Pharmaceuticals &amp; Biotechnology</c:v>
                </c:pt>
                <c:pt idx="11">
                  <c:v>Ferrous Metals</c:v>
                </c:pt>
                <c:pt idx="12">
                  <c:v>Cement &amp; Cement Products</c:v>
                </c:pt>
                <c:pt idx="13">
                  <c:v>Food Products</c:v>
                </c:pt>
              </c:strCache>
            </c:strRef>
          </c:cat>
          <c:val>
            <c:numRef>
              <c:f>'IDFC- S&amp;P BSE SENSEX ETF'!$X$8:$X$21</c:f>
              <c:numCache>
                <c:formatCode>0.00%</c:formatCode>
                <c:ptCount val="14"/>
                <c:pt idx="0">
                  <c:v>0.29697800000000002</c:v>
                </c:pt>
                <c:pt idx="1">
                  <c:v>0.16372</c:v>
                </c:pt>
                <c:pt idx="2">
                  <c:v>0.133633</c:v>
                </c:pt>
                <c:pt idx="3">
                  <c:v>0.109345</c:v>
                </c:pt>
                <c:pt idx="4">
                  <c:v>7.6605000000000006E-2</c:v>
                </c:pt>
                <c:pt idx="5">
                  <c:v>3.8642999999999997E-2</c:v>
                </c:pt>
                <c:pt idx="6">
                  <c:v>3.6679000000000003E-2</c:v>
                </c:pt>
                <c:pt idx="7">
                  <c:v>3.4345000000000001E-2</c:v>
                </c:pt>
                <c:pt idx="8">
                  <c:v>2.5631000000000001E-2</c:v>
                </c:pt>
                <c:pt idx="9">
                  <c:v>2.2998999999999999E-2</c:v>
                </c:pt>
                <c:pt idx="10">
                  <c:v>2.1436E-2</c:v>
                </c:pt>
                <c:pt idx="11">
                  <c:v>1.2839E-2</c:v>
                </c:pt>
                <c:pt idx="12">
                  <c:v>1.1041E-2</c:v>
                </c:pt>
                <c:pt idx="13">
                  <c:v>9.2350000000000002E-3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ETF'!$W$8:$W$29</c:f>
              <c:strCache>
                <c:ptCount val="22"/>
                <c:pt idx="0">
                  <c:v>Banks</c:v>
                </c:pt>
                <c:pt idx="1">
                  <c:v>IT - Software</c:v>
                </c:pt>
                <c:pt idx="2">
                  <c:v>Petroleum Products</c:v>
                </c:pt>
                <c:pt idx="3">
                  <c:v>Finance</c:v>
                </c:pt>
                <c:pt idx="4">
                  <c:v>Diversified FMCG</c:v>
                </c:pt>
                <c:pt idx="5">
                  <c:v>Automobiles</c:v>
                </c:pt>
                <c:pt idx="6">
                  <c:v>Consumer Durables</c:v>
                </c:pt>
                <c:pt idx="7">
                  <c:v>Pharmaceuticals &amp; Biotechnology</c:v>
                </c:pt>
                <c:pt idx="8">
                  <c:v>Construction</c:v>
                </c:pt>
                <c:pt idx="9">
                  <c:v>Telecom - Services</c:v>
                </c:pt>
                <c:pt idx="10">
                  <c:v>Cement &amp; Cement Products</c:v>
                </c:pt>
                <c:pt idx="11">
                  <c:v>Power</c:v>
                </c:pt>
                <c:pt idx="12">
                  <c:v>Ferrous Metals</c:v>
                </c:pt>
                <c:pt idx="13">
                  <c:v>Food Products</c:v>
                </c:pt>
                <c:pt idx="14">
                  <c:v>Insurance</c:v>
                </c:pt>
                <c:pt idx="15">
                  <c:v>Non - Ferrous Metals</c:v>
                </c:pt>
                <c:pt idx="16">
                  <c:v>Transport Infrastructure</c:v>
                </c:pt>
                <c:pt idx="17">
                  <c:v>Oil</c:v>
                </c:pt>
                <c:pt idx="18">
                  <c:v>Consumable Fuels</c:v>
                </c:pt>
                <c:pt idx="19">
                  <c:v>Agricultural Food &amp; other Products</c:v>
                </c:pt>
                <c:pt idx="20">
                  <c:v>Healthcare Services</c:v>
                </c:pt>
                <c:pt idx="21">
                  <c:v>Fertilizers &amp; Agrochemicals</c:v>
                </c:pt>
              </c:strCache>
            </c:strRef>
          </c:cat>
          <c:val>
            <c:numRef>
              <c:f>'IDFC- Nifty 50 ETF'!$X$8:$X$29</c:f>
              <c:numCache>
                <c:formatCode>0.00%</c:formatCode>
                <c:ptCount val="22"/>
                <c:pt idx="0">
                  <c:v>0.26074399999999998</c:v>
                </c:pt>
                <c:pt idx="1">
                  <c:v>0.141817</c:v>
                </c:pt>
                <c:pt idx="2">
                  <c:v>0.119475</c:v>
                </c:pt>
                <c:pt idx="3">
                  <c:v>9.5687999999999995E-2</c:v>
                </c:pt>
                <c:pt idx="4">
                  <c:v>6.6252999999999992E-2</c:v>
                </c:pt>
                <c:pt idx="5">
                  <c:v>6.0173999999999998E-2</c:v>
                </c:pt>
                <c:pt idx="6">
                  <c:v>3.3466999999999997E-2</c:v>
                </c:pt>
                <c:pt idx="7">
                  <c:v>3.1653000000000001E-2</c:v>
                </c:pt>
                <c:pt idx="8">
                  <c:v>2.9624999999999999E-2</c:v>
                </c:pt>
                <c:pt idx="9">
                  <c:v>2.2179999999999998E-2</c:v>
                </c:pt>
                <c:pt idx="10">
                  <c:v>2.1582999999999998E-2</c:v>
                </c:pt>
                <c:pt idx="11">
                  <c:v>1.9931999999999998E-2</c:v>
                </c:pt>
                <c:pt idx="12">
                  <c:v>1.9583E-2</c:v>
                </c:pt>
                <c:pt idx="13">
                  <c:v>1.4565999999999999E-2</c:v>
                </c:pt>
                <c:pt idx="14">
                  <c:v>1.4457000000000001E-2</c:v>
                </c:pt>
                <c:pt idx="15">
                  <c:v>8.2500000000000004E-3</c:v>
                </c:pt>
                <c:pt idx="16">
                  <c:v>7.6759999999999997E-3</c:v>
                </c:pt>
                <c:pt idx="17">
                  <c:v>6.9179999999999997E-3</c:v>
                </c:pt>
                <c:pt idx="18">
                  <c:v>6.2550000000000001E-3</c:v>
                </c:pt>
                <c:pt idx="19">
                  <c:v>6.1040000000000001E-3</c:v>
                </c:pt>
                <c:pt idx="20">
                  <c:v>5.5979999999999997E-3</c:v>
                </c:pt>
                <c:pt idx="21">
                  <c:v>5.2839999999999996E-3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Index'!$W$8:$W$43</c:f>
              <c:strCache>
                <c:ptCount val="36"/>
                <c:pt idx="0">
                  <c:v>Banks</c:v>
                </c:pt>
                <c:pt idx="1">
                  <c:v>IT - Software</c:v>
                </c:pt>
                <c:pt idx="2">
                  <c:v>Petroleum Products</c:v>
                </c:pt>
                <c:pt idx="3">
                  <c:v>Finance</c:v>
                </c:pt>
                <c:pt idx="4">
                  <c:v>Diversified FMCG</c:v>
                </c:pt>
                <c:pt idx="5">
                  <c:v>Automobiles</c:v>
                </c:pt>
                <c:pt idx="6">
                  <c:v>Power</c:v>
                </c:pt>
                <c:pt idx="7">
                  <c:v>Pharmaceuticals &amp; Biotechnology</c:v>
                </c:pt>
                <c:pt idx="8">
                  <c:v>Consumer Durables</c:v>
                </c:pt>
                <c:pt idx="9">
                  <c:v>Construction</c:v>
                </c:pt>
                <c:pt idx="10">
                  <c:v>Cement &amp; Cement Products</c:v>
                </c:pt>
                <c:pt idx="11">
                  <c:v>Telecom - Services</c:v>
                </c:pt>
                <c:pt idx="12">
                  <c:v>Insurance</c:v>
                </c:pt>
                <c:pt idx="13">
                  <c:v>Ferrous Metals</c:v>
                </c:pt>
                <c:pt idx="14">
                  <c:v>Personal Products</c:v>
                </c:pt>
                <c:pt idx="15">
                  <c:v>Retailing</c:v>
                </c:pt>
                <c:pt idx="16">
                  <c:v>Food Products</c:v>
                </c:pt>
                <c:pt idx="17">
                  <c:v>Metals &amp; Minerals Trading</c:v>
                </c:pt>
                <c:pt idx="18">
                  <c:v>Chemicals &amp; Petrochemicals</c:v>
                </c:pt>
                <c:pt idx="19">
                  <c:v>Fertilizers &amp; Agrochemicals</c:v>
                </c:pt>
                <c:pt idx="20">
                  <c:v>Non - Ferrous Metals</c:v>
                </c:pt>
                <c:pt idx="21">
                  <c:v>Transport Infrastructure</c:v>
                </c:pt>
                <c:pt idx="22">
                  <c:v>Oil</c:v>
                </c:pt>
                <c:pt idx="23">
                  <c:v>Consumable Fuels</c:v>
                </c:pt>
                <c:pt idx="24">
                  <c:v>Agricultural Food &amp; other Products</c:v>
                </c:pt>
                <c:pt idx="25">
                  <c:v>Healthcare Services</c:v>
                </c:pt>
                <c:pt idx="26">
                  <c:v>Diversified Metals</c:v>
                </c:pt>
                <c:pt idx="27">
                  <c:v>Electrical Equipment</c:v>
                </c:pt>
                <c:pt idx="28">
                  <c:v>Gas</c:v>
                </c:pt>
                <c:pt idx="29">
                  <c:v>Beverages</c:v>
                </c:pt>
                <c:pt idx="30">
                  <c:v>Realty</c:v>
                </c:pt>
                <c:pt idx="31">
                  <c:v>Leisure Services</c:v>
                </c:pt>
                <c:pt idx="32">
                  <c:v>Transport Services</c:v>
                </c:pt>
                <c:pt idx="33">
                  <c:v>Auto Components</c:v>
                </c:pt>
                <c:pt idx="34">
                  <c:v>Capital Markets</c:v>
                </c:pt>
                <c:pt idx="35">
                  <c:v>Financial Technology (Fintech)</c:v>
                </c:pt>
              </c:strCache>
            </c:strRef>
          </c:cat>
          <c:val>
            <c:numRef>
              <c:f>'IDFC-Nifty 100 Index'!$X$8:$X$43</c:f>
              <c:numCache>
                <c:formatCode>0.00%</c:formatCode>
                <c:ptCount val="36"/>
                <c:pt idx="0">
                  <c:v>0.22738599999999998</c:v>
                </c:pt>
                <c:pt idx="1">
                  <c:v>0.12584399999999998</c:v>
                </c:pt>
                <c:pt idx="2">
                  <c:v>0.105985</c:v>
                </c:pt>
                <c:pt idx="3">
                  <c:v>9.0980000000000005E-2</c:v>
                </c:pt>
                <c:pt idx="4">
                  <c:v>5.6647000000000003E-2</c:v>
                </c:pt>
                <c:pt idx="5">
                  <c:v>5.1175999999999999E-2</c:v>
                </c:pt>
                <c:pt idx="6">
                  <c:v>4.2888000000000003E-2</c:v>
                </c:pt>
                <c:pt idx="7">
                  <c:v>3.4759000000000005E-2</c:v>
                </c:pt>
                <c:pt idx="8">
                  <c:v>3.4210000000000004E-2</c:v>
                </c:pt>
                <c:pt idx="9">
                  <c:v>2.5391E-2</c:v>
                </c:pt>
                <c:pt idx="10">
                  <c:v>2.3952000000000001E-2</c:v>
                </c:pt>
                <c:pt idx="11">
                  <c:v>2.1066000000000001E-2</c:v>
                </c:pt>
                <c:pt idx="12">
                  <c:v>1.993E-2</c:v>
                </c:pt>
                <c:pt idx="13">
                  <c:v>1.7898000000000001E-2</c:v>
                </c:pt>
                <c:pt idx="14">
                  <c:v>1.4435999999999999E-2</c:v>
                </c:pt>
                <c:pt idx="15">
                  <c:v>1.2933E-2</c:v>
                </c:pt>
                <c:pt idx="16">
                  <c:v>1.2192999999999999E-2</c:v>
                </c:pt>
                <c:pt idx="17">
                  <c:v>9.5829999999999995E-3</c:v>
                </c:pt>
                <c:pt idx="18">
                  <c:v>8.6150000000000011E-3</c:v>
                </c:pt>
                <c:pt idx="19">
                  <c:v>7.5690000000000002E-3</c:v>
                </c:pt>
                <c:pt idx="20">
                  <c:v>7.0020000000000004E-3</c:v>
                </c:pt>
                <c:pt idx="21">
                  <c:v>6.6080000000000002E-3</c:v>
                </c:pt>
                <c:pt idx="22">
                  <c:v>5.9160000000000003E-3</c:v>
                </c:pt>
                <c:pt idx="23">
                  <c:v>5.398E-3</c:v>
                </c:pt>
                <c:pt idx="24">
                  <c:v>5.2940000000000001E-3</c:v>
                </c:pt>
                <c:pt idx="25">
                  <c:v>4.836E-3</c:v>
                </c:pt>
                <c:pt idx="26">
                  <c:v>3.3029999999999999E-3</c:v>
                </c:pt>
                <c:pt idx="27">
                  <c:v>2.8110000000000001E-3</c:v>
                </c:pt>
                <c:pt idx="28">
                  <c:v>2.7130000000000001E-3</c:v>
                </c:pt>
                <c:pt idx="29">
                  <c:v>2.6419999999999998E-3</c:v>
                </c:pt>
                <c:pt idx="30">
                  <c:v>2.64E-3</c:v>
                </c:pt>
                <c:pt idx="31">
                  <c:v>2.5820000000000001E-3</c:v>
                </c:pt>
                <c:pt idx="32">
                  <c:v>2.1220000000000002E-3</c:v>
                </c:pt>
                <c:pt idx="33">
                  <c:v>1.619E-3</c:v>
                </c:pt>
                <c:pt idx="34">
                  <c:v>1.49E-3</c:v>
                </c:pt>
                <c:pt idx="35">
                  <c:v>7.1400000000000001E-4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571497</xdr:colOff>
      <xdr:row>7</xdr:row>
      <xdr:rowOff>35720</xdr:rowOff>
    </xdr:from>
    <xdr:to>
      <xdr:col>13</xdr:col>
      <xdr:colOff>657736</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603897</xdr:colOff>
      <xdr:row>7</xdr:row>
      <xdr:rowOff>32397</xdr:rowOff>
    </xdr:from>
    <xdr:to>
      <xdr:col>13</xdr:col>
      <xdr:colOff>681892</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605678</xdr:colOff>
      <xdr:row>23</xdr:row>
      <xdr:rowOff>41274</xdr:rowOff>
    </xdr:from>
    <xdr:to>
      <xdr:col>13</xdr:col>
      <xdr:colOff>698500</xdr:colOff>
      <xdr:row>35</xdr:row>
      <xdr:rowOff>165100</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144</v>
      </c>
      <c r="D3" s="293"/>
      <c r="E3" s="293"/>
      <c r="F3" s="293"/>
      <c r="G3" s="293"/>
      <c r="H3" s="293"/>
      <c r="I3" s="293"/>
      <c r="J3" s="293"/>
      <c r="K3" s="293"/>
      <c r="L3" s="293"/>
      <c r="M3" s="294"/>
    </row>
    <row r="4" spans="2:24" ht="15.75" x14ac:dyDescent="0.25">
      <c r="B4" s="17"/>
      <c r="C4" s="275" t="s">
        <v>253</v>
      </c>
      <c r="D4" s="1"/>
      <c r="E4" s="1"/>
      <c r="F4" s="19"/>
      <c r="G4" s="19"/>
      <c r="H4" s="19"/>
      <c r="I4" s="44"/>
      <c r="J4" s="44"/>
      <c r="K4" s="19"/>
      <c r="L4" s="19"/>
      <c r="M4" s="35"/>
    </row>
    <row r="5" spans="2:24" ht="20.25" customHeight="1" x14ac:dyDescent="0.25">
      <c r="B5" s="17"/>
      <c r="C5" s="2" t="s">
        <v>254</v>
      </c>
      <c r="D5" s="113" t="s">
        <v>255</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69" t="s">
        <v>51</v>
      </c>
      <c r="D7" s="21" t="s">
        <v>53</v>
      </c>
      <c r="E7" s="19"/>
      <c r="F7" s="295" t="s">
        <v>60</v>
      </c>
      <c r="G7" s="295"/>
      <c r="H7" s="295"/>
      <c r="I7" s="295"/>
      <c r="J7" s="295"/>
      <c r="K7" s="295"/>
      <c r="L7" s="295"/>
      <c r="M7" s="296"/>
    </row>
    <row r="8" spans="2:24" ht="30" x14ac:dyDescent="0.2">
      <c r="B8" s="17"/>
      <c r="C8" s="278" t="s">
        <v>145</v>
      </c>
      <c r="D8" s="50">
        <v>0.98287500000000005</v>
      </c>
      <c r="E8" s="19"/>
      <c r="F8" s="19"/>
      <c r="G8" s="151"/>
      <c r="H8" s="26"/>
      <c r="I8" s="44" t="s">
        <v>146</v>
      </c>
      <c r="J8" s="195">
        <f>D9</f>
        <v>0.98287500000000005</v>
      </c>
      <c r="K8" s="19"/>
      <c r="L8" s="44"/>
      <c r="M8" s="35"/>
      <c r="S8" s="80"/>
      <c r="W8" s="11" t="s">
        <v>3</v>
      </c>
      <c r="X8" s="11">
        <v>0.25058799999999998</v>
      </c>
    </row>
    <row r="9" spans="2:24" ht="15.75" x14ac:dyDescent="0.25">
      <c r="B9" s="17"/>
      <c r="C9" s="279" t="s">
        <v>146</v>
      </c>
      <c r="D9" s="53">
        <v>0.98287500000000005</v>
      </c>
      <c r="E9" s="19"/>
      <c r="F9" s="19"/>
      <c r="G9" s="44"/>
      <c r="H9" s="26"/>
      <c r="I9" s="44" t="s">
        <v>23</v>
      </c>
      <c r="J9" s="195">
        <f>D13</f>
        <v>-7.2659999999999999E-3</v>
      </c>
      <c r="K9" s="19"/>
      <c r="L9" s="44"/>
      <c r="M9" s="35"/>
      <c r="S9" s="80"/>
      <c r="W9" s="11" t="s">
        <v>11</v>
      </c>
      <c r="X9" s="11">
        <v>6.1296999999999997E-2</v>
      </c>
    </row>
    <row r="10" spans="2:24" x14ac:dyDescent="0.2">
      <c r="B10" s="17"/>
      <c r="C10" s="270" t="s">
        <v>166</v>
      </c>
      <c r="D10" s="89">
        <v>2.4390999999999999E-2</v>
      </c>
      <c r="E10" s="19"/>
      <c r="F10" s="19"/>
      <c r="G10" s="44"/>
      <c r="I10" s="11" t="s">
        <v>167</v>
      </c>
      <c r="J10" s="195">
        <f>D11</f>
        <v>2.4390999999999999E-2</v>
      </c>
      <c r="K10" s="44"/>
      <c r="L10" s="19"/>
      <c r="M10" s="35"/>
      <c r="S10" s="80"/>
      <c r="W10" s="11" t="s">
        <v>12</v>
      </c>
      <c r="X10" s="11">
        <v>3.0130999999999998E-2</v>
      </c>
    </row>
    <row r="11" spans="2:24" ht="15.75" x14ac:dyDescent="0.2">
      <c r="B11" s="17"/>
      <c r="C11" s="271" t="s">
        <v>167</v>
      </c>
      <c r="D11" s="280">
        <v>2.4390999999999999E-2</v>
      </c>
      <c r="E11" s="19"/>
      <c r="F11" s="19"/>
      <c r="G11" s="44"/>
      <c r="I11" s="11"/>
      <c r="J11" s="44"/>
      <c r="K11" s="44"/>
      <c r="L11" s="19"/>
      <c r="M11" s="35"/>
      <c r="S11" s="80"/>
      <c r="W11" s="11" t="s">
        <v>7</v>
      </c>
      <c r="X11" s="11">
        <v>2.7299E-2</v>
      </c>
    </row>
    <row r="12" spans="2:24" x14ac:dyDescent="0.2">
      <c r="B12" s="17"/>
      <c r="C12" s="270"/>
      <c r="D12" s="89"/>
      <c r="E12" s="19"/>
      <c r="F12" s="19"/>
      <c r="G12" s="44"/>
      <c r="I12" s="11"/>
      <c r="J12" s="44"/>
      <c r="K12" s="44"/>
      <c r="L12" s="19"/>
      <c r="M12" s="35"/>
      <c r="S12" s="80"/>
      <c r="W12" s="11" t="s">
        <v>30</v>
      </c>
      <c r="X12" s="11">
        <v>2.5925E-2</v>
      </c>
    </row>
    <row r="13" spans="2:24" ht="15.75" x14ac:dyDescent="0.2">
      <c r="B13" s="17"/>
      <c r="C13" s="271" t="s">
        <v>23</v>
      </c>
      <c r="D13" s="280">
        <v>-7.2659999999999999E-3</v>
      </c>
      <c r="E13" s="19"/>
      <c r="F13" s="19"/>
      <c r="G13" s="19"/>
      <c r="I13" s="11"/>
      <c r="J13" s="44"/>
      <c r="K13" s="19"/>
      <c r="L13" s="19"/>
      <c r="M13" s="35"/>
      <c r="S13" s="80"/>
      <c r="W13" s="11" t="s">
        <v>9</v>
      </c>
      <c r="X13" s="11">
        <v>2.3822000000000003E-2</v>
      </c>
    </row>
    <row r="14" spans="2:24" x14ac:dyDescent="0.2">
      <c r="B14" s="17"/>
      <c r="C14" s="270"/>
      <c r="D14" s="89"/>
      <c r="E14" s="19"/>
      <c r="F14" s="19"/>
      <c r="G14" s="19"/>
      <c r="H14" s="19"/>
      <c r="I14" s="44"/>
      <c r="J14" s="44"/>
      <c r="K14" s="19"/>
      <c r="L14" s="19"/>
      <c r="M14" s="35"/>
      <c r="S14" s="80"/>
      <c r="W14" s="11" t="s">
        <v>28</v>
      </c>
      <c r="X14" s="11">
        <v>2.3753E-2</v>
      </c>
    </row>
    <row r="15" spans="2:24" ht="15.75" x14ac:dyDescent="0.2">
      <c r="B15" s="17"/>
      <c r="C15" s="272" t="s">
        <v>24</v>
      </c>
      <c r="D15" s="128">
        <v>1</v>
      </c>
      <c r="E15" s="19"/>
      <c r="F15" s="19"/>
      <c r="G15" s="19"/>
      <c r="H15" s="19"/>
      <c r="I15" s="44"/>
      <c r="J15" s="44"/>
      <c r="K15" s="19"/>
      <c r="L15" s="19"/>
      <c r="M15" s="35"/>
      <c r="S15" s="80"/>
      <c r="W15" s="11" t="s">
        <v>20</v>
      </c>
      <c r="X15" s="11">
        <v>1.8620999999999999E-2</v>
      </c>
    </row>
    <row r="16" spans="2:24" x14ac:dyDescent="0.2">
      <c r="B16" s="17"/>
      <c r="E16" s="19"/>
      <c r="F16" s="19"/>
      <c r="G16" s="19"/>
      <c r="H16" s="19"/>
      <c r="I16" s="44"/>
      <c r="J16" s="44"/>
      <c r="K16" s="19"/>
      <c r="L16" s="19"/>
      <c r="M16" s="35"/>
      <c r="S16" s="80"/>
      <c r="W16" s="11" t="s">
        <v>31</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7"/>
      <c r="D24" s="297"/>
      <c r="E24" s="297"/>
      <c r="F24" s="297"/>
      <c r="G24" s="297"/>
      <c r="H24" s="297"/>
      <c r="I24" s="297"/>
      <c r="J24" s="297"/>
      <c r="K24" s="297"/>
      <c r="L24" s="297"/>
      <c r="M24" s="298"/>
      <c r="S24" s="80"/>
    </row>
    <row r="25" spans="1:26" ht="15.75" thickBot="1" x14ac:dyDescent="0.25">
      <c r="S25" s="80"/>
    </row>
    <row r="26" spans="1:26" x14ac:dyDescent="0.2">
      <c r="B26" s="299" t="s">
        <v>127</v>
      </c>
      <c r="C26" s="300"/>
      <c r="D26" s="300"/>
      <c r="E26" s="300"/>
      <c r="F26" s="300"/>
      <c r="G26" s="300"/>
      <c r="H26" s="300"/>
      <c r="I26" s="300"/>
      <c r="J26" s="300"/>
      <c r="K26" s="300"/>
      <c r="L26" s="300"/>
      <c r="M26" s="300"/>
      <c r="N26" s="301"/>
      <c r="S26" s="80"/>
    </row>
    <row r="27" spans="1:26" s="13" customFormat="1" x14ac:dyDescent="0.2">
      <c r="A27" s="11"/>
      <c r="B27" s="302"/>
      <c r="C27" s="303"/>
      <c r="D27" s="303"/>
      <c r="E27" s="303"/>
      <c r="F27" s="303"/>
      <c r="G27" s="303"/>
      <c r="H27" s="303"/>
      <c r="I27" s="303"/>
      <c r="J27" s="303"/>
      <c r="K27" s="303"/>
      <c r="L27" s="303"/>
      <c r="M27" s="303"/>
      <c r="N27" s="304"/>
      <c r="O27" s="11"/>
      <c r="P27" s="11"/>
      <c r="Q27" s="12"/>
      <c r="S27" s="80"/>
      <c r="W27" s="11"/>
      <c r="X27" s="11"/>
      <c r="Y27" s="11"/>
      <c r="Z27" s="11"/>
    </row>
    <row r="28" spans="1:26" s="13" customFormat="1" x14ac:dyDescent="0.2">
      <c r="A28" s="11"/>
      <c r="B28" s="302"/>
      <c r="C28" s="303"/>
      <c r="D28" s="303"/>
      <c r="E28" s="303"/>
      <c r="F28" s="303"/>
      <c r="G28" s="303"/>
      <c r="H28" s="303"/>
      <c r="I28" s="303"/>
      <c r="J28" s="303"/>
      <c r="K28" s="303"/>
      <c r="L28" s="303"/>
      <c r="M28" s="303"/>
      <c r="N28" s="304"/>
      <c r="O28" s="11"/>
      <c r="P28" s="11"/>
      <c r="Q28" s="12"/>
      <c r="S28" s="80"/>
      <c r="W28" s="11"/>
      <c r="X28" s="11"/>
      <c r="Y28" s="11"/>
      <c r="Z28" s="11"/>
    </row>
    <row r="29" spans="1:26" s="13" customFormat="1" x14ac:dyDescent="0.2">
      <c r="A29" s="11"/>
      <c r="B29" s="302"/>
      <c r="C29" s="303"/>
      <c r="D29" s="303"/>
      <c r="E29" s="303"/>
      <c r="F29" s="303"/>
      <c r="G29" s="303"/>
      <c r="H29" s="303"/>
      <c r="I29" s="303"/>
      <c r="J29" s="303"/>
      <c r="K29" s="303"/>
      <c r="L29" s="303"/>
      <c r="M29" s="303"/>
      <c r="N29" s="304"/>
      <c r="O29" s="11"/>
      <c r="P29" s="11"/>
      <c r="Q29" s="12"/>
      <c r="S29" s="80"/>
      <c r="W29" s="11"/>
      <c r="X29" s="11"/>
      <c r="Y29" s="11"/>
      <c r="Z29" s="11"/>
    </row>
    <row r="30" spans="1:26" s="13" customFormat="1" x14ac:dyDescent="0.2">
      <c r="A30" s="11"/>
      <c r="B30" s="302"/>
      <c r="C30" s="303"/>
      <c r="D30" s="303"/>
      <c r="E30" s="303"/>
      <c r="F30" s="303"/>
      <c r="G30" s="303"/>
      <c r="H30" s="303"/>
      <c r="I30" s="303"/>
      <c r="J30" s="303"/>
      <c r="K30" s="303"/>
      <c r="L30" s="303"/>
      <c r="M30" s="303"/>
      <c r="N30" s="304"/>
      <c r="O30" s="11"/>
      <c r="P30" s="11"/>
      <c r="Q30" s="12"/>
      <c r="S30" s="80"/>
      <c r="W30" s="11"/>
      <c r="X30" s="11"/>
      <c r="Y30" s="11"/>
      <c r="Z30" s="11"/>
    </row>
    <row r="31" spans="1:26" s="13" customFormat="1" x14ac:dyDescent="0.2">
      <c r="A31" s="11"/>
      <c r="B31" s="302"/>
      <c r="C31" s="303"/>
      <c r="D31" s="303"/>
      <c r="E31" s="303"/>
      <c r="F31" s="303"/>
      <c r="G31" s="303"/>
      <c r="H31" s="303"/>
      <c r="I31" s="303"/>
      <c r="J31" s="303"/>
      <c r="K31" s="303"/>
      <c r="L31" s="303"/>
      <c r="M31" s="303"/>
      <c r="N31" s="304"/>
      <c r="O31" s="11"/>
      <c r="P31" s="11"/>
      <c r="Q31" s="12"/>
      <c r="S31" s="80"/>
      <c r="W31" s="11"/>
      <c r="X31" s="11"/>
      <c r="Y31" s="11"/>
      <c r="Z31" s="11"/>
    </row>
    <row r="32" spans="1:26" s="13" customFormat="1" ht="37.5" customHeight="1" thickBot="1" x14ac:dyDescent="0.25">
      <c r="A32" s="11"/>
      <c r="B32" s="305"/>
      <c r="C32" s="306"/>
      <c r="D32" s="306"/>
      <c r="E32" s="306"/>
      <c r="F32" s="306"/>
      <c r="G32" s="306"/>
      <c r="H32" s="306"/>
      <c r="I32" s="306"/>
      <c r="J32" s="306"/>
      <c r="K32" s="306"/>
      <c r="L32" s="306"/>
      <c r="M32" s="306"/>
      <c r="N32" s="307"/>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9" t="s">
        <v>147</v>
      </c>
      <c r="C34" s="300"/>
      <c r="D34" s="300"/>
      <c r="E34" s="300"/>
      <c r="F34" s="300"/>
      <c r="G34" s="300"/>
      <c r="H34" s="300"/>
      <c r="I34" s="300"/>
      <c r="J34" s="300"/>
      <c r="K34" s="300"/>
      <c r="L34" s="300"/>
      <c r="M34" s="300"/>
      <c r="N34" s="301"/>
      <c r="O34" s="11"/>
      <c r="P34" s="11"/>
      <c r="Q34" s="11"/>
      <c r="S34" s="80"/>
      <c r="W34" s="11"/>
      <c r="X34" s="11"/>
      <c r="Y34" s="11"/>
      <c r="Z34" s="11"/>
    </row>
    <row r="35" spans="1:26" s="13" customFormat="1" x14ac:dyDescent="0.2">
      <c r="A35" s="11"/>
      <c r="B35" s="302"/>
      <c r="C35" s="303"/>
      <c r="D35" s="303"/>
      <c r="E35" s="303"/>
      <c r="F35" s="303"/>
      <c r="G35" s="303"/>
      <c r="H35" s="303"/>
      <c r="I35" s="303"/>
      <c r="J35" s="303"/>
      <c r="K35" s="303"/>
      <c r="L35" s="303"/>
      <c r="M35" s="303"/>
      <c r="N35" s="304"/>
      <c r="O35" s="11"/>
      <c r="P35" s="11"/>
      <c r="Q35" s="11"/>
      <c r="S35" s="80"/>
      <c r="W35" s="11"/>
      <c r="X35" s="11"/>
      <c r="Y35" s="11"/>
      <c r="Z35" s="11"/>
    </row>
    <row r="36" spans="1:26" s="13" customFormat="1" x14ac:dyDescent="0.2">
      <c r="A36" s="11"/>
      <c r="B36" s="302"/>
      <c r="C36" s="303"/>
      <c r="D36" s="303"/>
      <c r="E36" s="303"/>
      <c r="F36" s="303"/>
      <c r="G36" s="303"/>
      <c r="H36" s="303"/>
      <c r="I36" s="303"/>
      <c r="J36" s="303"/>
      <c r="K36" s="303"/>
      <c r="L36" s="303"/>
      <c r="M36" s="303"/>
      <c r="N36" s="304"/>
      <c r="O36" s="11"/>
      <c r="P36" s="11"/>
      <c r="Q36" s="11"/>
      <c r="S36" s="80"/>
      <c r="W36" s="11"/>
      <c r="X36" s="11"/>
      <c r="Y36" s="11"/>
      <c r="Z36" s="11"/>
    </row>
    <row r="37" spans="1:26" s="13" customFormat="1" x14ac:dyDescent="0.2">
      <c r="A37" s="11"/>
      <c r="B37" s="302"/>
      <c r="C37" s="303"/>
      <c r="D37" s="303"/>
      <c r="E37" s="303"/>
      <c r="F37" s="303"/>
      <c r="G37" s="303"/>
      <c r="H37" s="303"/>
      <c r="I37" s="303"/>
      <c r="J37" s="303"/>
      <c r="K37" s="303"/>
      <c r="L37" s="303"/>
      <c r="M37" s="303"/>
      <c r="N37" s="304"/>
      <c r="O37" s="11"/>
      <c r="P37" s="11"/>
      <c r="Q37" s="11"/>
      <c r="S37" s="80"/>
      <c r="W37" s="11"/>
      <c r="X37" s="11"/>
      <c r="Y37" s="11"/>
      <c r="Z37" s="11"/>
    </row>
    <row r="38" spans="1:26" s="13" customFormat="1" x14ac:dyDescent="0.2">
      <c r="A38" s="11"/>
      <c r="B38" s="302"/>
      <c r="C38" s="303"/>
      <c r="D38" s="303"/>
      <c r="E38" s="303"/>
      <c r="F38" s="303"/>
      <c r="G38" s="303"/>
      <c r="H38" s="303"/>
      <c r="I38" s="303"/>
      <c r="J38" s="303"/>
      <c r="K38" s="303"/>
      <c r="L38" s="303"/>
      <c r="M38" s="303"/>
      <c r="N38" s="304"/>
      <c r="O38" s="11"/>
      <c r="P38" s="11"/>
      <c r="Q38" s="11"/>
      <c r="S38" s="80"/>
      <c r="W38" s="11"/>
      <c r="X38" s="11"/>
      <c r="Y38" s="11"/>
      <c r="Z38" s="11"/>
    </row>
    <row r="39" spans="1:26" s="13" customFormat="1" x14ac:dyDescent="0.2">
      <c r="A39" s="11"/>
      <c r="B39" s="302"/>
      <c r="C39" s="303"/>
      <c r="D39" s="303"/>
      <c r="E39" s="303"/>
      <c r="F39" s="303"/>
      <c r="G39" s="303"/>
      <c r="H39" s="303"/>
      <c r="I39" s="303"/>
      <c r="J39" s="303"/>
      <c r="K39" s="303"/>
      <c r="L39" s="303"/>
      <c r="M39" s="303"/>
      <c r="N39" s="304"/>
      <c r="O39" s="11"/>
      <c r="P39" s="11"/>
      <c r="Q39" s="11"/>
      <c r="S39" s="80"/>
      <c r="W39" s="11"/>
      <c r="X39" s="11"/>
      <c r="Y39" s="11"/>
      <c r="Z39" s="11"/>
    </row>
    <row r="40" spans="1:26" s="13" customFormat="1" ht="15.75" thickBot="1" x14ac:dyDescent="0.25">
      <c r="A40" s="11"/>
      <c r="B40" s="305"/>
      <c r="C40" s="306"/>
      <c r="D40" s="306"/>
      <c r="E40" s="306"/>
      <c r="F40" s="306"/>
      <c r="G40" s="306"/>
      <c r="H40" s="306"/>
      <c r="I40" s="306"/>
      <c r="J40" s="306"/>
      <c r="K40" s="306"/>
      <c r="L40" s="306"/>
      <c r="M40" s="306"/>
      <c r="N40" s="307"/>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87</v>
      </c>
      <c r="D3" s="309"/>
      <c r="E3" s="309"/>
      <c r="F3" s="309"/>
      <c r="G3" s="309"/>
      <c r="H3" s="309"/>
      <c r="I3" s="309"/>
      <c r="J3" s="309"/>
      <c r="K3" s="309"/>
      <c r="L3" s="309"/>
      <c r="M3" s="309"/>
      <c r="N3" s="309"/>
      <c r="O3" s="309"/>
      <c r="P3" s="309"/>
      <c r="Q3" s="309"/>
      <c r="R3" s="309"/>
      <c r="S3" s="310"/>
      <c r="T3" s="230"/>
    </row>
    <row r="4" spans="1:24" ht="15.75" customHeight="1" x14ac:dyDescent="0.25">
      <c r="B4" s="134"/>
      <c r="C4" s="275" t="s">
        <v>253</v>
      </c>
      <c r="D4" s="1"/>
      <c r="E4" s="154"/>
      <c r="F4" s="154"/>
      <c r="G4" s="154"/>
      <c r="H4" s="154"/>
      <c r="I4" s="154"/>
      <c r="J4" s="154"/>
      <c r="K4" s="1"/>
      <c r="L4" s="1"/>
      <c r="M4" s="1"/>
      <c r="N4" s="1"/>
      <c r="O4" s="1"/>
      <c r="P4" s="1"/>
      <c r="Q4" s="1"/>
      <c r="R4" s="1"/>
      <c r="S4" s="76"/>
      <c r="T4" s="230"/>
    </row>
    <row r="5" spans="1:24" ht="18" customHeight="1" x14ac:dyDescent="0.25">
      <c r="B5" s="134"/>
      <c r="C5" s="2" t="s">
        <v>254</v>
      </c>
      <c r="D5" s="311" t="s">
        <v>256</v>
      </c>
      <c r="E5" s="311"/>
      <c r="F5" s="1"/>
      <c r="G5" s="1"/>
      <c r="H5" s="110"/>
      <c r="I5" s="110"/>
      <c r="J5" s="110"/>
      <c r="K5" s="110"/>
      <c r="L5" s="110"/>
      <c r="M5" s="110"/>
      <c r="N5" s="110"/>
      <c r="O5" s="110"/>
      <c r="P5" s="110"/>
      <c r="Q5" s="110"/>
      <c r="R5" s="110"/>
      <c r="S5" s="111"/>
      <c r="T5" s="231"/>
    </row>
    <row r="6" spans="1:24" ht="15" customHeight="1" x14ac:dyDescent="0.25">
      <c r="B6" s="134"/>
      <c r="C6" s="1"/>
      <c r="D6" s="1"/>
      <c r="E6" s="1"/>
      <c r="F6" s="1"/>
      <c r="G6" s="1"/>
      <c r="H6" s="110"/>
      <c r="I6" s="110"/>
      <c r="J6" s="110"/>
      <c r="K6" s="110"/>
      <c r="L6" s="110"/>
      <c r="M6" s="110"/>
      <c r="N6" s="110"/>
      <c r="O6" s="110"/>
      <c r="P6" s="110"/>
      <c r="Q6" s="110"/>
      <c r="R6" s="110"/>
      <c r="S6" s="111"/>
      <c r="T6" s="231"/>
      <c r="V6" s="180"/>
    </row>
    <row r="7" spans="1:24" ht="32.25" customHeight="1" x14ac:dyDescent="0.25">
      <c r="B7" s="134"/>
      <c r="C7" s="99" t="s">
        <v>0</v>
      </c>
      <c r="D7" s="100" t="s">
        <v>1</v>
      </c>
      <c r="E7" s="99" t="s">
        <v>2</v>
      </c>
      <c r="F7" s="1"/>
      <c r="G7" s="1"/>
      <c r="H7" s="1"/>
      <c r="I7" s="1"/>
      <c r="J7" s="1"/>
      <c r="K7" s="1"/>
      <c r="L7" s="1"/>
      <c r="M7" s="1"/>
      <c r="N7" s="1"/>
      <c r="O7" s="1"/>
      <c r="P7" s="1"/>
      <c r="Q7" s="1"/>
      <c r="R7" s="1"/>
      <c r="S7" s="76"/>
      <c r="T7" s="230"/>
      <c r="V7" s="180"/>
      <c r="W7" s="166" t="s">
        <v>25</v>
      </c>
      <c r="X7" s="166" t="s">
        <v>2</v>
      </c>
    </row>
    <row r="8" spans="1:24" ht="15" customHeight="1" x14ac:dyDescent="0.25">
      <c r="B8" s="134"/>
      <c r="C8" s="92" t="s">
        <v>37</v>
      </c>
      <c r="D8" s="94" t="s">
        <v>3</v>
      </c>
      <c r="E8" s="96">
        <v>6.9504999999999997E-2</v>
      </c>
      <c r="F8" s="182"/>
      <c r="G8" s="1"/>
      <c r="H8" s="1"/>
      <c r="I8" s="1"/>
      <c r="J8" s="1"/>
      <c r="K8" s="1"/>
      <c r="L8" s="1"/>
      <c r="M8" s="1"/>
      <c r="N8" s="1"/>
      <c r="O8" s="1"/>
      <c r="P8" s="1"/>
      <c r="Q8" s="1"/>
      <c r="R8" s="1"/>
      <c r="S8" s="76"/>
      <c r="T8" s="230"/>
      <c r="V8" s="180"/>
      <c r="W8" s="216" t="s">
        <v>3</v>
      </c>
      <c r="X8" s="217">
        <v>0.23901300000000003</v>
      </c>
    </row>
    <row r="9" spans="1:24" ht="15.75" customHeight="1" x14ac:dyDescent="0.25">
      <c r="B9" s="134"/>
      <c r="C9" s="93" t="s">
        <v>33</v>
      </c>
      <c r="D9" s="95" t="s">
        <v>3</v>
      </c>
      <c r="E9" s="97">
        <v>5.6947999999999999E-2</v>
      </c>
      <c r="F9" s="182"/>
      <c r="G9" s="1"/>
      <c r="H9" s="1"/>
      <c r="I9" s="1"/>
      <c r="J9" s="1"/>
      <c r="K9" s="1"/>
      <c r="L9" s="1"/>
      <c r="M9" s="1"/>
      <c r="N9" s="1"/>
      <c r="O9" s="1"/>
      <c r="P9" s="1"/>
      <c r="Q9" s="1"/>
      <c r="R9" s="1"/>
      <c r="S9" s="76"/>
      <c r="T9" s="230"/>
      <c r="V9" s="180"/>
      <c r="W9" s="216" t="s">
        <v>187</v>
      </c>
      <c r="X9" s="217">
        <v>9.2354999999999993E-2</v>
      </c>
    </row>
    <row r="10" spans="1:24" ht="15" customHeight="1" x14ac:dyDescent="0.25">
      <c r="B10" s="134"/>
      <c r="C10" s="93" t="s">
        <v>32</v>
      </c>
      <c r="D10" s="95" t="s">
        <v>187</v>
      </c>
      <c r="E10" s="97">
        <v>5.4729E-2</v>
      </c>
      <c r="F10" s="182"/>
      <c r="G10" s="1"/>
      <c r="H10" s="1"/>
      <c r="I10" s="1"/>
      <c r="J10" s="1"/>
      <c r="K10" s="1"/>
      <c r="L10" s="1"/>
      <c r="M10" s="1"/>
      <c r="N10" s="1"/>
      <c r="O10" s="1"/>
      <c r="P10" s="1"/>
      <c r="Q10" s="1"/>
      <c r="R10" s="1"/>
      <c r="S10" s="76"/>
      <c r="T10" s="230"/>
      <c r="V10" s="180"/>
      <c r="W10" s="216" t="s">
        <v>193</v>
      </c>
      <c r="X10" s="217">
        <v>6.9791000000000006E-2</v>
      </c>
    </row>
    <row r="11" spans="1:24" ht="15" customHeight="1" x14ac:dyDescent="0.25">
      <c r="B11" s="134"/>
      <c r="C11" s="93" t="s">
        <v>122</v>
      </c>
      <c r="D11" s="95" t="s">
        <v>3</v>
      </c>
      <c r="E11" s="97">
        <v>4.4056999999999999E-2</v>
      </c>
      <c r="F11" s="182"/>
      <c r="G11" s="1"/>
      <c r="H11" s="1"/>
      <c r="I11" s="1"/>
      <c r="J11" s="1"/>
      <c r="K11" s="1"/>
      <c r="L11" s="1"/>
      <c r="M11" s="1"/>
      <c r="N11" s="1"/>
      <c r="O11" s="1"/>
      <c r="P11" s="1"/>
      <c r="Q11" s="1"/>
      <c r="R11" s="1"/>
      <c r="S11" s="76"/>
      <c r="T11" s="230"/>
      <c r="V11" s="180"/>
      <c r="W11" s="216" t="s">
        <v>194</v>
      </c>
      <c r="X11" s="217">
        <v>6.6394000000000009E-2</v>
      </c>
    </row>
    <row r="12" spans="1:24" ht="15" customHeight="1" x14ac:dyDescent="0.25">
      <c r="B12" s="134"/>
      <c r="C12" s="93" t="s">
        <v>36</v>
      </c>
      <c r="D12" s="95" t="s">
        <v>6</v>
      </c>
      <c r="E12" s="97">
        <v>3.4605999999999998E-2</v>
      </c>
      <c r="F12" s="182"/>
      <c r="G12" s="1"/>
      <c r="H12" s="1"/>
      <c r="I12" s="1"/>
      <c r="J12" s="1"/>
      <c r="K12" s="1"/>
      <c r="L12" s="1"/>
      <c r="M12" s="1"/>
      <c r="N12" s="1"/>
      <c r="O12" s="1"/>
      <c r="P12" s="1"/>
      <c r="Q12" s="1"/>
      <c r="R12" s="1"/>
      <c r="S12" s="76"/>
      <c r="T12" s="230"/>
      <c r="V12" s="180"/>
      <c r="W12" s="216" t="s">
        <v>27</v>
      </c>
      <c r="X12" s="217">
        <v>6.3050999999999996E-2</v>
      </c>
    </row>
    <row r="13" spans="1:24" ht="15" customHeight="1" x14ac:dyDescent="0.25">
      <c r="B13" s="134"/>
      <c r="C13" s="93" t="s">
        <v>39</v>
      </c>
      <c r="D13" s="95" t="s">
        <v>26</v>
      </c>
      <c r="E13" s="97">
        <v>3.0463E-2</v>
      </c>
      <c r="F13" s="182"/>
      <c r="G13" s="1"/>
      <c r="H13" s="1"/>
      <c r="I13" s="1"/>
      <c r="J13" s="1"/>
      <c r="K13" s="1"/>
      <c r="L13" s="1"/>
      <c r="M13" s="1"/>
      <c r="N13" s="1"/>
      <c r="O13" s="1"/>
      <c r="P13" s="1"/>
      <c r="Q13" s="1"/>
      <c r="R13" s="1"/>
      <c r="S13" s="76"/>
      <c r="T13" s="230"/>
      <c r="V13" s="180"/>
      <c r="W13" s="216" t="s">
        <v>191</v>
      </c>
      <c r="X13" s="217">
        <v>6.1225000000000002E-2</v>
      </c>
    </row>
    <row r="14" spans="1:24" ht="15" customHeight="1" x14ac:dyDescent="0.25">
      <c r="B14" s="134"/>
      <c r="C14" s="93" t="s">
        <v>202</v>
      </c>
      <c r="D14" s="95" t="s">
        <v>194</v>
      </c>
      <c r="E14" s="97">
        <v>2.9899999999999999E-2</v>
      </c>
      <c r="F14" s="182"/>
      <c r="G14" s="1"/>
      <c r="H14" s="1"/>
      <c r="I14" s="1"/>
      <c r="J14" s="1"/>
      <c r="K14" s="1"/>
      <c r="L14" s="1"/>
      <c r="M14" s="1"/>
      <c r="N14" s="1"/>
      <c r="O14" s="1"/>
      <c r="P14" s="1"/>
      <c r="Q14" s="1"/>
      <c r="R14" s="1"/>
      <c r="S14" s="76"/>
      <c r="T14" s="230"/>
      <c r="V14" s="180"/>
      <c r="W14" s="216" t="s">
        <v>129</v>
      </c>
      <c r="X14" s="217">
        <v>5.5508999999999996E-2</v>
      </c>
    </row>
    <row r="15" spans="1:24" ht="15.75" x14ac:dyDescent="0.25">
      <c r="B15" s="134"/>
      <c r="C15" s="93" t="s">
        <v>148</v>
      </c>
      <c r="D15" s="95" t="s">
        <v>130</v>
      </c>
      <c r="E15" s="97">
        <v>2.9054E-2</v>
      </c>
      <c r="F15" s="182"/>
      <c r="G15" s="1"/>
      <c r="H15" s="1"/>
      <c r="I15" s="1"/>
      <c r="J15" s="1"/>
      <c r="K15" s="1"/>
      <c r="L15" s="1"/>
      <c r="M15" s="1"/>
      <c r="N15" s="1"/>
      <c r="O15" s="1"/>
      <c r="P15" s="1"/>
      <c r="Q15" s="1"/>
      <c r="R15" s="1"/>
      <c r="S15" s="76"/>
      <c r="T15" s="230"/>
      <c r="V15" s="180"/>
      <c r="W15" s="216" t="s">
        <v>26</v>
      </c>
      <c r="X15" s="217">
        <v>4.1294999999999998E-2</v>
      </c>
    </row>
    <row r="16" spans="1:24" ht="15" customHeight="1" x14ac:dyDescent="0.25">
      <c r="B16" s="134"/>
      <c r="C16" s="93" t="s">
        <v>100</v>
      </c>
      <c r="D16" s="95" t="s">
        <v>14</v>
      </c>
      <c r="E16" s="97">
        <v>2.8979999999999999E-2</v>
      </c>
      <c r="F16" s="182"/>
      <c r="G16" s="1"/>
      <c r="H16" s="1"/>
      <c r="I16" s="1"/>
      <c r="J16" s="1"/>
      <c r="K16" s="1"/>
      <c r="L16" s="1"/>
      <c r="M16" s="1"/>
      <c r="N16" s="1"/>
      <c r="O16" s="1"/>
      <c r="P16" s="1"/>
      <c r="Q16" s="1"/>
      <c r="R16" s="1"/>
      <c r="S16" s="76"/>
      <c r="T16" s="230"/>
      <c r="V16" s="180"/>
      <c r="W16" s="216" t="s">
        <v>6</v>
      </c>
      <c r="X16" s="217">
        <v>3.4605999999999998E-2</v>
      </c>
    </row>
    <row r="17" spans="2:24" ht="15.75" x14ac:dyDescent="0.25">
      <c r="B17" s="134"/>
      <c r="C17" s="93" t="s">
        <v>142</v>
      </c>
      <c r="D17" s="95" t="s">
        <v>30</v>
      </c>
      <c r="E17" s="97">
        <v>2.4657999999999999E-2</v>
      </c>
      <c r="F17" s="182"/>
      <c r="G17" s="1"/>
      <c r="H17" s="1"/>
      <c r="I17" s="1"/>
      <c r="J17" s="1"/>
      <c r="K17" s="1"/>
      <c r="L17" s="1"/>
      <c r="M17" s="1"/>
      <c r="N17" s="1"/>
      <c r="O17" s="1"/>
      <c r="P17" s="1"/>
      <c r="Q17" s="1"/>
      <c r="R17" s="1"/>
      <c r="S17" s="76"/>
      <c r="T17" s="230"/>
      <c r="V17" s="180"/>
      <c r="W17" s="216" t="s">
        <v>130</v>
      </c>
      <c r="X17" s="217">
        <v>2.9054E-2</v>
      </c>
    </row>
    <row r="18" spans="2:24" ht="15.75" x14ac:dyDescent="0.25">
      <c r="B18" s="134"/>
      <c r="C18" s="93" t="s">
        <v>111</v>
      </c>
      <c r="D18" s="95" t="s">
        <v>13</v>
      </c>
      <c r="E18" s="97">
        <v>2.2280999999999999E-2</v>
      </c>
      <c r="F18" s="182"/>
      <c r="G18" s="1"/>
      <c r="H18" s="1"/>
      <c r="I18" s="1"/>
      <c r="J18" s="1"/>
      <c r="K18" s="1"/>
      <c r="L18" s="1"/>
      <c r="M18" s="1"/>
      <c r="N18" s="1"/>
      <c r="O18" s="1"/>
      <c r="P18" s="1"/>
      <c r="Q18" s="1"/>
      <c r="R18" s="1"/>
      <c r="S18" s="76"/>
      <c r="T18" s="230"/>
      <c r="V18" s="180"/>
      <c r="W18" s="216" t="s">
        <v>14</v>
      </c>
      <c r="X18" s="217">
        <v>2.8979999999999999E-2</v>
      </c>
    </row>
    <row r="19" spans="2:24" ht="15.75" x14ac:dyDescent="0.25">
      <c r="B19" s="134"/>
      <c r="C19" s="93" t="s">
        <v>41</v>
      </c>
      <c r="D19" s="95" t="s">
        <v>3</v>
      </c>
      <c r="E19" s="97">
        <v>2.1127E-2</v>
      </c>
      <c r="F19" s="182"/>
      <c r="G19" s="1"/>
      <c r="H19" s="1"/>
      <c r="I19" s="1"/>
      <c r="J19" s="1"/>
      <c r="K19" s="1"/>
      <c r="L19" s="1"/>
      <c r="M19" s="1"/>
      <c r="N19" s="1"/>
      <c r="O19" s="1"/>
      <c r="P19" s="1"/>
      <c r="Q19" s="1"/>
      <c r="R19" s="1"/>
      <c r="S19" s="76"/>
      <c r="T19" s="230"/>
      <c r="V19" s="180"/>
      <c r="W19" s="216" t="s">
        <v>30</v>
      </c>
      <c r="X19" s="217">
        <v>2.4657999999999999E-2</v>
      </c>
    </row>
    <row r="20" spans="2:24" ht="15" customHeight="1" x14ac:dyDescent="0.25">
      <c r="B20" s="134"/>
      <c r="C20" s="93" t="s">
        <v>108</v>
      </c>
      <c r="D20" s="95" t="s">
        <v>193</v>
      </c>
      <c r="E20" s="97">
        <v>2.1080000000000002E-2</v>
      </c>
      <c r="F20" s="182"/>
      <c r="G20" s="1"/>
      <c r="H20" s="1"/>
      <c r="I20" s="1"/>
      <c r="J20" s="1"/>
      <c r="K20" s="1"/>
      <c r="L20" s="1"/>
      <c r="M20" s="1"/>
      <c r="N20" s="1"/>
      <c r="O20" s="1"/>
      <c r="P20" s="1"/>
      <c r="Q20" s="1"/>
      <c r="R20" s="1"/>
      <c r="S20" s="76"/>
      <c r="T20" s="230"/>
      <c r="V20" s="180"/>
      <c r="W20" s="216" t="s">
        <v>201</v>
      </c>
      <c r="X20" s="217">
        <v>2.4232999999999998E-2</v>
      </c>
    </row>
    <row r="21" spans="2:24" ht="17.25" customHeight="1" x14ac:dyDescent="0.25">
      <c r="B21" s="134"/>
      <c r="C21" s="93" t="s">
        <v>123</v>
      </c>
      <c r="D21" s="95" t="s">
        <v>194</v>
      </c>
      <c r="E21" s="97">
        <v>2.0420000000000001E-2</v>
      </c>
      <c r="F21" s="182"/>
      <c r="G21" s="1"/>
      <c r="H21" s="1"/>
      <c r="I21" s="1"/>
      <c r="J21" s="1"/>
      <c r="K21" s="1"/>
      <c r="L21" s="1"/>
      <c r="M21" s="1"/>
      <c r="N21" s="1"/>
      <c r="O21" s="1"/>
      <c r="P21" s="1"/>
      <c r="Q21" s="1"/>
      <c r="R21" s="1"/>
      <c r="S21" s="76"/>
      <c r="T21" s="230"/>
      <c r="V21" s="180"/>
      <c r="W21" s="216" t="s">
        <v>4</v>
      </c>
      <c r="X21" s="217">
        <v>2.3394999999999999E-2</v>
      </c>
    </row>
    <row r="22" spans="2:24" ht="15" customHeight="1" x14ac:dyDescent="0.25">
      <c r="B22" s="134"/>
      <c r="C22" s="93" t="s">
        <v>237</v>
      </c>
      <c r="D22" s="95" t="s">
        <v>129</v>
      </c>
      <c r="E22" s="97">
        <v>1.9358E-2</v>
      </c>
      <c r="F22" s="182"/>
      <c r="G22" s="1"/>
      <c r="H22" s="1"/>
      <c r="I22" s="1"/>
      <c r="J22" s="1"/>
      <c r="K22" s="1"/>
      <c r="L22" s="1"/>
      <c r="M22" s="1"/>
      <c r="N22" s="1"/>
      <c r="O22" s="1"/>
      <c r="P22" s="1"/>
      <c r="Q22" s="1"/>
      <c r="R22" s="1"/>
      <c r="S22" s="76"/>
      <c r="T22" s="230"/>
      <c r="V22" s="180"/>
      <c r="W22" s="216" t="s">
        <v>13</v>
      </c>
      <c r="X22" s="217">
        <v>2.2280999999999999E-2</v>
      </c>
    </row>
    <row r="23" spans="2:24" ht="15" customHeight="1" x14ac:dyDescent="0.25">
      <c r="B23" s="134"/>
      <c r="C23" s="67"/>
      <c r="D23" s="67"/>
      <c r="E23" s="89"/>
      <c r="F23" s="182"/>
      <c r="G23" s="1"/>
      <c r="H23" s="1"/>
      <c r="I23" s="1"/>
      <c r="J23" s="1"/>
      <c r="K23" s="1"/>
      <c r="L23" s="1"/>
      <c r="M23" s="1"/>
      <c r="N23" s="1"/>
      <c r="O23" s="1"/>
      <c r="P23" s="1"/>
      <c r="Q23" s="1"/>
      <c r="R23" s="1"/>
      <c r="S23" s="76"/>
      <c r="T23" s="230"/>
      <c r="V23" s="180"/>
      <c r="W23" s="216" t="s">
        <v>203</v>
      </c>
      <c r="X23" s="217">
        <v>2.0395E-2</v>
      </c>
    </row>
    <row r="24" spans="2:24" ht="15" customHeight="1" x14ac:dyDescent="0.25">
      <c r="B24" s="134"/>
      <c r="C24" s="234" t="s">
        <v>68</v>
      </c>
      <c r="D24" s="235"/>
      <c r="E24" s="236">
        <f>SUM(E8:E22)</f>
        <v>0.50716600000000001</v>
      </c>
      <c r="F24" s="1"/>
      <c r="G24" s="1"/>
      <c r="H24" s="1"/>
      <c r="I24" s="1"/>
      <c r="J24" s="1"/>
      <c r="K24" s="1"/>
      <c r="L24" s="1"/>
      <c r="M24" s="1"/>
      <c r="N24" s="1"/>
      <c r="O24" s="1"/>
      <c r="P24" s="1"/>
      <c r="Q24" s="1"/>
      <c r="R24" s="1"/>
      <c r="S24" s="76"/>
      <c r="T24" s="230"/>
      <c r="V24" s="180"/>
      <c r="W24" s="216" t="s">
        <v>12</v>
      </c>
      <c r="X24" s="217">
        <v>1.9137999999999999E-2</v>
      </c>
    </row>
    <row r="25" spans="2:24" ht="15" customHeight="1" x14ac:dyDescent="0.25">
      <c r="B25" s="134"/>
      <c r="C25" s="1"/>
      <c r="D25" s="1"/>
      <c r="E25" s="1"/>
      <c r="F25" s="1"/>
      <c r="G25" s="1"/>
      <c r="H25" s="1"/>
      <c r="I25" s="1"/>
      <c r="J25" s="1"/>
      <c r="K25" s="1"/>
      <c r="L25" s="1"/>
      <c r="M25" s="1"/>
      <c r="N25" s="1"/>
      <c r="O25" s="1"/>
      <c r="P25" s="1"/>
      <c r="Q25" s="1"/>
      <c r="R25" s="1"/>
      <c r="S25" s="76"/>
      <c r="T25" s="230"/>
      <c r="V25" s="180"/>
      <c r="W25" s="216" t="s">
        <v>198</v>
      </c>
      <c r="X25" s="217">
        <v>1.8502000000000001E-2</v>
      </c>
    </row>
    <row r="26" spans="2:24" ht="15" customHeight="1" x14ac:dyDescent="0.25">
      <c r="B26" s="134"/>
      <c r="C26" s="1"/>
      <c r="D26" s="1"/>
      <c r="E26" s="1"/>
      <c r="F26" s="1"/>
      <c r="G26" s="1"/>
      <c r="H26" s="1"/>
      <c r="I26" s="1"/>
      <c r="J26" s="1"/>
      <c r="K26" s="1"/>
      <c r="L26" s="1"/>
      <c r="M26" s="1"/>
      <c r="N26" s="1"/>
      <c r="O26" s="1"/>
      <c r="P26" s="1"/>
      <c r="Q26" s="1"/>
      <c r="R26" s="1"/>
      <c r="S26" s="76"/>
      <c r="T26" s="230"/>
      <c r="V26" s="180"/>
      <c r="W26" s="216" t="s">
        <v>28</v>
      </c>
      <c r="X26" s="217">
        <v>1.5151999999999999E-2</v>
      </c>
    </row>
    <row r="27" spans="2:24" ht="15" customHeight="1" x14ac:dyDescent="0.25">
      <c r="B27" s="134"/>
      <c r="C27" s="1"/>
      <c r="D27" s="1"/>
      <c r="E27" s="1"/>
      <c r="F27" s="1"/>
      <c r="G27" s="1"/>
      <c r="H27" s="1"/>
      <c r="I27" s="1"/>
      <c r="J27" s="1"/>
      <c r="K27" s="1"/>
      <c r="L27" s="1"/>
      <c r="M27" s="1"/>
      <c r="N27" s="1"/>
      <c r="O27" s="1"/>
      <c r="P27" s="1"/>
      <c r="Q27" s="1"/>
      <c r="R27" s="1"/>
      <c r="S27" s="76"/>
      <c r="T27" s="230"/>
      <c r="V27" s="180"/>
      <c r="W27" s="216" t="s">
        <v>132</v>
      </c>
      <c r="X27" s="217">
        <v>1.3667E-2</v>
      </c>
    </row>
    <row r="28" spans="2:24" ht="15" customHeight="1" x14ac:dyDescent="0.25">
      <c r="B28" s="134"/>
      <c r="C28" s="1"/>
      <c r="D28" s="1"/>
      <c r="E28" s="1"/>
      <c r="F28" s="1"/>
      <c r="G28" s="1"/>
      <c r="H28" s="1"/>
      <c r="I28" s="1"/>
      <c r="J28" s="1"/>
      <c r="K28" s="1"/>
      <c r="L28" s="1"/>
      <c r="M28" s="1"/>
      <c r="N28" s="1"/>
      <c r="O28" s="1"/>
      <c r="P28" s="1"/>
      <c r="Q28" s="1"/>
      <c r="R28" s="1"/>
      <c r="S28" s="76"/>
      <c r="T28" s="230"/>
      <c r="V28" s="180"/>
      <c r="W28" s="216" t="s">
        <v>19</v>
      </c>
      <c r="X28" s="217">
        <v>7.928000000000001E-3</v>
      </c>
    </row>
    <row r="29" spans="2:24" ht="15" customHeight="1" x14ac:dyDescent="0.25">
      <c r="B29" s="134"/>
      <c r="C29" s="1"/>
      <c r="D29" s="1"/>
      <c r="E29" s="1"/>
      <c r="F29" s="1"/>
      <c r="G29" s="1"/>
      <c r="H29" s="1"/>
      <c r="I29" s="1"/>
      <c r="J29" s="1"/>
      <c r="K29" s="1"/>
      <c r="L29" s="1"/>
      <c r="M29" s="1"/>
      <c r="N29" s="1"/>
      <c r="O29" s="1"/>
      <c r="P29" s="1"/>
      <c r="Q29" s="1"/>
      <c r="R29" s="1"/>
      <c r="S29" s="76"/>
      <c r="T29" s="230"/>
      <c r="V29" s="180"/>
      <c r="W29" s="216" t="s">
        <v>131</v>
      </c>
      <c r="X29" s="217">
        <v>6.4289999999999998E-3</v>
      </c>
    </row>
    <row r="30" spans="2:24" ht="15" customHeight="1" x14ac:dyDescent="0.25">
      <c r="B30" s="134"/>
      <c r="C30" s="1"/>
      <c r="D30" s="1"/>
      <c r="E30" s="1"/>
      <c r="F30" s="1"/>
      <c r="G30" s="1"/>
      <c r="H30" s="1"/>
      <c r="I30" s="1"/>
      <c r="J30" s="1"/>
      <c r="K30" s="1"/>
      <c r="L30" s="1"/>
      <c r="M30" s="1"/>
      <c r="N30" s="1"/>
      <c r="O30" s="1"/>
      <c r="P30" s="1"/>
      <c r="Q30" s="1"/>
      <c r="R30" s="1"/>
      <c r="S30" s="76"/>
      <c r="T30" s="230"/>
      <c r="V30" s="180"/>
      <c r="W30" s="216" t="s">
        <v>206</v>
      </c>
      <c r="X30" s="217">
        <v>5.927E-3</v>
      </c>
    </row>
    <row r="31" spans="2:24" ht="15" customHeight="1" x14ac:dyDescent="0.25">
      <c r="B31" s="134"/>
      <c r="C31" s="1"/>
      <c r="D31" s="1"/>
      <c r="E31" s="1"/>
      <c r="F31" s="1"/>
      <c r="G31" s="1"/>
      <c r="H31" s="1"/>
      <c r="I31" s="1"/>
      <c r="J31" s="1"/>
      <c r="K31" s="1"/>
      <c r="L31" s="1"/>
      <c r="M31" s="1"/>
      <c r="N31" s="1"/>
      <c r="O31" s="1"/>
      <c r="P31" s="1"/>
      <c r="Q31" s="1"/>
      <c r="R31" s="1"/>
      <c r="S31" s="76"/>
      <c r="T31" s="230"/>
      <c r="W31" s="216"/>
      <c r="X31" s="217"/>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200"/>
      <c r="X33" s="201"/>
    </row>
    <row r="34" spans="2:24" ht="15" customHeight="1" x14ac:dyDescent="0.25">
      <c r="B34" s="134"/>
      <c r="C34" s="1"/>
      <c r="D34" s="1"/>
      <c r="E34" s="1"/>
      <c r="F34" s="1"/>
      <c r="G34" s="1"/>
      <c r="H34" s="1"/>
      <c r="I34" s="1"/>
      <c r="J34" s="1"/>
      <c r="K34" s="1"/>
      <c r="L34" s="1"/>
      <c r="M34" s="1"/>
      <c r="N34" s="1"/>
      <c r="O34" s="1"/>
      <c r="P34" s="1"/>
      <c r="Q34" s="1"/>
      <c r="R34" s="1"/>
      <c r="S34" s="76"/>
      <c r="T34" s="230"/>
      <c r="W34" s="200"/>
      <c r="X34" s="201"/>
    </row>
    <row r="35" spans="2:24" ht="15" customHeight="1" x14ac:dyDescent="0.25">
      <c r="B35" s="134"/>
      <c r="C35" s="1"/>
      <c r="D35" s="1"/>
      <c r="E35" s="1"/>
      <c r="F35" s="1"/>
      <c r="G35" s="1"/>
      <c r="H35" s="1"/>
      <c r="I35" s="1"/>
      <c r="J35" s="1"/>
      <c r="K35" s="1"/>
      <c r="L35" s="1"/>
      <c r="M35" s="1"/>
      <c r="N35" s="1"/>
      <c r="O35" s="1"/>
      <c r="P35" s="1"/>
      <c r="Q35" s="1"/>
      <c r="R35" s="1"/>
      <c r="S35" s="76"/>
      <c r="T35" s="230"/>
      <c r="W35" s="200"/>
      <c r="X35" s="202"/>
    </row>
    <row r="36" spans="2:24" ht="15" customHeight="1" x14ac:dyDescent="0.25">
      <c r="B36" s="134"/>
      <c r="C36" s="1"/>
      <c r="D36" s="1"/>
      <c r="E36" s="1"/>
      <c r="F36" s="1"/>
      <c r="G36" s="1"/>
      <c r="H36" s="1"/>
      <c r="I36" s="1"/>
      <c r="J36" s="1"/>
      <c r="K36" s="1"/>
      <c r="L36" s="1"/>
      <c r="M36" s="1"/>
      <c r="N36" s="1"/>
      <c r="O36" s="1"/>
      <c r="P36" s="1"/>
      <c r="Q36" s="1"/>
      <c r="R36" s="1"/>
      <c r="S36" s="76"/>
      <c r="T36" s="230"/>
    </row>
    <row r="37" spans="2:24" ht="15" customHeight="1" x14ac:dyDescent="0.25">
      <c r="B37" s="134"/>
      <c r="C37" s="1"/>
      <c r="D37" s="1"/>
      <c r="E37" s="1"/>
      <c r="F37" s="1"/>
      <c r="G37" s="1"/>
      <c r="H37" s="1"/>
      <c r="I37" s="1"/>
      <c r="J37" s="1"/>
      <c r="K37" s="1"/>
      <c r="L37" s="1"/>
      <c r="M37" s="1"/>
      <c r="N37" s="1"/>
      <c r="O37" s="1"/>
      <c r="P37" s="1"/>
      <c r="Q37" s="1"/>
      <c r="R37" s="1"/>
      <c r="S37" s="76"/>
      <c r="T37" s="230"/>
    </row>
    <row r="38" spans="2:24" ht="15" customHeight="1" x14ac:dyDescent="0.25">
      <c r="B38" s="134"/>
      <c r="C38" s="1"/>
      <c r="D38" s="1"/>
      <c r="E38" s="1"/>
      <c r="F38" s="1"/>
      <c r="G38" s="1"/>
      <c r="H38" s="1"/>
      <c r="I38" s="1"/>
      <c r="J38" s="1"/>
      <c r="K38" s="1"/>
      <c r="L38" s="1"/>
      <c r="M38" s="1"/>
      <c r="N38" s="1"/>
      <c r="O38" s="1"/>
      <c r="P38" s="1"/>
      <c r="Q38" s="1"/>
      <c r="R38" s="1"/>
      <c r="S38" s="76"/>
      <c r="T38" s="230"/>
    </row>
    <row r="39" spans="2:24" ht="15" customHeight="1" x14ac:dyDescent="0.25">
      <c r="B39" s="134"/>
      <c r="C39" s="1"/>
      <c r="D39" s="1"/>
      <c r="E39" s="1"/>
      <c r="F39" s="1"/>
      <c r="G39" s="1"/>
      <c r="H39" s="1"/>
      <c r="I39" s="1"/>
      <c r="J39" s="1"/>
      <c r="K39" s="1"/>
      <c r="L39" s="1"/>
      <c r="M39" s="1"/>
      <c r="N39" s="1"/>
      <c r="O39" s="1"/>
      <c r="P39" s="1"/>
      <c r="Q39" s="1"/>
      <c r="R39" s="1"/>
      <c r="S39" s="76"/>
      <c r="T39" s="230"/>
    </row>
    <row r="40" spans="2:24" ht="15" customHeight="1" x14ac:dyDescent="0.25">
      <c r="B40" s="134"/>
      <c r="C40" s="1"/>
      <c r="D40" s="1"/>
      <c r="E40" s="1"/>
      <c r="F40" s="1"/>
      <c r="G40" s="1"/>
      <c r="H40" s="1"/>
      <c r="I40" s="1"/>
      <c r="J40" s="1"/>
      <c r="K40" s="1"/>
      <c r="L40" s="1"/>
      <c r="M40" s="1"/>
      <c r="N40" s="1"/>
      <c r="O40" s="1"/>
      <c r="P40" s="1"/>
      <c r="Q40" s="1"/>
      <c r="R40" s="1"/>
      <c r="S40" s="76"/>
      <c r="T40" s="230"/>
    </row>
    <row r="41" spans="2:24" ht="15" customHeight="1" x14ac:dyDescent="0.25">
      <c r="B41" s="134"/>
      <c r="C41" s="1"/>
      <c r="D41" s="1"/>
      <c r="E41" s="1"/>
      <c r="F41" s="1"/>
      <c r="G41" s="1"/>
      <c r="H41" s="1"/>
      <c r="I41" s="1"/>
      <c r="J41" s="1"/>
      <c r="K41" s="1"/>
      <c r="L41" s="1"/>
      <c r="M41" s="1"/>
      <c r="N41" s="1"/>
      <c r="O41" s="1"/>
      <c r="P41" s="1"/>
      <c r="Q41" s="1"/>
      <c r="R41" s="1"/>
      <c r="S41" s="76"/>
      <c r="T41" s="230"/>
    </row>
    <row r="42" spans="2:24" ht="15" customHeight="1" x14ac:dyDescent="0.25">
      <c r="B42" s="134"/>
      <c r="C42" s="1"/>
      <c r="D42" s="1"/>
      <c r="E42" s="1"/>
      <c r="F42" s="1"/>
      <c r="G42" s="1"/>
      <c r="H42" s="1"/>
      <c r="I42" s="1"/>
      <c r="J42" s="1"/>
      <c r="K42" s="1"/>
      <c r="L42" s="1"/>
      <c r="M42" s="1"/>
      <c r="N42" s="1"/>
      <c r="O42" s="1"/>
      <c r="P42" s="1"/>
      <c r="Q42" s="1"/>
      <c r="R42" s="1"/>
      <c r="S42" s="76"/>
      <c r="T42" s="230"/>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2"/>
      <c r="T43" s="233"/>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9" t="s">
        <v>127</v>
      </c>
      <c r="C47" s="300"/>
      <c r="D47" s="300"/>
      <c r="E47" s="300"/>
      <c r="F47" s="300"/>
      <c r="G47" s="300"/>
      <c r="H47" s="300"/>
      <c r="I47" s="300"/>
      <c r="J47" s="300"/>
      <c r="K47" s="300"/>
      <c r="L47" s="300"/>
      <c r="M47" s="300"/>
      <c r="N47" s="300"/>
      <c r="O47" s="300"/>
      <c r="P47" s="300"/>
      <c r="Q47" s="300"/>
      <c r="R47" s="301"/>
      <c r="T47" s="76"/>
    </row>
    <row r="48" spans="2:24" ht="15" customHeight="1" x14ac:dyDescent="0.25">
      <c r="B48" s="302"/>
      <c r="C48" s="303"/>
      <c r="D48" s="303"/>
      <c r="E48" s="303"/>
      <c r="F48" s="303"/>
      <c r="G48" s="303"/>
      <c r="H48" s="303"/>
      <c r="I48" s="303"/>
      <c r="J48" s="303"/>
      <c r="K48" s="303"/>
      <c r="L48" s="303"/>
      <c r="M48" s="303"/>
      <c r="N48" s="303"/>
      <c r="O48" s="303"/>
      <c r="P48" s="303"/>
      <c r="Q48" s="303"/>
      <c r="R48" s="304"/>
      <c r="T48" s="76"/>
    </row>
    <row r="49" spans="2:20" ht="15" customHeight="1" x14ac:dyDescent="0.25">
      <c r="B49" s="302"/>
      <c r="C49" s="303"/>
      <c r="D49" s="303"/>
      <c r="E49" s="303"/>
      <c r="F49" s="303"/>
      <c r="G49" s="303"/>
      <c r="H49" s="303"/>
      <c r="I49" s="303"/>
      <c r="J49" s="303"/>
      <c r="K49" s="303"/>
      <c r="L49" s="303"/>
      <c r="M49" s="303"/>
      <c r="N49" s="303"/>
      <c r="O49" s="303"/>
      <c r="P49" s="303"/>
      <c r="Q49" s="303"/>
      <c r="R49" s="304"/>
      <c r="T49" s="76"/>
    </row>
    <row r="50" spans="2:20" ht="15" customHeight="1" x14ac:dyDescent="0.25">
      <c r="B50" s="302"/>
      <c r="C50" s="303"/>
      <c r="D50" s="303"/>
      <c r="E50" s="303"/>
      <c r="F50" s="303"/>
      <c r="G50" s="303"/>
      <c r="H50" s="303"/>
      <c r="I50" s="303"/>
      <c r="J50" s="303"/>
      <c r="K50" s="303"/>
      <c r="L50" s="303"/>
      <c r="M50" s="303"/>
      <c r="N50" s="303"/>
      <c r="O50" s="303"/>
      <c r="P50" s="303"/>
      <c r="Q50" s="303"/>
      <c r="R50" s="304"/>
      <c r="T50" s="76"/>
    </row>
    <row r="51" spans="2:20" ht="15" customHeight="1" x14ac:dyDescent="0.25">
      <c r="B51" s="302"/>
      <c r="C51" s="303"/>
      <c r="D51" s="303"/>
      <c r="E51" s="303"/>
      <c r="F51" s="303"/>
      <c r="G51" s="303"/>
      <c r="H51" s="303"/>
      <c r="I51" s="303"/>
      <c r="J51" s="303"/>
      <c r="K51" s="303"/>
      <c r="L51" s="303"/>
      <c r="M51" s="303"/>
      <c r="N51" s="303"/>
      <c r="O51" s="303"/>
      <c r="P51" s="303"/>
      <c r="Q51" s="303"/>
      <c r="R51" s="304"/>
      <c r="T51" s="76"/>
    </row>
    <row r="52" spans="2:20" ht="15" customHeight="1" x14ac:dyDescent="0.25">
      <c r="B52" s="302"/>
      <c r="C52" s="303"/>
      <c r="D52" s="303"/>
      <c r="E52" s="303"/>
      <c r="F52" s="303"/>
      <c r="G52" s="303"/>
      <c r="H52" s="303"/>
      <c r="I52" s="303"/>
      <c r="J52" s="303"/>
      <c r="K52" s="303"/>
      <c r="L52" s="303"/>
      <c r="M52" s="303"/>
      <c r="N52" s="303"/>
      <c r="O52" s="303"/>
      <c r="P52" s="303"/>
      <c r="Q52" s="303"/>
      <c r="R52" s="304"/>
      <c r="T52" s="76"/>
    </row>
    <row r="53" spans="2:20" ht="15" customHeight="1" thickBot="1" x14ac:dyDescent="0.3">
      <c r="B53" s="305"/>
      <c r="C53" s="306"/>
      <c r="D53" s="306"/>
      <c r="E53" s="306"/>
      <c r="F53" s="306"/>
      <c r="G53" s="306"/>
      <c r="H53" s="306"/>
      <c r="I53" s="306"/>
      <c r="J53" s="306"/>
      <c r="K53" s="306"/>
      <c r="L53" s="306"/>
      <c r="M53" s="306"/>
      <c r="N53" s="306"/>
      <c r="O53" s="306"/>
      <c r="P53" s="306"/>
      <c r="Q53" s="306"/>
      <c r="R53" s="307"/>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86</v>
      </c>
      <c r="D3" s="309"/>
      <c r="E3" s="309"/>
      <c r="F3" s="309"/>
      <c r="G3" s="309"/>
      <c r="H3" s="309"/>
      <c r="I3" s="309"/>
      <c r="J3" s="309"/>
      <c r="K3" s="309"/>
      <c r="L3" s="309"/>
      <c r="M3" s="309"/>
      <c r="N3" s="309"/>
      <c r="O3" s="309"/>
      <c r="P3" s="309"/>
      <c r="Q3" s="309"/>
      <c r="R3" s="309"/>
      <c r="S3" s="310"/>
      <c r="T3" s="230"/>
    </row>
    <row r="4" spans="1:24" ht="15.75" customHeight="1" x14ac:dyDescent="0.25">
      <c r="B4" s="134"/>
      <c r="C4" s="275" t="s">
        <v>253</v>
      </c>
      <c r="D4" s="1"/>
      <c r="E4" s="1"/>
      <c r="F4" s="1"/>
      <c r="G4" s="1"/>
      <c r="H4" s="1"/>
      <c r="I4" s="1"/>
      <c r="J4" s="1"/>
      <c r="K4" s="1"/>
      <c r="L4" s="1"/>
      <c r="M4" s="1"/>
      <c r="N4" s="1"/>
      <c r="O4" s="1"/>
      <c r="P4" s="1"/>
      <c r="Q4" s="1"/>
      <c r="R4" s="1"/>
      <c r="S4" s="76"/>
      <c r="T4" s="230"/>
    </row>
    <row r="5" spans="1:24" ht="18" customHeight="1" x14ac:dyDescent="0.25">
      <c r="B5" s="134"/>
      <c r="C5" s="2" t="s">
        <v>254</v>
      </c>
      <c r="D5" s="311" t="s">
        <v>257</v>
      </c>
      <c r="E5" s="311"/>
      <c r="F5" s="1"/>
      <c r="G5" s="110"/>
      <c r="H5" s="110"/>
      <c r="I5" s="110"/>
      <c r="J5" s="110"/>
      <c r="K5" s="110"/>
      <c r="L5" s="110"/>
      <c r="M5" s="110"/>
      <c r="N5" s="110"/>
      <c r="O5" s="110"/>
      <c r="P5" s="110"/>
      <c r="Q5" s="110"/>
      <c r="R5" s="110"/>
      <c r="S5" s="111"/>
      <c r="T5" s="230"/>
    </row>
    <row r="6" spans="1:24" ht="15" customHeight="1" x14ac:dyDescent="0.25">
      <c r="B6" s="134"/>
      <c r="C6" s="1"/>
      <c r="D6" s="1"/>
      <c r="E6" s="1"/>
      <c r="F6" s="1"/>
      <c r="G6" s="110"/>
      <c r="H6" s="110"/>
      <c r="I6" s="110"/>
      <c r="J6" s="110"/>
      <c r="K6" s="110"/>
      <c r="L6" s="110"/>
      <c r="M6" s="110"/>
      <c r="N6" s="110"/>
      <c r="O6" s="110"/>
      <c r="P6" s="110"/>
      <c r="Q6" s="110"/>
      <c r="R6" s="110"/>
      <c r="S6" s="111"/>
      <c r="T6" s="230"/>
    </row>
    <row r="7" spans="1:24" ht="32.25" customHeight="1" x14ac:dyDescent="0.25">
      <c r="B7" s="134"/>
      <c r="C7" s="66" t="s">
        <v>0</v>
      </c>
      <c r="D7" s="70" t="s">
        <v>1</v>
      </c>
      <c r="E7" s="63" t="s">
        <v>2</v>
      </c>
      <c r="F7" s="1"/>
      <c r="G7" s="1"/>
      <c r="H7" s="1"/>
      <c r="I7" s="1"/>
      <c r="J7" s="1"/>
      <c r="K7" s="1"/>
      <c r="L7" s="1"/>
      <c r="M7" s="1"/>
      <c r="N7" s="1"/>
      <c r="O7" s="1"/>
      <c r="P7" s="1"/>
      <c r="Q7" s="1"/>
      <c r="R7" s="1"/>
      <c r="S7" s="76"/>
      <c r="T7" s="230"/>
      <c r="W7" s="166" t="s">
        <v>25</v>
      </c>
      <c r="X7" s="166" t="s">
        <v>2</v>
      </c>
    </row>
    <row r="8" spans="1:24" ht="15" customHeight="1" x14ac:dyDescent="0.25">
      <c r="B8" s="134"/>
      <c r="C8" s="219" t="s">
        <v>33</v>
      </c>
      <c r="D8" s="94" t="s">
        <v>3</v>
      </c>
      <c r="E8" s="96">
        <v>8.6227999999999999E-2</v>
      </c>
      <c r="F8" s="1"/>
      <c r="G8" s="1"/>
      <c r="H8" s="1"/>
      <c r="I8" s="1"/>
      <c r="J8" s="1"/>
      <c r="K8" s="1"/>
      <c r="L8" s="1"/>
      <c r="M8" s="1"/>
      <c r="N8" s="1"/>
      <c r="O8" s="1"/>
      <c r="P8" s="1"/>
      <c r="Q8" s="1"/>
      <c r="R8" s="1"/>
      <c r="S8" s="76"/>
      <c r="T8" s="230"/>
      <c r="W8" s="216" t="s">
        <v>3</v>
      </c>
      <c r="X8" s="217">
        <v>0.27990500000000001</v>
      </c>
    </row>
    <row r="9" spans="1:24" ht="15.75" customHeight="1" x14ac:dyDescent="0.25">
      <c r="B9" s="134"/>
      <c r="C9" s="220" t="s">
        <v>37</v>
      </c>
      <c r="D9" s="95" t="s">
        <v>3</v>
      </c>
      <c r="E9" s="97">
        <v>8.4693000000000004E-2</v>
      </c>
      <c r="F9" s="1"/>
      <c r="G9" s="1"/>
      <c r="H9" s="1"/>
      <c r="I9" s="1"/>
      <c r="J9" s="1"/>
      <c r="K9" s="1"/>
      <c r="L9" s="1"/>
      <c r="M9" s="1"/>
      <c r="N9" s="1"/>
      <c r="O9" s="1"/>
      <c r="P9" s="1"/>
      <c r="Q9" s="1"/>
      <c r="R9" s="1"/>
      <c r="S9" s="76"/>
      <c r="T9" s="230"/>
      <c r="W9" s="216" t="s">
        <v>187</v>
      </c>
      <c r="X9" s="217">
        <v>0.11115900000000001</v>
      </c>
    </row>
    <row r="10" spans="1:24" ht="15" customHeight="1" x14ac:dyDescent="0.25">
      <c r="B10" s="134"/>
      <c r="C10" s="220" t="s">
        <v>122</v>
      </c>
      <c r="D10" s="95" t="s">
        <v>3</v>
      </c>
      <c r="E10" s="97">
        <v>7.0505999999999999E-2</v>
      </c>
      <c r="F10" s="1"/>
      <c r="G10" s="1"/>
      <c r="H10" s="1"/>
      <c r="I10" s="1"/>
      <c r="J10" s="1"/>
      <c r="K10" s="1"/>
      <c r="L10" s="1"/>
      <c r="M10" s="1"/>
      <c r="N10" s="1"/>
      <c r="O10" s="1"/>
      <c r="P10" s="1"/>
      <c r="Q10" s="1"/>
      <c r="R10" s="1"/>
      <c r="S10" s="76"/>
      <c r="T10" s="230"/>
      <c r="W10" s="216" t="s">
        <v>194</v>
      </c>
      <c r="X10" s="217">
        <v>9.1383000000000006E-2</v>
      </c>
    </row>
    <row r="11" spans="1:24" ht="15" customHeight="1" x14ac:dyDescent="0.25">
      <c r="B11" s="134"/>
      <c r="C11" s="220" t="s">
        <v>36</v>
      </c>
      <c r="D11" s="95" t="s">
        <v>6</v>
      </c>
      <c r="E11" s="97">
        <v>6.2361E-2</v>
      </c>
      <c r="F11" s="1"/>
      <c r="G11" s="1"/>
      <c r="H11" s="1"/>
      <c r="I11" s="1"/>
      <c r="J11" s="1"/>
      <c r="K11" s="1"/>
      <c r="L11" s="1"/>
      <c r="M11" s="1"/>
      <c r="N11" s="1"/>
      <c r="O11" s="1"/>
      <c r="P11" s="1"/>
      <c r="Q11" s="1"/>
      <c r="R11" s="1"/>
      <c r="S11" s="76"/>
      <c r="T11" s="230"/>
      <c r="W11" s="216" t="s">
        <v>6</v>
      </c>
      <c r="X11" s="217">
        <v>6.2361E-2</v>
      </c>
    </row>
    <row r="12" spans="1:24" ht="15" customHeight="1" x14ac:dyDescent="0.25">
      <c r="B12" s="134"/>
      <c r="C12" s="220" t="s">
        <v>32</v>
      </c>
      <c r="D12" s="95" t="s">
        <v>187</v>
      </c>
      <c r="E12" s="97">
        <v>4.4687999999999999E-2</v>
      </c>
      <c r="F12" s="1"/>
      <c r="G12" s="1"/>
      <c r="H12" s="1"/>
      <c r="I12" s="1"/>
      <c r="J12" s="1"/>
      <c r="K12" s="1"/>
      <c r="L12" s="1"/>
      <c r="M12" s="1"/>
      <c r="N12" s="1"/>
      <c r="O12" s="1"/>
      <c r="P12" s="1"/>
      <c r="Q12" s="1"/>
      <c r="R12" s="1"/>
      <c r="S12" s="76"/>
      <c r="T12" s="230"/>
      <c r="W12" s="216" t="s">
        <v>199</v>
      </c>
      <c r="X12" s="217">
        <v>5.5765000000000002E-2</v>
      </c>
    </row>
    <row r="13" spans="1:24" ht="15" customHeight="1" x14ac:dyDescent="0.25">
      <c r="B13" s="134"/>
      <c r="C13" s="220" t="s">
        <v>124</v>
      </c>
      <c r="D13" s="95" t="s">
        <v>4</v>
      </c>
      <c r="E13" s="97">
        <v>3.2598000000000002E-2</v>
      </c>
      <c r="F13" s="1"/>
      <c r="G13" s="1"/>
      <c r="H13" s="1"/>
      <c r="I13" s="1"/>
      <c r="J13" s="1"/>
      <c r="K13" s="1"/>
      <c r="L13" s="1"/>
      <c r="M13" s="1"/>
      <c r="N13" s="1"/>
      <c r="O13" s="1"/>
      <c r="P13" s="1"/>
      <c r="Q13" s="1"/>
      <c r="R13" s="1"/>
      <c r="S13" s="76"/>
      <c r="T13" s="230"/>
      <c r="W13" s="216" t="s">
        <v>4</v>
      </c>
      <c r="X13" s="217">
        <v>5.0972000000000003E-2</v>
      </c>
    </row>
    <row r="14" spans="1:24" ht="15" customHeight="1" x14ac:dyDescent="0.25">
      <c r="B14" s="134"/>
      <c r="C14" s="220" t="s">
        <v>150</v>
      </c>
      <c r="D14" s="95" t="s">
        <v>194</v>
      </c>
      <c r="E14" s="97">
        <v>3.2529000000000002E-2</v>
      </c>
      <c r="F14" s="1"/>
      <c r="G14" s="1"/>
      <c r="H14" s="1"/>
      <c r="I14" s="1"/>
      <c r="J14" s="1"/>
      <c r="K14" s="1"/>
      <c r="L14" s="1"/>
      <c r="M14" s="1"/>
      <c r="N14" s="1"/>
      <c r="O14" s="1"/>
      <c r="P14" s="1"/>
      <c r="Q14" s="1"/>
      <c r="R14" s="1"/>
      <c r="S14" s="76"/>
      <c r="T14" s="230"/>
      <c r="W14" s="216" t="s">
        <v>198</v>
      </c>
      <c r="X14" s="217">
        <v>4.4292000000000005E-2</v>
      </c>
    </row>
    <row r="15" spans="1:24" ht="15" customHeight="1" x14ac:dyDescent="0.25">
      <c r="B15" s="134"/>
      <c r="C15" s="220" t="s">
        <v>35</v>
      </c>
      <c r="D15" s="95" t="s">
        <v>199</v>
      </c>
      <c r="E15" s="97">
        <v>3.0345E-2</v>
      </c>
      <c r="F15" s="1"/>
      <c r="G15" s="1"/>
      <c r="H15" s="1"/>
      <c r="I15" s="1"/>
      <c r="J15" s="1"/>
      <c r="K15" s="1"/>
      <c r="L15" s="1"/>
      <c r="M15" s="1"/>
      <c r="N15" s="1"/>
      <c r="O15" s="1"/>
      <c r="P15" s="1"/>
      <c r="Q15" s="1"/>
      <c r="R15" s="1"/>
      <c r="S15" s="76"/>
      <c r="T15" s="230"/>
      <c r="W15" s="216" t="s">
        <v>19</v>
      </c>
      <c r="X15" s="217">
        <v>4.3232000000000007E-2</v>
      </c>
    </row>
    <row r="16" spans="1:24" ht="15" customHeight="1" x14ac:dyDescent="0.25">
      <c r="B16" s="134"/>
      <c r="C16" s="220" t="s">
        <v>159</v>
      </c>
      <c r="D16" s="95" t="s">
        <v>187</v>
      </c>
      <c r="E16" s="97">
        <v>2.9926999999999999E-2</v>
      </c>
      <c r="F16" s="1"/>
      <c r="G16" s="1"/>
      <c r="H16" s="1"/>
      <c r="I16" s="1"/>
      <c r="J16" s="1"/>
      <c r="K16" s="1"/>
      <c r="L16" s="1"/>
      <c r="M16" s="1"/>
      <c r="N16" s="1"/>
      <c r="O16" s="1"/>
      <c r="P16" s="1"/>
      <c r="Q16" s="1"/>
      <c r="R16" s="1"/>
      <c r="S16" s="76"/>
      <c r="T16" s="230"/>
      <c r="W16" s="216" t="s">
        <v>193</v>
      </c>
      <c r="X16" s="217">
        <v>4.1005E-2</v>
      </c>
    </row>
    <row r="17" spans="2:24" ht="15" customHeight="1" x14ac:dyDescent="0.25">
      <c r="B17" s="134"/>
      <c r="C17" s="220" t="s">
        <v>40</v>
      </c>
      <c r="D17" s="95" t="s">
        <v>3</v>
      </c>
      <c r="E17" s="97">
        <v>2.6256999999999999E-2</v>
      </c>
      <c r="F17" s="1"/>
      <c r="G17" s="1"/>
      <c r="H17" s="1"/>
      <c r="I17" s="1"/>
      <c r="J17" s="1"/>
      <c r="K17" s="1"/>
      <c r="L17" s="1"/>
      <c r="M17" s="1"/>
      <c r="N17" s="1"/>
      <c r="O17" s="1"/>
      <c r="P17" s="1"/>
      <c r="Q17" s="1"/>
      <c r="R17" s="1"/>
      <c r="S17" s="76"/>
      <c r="T17" s="230"/>
      <c r="W17" s="216" t="s">
        <v>26</v>
      </c>
      <c r="X17" s="217">
        <v>3.8935999999999998E-2</v>
      </c>
    </row>
    <row r="18" spans="2:24" ht="15" customHeight="1" x14ac:dyDescent="0.25">
      <c r="B18" s="134"/>
      <c r="C18" s="220" t="s">
        <v>100</v>
      </c>
      <c r="D18" s="95" t="s">
        <v>14</v>
      </c>
      <c r="E18" s="97">
        <v>2.6036E-2</v>
      </c>
      <c r="F18" s="1"/>
      <c r="G18" s="1"/>
      <c r="H18" s="1"/>
      <c r="I18" s="1"/>
      <c r="J18" s="1"/>
      <c r="K18" s="1"/>
      <c r="L18" s="1"/>
      <c r="M18" s="1"/>
      <c r="N18" s="1"/>
      <c r="O18" s="1"/>
      <c r="P18" s="1"/>
      <c r="Q18" s="1"/>
      <c r="R18" s="1"/>
      <c r="S18" s="76"/>
      <c r="T18" s="230"/>
      <c r="W18" s="216" t="s">
        <v>130</v>
      </c>
      <c r="X18" s="217">
        <v>2.7053000000000001E-2</v>
      </c>
    </row>
    <row r="19" spans="2:24" ht="15" customHeight="1" x14ac:dyDescent="0.25">
      <c r="B19" s="134"/>
      <c r="C19" s="220" t="s">
        <v>38</v>
      </c>
      <c r="D19" s="95" t="s">
        <v>187</v>
      </c>
      <c r="E19" s="97">
        <v>2.5857000000000002E-2</v>
      </c>
      <c r="F19" s="1"/>
      <c r="G19" s="1"/>
      <c r="H19" s="1"/>
      <c r="I19" s="1"/>
      <c r="J19" s="1"/>
      <c r="K19" s="1"/>
      <c r="L19" s="1"/>
      <c r="M19" s="1"/>
      <c r="N19" s="1"/>
      <c r="O19" s="1"/>
      <c r="P19" s="1"/>
      <c r="Q19" s="1"/>
      <c r="R19" s="1"/>
      <c r="S19" s="76"/>
      <c r="T19" s="230"/>
      <c r="W19" s="216" t="s">
        <v>14</v>
      </c>
      <c r="X19" s="217">
        <v>2.6036E-2</v>
      </c>
    </row>
    <row r="20" spans="2:24" ht="15" customHeight="1" x14ac:dyDescent="0.25">
      <c r="B20" s="134"/>
      <c r="C20" s="220" t="s">
        <v>42</v>
      </c>
      <c r="D20" s="95" t="s">
        <v>199</v>
      </c>
      <c r="E20" s="97">
        <v>2.5420000000000002E-2</v>
      </c>
      <c r="F20" s="1"/>
      <c r="G20" s="1"/>
      <c r="H20" s="1"/>
      <c r="I20" s="1"/>
      <c r="J20" s="1"/>
      <c r="K20" s="1"/>
      <c r="L20" s="1"/>
      <c r="M20" s="1"/>
      <c r="N20" s="1"/>
      <c r="O20" s="1"/>
      <c r="P20" s="1"/>
      <c r="Q20" s="1"/>
      <c r="R20" s="1"/>
      <c r="S20" s="76"/>
      <c r="T20" s="230"/>
      <c r="W20" s="216" t="s">
        <v>129</v>
      </c>
      <c r="X20" s="217">
        <v>2.0299999999999999E-2</v>
      </c>
    </row>
    <row r="21" spans="2:24" ht="15" customHeight="1" x14ac:dyDescent="0.25">
      <c r="B21" s="134"/>
      <c r="C21" s="220" t="s">
        <v>39</v>
      </c>
      <c r="D21" s="95" t="s">
        <v>26</v>
      </c>
      <c r="E21" s="97">
        <v>2.3990999999999998E-2</v>
      </c>
      <c r="F21" s="1"/>
      <c r="G21" s="1"/>
      <c r="H21" s="1"/>
      <c r="I21" s="1"/>
      <c r="J21" s="1"/>
      <c r="K21" s="1"/>
      <c r="L21" s="1"/>
      <c r="M21" s="1"/>
      <c r="N21" s="1"/>
      <c r="O21" s="1"/>
      <c r="P21" s="1"/>
      <c r="Q21" s="1"/>
      <c r="R21" s="1"/>
      <c r="S21" s="76"/>
      <c r="T21" s="230"/>
      <c r="W21" s="216" t="s">
        <v>203</v>
      </c>
      <c r="X21" s="217">
        <v>1.9584000000000001E-2</v>
      </c>
    </row>
    <row r="22" spans="2:24" ht="15" customHeight="1" x14ac:dyDescent="0.25">
      <c r="B22" s="134"/>
      <c r="C22" s="220" t="s">
        <v>205</v>
      </c>
      <c r="D22" s="95" t="s">
        <v>130</v>
      </c>
      <c r="E22" s="97">
        <v>2.1301E-2</v>
      </c>
      <c r="F22" s="1"/>
      <c r="G22" s="1"/>
      <c r="H22" s="1"/>
      <c r="I22" s="1"/>
      <c r="J22" s="1"/>
      <c r="K22" s="1"/>
      <c r="L22" s="1"/>
      <c r="M22" s="1"/>
      <c r="N22" s="1"/>
      <c r="O22" s="1"/>
      <c r="P22" s="1"/>
      <c r="Q22" s="1"/>
      <c r="R22" s="1"/>
      <c r="S22" s="76"/>
      <c r="T22" s="230"/>
      <c r="W22" s="216" t="s">
        <v>195</v>
      </c>
      <c r="X22" s="217">
        <v>1.9259999999999999E-2</v>
      </c>
    </row>
    <row r="23" spans="2:24" ht="15" customHeight="1" x14ac:dyDescent="0.25">
      <c r="B23" s="134"/>
      <c r="C23" s="68"/>
      <c r="D23" s="68"/>
      <c r="E23" s="90"/>
      <c r="F23" s="1"/>
      <c r="G23" s="1"/>
      <c r="H23" s="1"/>
      <c r="I23" s="1"/>
      <c r="J23" s="1"/>
      <c r="K23" s="1"/>
      <c r="L23" s="1"/>
      <c r="M23" s="1"/>
      <c r="N23" s="1"/>
      <c r="O23" s="1"/>
      <c r="P23" s="1"/>
      <c r="Q23" s="1"/>
      <c r="R23" s="1"/>
      <c r="S23" s="76"/>
      <c r="T23" s="230"/>
      <c r="W23" s="216" t="s">
        <v>27</v>
      </c>
      <c r="X23" s="217">
        <v>1.7575E-2</v>
      </c>
    </row>
    <row r="24" spans="2:24" ht="15" customHeight="1" x14ac:dyDescent="0.25">
      <c r="B24" s="134"/>
      <c r="C24" s="69" t="s">
        <v>68</v>
      </c>
      <c r="D24" s="71"/>
      <c r="E24" s="64">
        <f>SUM(E8:E23)</f>
        <v>0.62273699999999999</v>
      </c>
      <c r="F24" s="1"/>
      <c r="G24" s="1"/>
      <c r="H24" s="1"/>
      <c r="I24" s="1"/>
      <c r="J24" s="1"/>
      <c r="K24" s="1"/>
      <c r="L24" s="1"/>
      <c r="M24" s="1"/>
      <c r="N24" s="1"/>
      <c r="O24" s="1"/>
      <c r="P24" s="1"/>
      <c r="Q24" s="1"/>
      <c r="R24" s="1"/>
      <c r="S24" s="76"/>
      <c r="T24" s="230"/>
      <c r="W24" s="216" t="s">
        <v>196</v>
      </c>
      <c r="X24" s="217">
        <v>1.3941E-2</v>
      </c>
    </row>
    <row r="25" spans="2:24" ht="15" customHeight="1" x14ac:dyDescent="0.25">
      <c r="B25" s="134"/>
      <c r="C25" s="1"/>
      <c r="D25" s="1"/>
      <c r="E25" s="1"/>
      <c r="F25" s="1"/>
      <c r="G25" s="1"/>
      <c r="H25" s="1"/>
      <c r="I25" s="1"/>
      <c r="J25" s="1"/>
      <c r="K25" s="1"/>
      <c r="L25" s="1"/>
      <c r="M25" s="1"/>
      <c r="N25" s="1"/>
      <c r="O25" s="1"/>
      <c r="P25" s="1"/>
      <c r="Q25" s="1"/>
      <c r="R25" s="1"/>
      <c r="S25" s="76"/>
      <c r="T25" s="230"/>
      <c r="W25" s="216" t="s">
        <v>132</v>
      </c>
      <c r="X25" s="217">
        <v>1.3018999999999999E-2</v>
      </c>
    </row>
    <row r="26" spans="2:24" ht="15" customHeight="1" x14ac:dyDescent="0.25">
      <c r="B26" s="134"/>
      <c r="C26" s="1"/>
      <c r="D26" s="1"/>
      <c r="E26" s="1"/>
      <c r="F26" s="1"/>
      <c r="G26" s="1"/>
      <c r="H26" s="1"/>
      <c r="I26" s="1"/>
      <c r="J26" s="1"/>
      <c r="K26" s="1"/>
      <c r="L26" s="1"/>
      <c r="M26" s="1"/>
      <c r="N26" s="1"/>
      <c r="O26" s="1"/>
      <c r="P26" s="1"/>
      <c r="Q26" s="1"/>
      <c r="R26" s="1"/>
      <c r="S26" s="76"/>
      <c r="T26" s="230"/>
      <c r="W26" s="216" t="s">
        <v>201</v>
      </c>
      <c r="X26" s="217">
        <v>1.1844E-2</v>
      </c>
    </row>
    <row r="27" spans="2:24" ht="15" customHeight="1" x14ac:dyDescent="0.25">
      <c r="B27" s="134"/>
      <c r="C27" s="1"/>
      <c r="D27" s="1"/>
      <c r="E27" s="1"/>
      <c r="F27" s="1"/>
      <c r="G27" s="1"/>
      <c r="H27" s="1"/>
      <c r="I27" s="1"/>
      <c r="J27" s="1"/>
      <c r="K27" s="1"/>
      <c r="L27" s="1"/>
      <c r="M27" s="1"/>
      <c r="N27" s="1"/>
      <c r="O27" s="1"/>
      <c r="P27" s="1"/>
      <c r="Q27" s="1"/>
      <c r="R27" s="1"/>
      <c r="S27" s="76"/>
      <c r="T27" s="230"/>
      <c r="W27" s="216" t="s">
        <v>117</v>
      </c>
      <c r="X27" s="217">
        <v>4.7650000000000001E-3</v>
      </c>
    </row>
    <row r="28" spans="2:24" ht="15" customHeight="1" x14ac:dyDescent="0.25">
      <c r="B28" s="134"/>
      <c r="C28" s="1"/>
      <c r="D28" s="1"/>
      <c r="E28" s="1"/>
      <c r="F28" s="1"/>
      <c r="G28" s="1"/>
      <c r="H28" s="1"/>
      <c r="I28" s="1"/>
      <c r="J28" s="1"/>
      <c r="K28" s="1"/>
      <c r="L28" s="1"/>
      <c r="M28" s="1"/>
      <c r="N28" s="1"/>
      <c r="O28" s="1"/>
      <c r="P28" s="1"/>
      <c r="Q28" s="1"/>
      <c r="R28" s="1"/>
      <c r="S28" s="76"/>
      <c r="T28" s="230"/>
      <c r="W28" s="216" t="s">
        <v>204</v>
      </c>
      <c r="X28" s="217">
        <v>3.0330000000000001E-3</v>
      </c>
    </row>
    <row r="29" spans="2:24" ht="15" customHeight="1" x14ac:dyDescent="0.25">
      <c r="B29" s="134"/>
      <c r="C29" s="1"/>
      <c r="D29" s="1"/>
      <c r="E29" s="1"/>
      <c r="F29" s="1"/>
      <c r="G29" s="1"/>
      <c r="H29" s="1"/>
      <c r="I29" s="1"/>
      <c r="J29" s="1"/>
      <c r="K29" s="1"/>
      <c r="L29" s="1"/>
      <c r="M29" s="1"/>
      <c r="N29" s="1"/>
      <c r="O29" s="1"/>
      <c r="P29" s="1"/>
      <c r="Q29" s="1"/>
      <c r="R29" s="1"/>
      <c r="S29" s="76"/>
      <c r="T29" s="230"/>
      <c r="W29" s="216"/>
      <c r="X29" s="217"/>
    </row>
    <row r="30" spans="2:24" ht="15" customHeight="1" x14ac:dyDescent="0.25">
      <c r="B30" s="134"/>
      <c r="C30" s="1"/>
      <c r="D30" s="1"/>
      <c r="E30" s="1"/>
      <c r="F30" s="1"/>
      <c r="G30" s="1"/>
      <c r="H30" s="1"/>
      <c r="I30" s="1"/>
      <c r="J30" s="1"/>
      <c r="K30" s="1"/>
      <c r="L30" s="1"/>
      <c r="M30" s="1"/>
      <c r="N30" s="1"/>
      <c r="O30" s="1"/>
      <c r="P30" s="1"/>
      <c r="Q30" s="1"/>
      <c r="R30" s="1"/>
      <c r="S30" s="76"/>
      <c r="T30" s="230"/>
      <c r="W30" s="200"/>
      <c r="X30" s="201"/>
    </row>
    <row r="31" spans="2:24" ht="15" customHeight="1" x14ac:dyDescent="0.25">
      <c r="B31" s="134"/>
      <c r="C31" s="1"/>
      <c r="D31" s="1"/>
      <c r="E31" s="1"/>
      <c r="F31" s="1"/>
      <c r="G31" s="1"/>
      <c r="H31" s="1"/>
      <c r="I31" s="1"/>
      <c r="J31" s="1"/>
      <c r="K31" s="1"/>
      <c r="L31" s="1"/>
      <c r="M31" s="1"/>
      <c r="N31" s="1"/>
      <c r="O31" s="1"/>
      <c r="P31" s="1"/>
      <c r="Q31" s="1"/>
      <c r="R31" s="1"/>
      <c r="S31" s="76"/>
      <c r="T31" s="230"/>
      <c r="W31" s="200"/>
      <c r="X31" s="201"/>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166"/>
      <c r="X33" s="166"/>
    </row>
    <row r="34" spans="2:24" ht="15" customHeight="1" x14ac:dyDescent="0.25">
      <c r="B34" s="134"/>
      <c r="C34" s="1"/>
      <c r="D34" s="1"/>
      <c r="E34" s="1"/>
      <c r="F34" s="1"/>
      <c r="G34" s="1"/>
      <c r="H34" s="1"/>
      <c r="I34" s="1"/>
      <c r="J34" s="1"/>
      <c r="K34" s="1"/>
      <c r="L34" s="1"/>
      <c r="M34" s="1"/>
      <c r="N34" s="1"/>
      <c r="O34" s="1"/>
      <c r="P34" s="1"/>
      <c r="Q34" s="1"/>
      <c r="R34" s="1"/>
      <c r="S34" s="76"/>
      <c r="T34" s="230"/>
      <c r="W34" s="166"/>
      <c r="X34" s="166"/>
    </row>
    <row r="35" spans="2:24" ht="15" customHeight="1" x14ac:dyDescent="0.25">
      <c r="B35" s="134"/>
      <c r="C35" s="1"/>
      <c r="D35" s="1"/>
      <c r="E35" s="1"/>
      <c r="F35" s="1"/>
      <c r="G35" s="1"/>
      <c r="H35" s="1"/>
      <c r="I35" s="1"/>
      <c r="J35" s="1"/>
      <c r="K35" s="1"/>
      <c r="L35" s="1"/>
      <c r="M35" s="1"/>
      <c r="N35" s="1"/>
      <c r="O35" s="1"/>
      <c r="P35" s="1"/>
      <c r="Q35" s="1"/>
      <c r="R35" s="1"/>
      <c r="S35" s="76"/>
      <c r="T35" s="230"/>
      <c r="W35" s="166"/>
      <c r="X35" s="166"/>
    </row>
    <row r="36" spans="2:24" ht="15" customHeight="1" x14ac:dyDescent="0.25">
      <c r="B36" s="134"/>
      <c r="C36" s="1"/>
      <c r="D36" s="1"/>
      <c r="E36" s="1"/>
      <c r="F36" s="1"/>
      <c r="G36" s="1"/>
      <c r="H36" s="1"/>
      <c r="I36" s="1"/>
      <c r="J36" s="1"/>
      <c r="K36" s="1"/>
      <c r="L36" s="1"/>
      <c r="M36" s="1"/>
      <c r="N36" s="1"/>
      <c r="O36" s="1"/>
      <c r="P36" s="1"/>
      <c r="Q36" s="1"/>
      <c r="R36" s="1"/>
      <c r="S36" s="76"/>
      <c r="T36" s="230"/>
      <c r="W36" s="166"/>
      <c r="X36" s="166"/>
    </row>
    <row r="37" spans="2:24" ht="15" customHeight="1" x14ac:dyDescent="0.25">
      <c r="B37" s="134"/>
      <c r="C37" s="1"/>
      <c r="D37" s="1"/>
      <c r="E37" s="1"/>
      <c r="F37" s="1"/>
      <c r="G37" s="1"/>
      <c r="H37" s="1"/>
      <c r="I37" s="1"/>
      <c r="J37" s="1"/>
      <c r="K37" s="1"/>
      <c r="L37" s="1"/>
      <c r="M37" s="1"/>
      <c r="N37" s="1"/>
      <c r="O37" s="1"/>
      <c r="P37" s="1"/>
      <c r="Q37" s="1"/>
      <c r="R37" s="1"/>
      <c r="S37" s="76"/>
      <c r="T37" s="230"/>
      <c r="W37" s="166"/>
      <c r="X37" s="166"/>
    </row>
    <row r="38" spans="2:24" ht="15" customHeight="1" x14ac:dyDescent="0.25">
      <c r="B38" s="134"/>
      <c r="C38" s="1"/>
      <c r="D38" s="1"/>
      <c r="E38" s="1"/>
      <c r="F38" s="1"/>
      <c r="G38" s="1"/>
      <c r="H38" s="1"/>
      <c r="I38" s="1"/>
      <c r="J38" s="1"/>
      <c r="K38" s="1"/>
      <c r="L38" s="1"/>
      <c r="M38" s="1"/>
      <c r="N38" s="1"/>
      <c r="O38" s="1"/>
      <c r="P38" s="1"/>
      <c r="Q38" s="1"/>
      <c r="R38" s="1"/>
      <c r="S38" s="76"/>
      <c r="T38" s="230"/>
      <c r="W38" s="166"/>
      <c r="X38" s="166"/>
    </row>
    <row r="39" spans="2:24" ht="15.75" customHeight="1" x14ac:dyDescent="0.25">
      <c r="B39" s="134"/>
      <c r="C39" s="1"/>
      <c r="D39" s="1"/>
      <c r="E39" s="1"/>
      <c r="F39" s="1"/>
      <c r="G39" s="1"/>
      <c r="H39" s="1"/>
      <c r="I39" s="1"/>
      <c r="J39" s="1"/>
      <c r="K39" s="1"/>
      <c r="L39" s="1"/>
      <c r="M39" s="1"/>
      <c r="N39" s="1"/>
      <c r="O39" s="1"/>
      <c r="P39" s="1"/>
      <c r="Q39" s="1"/>
      <c r="R39" s="1"/>
      <c r="S39" s="76"/>
      <c r="T39" s="230"/>
    </row>
    <row r="40" spans="2:24" ht="15" hidden="1" customHeight="1" x14ac:dyDescent="0.25">
      <c r="B40" s="134"/>
      <c r="C40" s="1"/>
      <c r="D40" s="1"/>
      <c r="E40" s="1"/>
      <c r="F40" s="1"/>
      <c r="G40" s="1"/>
      <c r="H40" s="1"/>
      <c r="I40" s="1"/>
      <c r="J40" s="1"/>
      <c r="K40" s="1"/>
      <c r="L40" s="1"/>
      <c r="M40" s="1"/>
      <c r="N40" s="1"/>
      <c r="O40" s="1"/>
      <c r="P40" s="1"/>
      <c r="Q40" s="1"/>
      <c r="R40" s="1"/>
      <c r="S40" s="76"/>
      <c r="T40" s="230"/>
    </row>
    <row r="41" spans="2:24" ht="15" hidden="1" customHeight="1" x14ac:dyDescent="0.25">
      <c r="B41" s="134"/>
      <c r="C41" s="1"/>
      <c r="D41" s="1"/>
      <c r="E41" s="1"/>
      <c r="F41" s="1"/>
      <c r="G41" s="1"/>
      <c r="H41" s="1"/>
      <c r="I41" s="1"/>
      <c r="J41" s="1"/>
      <c r="K41" s="1"/>
      <c r="L41" s="1"/>
      <c r="M41" s="1"/>
      <c r="N41" s="1"/>
      <c r="O41" s="1"/>
      <c r="P41" s="1"/>
      <c r="Q41" s="1"/>
      <c r="R41" s="1"/>
      <c r="S41" s="76"/>
      <c r="T41" s="230"/>
    </row>
    <row r="42" spans="2:24" ht="15" hidden="1" customHeight="1" x14ac:dyDescent="0.25">
      <c r="B42" s="134"/>
      <c r="C42" s="1"/>
      <c r="D42" s="1"/>
      <c r="E42" s="1"/>
      <c r="F42" s="1"/>
      <c r="G42" s="1"/>
      <c r="H42" s="1"/>
      <c r="I42" s="1"/>
      <c r="J42" s="1"/>
      <c r="K42" s="1"/>
      <c r="L42" s="1"/>
      <c r="M42" s="1"/>
      <c r="N42" s="1"/>
      <c r="O42" s="1"/>
      <c r="P42" s="1"/>
      <c r="Q42" s="1"/>
      <c r="R42" s="1"/>
      <c r="S42" s="76"/>
      <c r="T42" s="230"/>
    </row>
    <row r="43" spans="2:24" ht="15" hidden="1" customHeight="1" x14ac:dyDescent="0.25">
      <c r="B43" s="134"/>
      <c r="C43" s="1"/>
      <c r="D43" s="1"/>
      <c r="E43" s="1"/>
      <c r="F43" s="1"/>
      <c r="G43" s="1"/>
      <c r="H43" s="1"/>
      <c r="I43" s="1"/>
      <c r="J43" s="1"/>
      <c r="K43" s="1"/>
      <c r="L43" s="1"/>
      <c r="M43" s="1"/>
      <c r="N43" s="1"/>
      <c r="O43" s="1"/>
      <c r="P43" s="1"/>
      <c r="Q43" s="1"/>
      <c r="R43" s="1"/>
      <c r="S43" s="76"/>
      <c r="T43" s="230"/>
    </row>
    <row r="44" spans="2:24" ht="15" hidden="1" customHeight="1" x14ac:dyDescent="0.25">
      <c r="B44" s="134"/>
      <c r="C44" s="1"/>
      <c r="D44" s="1"/>
      <c r="E44" s="1"/>
      <c r="F44" s="1"/>
      <c r="G44" s="1"/>
      <c r="H44" s="1"/>
      <c r="I44" s="1"/>
      <c r="J44" s="1"/>
      <c r="K44" s="1"/>
      <c r="L44" s="1"/>
      <c r="M44" s="1"/>
      <c r="N44" s="1"/>
      <c r="O44" s="1"/>
      <c r="P44" s="1"/>
      <c r="Q44" s="1"/>
      <c r="R44" s="1"/>
      <c r="S44" s="76"/>
      <c r="T44" s="230"/>
    </row>
    <row r="45" spans="2:24" ht="15" hidden="1" customHeight="1" x14ac:dyDescent="0.25">
      <c r="B45" s="134"/>
      <c r="C45" s="1"/>
      <c r="D45" s="1"/>
      <c r="E45" s="1"/>
      <c r="F45" s="1"/>
      <c r="G45" s="1"/>
      <c r="H45" s="1"/>
      <c r="I45" s="1"/>
      <c r="J45" s="1"/>
      <c r="K45" s="1"/>
      <c r="L45" s="1"/>
      <c r="M45" s="1"/>
      <c r="N45" s="1"/>
      <c r="O45" s="1"/>
      <c r="P45" s="1"/>
      <c r="Q45" s="1"/>
      <c r="R45" s="1"/>
      <c r="S45" s="76"/>
      <c r="T45" s="230"/>
    </row>
    <row r="46" spans="2:24" ht="15" hidden="1" customHeight="1" x14ac:dyDescent="0.25">
      <c r="B46" s="134"/>
      <c r="C46" s="1"/>
      <c r="D46" s="1"/>
      <c r="E46" s="1"/>
      <c r="F46" s="1"/>
      <c r="G46" s="1"/>
      <c r="H46" s="1"/>
      <c r="I46" s="1"/>
      <c r="J46" s="1"/>
      <c r="K46" s="1"/>
      <c r="L46" s="1"/>
      <c r="M46" s="1"/>
      <c r="N46" s="1"/>
      <c r="O46" s="1"/>
      <c r="P46" s="1"/>
      <c r="Q46" s="1"/>
      <c r="R46" s="1"/>
      <c r="S46" s="76"/>
      <c r="T46" s="230"/>
    </row>
    <row r="47" spans="2:24" ht="15" hidden="1" customHeight="1" x14ac:dyDescent="0.25">
      <c r="B47" s="134"/>
      <c r="C47" s="1"/>
      <c r="D47" s="1"/>
      <c r="E47" s="1"/>
      <c r="F47" s="1"/>
      <c r="G47" s="1"/>
      <c r="H47" s="1"/>
      <c r="I47" s="1"/>
      <c r="J47" s="1"/>
      <c r="K47" s="1"/>
      <c r="L47" s="1"/>
      <c r="M47" s="1"/>
      <c r="N47" s="1"/>
      <c r="O47" s="1"/>
      <c r="P47" s="1"/>
      <c r="Q47" s="1"/>
      <c r="R47" s="1"/>
      <c r="S47" s="76"/>
      <c r="T47" s="230"/>
    </row>
    <row r="48" spans="2:24" ht="15" hidden="1" customHeight="1" x14ac:dyDescent="0.25">
      <c r="B48" s="134"/>
      <c r="C48" s="1"/>
      <c r="D48" s="1"/>
      <c r="E48" s="1"/>
      <c r="F48" s="1"/>
      <c r="G48" s="1"/>
      <c r="H48" s="1"/>
      <c r="I48" s="1"/>
      <c r="J48" s="1"/>
      <c r="K48" s="1"/>
      <c r="L48" s="1"/>
      <c r="M48" s="1"/>
      <c r="N48" s="1"/>
      <c r="O48" s="1"/>
      <c r="P48" s="1"/>
      <c r="Q48" s="1"/>
      <c r="R48" s="1"/>
      <c r="S48" s="76"/>
      <c r="T48" s="230"/>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2"/>
      <c r="T49" s="233"/>
    </row>
    <row r="50" spans="2:20" ht="15" customHeight="1" thickBot="1" x14ac:dyDescent="0.3"/>
    <row r="51" spans="2:20" ht="15" customHeight="1" x14ac:dyDescent="0.25">
      <c r="B51" s="299" t="s">
        <v>127</v>
      </c>
      <c r="C51" s="300"/>
      <c r="D51" s="300"/>
      <c r="E51" s="300"/>
      <c r="F51" s="300"/>
      <c r="G51" s="300"/>
      <c r="H51" s="300"/>
      <c r="I51" s="300"/>
      <c r="J51" s="300"/>
      <c r="K51" s="300"/>
      <c r="L51" s="300"/>
      <c r="M51" s="300"/>
      <c r="N51" s="300"/>
      <c r="O51" s="300"/>
      <c r="P51" s="300"/>
      <c r="Q51" s="300"/>
      <c r="R51" s="301"/>
    </row>
    <row r="52" spans="2:20" ht="15" customHeight="1" x14ac:dyDescent="0.25">
      <c r="B52" s="302"/>
      <c r="C52" s="303"/>
      <c r="D52" s="303"/>
      <c r="E52" s="303"/>
      <c r="F52" s="303"/>
      <c r="G52" s="303"/>
      <c r="H52" s="303"/>
      <c r="I52" s="303"/>
      <c r="J52" s="303"/>
      <c r="K52" s="303"/>
      <c r="L52" s="303"/>
      <c r="M52" s="303"/>
      <c r="N52" s="303"/>
      <c r="O52" s="303"/>
      <c r="P52" s="303"/>
      <c r="Q52" s="303"/>
      <c r="R52" s="304"/>
    </row>
    <row r="53" spans="2:20" ht="15" customHeight="1" x14ac:dyDescent="0.25">
      <c r="B53" s="302"/>
      <c r="C53" s="303"/>
      <c r="D53" s="303"/>
      <c r="E53" s="303"/>
      <c r="F53" s="303"/>
      <c r="G53" s="303"/>
      <c r="H53" s="303"/>
      <c r="I53" s="303"/>
      <c r="J53" s="303"/>
      <c r="K53" s="303"/>
      <c r="L53" s="303"/>
      <c r="M53" s="303"/>
      <c r="N53" s="303"/>
      <c r="O53" s="303"/>
      <c r="P53" s="303"/>
      <c r="Q53" s="303"/>
      <c r="R53" s="304"/>
    </row>
    <row r="54" spans="2:20" ht="15" customHeight="1" x14ac:dyDescent="0.25">
      <c r="B54" s="302"/>
      <c r="C54" s="303"/>
      <c r="D54" s="303"/>
      <c r="E54" s="303"/>
      <c r="F54" s="303"/>
      <c r="G54" s="303"/>
      <c r="H54" s="303"/>
      <c r="I54" s="303"/>
      <c r="J54" s="303"/>
      <c r="K54" s="303"/>
      <c r="L54" s="303"/>
      <c r="M54" s="303"/>
      <c r="N54" s="303"/>
      <c r="O54" s="303"/>
      <c r="P54" s="303"/>
      <c r="Q54" s="303"/>
      <c r="R54" s="304"/>
    </row>
    <row r="55" spans="2:20" ht="15" customHeight="1" x14ac:dyDescent="0.25">
      <c r="B55" s="302"/>
      <c r="C55" s="303"/>
      <c r="D55" s="303"/>
      <c r="E55" s="303"/>
      <c r="F55" s="303"/>
      <c r="G55" s="303"/>
      <c r="H55" s="303"/>
      <c r="I55" s="303"/>
      <c r="J55" s="303"/>
      <c r="K55" s="303"/>
      <c r="L55" s="303"/>
      <c r="M55" s="303"/>
      <c r="N55" s="303"/>
      <c r="O55" s="303"/>
      <c r="P55" s="303"/>
      <c r="Q55" s="303"/>
      <c r="R55" s="304"/>
    </row>
    <row r="56" spans="2:20" ht="15" customHeight="1" x14ac:dyDescent="0.25">
      <c r="B56" s="302"/>
      <c r="C56" s="303"/>
      <c r="D56" s="303"/>
      <c r="E56" s="303"/>
      <c r="F56" s="303"/>
      <c r="G56" s="303"/>
      <c r="H56" s="303"/>
      <c r="I56" s="303"/>
      <c r="J56" s="303"/>
      <c r="K56" s="303"/>
      <c r="L56" s="303"/>
      <c r="M56" s="303"/>
      <c r="N56" s="303"/>
      <c r="O56" s="303"/>
      <c r="P56" s="303"/>
      <c r="Q56" s="303"/>
      <c r="R56" s="304"/>
    </row>
    <row r="57" spans="2:20" ht="15" customHeight="1" thickBot="1" x14ac:dyDescent="0.3">
      <c r="B57" s="305"/>
      <c r="C57" s="306"/>
      <c r="D57" s="306"/>
      <c r="E57" s="306"/>
      <c r="F57" s="306"/>
      <c r="G57" s="306"/>
      <c r="H57" s="306"/>
      <c r="I57" s="306"/>
      <c r="J57" s="306"/>
      <c r="K57" s="306"/>
      <c r="L57" s="306"/>
      <c r="M57" s="306"/>
      <c r="N57" s="306"/>
      <c r="O57" s="306"/>
      <c r="P57" s="306"/>
      <c r="Q57" s="306"/>
      <c r="R57" s="307"/>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77</v>
      </c>
      <c r="D3" s="309"/>
      <c r="E3" s="309"/>
      <c r="F3" s="309"/>
      <c r="G3" s="309"/>
      <c r="H3" s="309"/>
      <c r="I3" s="309"/>
      <c r="J3" s="309"/>
      <c r="K3" s="309"/>
      <c r="L3" s="309"/>
      <c r="M3" s="309"/>
      <c r="N3" s="309"/>
      <c r="O3" s="309"/>
      <c r="P3" s="309"/>
      <c r="Q3" s="309"/>
      <c r="R3" s="309"/>
      <c r="S3" s="310"/>
      <c r="T3" s="75"/>
    </row>
    <row r="4" spans="1:24" ht="15.75" customHeight="1" x14ac:dyDescent="0.25">
      <c r="B4" s="5"/>
      <c r="C4" s="275" t="s">
        <v>253</v>
      </c>
      <c r="D4" s="1"/>
      <c r="E4" s="1"/>
      <c r="F4" s="1"/>
      <c r="G4" s="1"/>
      <c r="H4" s="1"/>
      <c r="I4" s="1"/>
      <c r="J4" s="1"/>
      <c r="K4" s="1"/>
      <c r="L4" s="1"/>
      <c r="M4" s="1"/>
      <c r="N4" s="1"/>
      <c r="O4" s="1"/>
      <c r="P4" s="1"/>
      <c r="Q4" s="1"/>
      <c r="R4" s="1"/>
      <c r="S4" s="76"/>
      <c r="T4" s="75"/>
    </row>
    <row r="5" spans="1:24" ht="18" customHeight="1" x14ac:dyDescent="0.25">
      <c r="B5" s="5"/>
      <c r="C5" s="2" t="s">
        <v>254</v>
      </c>
      <c r="D5" s="311" t="s">
        <v>258</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37</v>
      </c>
      <c r="D8" s="94" t="s">
        <v>3</v>
      </c>
      <c r="E8" s="96">
        <v>8.3046999999999996E-2</v>
      </c>
      <c r="F8" s="1"/>
      <c r="G8" s="1"/>
      <c r="H8" s="1"/>
      <c r="I8" s="1"/>
      <c r="J8" s="1"/>
      <c r="K8" s="1"/>
      <c r="L8" s="1"/>
      <c r="M8" s="1"/>
      <c r="N8" s="1"/>
      <c r="O8" s="1"/>
      <c r="P8" s="1"/>
      <c r="Q8" s="1"/>
      <c r="R8" s="1"/>
      <c r="S8" s="76"/>
      <c r="T8" s="75"/>
      <c r="W8" s="216" t="s">
        <v>3</v>
      </c>
      <c r="X8" s="217">
        <v>0.24007599999999998</v>
      </c>
    </row>
    <row r="9" spans="1:24" ht="15.75" customHeight="1" x14ac:dyDescent="0.25">
      <c r="B9" s="5"/>
      <c r="C9" s="93" t="s">
        <v>33</v>
      </c>
      <c r="D9" s="95" t="s">
        <v>3</v>
      </c>
      <c r="E9" s="97">
        <v>6.3049999999999995E-2</v>
      </c>
      <c r="F9" s="1"/>
      <c r="G9" s="1"/>
      <c r="H9" s="1"/>
      <c r="I9" s="1"/>
      <c r="J9" s="1"/>
      <c r="K9" s="1"/>
      <c r="L9" s="1"/>
      <c r="M9" s="1"/>
      <c r="N9" s="1"/>
      <c r="O9" s="1"/>
      <c r="P9" s="1"/>
      <c r="Q9" s="1"/>
      <c r="R9" s="1"/>
      <c r="S9" s="76"/>
      <c r="T9" s="75"/>
      <c r="W9" s="216" t="s">
        <v>187</v>
      </c>
      <c r="X9" s="217">
        <v>8.9399999999999993E-2</v>
      </c>
    </row>
    <row r="10" spans="1:24" ht="15" customHeight="1" x14ac:dyDescent="0.25">
      <c r="B10" s="5"/>
      <c r="C10" s="93" t="s">
        <v>122</v>
      </c>
      <c r="D10" s="95" t="s">
        <v>3</v>
      </c>
      <c r="E10" s="97">
        <v>5.5848000000000002E-2</v>
      </c>
      <c r="F10" s="1"/>
      <c r="G10" s="1"/>
      <c r="H10" s="1"/>
      <c r="I10" s="1"/>
      <c r="J10" s="1"/>
      <c r="K10" s="1"/>
      <c r="L10" s="1"/>
      <c r="M10" s="1"/>
      <c r="N10" s="1"/>
      <c r="O10" s="1"/>
      <c r="P10" s="1"/>
      <c r="Q10" s="1"/>
      <c r="R10" s="1"/>
      <c r="S10" s="76"/>
      <c r="T10" s="75"/>
      <c r="W10" s="216" t="s">
        <v>194</v>
      </c>
      <c r="X10" s="217">
        <v>8.2821000000000006E-2</v>
      </c>
    </row>
    <row r="11" spans="1:24" ht="15" customHeight="1" x14ac:dyDescent="0.25">
      <c r="B11" s="5"/>
      <c r="C11" s="93" t="s">
        <v>150</v>
      </c>
      <c r="D11" s="95" t="s">
        <v>194</v>
      </c>
      <c r="E11" s="97">
        <v>4.8203999999999997E-2</v>
      </c>
      <c r="F11" s="1"/>
      <c r="G11" s="1"/>
      <c r="H11" s="1"/>
      <c r="I11" s="1"/>
      <c r="J11" s="1"/>
      <c r="K11" s="1"/>
      <c r="L11" s="1"/>
      <c r="M11" s="1"/>
      <c r="N11" s="1"/>
      <c r="O11" s="1"/>
      <c r="P11" s="1"/>
      <c r="Q11" s="1"/>
      <c r="R11" s="1"/>
      <c r="S11" s="76"/>
      <c r="T11" s="75"/>
      <c r="W11" s="216" t="s">
        <v>4</v>
      </c>
      <c r="X11" s="217">
        <v>6.9101999999999997E-2</v>
      </c>
    </row>
    <row r="12" spans="1:24" ht="15" customHeight="1" x14ac:dyDescent="0.25">
      <c r="B12" s="5"/>
      <c r="C12" s="93" t="s">
        <v>36</v>
      </c>
      <c r="D12" s="95" t="s">
        <v>6</v>
      </c>
      <c r="E12" s="97">
        <v>4.6857999999999997E-2</v>
      </c>
      <c r="F12" s="1"/>
      <c r="G12" s="1"/>
      <c r="H12" s="1"/>
      <c r="I12" s="1"/>
      <c r="J12" s="1"/>
      <c r="K12" s="1"/>
      <c r="L12" s="1"/>
      <c r="M12" s="1"/>
      <c r="N12" s="1"/>
      <c r="O12" s="1"/>
      <c r="P12" s="1"/>
      <c r="Q12" s="1"/>
      <c r="R12" s="1"/>
      <c r="S12" s="76"/>
      <c r="T12" s="75"/>
      <c r="W12" s="216" t="s">
        <v>198</v>
      </c>
      <c r="X12" s="217">
        <v>6.6783000000000009E-2</v>
      </c>
    </row>
    <row r="13" spans="1:24" ht="15" customHeight="1" x14ac:dyDescent="0.25">
      <c r="B13" s="5"/>
      <c r="C13" s="93" t="s">
        <v>32</v>
      </c>
      <c r="D13" s="95" t="s">
        <v>187</v>
      </c>
      <c r="E13" s="97">
        <v>4.3022999999999999E-2</v>
      </c>
      <c r="F13" s="1"/>
      <c r="G13" s="1"/>
      <c r="H13" s="1"/>
      <c r="I13" s="1"/>
      <c r="J13" s="1"/>
      <c r="K13" s="1"/>
      <c r="L13" s="1"/>
      <c r="M13" s="1"/>
      <c r="N13" s="1"/>
      <c r="O13" s="1"/>
      <c r="P13" s="1"/>
      <c r="Q13" s="1"/>
      <c r="R13" s="1"/>
      <c r="S13" s="76"/>
      <c r="T13" s="75"/>
      <c r="W13" s="216" t="s">
        <v>6</v>
      </c>
      <c r="X13" s="217">
        <v>4.6857999999999997E-2</v>
      </c>
    </row>
    <row r="14" spans="1:24" ht="15" customHeight="1" x14ac:dyDescent="0.25">
      <c r="B14" s="5"/>
      <c r="C14" s="93" t="s">
        <v>42</v>
      </c>
      <c r="D14" s="95" t="s">
        <v>199</v>
      </c>
      <c r="E14" s="97">
        <v>4.0273999999999997E-2</v>
      </c>
      <c r="F14" s="1"/>
      <c r="G14" s="1"/>
      <c r="H14" s="1"/>
      <c r="I14" s="1"/>
      <c r="J14" s="1"/>
      <c r="K14" s="1"/>
      <c r="L14" s="1"/>
      <c r="M14" s="1"/>
      <c r="N14" s="1"/>
      <c r="O14" s="1"/>
      <c r="P14" s="1"/>
      <c r="Q14" s="1"/>
      <c r="R14" s="1"/>
      <c r="S14" s="76"/>
      <c r="T14" s="75"/>
      <c r="W14" s="216" t="s">
        <v>193</v>
      </c>
      <c r="X14" s="217">
        <v>4.5062999999999999E-2</v>
      </c>
    </row>
    <row r="15" spans="1:24" ht="15" customHeight="1" x14ac:dyDescent="0.25">
      <c r="B15" s="5"/>
      <c r="C15" s="93" t="s">
        <v>230</v>
      </c>
      <c r="D15" s="95" t="s">
        <v>3</v>
      </c>
      <c r="E15" s="97">
        <v>3.8130999999999998E-2</v>
      </c>
      <c r="F15" s="1"/>
      <c r="G15" s="1"/>
      <c r="H15" s="1"/>
      <c r="I15" s="1"/>
      <c r="J15" s="1"/>
      <c r="K15" s="1"/>
      <c r="L15" s="1"/>
      <c r="M15" s="1"/>
      <c r="N15" s="1"/>
      <c r="O15" s="1"/>
      <c r="P15" s="1"/>
      <c r="Q15" s="1"/>
      <c r="R15" s="1"/>
      <c r="S15" s="76"/>
      <c r="T15" s="75"/>
      <c r="W15" s="216" t="s">
        <v>199</v>
      </c>
      <c r="X15" s="217">
        <v>4.0273999999999997E-2</v>
      </c>
    </row>
    <row r="16" spans="1:24" ht="15" customHeight="1" x14ac:dyDescent="0.25">
      <c r="B16" s="5"/>
      <c r="C16" s="93" t="s">
        <v>205</v>
      </c>
      <c r="D16" s="95" t="s">
        <v>130</v>
      </c>
      <c r="E16" s="97">
        <v>3.5693000000000003E-2</v>
      </c>
      <c r="F16" s="1"/>
      <c r="G16" s="1"/>
      <c r="H16" s="1"/>
      <c r="I16" s="1"/>
      <c r="J16" s="1"/>
      <c r="K16" s="1"/>
      <c r="L16" s="1"/>
      <c r="M16" s="1"/>
      <c r="N16" s="1"/>
      <c r="O16" s="1"/>
      <c r="P16" s="1"/>
      <c r="Q16" s="1"/>
      <c r="R16" s="1"/>
      <c r="S16" s="76"/>
      <c r="T16" s="75"/>
      <c r="W16" s="216" t="s">
        <v>19</v>
      </c>
      <c r="X16" s="217">
        <v>3.9695000000000001E-2</v>
      </c>
    </row>
    <row r="17" spans="2:24" ht="15" customHeight="1" x14ac:dyDescent="0.25">
      <c r="B17" s="5"/>
      <c r="C17" s="93" t="s">
        <v>223</v>
      </c>
      <c r="D17" s="95" t="s">
        <v>194</v>
      </c>
      <c r="E17" s="97">
        <v>3.4617000000000002E-2</v>
      </c>
      <c r="F17" s="1"/>
      <c r="G17" s="1"/>
      <c r="H17" s="1"/>
      <c r="I17" s="1"/>
      <c r="J17" s="1"/>
      <c r="K17" s="1"/>
      <c r="L17" s="1"/>
      <c r="M17" s="1"/>
      <c r="N17" s="1"/>
      <c r="O17" s="1"/>
      <c r="P17" s="1"/>
      <c r="Q17" s="1"/>
      <c r="R17" s="1"/>
      <c r="S17" s="76"/>
      <c r="T17" s="75"/>
      <c r="W17" s="216" t="s">
        <v>130</v>
      </c>
      <c r="X17" s="217">
        <v>3.5693000000000003E-2</v>
      </c>
    </row>
    <row r="18" spans="2:24" ht="15" customHeight="1" x14ac:dyDescent="0.25">
      <c r="B18" s="5"/>
      <c r="C18" s="93" t="s">
        <v>185</v>
      </c>
      <c r="D18" s="95" t="s">
        <v>4</v>
      </c>
      <c r="E18" s="97">
        <v>3.4569999999999997E-2</v>
      </c>
      <c r="F18" s="1"/>
      <c r="G18" s="1"/>
      <c r="H18" s="1"/>
      <c r="I18" s="1"/>
      <c r="J18" s="1"/>
      <c r="K18" s="1"/>
      <c r="L18" s="1"/>
      <c r="M18" s="1"/>
      <c r="N18" s="1"/>
      <c r="O18" s="1"/>
      <c r="P18" s="1"/>
      <c r="Q18" s="1"/>
      <c r="R18" s="1"/>
      <c r="S18" s="76"/>
      <c r="T18" s="75"/>
      <c r="W18" s="216" t="s">
        <v>129</v>
      </c>
      <c r="X18" s="217">
        <v>3.3327000000000002E-2</v>
      </c>
    </row>
    <row r="19" spans="2:24" ht="15" customHeight="1" x14ac:dyDescent="0.25">
      <c r="B19" s="5"/>
      <c r="C19" s="93" t="s">
        <v>124</v>
      </c>
      <c r="D19" s="95" t="s">
        <v>4</v>
      </c>
      <c r="E19" s="97">
        <v>3.4532E-2</v>
      </c>
      <c r="F19" s="1"/>
      <c r="G19" s="1"/>
      <c r="H19" s="1"/>
      <c r="I19" s="1"/>
      <c r="J19" s="1"/>
      <c r="K19" s="1"/>
      <c r="L19" s="1"/>
      <c r="M19" s="1"/>
      <c r="N19" s="1"/>
      <c r="O19" s="1"/>
      <c r="P19" s="1"/>
      <c r="Q19" s="1"/>
      <c r="R19" s="1"/>
      <c r="S19" s="76"/>
      <c r="T19" s="75"/>
      <c r="W19" s="216" t="s">
        <v>203</v>
      </c>
      <c r="X19" s="217">
        <v>3.3187000000000001E-2</v>
      </c>
    </row>
    <row r="20" spans="2:24" ht="15" customHeight="1" x14ac:dyDescent="0.25">
      <c r="B20" s="5"/>
      <c r="C20" s="93" t="s">
        <v>229</v>
      </c>
      <c r="D20" s="95" t="s">
        <v>198</v>
      </c>
      <c r="E20" s="97">
        <v>3.4329999999999999E-2</v>
      </c>
      <c r="F20" s="1"/>
      <c r="G20" s="1"/>
      <c r="H20" s="1"/>
      <c r="I20" s="1"/>
      <c r="J20" s="1"/>
      <c r="K20" s="1"/>
      <c r="L20" s="1"/>
      <c r="M20" s="1"/>
      <c r="N20" s="1"/>
      <c r="O20" s="1"/>
      <c r="P20" s="1"/>
      <c r="Q20" s="1"/>
      <c r="R20" s="1"/>
      <c r="S20" s="76"/>
      <c r="T20" s="75"/>
      <c r="W20" s="216" t="s">
        <v>27</v>
      </c>
      <c r="X20" s="217">
        <v>3.1369000000000001E-2</v>
      </c>
    </row>
    <row r="21" spans="2:24" ht="15" customHeight="1" x14ac:dyDescent="0.25">
      <c r="B21" s="5"/>
      <c r="C21" s="93" t="s">
        <v>84</v>
      </c>
      <c r="D21" s="95" t="s">
        <v>129</v>
      </c>
      <c r="E21" s="97">
        <v>3.3327000000000002E-2</v>
      </c>
      <c r="F21" s="1"/>
      <c r="G21" s="1"/>
      <c r="H21" s="1"/>
      <c r="I21" s="1"/>
      <c r="J21" s="1"/>
      <c r="K21" s="1"/>
      <c r="L21" s="1"/>
      <c r="M21" s="1"/>
      <c r="N21" s="1"/>
      <c r="O21" s="1"/>
      <c r="P21" s="1"/>
      <c r="Q21" s="1"/>
      <c r="R21" s="1"/>
      <c r="S21" s="76"/>
      <c r="T21" s="75"/>
      <c r="W21" s="216" t="s">
        <v>195</v>
      </c>
      <c r="X21" s="217">
        <v>2.8340000000000001E-2</v>
      </c>
    </row>
    <row r="22" spans="2:24" ht="15" customHeight="1" x14ac:dyDescent="0.25">
      <c r="B22" s="5"/>
      <c r="C22" s="93" t="s">
        <v>238</v>
      </c>
      <c r="D22" s="95" t="s">
        <v>203</v>
      </c>
      <c r="E22" s="97">
        <v>3.3187000000000001E-2</v>
      </c>
      <c r="F22" s="1"/>
      <c r="G22" s="1"/>
      <c r="H22" s="1"/>
      <c r="I22" s="1"/>
      <c r="J22" s="1"/>
      <c r="K22" s="1"/>
      <c r="L22" s="1"/>
      <c r="M22" s="1"/>
      <c r="N22" s="1"/>
      <c r="O22" s="1"/>
      <c r="P22" s="1"/>
      <c r="Q22" s="1"/>
      <c r="R22" s="1"/>
      <c r="S22" s="76"/>
      <c r="T22" s="75"/>
      <c r="W22" s="216" t="s">
        <v>196</v>
      </c>
      <c r="X22" s="217">
        <v>2.6275E-2</v>
      </c>
    </row>
    <row r="23" spans="2:24" ht="15" customHeight="1" x14ac:dyDescent="0.25">
      <c r="B23" s="5"/>
      <c r="C23" s="68"/>
      <c r="D23" s="91"/>
      <c r="E23" s="90"/>
      <c r="F23" s="1"/>
      <c r="G23" s="1"/>
      <c r="H23" s="1"/>
      <c r="I23" s="1"/>
      <c r="J23" s="1"/>
      <c r="K23" s="1"/>
      <c r="L23" s="1"/>
      <c r="M23" s="1"/>
      <c r="N23" s="1"/>
      <c r="O23" s="1"/>
      <c r="P23" s="1"/>
      <c r="Q23" s="1"/>
      <c r="R23" s="1"/>
      <c r="S23" s="76"/>
      <c r="T23" s="75"/>
      <c r="W23" s="216" t="s">
        <v>189</v>
      </c>
      <c r="X23" s="217">
        <v>2.6051999999999999E-2</v>
      </c>
    </row>
    <row r="24" spans="2:24" ht="15" customHeight="1" x14ac:dyDescent="0.25">
      <c r="B24" s="5"/>
      <c r="C24" s="69" t="s">
        <v>68</v>
      </c>
      <c r="D24" s="71"/>
      <c r="E24" s="64">
        <f>SUM(E8:E22)</f>
        <v>0.6586909999999998</v>
      </c>
      <c r="F24" s="1"/>
      <c r="G24" s="1"/>
      <c r="H24" s="1"/>
      <c r="I24" s="1"/>
      <c r="J24" s="1"/>
      <c r="K24" s="1"/>
      <c r="L24" s="1"/>
      <c r="M24" s="1"/>
      <c r="N24" s="1"/>
      <c r="O24" s="1"/>
      <c r="P24" s="1"/>
      <c r="Q24" s="1"/>
      <c r="R24" s="1"/>
      <c r="S24" s="76"/>
      <c r="T24" s="75"/>
      <c r="W24" s="216" t="s">
        <v>206</v>
      </c>
      <c r="X24" s="217">
        <v>2.1350000000000001E-2</v>
      </c>
    </row>
    <row r="25" spans="2:24" ht="15" customHeight="1" x14ac:dyDescent="0.25">
      <c r="B25" s="5"/>
      <c r="F25" s="1"/>
      <c r="G25" s="1"/>
      <c r="H25" s="1"/>
      <c r="I25" s="1"/>
      <c r="J25" s="1"/>
      <c r="K25" s="1"/>
      <c r="L25" s="1"/>
      <c r="M25" s="1"/>
      <c r="N25" s="1"/>
      <c r="O25" s="1"/>
      <c r="P25" s="1"/>
      <c r="Q25" s="1"/>
      <c r="R25" s="1"/>
      <c r="S25" s="76"/>
      <c r="T25" s="75"/>
      <c r="W25" s="216"/>
      <c r="X25" s="217"/>
    </row>
    <row r="26" spans="2:24" ht="15" customHeight="1" x14ac:dyDescent="0.25">
      <c r="B26" s="5"/>
      <c r="F26" s="1"/>
      <c r="G26" s="1"/>
      <c r="H26" s="1"/>
      <c r="I26" s="1"/>
      <c r="J26" s="1"/>
      <c r="K26" s="1"/>
      <c r="L26" s="1"/>
      <c r="M26" s="1"/>
      <c r="N26" s="1"/>
      <c r="O26" s="1"/>
      <c r="P26" s="1"/>
      <c r="Q26" s="1"/>
      <c r="R26" s="1"/>
      <c r="S26" s="76"/>
      <c r="T26" s="75"/>
      <c r="W26" s="216"/>
      <c r="X26" s="217"/>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9" t="s">
        <v>127</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9"/>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8" t="s">
        <v>88</v>
      </c>
      <c r="D3" s="309"/>
      <c r="E3" s="309"/>
      <c r="F3" s="309"/>
      <c r="G3" s="309"/>
      <c r="H3" s="309"/>
      <c r="I3" s="309"/>
      <c r="J3" s="309"/>
      <c r="K3" s="309"/>
      <c r="L3" s="309"/>
      <c r="M3" s="309"/>
      <c r="N3" s="309"/>
      <c r="O3" s="309"/>
      <c r="P3" s="309"/>
      <c r="Q3" s="309"/>
      <c r="R3" s="309"/>
      <c r="S3" s="310"/>
      <c r="T3" s="75"/>
    </row>
    <row r="4" spans="1:37" ht="15.75" customHeight="1" x14ac:dyDescent="0.25">
      <c r="B4" s="5"/>
      <c r="C4" s="275" t="s">
        <v>253</v>
      </c>
      <c r="D4" s="1"/>
      <c r="E4" s="1"/>
      <c r="F4" s="1"/>
      <c r="G4" s="1"/>
      <c r="H4" s="1"/>
      <c r="I4" s="1"/>
      <c r="J4" s="1"/>
      <c r="K4" s="1"/>
      <c r="L4" s="1"/>
      <c r="M4" s="1"/>
      <c r="N4" s="1"/>
      <c r="O4" s="1"/>
      <c r="P4" s="1"/>
      <c r="Q4" s="1"/>
      <c r="R4" s="1"/>
      <c r="S4" s="76"/>
      <c r="T4" s="75"/>
    </row>
    <row r="5" spans="1:37" ht="18" customHeight="1" x14ac:dyDescent="0.25">
      <c r="B5" s="5"/>
      <c r="C5" s="2" t="s">
        <v>254</v>
      </c>
      <c r="D5" s="312" t="s">
        <v>259</v>
      </c>
      <c r="E5" s="313"/>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37</v>
      </c>
      <c r="D8" s="85" t="s">
        <v>3</v>
      </c>
      <c r="E8" s="103">
        <v>5.2444999999999999E-2</v>
      </c>
      <c r="F8" s="1"/>
      <c r="G8" s="1"/>
      <c r="H8" s="1"/>
      <c r="I8" s="1"/>
      <c r="J8" s="1"/>
      <c r="K8" s="1"/>
      <c r="L8" s="1"/>
      <c r="M8" s="1"/>
      <c r="N8" s="1"/>
      <c r="O8" s="1"/>
      <c r="P8" s="1"/>
      <c r="Q8" s="1"/>
      <c r="R8" s="1"/>
      <c r="S8" s="76"/>
      <c r="T8" s="75"/>
      <c r="W8" s="216" t="s">
        <v>3</v>
      </c>
      <c r="X8" s="217">
        <v>0.149812</v>
      </c>
    </row>
    <row r="9" spans="1:37" ht="15.75" customHeight="1" x14ac:dyDescent="0.25">
      <c r="B9" s="5"/>
      <c r="C9" s="84" t="s">
        <v>41</v>
      </c>
      <c r="D9" s="86" t="s">
        <v>3</v>
      </c>
      <c r="E9" s="104">
        <v>3.1399000000000003E-2</v>
      </c>
      <c r="F9" s="1"/>
      <c r="G9" s="1"/>
      <c r="H9" s="1"/>
      <c r="I9" s="1"/>
      <c r="J9" s="1"/>
      <c r="K9" s="1"/>
      <c r="L9" s="1"/>
      <c r="M9" s="1"/>
      <c r="N9" s="1"/>
      <c r="O9" s="1"/>
      <c r="P9" s="1"/>
      <c r="Q9" s="1"/>
      <c r="R9" s="1"/>
      <c r="S9" s="76"/>
      <c r="T9" s="75"/>
      <c r="W9" s="216" t="s">
        <v>193</v>
      </c>
      <c r="X9" s="217">
        <v>8.4295000000000009E-2</v>
      </c>
    </row>
    <row r="10" spans="1:37" ht="15" customHeight="1" x14ac:dyDescent="0.25">
      <c r="B10" s="5"/>
      <c r="C10" s="84" t="s">
        <v>111</v>
      </c>
      <c r="D10" s="86" t="s">
        <v>13</v>
      </c>
      <c r="E10" s="104">
        <v>3.0030000000000001E-2</v>
      </c>
      <c r="F10" s="1"/>
      <c r="G10" s="1"/>
      <c r="H10" s="1"/>
      <c r="I10" s="1"/>
      <c r="J10" s="1"/>
      <c r="K10" s="1"/>
      <c r="L10" s="1"/>
      <c r="M10" s="1"/>
      <c r="N10" s="1"/>
      <c r="O10" s="1"/>
      <c r="P10" s="1"/>
      <c r="Q10" s="1"/>
      <c r="R10" s="1"/>
      <c r="S10" s="76"/>
      <c r="T10" s="75"/>
      <c r="W10" s="216" t="s">
        <v>191</v>
      </c>
      <c r="X10" s="217">
        <v>6.7558999999999994E-2</v>
      </c>
    </row>
    <row r="11" spans="1:37" ht="15" customHeight="1" x14ac:dyDescent="0.25">
      <c r="B11" s="5"/>
      <c r="C11" s="84" t="s">
        <v>239</v>
      </c>
      <c r="D11" s="86" t="s">
        <v>191</v>
      </c>
      <c r="E11" s="104">
        <v>2.8275999999999999E-2</v>
      </c>
      <c r="F11" s="1"/>
      <c r="G11" s="1"/>
      <c r="H11" s="1"/>
      <c r="I11" s="1"/>
      <c r="J11" s="1"/>
      <c r="K11" s="1"/>
      <c r="L11" s="1"/>
      <c r="M11" s="1"/>
      <c r="N11" s="1"/>
      <c r="O11" s="1"/>
      <c r="P11" s="1"/>
      <c r="Q11" s="1"/>
      <c r="R11" s="1"/>
      <c r="S11" s="76"/>
      <c r="T11" s="75"/>
      <c r="W11" s="216" t="s">
        <v>187</v>
      </c>
      <c r="X11" s="217">
        <v>5.7471999999999995E-2</v>
      </c>
    </row>
    <row r="12" spans="1:37" ht="15" customHeight="1" x14ac:dyDescent="0.25">
      <c r="B12" s="5"/>
      <c r="C12" s="84" t="s">
        <v>161</v>
      </c>
      <c r="D12" s="86" t="s">
        <v>201</v>
      </c>
      <c r="E12" s="104">
        <v>2.7497000000000001E-2</v>
      </c>
      <c r="F12" s="1"/>
      <c r="G12" s="1"/>
      <c r="H12" s="1"/>
      <c r="I12" s="1"/>
      <c r="J12" s="1"/>
      <c r="K12" s="1"/>
      <c r="L12" s="1"/>
      <c r="M12" s="1"/>
      <c r="N12" s="1"/>
      <c r="O12" s="1"/>
      <c r="P12" s="1"/>
      <c r="Q12" s="1"/>
      <c r="R12" s="1"/>
      <c r="S12" s="76"/>
      <c r="T12" s="75"/>
      <c r="W12" s="216" t="s">
        <v>201</v>
      </c>
      <c r="X12" s="217">
        <v>4.7808000000000003E-2</v>
      </c>
    </row>
    <row r="13" spans="1:37" ht="15.75" customHeight="1" x14ac:dyDescent="0.25">
      <c r="B13" s="5"/>
      <c r="C13" s="84" t="s">
        <v>122</v>
      </c>
      <c r="D13" s="86" t="s">
        <v>3</v>
      </c>
      <c r="E13" s="104">
        <v>2.7068999999999999E-2</v>
      </c>
      <c r="F13" s="1"/>
      <c r="G13" s="1"/>
      <c r="H13" s="1"/>
      <c r="I13" s="1"/>
      <c r="J13" s="1"/>
      <c r="K13" s="1"/>
      <c r="L13" s="1"/>
      <c r="M13" s="1"/>
      <c r="N13" s="1"/>
      <c r="O13" s="1"/>
      <c r="P13" s="1"/>
      <c r="Q13" s="1"/>
      <c r="R13" s="1"/>
      <c r="S13" s="76"/>
      <c r="T13" s="75"/>
      <c r="W13" s="216" t="s">
        <v>4</v>
      </c>
      <c r="X13" s="217">
        <v>4.3461E-2</v>
      </c>
    </row>
    <row r="14" spans="1:37" ht="15" customHeight="1" x14ac:dyDescent="0.25">
      <c r="B14" s="5"/>
      <c r="C14" s="84" t="s">
        <v>183</v>
      </c>
      <c r="D14" s="86" t="s">
        <v>207</v>
      </c>
      <c r="E14" s="104">
        <v>2.6417E-2</v>
      </c>
      <c r="F14" s="1"/>
      <c r="G14" s="1"/>
      <c r="H14" s="1"/>
      <c r="I14" s="1"/>
      <c r="J14" s="1"/>
      <c r="K14" s="1"/>
      <c r="L14" s="1"/>
      <c r="M14" s="1"/>
      <c r="N14" s="1"/>
      <c r="O14" s="1"/>
      <c r="P14" s="1"/>
      <c r="Q14" s="1"/>
      <c r="R14" s="1"/>
      <c r="S14" s="76"/>
      <c r="T14" s="75"/>
      <c r="W14" s="216" t="s">
        <v>19</v>
      </c>
      <c r="X14" s="217">
        <v>4.3196999999999999E-2</v>
      </c>
    </row>
    <row r="15" spans="1:37" ht="15" customHeight="1" x14ac:dyDescent="0.25">
      <c r="B15" s="5"/>
      <c r="C15" s="84" t="s">
        <v>178</v>
      </c>
      <c r="D15" s="86" t="s">
        <v>4</v>
      </c>
      <c r="E15" s="104">
        <v>2.5642000000000002E-2</v>
      </c>
      <c r="F15" s="1"/>
      <c r="G15" s="1"/>
      <c r="H15" s="1"/>
      <c r="I15" s="1"/>
      <c r="J15" s="1"/>
      <c r="K15" s="1"/>
      <c r="L15" s="1"/>
      <c r="M15" s="1"/>
      <c r="N15" s="1"/>
      <c r="O15" s="1"/>
      <c r="P15" s="1"/>
      <c r="Q15" s="1"/>
      <c r="R15" s="1"/>
      <c r="S15" s="76"/>
      <c r="T15" s="75"/>
      <c r="W15" s="216" t="s">
        <v>27</v>
      </c>
      <c r="X15" s="217">
        <v>4.0600999999999998E-2</v>
      </c>
    </row>
    <row r="16" spans="1:37" ht="15" customHeight="1" x14ac:dyDescent="0.25">
      <c r="B16" s="5"/>
      <c r="C16" s="84" t="s">
        <v>148</v>
      </c>
      <c r="D16" s="86" t="s">
        <v>130</v>
      </c>
      <c r="E16" s="104">
        <v>2.4434999999999998E-2</v>
      </c>
      <c r="F16" s="1"/>
      <c r="G16" s="1"/>
      <c r="H16" s="1"/>
      <c r="I16" s="1"/>
      <c r="J16" s="1"/>
      <c r="K16" s="1"/>
      <c r="L16" s="1"/>
      <c r="M16" s="1"/>
      <c r="N16" s="1"/>
      <c r="O16" s="1"/>
      <c r="P16" s="1"/>
      <c r="Q16" s="1"/>
      <c r="R16" s="1"/>
      <c r="S16" s="76"/>
      <c r="T16" s="75"/>
      <c r="W16" s="216" t="s">
        <v>13</v>
      </c>
      <c r="X16" s="217">
        <v>3.9739000000000003E-2</v>
      </c>
    </row>
    <row r="17" spans="2:24" ht="15" customHeight="1" x14ac:dyDescent="0.25">
      <c r="B17" s="5"/>
      <c r="C17" s="84" t="s">
        <v>33</v>
      </c>
      <c r="D17" s="86" t="s">
        <v>3</v>
      </c>
      <c r="E17" s="104">
        <v>2.4230999999999999E-2</v>
      </c>
      <c r="F17" s="1"/>
      <c r="G17" s="1"/>
      <c r="H17" s="1"/>
      <c r="I17" s="1"/>
      <c r="J17" s="1"/>
      <c r="K17" s="1"/>
      <c r="L17" s="1"/>
      <c r="M17" s="1"/>
      <c r="N17" s="1"/>
      <c r="O17" s="1"/>
      <c r="P17" s="1"/>
      <c r="Q17" s="1"/>
      <c r="R17" s="1"/>
      <c r="S17" s="76"/>
      <c r="T17" s="75"/>
      <c r="W17" s="216" t="s">
        <v>129</v>
      </c>
      <c r="X17" s="217">
        <v>3.8075000000000005E-2</v>
      </c>
    </row>
    <row r="18" spans="2:24" ht="15" customHeight="1" x14ac:dyDescent="0.25">
      <c r="B18" s="5"/>
      <c r="C18" s="84" t="s">
        <v>151</v>
      </c>
      <c r="D18" s="86" t="s">
        <v>19</v>
      </c>
      <c r="E18" s="104">
        <v>2.4126999999999999E-2</v>
      </c>
      <c r="F18" s="1"/>
      <c r="G18" s="1"/>
      <c r="H18" s="1"/>
      <c r="I18" s="1"/>
      <c r="J18" s="1"/>
      <c r="K18" s="1"/>
      <c r="L18" s="1"/>
      <c r="M18" s="1"/>
      <c r="N18" s="1"/>
      <c r="O18" s="1"/>
      <c r="P18" s="1"/>
      <c r="Q18" s="1"/>
      <c r="R18" s="1"/>
      <c r="S18" s="76"/>
      <c r="T18" s="75"/>
      <c r="W18" s="216" t="s">
        <v>130</v>
      </c>
      <c r="X18" s="217">
        <v>3.6197E-2</v>
      </c>
    </row>
    <row r="19" spans="2:24" ht="15" customHeight="1" x14ac:dyDescent="0.25">
      <c r="B19" s="5"/>
      <c r="C19" s="84" t="s">
        <v>38</v>
      </c>
      <c r="D19" s="86" t="s">
        <v>187</v>
      </c>
      <c r="E19" s="104">
        <v>2.2907E-2</v>
      </c>
      <c r="F19" s="1"/>
      <c r="G19" s="1"/>
      <c r="H19" s="1"/>
      <c r="I19" s="1"/>
      <c r="J19" s="1"/>
      <c r="K19" s="1"/>
      <c r="L19" s="1"/>
      <c r="M19" s="1"/>
      <c r="N19" s="1"/>
      <c r="O19" s="1"/>
      <c r="P19" s="1"/>
      <c r="Q19" s="1"/>
      <c r="R19" s="1"/>
      <c r="S19" s="76"/>
      <c r="T19" s="75"/>
      <c r="W19" s="216" t="s">
        <v>207</v>
      </c>
      <c r="X19" s="217">
        <v>2.6417E-2</v>
      </c>
    </row>
    <row r="20" spans="2:24" ht="15" customHeight="1" x14ac:dyDescent="0.25">
      <c r="B20" s="5"/>
      <c r="C20" s="84" t="s">
        <v>35</v>
      </c>
      <c r="D20" s="86" t="s">
        <v>199</v>
      </c>
      <c r="E20" s="104">
        <v>2.2210000000000001E-2</v>
      </c>
      <c r="F20" s="1"/>
      <c r="G20" s="1"/>
      <c r="H20" s="1"/>
      <c r="I20" s="1"/>
      <c r="J20" s="1"/>
      <c r="K20" s="1"/>
      <c r="L20" s="1"/>
      <c r="M20" s="1"/>
      <c r="N20" s="1"/>
      <c r="O20" s="1"/>
      <c r="P20" s="1"/>
      <c r="Q20" s="1"/>
      <c r="R20" s="1"/>
      <c r="S20" s="76"/>
      <c r="T20" s="75"/>
      <c r="W20" s="216" t="s">
        <v>194</v>
      </c>
      <c r="X20" s="217">
        <v>2.5593999999999999E-2</v>
      </c>
    </row>
    <row r="21" spans="2:24" ht="15" customHeight="1" x14ac:dyDescent="0.25">
      <c r="B21" s="5"/>
      <c r="C21" s="84" t="s">
        <v>99</v>
      </c>
      <c r="D21" s="86" t="s">
        <v>198</v>
      </c>
      <c r="E21" s="104">
        <v>2.1378000000000001E-2</v>
      </c>
      <c r="F21" s="1"/>
      <c r="G21" s="1"/>
      <c r="H21" s="1"/>
      <c r="I21" s="1"/>
      <c r="J21" s="1"/>
      <c r="K21" s="1"/>
      <c r="L21" s="1"/>
      <c r="M21" s="1"/>
      <c r="N21" s="1"/>
      <c r="O21" s="1"/>
      <c r="P21" s="1"/>
      <c r="Q21" s="1"/>
      <c r="R21" s="1"/>
      <c r="S21" s="76"/>
      <c r="T21" s="75"/>
      <c r="W21" s="216" t="s">
        <v>132</v>
      </c>
      <c r="X21" s="217">
        <v>2.2557999999999998E-2</v>
      </c>
    </row>
    <row r="22" spans="2:24" ht="15" customHeight="1" x14ac:dyDescent="0.25">
      <c r="B22" s="5"/>
      <c r="C22" s="84" t="s">
        <v>184</v>
      </c>
      <c r="D22" s="86" t="s">
        <v>193</v>
      </c>
      <c r="E22" s="104">
        <v>2.1165E-2</v>
      </c>
      <c r="F22" s="1"/>
      <c r="G22" s="1"/>
      <c r="H22" s="1"/>
      <c r="I22" s="1"/>
      <c r="J22" s="1"/>
      <c r="K22" s="1"/>
      <c r="L22" s="1"/>
      <c r="M22" s="1"/>
      <c r="N22" s="1"/>
      <c r="O22" s="1"/>
      <c r="P22" s="1"/>
      <c r="Q22" s="1"/>
      <c r="R22" s="1"/>
      <c r="S22" s="76"/>
      <c r="T22" s="75"/>
      <c r="W22" s="216" t="s">
        <v>199</v>
      </c>
      <c r="X22" s="217">
        <v>2.2210000000000001E-2</v>
      </c>
    </row>
    <row r="23" spans="2:24" ht="15" customHeight="1" x14ac:dyDescent="0.25">
      <c r="B23" s="5"/>
      <c r="C23" s="67"/>
      <c r="D23" s="67"/>
      <c r="E23" s="89"/>
      <c r="F23" s="1"/>
      <c r="G23" s="1"/>
      <c r="H23" s="1"/>
      <c r="I23" s="1"/>
      <c r="J23" s="1"/>
      <c r="K23" s="1"/>
      <c r="L23" s="1"/>
      <c r="M23" s="1"/>
      <c r="N23" s="1"/>
      <c r="O23" s="1"/>
      <c r="P23" s="1"/>
      <c r="Q23" s="1"/>
      <c r="R23" s="1"/>
      <c r="S23" s="76"/>
      <c r="T23" s="75"/>
      <c r="W23" s="216" t="s">
        <v>198</v>
      </c>
      <c r="X23" s="217">
        <v>2.1378000000000001E-2</v>
      </c>
    </row>
    <row r="24" spans="2:24" ht="15" customHeight="1" x14ac:dyDescent="0.25">
      <c r="B24" s="5"/>
      <c r="C24" s="69" t="s">
        <v>68</v>
      </c>
      <c r="D24" s="71"/>
      <c r="E24" s="128">
        <f>SUM(E8:E22)</f>
        <v>0.40922800000000004</v>
      </c>
      <c r="F24" s="1"/>
      <c r="G24" s="1"/>
      <c r="H24" s="1"/>
      <c r="I24" s="1"/>
      <c r="J24" s="1"/>
      <c r="K24" s="1"/>
      <c r="L24" s="1"/>
      <c r="M24" s="1"/>
      <c r="N24" s="1"/>
      <c r="O24" s="1"/>
      <c r="P24" s="1"/>
      <c r="Q24" s="1"/>
      <c r="R24" s="1"/>
      <c r="S24" s="76"/>
      <c r="T24" s="75"/>
      <c r="W24" s="216" t="s">
        <v>186</v>
      </c>
      <c r="X24" s="217">
        <v>1.9203999999999999E-2</v>
      </c>
    </row>
    <row r="25" spans="2:24" ht="15" customHeight="1" x14ac:dyDescent="0.25">
      <c r="B25" s="5"/>
      <c r="C25" s="110"/>
      <c r="D25" s="110"/>
      <c r="E25" s="110"/>
      <c r="F25" s="1"/>
      <c r="G25" s="1"/>
      <c r="H25" s="1"/>
      <c r="I25" s="1"/>
      <c r="J25" s="1"/>
      <c r="K25" s="1"/>
      <c r="L25" s="1"/>
      <c r="M25" s="1"/>
      <c r="N25" s="1"/>
      <c r="O25" s="1"/>
      <c r="P25" s="1"/>
      <c r="Q25" s="1"/>
      <c r="R25" s="1"/>
      <c r="S25" s="76"/>
      <c r="T25" s="75"/>
      <c r="W25" s="216" t="s">
        <v>189</v>
      </c>
      <c r="X25" s="217">
        <v>1.891E-2</v>
      </c>
    </row>
    <row r="26" spans="2:24" ht="15" customHeight="1" x14ac:dyDescent="0.25">
      <c r="B26" s="5"/>
      <c r="C26" s="123"/>
      <c r="D26" s="126"/>
      <c r="E26" s="129"/>
      <c r="F26" s="1"/>
      <c r="G26" s="1"/>
      <c r="H26" s="1"/>
      <c r="I26" s="1"/>
      <c r="J26" s="1"/>
      <c r="K26" s="1"/>
      <c r="L26" s="1"/>
      <c r="M26" s="1"/>
      <c r="N26" s="1"/>
      <c r="O26" s="1"/>
      <c r="P26" s="1"/>
      <c r="Q26" s="1"/>
      <c r="R26" s="1"/>
      <c r="S26" s="76"/>
      <c r="T26" s="75"/>
      <c r="W26" s="216" t="s">
        <v>203</v>
      </c>
      <c r="X26" s="217">
        <v>1.8838000000000001E-2</v>
      </c>
    </row>
    <row r="27" spans="2:24" ht="15" customHeight="1" x14ac:dyDescent="0.25">
      <c r="B27" s="5"/>
      <c r="F27" s="1"/>
      <c r="G27" s="1"/>
      <c r="H27" s="1"/>
      <c r="I27" s="1"/>
      <c r="J27" s="1"/>
      <c r="K27" s="1"/>
      <c r="L27" s="1"/>
      <c r="M27" s="1"/>
      <c r="N27" s="1"/>
      <c r="O27" s="1"/>
      <c r="P27" s="1"/>
      <c r="Q27" s="1"/>
      <c r="R27" s="1"/>
      <c r="S27" s="76"/>
      <c r="T27" s="75"/>
      <c r="W27" s="216" t="s">
        <v>6</v>
      </c>
      <c r="X27" s="217">
        <v>1.8818000000000001E-2</v>
      </c>
    </row>
    <row r="28" spans="2:24" ht="15" customHeight="1" x14ac:dyDescent="0.25">
      <c r="B28" s="5"/>
      <c r="F28" s="1"/>
      <c r="G28" s="1"/>
      <c r="H28" s="1"/>
      <c r="I28" s="1"/>
      <c r="J28" s="1"/>
      <c r="K28" s="1"/>
      <c r="L28" s="1"/>
      <c r="M28" s="1"/>
      <c r="N28" s="1"/>
      <c r="O28" s="1"/>
      <c r="P28" s="1"/>
      <c r="Q28" s="1"/>
      <c r="R28" s="1"/>
      <c r="S28" s="76"/>
      <c r="T28" s="75"/>
      <c r="W28" s="216" t="s">
        <v>28</v>
      </c>
      <c r="X28" s="217">
        <v>1.7306999999999999E-2</v>
      </c>
    </row>
    <row r="29" spans="2:24" ht="15" customHeight="1" x14ac:dyDescent="0.25">
      <c r="B29" s="5"/>
      <c r="F29" s="1"/>
      <c r="G29" s="1"/>
      <c r="H29" s="1"/>
      <c r="I29" s="1"/>
      <c r="J29" s="1"/>
      <c r="K29" s="1"/>
      <c r="L29" s="1"/>
      <c r="M29" s="1"/>
      <c r="N29" s="1"/>
      <c r="O29" s="1"/>
      <c r="P29" s="1"/>
      <c r="Q29" s="1"/>
      <c r="R29" s="1"/>
      <c r="S29" s="76"/>
      <c r="T29" s="75"/>
      <c r="W29" s="216" t="s">
        <v>197</v>
      </c>
      <c r="X29" s="217">
        <v>1.6501999999999999E-2</v>
      </c>
    </row>
    <row r="30" spans="2:24" ht="15" customHeight="1" x14ac:dyDescent="0.25">
      <c r="B30" s="5"/>
      <c r="F30" s="1"/>
      <c r="G30" s="1"/>
      <c r="H30" s="1"/>
      <c r="I30" s="1"/>
      <c r="J30" s="1"/>
      <c r="K30" s="1"/>
      <c r="L30" s="1"/>
      <c r="M30" s="1"/>
      <c r="N30" s="1"/>
      <c r="O30" s="1"/>
      <c r="P30" s="1"/>
      <c r="Q30" s="1"/>
      <c r="R30" s="1"/>
      <c r="S30" s="76"/>
      <c r="T30" s="75"/>
      <c r="W30" s="216" t="s">
        <v>204</v>
      </c>
      <c r="X30" s="217">
        <v>1.6079E-2</v>
      </c>
    </row>
    <row r="31" spans="2:24" ht="15" customHeight="1" x14ac:dyDescent="0.25">
      <c r="B31" s="5"/>
      <c r="F31" s="1"/>
      <c r="G31" s="1"/>
      <c r="H31" s="1"/>
      <c r="I31" s="1"/>
      <c r="J31" s="1"/>
      <c r="K31" s="1"/>
      <c r="L31" s="1"/>
      <c r="M31" s="1"/>
      <c r="N31" s="1"/>
      <c r="O31" s="1"/>
      <c r="P31" s="1"/>
      <c r="Q31" s="1"/>
      <c r="R31" s="1"/>
      <c r="S31" s="76"/>
      <c r="T31" s="75"/>
      <c r="W31" s="216" t="s">
        <v>26</v>
      </c>
      <c r="X31" s="217">
        <v>1.5134E-2</v>
      </c>
    </row>
    <row r="32" spans="2:24" ht="15" customHeight="1" x14ac:dyDescent="0.25">
      <c r="B32" s="5"/>
      <c r="F32" s="1"/>
      <c r="G32" s="1"/>
      <c r="H32" s="1"/>
      <c r="I32" s="1"/>
      <c r="J32" s="1"/>
      <c r="K32" s="1"/>
      <c r="L32" s="1"/>
      <c r="M32" s="1"/>
      <c r="N32" s="1"/>
      <c r="O32" s="1"/>
      <c r="P32" s="1"/>
      <c r="Q32" s="1"/>
      <c r="R32" s="1"/>
      <c r="S32" s="76"/>
      <c r="T32" s="75"/>
      <c r="W32" s="216" t="s">
        <v>12</v>
      </c>
      <c r="X32" s="217">
        <v>1.0028E-2</v>
      </c>
    </row>
    <row r="33" spans="2:24" ht="15" customHeight="1" thickBot="1" x14ac:dyDescent="0.3">
      <c r="B33" s="6"/>
      <c r="C33" s="7"/>
      <c r="D33" s="7"/>
      <c r="E33" s="7"/>
      <c r="F33" s="7"/>
      <c r="G33" s="7"/>
      <c r="H33" s="7"/>
      <c r="I33" s="7"/>
      <c r="J33" s="7"/>
      <c r="K33" s="7"/>
      <c r="L33" s="7"/>
      <c r="M33" s="7"/>
      <c r="N33" s="7"/>
      <c r="O33" s="7"/>
      <c r="P33" s="7"/>
      <c r="Q33" s="7"/>
      <c r="R33" s="7"/>
      <c r="S33" s="78"/>
      <c r="T33" s="79"/>
      <c r="W33" s="216" t="s">
        <v>30</v>
      </c>
      <c r="X33" s="217">
        <v>8.9219999999999994E-3</v>
      </c>
    </row>
    <row r="34" spans="2:24" ht="15" customHeight="1" thickBot="1" x14ac:dyDescent="0.3">
      <c r="W34" s="166" t="s">
        <v>149</v>
      </c>
      <c r="X34" s="217">
        <v>7.4599999999999996E-3</v>
      </c>
    </row>
    <row r="35" spans="2:24" ht="15" customHeight="1" x14ac:dyDescent="0.25">
      <c r="B35" s="299" t="s">
        <v>127</v>
      </c>
      <c r="C35" s="300"/>
      <c r="D35" s="300"/>
      <c r="E35" s="300"/>
      <c r="F35" s="300"/>
      <c r="G35" s="300"/>
      <c r="H35" s="300"/>
      <c r="I35" s="300"/>
      <c r="J35" s="300"/>
      <c r="K35" s="300"/>
      <c r="L35" s="300"/>
      <c r="M35" s="300"/>
      <c r="N35" s="300"/>
      <c r="O35" s="300"/>
      <c r="P35" s="300"/>
      <c r="Q35" s="300"/>
      <c r="R35" s="301"/>
    </row>
    <row r="36" spans="2:24" ht="15" customHeight="1" x14ac:dyDescent="0.25">
      <c r="B36" s="302"/>
      <c r="C36" s="303"/>
      <c r="D36" s="303"/>
      <c r="E36" s="303"/>
      <c r="F36" s="303"/>
      <c r="G36" s="303"/>
      <c r="H36" s="303"/>
      <c r="I36" s="303"/>
      <c r="J36" s="303"/>
      <c r="K36" s="303"/>
      <c r="L36" s="303"/>
      <c r="M36" s="303"/>
      <c r="N36" s="303"/>
      <c r="O36" s="303"/>
      <c r="P36" s="303"/>
      <c r="Q36" s="303"/>
      <c r="R36" s="304"/>
    </row>
    <row r="37" spans="2:24" ht="15" customHeight="1" x14ac:dyDescent="0.25">
      <c r="B37" s="302"/>
      <c r="C37" s="303"/>
      <c r="D37" s="303"/>
      <c r="E37" s="303"/>
      <c r="F37" s="303"/>
      <c r="G37" s="303"/>
      <c r="H37" s="303"/>
      <c r="I37" s="303"/>
      <c r="J37" s="303"/>
      <c r="K37" s="303"/>
      <c r="L37" s="303"/>
      <c r="M37" s="303"/>
      <c r="N37" s="303"/>
      <c r="O37" s="303"/>
      <c r="P37" s="303"/>
      <c r="Q37" s="303"/>
      <c r="R37" s="304"/>
    </row>
    <row r="38" spans="2:24" ht="15" customHeight="1" x14ac:dyDescent="0.25">
      <c r="B38" s="302"/>
      <c r="C38" s="303"/>
      <c r="D38" s="303"/>
      <c r="E38" s="303"/>
      <c r="F38" s="303"/>
      <c r="G38" s="303"/>
      <c r="H38" s="303"/>
      <c r="I38" s="303"/>
      <c r="J38" s="303"/>
      <c r="K38" s="303"/>
      <c r="L38" s="303"/>
      <c r="M38" s="303"/>
      <c r="N38" s="303"/>
      <c r="O38" s="303"/>
      <c r="P38" s="303"/>
      <c r="Q38" s="303"/>
      <c r="R38" s="304"/>
    </row>
    <row r="39" spans="2:24" ht="15" customHeight="1" x14ac:dyDescent="0.25">
      <c r="B39" s="302"/>
      <c r="C39" s="303"/>
      <c r="D39" s="303"/>
      <c r="E39" s="303"/>
      <c r="F39" s="303"/>
      <c r="G39" s="303"/>
      <c r="H39" s="303"/>
      <c r="I39" s="303"/>
      <c r="J39" s="303"/>
      <c r="K39" s="303"/>
      <c r="L39" s="303"/>
      <c r="M39" s="303"/>
      <c r="N39" s="303"/>
      <c r="O39" s="303"/>
      <c r="P39" s="303"/>
      <c r="Q39" s="303"/>
      <c r="R39" s="304"/>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thickBot="1" x14ac:dyDescent="0.3">
      <c r="B41" s="305"/>
      <c r="C41" s="306"/>
      <c r="D41" s="306"/>
      <c r="E41" s="306"/>
      <c r="F41" s="306"/>
      <c r="G41" s="306"/>
      <c r="H41" s="306"/>
      <c r="I41" s="306"/>
      <c r="J41" s="306"/>
      <c r="K41" s="306"/>
      <c r="L41" s="306"/>
      <c r="M41" s="306"/>
      <c r="N41" s="306"/>
      <c r="O41" s="306"/>
      <c r="P41" s="306"/>
      <c r="Q41" s="306"/>
      <c r="R41" s="30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249</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253</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254</v>
      </c>
      <c r="D5" s="311" t="s">
        <v>260</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2.8139000000000001E-2</v>
      </c>
      <c r="F8" s="274"/>
      <c r="G8" s="274"/>
      <c r="H8" s="274"/>
      <c r="I8" s="274"/>
      <c r="J8" s="274"/>
      <c r="K8" s="274"/>
      <c r="L8" s="274"/>
      <c r="M8" s="274"/>
      <c r="N8" s="274"/>
      <c r="O8" s="274"/>
      <c r="P8" s="274"/>
      <c r="Q8" s="274"/>
      <c r="R8" s="274"/>
      <c r="S8" s="76"/>
      <c r="T8" s="139"/>
      <c r="V8" s="179"/>
      <c r="W8" s="216" t="s">
        <v>198</v>
      </c>
      <c r="X8" s="217">
        <v>3.1885999999999998E-2</v>
      </c>
      <c r="Y8" s="196"/>
      <c r="Z8" s="197"/>
      <c r="AA8" s="197"/>
      <c r="AB8" s="165"/>
    </row>
    <row r="9" spans="1:28" ht="15.75" customHeight="1" x14ac:dyDescent="0.25">
      <c r="B9" s="5"/>
      <c r="C9" s="84" t="s">
        <v>231</v>
      </c>
      <c r="D9" s="86" t="s">
        <v>191</v>
      </c>
      <c r="E9" s="102">
        <v>1.7049999999999999E-2</v>
      </c>
      <c r="F9" s="274"/>
      <c r="G9" s="274"/>
      <c r="H9" s="274"/>
      <c r="I9" s="274"/>
      <c r="J9" s="274"/>
      <c r="K9" s="274"/>
      <c r="L9" s="274"/>
      <c r="M9" s="274"/>
      <c r="N9" s="274"/>
      <c r="O9" s="274"/>
      <c r="P9" s="274"/>
      <c r="Q9" s="274"/>
      <c r="R9" s="274"/>
      <c r="S9" s="76"/>
      <c r="T9" s="139"/>
      <c r="V9" s="179"/>
      <c r="W9" s="216" t="s">
        <v>3</v>
      </c>
      <c r="X9" s="217">
        <v>2.8139000000000001E-2</v>
      </c>
      <c r="Y9" s="196"/>
      <c r="Z9" s="197"/>
      <c r="AA9" s="197"/>
      <c r="AB9" s="165"/>
    </row>
    <row r="10" spans="1:28" ht="15" customHeight="1" x14ac:dyDescent="0.25">
      <c r="B10" s="5"/>
      <c r="C10" s="84" t="s">
        <v>251</v>
      </c>
      <c r="D10" s="86" t="s">
        <v>30</v>
      </c>
      <c r="E10" s="102">
        <v>1.2673E-2</v>
      </c>
      <c r="F10" s="274"/>
      <c r="G10" s="274"/>
      <c r="H10" s="274"/>
      <c r="I10" s="274"/>
      <c r="J10" s="274"/>
      <c r="K10" s="274"/>
      <c r="L10" s="274"/>
      <c r="M10" s="274"/>
      <c r="N10" s="274"/>
      <c r="O10" s="274"/>
      <c r="P10" s="274"/>
      <c r="Q10" s="274"/>
      <c r="R10" s="274"/>
      <c r="S10" s="76"/>
      <c r="T10" s="139"/>
      <c r="V10" s="179"/>
      <c r="W10" s="216" t="s">
        <v>191</v>
      </c>
      <c r="X10" s="217">
        <v>2.6471999999999999E-2</v>
      </c>
      <c r="Y10" s="196"/>
      <c r="Z10" s="197"/>
      <c r="AA10" s="197"/>
      <c r="AB10" s="165"/>
    </row>
    <row r="11" spans="1:28" ht="15" customHeight="1" x14ac:dyDescent="0.25">
      <c r="B11" s="5"/>
      <c r="C11" s="84" t="s">
        <v>247</v>
      </c>
      <c r="D11" s="86" t="s">
        <v>198</v>
      </c>
      <c r="E11" s="102">
        <v>1.1268E-2</v>
      </c>
      <c r="F11" s="274"/>
      <c r="G11" s="274"/>
      <c r="H11" s="274"/>
      <c r="I11" s="274"/>
      <c r="J11" s="274"/>
      <c r="K11" s="274"/>
      <c r="L11" s="274"/>
      <c r="M11" s="274"/>
      <c r="N11" s="274"/>
      <c r="O11" s="274"/>
      <c r="P11" s="274"/>
      <c r="Q11" s="274"/>
      <c r="R11" s="274"/>
      <c r="S11" s="76"/>
      <c r="T11" s="139"/>
      <c r="V11" s="179"/>
      <c r="W11" s="216" t="s">
        <v>30</v>
      </c>
      <c r="X11" s="217">
        <v>1.2673E-2</v>
      </c>
      <c r="Y11" s="196"/>
      <c r="Z11" s="197"/>
      <c r="AA11" s="197"/>
      <c r="AB11" s="165"/>
    </row>
    <row r="12" spans="1:28" ht="15" customHeight="1" x14ac:dyDescent="0.25">
      <c r="B12" s="5"/>
      <c r="C12" s="84" t="s">
        <v>168</v>
      </c>
      <c r="D12" s="86" t="s">
        <v>198</v>
      </c>
      <c r="E12" s="102">
        <v>9.9319999999999999E-3</v>
      </c>
      <c r="F12" s="274"/>
      <c r="G12" s="274"/>
      <c r="H12" s="274"/>
      <c r="I12" s="274"/>
      <c r="J12" s="274"/>
      <c r="K12" s="274"/>
      <c r="L12" s="274"/>
      <c r="M12" s="274"/>
      <c r="N12" s="274"/>
      <c r="O12" s="274"/>
      <c r="P12" s="274"/>
      <c r="Q12" s="274"/>
      <c r="R12" s="274"/>
      <c r="S12" s="76"/>
      <c r="T12" s="139"/>
      <c r="V12" s="179"/>
      <c r="W12" s="216" t="s">
        <v>187</v>
      </c>
      <c r="X12" s="217">
        <v>8.7829999999999991E-3</v>
      </c>
      <c r="Y12" s="196"/>
      <c r="Z12" s="197"/>
      <c r="AA12" s="197"/>
      <c r="AB12" s="165"/>
    </row>
    <row r="13" spans="1:28" ht="15" customHeight="1" x14ac:dyDescent="0.25">
      <c r="B13" s="5"/>
      <c r="C13" s="84" t="s">
        <v>239</v>
      </c>
      <c r="D13" s="86" t="s">
        <v>191</v>
      </c>
      <c r="E13" s="102">
        <v>9.4219999999999998E-3</v>
      </c>
      <c r="F13" s="274"/>
      <c r="G13" s="274"/>
      <c r="H13" s="274"/>
      <c r="I13" s="274"/>
      <c r="J13" s="274"/>
      <c r="K13" s="274"/>
      <c r="L13" s="274"/>
      <c r="M13" s="274"/>
      <c r="N13" s="274"/>
      <c r="O13" s="274"/>
      <c r="P13" s="274"/>
      <c r="Q13" s="274"/>
      <c r="R13" s="274"/>
      <c r="S13" s="76"/>
      <c r="T13" s="139"/>
      <c r="V13" s="179"/>
      <c r="W13" s="216" t="s">
        <v>19</v>
      </c>
      <c r="X13" s="217">
        <v>5.8110000000000002E-3</v>
      </c>
      <c r="Y13" s="196"/>
      <c r="Z13" s="197"/>
      <c r="AA13" s="197"/>
      <c r="AB13" s="165"/>
    </row>
    <row r="14" spans="1:28" ht="15" customHeight="1" x14ac:dyDescent="0.25">
      <c r="B14" s="5"/>
      <c r="C14" s="84" t="s">
        <v>250</v>
      </c>
      <c r="D14" s="86" t="s">
        <v>187</v>
      </c>
      <c r="E14" s="102">
        <v>8.7829999999999991E-3</v>
      </c>
      <c r="F14" s="274"/>
      <c r="G14" s="274"/>
      <c r="H14" s="274"/>
      <c r="I14" s="274"/>
      <c r="J14" s="274"/>
      <c r="K14" s="274"/>
      <c r="L14" s="274"/>
      <c r="M14" s="274"/>
      <c r="N14" s="274"/>
      <c r="O14" s="274"/>
      <c r="P14" s="274"/>
      <c r="Q14" s="274"/>
      <c r="R14" s="274"/>
      <c r="S14" s="76"/>
      <c r="T14" s="139"/>
      <c r="V14" s="179"/>
      <c r="W14" s="216" t="s">
        <v>130</v>
      </c>
      <c r="X14" s="217">
        <v>4.9300000000000004E-3</v>
      </c>
      <c r="Y14" s="196"/>
      <c r="Z14" s="197"/>
      <c r="AA14" s="197"/>
      <c r="AB14" s="165"/>
    </row>
    <row r="15" spans="1:28" ht="15.75" customHeight="1" x14ac:dyDescent="0.25">
      <c r="B15" s="5"/>
      <c r="C15" s="84" t="s">
        <v>252</v>
      </c>
      <c r="D15" s="86" t="s">
        <v>198</v>
      </c>
      <c r="E15" s="102">
        <v>5.7910000000000001E-3</v>
      </c>
      <c r="F15" s="274"/>
      <c r="G15" s="274"/>
      <c r="H15" s="274"/>
      <c r="I15" s="274"/>
      <c r="J15" s="274"/>
      <c r="K15" s="274"/>
      <c r="L15" s="274"/>
      <c r="M15" s="274"/>
      <c r="N15" s="274"/>
      <c r="O15" s="274"/>
      <c r="P15" s="274"/>
      <c r="Q15" s="274"/>
      <c r="R15" s="274"/>
      <c r="S15" s="76"/>
      <c r="T15" s="139"/>
      <c r="V15" s="179"/>
      <c r="W15" s="216"/>
      <c r="X15" s="217"/>
      <c r="Y15" s="196"/>
      <c r="Z15" s="197"/>
      <c r="AA15" s="197"/>
      <c r="AB15" s="165"/>
    </row>
    <row r="16" spans="1:28" ht="15" customHeight="1" x14ac:dyDescent="0.25">
      <c r="B16" s="5"/>
      <c r="C16" s="84" t="s">
        <v>148</v>
      </c>
      <c r="D16" s="86" t="s">
        <v>130</v>
      </c>
      <c r="E16" s="102">
        <v>4.9300000000000004E-3</v>
      </c>
      <c r="F16" s="274"/>
      <c r="G16" s="274"/>
      <c r="H16" s="274"/>
      <c r="I16" s="274"/>
      <c r="J16" s="274"/>
      <c r="K16" s="274"/>
      <c r="L16" s="274"/>
      <c r="M16" s="274"/>
      <c r="N16" s="274"/>
      <c r="O16" s="274"/>
      <c r="P16" s="274"/>
      <c r="Q16" s="274"/>
      <c r="R16" s="274"/>
      <c r="S16" s="76"/>
      <c r="T16" s="139"/>
      <c r="V16" s="179"/>
      <c r="W16" s="216"/>
      <c r="X16" s="217"/>
      <c r="Y16" s="196"/>
      <c r="Z16" s="197"/>
      <c r="AA16" s="197"/>
      <c r="AB16" s="165"/>
    </row>
    <row r="17" spans="2:28" ht="15.75" customHeight="1" x14ac:dyDescent="0.25">
      <c r="B17" s="5"/>
      <c r="C17" s="84" t="s">
        <v>104</v>
      </c>
      <c r="D17" s="86" t="s">
        <v>198</v>
      </c>
      <c r="E17" s="102">
        <v>4.895E-3</v>
      </c>
      <c r="F17" s="274"/>
      <c r="G17" s="274"/>
      <c r="H17" s="274"/>
      <c r="I17" s="274"/>
      <c r="J17" s="274"/>
      <c r="K17" s="274"/>
      <c r="L17" s="274"/>
      <c r="M17" s="274"/>
      <c r="N17" s="274"/>
      <c r="O17" s="274"/>
      <c r="P17" s="274"/>
      <c r="Q17" s="274"/>
      <c r="R17" s="274"/>
      <c r="S17" s="76"/>
      <c r="T17" s="139"/>
      <c r="V17" s="179"/>
      <c r="W17" s="216"/>
      <c r="X17" s="217"/>
      <c r="Y17" s="196"/>
      <c r="Z17" s="197"/>
      <c r="AA17" s="197"/>
      <c r="AB17" s="165"/>
    </row>
    <row r="18" spans="2:28" ht="15.75" x14ac:dyDescent="0.25">
      <c r="B18" s="5"/>
      <c r="C18" s="84" t="s">
        <v>116</v>
      </c>
      <c r="D18" s="86" t="s">
        <v>19</v>
      </c>
      <c r="E18" s="102">
        <v>4.816E-3</v>
      </c>
      <c r="F18" s="274"/>
      <c r="G18" s="274"/>
      <c r="H18" s="274"/>
      <c r="I18" s="274"/>
      <c r="J18" s="274"/>
      <c r="K18" s="274"/>
      <c r="L18" s="274"/>
      <c r="M18" s="274"/>
      <c r="N18" s="274"/>
      <c r="O18" s="274"/>
      <c r="P18" s="274"/>
      <c r="Q18" s="274"/>
      <c r="R18" s="274"/>
      <c r="S18" s="76"/>
      <c r="T18" s="139"/>
      <c r="V18" s="179"/>
      <c r="W18" s="216"/>
      <c r="X18" s="217"/>
      <c r="Y18" s="196"/>
      <c r="Z18" s="197"/>
      <c r="AA18" s="197"/>
      <c r="AB18" s="165"/>
    </row>
    <row r="19" spans="2:28" ht="15.75" customHeight="1" x14ac:dyDescent="0.25">
      <c r="B19" s="5"/>
      <c r="C19" s="84" t="s">
        <v>179</v>
      </c>
      <c r="D19" s="86" t="s">
        <v>19</v>
      </c>
      <c r="E19" s="102">
        <v>9.9500000000000001E-4</v>
      </c>
      <c r="F19" s="274"/>
      <c r="G19" s="274"/>
      <c r="H19" s="274"/>
      <c r="I19" s="274"/>
      <c r="J19" s="274"/>
      <c r="K19" s="274"/>
      <c r="L19" s="274"/>
      <c r="M19" s="274"/>
      <c r="N19" s="274"/>
      <c r="O19" s="274"/>
      <c r="P19" s="274"/>
      <c r="Q19" s="274"/>
      <c r="R19" s="274"/>
      <c r="S19" s="76"/>
      <c r="T19" s="139"/>
      <c r="V19" s="179"/>
      <c r="W19" s="216"/>
      <c r="X19" s="217"/>
      <c r="Y19" s="196"/>
      <c r="Z19" s="197"/>
      <c r="AA19" s="197"/>
      <c r="AB19" s="165"/>
    </row>
    <row r="20" spans="2:28" ht="15" customHeight="1" x14ac:dyDescent="0.25">
      <c r="B20" s="5"/>
      <c r="C20" s="68"/>
      <c r="D20" s="68"/>
      <c r="E20" s="65"/>
      <c r="F20" s="274"/>
      <c r="G20" s="274"/>
      <c r="H20" s="274"/>
      <c r="I20" s="274"/>
      <c r="J20" s="274"/>
      <c r="K20" s="274"/>
      <c r="L20" s="274"/>
      <c r="M20" s="274"/>
      <c r="N20" s="274"/>
      <c r="O20" s="274"/>
      <c r="P20" s="274"/>
      <c r="Q20" s="274"/>
      <c r="R20" s="274"/>
      <c r="S20" s="76"/>
      <c r="T20" s="139"/>
      <c r="V20" s="179"/>
      <c r="W20" s="216"/>
      <c r="X20" s="217"/>
      <c r="Y20" s="196"/>
      <c r="Z20" s="197"/>
      <c r="AA20" s="197"/>
      <c r="AB20" s="165"/>
    </row>
    <row r="21" spans="2:28" ht="15" customHeight="1" x14ac:dyDescent="0.25">
      <c r="B21" s="5"/>
      <c r="C21" s="69" t="s">
        <v>68</v>
      </c>
      <c r="D21" s="71"/>
      <c r="E21" s="64">
        <f>SUM(E8:E19)</f>
        <v>0.11869399999999999</v>
      </c>
      <c r="F21" s="274"/>
      <c r="G21" s="274"/>
      <c r="H21" s="274"/>
      <c r="I21" s="274"/>
      <c r="J21" s="274"/>
      <c r="K21" s="274"/>
      <c r="L21" s="274"/>
      <c r="M21" s="274"/>
      <c r="N21" s="274"/>
      <c r="O21" s="274"/>
      <c r="P21" s="274"/>
      <c r="Q21" s="274"/>
      <c r="R21" s="274"/>
      <c r="S21" s="76"/>
      <c r="T21" s="139"/>
      <c r="V21" s="179"/>
      <c r="W21" s="216"/>
      <c r="X21" s="217"/>
      <c r="Y21" s="196"/>
      <c r="Z21" s="197"/>
      <c r="AA21" s="197"/>
      <c r="AB21" s="165"/>
    </row>
    <row r="22" spans="2:28" ht="15" customHeight="1" x14ac:dyDescent="0.25">
      <c r="B22" s="5"/>
      <c r="F22" s="274"/>
      <c r="G22" s="274"/>
      <c r="H22" s="274"/>
      <c r="I22" s="274"/>
      <c r="J22" s="274"/>
      <c r="K22" s="274"/>
      <c r="L22" s="274"/>
      <c r="M22" s="274"/>
      <c r="N22" s="274"/>
      <c r="O22" s="274"/>
      <c r="P22" s="274"/>
      <c r="Q22" s="274"/>
      <c r="R22" s="274"/>
      <c r="S22" s="76"/>
      <c r="T22" s="139"/>
      <c r="V22" s="179"/>
      <c r="W22" s="216"/>
      <c r="X22" s="217"/>
      <c r="Y22" s="196"/>
      <c r="Z22" s="197"/>
      <c r="AA22" s="197"/>
      <c r="AB22" s="165"/>
    </row>
    <row r="23" spans="2:28" ht="15" customHeight="1" x14ac:dyDescent="0.25">
      <c r="B23" s="5"/>
      <c r="F23" s="274"/>
      <c r="G23" s="274"/>
      <c r="H23" s="274"/>
      <c r="I23" s="274"/>
      <c r="J23" s="274"/>
      <c r="K23" s="274"/>
      <c r="L23" s="274"/>
      <c r="M23" s="274"/>
      <c r="N23" s="274"/>
      <c r="O23" s="274"/>
      <c r="P23" s="274"/>
      <c r="Q23" s="274"/>
      <c r="R23" s="274"/>
      <c r="S23" s="76"/>
      <c r="T23" s="139"/>
      <c r="V23" s="179"/>
      <c r="W23" s="216"/>
      <c r="X23" s="217"/>
      <c r="Y23" s="196"/>
      <c r="Z23" s="197"/>
      <c r="AA23" s="197"/>
      <c r="AB23" s="165"/>
    </row>
    <row r="24" spans="2:28" ht="15" customHeight="1" x14ac:dyDescent="0.25">
      <c r="B24" s="5"/>
      <c r="F24" s="274"/>
      <c r="G24" s="274"/>
      <c r="H24" s="274"/>
      <c r="I24" s="274"/>
      <c r="J24" s="274"/>
      <c r="K24" s="274"/>
      <c r="L24" s="274"/>
      <c r="M24" s="274"/>
      <c r="N24" s="274"/>
      <c r="O24" s="274"/>
      <c r="P24" s="274"/>
      <c r="Q24" s="274"/>
      <c r="R24" s="274"/>
      <c r="S24" s="76"/>
      <c r="T24" s="139"/>
      <c r="V24" s="179"/>
      <c r="W24" s="216"/>
      <c r="X24" s="217"/>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c r="X25" s="217"/>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c r="X26" s="217"/>
      <c r="Y26" s="196"/>
      <c r="Z26" s="197"/>
      <c r="AA26" s="197"/>
      <c r="AB26" s="165"/>
    </row>
    <row r="27" spans="2:28" ht="15" customHeight="1" x14ac:dyDescent="0.25">
      <c r="B27" s="5"/>
      <c r="F27" s="274"/>
      <c r="G27" s="274"/>
      <c r="H27" s="274"/>
      <c r="I27" s="274"/>
      <c r="J27" s="274"/>
      <c r="K27" s="274"/>
      <c r="L27" s="274"/>
      <c r="M27" s="274"/>
      <c r="N27" s="274"/>
      <c r="O27" s="274"/>
      <c r="P27" s="274"/>
      <c r="Q27" s="274"/>
      <c r="R27" s="274"/>
      <c r="S27" s="76"/>
      <c r="T27" s="139"/>
      <c r="V27" s="179"/>
      <c r="W27" s="216"/>
      <c r="X27" s="217"/>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c r="X28" s="217"/>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c r="X29" s="201"/>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c r="X30" s="199"/>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c r="X31" s="199"/>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c r="X32" s="199"/>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c r="X33" s="199"/>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c r="X34" s="199"/>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127</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C8:E19">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177</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253</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254</v>
      </c>
      <c r="D5" s="311" t="s">
        <v>261</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3.4263000000000002E-2</v>
      </c>
      <c r="F8" s="274"/>
      <c r="G8" s="274"/>
      <c r="H8" s="274"/>
      <c r="I8" s="274"/>
      <c r="J8" s="274"/>
      <c r="K8" s="274"/>
      <c r="L8" s="274"/>
      <c r="M8" s="274"/>
      <c r="N8" s="274"/>
      <c r="O8" s="274"/>
      <c r="P8" s="274"/>
      <c r="Q8" s="274"/>
      <c r="R8" s="274"/>
      <c r="S8" s="76"/>
      <c r="T8" s="139"/>
      <c r="V8" s="179"/>
      <c r="W8" s="216" t="s">
        <v>3</v>
      </c>
      <c r="X8" s="217">
        <v>0.13703000000000001</v>
      </c>
      <c r="Y8" s="196"/>
      <c r="Z8" s="197"/>
      <c r="AA8" s="197"/>
      <c r="AB8" s="165"/>
    </row>
    <row r="9" spans="1:28" ht="15.75" customHeight="1" x14ac:dyDescent="0.25">
      <c r="B9" s="5"/>
      <c r="C9" s="84" t="s">
        <v>33</v>
      </c>
      <c r="D9" s="86" t="s">
        <v>3</v>
      </c>
      <c r="E9" s="102">
        <v>2.7005000000000001E-2</v>
      </c>
      <c r="F9" s="274"/>
      <c r="G9" s="274"/>
      <c r="H9" s="274"/>
      <c r="I9" s="274"/>
      <c r="J9" s="274"/>
      <c r="K9" s="274"/>
      <c r="L9" s="274"/>
      <c r="M9" s="274"/>
      <c r="N9" s="274"/>
      <c r="O9" s="274"/>
      <c r="P9" s="274"/>
      <c r="Q9" s="274"/>
      <c r="R9" s="274"/>
      <c r="S9" s="76"/>
      <c r="T9" s="139"/>
      <c r="V9" s="179"/>
      <c r="W9" s="216" t="s">
        <v>4</v>
      </c>
      <c r="X9" s="217">
        <v>9.3060999999999991E-2</v>
      </c>
      <c r="Y9" s="196"/>
      <c r="Z9" s="197"/>
      <c r="AA9" s="197"/>
      <c r="AB9" s="165"/>
    </row>
    <row r="10" spans="1:28" ht="15" customHeight="1" x14ac:dyDescent="0.25">
      <c r="B10" s="5"/>
      <c r="C10" s="84" t="s">
        <v>36</v>
      </c>
      <c r="D10" s="86" t="s">
        <v>6</v>
      </c>
      <c r="E10" s="102">
        <v>2.3968E-2</v>
      </c>
      <c r="F10" s="274"/>
      <c r="G10" s="274"/>
      <c r="H10" s="274"/>
      <c r="I10" s="274"/>
      <c r="J10" s="274"/>
      <c r="K10" s="274"/>
      <c r="L10" s="274"/>
      <c r="M10" s="274"/>
      <c r="N10" s="274"/>
      <c r="O10" s="274"/>
      <c r="P10" s="274"/>
      <c r="Q10" s="274"/>
      <c r="R10" s="274"/>
      <c r="S10" s="76"/>
      <c r="T10" s="139"/>
      <c r="V10" s="179"/>
      <c r="W10" s="216" t="s">
        <v>193</v>
      </c>
      <c r="X10" s="217">
        <v>7.2637000000000007E-2</v>
      </c>
      <c r="Y10" s="196"/>
      <c r="Z10" s="197"/>
      <c r="AA10" s="197"/>
      <c r="AB10" s="165"/>
    </row>
    <row r="11" spans="1:28" ht="15" customHeight="1" x14ac:dyDescent="0.25">
      <c r="B11" s="5"/>
      <c r="C11" s="84" t="s">
        <v>190</v>
      </c>
      <c r="D11" s="86" t="s">
        <v>191</v>
      </c>
      <c r="E11" s="102">
        <v>2.3904999999999999E-2</v>
      </c>
      <c r="F11" s="274"/>
      <c r="G11" s="274"/>
      <c r="H11" s="274"/>
      <c r="I11" s="274"/>
      <c r="J11" s="274"/>
      <c r="K11" s="274"/>
      <c r="L11" s="274"/>
      <c r="M11" s="274"/>
      <c r="N11" s="274"/>
      <c r="O11" s="274"/>
      <c r="P11" s="274"/>
      <c r="Q11" s="274"/>
      <c r="R11" s="274"/>
      <c r="S11" s="76"/>
      <c r="T11" s="139"/>
      <c r="V11" s="179"/>
      <c r="W11" s="216" t="s">
        <v>187</v>
      </c>
      <c r="X11" s="217">
        <v>5.8972000000000004E-2</v>
      </c>
      <c r="Y11" s="196"/>
      <c r="Z11" s="197"/>
      <c r="AA11" s="197"/>
      <c r="AB11" s="165"/>
    </row>
    <row r="12" spans="1:28" ht="15" customHeight="1" x14ac:dyDescent="0.25">
      <c r="B12" s="5"/>
      <c r="C12" s="84" t="s">
        <v>181</v>
      </c>
      <c r="D12" s="86" t="s">
        <v>186</v>
      </c>
      <c r="E12" s="102">
        <v>2.3865000000000001E-2</v>
      </c>
      <c r="F12" s="274"/>
      <c r="G12" s="274"/>
      <c r="H12" s="274"/>
      <c r="I12" s="274"/>
      <c r="J12" s="274"/>
      <c r="K12" s="274"/>
      <c r="L12" s="274"/>
      <c r="M12" s="274"/>
      <c r="N12" s="274"/>
      <c r="O12" s="274"/>
      <c r="P12" s="274"/>
      <c r="Q12" s="274"/>
      <c r="R12" s="274"/>
      <c r="S12" s="76"/>
      <c r="T12" s="139"/>
      <c r="V12" s="179"/>
      <c r="W12" s="216" t="s">
        <v>19</v>
      </c>
      <c r="X12" s="217">
        <v>5.7926999999999999E-2</v>
      </c>
      <c r="Y12" s="196"/>
      <c r="Z12" s="197"/>
      <c r="AA12" s="197"/>
      <c r="AB12" s="165"/>
    </row>
    <row r="13" spans="1:28" ht="15" customHeight="1" x14ac:dyDescent="0.25">
      <c r="B13" s="5"/>
      <c r="C13" s="84" t="s">
        <v>240</v>
      </c>
      <c r="D13" s="86" t="s">
        <v>195</v>
      </c>
      <c r="E13" s="102">
        <v>2.2391999999999999E-2</v>
      </c>
      <c r="F13" s="274"/>
      <c r="G13" s="274"/>
      <c r="H13" s="274"/>
      <c r="I13" s="274"/>
      <c r="J13" s="274"/>
      <c r="K13" s="274"/>
      <c r="L13" s="274"/>
      <c r="M13" s="274"/>
      <c r="N13" s="274"/>
      <c r="O13" s="274"/>
      <c r="P13" s="274"/>
      <c r="Q13" s="274"/>
      <c r="R13" s="274"/>
      <c r="S13" s="76"/>
      <c r="T13" s="139"/>
      <c r="V13" s="179"/>
      <c r="W13" s="216" t="s">
        <v>129</v>
      </c>
      <c r="X13" s="217">
        <v>5.5989999999999998E-2</v>
      </c>
      <c r="Y13" s="196"/>
      <c r="Z13" s="197"/>
      <c r="AA13" s="197"/>
      <c r="AB13" s="165"/>
    </row>
    <row r="14" spans="1:28" ht="15" customHeight="1" x14ac:dyDescent="0.25">
      <c r="B14" s="5"/>
      <c r="C14" s="84" t="s">
        <v>180</v>
      </c>
      <c r="D14" s="86" t="s">
        <v>129</v>
      </c>
      <c r="E14" s="102">
        <v>2.2317E-2</v>
      </c>
      <c r="F14" s="274"/>
      <c r="G14" s="274"/>
      <c r="H14" s="274"/>
      <c r="I14" s="274"/>
      <c r="J14" s="274"/>
      <c r="K14" s="274"/>
      <c r="L14" s="274"/>
      <c r="M14" s="274"/>
      <c r="N14" s="274"/>
      <c r="O14" s="274"/>
      <c r="P14" s="274"/>
      <c r="Q14" s="274"/>
      <c r="R14" s="274"/>
      <c r="S14" s="76"/>
      <c r="T14" s="139"/>
      <c r="V14" s="179"/>
      <c r="W14" s="216" t="s">
        <v>191</v>
      </c>
      <c r="X14" s="217">
        <v>5.4819E-2</v>
      </c>
      <c r="Y14" s="196"/>
      <c r="Z14" s="197"/>
      <c r="AA14" s="197"/>
      <c r="AB14" s="165"/>
    </row>
    <row r="15" spans="1:28" ht="15.75" customHeight="1" x14ac:dyDescent="0.25">
      <c r="B15" s="5"/>
      <c r="C15" s="84" t="s">
        <v>34</v>
      </c>
      <c r="D15" s="86" t="s">
        <v>4</v>
      </c>
      <c r="E15" s="102">
        <v>2.2228000000000001E-2</v>
      </c>
      <c r="F15" s="274"/>
      <c r="G15" s="274"/>
      <c r="H15" s="274"/>
      <c r="I15" s="274"/>
      <c r="J15" s="274"/>
      <c r="K15" s="274"/>
      <c r="L15" s="274"/>
      <c r="M15" s="274"/>
      <c r="N15" s="274"/>
      <c r="O15" s="274"/>
      <c r="P15" s="274"/>
      <c r="Q15" s="274"/>
      <c r="R15" s="274"/>
      <c r="S15" s="76"/>
      <c r="T15" s="139"/>
      <c r="V15" s="179"/>
      <c r="W15" s="216" t="s">
        <v>27</v>
      </c>
      <c r="X15" s="217">
        <v>4.1951999999999996E-2</v>
      </c>
      <c r="Y15" s="196"/>
      <c r="Z15" s="197"/>
      <c r="AA15" s="197"/>
      <c r="AB15" s="165"/>
    </row>
    <row r="16" spans="1:28" ht="15" customHeight="1" x14ac:dyDescent="0.25">
      <c r="B16" s="5"/>
      <c r="C16" s="84" t="s">
        <v>192</v>
      </c>
      <c r="D16" s="86" t="s">
        <v>4</v>
      </c>
      <c r="E16" s="102">
        <v>2.1784999999999999E-2</v>
      </c>
      <c r="F16" s="274"/>
      <c r="G16" s="274"/>
      <c r="H16" s="274"/>
      <c r="I16" s="274"/>
      <c r="J16" s="274"/>
      <c r="K16" s="274"/>
      <c r="L16" s="274"/>
      <c r="M16" s="274"/>
      <c r="N16" s="274"/>
      <c r="O16" s="274"/>
      <c r="P16" s="274"/>
      <c r="Q16" s="274"/>
      <c r="R16" s="274"/>
      <c r="S16" s="76"/>
      <c r="T16" s="139"/>
      <c r="V16" s="179"/>
      <c r="W16" s="216" t="s">
        <v>186</v>
      </c>
      <c r="X16" s="217">
        <v>3.4804000000000002E-2</v>
      </c>
      <c r="Y16" s="196"/>
      <c r="Z16" s="197"/>
      <c r="AA16" s="197"/>
      <c r="AB16" s="165"/>
    </row>
    <row r="17" spans="2:28" ht="15.75" customHeight="1" x14ac:dyDescent="0.25">
      <c r="B17" s="5"/>
      <c r="C17" s="84" t="s">
        <v>111</v>
      </c>
      <c r="D17" s="86" t="s">
        <v>13</v>
      </c>
      <c r="E17" s="102">
        <v>2.1655000000000001E-2</v>
      </c>
      <c r="F17" s="274"/>
      <c r="G17" s="274"/>
      <c r="H17" s="274"/>
      <c r="I17" s="274"/>
      <c r="J17" s="274"/>
      <c r="K17" s="274"/>
      <c r="L17" s="274"/>
      <c r="M17" s="274"/>
      <c r="N17" s="274"/>
      <c r="O17" s="274"/>
      <c r="P17" s="274"/>
      <c r="Q17" s="274"/>
      <c r="R17" s="274"/>
      <c r="S17" s="76"/>
      <c r="T17" s="139"/>
      <c r="V17" s="179"/>
      <c r="W17" s="216" t="s">
        <v>26</v>
      </c>
      <c r="X17" s="217">
        <v>3.1883000000000002E-2</v>
      </c>
      <c r="Y17" s="196"/>
      <c r="Z17" s="197"/>
      <c r="AA17" s="197"/>
      <c r="AB17" s="165"/>
    </row>
    <row r="18" spans="2:28" ht="15.75" x14ac:dyDescent="0.25">
      <c r="B18" s="5"/>
      <c r="C18" s="84" t="s">
        <v>176</v>
      </c>
      <c r="D18" s="86" t="s">
        <v>149</v>
      </c>
      <c r="E18" s="102">
        <v>2.1614999999999999E-2</v>
      </c>
      <c r="F18" s="274"/>
      <c r="G18" s="274"/>
      <c r="H18" s="274"/>
      <c r="I18" s="274"/>
      <c r="J18" s="274"/>
      <c r="K18" s="274"/>
      <c r="L18" s="274"/>
      <c r="M18" s="274"/>
      <c r="N18" s="274"/>
      <c r="O18" s="274"/>
      <c r="P18" s="274"/>
      <c r="Q18" s="274"/>
      <c r="R18" s="274"/>
      <c r="S18" s="76"/>
      <c r="T18" s="139"/>
      <c r="V18" s="179"/>
      <c r="W18" s="216" t="s">
        <v>6</v>
      </c>
      <c r="X18" s="217">
        <v>2.3968E-2</v>
      </c>
      <c r="Y18" s="196"/>
      <c r="Z18" s="197"/>
      <c r="AA18" s="197"/>
      <c r="AB18" s="165"/>
    </row>
    <row r="19" spans="2:28" ht="15.75" customHeight="1" x14ac:dyDescent="0.25">
      <c r="B19" s="5"/>
      <c r="C19" s="84" t="s">
        <v>188</v>
      </c>
      <c r="D19" s="86" t="s">
        <v>189</v>
      </c>
      <c r="E19" s="102">
        <v>2.1496000000000001E-2</v>
      </c>
      <c r="F19" s="274"/>
      <c r="G19" s="274"/>
      <c r="H19" s="274"/>
      <c r="I19" s="274"/>
      <c r="J19" s="274"/>
      <c r="K19" s="274"/>
      <c r="L19" s="274"/>
      <c r="M19" s="274"/>
      <c r="N19" s="274"/>
      <c r="O19" s="274"/>
      <c r="P19" s="274"/>
      <c r="Q19" s="274"/>
      <c r="R19" s="274"/>
      <c r="S19" s="76"/>
      <c r="T19" s="139"/>
      <c r="V19" s="179"/>
      <c r="W19" s="216" t="s">
        <v>198</v>
      </c>
      <c r="X19" s="217">
        <v>2.3740000000000001E-2</v>
      </c>
      <c r="Y19" s="196"/>
      <c r="Z19" s="197"/>
      <c r="AA19" s="197"/>
      <c r="AB19" s="165"/>
    </row>
    <row r="20" spans="2:28" ht="15" customHeight="1" x14ac:dyDescent="0.25">
      <c r="B20" s="5"/>
      <c r="C20" s="84" t="s">
        <v>41</v>
      </c>
      <c r="D20" s="86" t="s">
        <v>3</v>
      </c>
      <c r="E20" s="102">
        <v>2.0483999999999999E-2</v>
      </c>
      <c r="F20" s="274"/>
      <c r="G20" s="274"/>
      <c r="H20" s="274"/>
      <c r="I20" s="274"/>
      <c r="J20" s="274"/>
      <c r="K20" s="274"/>
      <c r="L20" s="274"/>
      <c r="M20" s="274"/>
      <c r="N20" s="274"/>
      <c r="O20" s="274"/>
      <c r="P20" s="274"/>
      <c r="Q20" s="274"/>
      <c r="R20" s="274"/>
      <c r="S20" s="76"/>
      <c r="T20" s="139"/>
      <c r="V20" s="179"/>
      <c r="W20" s="216" t="s">
        <v>194</v>
      </c>
      <c r="X20" s="217">
        <v>2.3662000000000002E-2</v>
      </c>
      <c r="Y20" s="196"/>
      <c r="Z20" s="197"/>
      <c r="AA20" s="197"/>
      <c r="AB20" s="165"/>
    </row>
    <row r="21" spans="2:28" ht="15" customHeight="1" x14ac:dyDescent="0.25">
      <c r="B21" s="5"/>
      <c r="C21" s="84" t="s">
        <v>241</v>
      </c>
      <c r="D21" s="86" t="s">
        <v>4</v>
      </c>
      <c r="E21" s="102">
        <v>2.0188999999999999E-2</v>
      </c>
      <c r="F21" s="274"/>
      <c r="G21" s="274"/>
      <c r="H21" s="274"/>
      <c r="I21" s="274"/>
      <c r="J21" s="274"/>
      <c r="K21" s="274"/>
      <c r="L21" s="274"/>
      <c r="M21" s="274"/>
      <c r="N21" s="274"/>
      <c r="O21" s="274"/>
      <c r="P21" s="274"/>
      <c r="Q21" s="274"/>
      <c r="R21" s="274"/>
      <c r="S21" s="76"/>
      <c r="T21" s="139"/>
      <c r="V21" s="179"/>
      <c r="W21" s="216" t="s">
        <v>130</v>
      </c>
      <c r="X21" s="217">
        <v>2.2658999999999999E-2</v>
      </c>
      <c r="Y21" s="196"/>
      <c r="Z21" s="197"/>
      <c r="AA21" s="197"/>
      <c r="AB21" s="165"/>
    </row>
    <row r="22" spans="2:28" ht="15" customHeight="1" x14ac:dyDescent="0.25">
      <c r="B22" s="5"/>
      <c r="C22" s="84" t="s">
        <v>40</v>
      </c>
      <c r="D22" s="86" t="s">
        <v>3</v>
      </c>
      <c r="E22" s="102">
        <v>2.0014000000000001E-2</v>
      </c>
      <c r="F22" s="274"/>
      <c r="G22" s="274"/>
      <c r="H22" s="274"/>
      <c r="I22" s="274"/>
      <c r="J22" s="274"/>
      <c r="K22" s="274"/>
      <c r="L22" s="274"/>
      <c r="M22" s="274"/>
      <c r="N22" s="274"/>
      <c r="O22" s="274"/>
      <c r="P22" s="274"/>
      <c r="Q22" s="274"/>
      <c r="R22" s="274"/>
      <c r="S22" s="76"/>
      <c r="T22" s="139"/>
      <c r="V22" s="179"/>
      <c r="W22" s="216" t="s">
        <v>195</v>
      </c>
      <c r="X22" s="217">
        <v>2.2391999999999999E-2</v>
      </c>
      <c r="Y22" s="196"/>
      <c r="Z22" s="197"/>
      <c r="AA22" s="197"/>
      <c r="AB22" s="165"/>
    </row>
    <row r="23" spans="2:28" ht="15" customHeight="1" x14ac:dyDescent="0.25">
      <c r="B23" s="5"/>
      <c r="C23" s="68"/>
      <c r="D23" s="68"/>
      <c r="E23" s="65"/>
      <c r="F23" s="274"/>
      <c r="G23" s="274"/>
      <c r="H23" s="274"/>
      <c r="I23" s="274"/>
      <c r="J23" s="274"/>
      <c r="K23" s="274"/>
      <c r="L23" s="274"/>
      <c r="M23" s="274"/>
      <c r="N23" s="274"/>
      <c r="O23" s="274"/>
      <c r="P23" s="274"/>
      <c r="Q23" s="274"/>
      <c r="R23" s="274"/>
      <c r="S23" s="76"/>
      <c r="T23" s="139"/>
      <c r="V23" s="179"/>
      <c r="W23" s="216" t="s">
        <v>13</v>
      </c>
      <c r="X23" s="217">
        <v>2.1655000000000001E-2</v>
      </c>
      <c r="Y23" s="196"/>
      <c r="Z23" s="197"/>
      <c r="AA23" s="197"/>
      <c r="AB23" s="165"/>
    </row>
    <row r="24" spans="2:28" ht="15" customHeight="1" x14ac:dyDescent="0.25">
      <c r="B24" s="5"/>
      <c r="C24" s="69" t="s">
        <v>68</v>
      </c>
      <c r="D24" s="71"/>
      <c r="E24" s="64">
        <f>SUM(E8:E22)</f>
        <v>0.34718100000000002</v>
      </c>
      <c r="F24" s="274"/>
      <c r="G24" s="274"/>
      <c r="H24" s="274"/>
      <c r="I24" s="274"/>
      <c r="J24" s="274"/>
      <c r="K24" s="274"/>
      <c r="L24" s="274"/>
      <c r="M24" s="274"/>
      <c r="N24" s="274"/>
      <c r="O24" s="274"/>
      <c r="P24" s="274"/>
      <c r="Q24" s="274"/>
      <c r="R24" s="274"/>
      <c r="S24" s="76"/>
      <c r="T24" s="139"/>
      <c r="V24" s="179"/>
      <c r="W24" s="216" t="s">
        <v>149</v>
      </c>
      <c r="X24" s="217">
        <v>2.1614999999999999E-2</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t="s">
        <v>189</v>
      </c>
      <c r="X25" s="217">
        <v>2.1496000000000001E-2</v>
      </c>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t="s">
        <v>197</v>
      </c>
      <c r="X26" s="217">
        <v>1.6920000000000001E-2</v>
      </c>
      <c r="Y26" s="196"/>
      <c r="Z26" s="197"/>
      <c r="AA26" s="197"/>
      <c r="AB26" s="165"/>
    </row>
    <row r="27" spans="2:28" ht="15" customHeight="1" x14ac:dyDescent="0.25">
      <c r="B27" s="5"/>
      <c r="D27" s="243"/>
      <c r="F27" s="274"/>
      <c r="G27" s="274"/>
      <c r="H27" s="274"/>
      <c r="I27" s="274"/>
      <c r="J27" s="274"/>
      <c r="K27" s="274"/>
      <c r="L27" s="274"/>
      <c r="M27" s="274"/>
      <c r="N27" s="274"/>
      <c r="O27" s="274"/>
      <c r="P27" s="274"/>
      <c r="Q27" s="274"/>
      <c r="R27" s="274"/>
      <c r="S27" s="76"/>
      <c r="T27" s="139"/>
      <c r="V27" s="179"/>
      <c r="W27" s="216" t="s">
        <v>196</v>
      </c>
      <c r="X27" s="217">
        <v>1.6889999999999999E-2</v>
      </c>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t="s">
        <v>28</v>
      </c>
      <c r="X28" s="217">
        <v>1.6073E-2</v>
      </c>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t="s">
        <v>199</v>
      </c>
      <c r="X29" s="201">
        <v>1.456E-2</v>
      </c>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t="s">
        <v>200</v>
      </c>
      <c r="X30" s="199">
        <v>1.4317E-2</v>
      </c>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t="s">
        <v>14</v>
      </c>
      <c r="X31" s="199">
        <v>1.3204E-2</v>
      </c>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t="s">
        <v>242</v>
      </c>
      <c r="X32" s="199">
        <v>8.4430000000000009E-3</v>
      </c>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t="s">
        <v>201</v>
      </c>
      <c r="X33" s="199">
        <v>7.7629999999999999E-3</v>
      </c>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t="s">
        <v>132</v>
      </c>
      <c r="X34" s="199">
        <v>5.9189999999999998E-3</v>
      </c>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127</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9"/>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128</v>
      </c>
      <c r="D3" s="308"/>
      <c r="E3" s="308"/>
      <c r="F3" s="308"/>
      <c r="G3" s="308"/>
      <c r="H3" s="308"/>
      <c r="I3" s="308"/>
      <c r="J3" s="308"/>
      <c r="K3" s="308"/>
      <c r="L3" s="308"/>
      <c r="M3" s="308"/>
      <c r="N3" s="308"/>
      <c r="O3" s="308"/>
      <c r="P3" s="308"/>
      <c r="Q3" s="308"/>
      <c r="R3" s="308"/>
      <c r="S3" s="308"/>
      <c r="T3" s="139"/>
      <c r="V3" s="178"/>
      <c r="W3" s="197"/>
      <c r="X3" s="197"/>
      <c r="Y3" s="197"/>
      <c r="Z3" s="197"/>
      <c r="AA3" s="177"/>
    </row>
    <row r="4" spans="1:28" ht="15.75" customHeight="1" x14ac:dyDescent="0.25">
      <c r="B4" s="5"/>
      <c r="C4" s="275" t="s">
        <v>253</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254</v>
      </c>
      <c r="D5" s="311" t="s">
        <v>262</v>
      </c>
      <c r="E5" s="311"/>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37</v>
      </c>
      <c r="D8" s="85" t="s">
        <v>3</v>
      </c>
      <c r="E8" s="101">
        <v>9.9395999999999998E-2</v>
      </c>
      <c r="F8" s="1"/>
      <c r="G8" s="1"/>
      <c r="H8" s="1"/>
      <c r="I8" s="1"/>
      <c r="J8" s="1"/>
      <c r="K8" s="1"/>
      <c r="L8" s="1"/>
      <c r="M8" s="1"/>
      <c r="N8" s="1"/>
      <c r="O8" s="1"/>
      <c r="P8" s="1"/>
      <c r="Q8" s="1"/>
      <c r="R8" s="1"/>
      <c r="S8" s="76"/>
      <c r="T8" s="139"/>
      <c r="V8" s="179"/>
      <c r="W8" s="216" t="s">
        <v>3</v>
      </c>
      <c r="X8" s="217">
        <v>0.24715799999999999</v>
      </c>
      <c r="Y8" s="196"/>
      <c r="Z8" s="197"/>
      <c r="AA8" s="197"/>
      <c r="AB8" s="165"/>
    </row>
    <row r="9" spans="1:28" ht="15.75" customHeight="1" x14ac:dyDescent="0.25">
      <c r="B9" s="5"/>
      <c r="C9" s="84" t="s">
        <v>32</v>
      </c>
      <c r="D9" s="86" t="s">
        <v>187</v>
      </c>
      <c r="E9" s="102">
        <v>7.0727999999999999E-2</v>
      </c>
      <c r="F9" s="1"/>
      <c r="G9" s="1"/>
      <c r="H9" s="1"/>
      <c r="I9" s="1"/>
      <c r="J9" s="1"/>
      <c r="K9" s="1"/>
      <c r="L9" s="1"/>
      <c r="M9" s="1"/>
      <c r="N9" s="1"/>
      <c r="O9" s="1"/>
      <c r="P9" s="1"/>
      <c r="Q9" s="1"/>
      <c r="R9" s="1"/>
      <c r="S9" s="76"/>
      <c r="T9" s="139"/>
      <c r="V9" s="179"/>
      <c r="W9" s="216" t="s">
        <v>187</v>
      </c>
      <c r="X9" s="217">
        <v>0.108625</v>
      </c>
      <c r="Y9" s="196"/>
      <c r="Z9" s="197"/>
      <c r="AA9" s="197"/>
      <c r="AB9" s="165"/>
    </row>
    <row r="10" spans="1:28" ht="15" customHeight="1" x14ac:dyDescent="0.25">
      <c r="B10" s="5"/>
      <c r="C10" s="84" t="s">
        <v>33</v>
      </c>
      <c r="D10" s="86" t="s">
        <v>3</v>
      </c>
      <c r="E10" s="102">
        <v>6.5865000000000007E-2</v>
      </c>
      <c r="F10" s="1"/>
      <c r="G10" s="1"/>
      <c r="H10" s="1"/>
      <c r="I10" s="1"/>
      <c r="J10" s="1"/>
      <c r="K10" s="1"/>
      <c r="L10" s="1"/>
      <c r="M10" s="1"/>
      <c r="N10" s="1"/>
      <c r="O10" s="1"/>
      <c r="P10" s="1"/>
      <c r="Q10" s="1"/>
      <c r="R10" s="1"/>
      <c r="S10" s="76"/>
      <c r="T10" s="139"/>
      <c r="V10" s="179"/>
      <c r="W10" s="216" t="s">
        <v>19</v>
      </c>
      <c r="X10" s="217">
        <v>8.3148E-2</v>
      </c>
      <c r="Y10" s="196"/>
      <c r="Z10" s="197"/>
      <c r="AA10" s="197"/>
      <c r="AB10" s="165"/>
    </row>
    <row r="11" spans="1:28" ht="15" customHeight="1" x14ac:dyDescent="0.25">
      <c r="B11" s="5"/>
      <c r="C11" s="84" t="s">
        <v>122</v>
      </c>
      <c r="D11" s="86" t="s">
        <v>3</v>
      </c>
      <c r="E11" s="102">
        <v>4.3379000000000001E-2</v>
      </c>
      <c r="F11" s="1"/>
      <c r="G11" s="1"/>
      <c r="H11" s="1"/>
      <c r="I11" s="1"/>
      <c r="J11" s="1"/>
      <c r="K11" s="1"/>
      <c r="L11" s="1"/>
      <c r="M11" s="1"/>
      <c r="N11" s="1"/>
      <c r="O11" s="1"/>
      <c r="P11" s="1"/>
      <c r="Q11" s="1"/>
      <c r="R11" s="1"/>
      <c r="S11" s="76"/>
      <c r="T11" s="139"/>
      <c r="V11" s="179"/>
      <c r="W11" s="216" t="s">
        <v>191</v>
      </c>
      <c r="X11" s="217">
        <v>5.9977000000000003E-2</v>
      </c>
      <c r="Y11" s="196"/>
      <c r="Z11" s="197"/>
      <c r="AA11" s="197"/>
      <c r="AB11" s="165"/>
    </row>
    <row r="12" spans="1:28" ht="15" customHeight="1" x14ac:dyDescent="0.25">
      <c r="B12" s="5"/>
      <c r="C12" s="84" t="s">
        <v>124</v>
      </c>
      <c r="D12" s="86" t="s">
        <v>4</v>
      </c>
      <c r="E12" s="102">
        <v>4.0332E-2</v>
      </c>
      <c r="F12" s="1"/>
      <c r="G12" s="1"/>
      <c r="H12" s="1"/>
      <c r="I12" s="1"/>
      <c r="J12" s="1"/>
      <c r="K12" s="1"/>
      <c r="L12" s="1"/>
      <c r="M12" s="1"/>
      <c r="N12" s="1"/>
      <c r="O12" s="1"/>
      <c r="P12" s="1"/>
      <c r="Q12" s="1"/>
      <c r="R12" s="1"/>
      <c r="S12" s="76"/>
      <c r="T12" s="139"/>
      <c r="V12" s="179"/>
      <c r="W12" s="216" t="s">
        <v>198</v>
      </c>
      <c r="X12" s="217">
        <v>5.3497000000000003E-2</v>
      </c>
      <c r="Y12" s="196"/>
      <c r="Z12" s="197"/>
      <c r="AA12" s="197"/>
      <c r="AB12" s="165"/>
    </row>
    <row r="13" spans="1:28" ht="15" customHeight="1" x14ac:dyDescent="0.25">
      <c r="B13" s="5"/>
      <c r="C13" s="84" t="s">
        <v>84</v>
      </c>
      <c r="D13" s="86" t="s">
        <v>129</v>
      </c>
      <c r="E13" s="102">
        <v>3.6777999999999998E-2</v>
      </c>
      <c r="F13" s="1"/>
      <c r="G13" s="1"/>
      <c r="H13" s="1"/>
      <c r="I13" s="1"/>
      <c r="J13" s="1"/>
      <c r="K13" s="1"/>
      <c r="L13" s="1"/>
      <c r="M13" s="1"/>
      <c r="N13" s="1"/>
      <c r="O13" s="1"/>
      <c r="P13" s="1"/>
      <c r="Q13" s="1"/>
      <c r="R13" s="1"/>
      <c r="S13" s="76"/>
      <c r="T13" s="139"/>
      <c r="V13" s="179"/>
      <c r="W13" s="216" t="s">
        <v>194</v>
      </c>
      <c r="X13" s="217">
        <v>5.3048999999999999E-2</v>
      </c>
      <c r="Y13" s="196"/>
      <c r="Z13" s="197"/>
      <c r="AA13" s="197"/>
      <c r="AB13" s="165"/>
    </row>
    <row r="14" spans="1:28" ht="15" customHeight="1" x14ac:dyDescent="0.25">
      <c r="B14" s="5"/>
      <c r="C14" s="84" t="s">
        <v>239</v>
      </c>
      <c r="D14" s="86" t="s">
        <v>191</v>
      </c>
      <c r="E14" s="102">
        <v>3.5142E-2</v>
      </c>
      <c r="F14" s="1"/>
      <c r="G14" s="1"/>
      <c r="H14" s="1"/>
      <c r="I14" s="1"/>
      <c r="J14" s="1"/>
      <c r="K14" s="1"/>
      <c r="L14" s="1"/>
      <c r="M14" s="1"/>
      <c r="N14" s="1"/>
      <c r="O14" s="1"/>
      <c r="P14" s="1"/>
      <c r="Q14" s="1"/>
      <c r="R14" s="1"/>
      <c r="S14" s="76"/>
      <c r="T14" s="139"/>
      <c r="V14" s="179"/>
      <c r="W14" s="216" t="s">
        <v>27</v>
      </c>
      <c r="X14" s="217">
        <v>4.6967999999999996E-2</v>
      </c>
      <c r="Y14" s="196"/>
      <c r="Z14" s="197"/>
      <c r="AA14" s="197"/>
      <c r="AB14" s="165"/>
    </row>
    <row r="15" spans="1:28" ht="15.75" customHeight="1" x14ac:dyDescent="0.25">
      <c r="B15" s="5"/>
      <c r="C15" s="84" t="s">
        <v>202</v>
      </c>
      <c r="D15" s="86" t="s">
        <v>194</v>
      </c>
      <c r="E15" s="102">
        <v>3.0497E-2</v>
      </c>
      <c r="F15" s="1"/>
      <c r="G15" s="1"/>
      <c r="H15" s="1"/>
      <c r="I15" s="1"/>
      <c r="J15" s="1"/>
      <c r="K15" s="1"/>
      <c r="L15" s="1"/>
      <c r="M15" s="1"/>
      <c r="N15" s="1"/>
      <c r="O15" s="1"/>
      <c r="P15" s="1"/>
      <c r="Q15" s="1"/>
      <c r="R15" s="1"/>
      <c r="S15" s="76"/>
      <c r="T15" s="139"/>
      <c r="V15" s="179"/>
      <c r="W15" s="216" t="s">
        <v>129</v>
      </c>
      <c r="X15" s="217">
        <v>4.2657E-2</v>
      </c>
      <c r="Y15" s="196"/>
      <c r="Z15" s="197"/>
      <c r="AA15" s="197"/>
      <c r="AB15" s="165"/>
    </row>
    <row r="16" spans="1:28" ht="15" customHeight="1" x14ac:dyDescent="0.25">
      <c r="B16" s="5"/>
      <c r="C16" s="84" t="s">
        <v>104</v>
      </c>
      <c r="D16" s="86" t="s">
        <v>198</v>
      </c>
      <c r="E16" s="102">
        <v>2.9048999999999998E-2</v>
      </c>
      <c r="F16" s="1"/>
      <c r="G16" s="1"/>
      <c r="H16" s="1"/>
      <c r="I16" s="1"/>
      <c r="J16" s="1"/>
      <c r="K16" s="1"/>
      <c r="L16" s="1"/>
      <c r="M16" s="1"/>
      <c r="N16" s="1"/>
      <c r="O16" s="1"/>
      <c r="P16" s="1"/>
      <c r="Q16" s="1"/>
      <c r="R16" s="1"/>
      <c r="S16" s="76"/>
      <c r="T16" s="139"/>
      <c r="V16" s="179"/>
      <c r="W16" s="216" t="s">
        <v>4</v>
      </c>
      <c r="X16" s="217">
        <v>4.0332E-2</v>
      </c>
      <c r="Y16" s="196"/>
      <c r="Z16" s="197"/>
      <c r="AA16" s="197"/>
      <c r="AB16" s="165"/>
    </row>
    <row r="17" spans="2:28" ht="15.75" customHeight="1" x14ac:dyDescent="0.25">
      <c r="B17" s="5"/>
      <c r="C17" s="84" t="s">
        <v>138</v>
      </c>
      <c r="D17" s="86" t="s">
        <v>30</v>
      </c>
      <c r="E17" s="102">
        <v>2.8913999999999999E-2</v>
      </c>
      <c r="F17" s="1"/>
      <c r="G17" s="1"/>
      <c r="H17" s="1"/>
      <c r="I17" s="1"/>
      <c r="J17" s="1"/>
      <c r="K17" s="1"/>
      <c r="L17" s="1"/>
      <c r="M17" s="1"/>
      <c r="N17" s="1"/>
      <c r="O17" s="1"/>
      <c r="P17" s="1"/>
      <c r="Q17" s="1"/>
      <c r="R17" s="1"/>
      <c r="S17" s="76"/>
      <c r="T17" s="139"/>
      <c r="V17" s="179"/>
      <c r="W17" s="216" t="s">
        <v>30</v>
      </c>
      <c r="X17" s="217">
        <v>2.8913999999999999E-2</v>
      </c>
      <c r="Y17" s="196"/>
      <c r="Z17" s="197"/>
      <c r="AA17" s="197"/>
      <c r="AB17" s="165"/>
    </row>
    <row r="18" spans="2:28" ht="15.75" x14ac:dyDescent="0.25">
      <c r="B18" s="5"/>
      <c r="C18" s="84" t="s">
        <v>39</v>
      </c>
      <c r="D18" s="86" t="s">
        <v>26</v>
      </c>
      <c r="E18" s="102">
        <v>2.5076999999999999E-2</v>
      </c>
      <c r="F18" s="1"/>
      <c r="G18" s="1"/>
      <c r="H18" s="1"/>
      <c r="I18" s="1"/>
      <c r="J18" s="1"/>
      <c r="K18" s="1"/>
      <c r="L18" s="1"/>
      <c r="M18" s="1"/>
      <c r="N18" s="1"/>
      <c r="O18" s="1"/>
      <c r="P18" s="1"/>
      <c r="Q18" s="1"/>
      <c r="R18" s="1"/>
      <c r="S18" s="76"/>
      <c r="T18" s="139"/>
      <c r="V18" s="179"/>
      <c r="W18" s="216" t="s">
        <v>193</v>
      </c>
      <c r="X18" s="217">
        <v>2.6103000000000001E-2</v>
      </c>
      <c r="Y18" s="196"/>
      <c r="Z18" s="197"/>
      <c r="AA18" s="197"/>
      <c r="AB18" s="165"/>
    </row>
    <row r="19" spans="2:28" ht="15.75" customHeight="1" x14ac:dyDescent="0.25">
      <c r="B19" s="5"/>
      <c r="C19" s="84" t="s">
        <v>231</v>
      </c>
      <c r="D19" s="86" t="s">
        <v>191</v>
      </c>
      <c r="E19" s="102">
        <v>2.4834999999999999E-2</v>
      </c>
      <c r="F19" s="1"/>
      <c r="G19" s="1"/>
      <c r="H19" s="1"/>
      <c r="I19" s="1"/>
      <c r="J19" s="1"/>
      <c r="K19" s="1"/>
      <c r="L19" s="1"/>
      <c r="M19" s="1"/>
      <c r="N19" s="1"/>
      <c r="O19" s="1"/>
      <c r="P19" s="1"/>
      <c r="Q19" s="1"/>
      <c r="R19" s="1"/>
      <c r="S19" s="76"/>
      <c r="T19" s="139"/>
      <c r="V19" s="179"/>
      <c r="W19" s="216" t="s">
        <v>26</v>
      </c>
      <c r="X19" s="217">
        <v>2.5076999999999999E-2</v>
      </c>
      <c r="Y19" s="196"/>
      <c r="Z19" s="197"/>
      <c r="AA19" s="197"/>
      <c r="AB19" s="165"/>
    </row>
    <row r="20" spans="2:28" ht="15" customHeight="1" x14ac:dyDescent="0.25">
      <c r="B20" s="5"/>
      <c r="C20" s="84" t="s">
        <v>100</v>
      </c>
      <c r="D20" s="86" t="s">
        <v>14</v>
      </c>
      <c r="E20" s="102">
        <v>2.477E-2</v>
      </c>
      <c r="F20" s="1"/>
      <c r="G20" s="1"/>
      <c r="H20" s="1"/>
      <c r="I20" s="1"/>
      <c r="J20" s="1"/>
      <c r="K20" s="1"/>
      <c r="L20" s="1"/>
      <c r="M20" s="1"/>
      <c r="N20" s="1"/>
      <c r="O20" s="1"/>
      <c r="P20" s="1"/>
      <c r="Q20" s="1"/>
      <c r="R20" s="1"/>
      <c r="S20" s="76"/>
      <c r="T20" s="139"/>
      <c r="V20" s="179"/>
      <c r="W20" s="216" t="s">
        <v>14</v>
      </c>
      <c r="X20" s="217">
        <v>2.477E-2</v>
      </c>
      <c r="Y20" s="196"/>
      <c r="Z20" s="197"/>
      <c r="AA20" s="197"/>
      <c r="AB20" s="165"/>
    </row>
    <row r="21" spans="2:28" ht="15" customHeight="1" x14ac:dyDescent="0.25">
      <c r="B21" s="5"/>
      <c r="C21" s="84" t="s">
        <v>243</v>
      </c>
      <c r="D21" s="86" t="s">
        <v>198</v>
      </c>
      <c r="E21" s="102">
        <v>2.4448000000000001E-2</v>
      </c>
      <c r="F21" s="1"/>
      <c r="G21" s="1"/>
      <c r="H21" s="1"/>
      <c r="I21" s="1"/>
      <c r="J21" s="1"/>
      <c r="K21" s="1"/>
      <c r="L21" s="1"/>
      <c r="M21" s="1"/>
      <c r="N21" s="1"/>
      <c r="O21" s="1"/>
      <c r="P21" s="1"/>
      <c r="Q21" s="1"/>
      <c r="R21" s="1"/>
      <c r="S21" s="76"/>
      <c r="T21" s="139"/>
      <c r="V21" s="179"/>
      <c r="W21" s="216" t="s">
        <v>133</v>
      </c>
      <c r="X21" s="217">
        <v>1.8183000000000001E-2</v>
      </c>
      <c r="Y21" s="196"/>
      <c r="Z21" s="197"/>
      <c r="AA21" s="197"/>
      <c r="AB21" s="165"/>
    </row>
    <row r="22" spans="2:28" ht="15" customHeight="1" x14ac:dyDescent="0.25">
      <c r="B22" s="5"/>
      <c r="C22" s="84" t="s">
        <v>244</v>
      </c>
      <c r="D22" s="86" t="s">
        <v>19</v>
      </c>
      <c r="E22" s="102">
        <v>2.3448E-2</v>
      </c>
      <c r="F22" s="1"/>
      <c r="G22" s="1"/>
      <c r="H22" s="1"/>
      <c r="I22" s="1"/>
      <c r="J22" s="1"/>
      <c r="K22" s="1"/>
      <c r="L22" s="1"/>
      <c r="M22" s="1"/>
      <c r="N22" s="1"/>
      <c r="O22" s="1"/>
      <c r="P22" s="1"/>
      <c r="Q22" s="1"/>
      <c r="R22" s="1"/>
      <c r="S22" s="76"/>
      <c r="T22" s="139"/>
      <c r="V22" s="179"/>
      <c r="W22" s="216" t="s">
        <v>130</v>
      </c>
      <c r="X22" s="217">
        <v>1.5989E-2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6" t="s">
        <v>199</v>
      </c>
      <c r="X23" s="217">
        <v>1.5664999999999998E-2</v>
      </c>
      <c r="Y23" s="196"/>
      <c r="Z23" s="197"/>
      <c r="AA23" s="197"/>
      <c r="AB23" s="165"/>
    </row>
    <row r="24" spans="2:28" ht="15" customHeight="1" x14ac:dyDescent="0.25">
      <c r="B24" s="5"/>
      <c r="C24" s="69" t="s">
        <v>68</v>
      </c>
      <c r="D24" s="71"/>
      <c r="E24" s="64">
        <f>SUM(E8:E22)</f>
        <v>0.60265800000000003</v>
      </c>
      <c r="F24" s="1"/>
      <c r="G24" s="1"/>
      <c r="H24" s="1"/>
      <c r="I24" s="1"/>
      <c r="J24" s="1"/>
      <c r="K24" s="1"/>
      <c r="L24" s="1"/>
      <c r="M24" s="1"/>
      <c r="N24" s="1"/>
      <c r="O24" s="1"/>
      <c r="P24" s="1"/>
      <c r="Q24" s="1"/>
      <c r="R24" s="1"/>
      <c r="S24" s="76"/>
      <c r="T24" s="139"/>
      <c r="V24" s="179"/>
      <c r="W24" s="216" t="s">
        <v>206</v>
      </c>
      <c r="X24" s="217">
        <v>1.5615E-2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6" t="s">
        <v>204</v>
      </c>
      <c r="X25" s="217">
        <v>9.1640000000000003E-3</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6" t="s">
        <v>203</v>
      </c>
      <c r="X26" s="217">
        <v>8.8470000000000007E-3</v>
      </c>
      <c r="Y26" s="196"/>
      <c r="Z26" s="197"/>
      <c r="AA26" s="197"/>
      <c r="AB26" s="165"/>
    </row>
    <row r="27" spans="2:28" ht="15" customHeight="1" x14ac:dyDescent="0.25">
      <c r="B27" s="5"/>
      <c r="D27" s="243"/>
      <c r="F27" s="1"/>
      <c r="G27" s="1"/>
      <c r="H27" s="1"/>
      <c r="I27" s="1"/>
      <c r="J27" s="1"/>
      <c r="K27" s="1"/>
      <c r="L27" s="1"/>
      <c r="M27" s="1"/>
      <c r="N27" s="1"/>
      <c r="O27" s="1"/>
      <c r="P27" s="1"/>
      <c r="Q27" s="1"/>
      <c r="R27" s="1"/>
      <c r="S27" s="76"/>
      <c r="T27" s="139"/>
      <c r="V27" s="179"/>
      <c r="W27" s="216" t="s">
        <v>18</v>
      </c>
      <c r="X27" s="217">
        <v>8.8330000000000006E-3</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6" t="s">
        <v>189</v>
      </c>
      <c r="X28" s="217">
        <v>6.5719999999999997E-3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6" t="s">
        <v>208</v>
      </c>
      <c r="X29" s="217">
        <v>6.3940000000000004E-3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201</v>
      </c>
      <c r="X30" s="199">
        <v>5.483E-3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198" t="s">
        <v>186</v>
      </c>
      <c r="X31" s="199">
        <v>5.3819999999999996E-3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t="s">
        <v>195</v>
      </c>
      <c r="X32" s="199">
        <v>1.3129999999999999E-3</v>
      </c>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c r="X33" s="199"/>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127</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113</v>
      </c>
      <c r="D3" s="309"/>
      <c r="E3" s="309"/>
      <c r="F3" s="309"/>
      <c r="G3" s="309"/>
      <c r="H3" s="309"/>
      <c r="I3" s="309"/>
      <c r="J3" s="309"/>
      <c r="K3" s="309"/>
      <c r="L3" s="309"/>
      <c r="M3" s="309"/>
      <c r="N3" s="309"/>
      <c r="O3" s="309"/>
      <c r="P3" s="309"/>
      <c r="Q3" s="309"/>
      <c r="R3" s="309"/>
      <c r="S3" s="310"/>
      <c r="T3" s="75"/>
    </row>
    <row r="4" spans="1:24" ht="15.75" customHeight="1" x14ac:dyDescent="0.25">
      <c r="B4" s="5"/>
      <c r="C4" s="275" t="s">
        <v>253</v>
      </c>
      <c r="D4" s="1"/>
      <c r="E4" s="1"/>
      <c r="F4" s="1"/>
      <c r="G4" s="1"/>
      <c r="H4" s="1"/>
      <c r="I4" s="1"/>
      <c r="J4" s="1"/>
      <c r="K4" s="1"/>
      <c r="L4" s="1"/>
      <c r="M4" s="1"/>
      <c r="N4" s="1"/>
      <c r="O4" s="1"/>
      <c r="P4" s="1"/>
      <c r="Q4" s="1"/>
      <c r="R4" s="1"/>
      <c r="S4" s="76"/>
      <c r="T4" s="75"/>
    </row>
    <row r="5" spans="1:24" ht="18" customHeight="1" x14ac:dyDescent="0.25">
      <c r="B5" s="5"/>
      <c r="C5" s="2" t="s">
        <v>254</v>
      </c>
      <c r="D5" s="311" t="s">
        <v>263</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119</v>
      </c>
      <c r="D8" s="94" t="s">
        <v>27</v>
      </c>
      <c r="E8" s="96">
        <v>3.6429000000000003E-2</v>
      </c>
      <c r="F8" s="1"/>
      <c r="G8" s="1"/>
      <c r="H8" s="1"/>
      <c r="I8" s="1"/>
      <c r="J8" s="1"/>
      <c r="K8" s="1"/>
      <c r="L8" s="1"/>
      <c r="M8" s="1"/>
      <c r="N8" s="1"/>
      <c r="O8" s="1"/>
      <c r="P8" s="1"/>
      <c r="Q8" s="1"/>
      <c r="R8" s="1"/>
      <c r="S8" s="76"/>
      <c r="T8" s="75"/>
      <c r="W8" s="216" t="s">
        <v>191</v>
      </c>
      <c r="X8" s="217">
        <v>9.7828000000000012E-2</v>
      </c>
    </row>
    <row r="9" spans="1:24" ht="15.75" customHeight="1" x14ac:dyDescent="0.25">
      <c r="B9" s="5"/>
      <c r="C9" s="93" t="s">
        <v>114</v>
      </c>
      <c r="D9" s="95" t="s">
        <v>186</v>
      </c>
      <c r="E9" s="97">
        <v>2.9676000000000001E-2</v>
      </c>
      <c r="F9" s="1"/>
      <c r="G9" s="1"/>
      <c r="H9" s="1"/>
      <c r="I9" s="1"/>
      <c r="J9" s="1"/>
      <c r="K9" s="1"/>
      <c r="L9" s="1"/>
      <c r="M9" s="1"/>
      <c r="N9" s="1"/>
      <c r="O9" s="1"/>
      <c r="P9" s="1"/>
      <c r="Q9" s="1"/>
      <c r="R9" s="1"/>
      <c r="S9" s="76"/>
      <c r="T9" s="75"/>
      <c r="W9" s="216" t="s">
        <v>19</v>
      </c>
      <c r="X9" s="217">
        <v>9.6853999999999996E-2</v>
      </c>
    </row>
    <row r="10" spans="1:24" ht="15" customHeight="1" x14ac:dyDescent="0.25">
      <c r="B10" s="5"/>
      <c r="C10" s="93" t="s">
        <v>115</v>
      </c>
      <c r="D10" s="95" t="s">
        <v>198</v>
      </c>
      <c r="E10" s="97">
        <v>2.8507999999999999E-2</v>
      </c>
      <c r="F10" s="1"/>
      <c r="G10" s="1"/>
      <c r="H10" s="1"/>
      <c r="I10" s="1"/>
      <c r="J10" s="1"/>
      <c r="K10" s="1"/>
      <c r="L10" s="1"/>
      <c r="M10" s="1"/>
      <c r="N10" s="1"/>
      <c r="O10" s="1"/>
      <c r="P10" s="1"/>
      <c r="Q10" s="1"/>
      <c r="R10" s="1"/>
      <c r="S10" s="76"/>
      <c r="T10" s="75"/>
      <c r="W10" s="216" t="s">
        <v>27</v>
      </c>
      <c r="X10" s="217">
        <v>8.0385000000000012E-2</v>
      </c>
    </row>
    <row r="11" spans="1:24" ht="15" customHeight="1" x14ac:dyDescent="0.25">
      <c r="B11" s="5"/>
      <c r="C11" s="93" t="s">
        <v>116</v>
      </c>
      <c r="D11" s="95" t="s">
        <v>19</v>
      </c>
      <c r="E11" s="97">
        <v>2.7348000000000001E-2</v>
      </c>
      <c r="F11" s="1"/>
      <c r="G11" s="1"/>
      <c r="H11" s="1"/>
      <c r="I11" s="1"/>
      <c r="J11" s="1"/>
      <c r="K11" s="1"/>
      <c r="L11" s="1"/>
      <c r="M11" s="1"/>
      <c r="N11" s="1"/>
      <c r="O11" s="1"/>
      <c r="P11" s="1"/>
      <c r="Q11" s="1"/>
      <c r="R11" s="1"/>
      <c r="S11" s="76"/>
      <c r="T11" s="75"/>
      <c r="W11" s="216" t="s">
        <v>130</v>
      </c>
      <c r="X11" s="217">
        <v>6.8758E-2</v>
      </c>
    </row>
    <row r="12" spans="1:24" ht="15" customHeight="1" x14ac:dyDescent="0.25">
      <c r="B12" s="5"/>
      <c r="C12" s="93" t="s">
        <v>179</v>
      </c>
      <c r="D12" s="95" t="s">
        <v>19</v>
      </c>
      <c r="E12" s="97">
        <v>2.6765000000000001E-2</v>
      </c>
      <c r="F12" s="1"/>
      <c r="G12" s="1"/>
      <c r="H12" s="1"/>
      <c r="I12" s="1"/>
      <c r="J12" s="1"/>
      <c r="K12" s="1"/>
      <c r="L12" s="1"/>
      <c r="M12" s="1"/>
      <c r="N12" s="1"/>
      <c r="O12" s="1"/>
      <c r="P12" s="1"/>
      <c r="Q12" s="1"/>
      <c r="R12" s="1"/>
      <c r="S12" s="76"/>
      <c r="T12" s="75"/>
      <c r="W12" s="216" t="s">
        <v>198</v>
      </c>
      <c r="X12" s="217">
        <v>6.0433000000000001E-2</v>
      </c>
    </row>
    <row r="13" spans="1:24" ht="15" customHeight="1" x14ac:dyDescent="0.25">
      <c r="B13" s="5"/>
      <c r="C13" s="93" t="s">
        <v>152</v>
      </c>
      <c r="D13" s="95" t="s">
        <v>27</v>
      </c>
      <c r="E13" s="97">
        <v>2.5628999999999999E-2</v>
      </c>
      <c r="F13" s="1"/>
      <c r="G13" s="1"/>
      <c r="H13" s="1"/>
      <c r="I13" s="1"/>
      <c r="J13" s="1"/>
      <c r="K13" s="1"/>
      <c r="L13" s="1"/>
      <c r="M13" s="1"/>
      <c r="N13" s="1"/>
      <c r="O13" s="1"/>
      <c r="P13" s="1"/>
      <c r="Q13" s="1"/>
      <c r="R13" s="1"/>
      <c r="S13" s="76"/>
      <c r="T13" s="75"/>
      <c r="W13" s="216" t="s">
        <v>186</v>
      </c>
      <c r="X13" s="217">
        <v>4.0483000000000005E-2</v>
      </c>
    </row>
    <row r="14" spans="1:24" ht="15" customHeight="1" x14ac:dyDescent="0.25">
      <c r="B14" s="5"/>
      <c r="C14" s="93" t="s">
        <v>224</v>
      </c>
      <c r="D14" s="95" t="s">
        <v>130</v>
      </c>
      <c r="E14" s="97">
        <v>2.3740000000000001E-2</v>
      </c>
      <c r="F14" s="1"/>
      <c r="G14" s="1"/>
      <c r="H14" s="1"/>
      <c r="I14" s="1"/>
      <c r="J14" s="1"/>
      <c r="K14" s="1"/>
      <c r="L14" s="1"/>
      <c r="M14" s="1"/>
      <c r="N14" s="1"/>
      <c r="O14" s="1"/>
      <c r="P14" s="1"/>
      <c r="Q14" s="1"/>
      <c r="R14" s="1"/>
      <c r="S14" s="76"/>
      <c r="T14" s="75"/>
      <c r="W14" s="216" t="s">
        <v>117</v>
      </c>
      <c r="X14" s="217">
        <v>3.9483000000000004E-2</v>
      </c>
    </row>
    <row r="15" spans="1:24" ht="15" customHeight="1" x14ac:dyDescent="0.25">
      <c r="B15" s="5"/>
      <c r="C15" s="93" t="s">
        <v>209</v>
      </c>
      <c r="D15" s="95" t="s">
        <v>191</v>
      </c>
      <c r="E15" s="97">
        <v>2.3276000000000002E-2</v>
      </c>
      <c r="F15" s="1"/>
      <c r="G15" s="1"/>
      <c r="H15" s="1"/>
      <c r="I15" s="1"/>
      <c r="J15" s="1"/>
      <c r="K15" s="1"/>
      <c r="L15" s="1"/>
      <c r="M15" s="1"/>
      <c r="N15" s="1"/>
      <c r="O15" s="1"/>
      <c r="P15" s="1"/>
      <c r="Q15" s="1"/>
      <c r="R15" s="1"/>
      <c r="S15" s="76"/>
      <c r="T15" s="75"/>
      <c r="W15" s="216" t="s">
        <v>4</v>
      </c>
      <c r="X15" s="217">
        <v>3.5379000000000001E-2</v>
      </c>
    </row>
    <row r="16" spans="1:24" ht="15" customHeight="1" x14ac:dyDescent="0.25">
      <c r="B16" s="5"/>
      <c r="C16" s="93" t="s">
        <v>211</v>
      </c>
      <c r="D16" s="95" t="s">
        <v>212</v>
      </c>
      <c r="E16" s="97">
        <v>2.3252999999999999E-2</v>
      </c>
      <c r="F16" s="1"/>
      <c r="G16" s="1"/>
      <c r="H16" s="1"/>
      <c r="I16" s="1"/>
      <c r="J16" s="1"/>
      <c r="K16" s="1"/>
      <c r="L16" s="1"/>
      <c r="M16" s="1"/>
      <c r="N16" s="1"/>
      <c r="O16" s="1"/>
      <c r="P16" s="1"/>
      <c r="Q16" s="1"/>
      <c r="R16" s="1"/>
      <c r="S16" s="76"/>
      <c r="T16" s="75"/>
      <c r="W16" s="216" t="s">
        <v>193</v>
      </c>
      <c r="X16" s="217">
        <v>3.3939999999999998E-2</v>
      </c>
    </row>
    <row r="17" spans="2:24" ht="15" customHeight="1" x14ac:dyDescent="0.25">
      <c r="B17" s="5"/>
      <c r="C17" s="93" t="s">
        <v>232</v>
      </c>
      <c r="D17" s="95" t="s">
        <v>191</v>
      </c>
      <c r="E17" s="97">
        <v>2.2487E-2</v>
      </c>
      <c r="F17" s="1"/>
      <c r="G17" s="1"/>
      <c r="H17" s="1"/>
      <c r="I17" s="1"/>
      <c r="J17" s="1"/>
      <c r="K17" s="1"/>
      <c r="L17" s="1"/>
      <c r="M17" s="1"/>
      <c r="N17" s="1"/>
      <c r="O17" s="1"/>
      <c r="P17" s="1"/>
      <c r="Q17" s="1"/>
      <c r="R17" s="1"/>
      <c r="S17" s="76"/>
      <c r="T17" s="75"/>
      <c r="W17" s="216" t="s">
        <v>210</v>
      </c>
      <c r="X17" s="217">
        <v>3.2161000000000002E-2</v>
      </c>
    </row>
    <row r="18" spans="2:24" ht="15" customHeight="1" x14ac:dyDescent="0.25">
      <c r="B18" s="5"/>
      <c r="C18" s="93" t="s">
        <v>168</v>
      </c>
      <c r="D18" s="95" t="s">
        <v>198</v>
      </c>
      <c r="E18" s="97">
        <v>2.2283000000000001E-2</v>
      </c>
      <c r="F18" s="1"/>
      <c r="G18" s="1"/>
      <c r="H18" s="1"/>
      <c r="I18" s="1"/>
      <c r="J18" s="1"/>
      <c r="K18" s="1"/>
      <c r="L18" s="1"/>
      <c r="M18" s="1"/>
      <c r="N18" s="1"/>
      <c r="O18" s="1"/>
      <c r="P18" s="1"/>
      <c r="Q18" s="1"/>
      <c r="R18" s="1"/>
      <c r="S18" s="76"/>
      <c r="T18" s="75"/>
      <c r="W18" s="216" t="s">
        <v>129</v>
      </c>
      <c r="X18" s="217">
        <v>3.1534E-2</v>
      </c>
    </row>
    <row r="19" spans="2:24" ht="15" customHeight="1" x14ac:dyDescent="0.25">
      <c r="B19" s="5"/>
      <c r="C19" s="93" t="s">
        <v>169</v>
      </c>
      <c r="D19" s="95" t="s">
        <v>117</v>
      </c>
      <c r="E19" s="97">
        <v>2.1713E-2</v>
      </c>
      <c r="F19" s="1"/>
      <c r="G19" s="1"/>
      <c r="H19" s="1"/>
      <c r="I19" s="1"/>
      <c r="J19" s="1"/>
      <c r="K19" s="1"/>
      <c r="L19" s="1"/>
      <c r="M19" s="1"/>
      <c r="N19" s="1"/>
      <c r="O19" s="1"/>
      <c r="P19" s="1"/>
      <c r="Q19" s="1"/>
      <c r="R19" s="1"/>
      <c r="S19" s="76"/>
      <c r="T19" s="75"/>
      <c r="W19" s="216" t="s">
        <v>187</v>
      </c>
      <c r="X19" s="217">
        <v>3.0686999999999999E-2</v>
      </c>
    </row>
    <row r="20" spans="2:24" ht="15" customHeight="1" x14ac:dyDescent="0.25">
      <c r="B20" s="5"/>
      <c r="C20" s="93" t="s">
        <v>175</v>
      </c>
      <c r="D20" s="95" t="s">
        <v>197</v>
      </c>
      <c r="E20" s="97">
        <v>2.1447999999999998E-2</v>
      </c>
      <c r="F20" s="1"/>
      <c r="G20" s="1"/>
      <c r="H20" s="1"/>
      <c r="I20" s="1"/>
      <c r="J20" s="1"/>
      <c r="K20" s="1"/>
      <c r="L20" s="1"/>
      <c r="M20" s="1"/>
      <c r="N20" s="1"/>
      <c r="O20" s="1"/>
      <c r="P20" s="1"/>
      <c r="Q20" s="1"/>
      <c r="R20" s="1"/>
      <c r="S20" s="76"/>
      <c r="T20" s="75"/>
      <c r="W20" s="216" t="s">
        <v>131</v>
      </c>
      <c r="X20" s="217">
        <v>3.0011000000000003E-2</v>
      </c>
    </row>
    <row r="21" spans="2:24" ht="15" customHeight="1" x14ac:dyDescent="0.25">
      <c r="B21" s="5"/>
      <c r="C21" s="93" t="s">
        <v>122</v>
      </c>
      <c r="D21" s="95" t="s">
        <v>3</v>
      </c>
      <c r="E21" s="97">
        <v>1.8924E-2</v>
      </c>
      <c r="F21" s="1"/>
      <c r="G21" s="1"/>
      <c r="H21" s="1"/>
      <c r="I21" s="1"/>
      <c r="J21" s="1"/>
      <c r="K21" s="1"/>
      <c r="L21" s="1"/>
      <c r="M21" s="1"/>
      <c r="N21" s="1"/>
      <c r="O21" s="1"/>
      <c r="P21" s="1"/>
      <c r="Q21" s="1"/>
      <c r="R21" s="1"/>
      <c r="S21" s="76"/>
      <c r="T21" s="75"/>
      <c r="W21" s="216" t="s">
        <v>194</v>
      </c>
      <c r="X21" s="217">
        <v>2.9963E-2</v>
      </c>
    </row>
    <row r="22" spans="2:24" ht="15" customHeight="1" x14ac:dyDescent="0.25">
      <c r="B22" s="5"/>
      <c r="C22" s="93" t="s">
        <v>245</v>
      </c>
      <c r="D22" s="95" t="s">
        <v>130</v>
      </c>
      <c r="E22" s="97">
        <v>1.8488999999999998E-2</v>
      </c>
      <c r="F22" s="1"/>
      <c r="G22" s="1"/>
      <c r="H22" s="1"/>
      <c r="I22" s="1"/>
      <c r="J22" s="1"/>
      <c r="K22" s="1"/>
      <c r="L22" s="1"/>
      <c r="M22" s="1"/>
      <c r="N22" s="1"/>
      <c r="O22" s="1"/>
      <c r="P22" s="1"/>
      <c r="Q22" s="1"/>
      <c r="R22" s="1"/>
      <c r="S22" s="76"/>
      <c r="T22" s="75"/>
      <c r="W22" s="216" t="s">
        <v>30</v>
      </c>
      <c r="X22" s="217">
        <v>2.9579000000000001E-2</v>
      </c>
    </row>
    <row r="23" spans="2:24" ht="15" customHeight="1" x14ac:dyDescent="0.25">
      <c r="B23" s="5"/>
      <c r="C23" s="68"/>
      <c r="D23" s="91"/>
      <c r="E23" s="90"/>
      <c r="F23" s="1"/>
      <c r="G23" s="1"/>
      <c r="H23" s="1"/>
      <c r="I23" s="1"/>
      <c r="J23" s="1"/>
      <c r="K23" s="1"/>
      <c r="L23" s="1"/>
      <c r="M23" s="1"/>
      <c r="N23" s="1"/>
      <c r="O23" s="1"/>
      <c r="P23" s="1"/>
      <c r="Q23" s="1"/>
      <c r="R23" s="1"/>
      <c r="S23" s="76"/>
      <c r="T23" s="75"/>
      <c r="W23" s="216" t="s">
        <v>189</v>
      </c>
      <c r="X23" s="217">
        <v>2.9553999999999997E-2</v>
      </c>
    </row>
    <row r="24" spans="2:24" ht="15" customHeight="1" x14ac:dyDescent="0.25">
      <c r="B24" s="5"/>
      <c r="C24" s="69" t="s">
        <v>68</v>
      </c>
      <c r="D24" s="71"/>
      <c r="E24" s="64">
        <f>SUM(E8:E22)</f>
        <v>0.36996799999999996</v>
      </c>
      <c r="F24" s="1"/>
      <c r="G24" s="1"/>
      <c r="H24" s="1"/>
      <c r="I24" s="1"/>
      <c r="J24" s="1"/>
      <c r="K24" s="1"/>
      <c r="L24" s="1"/>
      <c r="M24" s="1"/>
      <c r="N24" s="1"/>
      <c r="O24" s="1"/>
      <c r="P24" s="1"/>
      <c r="Q24" s="1"/>
      <c r="R24" s="1"/>
      <c r="S24" s="76"/>
      <c r="T24" s="75"/>
      <c r="W24" s="216" t="s">
        <v>212</v>
      </c>
      <c r="X24" s="217">
        <v>2.3252999999999999E-2</v>
      </c>
    </row>
    <row r="25" spans="2:24" ht="15" customHeight="1" x14ac:dyDescent="0.25">
      <c r="B25" s="5"/>
      <c r="F25" s="1"/>
      <c r="G25" s="1"/>
      <c r="H25" s="1"/>
      <c r="I25" s="1"/>
      <c r="J25" s="1"/>
      <c r="K25" s="1"/>
      <c r="L25" s="1"/>
      <c r="M25" s="1"/>
      <c r="N25" s="1"/>
      <c r="O25" s="1"/>
      <c r="P25" s="1"/>
      <c r="Q25" s="1"/>
      <c r="R25" s="1"/>
      <c r="S25" s="76"/>
      <c r="T25" s="75"/>
      <c r="W25" s="216" t="s">
        <v>197</v>
      </c>
      <c r="X25" s="217">
        <v>2.1447999999999998E-2</v>
      </c>
    </row>
    <row r="26" spans="2:24" ht="15" customHeight="1" x14ac:dyDescent="0.25">
      <c r="B26" s="5"/>
      <c r="F26" s="1"/>
      <c r="G26" s="1"/>
      <c r="H26" s="1"/>
      <c r="I26" s="1"/>
      <c r="J26" s="1"/>
      <c r="K26" s="1"/>
      <c r="L26" s="1"/>
      <c r="M26" s="1"/>
      <c r="N26" s="1"/>
      <c r="O26" s="1"/>
      <c r="P26" s="1"/>
      <c r="Q26" s="1"/>
      <c r="R26" s="1"/>
      <c r="S26" s="76"/>
      <c r="T26" s="75"/>
      <c r="W26" s="216" t="s">
        <v>3</v>
      </c>
      <c r="X26" s="217">
        <v>1.8924E-2</v>
      </c>
    </row>
    <row r="27" spans="2:24" ht="15" customHeight="1" x14ac:dyDescent="0.25">
      <c r="B27" s="5"/>
      <c r="F27" s="1"/>
      <c r="G27" s="1"/>
      <c r="H27" s="1"/>
      <c r="I27" s="1"/>
      <c r="J27" s="1"/>
      <c r="K27" s="1"/>
      <c r="L27" s="1"/>
      <c r="M27" s="1"/>
      <c r="N27" s="1"/>
      <c r="O27" s="1"/>
      <c r="P27" s="1"/>
      <c r="Q27" s="1"/>
      <c r="R27" s="1"/>
      <c r="S27" s="76"/>
      <c r="T27" s="75"/>
      <c r="W27" s="216" t="s">
        <v>26</v>
      </c>
      <c r="X27" s="217">
        <v>1.6854999999999998E-2</v>
      </c>
    </row>
    <row r="28" spans="2:24" ht="15" customHeight="1" x14ac:dyDescent="0.25">
      <c r="B28" s="5"/>
      <c r="F28" s="1"/>
      <c r="G28" s="1"/>
      <c r="H28" s="1"/>
      <c r="I28" s="1"/>
      <c r="J28" s="1"/>
      <c r="K28" s="1"/>
      <c r="L28" s="1"/>
      <c r="M28" s="1"/>
      <c r="N28" s="1"/>
      <c r="O28" s="1"/>
      <c r="P28" s="1"/>
      <c r="Q28" s="1"/>
      <c r="R28" s="1"/>
      <c r="S28" s="76"/>
      <c r="T28" s="75"/>
      <c r="W28" s="216" t="s">
        <v>196</v>
      </c>
      <c r="X28" s="217">
        <v>1.6024E-2</v>
      </c>
    </row>
    <row r="29" spans="2:24" ht="15" customHeight="1" x14ac:dyDescent="0.25">
      <c r="B29" s="5"/>
      <c r="F29" s="1"/>
      <c r="G29" s="1"/>
      <c r="H29" s="1"/>
      <c r="I29" s="1"/>
      <c r="J29" s="1"/>
      <c r="K29" s="1"/>
      <c r="L29" s="1"/>
      <c r="M29" s="1"/>
      <c r="N29" s="1"/>
      <c r="O29" s="1"/>
      <c r="P29" s="1"/>
      <c r="Q29" s="1"/>
      <c r="R29" s="1"/>
      <c r="S29" s="76"/>
      <c r="T29" s="75"/>
      <c r="W29" s="216" t="s">
        <v>200</v>
      </c>
      <c r="X29" s="217">
        <v>1.4474000000000001E-2</v>
      </c>
    </row>
    <row r="30" spans="2:24" ht="15" customHeight="1" x14ac:dyDescent="0.25">
      <c r="B30" s="5"/>
      <c r="F30" s="1"/>
      <c r="G30" s="1"/>
      <c r="H30" s="1"/>
      <c r="I30" s="1"/>
      <c r="J30" s="1"/>
      <c r="K30" s="1"/>
      <c r="L30" s="1"/>
      <c r="M30" s="1"/>
      <c r="N30" s="1"/>
      <c r="O30" s="1"/>
      <c r="P30" s="1"/>
      <c r="Q30" s="1"/>
      <c r="R30" s="1"/>
      <c r="S30" s="76"/>
      <c r="T30" s="75"/>
      <c r="W30" s="216" t="s">
        <v>206</v>
      </c>
      <c r="X30" s="217">
        <v>1.2798E-2</v>
      </c>
    </row>
    <row r="31" spans="2:24" ht="15" customHeight="1" x14ac:dyDescent="0.25">
      <c r="B31" s="5"/>
      <c r="F31" s="1"/>
      <c r="G31" s="1"/>
      <c r="H31" s="1"/>
      <c r="I31" s="1"/>
      <c r="J31" s="1"/>
      <c r="K31" s="1"/>
      <c r="L31" s="1"/>
      <c r="M31" s="1"/>
      <c r="N31" s="1"/>
      <c r="O31" s="1"/>
      <c r="P31" s="1"/>
      <c r="Q31" s="1"/>
      <c r="R31" s="1"/>
      <c r="S31" s="76"/>
      <c r="T31" s="75"/>
      <c r="W31" s="216" t="s">
        <v>6</v>
      </c>
      <c r="X31" s="217">
        <v>1.2569E-2</v>
      </c>
    </row>
    <row r="32" spans="2:24" ht="15" customHeight="1" x14ac:dyDescent="0.25">
      <c r="B32" s="5"/>
      <c r="F32" s="1"/>
      <c r="G32" s="1"/>
      <c r="H32" s="1"/>
      <c r="I32" s="1"/>
      <c r="J32" s="1"/>
      <c r="K32" s="1"/>
      <c r="L32" s="1"/>
      <c r="M32" s="1"/>
      <c r="N32" s="1"/>
      <c r="O32" s="1"/>
      <c r="P32" s="1"/>
      <c r="Q32" s="1"/>
      <c r="R32" s="1"/>
      <c r="S32" s="76"/>
      <c r="T32" s="75"/>
      <c r="W32" s="216" t="s">
        <v>195</v>
      </c>
      <c r="X32" s="217">
        <v>1.0226000000000001E-2</v>
      </c>
    </row>
    <row r="33" spans="2:24" ht="15.75" customHeight="1" x14ac:dyDescent="0.25">
      <c r="B33" s="5"/>
      <c r="F33" s="1"/>
      <c r="G33" s="1"/>
      <c r="H33" s="1"/>
      <c r="I33" s="1"/>
      <c r="J33" s="1"/>
      <c r="K33" s="1"/>
      <c r="L33" s="1"/>
      <c r="M33" s="1"/>
      <c r="N33" s="1"/>
      <c r="O33" s="1"/>
      <c r="P33" s="1"/>
      <c r="Q33" s="1"/>
      <c r="R33" s="1"/>
      <c r="S33" s="76"/>
      <c r="T33" s="75"/>
      <c r="W33" s="216" t="s">
        <v>242</v>
      </c>
      <c r="X33" s="217">
        <v>9.6539999999999994E-3</v>
      </c>
    </row>
    <row r="34" spans="2:24" ht="15.75" customHeight="1" x14ac:dyDescent="0.25">
      <c r="B34" s="5"/>
      <c r="F34" s="1"/>
      <c r="G34" s="1"/>
      <c r="H34" s="1"/>
      <c r="I34" s="1"/>
      <c r="J34" s="1"/>
      <c r="K34" s="1"/>
      <c r="L34" s="1"/>
      <c r="M34" s="1"/>
      <c r="N34" s="1"/>
      <c r="O34" s="1"/>
      <c r="P34" s="1"/>
      <c r="Q34" s="1"/>
      <c r="R34" s="1"/>
      <c r="S34" s="76"/>
      <c r="T34" s="75"/>
      <c r="W34" s="216" t="s">
        <v>213</v>
      </c>
      <c r="X34" s="217">
        <v>8.8319999999999996E-3</v>
      </c>
    </row>
    <row r="35" spans="2:24" ht="15.75" customHeight="1" x14ac:dyDescent="0.25">
      <c r="B35" s="5"/>
      <c r="F35" s="1"/>
      <c r="G35" s="1"/>
      <c r="H35" s="1"/>
      <c r="I35" s="1"/>
      <c r="J35" s="1"/>
      <c r="K35" s="1"/>
      <c r="L35" s="1"/>
      <c r="M35" s="1"/>
      <c r="N35" s="1"/>
      <c r="O35" s="1"/>
      <c r="P35" s="1"/>
      <c r="Q35" s="1"/>
      <c r="R35" s="1"/>
      <c r="S35" s="76"/>
      <c r="T35" s="75"/>
      <c r="W35" s="216" t="s">
        <v>203</v>
      </c>
      <c r="X35" s="217">
        <v>7.3400000000000002E-3</v>
      </c>
    </row>
    <row r="36" spans="2:24" ht="15.75" customHeight="1" x14ac:dyDescent="0.25">
      <c r="B36" s="5"/>
      <c r="F36" s="1"/>
      <c r="G36" s="1"/>
      <c r="H36" s="1"/>
      <c r="I36" s="1"/>
      <c r="J36" s="1"/>
      <c r="K36" s="1"/>
      <c r="L36" s="1"/>
      <c r="M36" s="1"/>
      <c r="N36" s="1"/>
      <c r="O36" s="1"/>
      <c r="P36" s="1"/>
      <c r="Q36" s="1"/>
      <c r="R36" s="1"/>
      <c r="S36" s="76"/>
      <c r="T36" s="75"/>
      <c r="W36" s="216" t="s">
        <v>204</v>
      </c>
      <c r="X36" s="217">
        <v>7.1240000000000001E-3</v>
      </c>
    </row>
    <row r="37" spans="2:24" ht="15.75" customHeight="1" x14ac:dyDescent="0.25">
      <c r="B37" s="5"/>
      <c r="F37" s="1"/>
      <c r="G37" s="1"/>
      <c r="H37" s="1"/>
      <c r="I37" s="1"/>
      <c r="J37" s="1"/>
      <c r="K37" s="1"/>
      <c r="L37" s="1"/>
      <c r="M37" s="1"/>
      <c r="N37" s="1"/>
      <c r="O37" s="1"/>
      <c r="P37" s="1"/>
      <c r="Q37" s="1"/>
      <c r="R37" s="1"/>
      <c r="S37" s="76"/>
      <c r="T37" s="75"/>
      <c r="W37" s="216" t="s">
        <v>132</v>
      </c>
      <c r="X37" s="217">
        <v>2.8140000000000001E-3</v>
      </c>
    </row>
    <row r="38" spans="2:24" ht="15" customHeight="1" thickBot="1" x14ac:dyDescent="0.3">
      <c r="B38" s="6"/>
      <c r="C38" s="7"/>
      <c r="D38" s="7"/>
      <c r="E38" s="7"/>
      <c r="F38" s="7"/>
      <c r="G38" s="7"/>
      <c r="H38" s="7"/>
      <c r="I38" s="7"/>
      <c r="J38" s="7"/>
      <c r="K38" s="7"/>
      <c r="L38" s="7"/>
      <c r="M38" s="7"/>
      <c r="N38" s="7"/>
      <c r="O38" s="7"/>
      <c r="P38" s="7"/>
      <c r="Q38" s="7"/>
      <c r="R38" s="7"/>
      <c r="S38" s="78"/>
      <c r="T38" s="79"/>
    </row>
    <row r="39" spans="2:24" ht="15" customHeight="1" thickBot="1" x14ac:dyDescent="0.3"/>
    <row r="40" spans="2:24" ht="15" customHeight="1" x14ac:dyDescent="0.25">
      <c r="B40" s="299" t="s">
        <v>127</v>
      </c>
      <c r="C40" s="300"/>
      <c r="D40" s="300"/>
      <c r="E40" s="300"/>
      <c r="F40" s="300"/>
      <c r="G40" s="300"/>
      <c r="H40" s="300"/>
      <c r="I40" s="300"/>
      <c r="J40" s="300"/>
      <c r="K40" s="300"/>
      <c r="L40" s="300"/>
      <c r="M40" s="300"/>
      <c r="N40" s="300"/>
      <c r="O40" s="300"/>
      <c r="P40" s="300"/>
      <c r="Q40" s="300"/>
      <c r="R40" s="301"/>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thickBot="1" x14ac:dyDescent="0.3">
      <c r="B46" s="305"/>
      <c r="C46" s="306"/>
      <c r="D46" s="306"/>
      <c r="E46" s="306"/>
      <c r="F46" s="306"/>
      <c r="G46" s="306"/>
      <c r="H46" s="306"/>
      <c r="I46" s="306"/>
      <c r="J46" s="306"/>
      <c r="K46" s="306"/>
      <c r="L46" s="306"/>
      <c r="M46" s="306"/>
      <c r="N46" s="306"/>
      <c r="O46" s="306"/>
      <c r="P46" s="306"/>
      <c r="Q46" s="306"/>
      <c r="R46" s="30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29</v>
      </c>
      <c r="D3" s="309"/>
      <c r="E3" s="309"/>
      <c r="F3" s="309"/>
      <c r="G3" s="309"/>
      <c r="H3" s="309"/>
      <c r="I3" s="309"/>
      <c r="J3" s="309"/>
      <c r="K3" s="309"/>
      <c r="L3" s="309"/>
      <c r="M3" s="309"/>
      <c r="N3" s="309"/>
      <c r="O3" s="309"/>
      <c r="P3" s="309"/>
      <c r="Q3" s="309"/>
      <c r="R3" s="309"/>
      <c r="S3" s="310"/>
      <c r="T3" s="75"/>
    </row>
    <row r="4" spans="1:24" ht="15.75" customHeight="1" x14ac:dyDescent="0.25">
      <c r="B4" s="5"/>
      <c r="C4" s="275" t="s">
        <v>253</v>
      </c>
      <c r="D4" s="1"/>
      <c r="E4" s="1"/>
      <c r="F4" s="1"/>
      <c r="G4" s="1"/>
      <c r="H4" s="1"/>
      <c r="I4" s="1"/>
      <c r="J4" s="1"/>
      <c r="K4" s="1"/>
      <c r="L4" s="1"/>
      <c r="M4" s="1"/>
      <c r="N4" s="1"/>
      <c r="O4" s="1"/>
      <c r="P4" s="1"/>
      <c r="Q4" s="1"/>
      <c r="R4" s="1"/>
      <c r="S4" s="76"/>
      <c r="T4" s="75"/>
    </row>
    <row r="5" spans="1:24" ht="18" customHeight="1" x14ac:dyDescent="0.25">
      <c r="B5" s="5"/>
      <c r="C5" s="2" t="s">
        <v>254</v>
      </c>
      <c r="D5" s="311" t="s">
        <v>264</v>
      </c>
      <c r="E5" s="311"/>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39</v>
      </c>
      <c r="D8" s="95" t="s">
        <v>26</v>
      </c>
      <c r="E8" s="98">
        <v>0.106853</v>
      </c>
      <c r="F8" s="1"/>
      <c r="G8" s="1"/>
      <c r="H8" s="1"/>
      <c r="I8" s="1"/>
      <c r="J8" s="1"/>
      <c r="K8" s="1"/>
      <c r="L8" s="1"/>
      <c r="M8" s="1"/>
      <c r="N8" s="1"/>
      <c r="O8" s="1"/>
      <c r="P8" s="1"/>
      <c r="Q8" s="1"/>
      <c r="R8" s="1"/>
      <c r="S8" s="76"/>
      <c r="T8" s="75"/>
      <c r="W8" s="216" t="s">
        <v>26</v>
      </c>
      <c r="X8" s="217">
        <v>0.27415600000000001</v>
      </c>
    </row>
    <row r="9" spans="1:24" ht="15.75" customHeight="1" x14ac:dyDescent="0.25">
      <c r="B9" s="5"/>
      <c r="C9" s="93" t="s">
        <v>84</v>
      </c>
      <c r="D9" s="95" t="s">
        <v>129</v>
      </c>
      <c r="E9" s="98">
        <v>7.3214000000000001E-2</v>
      </c>
      <c r="F9" s="1"/>
      <c r="G9" s="1"/>
      <c r="H9" s="1"/>
      <c r="I9" s="1"/>
      <c r="J9" s="1"/>
      <c r="K9" s="1"/>
      <c r="L9" s="1"/>
      <c r="M9" s="1"/>
      <c r="N9" s="1"/>
      <c r="O9" s="1"/>
      <c r="P9" s="1"/>
      <c r="Q9" s="1"/>
      <c r="R9" s="1"/>
      <c r="S9" s="76"/>
      <c r="T9" s="75"/>
      <c r="W9" s="216" t="s">
        <v>129</v>
      </c>
      <c r="X9" s="217">
        <v>0.16158500000000001</v>
      </c>
    </row>
    <row r="10" spans="1:24" ht="15" customHeight="1" x14ac:dyDescent="0.25">
      <c r="B10" s="5"/>
      <c r="C10" s="93" t="s">
        <v>96</v>
      </c>
      <c r="D10" s="95" t="s">
        <v>207</v>
      </c>
      <c r="E10" s="98">
        <v>7.0081000000000004E-2</v>
      </c>
      <c r="F10" s="1"/>
      <c r="G10" s="1"/>
      <c r="H10" s="1"/>
      <c r="I10" s="1"/>
      <c r="J10" s="1"/>
      <c r="K10" s="1"/>
      <c r="L10" s="1"/>
      <c r="M10" s="1"/>
      <c r="N10" s="1"/>
      <c r="O10" s="1"/>
      <c r="P10" s="1"/>
      <c r="Q10" s="1"/>
      <c r="R10" s="1"/>
      <c r="S10" s="76"/>
      <c r="T10" s="75"/>
      <c r="W10" s="216" t="s">
        <v>207</v>
      </c>
      <c r="X10" s="217">
        <v>0.117326</v>
      </c>
    </row>
    <row r="11" spans="1:24" ht="15" customHeight="1" x14ac:dyDescent="0.25">
      <c r="B11" s="5"/>
      <c r="C11" s="93" t="s">
        <v>100</v>
      </c>
      <c r="D11" s="95" t="s">
        <v>14</v>
      </c>
      <c r="E11" s="98">
        <v>4.6854000000000007E-2</v>
      </c>
      <c r="F11" s="1"/>
      <c r="G11" s="1"/>
      <c r="H11" s="1"/>
      <c r="I11" s="1"/>
      <c r="J11" s="1"/>
      <c r="K11" s="1"/>
      <c r="L11" s="1"/>
      <c r="M11" s="1"/>
      <c r="N11" s="1"/>
      <c r="O11" s="1"/>
      <c r="P11" s="1"/>
      <c r="Q11" s="1"/>
      <c r="R11" s="1"/>
      <c r="S11" s="76"/>
      <c r="T11" s="75"/>
      <c r="W11" s="216" t="s">
        <v>201</v>
      </c>
      <c r="X11" s="217">
        <v>9.2378999999999989E-2</v>
      </c>
    </row>
    <row r="12" spans="1:24" ht="15" customHeight="1" x14ac:dyDescent="0.25">
      <c r="B12" s="5"/>
      <c r="C12" s="93" t="s">
        <v>162</v>
      </c>
      <c r="D12" s="95" t="s">
        <v>201</v>
      </c>
      <c r="E12" s="98">
        <v>4.6607999999999997E-2</v>
      </c>
      <c r="F12" s="1"/>
      <c r="G12" s="1"/>
      <c r="H12" s="1"/>
      <c r="I12" s="1"/>
      <c r="J12" s="1"/>
      <c r="K12" s="1"/>
      <c r="L12" s="1"/>
      <c r="M12" s="1"/>
      <c r="N12" s="1"/>
      <c r="O12" s="1"/>
      <c r="P12" s="1"/>
      <c r="Q12" s="1"/>
      <c r="R12" s="1"/>
      <c r="S12" s="76"/>
      <c r="T12" s="75"/>
      <c r="W12" s="216" t="s">
        <v>14</v>
      </c>
      <c r="X12" s="217">
        <v>4.6854000000000007E-2</v>
      </c>
    </row>
    <row r="13" spans="1:24" ht="15" customHeight="1" x14ac:dyDescent="0.25">
      <c r="B13" s="5"/>
      <c r="C13" s="93" t="s">
        <v>98</v>
      </c>
      <c r="D13" s="95" t="s">
        <v>129</v>
      </c>
      <c r="E13" s="98">
        <v>4.6448000000000003E-2</v>
      </c>
      <c r="F13" s="1"/>
      <c r="G13" s="1"/>
      <c r="H13" s="1"/>
      <c r="I13" s="1"/>
      <c r="J13" s="1"/>
      <c r="K13" s="1"/>
      <c r="L13" s="1"/>
      <c r="M13" s="1"/>
      <c r="N13" s="1"/>
      <c r="O13" s="1"/>
      <c r="P13" s="1"/>
      <c r="Q13" s="1"/>
      <c r="R13" s="1"/>
      <c r="S13" s="76"/>
      <c r="T13" s="75"/>
      <c r="W13" s="216" t="s">
        <v>13</v>
      </c>
      <c r="X13" s="217">
        <v>4.6393000000000004E-2</v>
      </c>
    </row>
    <row r="14" spans="1:24" ht="15" customHeight="1" x14ac:dyDescent="0.25">
      <c r="B14" s="5"/>
      <c r="C14" s="93" t="s">
        <v>163</v>
      </c>
      <c r="D14" s="95" t="s">
        <v>201</v>
      </c>
      <c r="E14" s="98">
        <v>4.5770999999999999E-2</v>
      </c>
      <c r="F14" s="1"/>
      <c r="G14" s="1"/>
      <c r="H14" s="1"/>
      <c r="I14" s="1"/>
      <c r="J14" s="1"/>
      <c r="K14" s="1"/>
      <c r="L14" s="1"/>
      <c r="M14" s="1"/>
      <c r="N14" s="1"/>
      <c r="O14" s="1"/>
      <c r="P14" s="1"/>
      <c r="Q14" s="1"/>
      <c r="R14" s="1"/>
      <c r="S14" s="76"/>
      <c r="T14" s="75"/>
      <c r="W14" s="216" t="s">
        <v>28</v>
      </c>
      <c r="X14" s="217">
        <v>4.6322000000000002E-2</v>
      </c>
    </row>
    <row r="15" spans="1:24" ht="15" customHeight="1" x14ac:dyDescent="0.25">
      <c r="B15" s="5"/>
      <c r="C15" s="93" t="s">
        <v>135</v>
      </c>
      <c r="D15" s="95" t="s">
        <v>26</v>
      </c>
      <c r="E15" s="98">
        <v>4.2254E-2</v>
      </c>
      <c r="F15" s="1"/>
      <c r="G15" s="1"/>
      <c r="H15" s="1"/>
      <c r="I15" s="1"/>
      <c r="J15" s="1"/>
      <c r="K15" s="1"/>
      <c r="L15" s="1"/>
      <c r="M15" s="1"/>
      <c r="N15" s="1"/>
      <c r="O15" s="1"/>
      <c r="P15" s="1"/>
      <c r="Q15" s="1"/>
      <c r="R15" s="1"/>
      <c r="S15" s="76"/>
      <c r="T15" s="75"/>
      <c r="W15" s="216" t="s">
        <v>27</v>
      </c>
      <c r="X15" s="217">
        <v>4.4579000000000001E-2</v>
      </c>
    </row>
    <row r="16" spans="1:24" ht="15" customHeight="1" x14ac:dyDescent="0.25">
      <c r="B16" s="5"/>
      <c r="C16" s="93" t="s">
        <v>214</v>
      </c>
      <c r="D16" s="95" t="s">
        <v>133</v>
      </c>
      <c r="E16" s="98">
        <v>4.1453999999999998E-2</v>
      </c>
      <c r="F16" s="1"/>
      <c r="G16" s="1"/>
      <c r="H16" s="1"/>
      <c r="I16" s="1"/>
      <c r="J16" s="1"/>
      <c r="K16" s="1"/>
      <c r="L16" s="1"/>
      <c r="M16" s="1"/>
      <c r="N16" s="1"/>
      <c r="O16" s="1"/>
      <c r="P16" s="1"/>
      <c r="Q16" s="1"/>
      <c r="R16" s="1"/>
      <c r="S16" s="76"/>
      <c r="T16" s="75"/>
      <c r="W16" s="216" t="s">
        <v>133</v>
      </c>
      <c r="X16" s="217">
        <v>4.1453999999999998E-2</v>
      </c>
    </row>
    <row r="17" spans="2:24" ht="15" customHeight="1" x14ac:dyDescent="0.25">
      <c r="B17" s="5"/>
      <c r="C17" s="93" t="s">
        <v>102</v>
      </c>
      <c r="D17" s="95" t="s">
        <v>12</v>
      </c>
      <c r="E17" s="98">
        <v>3.9261999999999998E-2</v>
      </c>
      <c r="F17" s="1"/>
      <c r="G17" s="1"/>
      <c r="H17" s="1"/>
      <c r="I17" s="1"/>
      <c r="J17" s="1"/>
      <c r="K17" s="1"/>
      <c r="L17" s="1"/>
      <c r="M17" s="1"/>
      <c r="N17" s="1"/>
      <c r="O17" s="1"/>
      <c r="P17" s="1"/>
      <c r="Q17" s="1"/>
      <c r="R17" s="1"/>
      <c r="S17" s="76"/>
      <c r="T17" s="75"/>
      <c r="W17" s="216" t="s">
        <v>12</v>
      </c>
      <c r="X17" s="217">
        <v>3.9261999999999998E-2</v>
      </c>
    </row>
    <row r="18" spans="2:24" ht="15" customHeight="1" x14ac:dyDescent="0.25">
      <c r="B18" s="5"/>
      <c r="C18" s="93" t="s">
        <v>81</v>
      </c>
      <c r="D18" s="95" t="s">
        <v>26</v>
      </c>
      <c r="E18" s="98">
        <v>3.5982E-2</v>
      </c>
      <c r="F18" s="1"/>
      <c r="G18" s="1"/>
      <c r="H18" s="1"/>
      <c r="I18" s="1"/>
      <c r="J18" s="1"/>
      <c r="K18" s="1"/>
      <c r="L18" s="1"/>
      <c r="M18" s="1"/>
      <c r="N18" s="1"/>
      <c r="O18" s="1"/>
      <c r="P18" s="1"/>
      <c r="Q18" s="1"/>
      <c r="R18" s="1"/>
      <c r="S18" s="76"/>
      <c r="T18" s="75"/>
      <c r="W18" s="216" t="s">
        <v>215</v>
      </c>
      <c r="X18" s="217">
        <v>3.1508000000000001E-2</v>
      </c>
    </row>
    <row r="19" spans="2:24" ht="15" customHeight="1" x14ac:dyDescent="0.25">
      <c r="B19" s="5"/>
      <c r="C19" s="93" t="s">
        <v>111</v>
      </c>
      <c r="D19" s="95" t="s">
        <v>13</v>
      </c>
      <c r="E19" s="98">
        <v>3.1813000000000001E-2</v>
      </c>
      <c r="F19" s="1"/>
      <c r="G19" s="1"/>
      <c r="H19" s="1"/>
      <c r="I19" s="1"/>
      <c r="J19" s="1"/>
      <c r="K19" s="1"/>
      <c r="L19" s="1"/>
      <c r="M19" s="1"/>
      <c r="N19" s="1"/>
      <c r="O19" s="1"/>
      <c r="P19" s="1"/>
      <c r="Q19" s="1"/>
      <c r="R19" s="1"/>
      <c r="S19" s="76"/>
      <c r="T19" s="75"/>
      <c r="W19" s="216" t="s">
        <v>195</v>
      </c>
      <c r="X19" s="217">
        <v>1.5723000000000001E-2</v>
      </c>
    </row>
    <row r="20" spans="2:24" ht="15" customHeight="1" x14ac:dyDescent="0.25">
      <c r="B20" s="5"/>
      <c r="C20" s="93" t="s">
        <v>246</v>
      </c>
      <c r="D20" s="95" t="s">
        <v>129</v>
      </c>
      <c r="E20" s="98">
        <v>3.1726999999999998E-2</v>
      </c>
      <c r="F20" s="1"/>
      <c r="G20" s="1"/>
      <c r="H20" s="1"/>
      <c r="I20" s="1"/>
      <c r="J20" s="1"/>
      <c r="K20" s="1"/>
      <c r="L20" s="1"/>
      <c r="M20" s="1"/>
      <c r="N20" s="1"/>
      <c r="O20" s="1"/>
      <c r="P20" s="1"/>
      <c r="Q20" s="1"/>
      <c r="R20" s="1"/>
      <c r="S20" s="76"/>
      <c r="T20" s="75"/>
      <c r="W20" s="216" t="s">
        <v>18</v>
      </c>
      <c r="X20" s="217">
        <v>9.4260000000000004E-3</v>
      </c>
    </row>
    <row r="21" spans="2:24" ht="15" customHeight="1" x14ac:dyDescent="0.25">
      <c r="B21" s="5"/>
      <c r="C21" s="93" t="s">
        <v>226</v>
      </c>
      <c r="D21" s="95" t="s">
        <v>215</v>
      </c>
      <c r="E21" s="98">
        <v>3.1508000000000001E-2</v>
      </c>
      <c r="F21" s="1"/>
      <c r="G21" s="1"/>
      <c r="H21" s="1"/>
      <c r="I21" s="1"/>
      <c r="J21" s="1"/>
      <c r="K21" s="1"/>
      <c r="L21" s="1"/>
      <c r="M21" s="1"/>
      <c r="N21" s="1"/>
      <c r="O21" s="1"/>
      <c r="P21" s="1"/>
      <c r="Q21" s="1"/>
      <c r="R21" s="1"/>
      <c r="S21" s="76"/>
      <c r="T21" s="75"/>
      <c r="W21" s="216" t="s">
        <v>6</v>
      </c>
      <c r="X21" s="217">
        <v>9.2720000000000007E-3</v>
      </c>
    </row>
    <row r="22" spans="2:24" ht="15" customHeight="1" x14ac:dyDescent="0.25">
      <c r="B22" s="5"/>
      <c r="C22" s="93" t="s">
        <v>225</v>
      </c>
      <c r="D22" s="95" t="s">
        <v>207</v>
      </c>
      <c r="E22" s="98">
        <v>2.9699E-2</v>
      </c>
      <c r="F22" s="1"/>
      <c r="G22" s="1"/>
      <c r="H22" s="1"/>
      <c r="I22" s="1"/>
      <c r="J22" s="1"/>
      <c r="K22" s="1"/>
      <c r="L22" s="1"/>
      <c r="M22" s="1"/>
      <c r="N22" s="1"/>
      <c r="O22" s="1"/>
      <c r="P22" s="1"/>
      <c r="Q22" s="1"/>
      <c r="R22" s="1"/>
      <c r="S22" s="76"/>
      <c r="T22" s="75"/>
      <c r="W22" s="200" t="s">
        <v>208</v>
      </c>
      <c r="X22" s="201">
        <v>8.8679999999999991E-3</v>
      </c>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68</v>
      </c>
      <c r="D24" s="71"/>
      <c r="E24" s="64">
        <f>SUM(E8:E22)</f>
        <v>0.71952799999999995</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9" t="s">
        <v>127</v>
      </c>
      <c r="C39" s="300"/>
      <c r="D39" s="300"/>
      <c r="E39" s="300"/>
      <c r="F39" s="300"/>
      <c r="G39" s="300"/>
      <c r="H39" s="300"/>
      <c r="I39" s="300"/>
      <c r="J39" s="300"/>
      <c r="K39" s="300"/>
      <c r="L39" s="300"/>
      <c r="M39" s="300"/>
      <c r="N39" s="300"/>
      <c r="O39" s="300"/>
      <c r="P39" s="300"/>
      <c r="Q39" s="300"/>
      <c r="R39" s="301"/>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thickBot="1" x14ac:dyDescent="0.3">
      <c r="B45" s="305"/>
      <c r="C45" s="306"/>
      <c r="D45" s="306"/>
      <c r="E45" s="306"/>
      <c r="F45" s="306"/>
      <c r="G45" s="306"/>
      <c r="H45" s="306"/>
      <c r="I45" s="306"/>
      <c r="J45" s="306"/>
      <c r="K45" s="306"/>
      <c r="L45" s="306"/>
      <c r="M45" s="306"/>
      <c r="N45" s="306"/>
      <c r="O45" s="306"/>
      <c r="P45" s="306"/>
      <c r="Q45" s="306"/>
      <c r="R45" s="307"/>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9"/>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8" t="s">
        <v>94</v>
      </c>
      <c r="D3" s="309"/>
      <c r="E3" s="309"/>
      <c r="F3" s="309"/>
      <c r="G3" s="309"/>
      <c r="H3" s="309"/>
      <c r="I3" s="309"/>
      <c r="J3" s="309"/>
      <c r="K3" s="309"/>
      <c r="L3" s="309"/>
      <c r="M3" s="309"/>
      <c r="N3" s="309"/>
      <c r="O3" s="309"/>
      <c r="P3" s="309"/>
      <c r="Q3" s="309"/>
      <c r="R3" s="309"/>
      <c r="S3" s="310"/>
      <c r="T3" s="75"/>
    </row>
    <row r="4" spans="1:25" ht="15.75" customHeight="1" x14ac:dyDescent="0.25">
      <c r="B4" s="5"/>
      <c r="C4" s="275" t="s">
        <v>253</v>
      </c>
      <c r="D4" s="1"/>
      <c r="E4" s="1"/>
      <c r="F4" s="1"/>
      <c r="G4" s="1"/>
      <c r="H4" s="1"/>
      <c r="I4" s="1"/>
      <c r="J4" s="1"/>
      <c r="K4" s="1"/>
      <c r="L4" s="1"/>
      <c r="M4" s="1"/>
      <c r="N4" s="1"/>
      <c r="O4" s="1"/>
      <c r="P4" s="1"/>
      <c r="Q4" s="1"/>
      <c r="R4" s="1"/>
      <c r="S4" s="76"/>
      <c r="T4" s="75"/>
    </row>
    <row r="5" spans="1:25" ht="18" customHeight="1" x14ac:dyDescent="0.25">
      <c r="B5" s="5"/>
      <c r="C5" s="2" t="s">
        <v>254</v>
      </c>
      <c r="D5" s="311" t="s">
        <v>265</v>
      </c>
      <c r="E5" s="311"/>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37</v>
      </c>
      <c r="D8" s="94" t="s">
        <v>3</v>
      </c>
      <c r="E8" s="96">
        <v>8.7544999999999998E-2</v>
      </c>
      <c r="F8" s="1"/>
      <c r="G8" s="1"/>
      <c r="H8" s="1"/>
      <c r="I8" s="1"/>
      <c r="J8" s="1"/>
      <c r="K8" s="1"/>
      <c r="L8" s="1"/>
      <c r="M8" s="1"/>
      <c r="N8" s="1"/>
      <c r="O8" s="1"/>
      <c r="P8" s="1"/>
      <c r="Q8" s="1"/>
      <c r="R8" s="1"/>
      <c r="S8" s="76"/>
      <c r="T8" s="75"/>
      <c r="W8" s="216" t="s">
        <v>3</v>
      </c>
      <c r="X8" s="217">
        <v>0.21645200000000001</v>
      </c>
      <c r="Y8" s="214"/>
    </row>
    <row r="9" spans="1:25" ht="15.75" customHeight="1" x14ac:dyDescent="0.25">
      <c r="B9" s="5"/>
      <c r="C9" s="93" t="s">
        <v>32</v>
      </c>
      <c r="D9" s="95" t="s">
        <v>187</v>
      </c>
      <c r="E9" s="97">
        <v>5.4268999999999998E-2</v>
      </c>
      <c r="F9" s="1"/>
      <c r="G9" s="1"/>
      <c r="H9" s="1"/>
      <c r="I9" s="1"/>
      <c r="J9" s="1"/>
      <c r="K9" s="1"/>
      <c r="L9" s="1"/>
      <c r="M9" s="1"/>
      <c r="N9" s="1"/>
      <c r="O9" s="1"/>
      <c r="P9" s="1"/>
      <c r="Q9" s="1"/>
      <c r="R9" s="1"/>
      <c r="S9" s="76"/>
      <c r="T9" s="75"/>
      <c r="W9" s="216" t="s">
        <v>187</v>
      </c>
      <c r="X9" s="217">
        <v>9.4903999999999988E-2</v>
      </c>
      <c r="Y9" s="214"/>
    </row>
    <row r="10" spans="1:25" ht="15" customHeight="1" x14ac:dyDescent="0.25">
      <c r="B10" s="5"/>
      <c r="C10" s="93" t="s">
        <v>122</v>
      </c>
      <c r="D10" s="95" t="s">
        <v>3</v>
      </c>
      <c r="E10" s="97">
        <v>4.8278000000000001E-2</v>
      </c>
      <c r="F10" s="1"/>
      <c r="G10" s="1"/>
      <c r="H10" s="1"/>
      <c r="I10" s="1"/>
      <c r="J10" s="1"/>
      <c r="K10" s="1"/>
      <c r="L10" s="1"/>
      <c r="M10" s="1"/>
      <c r="N10" s="1"/>
      <c r="O10" s="1"/>
      <c r="P10" s="1"/>
      <c r="Q10" s="1"/>
      <c r="R10" s="1"/>
      <c r="S10" s="76"/>
      <c r="T10" s="75"/>
      <c r="W10" s="216" t="s">
        <v>193</v>
      </c>
      <c r="X10" s="217">
        <v>7.2249999999999995E-2</v>
      </c>
      <c r="Y10" s="214"/>
    </row>
    <row r="11" spans="1:25" ht="15" customHeight="1" x14ac:dyDescent="0.25">
      <c r="B11" s="5"/>
      <c r="C11" s="93" t="s">
        <v>33</v>
      </c>
      <c r="D11" s="95" t="s">
        <v>3</v>
      </c>
      <c r="E11" s="97">
        <v>4.0515000000000002E-2</v>
      </c>
      <c r="F11" s="1"/>
      <c r="G11" s="1"/>
      <c r="H11" s="1"/>
      <c r="I11" s="1"/>
      <c r="J11" s="1"/>
      <c r="K11" s="1"/>
      <c r="L11" s="1"/>
      <c r="M11" s="1"/>
      <c r="N11" s="1"/>
      <c r="O11" s="1"/>
      <c r="P11" s="1"/>
      <c r="Q11" s="1"/>
      <c r="R11" s="1"/>
      <c r="S11" s="76"/>
      <c r="T11" s="75"/>
      <c r="W11" s="216" t="s">
        <v>194</v>
      </c>
      <c r="X11" s="217">
        <v>6.2384999999999996E-2</v>
      </c>
      <c r="Y11" s="214"/>
    </row>
    <row r="12" spans="1:25" ht="15" customHeight="1" x14ac:dyDescent="0.25">
      <c r="B12" s="5"/>
      <c r="C12" s="93" t="s">
        <v>36</v>
      </c>
      <c r="D12" s="95" t="s">
        <v>6</v>
      </c>
      <c r="E12" s="97">
        <v>3.7671000000000003E-2</v>
      </c>
      <c r="F12" s="1"/>
      <c r="G12" s="1"/>
      <c r="H12" s="1"/>
      <c r="I12" s="1"/>
      <c r="J12" s="1"/>
      <c r="K12" s="1"/>
      <c r="L12" s="1"/>
      <c r="M12" s="1"/>
      <c r="N12" s="1"/>
      <c r="O12" s="1"/>
      <c r="P12" s="1"/>
      <c r="Q12" s="1"/>
      <c r="R12" s="1"/>
      <c r="S12" s="76"/>
      <c r="T12" s="75"/>
      <c r="W12" s="216" t="s">
        <v>4</v>
      </c>
      <c r="X12" s="217">
        <v>5.6225000000000004E-2</v>
      </c>
      <c r="Y12" s="214"/>
    </row>
    <row r="13" spans="1:25" ht="15" customHeight="1" x14ac:dyDescent="0.25">
      <c r="B13" s="5"/>
      <c r="C13" s="93" t="s">
        <v>123</v>
      </c>
      <c r="D13" s="95" t="s">
        <v>194</v>
      </c>
      <c r="E13" s="97">
        <v>3.1802999999999998E-2</v>
      </c>
      <c r="F13" s="1"/>
      <c r="G13" s="1"/>
      <c r="H13" s="1"/>
      <c r="I13" s="1"/>
      <c r="J13" s="1"/>
      <c r="K13" s="1"/>
      <c r="L13" s="1"/>
      <c r="M13" s="1"/>
      <c r="N13" s="1"/>
      <c r="O13" s="1"/>
      <c r="P13" s="1"/>
      <c r="Q13" s="1"/>
      <c r="R13" s="1"/>
      <c r="S13" s="76"/>
      <c r="T13" s="75"/>
      <c r="W13" s="216" t="s">
        <v>198</v>
      </c>
      <c r="X13" s="217">
        <v>4.2625999999999997E-2</v>
      </c>
      <c r="Y13" s="214"/>
    </row>
    <row r="14" spans="1:25" ht="15" customHeight="1" x14ac:dyDescent="0.25">
      <c r="B14" s="5"/>
      <c r="C14" s="93" t="s">
        <v>202</v>
      </c>
      <c r="D14" s="95" t="s">
        <v>194</v>
      </c>
      <c r="E14" s="97">
        <v>3.0582000000000002E-2</v>
      </c>
      <c r="F14" s="1"/>
      <c r="G14" s="1"/>
      <c r="H14" s="1"/>
      <c r="I14" s="1"/>
      <c r="J14" s="1"/>
      <c r="K14" s="1"/>
      <c r="L14" s="1"/>
      <c r="M14" s="1"/>
      <c r="N14" s="1"/>
      <c r="O14" s="1"/>
      <c r="P14" s="1"/>
      <c r="Q14" s="1"/>
      <c r="R14" s="1"/>
      <c r="S14" s="76"/>
      <c r="T14" s="75"/>
      <c r="W14" s="216" t="s">
        <v>191</v>
      </c>
      <c r="X14" s="217">
        <v>4.1266999999999998E-2</v>
      </c>
      <c r="Y14" s="214"/>
    </row>
    <row r="15" spans="1:25" ht="15" customHeight="1" x14ac:dyDescent="0.25">
      <c r="B15" s="5"/>
      <c r="C15" s="93" t="s">
        <v>100</v>
      </c>
      <c r="D15" s="95" t="s">
        <v>14</v>
      </c>
      <c r="E15" s="97">
        <v>2.6412000000000001E-2</v>
      </c>
      <c r="F15" s="1"/>
      <c r="G15" s="1"/>
      <c r="H15" s="1"/>
      <c r="I15" s="1"/>
      <c r="J15" s="1"/>
      <c r="K15" s="1"/>
      <c r="L15" s="1"/>
      <c r="M15" s="1"/>
      <c r="N15" s="1"/>
      <c r="O15" s="1"/>
      <c r="P15" s="1"/>
      <c r="Q15" s="1"/>
      <c r="R15" s="1"/>
      <c r="S15" s="76"/>
      <c r="T15" s="75"/>
      <c r="W15" s="216" t="s">
        <v>129</v>
      </c>
      <c r="X15" s="217">
        <v>3.8474000000000001E-2</v>
      </c>
      <c r="Y15" s="214"/>
    </row>
    <row r="16" spans="1:25" ht="15" customHeight="1" x14ac:dyDescent="0.25">
      <c r="B16" s="5"/>
      <c r="C16" s="93" t="s">
        <v>41</v>
      </c>
      <c r="D16" s="95" t="s">
        <v>3</v>
      </c>
      <c r="E16" s="97">
        <v>2.6342000000000001E-2</v>
      </c>
      <c r="F16" s="1"/>
      <c r="G16" s="1"/>
      <c r="H16" s="1"/>
      <c r="I16" s="1"/>
      <c r="J16" s="1"/>
      <c r="K16" s="1"/>
      <c r="L16" s="1"/>
      <c r="M16" s="1"/>
      <c r="N16" s="1"/>
      <c r="O16" s="1"/>
      <c r="P16" s="1"/>
      <c r="Q16" s="1"/>
      <c r="R16" s="1"/>
      <c r="S16" s="76"/>
      <c r="T16" s="75"/>
      <c r="W16" s="216" t="s">
        <v>6</v>
      </c>
      <c r="X16" s="217">
        <v>3.7671000000000003E-2</v>
      </c>
      <c r="Y16" s="214"/>
    </row>
    <row r="17" spans="2:25" ht="15" customHeight="1" x14ac:dyDescent="0.25">
      <c r="B17" s="5"/>
      <c r="C17" s="93" t="s">
        <v>183</v>
      </c>
      <c r="D17" s="95" t="s">
        <v>207</v>
      </c>
      <c r="E17" s="97">
        <v>2.3807999999999999E-2</v>
      </c>
      <c r="F17" s="1"/>
      <c r="G17" s="1"/>
      <c r="H17" s="1"/>
      <c r="I17" s="1"/>
      <c r="J17" s="1"/>
      <c r="K17" s="1"/>
      <c r="L17" s="1"/>
      <c r="M17" s="1"/>
      <c r="N17" s="1"/>
      <c r="O17" s="1"/>
      <c r="P17" s="1"/>
      <c r="Q17" s="1"/>
      <c r="R17" s="1"/>
      <c r="S17" s="76"/>
      <c r="T17" s="75"/>
      <c r="W17" s="216" t="s">
        <v>201</v>
      </c>
      <c r="X17" s="217">
        <v>3.7636000000000003E-2</v>
      </c>
      <c r="Y17" s="214"/>
    </row>
    <row r="18" spans="2:25" ht="15" customHeight="1" x14ac:dyDescent="0.25">
      <c r="B18" s="5"/>
      <c r="C18" s="93" t="s">
        <v>151</v>
      </c>
      <c r="D18" s="95" t="s">
        <v>19</v>
      </c>
      <c r="E18" s="97">
        <v>2.3373000000000001E-2</v>
      </c>
      <c r="F18" s="1"/>
      <c r="G18" s="1"/>
      <c r="H18" s="1"/>
      <c r="I18" s="1"/>
      <c r="J18" s="1"/>
      <c r="K18" s="1"/>
      <c r="L18" s="1"/>
      <c r="M18" s="1"/>
      <c r="N18" s="1"/>
      <c r="O18" s="1"/>
      <c r="P18" s="1"/>
      <c r="Q18" s="1"/>
      <c r="R18" s="1"/>
      <c r="S18" s="76"/>
      <c r="T18" s="75"/>
      <c r="W18" s="216" t="s">
        <v>27</v>
      </c>
      <c r="X18" s="217">
        <v>3.7443999999999998E-2</v>
      </c>
      <c r="Y18" s="214"/>
    </row>
    <row r="19" spans="2:25" ht="15" customHeight="1" x14ac:dyDescent="0.25">
      <c r="B19" s="5"/>
      <c r="C19" s="93" t="s">
        <v>99</v>
      </c>
      <c r="D19" s="95" t="s">
        <v>198</v>
      </c>
      <c r="E19" s="97">
        <v>2.2096000000000001E-2</v>
      </c>
      <c r="F19" s="1"/>
      <c r="G19" s="1"/>
      <c r="H19" s="1"/>
      <c r="I19" s="1"/>
      <c r="J19" s="1"/>
      <c r="K19" s="1"/>
      <c r="L19" s="1"/>
      <c r="M19" s="1"/>
      <c r="N19" s="1"/>
      <c r="O19" s="1"/>
      <c r="P19" s="1"/>
      <c r="Q19" s="1"/>
      <c r="R19" s="1"/>
      <c r="S19" s="76"/>
      <c r="T19" s="75"/>
      <c r="W19" s="216" t="s">
        <v>130</v>
      </c>
      <c r="X19" s="217">
        <v>2.9714999999999998E-2</v>
      </c>
      <c r="Y19" s="214"/>
    </row>
    <row r="20" spans="2:25" ht="15" customHeight="1" x14ac:dyDescent="0.25">
      <c r="B20" s="5"/>
      <c r="C20" s="93" t="s">
        <v>247</v>
      </c>
      <c r="D20" s="95" t="s">
        <v>198</v>
      </c>
      <c r="E20" s="97">
        <v>2.053E-2</v>
      </c>
      <c r="F20" s="1"/>
      <c r="G20" s="1"/>
      <c r="H20" s="1"/>
      <c r="I20" s="1"/>
      <c r="J20" s="1"/>
      <c r="K20" s="1"/>
      <c r="L20" s="1"/>
      <c r="M20" s="1"/>
      <c r="N20" s="1"/>
      <c r="O20" s="1"/>
      <c r="P20" s="1"/>
      <c r="Q20" s="1"/>
      <c r="R20" s="1"/>
      <c r="S20" s="76"/>
      <c r="T20" s="75"/>
      <c r="W20" s="216" t="s">
        <v>13</v>
      </c>
      <c r="X20" s="217">
        <v>2.9488E-2</v>
      </c>
      <c r="Y20" s="214"/>
    </row>
    <row r="21" spans="2:25" ht="15" customHeight="1" x14ac:dyDescent="0.25">
      <c r="B21" s="5"/>
      <c r="C21" s="93" t="s">
        <v>111</v>
      </c>
      <c r="D21" s="95" t="s">
        <v>13</v>
      </c>
      <c r="E21" s="97">
        <v>2.0253E-2</v>
      </c>
      <c r="F21" s="1"/>
      <c r="G21" s="1"/>
      <c r="H21" s="1"/>
      <c r="I21" s="1"/>
      <c r="J21" s="1"/>
      <c r="K21" s="1"/>
      <c r="L21" s="1"/>
      <c r="M21" s="1"/>
      <c r="N21" s="1"/>
      <c r="O21" s="1"/>
      <c r="P21" s="1"/>
      <c r="Q21" s="1"/>
      <c r="R21" s="1"/>
      <c r="S21" s="76"/>
      <c r="T21" s="75"/>
      <c r="W21" s="216" t="s">
        <v>19</v>
      </c>
      <c r="X21" s="217">
        <v>2.7832000000000003E-2</v>
      </c>
      <c r="Y21" s="214"/>
    </row>
    <row r="22" spans="2:25" ht="15" customHeight="1" x14ac:dyDescent="0.25">
      <c r="B22" s="5"/>
      <c r="C22" s="93" t="s">
        <v>184</v>
      </c>
      <c r="D22" s="95" t="s">
        <v>193</v>
      </c>
      <c r="E22" s="97">
        <v>2.0222E-2</v>
      </c>
      <c r="F22" s="1"/>
      <c r="G22" s="1"/>
      <c r="H22" s="1"/>
      <c r="I22" s="1"/>
      <c r="J22" s="1"/>
      <c r="K22" s="1"/>
      <c r="L22" s="1"/>
      <c r="M22" s="1"/>
      <c r="N22" s="1"/>
      <c r="O22" s="1"/>
      <c r="P22" s="1"/>
      <c r="Q22" s="1"/>
      <c r="R22" s="1"/>
      <c r="S22" s="76"/>
      <c r="T22" s="75"/>
      <c r="W22" s="216" t="s">
        <v>26</v>
      </c>
      <c r="X22" s="217">
        <v>2.7765000000000001E-2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16" t="s">
        <v>14</v>
      </c>
      <c r="X23" s="217">
        <v>2.6412000000000001E-2</v>
      </c>
      <c r="Y23" s="214"/>
    </row>
    <row r="24" spans="2:25" ht="15" customHeight="1" x14ac:dyDescent="0.25">
      <c r="B24" s="5"/>
      <c r="C24" s="69" t="s">
        <v>68</v>
      </c>
      <c r="D24" s="71"/>
      <c r="E24" s="64">
        <f>SUM(E8:E22)</f>
        <v>0.51369899999999991</v>
      </c>
      <c r="F24" s="1"/>
      <c r="G24" s="1"/>
      <c r="H24" s="1"/>
      <c r="I24" s="1"/>
      <c r="J24" s="1"/>
      <c r="K24" s="1"/>
      <c r="L24" s="1"/>
      <c r="M24" s="1"/>
      <c r="N24" s="1"/>
      <c r="O24" s="1"/>
      <c r="P24" s="1"/>
      <c r="Q24" s="1"/>
      <c r="R24" s="1"/>
      <c r="S24" s="76"/>
      <c r="T24" s="75"/>
      <c r="W24" s="216" t="s">
        <v>207</v>
      </c>
      <c r="X24" s="217">
        <v>2.3807999999999999E-2</v>
      </c>
      <c r="Y24" s="214"/>
    </row>
    <row r="25" spans="2:25" ht="15" customHeight="1" x14ac:dyDescent="0.25">
      <c r="B25" s="5"/>
      <c r="F25" s="1"/>
      <c r="G25" s="1"/>
      <c r="H25" s="1"/>
      <c r="I25" s="1"/>
      <c r="J25" s="1"/>
      <c r="K25" s="1"/>
      <c r="L25" s="1"/>
      <c r="M25" s="1"/>
      <c r="N25" s="1"/>
      <c r="O25" s="1"/>
      <c r="P25" s="1"/>
      <c r="Q25" s="1"/>
      <c r="R25" s="1"/>
      <c r="S25" s="76"/>
      <c r="T25" s="75"/>
      <c r="W25" s="216" t="s">
        <v>186</v>
      </c>
      <c r="X25" s="217">
        <v>1.7916999999999999E-2</v>
      </c>
      <c r="Y25" s="214"/>
    </row>
    <row r="26" spans="2:25" ht="15" customHeight="1" x14ac:dyDescent="0.25">
      <c r="B26" s="5"/>
      <c r="F26" s="1"/>
      <c r="G26" s="1"/>
      <c r="H26" s="1"/>
      <c r="I26" s="1"/>
      <c r="J26" s="1"/>
      <c r="K26" s="1"/>
      <c r="L26" s="1"/>
      <c r="M26" s="1"/>
      <c r="N26" s="1"/>
      <c r="O26" s="1"/>
      <c r="P26" s="1"/>
      <c r="Q26" s="1"/>
      <c r="R26" s="1"/>
      <c r="S26" s="76"/>
      <c r="T26" s="75"/>
      <c r="W26" s="216" t="s">
        <v>197</v>
      </c>
      <c r="X26" s="217">
        <v>1.4715000000000001E-2</v>
      </c>
      <c r="Y26" s="214"/>
    </row>
    <row r="27" spans="2:25" ht="15" customHeight="1" x14ac:dyDescent="0.25">
      <c r="B27" s="5"/>
      <c r="F27" s="1"/>
      <c r="G27" s="1"/>
      <c r="H27" s="1"/>
      <c r="I27" s="1"/>
      <c r="J27" s="1"/>
      <c r="K27" s="1"/>
      <c r="L27" s="1"/>
      <c r="M27" s="1"/>
      <c r="N27" s="1"/>
      <c r="O27" s="1"/>
      <c r="P27" s="1"/>
      <c r="Q27" s="1"/>
      <c r="R27" s="1"/>
      <c r="S27" s="76"/>
      <c r="T27" s="75"/>
      <c r="W27" s="216" t="s">
        <v>132</v>
      </c>
      <c r="X27" s="217">
        <v>2.7520000000000001E-3</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9" t="s">
        <v>127</v>
      </c>
      <c r="C43" s="300"/>
      <c r="D43" s="300"/>
      <c r="E43" s="300"/>
      <c r="F43" s="300"/>
      <c r="G43" s="300"/>
      <c r="H43" s="300"/>
      <c r="I43" s="300"/>
      <c r="J43" s="300"/>
      <c r="K43" s="300"/>
      <c r="L43" s="300"/>
      <c r="M43" s="300"/>
      <c r="N43" s="300"/>
      <c r="O43" s="300"/>
      <c r="P43" s="300"/>
      <c r="Q43" s="300"/>
      <c r="R43" s="301"/>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x14ac:dyDescent="0.25">
      <c r="B48" s="302"/>
      <c r="C48" s="303"/>
      <c r="D48" s="303"/>
      <c r="E48" s="303"/>
      <c r="F48" s="303"/>
      <c r="G48" s="303"/>
      <c r="H48" s="303"/>
      <c r="I48" s="303"/>
      <c r="J48" s="303"/>
      <c r="K48" s="303"/>
      <c r="L48" s="303"/>
      <c r="M48" s="303"/>
      <c r="N48" s="303"/>
      <c r="O48" s="303"/>
      <c r="P48" s="303"/>
      <c r="Q48" s="303"/>
      <c r="R48" s="304"/>
    </row>
    <row r="49" spans="2:18" ht="15" customHeight="1" thickBot="1" x14ac:dyDescent="0.3">
      <c r="B49" s="305"/>
      <c r="C49" s="306"/>
      <c r="D49" s="306"/>
      <c r="E49" s="306"/>
      <c r="F49" s="306"/>
      <c r="G49" s="306"/>
      <c r="H49" s="306"/>
      <c r="I49" s="306"/>
      <c r="J49" s="306"/>
      <c r="K49" s="306"/>
      <c r="L49" s="306"/>
      <c r="M49" s="306"/>
      <c r="N49" s="306"/>
      <c r="O49" s="306"/>
      <c r="P49" s="306"/>
      <c r="Q49" s="306"/>
      <c r="R49" s="307"/>
    </row>
    <row r="50" spans="2:18" ht="15" customHeight="1" x14ac:dyDescent="0.25"/>
    <row r="51" spans="2:18" ht="15" customHeight="1" x14ac:dyDescent="0.25">
      <c r="G51" s="273"/>
      <c r="H51" s="273"/>
    </row>
    <row r="52" spans="2:18" ht="15" customHeight="1" x14ac:dyDescent="0.25">
      <c r="F52" s="273"/>
      <c r="G52" s="273"/>
      <c r="H52" s="273"/>
    </row>
    <row r="53" spans="2:18" ht="15" customHeight="1" x14ac:dyDescent="0.25">
      <c r="F53" s="273"/>
      <c r="G53" s="273"/>
      <c r="H53" s="273"/>
    </row>
    <row r="54" spans="2:18" ht="15" customHeight="1" x14ac:dyDescent="0.25">
      <c r="F54" s="273"/>
      <c r="G54" s="273"/>
      <c r="H54" s="273"/>
    </row>
    <row r="55" spans="2:18" ht="15" customHeight="1" x14ac:dyDescent="0.25">
      <c r="F55" s="273"/>
      <c r="G55" s="273"/>
      <c r="H55" s="273"/>
    </row>
    <row r="56" spans="2:18" ht="15" customHeight="1" x14ac:dyDescent="0.25">
      <c r="F56" s="273"/>
      <c r="G56" s="273"/>
      <c r="H56" s="273"/>
    </row>
    <row r="57" spans="2:18" ht="15" customHeight="1" x14ac:dyDescent="0.25">
      <c r="F57" s="273"/>
      <c r="G57" s="273"/>
      <c r="H57" s="273"/>
    </row>
    <row r="58" spans="2:18" ht="15" customHeight="1" x14ac:dyDescent="0.25">
      <c r="F58" s="273"/>
      <c r="G58" s="273"/>
      <c r="H58" s="273"/>
    </row>
    <row r="59" spans="2:18" ht="15" customHeight="1" x14ac:dyDescent="0.25">
      <c r="F59" s="273"/>
      <c r="G59" s="273"/>
      <c r="H59" s="273"/>
    </row>
    <row r="60" spans="2:18" ht="15" customHeight="1" x14ac:dyDescent="0.25">
      <c r="F60" s="273"/>
      <c r="G60" s="273"/>
      <c r="H60" s="273"/>
    </row>
    <row r="61" spans="2:18" ht="15" customHeight="1" x14ac:dyDescent="0.25">
      <c r="F61" s="273"/>
      <c r="G61" s="273"/>
      <c r="H61" s="273"/>
    </row>
    <row r="62" spans="2:18" ht="15" customHeight="1" x14ac:dyDescent="0.25">
      <c r="F62" s="273"/>
      <c r="G62" s="273"/>
      <c r="H62" s="273"/>
    </row>
    <row r="63" spans="2:18" ht="15" customHeight="1" x14ac:dyDescent="0.25">
      <c r="F63" s="273"/>
      <c r="G63" s="273"/>
      <c r="H63" s="273"/>
    </row>
    <row r="64" spans="2:18" ht="15" customHeight="1" x14ac:dyDescent="0.25">
      <c r="F64" s="273"/>
      <c r="G64" s="273"/>
      <c r="H64" s="273"/>
    </row>
    <row r="65" spans="6:8" ht="15" customHeight="1" x14ac:dyDescent="0.25">
      <c r="F65" s="273"/>
      <c r="G65" s="273"/>
      <c r="H65" s="273"/>
    </row>
    <row r="66" spans="6:8" ht="15" customHeight="1" x14ac:dyDescent="0.25">
      <c r="F66" s="273"/>
      <c r="G66" s="273"/>
      <c r="H66" s="273"/>
    </row>
    <row r="67" spans="6:8" ht="15" customHeight="1" x14ac:dyDescent="0.25">
      <c r="F67" s="273"/>
      <c r="G67" s="273"/>
      <c r="H67" s="273"/>
    </row>
    <row r="68" spans="6:8" ht="15" customHeight="1" x14ac:dyDescent="0.25">
      <c r="F68" s="273"/>
      <c r="G68" s="273"/>
      <c r="H68" s="273"/>
    </row>
    <row r="69" spans="6:8" x14ac:dyDescent="0.25">
      <c r="F69" s="273"/>
      <c r="G69" s="273"/>
      <c r="H69" s="273"/>
    </row>
    <row r="70" spans="6:8" x14ac:dyDescent="0.25">
      <c r="F70" s="273"/>
      <c r="G70" s="273"/>
      <c r="H70" s="273"/>
    </row>
    <row r="71" spans="6:8" x14ac:dyDescent="0.25">
      <c r="F71" s="273"/>
      <c r="G71" s="273"/>
      <c r="H71" s="273"/>
    </row>
    <row r="72" spans="6:8" x14ac:dyDescent="0.25">
      <c r="F72" s="273"/>
      <c r="G72" s="273"/>
      <c r="H72" s="273"/>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62.5703125" style="1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2:27" ht="15.75" thickBot="1" x14ac:dyDescent="0.25"/>
    <row r="2" spans="2:27" x14ac:dyDescent="0.2">
      <c r="B2" s="14"/>
      <c r="C2" s="15"/>
      <c r="D2" s="15"/>
      <c r="E2" s="15"/>
      <c r="F2" s="15"/>
      <c r="G2" s="15"/>
      <c r="H2" s="15"/>
      <c r="I2" s="15"/>
      <c r="J2" s="15"/>
      <c r="K2" s="15"/>
      <c r="L2" s="15"/>
      <c r="M2" s="15"/>
      <c r="N2" s="15"/>
      <c r="O2" s="15"/>
      <c r="P2" s="15"/>
      <c r="Q2" s="16"/>
    </row>
    <row r="3" spans="2:27" ht="20.25" customHeight="1" x14ac:dyDescent="0.2">
      <c r="B3" s="17"/>
      <c r="C3" s="293" t="s">
        <v>44</v>
      </c>
      <c r="D3" s="293"/>
      <c r="E3" s="293"/>
      <c r="F3" s="293"/>
      <c r="G3" s="293"/>
      <c r="H3" s="293"/>
      <c r="I3" s="293"/>
      <c r="J3" s="293"/>
      <c r="K3" s="293"/>
      <c r="L3" s="293"/>
      <c r="M3" s="293"/>
      <c r="N3" s="293"/>
      <c r="O3" s="293"/>
      <c r="P3" s="293"/>
      <c r="Q3" s="18"/>
    </row>
    <row r="4" spans="2:27" ht="15.75" x14ac:dyDescent="0.25">
      <c r="B4" s="17"/>
      <c r="C4" s="275" t="s">
        <v>253</v>
      </c>
      <c r="D4" s="19"/>
      <c r="E4" s="19"/>
      <c r="F4" s="19"/>
      <c r="G4" s="19"/>
      <c r="H4" s="19"/>
      <c r="I4" s="19"/>
      <c r="J4" s="19"/>
      <c r="K4" s="19"/>
      <c r="L4" s="19"/>
      <c r="M4" s="19"/>
      <c r="N4" s="19"/>
      <c r="O4" s="19"/>
      <c r="P4" s="19"/>
      <c r="Q4" s="18"/>
    </row>
    <row r="5" spans="2:27" ht="20.25" x14ac:dyDescent="0.2">
      <c r="B5" s="17"/>
      <c r="C5" s="2" t="s">
        <v>254</v>
      </c>
      <c r="D5" s="311" t="s">
        <v>266</v>
      </c>
      <c r="E5" s="311"/>
      <c r="F5" s="19"/>
      <c r="G5" s="19"/>
      <c r="H5" s="19"/>
      <c r="I5" s="19"/>
      <c r="J5" s="19"/>
      <c r="K5" s="19"/>
      <c r="L5" s="19"/>
      <c r="M5" s="19"/>
      <c r="N5" s="19"/>
      <c r="O5" s="19"/>
      <c r="P5" s="19"/>
      <c r="Q5" s="18"/>
    </row>
    <row r="6" spans="2:27" x14ac:dyDescent="0.2">
      <c r="B6" s="17"/>
      <c r="C6" s="19"/>
      <c r="D6" s="19"/>
      <c r="E6" s="19"/>
      <c r="F6" s="19"/>
      <c r="G6" s="19"/>
      <c r="H6" s="19"/>
      <c r="I6" s="19"/>
      <c r="J6" s="19"/>
      <c r="K6" s="19"/>
      <c r="L6" s="19"/>
      <c r="M6" s="19"/>
      <c r="N6" s="19"/>
      <c r="O6" s="19"/>
      <c r="P6" s="19"/>
      <c r="Q6" s="18"/>
      <c r="R6" s="210"/>
      <c r="S6" s="210"/>
    </row>
    <row r="7" spans="2:27" ht="32.25" customHeight="1" x14ac:dyDescent="0.2">
      <c r="B7" s="17"/>
      <c r="C7" s="21" t="s">
        <v>0</v>
      </c>
      <c r="D7" s="21" t="s">
        <v>1</v>
      </c>
      <c r="E7" s="21" t="s">
        <v>2</v>
      </c>
      <c r="F7" s="19"/>
      <c r="G7" s="19"/>
      <c r="H7" s="19"/>
      <c r="I7" s="19"/>
      <c r="J7" s="19"/>
      <c r="K7" s="19"/>
      <c r="L7" s="19"/>
      <c r="M7" s="19"/>
      <c r="N7" s="19"/>
      <c r="O7" s="19"/>
      <c r="P7" s="19"/>
      <c r="Q7" s="18"/>
      <c r="R7" s="57" t="s">
        <v>45</v>
      </c>
      <c r="S7" s="57" t="s">
        <v>46</v>
      </c>
      <c r="T7" s="185"/>
    </row>
    <row r="8" spans="2:27" ht="15.75" x14ac:dyDescent="0.25">
      <c r="B8" s="17"/>
      <c r="C8" s="23"/>
      <c r="D8" s="23"/>
      <c r="E8" s="24"/>
      <c r="F8" s="19"/>
      <c r="G8" s="19"/>
      <c r="H8" s="19"/>
      <c r="I8" s="19"/>
      <c r="J8" s="19"/>
      <c r="K8" s="19"/>
      <c r="L8" s="19"/>
      <c r="M8" s="19"/>
      <c r="N8" s="19"/>
      <c r="O8" s="19"/>
      <c r="P8" s="19"/>
      <c r="Q8" s="18"/>
      <c r="R8" s="57" t="s">
        <v>47</v>
      </c>
      <c r="S8" s="58">
        <f>E9</f>
        <v>0.68230500000000005</v>
      </c>
      <c r="T8" s="185"/>
      <c r="V8" s="208" t="s">
        <v>3</v>
      </c>
      <c r="W8" s="209">
        <v>0.25058799999999998</v>
      </c>
      <c r="Z8" s="25"/>
      <c r="AA8" s="25"/>
    </row>
    <row r="9" spans="2:27" ht="15.75" x14ac:dyDescent="0.25">
      <c r="B9" s="17"/>
      <c r="C9" s="27" t="s">
        <v>47</v>
      </c>
      <c r="D9" s="174"/>
      <c r="E9" s="59">
        <v>0.68230500000000005</v>
      </c>
      <c r="F9" s="170"/>
      <c r="G9" s="19"/>
      <c r="H9" s="19"/>
      <c r="I9" s="19"/>
      <c r="J9" s="19"/>
      <c r="K9" s="19"/>
      <c r="L9" s="19"/>
      <c r="M9" s="19"/>
      <c r="N9" s="19"/>
      <c r="O9" s="19"/>
      <c r="P9" s="19"/>
      <c r="Q9" s="18"/>
      <c r="R9" s="57" t="s">
        <v>48</v>
      </c>
      <c r="S9" s="58">
        <f>100%-S8</f>
        <v>0.31769499999999995</v>
      </c>
      <c r="T9" s="185"/>
      <c r="V9" s="208" t="s">
        <v>8</v>
      </c>
      <c r="W9" s="209">
        <v>0.13553799999999999</v>
      </c>
      <c r="Z9" s="25"/>
      <c r="AA9" s="25"/>
    </row>
    <row r="10" spans="2: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2:27" ht="15.75" x14ac:dyDescent="0.25">
      <c r="B11" s="17"/>
      <c r="C11" s="27" t="s">
        <v>49</v>
      </c>
      <c r="D11" s="174"/>
      <c r="E11" s="59">
        <v>2.7158000000000002E-2</v>
      </c>
      <c r="F11" s="170"/>
      <c r="G11" s="19"/>
      <c r="H11" s="19"/>
      <c r="I11" s="19"/>
      <c r="J11" s="19"/>
      <c r="K11" s="19"/>
      <c r="L11" s="19"/>
      <c r="M11" s="19"/>
      <c r="N11" s="19"/>
      <c r="O11" s="19"/>
      <c r="P11" s="19"/>
      <c r="Q11" s="18"/>
      <c r="R11" s="212"/>
      <c r="V11" s="208" t="s">
        <v>4</v>
      </c>
      <c r="W11" s="209">
        <v>5.0237999999999991E-2</v>
      </c>
    </row>
    <row r="12" spans="2:27" ht="15.75" x14ac:dyDescent="0.25">
      <c r="B12" s="17"/>
      <c r="C12" s="119"/>
      <c r="D12" s="242"/>
      <c r="E12" s="145"/>
      <c r="F12" s="170"/>
      <c r="G12" s="19"/>
      <c r="H12" s="19"/>
      <c r="I12" s="19"/>
      <c r="J12" s="19"/>
      <c r="K12" s="19"/>
      <c r="L12" s="19"/>
      <c r="M12" s="19"/>
      <c r="N12" s="19"/>
      <c r="O12" s="19"/>
      <c r="P12" s="19"/>
      <c r="Q12" s="18"/>
      <c r="R12" s="212"/>
      <c r="V12" s="208"/>
      <c r="W12" s="209"/>
    </row>
    <row r="13" spans="2:27" ht="15.75" x14ac:dyDescent="0.25">
      <c r="B13" s="17"/>
      <c r="C13" s="27" t="s">
        <v>89</v>
      </c>
      <c r="D13" s="174"/>
      <c r="E13" s="59">
        <v>1.6781999999999998E-2</v>
      </c>
      <c r="F13" s="170"/>
      <c r="G13" s="19"/>
      <c r="H13" s="19"/>
      <c r="I13" s="19"/>
      <c r="J13" s="19"/>
      <c r="K13" s="19"/>
      <c r="L13" s="19"/>
      <c r="M13" s="19"/>
      <c r="N13" s="19"/>
      <c r="O13" s="19"/>
      <c r="P13" s="19"/>
      <c r="Q13" s="18"/>
      <c r="R13" s="212"/>
      <c r="V13" s="208"/>
      <c r="W13" s="209"/>
    </row>
    <row r="14" spans="2: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2:27" ht="15.75" x14ac:dyDescent="0.25">
      <c r="B15" s="17"/>
      <c r="C15" s="27" t="s">
        <v>50</v>
      </c>
      <c r="D15" s="174"/>
      <c r="E15" s="59">
        <v>1.8161E-2</v>
      </c>
      <c r="F15" s="170"/>
      <c r="G15" s="19"/>
      <c r="H15" s="19"/>
      <c r="I15" s="19"/>
      <c r="J15" s="19"/>
      <c r="K15" s="19"/>
      <c r="L15" s="19"/>
      <c r="M15" s="19"/>
      <c r="N15" s="19"/>
      <c r="O15" s="19"/>
      <c r="P15" s="19"/>
      <c r="Q15" s="18"/>
      <c r="R15" s="212"/>
      <c r="V15" s="208"/>
      <c r="W15" s="209"/>
    </row>
    <row r="16" spans="2: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31.5" x14ac:dyDescent="0.25">
      <c r="A17" s="11"/>
      <c r="B17" s="17"/>
      <c r="C17" s="27" t="s">
        <v>227</v>
      </c>
      <c r="D17" s="174"/>
      <c r="E17" s="59">
        <v>6.6380999999999996E-2</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105</v>
      </c>
      <c r="D19" s="174"/>
      <c r="E19" s="59">
        <v>7.3749999999999996E-3</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31</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120</v>
      </c>
      <c r="D21" s="174"/>
      <c r="E21" s="59">
        <v>0.13586300000000001</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31</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23</v>
      </c>
      <c r="D23" s="174"/>
      <c r="E23" s="59">
        <v>4.5974999999999926E-2</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8" t="s">
        <v>24</v>
      </c>
      <c r="D25" s="175"/>
      <c r="E25" s="40">
        <f>E23+E21+E19+E17+E15+E13+E11+E9</f>
        <v>1</v>
      </c>
      <c r="F25" s="120"/>
      <c r="G25" s="19"/>
      <c r="H25" s="248"/>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9" t="s">
        <v>127</v>
      </c>
      <c r="C35" s="300"/>
      <c r="D35" s="300"/>
      <c r="E35" s="300"/>
      <c r="F35" s="300"/>
      <c r="G35" s="300"/>
      <c r="H35" s="300"/>
      <c r="I35" s="300"/>
      <c r="J35" s="300"/>
      <c r="K35" s="300"/>
      <c r="L35" s="300"/>
      <c r="M35" s="300"/>
      <c r="N35" s="300"/>
      <c r="O35" s="300"/>
      <c r="P35" s="300"/>
      <c r="Q35" s="301"/>
      <c r="R35" s="213"/>
      <c r="S35" s="44"/>
      <c r="T35" s="44"/>
      <c r="U35" s="26"/>
      <c r="V35" s="26"/>
      <c r="W35" s="26"/>
      <c r="X35" s="19"/>
      <c r="Y35" s="19"/>
      <c r="Z35" s="26"/>
      <c r="AA35" s="26"/>
    </row>
    <row r="36" spans="1:27" s="13" customFormat="1" x14ac:dyDescent="0.2">
      <c r="A36" s="19"/>
      <c r="B36" s="302"/>
      <c r="C36" s="303"/>
      <c r="D36" s="303"/>
      <c r="E36" s="303"/>
      <c r="F36" s="303"/>
      <c r="G36" s="303"/>
      <c r="H36" s="303"/>
      <c r="I36" s="303"/>
      <c r="J36" s="303"/>
      <c r="K36" s="303"/>
      <c r="L36" s="303"/>
      <c r="M36" s="303"/>
      <c r="N36" s="303"/>
      <c r="O36" s="303"/>
      <c r="P36" s="303"/>
      <c r="Q36" s="304"/>
      <c r="R36" s="213"/>
      <c r="S36" s="44"/>
      <c r="T36" s="44"/>
      <c r="U36" s="26"/>
      <c r="V36" s="26"/>
      <c r="W36" s="26"/>
      <c r="X36" s="19"/>
      <c r="Y36" s="19"/>
      <c r="Z36" s="26"/>
      <c r="AA36" s="26"/>
    </row>
    <row r="37" spans="1:27" s="13" customFormat="1" x14ac:dyDescent="0.2">
      <c r="A37" s="19"/>
      <c r="B37" s="302"/>
      <c r="C37" s="303"/>
      <c r="D37" s="303"/>
      <c r="E37" s="303"/>
      <c r="F37" s="303"/>
      <c r="G37" s="303"/>
      <c r="H37" s="303"/>
      <c r="I37" s="303"/>
      <c r="J37" s="303"/>
      <c r="K37" s="303"/>
      <c r="L37" s="303"/>
      <c r="M37" s="303"/>
      <c r="N37" s="303"/>
      <c r="O37" s="303"/>
      <c r="P37" s="303"/>
      <c r="Q37" s="304"/>
      <c r="R37" s="213"/>
      <c r="S37" s="44"/>
      <c r="T37" s="44"/>
      <c r="U37" s="26"/>
      <c r="V37" s="26"/>
      <c r="W37" s="26"/>
      <c r="X37" s="19"/>
      <c r="Y37" s="19"/>
      <c r="Z37" s="26"/>
      <c r="AA37" s="26"/>
    </row>
    <row r="38" spans="1:27" s="13" customFormat="1" x14ac:dyDescent="0.2">
      <c r="A38" s="19"/>
      <c r="B38" s="302"/>
      <c r="C38" s="303"/>
      <c r="D38" s="303"/>
      <c r="E38" s="303"/>
      <c r="F38" s="303"/>
      <c r="G38" s="303"/>
      <c r="H38" s="303"/>
      <c r="I38" s="303"/>
      <c r="J38" s="303"/>
      <c r="K38" s="303"/>
      <c r="L38" s="303"/>
      <c r="M38" s="303"/>
      <c r="N38" s="303"/>
      <c r="O38" s="303"/>
      <c r="P38" s="303"/>
      <c r="Q38" s="304"/>
      <c r="R38" s="213"/>
      <c r="S38" s="44"/>
      <c r="T38" s="44"/>
      <c r="U38" s="26"/>
      <c r="V38" s="26"/>
      <c r="W38" s="26"/>
      <c r="X38" s="19"/>
      <c r="Y38" s="19"/>
      <c r="Z38" s="26"/>
      <c r="AA38" s="26"/>
    </row>
    <row r="39" spans="1:27" s="13" customFormat="1" x14ac:dyDescent="0.2">
      <c r="A39" s="19"/>
      <c r="B39" s="302"/>
      <c r="C39" s="303"/>
      <c r="D39" s="303"/>
      <c r="E39" s="303"/>
      <c r="F39" s="303"/>
      <c r="G39" s="303"/>
      <c r="H39" s="303"/>
      <c r="I39" s="303"/>
      <c r="J39" s="303"/>
      <c r="K39" s="303"/>
      <c r="L39" s="303"/>
      <c r="M39" s="303"/>
      <c r="N39" s="303"/>
      <c r="O39" s="303"/>
      <c r="P39" s="303"/>
      <c r="Q39" s="304"/>
      <c r="R39" s="213"/>
      <c r="S39" s="44"/>
      <c r="T39" s="44"/>
      <c r="U39" s="26"/>
      <c r="V39" s="26"/>
      <c r="W39" s="26"/>
      <c r="X39" s="19"/>
      <c r="Y39" s="19"/>
      <c r="Z39" s="26"/>
      <c r="AA39" s="26"/>
    </row>
    <row r="40" spans="1:27" s="13" customFormat="1" x14ac:dyDescent="0.2">
      <c r="A40" s="19"/>
      <c r="B40" s="302"/>
      <c r="C40" s="303"/>
      <c r="D40" s="303"/>
      <c r="E40" s="303"/>
      <c r="F40" s="303"/>
      <c r="G40" s="303"/>
      <c r="H40" s="303"/>
      <c r="I40" s="303"/>
      <c r="J40" s="303"/>
      <c r="K40" s="303"/>
      <c r="L40" s="303"/>
      <c r="M40" s="303"/>
      <c r="N40" s="303"/>
      <c r="O40" s="303"/>
      <c r="P40" s="303"/>
      <c r="Q40" s="304"/>
      <c r="R40" s="213"/>
      <c r="S40" s="44"/>
      <c r="T40" s="44"/>
      <c r="U40" s="26"/>
      <c r="V40" s="26"/>
      <c r="W40" s="26"/>
      <c r="X40" s="19"/>
      <c r="Y40" s="19"/>
      <c r="Z40" s="26"/>
      <c r="AA40" s="26"/>
    </row>
    <row r="41" spans="1:27" s="13" customFormat="1" ht="15.75" thickBot="1" x14ac:dyDescent="0.25">
      <c r="A41" s="19"/>
      <c r="B41" s="305"/>
      <c r="C41" s="306"/>
      <c r="D41" s="306"/>
      <c r="E41" s="306"/>
      <c r="F41" s="306"/>
      <c r="G41" s="306"/>
      <c r="H41" s="306"/>
      <c r="I41" s="306"/>
      <c r="J41" s="306"/>
      <c r="K41" s="306"/>
      <c r="L41" s="306"/>
      <c r="M41" s="306"/>
      <c r="N41" s="306"/>
      <c r="O41" s="306"/>
      <c r="P41" s="306"/>
      <c r="Q41" s="307"/>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3"/>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9"/>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08" t="s">
        <v>134</v>
      </c>
      <c r="D3" s="309"/>
      <c r="E3" s="309"/>
      <c r="F3" s="309"/>
      <c r="G3" s="309"/>
      <c r="H3" s="309"/>
      <c r="I3" s="309"/>
      <c r="J3" s="309"/>
      <c r="K3" s="309"/>
      <c r="L3" s="309"/>
      <c r="M3" s="309"/>
      <c r="N3" s="309"/>
      <c r="O3" s="309"/>
      <c r="P3" s="309"/>
      <c r="Q3" s="309"/>
      <c r="R3" s="309"/>
      <c r="S3" s="310"/>
      <c r="T3" s="142"/>
    </row>
    <row r="4" spans="1:25" ht="15.75" customHeight="1" x14ac:dyDescent="0.25">
      <c r="B4" s="134"/>
      <c r="C4" s="275" t="s">
        <v>253</v>
      </c>
      <c r="D4" s="1"/>
      <c r="E4" s="1"/>
      <c r="F4" s="1"/>
      <c r="G4" s="1"/>
      <c r="H4" s="1"/>
      <c r="I4" s="1"/>
      <c r="J4" s="1"/>
      <c r="K4" s="1"/>
      <c r="L4" s="1"/>
      <c r="M4" s="1"/>
      <c r="N4" s="1"/>
      <c r="O4" s="1"/>
      <c r="P4" s="1"/>
      <c r="Q4" s="1"/>
      <c r="R4" s="1"/>
      <c r="S4" s="149"/>
      <c r="T4" s="142"/>
    </row>
    <row r="5" spans="1:25" ht="18" customHeight="1" x14ac:dyDescent="0.25">
      <c r="B5" s="134"/>
      <c r="C5" s="2" t="s">
        <v>254</v>
      </c>
      <c r="D5" s="311" t="s">
        <v>267</v>
      </c>
      <c r="E5" s="311"/>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49" t="s">
        <v>0</v>
      </c>
      <c r="D7" s="70" t="s">
        <v>52</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0" t="s">
        <v>37</v>
      </c>
      <c r="D8" s="84" t="s">
        <v>3</v>
      </c>
      <c r="E8" s="259">
        <v>6.1983000000000003E-2</v>
      </c>
      <c r="F8" s="1"/>
      <c r="G8" s="1"/>
      <c r="H8" s="1"/>
      <c r="I8" s="1"/>
      <c r="J8" s="1"/>
      <c r="K8" s="1"/>
      <c r="L8" s="1"/>
      <c r="M8" s="1"/>
      <c r="N8" s="1"/>
      <c r="O8" s="1"/>
      <c r="P8" s="1"/>
      <c r="Q8" s="1"/>
      <c r="R8" s="1"/>
      <c r="S8" s="149"/>
      <c r="T8" s="142"/>
      <c r="W8" s="216" t="s">
        <v>3</v>
      </c>
      <c r="X8" s="217">
        <v>0.11409300000000001</v>
      </c>
      <c r="Y8" s="166"/>
    </row>
    <row r="9" spans="1:25" ht="15.75" customHeight="1" x14ac:dyDescent="0.25">
      <c r="B9" s="134"/>
      <c r="C9" s="250" t="s">
        <v>32</v>
      </c>
      <c r="D9" s="84" t="s">
        <v>187</v>
      </c>
      <c r="E9" s="259">
        <v>5.0694000000000003E-2</v>
      </c>
      <c r="F9" s="1"/>
      <c r="G9" s="1"/>
      <c r="H9" s="1"/>
      <c r="I9" s="1"/>
      <c r="J9" s="1"/>
      <c r="K9" s="1"/>
      <c r="L9" s="1"/>
      <c r="M9" s="1"/>
      <c r="N9" s="1"/>
      <c r="O9" s="1"/>
      <c r="P9" s="1"/>
      <c r="Q9" s="1"/>
      <c r="R9" s="1"/>
      <c r="S9" s="149"/>
      <c r="T9" s="142"/>
      <c r="W9" s="216" t="s">
        <v>4</v>
      </c>
      <c r="X9" s="217">
        <v>7.7796999999999991E-2</v>
      </c>
      <c r="Y9" s="166"/>
    </row>
    <row r="10" spans="1:25" ht="15" customHeight="1" x14ac:dyDescent="0.25">
      <c r="B10" s="134"/>
      <c r="C10" s="250" t="s">
        <v>124</v>
      </c>
      <c r="D10" s="84" t="s">
        <v>4</v>
      </c>
      <c r="E10" s="259">
        <v>4.6082999999999999E-2</v>
      </c>
      <c r="F10" s="1"/>
      <c r="G10" s="1"/>
      <c r="H10" s="1"/>
      <c r="I10" s="1"/>
      <c r="J10" s="1"/>
      <c r="K10" s="1"/>
      <c r="L10" s="1"/>
      <c r="M10" s="1"/>
      <c r="N10" s="1"/>
      <c r="O10" s="1"/>
      <c r="P10" s="1"/>
      <c r="Q10" s="1"/>
      <c r="R10" s="1"/>
      <c r="S10" s="149"/>
      <c r="T10" s="142"/>
      <c r="W10" s="216" t="s">
        <v>187</v>
      </c>
      <c r="X10" s="217">
        <v>7.1252999999999997E-2</v>
      </c>
      <c r="Y10" s="166"/>
    </row>
    <row r="11" spans="1:25" ht="15" customHeight="1" x14ac:dyDescent="0.25">
      <c r="B11" s="134"/>
      <c r="C11" s="250" t="s">
        <v>33</v>
      </c>
      <c r="D11" s="84" t="s">
        <v>3</v>
      </c>
      <c r="E11" s="259">
        <v>3.4195000000000003E-2</v>
      </c>
      <c r="F11" s="1"/>
      <c r="G11" s="1"/>
      <c r="H11" s="1"/>
      <c r="I11" s="1"/>
      <c r="J11" s="1"/>
      <c r="K11" s="1"/>
      <c r="L11" s="1"/>
      <c r="M11" s="1"/>
      <c r="N11" s="1"/>
      <c r="O11" s="1"/>
      <c r="P11" s="1"/>
      <c r="Q11" s="1"/>
      <c r="R11" s="1"/>
      <c r="S11" s="149"/>
      <c r="T11" s="142"/>
      <c r="W11" s="216" t="s">
        <v>194</v>
      </c>
      <c r="X11" s="217">
        <v>3.2065999999999997E-2</v>
      </c>
      <c r="Y11" s="166"/>
    </row>
    <row r="12" spans="1:25" ht="15" customHeight="1" x14ac:dyDescent="0.25">
      <c r="B12" s="134"/>
      <c r="C12" s="250" t="s">
        <v>36</v>
      </c>
      <c r="D12" s="84" t="s">
        <v>6</v>
      </c>
      <c r="E12" s="259">
        <v>2.5463000000000003E-2</v>
      </c>
      <c r="F12" s="1"/>
      <c r="G12" s="1"/>
      <c r="H12" s="1"/>
      <c r="I12" s="1"/>
      <c r="J12" s="1"/>
      <c r="K12" s="1"/>
      <c r="L12" s="1"/>
      <c r="M12" s="1"/>
      <c r="N12" s="1"/>
      <c r="O12" s="1"/>
      <c r="P12" s="1"/>
      <c r="Q12" s="1"/>
      <c r="R12" s="1"/>
      <c r="S12" s="149"/>
      <c r="T12" s="142"/>
      <c r="W12" s="216" t="s">
        <v>30</v>
      </c>
      <c r="X12" s="217">
        <v>2.9748000000000004E-2</v>
      </c>
      <c r="Y12" s="166"/>
    </row>
    <row r="13" spans="1:25" ht="15" customHeight="1" x14ac:dyDescent="0.25">
      <c r="B13" s="134"/>
      <c r="C13" s="250" t="s">
        <v>138</v>
      </c>
      <c r="D13" s="84" t="s">
        <v>30</v>
      </c>
      <c r="E13" s="259">
        <v>2.1625999999999999E-2</v>
      </c>
      <c r="F13" s="1"/>
      <c r="G13" s="1"/>
      <c r="H13" s="1"/>
      <c r="I13" s="1"/>
      <c r="J13" s="1"/>
      <c r="K13" s="1"/>
      <c r="L13" s="1"/>
      <c r="M13" s="1"/>
      <c r="N13" s="1"/>
      <c r="O13" s="1"/>
      <c r="P13" s="1"/>
      <c r="Q13" s="1"/>
      <c r="R13" s="1"/>
      <c r="S13" s="149"/>
      <c r="T13" s="142"/>
      <c r="W13" s="216" t="s">
        <v>191</v>
      </c>
      <c r="X13" s="217">
        <v>2.7862999999999999E-2</v>
      </c>
      <c r="Y13" s="166"/>
    </row>
    <row r="14" spans="1:25" ht="15.75" customHeight="1" x14ac:dyDescent="0.25">
      <c r="B14" s="134"/>
      <c r="C14" s="250" t="s">
        <v>202</v>
      </c>
      <c r="D14" s="84" t="s">
        <v>194</v>
      </c>
      <c r="E14" s="259">
        <v>2.1194999999999999E-2</v>
      </c>
      <c r="F14" s="1"/>
      <c r="G14" s="1"/>
      <c r="H14" s="1"/>
      <c r="I14" s="1"/>
      <c r="J14" s="1"/>
      <c r="K14" s="1"/>
      <c r="L14" s="1"/>
      <c r="M14" s="1"/>
      <c r="N14" s="1"/>
      <c r="O14" s="1"/>
      <c r="P14" s="1"/>
      <c r="Q14" s="1"/>
      <c r="R14" s="1"/>
      <c r="S14" s="149"/>
      <c r="T14" s="142"/>
      <c r="W14" s="216" t="s">
        <v>19</v>
      </c>
      <c r="X14" s="217">
        <v>2.6615E-2</v>
      </c>
      <c r="Y14" s="166"/>
    </row>
    <row r="15" spans="1:25" ht="15.75" x14ac:dyDescent="0.25">
      <c r="B15" s="134"/>
      <c r="C15" s="250" t="s">
        <v>185</v>
      </c>
      <c r="D15" s="84" t="s">
        <v>4</v>
      </c>
      <c r="E15" s="259">
        <v>1.9937E-2</v>
      </c>
      <c r="F15" s="1"/>
      <c r="G15" s="1"/>
      <c r="H15" s="1"/>
      <c r="I15" s="1"/>
      <c r="J15" s="1"/>
      <c r="K15" s="1"/>
      <c r="L15" s="1"/>
      <c r="M15" s="1"/>
      <c r="N15" s="1"/>
      <c r="O15" s="1"/>
      <c r="P15" s="1"/>
      <c r="Q15" s="1"/>
      <c r="R15" s="1"/>
      <c r="S15" s="149"/>
      <c r="T15" s="142"/>
      <c r="W15" s="216" t="s">
        <v>6</v>
      </c>
      <c r="X15" s="217">
        <v>2.5463000000000003E-2</v>
      </c>
      <c r="Y15" s="166"/>
    </row>
    <row r="16" spans="1:25" ht="15.75" customHeight="1" x14ac:dyDescent="0.25">
      <c r="B16" s="134"/>
      <c r="C16" s="250" t="s">
        <v>122</v>
      </c>
      <c r="D16" s="84" t="s">
        <v>3</v>
      </c>
      <c r="E16" s="259">
        <v>1.7915E-2</v>
      </c>
      <c r="F16" s="1"/>
      <c r="G16" s="1"/>
      <c r="H16" s="1"/>
      <c r="I16" s="1"/>
      <c r="J16" s="1"/>
      <c r="K16" s="1"/>
      <c r="L16" s="1"/>
      <c r="M16" s="1"/>
      <c r="N16" s="1"/>
      <c r="O16" s="1"/>
      <c r="P16" s="1"/>
      <c r="Q16" s="1"/>
      <c r="R16" s="1"/>
      <c r="S16" s="149"/>
      <c r="T16" s="142"/>
      <c r="W16" s="216" t="s">
        <v>198</v>
      </c>
      <c r="X16" s="217">
        <v>2.2198999999999997E-2</v>
      </c>
      <c r="Y16" s="166"/>
    </row>
    <row r="17" spans="1:25" ht="15" customHeight="1" x14ac:dyDescent="0.25">
      <c r="B17" s="134"/>
      <c r="C17" s="250" t="s">
        <v>100</v>
      </c>
      <c r="D17" s="84" t="s">
        <v>14</v>
      </c>
      <c r="E17" s="259">
        <v>1.7080999999999995E-2</v>
      </c>
      <c r="F17" s="1"/>
      <c r="G17" s="1"/>
      <c r="H17" s="1"/>
      <c r="I17" s="1"/>
      <c r="J17" s="1"/>
      <c r="K17" s="1"/>
      <c r="L17" s="1"/>
      <c r="M17" s="1"/>
      <c r="N17" s="1"/>
      <c r="O17" s="1"/>
      <c r="P17" s="1"/>
      <c r="Q17" s="1"/>
      <c r="R17" s="1"/>
      <c r="S17" s="149"/>
      <c r="T17" s="142"/>
      <c r="W17" s="216" t="s">
        <v>193</v>
      </c>
      <c r="X17" s="217">
        <v>1.9921999999999995E-2</v>
      </c>
      <c r="Y17" s="166"/>
    </row>
    <row r="18" spans="1:25" ht="15" customHeight="1" x14ac:dyDescent="0.25">
      <c r="B18" s="134"/>
      <c r="C18" s="250" t="s">
        <v>42</v>
      </c>
      <c r="D18" s="84" t="s">
        <v>199</v>
      </c>
      <c r="E18" s="259">
        <v>1.6232999999999997E-2</v>
      </c>
      <c r="F18" s="1"/>
      <c r="G18" s="1"/>
      <c r="H18" s="1"/>
      <c r="I18" s="1"/>
      <c r="J18" s="1"/>
      <c r="K18" s="1"/>
      <c r="L18" s="1"/>
      <c r="M18" s="1"/>
      <c r="N18" s="1"/>
      <c r="O18" s="1"/>
      <c r="P18" s="1"/>
      <c r="Q18" s="1"/>
      <c r="R18" s="1"/>
      <c r="S18" s="149"/>
      <c r="T18" s="142"/>
      <c r="W18" s="216" t="s">
        <v>129</v>
      </c>
      <c r="X18" s="217">
        <v>1.8828999999999999E-2</v>
      </c>
      <c r="Y18" s="166"/>
    </row>
    <row r="19" spans="1:25" ht="15" customHeight="1" x14ac:dyDescent="0.25">
      <c r="B19" s="134"/>
      <c r="C19" s="250" t="s">
        <v>162</v>
      </c>
      <c r="D19" s="84" t="s">
        <v>201</v>
      </c>
      <c r="E19" s="259">
        <v>1.4918000000000001E-2</v>
      </c>
      <c r="F19" s="1"/>
      <c r="G19" s="1"/>
      <c r="H19" s="1"/>
      <c r="I19" s="1"/>
      <c r="J19" s="1"/>
      <c r="K19" s="1"/>
      <c r="L19" s="1"/>
      <c r="M19" s="1"/>
      <c r="N19" s="1"/>
      <c r="O19" s="1"/>
      <c r="P19" s="1"/>
      <c r="Q19" s="1"/>
      <c r="R19" s="1"/>
      <c r="S19" s="149"/>
      <c r="T19" s="142"/>
      <c r="W19" s="216" t="s">
        <v>14</v>
      </c>
      <c r="X19" s="217">
        <v>1.7080999999999995E-2</v>
      </c>
      <c r="Y19" s="166"/>
    </row>
    <row r="20" spans="1:25" ht="15" customHeight="1" x14ac:dyDescent="0.25">
      <c r="B20" s="134"/>
      <c r="C20" s="250" t="s">
        <v>84</v>
      </c>
      <c r="D20" s="84" t="s">
        <v>129</v>
      </c>
      <c r="E20" s="259">
        <v>1.3925999999999999E-2</v>
      </c>
      <c r="F20" s="1"/>
      <c r="G20" s="1"/>
      <c r="H20" s="1"/>
      <c r="I20" s="1"/>
      <c r="J20" s="1"/>
      <c r="K20" s="1"/>
      <c r="L20" s="1"/>
      <c r="M20" s="1"/>
      <c r="N20" s="1"/>
      <c r="O20" s="1"/>
      <c r="P20" s="1"/>
      <c r="Q20" s="1"/>
      <c r="R20" s="1"/>
      <c r="S20" s="149"/>
      <c r="T20" s="142"/>
      <c r="W20" s="216" t="s">
        <v>199</v>
      </c>
      <c r="X20" s="217">
        <v>1.6232999999999997E-2</v>
      </c>
      <c r="Y20" s="166"/>
    </row>
    <row r="21" spans="1:25" ht="15" customHeight="1" x14ac:dyDescent="0.25">
      <c r="B21" s="134"/>
      <c r="C21" s="250" t="s">
        <v>107</v>
      </c>
      <c r="D21" s="84" t="s">
        <v>193</v>
      </c>
      <c r="E21" s="259">
        <v>1.2244E-2</v>
      </c>
      <c r="F21" s="1"/>
      <c r="G21" s="1"/>
      <c r="H21" s="1"/>
      <c r="I21" s="1"/>
      <c r="J21" s="1"/>
      <c r="K21" s="1"/>
      <c r="L21" s="1"/>
      <c r="M21" s="1"/>
      <c r="N21" s="1"/>
      <c r="O21" s="1"/>
      <c r="P21" s="1"/>
      <c r="Q21" s="1"/>
      <c r="R21" s="1"/>
      <c r="S21" s="149"/>
      <c r="T21" s="142"/>
      <c r="W21" s="216" t="s">
        <v>201</v>
      </c>
      <c r="X21" s="217">
        <v>1.4918000000000001E-2</v>
      </c>
      <c r="Y21" s="166"/>
    </row>
    <row r="22" spans="1:25" ht="15" customHeight="1" x14ac:dyDescent="0.25">
      <c r="B22" s="134"/>
      <c r="C22" s="250" t="s">
        <v>244</v>
      </c>
      <c r="D22" s="84" t="s">
        <v>19</v>
      </c>
      <c r="E22" s="259">
        <v>1.2203E-2</v>
      </c>
      <c r="F22" s="1"/>
      <c r="G22" s="1"/>
      <c r="H22" s="1"/>
      <c r="I22" s="1"/>
      <c r="J22" s="1"/>
      <c r="K22" s="1"/>
      <c r="L22" s="1"/>
      <c r="M22" s="1"/>
      <c r="N22" s="1"/>
      <c r="O22" s="1"/>
      <c r="P22" s="1"/>
      <c r="Q22" s="1"/>
      <c r="R22" s="1"/>
      <c r="S22" s="149"/>
      <c r="T22" s="142"/>
      <c r="W22" s="216" t="s">
        <v>27</v>
      </c>
      <c r="X22" s="217">
        <v>1.3794000000000001E-2</v>
      </c>
      <c r="Y22" s="166"/>
    </row>
    <row r="23" spans="1:25" ht="16.5" customHeight="1" x14ac:dyDescent="0.25">
      <c r="B23" s="134"/>
      <c r="C23" s="251" t="s">
        <v>85</v>
      </c>
      <c r="D23" s="130"/>
      <c r="E23" s="260">
        <f>SUM(E8:E22)</f>
        <v>0.38569600000000004</v>
      </c>
      <c r="F23" s="1"/>
      <c r="G23" s="1"/>
      <c r="H23" s="1"/>
      <c r="I23" s="1"/>
      <c r="J23" s="1"/>
      <c r="K23" s="1"/>
      <c r="L23" s="1"/>
      <c r="M23" s="1"/>
      <c r="N23" s="1"/>
      <c r="O23" s="1"/>
      <c r="P23" s="1"/>
      <c r="Q23" s="1"/>
      <c r="R23" s="1"/>
      <c r="S23" s="149"/>
      <c r="T23" s="142"/>
      <c r="W23" s="216" t="s">
        <v>203</v>
      </c>
      <c r="X23" s="217">
        <v>1.0524E-2</v>
      </c>
      <c r="Y23" s="166"/>
    </row>
    <row r="24" spans="1:25" ht="15" customHeight="1" x14ac:dyDescent="0.25">
      <c r="B24" s="134"/>
      <c r="C24" s="252"/>
      <c r="D24" s="67"/>
      <c r="E24" s="259"/>
      <c r="F24" s="1"/>
      <c r="G24" s="1"/>
      <c r="H24" s="1"/>
      <c r="I24" s="1"/>
      <c r="J24" s="1"/>
      <c r="K24" s="1"/>
      <c r="L24" s="1"/>
      <c r="M24" s="1"/>
      <c r="N24" s="1"/>
      <c r="O24" s="1"/>
      <c r="P24" s="1"/>
      <c r="Q24" s="1"/>
      <c r="R24" s="1"/>
      <c r="S24" s="149"/>
      <c r="T24" s="142"/>
      <c r="W24" s="216" t="s">
        <v>186</v>
      </c>
      <c r="X24" s="217">
        <v>1.0223000000000001E-2</v>
      </c>
      <c r="Y24" s="166"/>
    </row>
    <row r="25" spans="1:25" ht="15" customHeight="1" x14ac:dyDescent="0.25">
      <c r="B25" s="134"/>
      <c r="C25" s="251" t="s">
        <v>73</v>
      </c>
      <c r="D25" s="130"/>
      <c r="E25" s="261">
        <v>0.18805700000000003</v>
      </c>
      <c r="F25" s="1"/>
      <c r="G25" s="1"/>
      <c r="H25" s="1"/>
      <c r="I25" s="1"/>
      <c r="J25" s="1"/>
      <c r="K25" s="1"/>
      <c r="L25" s="1"/>
      <c r="M25" s="1"/>
      <c r="N25" s="1"/>
      <c r="O25" s="1"/>
      <c r="P25" s="1"/>
      <c r="Q25" s="1"/>
      <c r="R25" s="1"/>
      <c r="S25" s="149"/>
      <c r="T25" s="142"/>
      <c r="W25" s="216" t="s">
        <v>117</v>
      </c>
      <c r="X25" s="217">
        <v>9.3880000000000005E-3</v>
      </c>
      <c r="Y25" s="166"/>
    </row>
    <row r="26" spans="1:25" ht="15" customHeight="1" x14ac:dyDescent="0.25">
      <c r="B26" s="134"/>
      <c r="C26" s="252"/>
      <c r="D26" s="67"/>
      <c r="E26" s="259"/>
      <c r="F26" s="1"/>
      <c r="G26" s="1"/>
      <c r="H26" s="1"/>
      <c r="I26" s="1"/>
      <c r="J26" s="1"/>
      <c r="K26" s="1"/>
      <c r="L26" s="1"/>
      <c r="M26" s="1"/>
      <c r="N26" s="1"/>
      <c r="O26" s="1"/>
      <c r="P26" s="1"/>
      <c r="Q26" s="1"/>
      <c r="R26" s="1"/>
      <c r="S26" s="149"/>
      <c r="T26" s="142"/>
      <c r="W26" s="216" t="s">
        <v>208</v>
      </c>
      <c r="X26" s="217">
        <v>5.47E-3</v>
      </c>
      <c r="Y26" s="166"/>
    </row>
    <row r="27" spans="1:25" ht="18" customHeight="1" x14ac:dyDescent="0.25">
      <c r="B27" s="134"/>
      <c r="C27" s="251" t="s">
        <v>72</v>
      </c>
      <c r="D27" s="27"/>
      <c r="E27" s="262">
        <v>0.112515</v>
      </c>
      <c r="F27" s="1"/>
      <c r="G27" s="1"/>
      <c r="H27" s="1"/>
      <c r="I27" s="1"/>
      <c r="J27" s="1"/>
      <c r="K27" s="1"/>
      <c r="L27" s="1"/>
      <c r="M27" s="1"/>
      <c r="N27" s="1"/>
      <c r="O27" s="1"/>
      <c r="P27" s="1"/>
      <c r="Q27" s="1"/>
      <c r="R27" s="1"/>
      <c r="S27" s="149"/>
      <c r="T27" s="142"/>
      <c r="W27" s="216" t="s">
        <v>189</v>
      </c>
      <c r="X27" s="217">
        <v>4.908E-3</v>
      </c>
    </row>
    <row r="28" spans="1:25" ht="18" customHeight="1" x14ac:dyDescent="0.25">
      <c r="B28" s="134"/>
      <c r="C28" s="252"/>
      <c r="D28" s="67"/>
      <c r="E28" s="259"/>
      <c r="F28" s="1"/>
      <c r="G28" s="1"/>
      <c r="H28" s="1"/>
      <c r="I28" s="1"/>
      <c r="J28" s="1"/>
      <c r="K28" s="1"/>
      <c r="L28" s="1"/>
      <c r="M28" s="1"/>
      <c r="N28" s="1"/>
      <c r="O28" s="1"/>
      <c r="P28" s="1"/>
      <c r="Q28" s="1"/>
      <c r="R28" s="1"/>
      <c r="S28" s="149"/>
      <c r="T28" s="142"/>
      <c r="W28" s="216" t="s">
        <v>200</v>
      </c>
      <c r="X28" s="217">
        <v>4.359E-3</v>
      </c>
    </row>
    <row r="29" spans="1:25" ht="15" customHeight="1" x14ac:dyDescent="0.25">
      <c r="B29" s="134"/>
      <c r="C29" s="250" t="s">
        <v>36</v>
      </c>
      <c r="D29" s="84" t="s">
        <v>80</v>
      </c>
      <c r="E29" s="259">
        <v>1.6448000000000001E-2</v>
      </c>
      <c r="F29" s="1"/>
      <c r="G29" s="1"/>
      <c r="H29" s="1"/>
      <c r="I29" s="1"/>
      <c r="J29" s="1"/>
      <c r="K29" s="1"/>
      <c r="L29" s="1"/>
      <c r="M29" s="1"/>
      <c r="N29" s="1"/>
      <c r="O29" s="1"/>
      <c r="P29" s="1"/>
      <c r="Q29" s="1"/>
      <c r="R29" s="1"/>
      <c r="S29" s="149"/>
      <c r="T29" s="142"/>
      <c r="W29" s="216" t="s">
        <v>133</v>
      </c>
      <c r="X29" s="217">
        <v>1.0070000000000001E-3</v>
      </c>
    </row>
    <row r="30" spans="1:25" ht="15" customHeight="1" x14ac:dyDescent="0.25">
      <c r="B30" s="134"/>
      <c r="C30" s="250" t="s">
        <v>112</v>
      </c>
      <c r="D30" s="84" t="s">
        <v>80</v>
      </c>
      <c r="E30" s="259">
        <v>8.2140000000000008E-3</v>
      </c>
      <c r="F30" s="1"/>
      <c r="G30" s="87"/>
      <c r="H30" s="1"/>
      <c r="I30" s="1"/>
      <c r="J30" s="1"/>
      <c r="K30" s="1"/>
      <c r="L30" s="1"/>
      <c r="M30" s="1"/>
      <c r="N30" s="1"/>
      <c r="O30" s="1"/>
      <c r="P30" s="1"/>
      <c r="Q30" s="1"/>
      <c r="R30" s="1"/>
      <c r="S30" s="149"/>
      <c r="T30" s="142"/>
      <c r="W30" s="216"/>
      <c r="X30" s="217"/>
    </row>
    <row r="31" spans="1:25" ht="15" customHeight="1" x14ac:dyDescent="0.25">
      <c r="B31" s="134"/>
      <c r="C31" s="250" t="s">
        <v>110</v>
      </c>
      <c r="D31" s="84" t="s">
        <v>80</v>
      </c>
      <c r="E31" s="259">
        <v>6.5469999999999999E-3</v>
      </c>
      <c r="F31" s="1"/>
      <c r="G31" s="87"/>
      <c r="H31" s="1"/>
      <c r="I31" s="1"/>
      <c r="J31" s="1"/>
      <c r="K31" s="1"/>
      <c r="L31" s="1"/>
      <c r="M31" s="1"/>
      <c r="N31" s="1"/>
      <c r="O31" s="1"/>
      <c r="P31" s="1"/>
      <c r="Q31" s="1"/>
      <c r="R31" s="1"/>
      <c r="S31" s="149"/>
      <c r="T31" s="142"/>
      <c r="W31" s="216"/>
      <c r="X31" s="217"/>
    </row>
    <row r="32" spans="1:25" ht="15" customHeight="1" x14ac:dyDescent="0.25">
      <c r="A32" s="273"/>
      <c r="B32" s="276"/>
      <c r="C32" s="250" t="s">
        <v>97</v>
      </c>
      <c r="D32" s="84" t="s">
        <v>80</v>
      </c>
      <c r="E32" s="259">
        <v>4.927E-3</v>
      </c>
      <c r="F32" s="274"/>
      <c r="G32" s="88"/>
      <c r="H32" s="274"/>
      <c r="I32" s="274"/>
      <c r="J32" s="274"/>
      <c r="K32" s="274"/>
      <c r="L32" s="274"/>
      <c r="M32" s="274"/>
      <c r="N32" s="274"/>
      <c r="O32" s="274"/>
      <c r="P32" s="274"/>
      <c r="Q32" s="274"/>
      <c r="R32" s="274"/>
      <c r="S32" s="149"/>
      <c r="T32" s="142"/>
      <c r="W32" s="200"/>
      <c r="X32" s="201"/>
    </row>
    <row r="33" spans="1:28" ht="15" customHeight="1" x14ac:dyDescent="0.25">
      <c r="B33" s="134"/>
      <c r="C33" s="250" t="s">
        <v>78</v>
      </c>
      <c r="D33" s="84" t="s">
        <v>80</v>
      </c>
      <c r="E33" s="259">
        <v>8.3999999999999995E-5</v>
      </c>
      <c r="F33" s="1"/>
      <c r="G33" s="88"/>
      <c r="H33" s="1"/>
      <c r="I33" s="1"/>
      <c r="J33" s="1"/>
      <c r="K33" s="1"/>
      <c r="L33" s="1"/>
      <c r="M33" s="1"/>
      <c r="N33" s="1"/>
      <c r="O33" s="1"/>
      <c r="P33" s="1"/>
      <c r="Q33" s="1"/>
      <c r="R33" s="1"/>
      <c r="S33" s="149"/>
      <c r="T33" s="142"/>
      <c r="W33" s="200"/>
      <c r="X33" s="201"/>
    </row>
    <row r="34" spans="1:28" ht="15" customHeight="1" x14ac:dyDescent="0.25">
      <c r="B34" s="134"/>
      <c r="C34" s="253" t="s">
        <v>5</v>
      </c>
      <c r="D34" s="130"/>
      <c r="E34" s="260">
        <f>SUM(E29:E33)</f>
        <v>3.6220000000000002E-2</v>
      </c>
      <c r="F34" s="1"/>
      <c r="G34" s="1"/>
      <c r="H34" s="1"/>
      <c r="I34" s="182"/>
      <c r="J34" s="1"/>
      <c r="K34" s="1"/>
      <c r="L34" s="1"/>
      <c r="M34" s="1"/>
      <c r="N34" s="1"/>
      <c r="O34" s="1"/>
      <c r="P34" s="1"/>
      <c r="Q34" s="1"/>
      <c r="R34" s="1"/>
      <c r="S34" s="149"/>
      <c r="T34" s="142"/>
      <c r="W34" s="200"/>
      <c r="X34" s="201"/>
    </row>
    <row r="35" spans="1:28" ht="15" customHeight="1" x14ac:dyDescent="0.25">
      <c r="A35" s="273"/>
      <c r="B35" s="276"/>
      <c r="C35" s="252"/>
      <c r="D35" s="67"/>
      <c r="E35" s="259"/>
      <c r="F35" s="274"/>
      <c r="G35" s="218"/>
      <c r="H35" s="274"/>
      <c r="I35" s="182"/>
      <c r="J35" s="274"/>
      <c r="K35" s="274"/>
      <c r="L35" s="274"/>
      <c r="M35" s="274"/>
      <c r="N35" s="274"/>
      <c r="O35" s="274"/>
      <c r="P35" s="274"/>
      <c r="Q35" s="274"/>
      <c r="R35" s="274"/>
      <c r="S35" s="149"/>
      <c r="T35" s="142"/>
      <c r="W35" s="200"/>
      <c r="X35" s="201"/>
    </row>
    <row r="36" spans="1:28" ht="15" customHeight="1" x14ac:dyDescent="0.25">
      <c r="A36" s="273"/>
      <c r="B36" s="276"/>
      <c r="C36" s="252" t="s">
        <v>41</v>
      </c>
      <c r="D36" s="67" t="s">
        <v>170</v>
      </c>
      <c r="E36" s="259">
        <v>3.2353E-2</v>
      </c>
      <c r="F36" s="274"/>
      <c r="G36" s="274"/>
      <c r="H36" s="274"/>
      <c r="I36" s="182"/>
      <c r="J36" s="274"/>
      <c r="K36" s="274"/>
      <c r="L36" s="274"/>
      <c r="M36" s="274"/>
      <c r="N36" s="274"/>
      <c r="O36" s="274"/>
      <c r="P36" s="274"/>
      <c r="Q36" s="274"/>
      <c r="R36" s="274"/>
      <c r="S36" s="149"/>
      <c r="T36" s="142"/>
    </row>
    <row r="37" spans="1:28" ht="15" customHeight="1" x14ac:dyDescent="0.25">
      <c r="B37" s="134"/>
      <c r="C37" s="252" t="s">
        <v>33</v>
      </c>
      <c r="D37" s="67" t="s">
        <v>170</v>
      </c>
      <c r="E37" s="259">
        <v>1.6125E-2</v>
      </c>
      <c r="F37" s="1"/>
      <c r="G37" s="1"/>
      <c r="H37" s="1"/>
      <c r="I37" s="182"/>
      <c r="J37" s="1"/>
      <c r="K37" s="1"/>
      <c r="L37" s="1"/>
      <c r="M37" s="1"/>
      <c r="N37" s="1"/>
      <c r="O37" s="1"/>
      <c r="P37" s="1"/>
      <c r="Q37" s="1"/>
      <c r="R37" s="1"/>
      <c r="S37" s="149"/>
      <c r="T37" s="142"/>
    </row>
    <row r="38" spans="1:28" s="227" customFormat="1" ht="15" customHeight="1" x14ac:dyDescent="0.25">
      <c r="A38" s="147"/>
      <c r="B38" s="222"/>
      <c r="C38" s="253" t="s">
        <v>89</v>
      </c>
      <c r="D38" s="130"/>
      <c r="E38" s="260">
        <f>E36+E37</f>
        <v>4.8478E-2</v>
      </c>
      <c r="F38" s="277"/>
      <c r="G38" s="277"/>
      <c r="H38" s="277"/>
      <c r="I38" s="223"/>
      <c r="J38" s="277"/>
      <c r="K38" s="277"/>
      <c r="L38" s="277"/>
      <c r="M38" s="277"/>
      <c r="N38" s="277"/>
      <c r="O38" s="277"/>
      <c r="P38" s="277"/>
      <c r="Q38" s="277"/>
      <c r="R38" s="277"/>
      <c r="S38" s="224"/>
      <c r="T38" s="225"/>
      <c r="U38" s="226"/>
      <c r="V38" s="226"/>
      <c r="W38" s="167"/>
      <c r="X38" s="167"/>
      <c r="Y38" s="167"/>
      <c r="Z38" s="167"/>
      <c r="AA38" s="226"/>
      <c r="AB38" s="226"/>
    </row>
    <row r="39" spans="1:28" s="227" customFormat="1" ht="15" customHeight="1" x14ac:dyDescent="0.25">
      <c r="A39" s="147"/>
      <c r="B39" s="222"/>
      <c r="C39" s="254"/>
      <c r="D39" s="146"/>
      <c r="E39" s="263"/>
      <c r="F39" s="110"/>
      <c r="G39" s="110"/>
      <c r="H39" s="110"/>
      <c r="I39" s="223"/>
      <c r="J39" s="110"/>
      <c r="K39" s="110"/>
      <c r="L39" s="110"/>
      <c r="M39" s="110"/>
      <c r="N39" s="110"/>
      <c r="O39" s="110"/>
      <c r="P39" s="110"/>
      <c r="Q39" s="110"/>
      <c r="R39" s="110"/>
      <c r="S39" s="224"/>
      <c r="T39" s="225"/>
      <c r="U39" s="226"/>
      <c r="V39" s="226"/>
      <c r="W39" s="167"/>
      <c r="X39" s="167"/>
      <c r="Y39" s="167"/>
      <c r="Z39" s="167"/>
      <c r="AA39" s="226"/>
      <c r="AB39" s="226"/>
    </row>
    <row r="40" spans="1:28" s="227" customFormat="1" ht="15" customHeight="1" x14ac:dyDescent="0.25">
      <c r="A40" s="147"/>
      <c r="B40" s="222"/>
      <c r="C40" s="255" t="s">
        <v>139</v>
      </c>
      <c r="D40" s="221" t="s">
        <v>76</v>
      </c>
      <c r="E40" s="264">
        <v>9.7835000000000005E-2</v>
      </c>
      <c r="F40" s="277"/>
      <c r="G40" s="277"/>
      <c r="H40" s="277"/>
      <c r="I40" s="223"/>
      <c r="J40" s="277"/>
      <c r="K40" s="277"/>
      <c r="L40" s="277"/>
      <c r="M40" s="277"/>
      <c r="N40" s="277"/>
      <c r="O40" s="277"/>
      <c r="P40" s="277"/>
      <c r="Q40" s="277"/>
      <c r="R40" s="277"/>
      <c r="S40" s="224"/>
      <c r="T40" s="225"/>
      <c r="U40" s="226"/>
      <c r="V40" s="226"/>
      <c r="W40" s="167"/>
      <c r="X40" s="167"/>
      <c r="Y40" s="167"/>
      <c r="Z40" s="167"/>
      <c r="AA40" s="226"/>
      <c r="AB40" s="226"/>
    </row>
    <row r="41" spans="1:28" s="227" customFormat="1" ht="15" customHeight="1" x14ac:dyDescent="0.25">
      <c r="A41" s="147"/>
      <c r="B41" s="222"/>
      <c r="C41" s="255" t="s">
        <v>121</v>
      </c>
      <c r="D41" s="221" t="s">
        <v>76</v>
      </c>
      <c r="E41" s="264">
        <v>1.8932000000000001E-2</v>
      </c>
      <c r="F41" s="110"/>
      <c r="G41" s="110"/>
      <c r="H41" s="110"/>
      <c r="I41" s="223"/>
      <c r="J41" s="110"/>
      <c r="K41" s="110"/>
      <c r="L41" s="110"/>
      <c r="M41" s="110"/>
      <c r="N41" s="110"/>
      <c r="O41" s="110"/>
      <c r="P41" s="110"/>
      <c r="Q41" s="110"/>
      <c r="R41" s="110"/>
      <c r="S41" s="224"/>
      <c r="T41" s="225"/>
      <c r="U41" s="226"/>
      <c r="V41" s="226"/>
      <c r="W41" s="167"/>
      <c r="X41" s="167"/>
      <c r="Y41" s="167"/>
      <c r="Z41" s="167"/>
      <c r="AA41" s="226"/>
      <c r="AB41" s="226"/>
    </row>
    <row r="42" spans="1:28" s="227" customFormat="1" ht="15" customHeight="1" x14ac:dyDescent="0.25">
      <c r="A42" s="147"/>
      <c r="B42" s="222"/>
      <c r="C42" s="255" t="s">
        <v>93</v>
      </c>
      <c r="D42" s="221" t="s">
        <v>76</v>
      </c>
      <c r="E42" s="264">
        <v>3.6310000000000001E-3</v>
      </c>
      <c r="F42" s="110"/>
      <c r="G42" s="110"/>
      <c r="H42" s="110"/>
      <c r="I42" s="223"/>
      <c r="J42" s="110"/>
      <c r="K42" s="110"/>
      <c r="L42" s="110"/>
      <c r="M42" s="110"/>
      <c r="N42" s="110"/>
      <c r="O42" s="110"/>
      <c r="P42" s="110"/>
      <c r="Q42" s="110"/>
      <c r="R42" s="110"/>
      <c r="S42" s="224"/>
      <c r="T42" s="225"/>
      <c r="U42" s="226"/>
      <c r="V42" s="226"/>
      <c r="W42" s="167"/>
      <c r="X42" s="167"/>
      <c r="Y42" s="167"/>
      <c r="Z42" s="167"/>
      <c r="AA42" s="226"/>
      <c r="AB42" s="226"/>
    </row>
    <row r="43" spans="1:28" ht="15" customHeight="1" x14ac:dyDescent="0.25">
      <c r="B43" s="134"/>
      <c r="C43" s="251" t="s">
        <v>50</v>
      </c>
      <c r="D43" s="27"/>
      <c r="E43" s="260">
        <f>E40+E41+E42</f>
        <v>0.12039800000000001</v>
      </c>
      <c r="F43" s="1"/>
      <c r="G43" s="1"/>
      <c r="H43" s="1"/>
      <c r="I43" s="182"/>
      <c r="J43" s="1"/>
      <c r="K43" s="1"/>
      <c r="L43" s="1"/>
      <c r="M43" s="1"/>
      <c r="N43" s="1"/>
      <c r="O43" s="1"/>
      <c r="P43" s="1"/>
      <c r="Q43" s="1"/>
      <c r="R43" s="1"/>
      <c r="S43" s="149"/>
      <c r="T43" s="142"/>
    </row>
    <row r="44" spans="1:28" ht="15" customHeight="1" x14ac:dyDescent="0.25">
      <c r="B44" s="134"/>
      <c r="C44" s="254"/>
      <c r="D44" s="146"/>
      <c r="E44" s="263"/>
      <c r="F44" s="1"/>
      <c r="G44" s="1"/>
      <c r="H44" s="1"/>
      <c r="I44" s="182"/>
      <c r="J44" s="1"/>
      <c r="K44" s="1"/>
      <c r="L44" s="1"/>
      <c r="M44" s="1"/>
      <c r="N44" s="1"/>
      <c r="O44" s="1"/>
      <c r="P44" s="1"/>
      <c r="Q44" s="1"/>
      <c r="R44" s="1"/>
      <c r="S44" s="149"/>
      <c r="T44" s="142"/>
    </row>
    <row r="45" spans="1:28" ht="15" customHeight="1" x14ac:dyDescent="0.25">
      <c r="A45" s="273"/>
      <c r="B45" s="276"/>
      <c r="C45" s="255" t="s">
        <v>228</v>
      </c>
      <c r="D45" s="221" t="s">
        <v>76</v>
      </c>
      <c r="E45" s="264">
        <v>3.5548000000000003E-2</v>
      </c>
      <c r="F45" s="274"/>
      <c r="G45" s="274"/>
      <c r="H45" s="274"/>
      <c r="I45" s="274"/>
      <c r="J45" s="274"/>
      <c r="K45" s="274"/>
      <c r="L45" s="274"/>
      <c r="M45" s="274"/>
      <c r="N45" s="274"/>
      <c r="O45" s="274"/>
      <c r="P45" s="274"/>
      <c r="Q45" s="274"/>
      <c r="R45" s="274"/>
      <c r="S45" s="149"/>
      <c r="T45" s="142"/>
    </row>
    <row r="46" spans="1:28" ht="15" customHeight="1" x14ac:dyDescent="0.25">
      <c r="A46" s="273"/>
      <c r="B46" s="276"/>
      <c r="C46" s="255" t="s">
        <v>248</v>
      </c>
      <c r="D46" s="221" t="s">
        <v>76</v>
      </c>
      <c r="E46" s="264">
        <v>1.5998999999999999E-2</v>
      </c>
      <c r="F46" s="274"/>
      <c r="G46" s="274"/>
      <c r="H46" s="274"/>
      <c r="I46" s="274"/>
      <c r="J46" s="274"/>
      <c r="K46" s="274"/>
      <c r="L46" s="274"/>
      <c r="M46" s="274"/>
      <c r="N46" s="274"/>
      <c r="O46" s="274"/>
      <c r="P46" s="274"/>
      <c r="Q46" s="274"/>
      <c r="R46" s="274"/>
      <c r="S46" s="149"/>
      <c r="T46" s="142"/>
    </row>
    <row r="47" spans="1:28" ht="15" customHeight="1" x14ac:dyDescent="0.25">
      <c r="B47" s="134"/>
      <c r="C47" s="255" t="s">
        <v>233</v>
      </c>
      <c r="D47" s="221" t="s">
        <v>76</v>
      </c>
      <c r="E47" s="264">
        <v>8.0700000000000008E-3</v>
      </c>
      <c r="F47" s="1"/>
      <c r="G47" s="1"/>
      <c r="H47" s="1"/>
      <c r="I47" s="1"/>
      <c r="J47" s="1"/>
      <c r="K47" s="1"/>
      <c r="L47" s="1"/>
      <c r="M47" s="1"/>
      <c r="N47" s="1"/>
      <c r="O47" s="1"/>
      <c r="P47" s="1"/>
      <c r="Q47" s="1"/>
      <c r="R47" s="1"/>
      <c r="S47" s="149"/>
      <c r="T47" s="142"/>
    </row>
    <row r="48" spans="1:28" ht="15" customHeight="1" x14ac:dyDescent="0.25">
      <c r="B48" s="134"/>
      <c r="C48" s="256" t="s">
        <v>120</v>
      </c>
      <c r="D48" s="131"/>
      <c r="E48" s="261">
        <f>SUM(E45:E47)</f>
        <v>5.9617000000000003E-2</v>
      </c>
      <c r="F48" s="1"/>
      <c r="G48" s="218"/>
      <c r="H48" s="1"/>
      <c r="I48" s="1"/>
      <c r="J48" s="1"/>
      <c r="K48" s="1"/>
      <c r="L48" s="1"/>
      <c r="M48" s="1"/>
      <c r="N48" s="1"/>
      <c r="O48" s="1"/>
      <c r="P48" s="1"/>
      <c r="Q48" s="1"/>
      <c r="R48" s="1"/>
      <c r="S48" s="149"/>
      <c r="T48" s="142"/>
    </row>
    <row r="49" spans="1:20" ht="15" customHeight="1" x14ac:dyDescent="0.25">
      <c r="A49" s="273"/>
      <c r="B49" s="276"/>
      <c r="C49" s="257"/>
      <c r="D49" s="67"/>
      <c r="E49" s="265"/>
      <c r="F49" s="274"/>
      <c r="G49" s="274"/>
      <c r="H49" s="274"/>
      <c r="I49" s="274"/>
      <c r="J49" s="274"/>
      <c r="K49" s="274"/>
      <c r="L49" s="274"/>
      <c r="M49" s="274"/>
      <c r="N49" s="274"/>
      <c r="O49" s="274"/>
      <c r="P49" s="274"/>
      <c r="Q49" s="274"/>
      <c r="R49" s="274"/>
      <c r="S49" s="149"/>
      <c r="T49" s="142"/>
    </row>
    <row r="50" spans="1:20" ht="15" customHeight="1" x14ac:dyDescent="0.25">
      <c r="A50" s="273"/>
      <c r="B50" s="276"/>
      <c r="C50" s="256" t="s">
        <v>95</v>
      </c>
      <c r="D50" s="131"/>
      <c r="E50" s="261">
        <v>4.9018999999999993E-2</v>
      </c>
      <c r="F50" s="274"/>
      <c r="G50" s="274"/>
      <c r="H50" s="274"/>
      <c r="I50" s="274"/>
      <c r="J50" s="274"/>
      <c r="K50" s="274"/>
      <c r="L50" s="274"/>
      <c r="M50" s="274"/>
      <c r="N50" s="274"/>
      <c r="O50" s="274"/>
      <c r="P50" s="274"/>
      <c r="Q50" s="274"/>
      <c r="R50" s="274"/>
      <c r="S50" s="149"/>
      <c r="T50" s="142"/>
    </row>
    <row r="51" spans="1:20" ht="15" customHeight="1" x14ac:dyDescent="0.25">
      <c r="A51" s="273"/>
      <c r="B51" s="276"/>
      <c r="C51" s="257"/>
      <c r="D51" s="119"/>
      <c r="E51" s="265"/>
      <c r="F51" s="274"/>
      <c r="G51" s="274"/>
      <c r="H51" s="274"/>
      <c r="I51" s="274"/>
      <c r="J51" s="274"/>
      <c r="K51" s="274"/>
      <c r="L51" s="274"/>
      <c r="M51" s="274"/>
      <c r="N51" s="274"/>
      <c r="O51" s="274"/>
      <c r="P51" s="274"/>
      <c r="Q51" s="274"/>
      <c r="R51" s="274"/>
      <c r="S51" s="149"/>
      <c r="T51" s="142"/>
    </row>
    <row r="52" spans="1:20" ht="15" customHeight="1" x14ac:dyDescent="0.25">
      <c r="A52" s="273"/>
      <c r="B52" s="276"/>
      <c r="C52" s="258" t="s">
        <v>24</v>
      </c>
      <c r="D52" s="71"/>
      <c r="E52" s="64">
        <f>E50+E48+E43+E34+E27+E25+E23+E38</f>
        <v>1</v>
      </c>
      <c r="F52" s="274"/>
      <c r="G52" s="274"/>
      <c r="H52" s="274"/>
      <c r="I52" s="274"/>
      <c r="J52" s="274"/>
      <c r="K52" s="274"/>
      <c r="L52" s="274"/>
      <c r="M52" s="274"/>
      <c r="N52" s="274"/>
      <c r="O52" s="274"/>
      <c r="P52" s="274"/>
      <c r="Q52" s="274"/>
      <c r="R52" s="274"/>
      <c r="S52" s="149"/>
      <c r="T52" s="142"/>
    </row>
    <row r="53" spans="1:20" ht="15" customHeight="1" x14ac:dyDescent="0.25">
      <c r="B53" s="134"/>
      <c r="F53" s="1"/>
      <c r="G53" s="1"/>
      <c r="H53" s="1"/>
      <c r="I53" s="1"/>
      <c r="J53" s="1"/>
      <c r="K53" s="1"/>
      <c r="L53" s="1"/>
      <c r="M53" s="1"/>
      <c r="N53" s="1"/>
      <c r="O53" s="1"/>
      <c r="P53" s="1"/>
      <c r="Q53" s="1"/>
      <c r="R53" s="1"/>
      <c r="S53" s="149"/>
      <c r="T53" s="142"/>
    </row>
    <row r="54" spans="1:20" ht="15" customHeight="1" x14ac:dyDescent="0.25">
      <c r="B54" s="134"/>
      <c r="F54" s="1"/>
      <c r="G54" s="1"/>
      <c r="H54" s="1"/>
      <c r="I54" s="1"/>
      <c r="J54" s="1"/>
      <c r="K54" s="1"/>
      <c r="L54" s="1"/>
      <c r="M54" s="1"/>
      <c r="N54" s="1"/>
      <c r="O54" s="1"/>
      <c r="P54" s="1"/>
      <c r="Q54" s="1"/>
      <c r="R54" s="1"/>
      <c r="S54" s="149"/>
      <c r="T54" s="142"/>
    </row>
    <row r="55" spans="1:20" ht="15" customHeight="1" x14ac:dyDescent="0.25">
      <c r="B55" s="134"/>
      <c r="C55" s="1"/>
      <c r="D55" s="1"/>
      <c r="E55" s="1"/>
      <c r="F55" s="1"/>
      <c r="G55" s="1"/>
      <c r="H55" s="1"/>
      <c r="I55" s="1"/>
      <c r="J55" s="1"/>
      <c r="K55" s="1"/>
      <c r="L55" s="1"/>
      <c r="M55" s="1"/>
      <c r="N55" s="1"/>
      <c r="O55" s="1"/>
      <c r="P55" s="1"/>
      <c r="Q55" s="1"/>
      <c r="R55" s="1"/>
      <c r="S55" s="149"/>
      <c r="T55" s="142"/>
    </row>
    <row r="56" spans="1:20" ht="15" customHeight="1" thickBot="1" x14ac:dyDescent="0.3">
      <c r="B56" s="135"/>
      <c r="C56" s="136"/>
      <c r="D56" s="136"/>
      <c r="E56" s="136"/>
      <c r="F56" s="136"/>
      <c r="G56" s="136"/>
      <c r="H56" s="136"/>
      <c r="I56" s="136"/>
      <c r="J56" s="136"/>
      <c r="K56" s="136"/>
      <c r="L56" s="136"/>
      <c r="M56" s="136"/>
      <c r="N56" s="136"/>
      <c r="O56" s="136"/>
      <c r="P56" s="136"/>
      <c r="Q56" s="136"/>
      <c r="R56" s="136"/>
      <c r="S56" s="150"/>
      <c r="T56" s="143"/>
    </row>
    <row r="57" spans="1:20" ht="15" customHeight="1" thickBot="1" x14ac:dyDescent="0.3"/>
    <row r="58" spans="1:20" ht="15" customHeight="1" x14ac:dyDescent="0.25">
      <c r="B58" s="299" t="s">
        <v>127</v>
      </c>
      <c r="C58" s="300"/>
      <c r="D58" s="300"/>
      <c r="E58" s="300"/>
      <c r="F58" s="300"/>
      <c r="G58" s="300"/>
      <c r="H58" s="300"/>
      <c r="I58" s="300"/>
      <c r="J58" s="300"/>
      <c r="K58" s="300"/>
      <c r="L58" s="300"/>
      <c r="M58" s="300"/>
      <c r="N58" s="300"/>
      <c r="O58" s="300"/>
      <c r="P58" s="300"/>
      <c r="Q58" s="301"/>
    </row>
    <row r="59" spans="1:20" ht="15" customHeight="1" x14ac:dyDescent="0.25">
      <c r="B59" s="302"/>
      <c r="C59" s="303"/>
      <c r="D59" s="303"/>
      <c r="E59" s="303"/>
      <c r="F59" s="303"/>
      <c r="G59" s="303"/>
      <c r="H59" s="303"/>
      <c r="I59" s="303"/>
      <c r="J59" s="303"/>
      <c r="K59" s="303"/>
      <c r="L59" s="303"/>
      <c r="M59" s="303"/>
      <c r="N59" s="303"/>
      <c r="O59" s="303"/>
      <c r="P59" s="303"/>
      <c r="Q59" s="304"/>
    </row>
    <row r="60" spans="1:20" ht="15" customHeight="1" x14ac:dyDescent="0.25">
      <c r="B60" s="302"/>
      <c r="C60" s="303"/>
      <c r="D60" s="303"/>
      <c r="E60" s="303"/>
      <c r="F60" s="303"/>
      <c r="G60" s="303"/>
      <c r="H60" s="303"/>
      <c r="I60" s="303"/>
      <c r="J60" s="303"/>
      <c r="K60" s="303"/>
      <c r="L60" s="303"/>
      <c r="M60" s="303"/>
      <c r="N60" s="303"/>
      <c r="O60" s="303"/>
      <c r="P60" s="303"/>
      <c r="Q60" s="304"/>
    </row>
    <row r="61" spans="1:20" ht="15" customHeight="1" x14ac:dyDescent="0.25">
      <c r="B61" s="302"/>
      <c r="C61" s="303"/>
      <c r="D61" s="303"/>
      <c r="E61" s="303"/>
      <c r="F61" s="303"/>
      <c r="G61" s="303"/>
      <c r="H61" s="303"/>
      <c r="I61" s="303"/>
      <c r="J61" s="303"/>
      <c r="K61" s="303"/>
      <c r="L61" s="303"/>
      <c r="M61" s="303"/>
      <c r="N61" s="303"/>
      <c r="O61" s="303"/>
      <c r="P61" s="303"/>
      <c r="Q61" s="304"/>
    </row>
    <row r="62" spans="1:20" ht="15" customHeight="1" x14ac:dyDescent="0.25">
      <c r="B62" s="302"/>
      <c r="C62" s="303"/>
      <c r="D62" s="303"/>
      <c r="E62" s="303"/>
      <c r="F62" s="303"/>
      <c r="G62" s="303"/>
      <c r="H62" s="303"/>
      <c r="I62" s="303"/>
      <c r="J62" s="303"/>
      <c r="K62" s="303"/>
      <c r="L62" s="303"/>
      <c r="M62" s="303"/>
      <c r="N62" s="303"/>
      <c r="O62" s="303"/>
      <c r="P62" s="303"/>
      <c r="Q62" s="304"/>
    </row>
    <row r="63" spans="1:20" ht="15" customHeight="1" x14ac:dyDescent="0.25">
      <c r="B63" s="302"/>
      <c r="C63" s="303"/>
      <c r="D63" s="303"/>
      <c r="E63" s="303"/>
      <c r="F63" s="303"/>
      <c r="G63" s="303"/>
      <c r="H63" s="303"/>
      <c r="I63" s="303"/>
      <c r="J63" s="303"/>
      <c r="K63" s="303"/>
      <c r="L63" s="303"/>
      <c r="M63" s="303"/>
      <c r="N63" s="303"/>
      <c r="O63" s="303"/>
      <c r="P63" s="303"/>
      <c r="Q63" s="304"/>
    </row>
    <row r="64" spans="1:20" ht="15" customHeight="1" thickBot="1" x14ac:dyDescent="0.3">
      <c r="B64" s="305"/>
      <c r="C64" s="306"/>
      <c r="D64" s="306"/>
      <c r="E64" s="306"/>
      <c r="F64" s="306"/>
      <c r="G64" s="306"/>
      <c r="H64" s="306"/>
      <c r="I64" s="306"/>
      <c r="J64" s="306"/>
      <c r="K64" s="306"/>
      <c r="L64" s="306"/>
      <c r="M64" s="306"/>
      <c r="N64" s="306"/>
      <c r="O64" s="306"/>
      <c r="P64" s="306"/>
      <c r="Q64" s="307"/>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45:E47">
    <sortCondition descending="1" ref="E45"/>
  </sortState>
  <mergeCells count="3">
    <mergeCell ref="C3:S3"/>
    <mergeCell ref="D5:E5"/>
    <mergeCell ref="B58:Q64"/>
  </mergeCells>
  <pageMargins left="0.7" right="0.7" top="0.75" bottom="0.75" header="0.3" footer="0.3"/>
  <pageSetup scale="37"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1" customWidth="1"/>
    <col min="2" max="2" width="3.85546875" style="11" customWidth="1"/>
    <col min="3" max="3" width="63.5703125" style="1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2:25" s="13" customFormat="1" ht="15.75" thickBot="1" x14ac:dyDescent="0.25">
      <c r="B1" s="11"/>
      <c r="C1" s="11"/>
      <c r="D1" s="11"/>
      <c r="E1" s="11"/>
      <c r="F1" s="11"/>
      <c r="G1" s="11"/>
      <c r="H1" s="11"/>
      <c r="I1" s="11"/>
      <c r="J1" s="11"/>
      <c r="K1" s="11"/>
      <c r="L1" s="11"/>
      <c r="M1" s="11"/>
      <c r="N1" s="11"/>
      <c r="O1" s="11"/>
      <c r="P1" s="11"/>
      <c r="Q1" s="11"/>
      <c r="R1" s="11"/>
      <c r="S1" s="11"/>
      <c r="T1" s="11"/>
      <c r="V1" s="11"/>
      <c r="W1" s="11"/>
      <c r="X1" s="11"/>
      <c r="Y1" s="11"/>
    </row>
    <row r="2" spans="2: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2:25" s="13" customFormat="1" ht="20.25" customHeight="1" x14ac:dyDescent="0.2">
      <c r="B3" s="17"/>
      <c r="C3" s="293" t="s">
        <v>82</v>
      </c>
      <c r="D3" s="293"/>
      <c r="E3" s="293"/>
      <c r="F3" s="293"/>
      <c r="G3" s="293"/>
      <c r="H3" s="293"/>
      <c r="I3" s="293"/>
      <c r="J3" s="293"/>
      <c r="K3" s="293"/>
      <c r="L3" s="293"/>
      <c r="M3" s="293"/>
      <c r="N3" s="294"/>
      <c r="O3" s="11"/>
      <c r="P3" s="11"/>
      <c r="Q3" s="11"/>
      <c r="R3" s="11"/>
      <c r="S3" s="11"/>
      <c r="T3" s="11"/>
      <c r="V3" s="11"/>
      <c r="W3" s="11"/>
      <c r="X3" s="11"/>
      <c r="Y3" s="11"/>
    </row>
    <row r="4" spans="2:25" s="13" customFormat="1" ht="15.75" x14ac:dyDescent="0.25">
      <c r="B4" s="17"/>
      <c r="C4" s="275" t="s">
        <v>253</v>
      </c>
      <c r="D4" s="274"/>
      <c r="E4" s="274"/>
      <c r="F4" s="19"/>
      <c r="G4" s="19"/>
      <c r="H4" s="19"/>
      <c r="I4" s="19"/>
      <c r="J4" s="19"/>
      <c r="K4" s="19"/>
      <c r="L4" s="19"/>
      <c r="M4" s="19"/>
      <c r="N4" s="35"/>
      <c r="O4" s="11"/>
      <c r="P4" s="11"/>
      <c r="Q4" s="11"/>
      <c r="R4" s="11"/>
      <c r="S4" s="11"/>
      <c r="T4" s="11"/>
      <c r="V4" s="11"/>
      <c r="W4" s="11"/>
      <c r="X4" s="11"/>
      <c r="Y4" s="11"/>
    </row>
    <row r="5" spans="2:25" s="13" customFormat="1" ht="20.25" customHeight="1" x14ac:dyDescent="0.2">
      <c r="B5" s="17"/>
      <c r="C5" s="2" t="s">
        <v>254</v>
      </c>
      <c r="D5" s="311" t="s">
        <v>268</v>
      </c>
      <c r="E5" s="311"/>
      <c r="F5" s="19"/>
      <c r="G5" s="19"/>
      <c r="H5" s="19"/>
      <c r="I5" s="19"/>
      <c r="J5" s="19"/>
      <c r="K5" s="19"/>
      <c r="L5" s="19"/>
      <c r="M5" s="19"/>
      <c r="N5" s="35"/>
      <c r="O5" s="11"/>
      <c r="P5" s="11"/>
      <c r="Q5" s="11"/>
      <c r="R5" s="11"/>
      <c r="S5" s="11"/>
      <c r="T5" s="11"/>
      <c r="V5" s="11"/>
      <c r="W5" s="11"/>
      <c r="X5" s="11"/>
      <c r="Y5" s="11"/>
    </row>
    <row r="6" spans="2: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2:25" s="13" customFormat="1" ht="32.25" customHeight="1" x14ac:dyDescent="0.2">
      <c r="B7" s="17"/>
      <c r="C7" s="21" t="s">
        <v>51</v>
      </c>
      <c r="D7" s="22" t="s">
        <v>52</v>
      </c>
      <c r="E7" s="22" t="s">
        <v>53</v>
      </c>
      <c r="F7" s="19"/>
      <c r="G7" s="314" t="s">
        <v>54</v>
      </c>
      <c r="H7" s="314"/>
      <c r="I7" s="314"/>
      <c r="J7" s="314"/>
      <c r="K7" s="314"/>
      <c r="L7" s="314"/>
      <c r="M7" s="314"/>
      <c r="N7" s="315"/>
      <c r="O7" s="11"/>
      <c r="P7" s="11"/>
      <c r="Q7" s="11"/>
      <c r="R7" s="11"/>
      <c r="S7" s="11"/>
      <c r="T7" s="11"/>
      <c r="V7" s="11"/>
      <c r="W7" s="11"/>
      <c r="X7" s="11"/>
      <c r="Y7" s="11"/>
    </row>
    <row r="8" spans="2:25" s="13" customFormat="1" x14ac:dyDescent="0.2">
      <c r="B8" s="17"/>
      <c r="C8" s="283" t="s">
        <v>37</v>
      </c>
      <c r="D8" s="105" t="s">
        <v>3</v>
      </c>
      <c r="E8" s="117">
        <v>1.9616000000000001E-2</v>
      </c>
      <c r="F8" s="26"/>
      <c r="G8" s="19" t="s">
        <v>55</v>
      </c>
      <c r="H8" s="120">
        <v>1</v>
      </c>
      <c r="I8" s="183">
        <f>H8/SUM($H$8:$H$10)</f>
        <v>1</v>
      </c>
      <c r="J8" s="19"/>
      <c r="K8" s="120"/>
      <c r="L8" s="19"/>
      <c r="M8" s="19"/>
      <c r="N8" s="35"/>
      <c r="O8" s="11"/>
      <c r="P8" s="11"/>
      <c r="Q8" s="11"/>
      <c r="R8" s="11"/>
      <c r="S8" s="168"/>
      <c r="T8" s="11"/>
      <c r="V8" s="11"/>
      <c r="W8" s="11"/>
      <c r="X8" s="11"/>
      <c r="Y8" s="11"/>
    </row>
    <row r="9" spans="2:25" s="13" customFormat="1" ht="15.75" customHeight="1" x14ac:dyDescent="0.2">
      <c r="B9" s="17"/>
      <c r="C9" s="284" t="s">
        <v>33</v>
      </c>
      <c r="D9" s="23" t="s">
        <v>3</v>
      </c>
      <c r="E9" s="118">
        <v>1.6910999999999999E-2</v>
      </c>
      <c r="F9" s="26"/>
      <c r="G9" s="19" t="s">
        <v>70</v>
      </c>
      <c r="H9" s="184">
        <v>0</v>
      </c>
      <c r="I9" s="183">
        <f>H9/SUM($H$8:$H$10)</f>
        <v>0</v>
      </c>
      <c r="J9" s="19" t="s">
        <v>164</v>
      </c>
      <c r="K9" s="120">
        <f>E23+E25</f>
        <v>0.20685799999999999</v>
      </c>
      <c r="L9" s="19"/>
      <c r="M9" s="19"/>
      <c r="N9" s="35"/>
      <c r="O9" s="11"/>
      <c r="P9" s="11"/>
      <c r="Q9" s="11"/>
      <c r="R9" s="11"/>
      <c r="S9" s="168"/>
      <c r="T9" s="11"/>
      <c r="V9" s="11"/>
      <c r="W9" s="11"/>
      <c r="X9" s="11"/>
      <c r="Y9" s="11"/>
    </row>
    <row r="10" spans="2:25" s="13" customFormat="1" x14ac:dyDescent="0.2">
      <c r="B10" s="17"/>
      <c r="C10" s="284" t="s">
        <v>38</v>
      </c>
      <c r="D10" s="23" t="s">
        <v>187</v>
      </c>
      <c r="E10" s="118">
        <v>1.3944000000000002E-2</v>
      </c>
      <c r="F10" s="42"/>
      <c r="G10" s="19" t="s">
        <v>56</v>
      </c>
      <c r="H10" s="184">
        <v>0</v>
      </c>
      <c r="I10" s="183">
        <f>H10/SUM($H$8:$H$10)</f>
        <v>0</v>
      </c>
      <c r="J10" s="19" t="s">
        <v>23</v>
      </c>
      <c r="K10" s="120">
        <f>E35</f>
        <v>0.17048000000000002</v>
      </c>
      <c r="L10" s="19"/>
      <c r="M10" s="19"/>
      <c r="N10" s="35"/>
      <c r="O10" s="11"/>
      <c r="P10" s="11"/>
      <c r="Q10" s="11"/>
      <c r="R10" s="11"/>
      <c r="S10" s="168"/>
      <c r="T10" s="11"/>
      <c r="V10" s="11"/>
      <c r="W10" s="11"/>
      <c r="X10" s="11"/>
      <c r="Y10" s="11"/>
    </row>
    <row r="11" spans="2:25" s="13" customFormat="1" x14ac:dyDescent="0.2">
      <c r="B11" s="17"/>
      <c r="C11" s="284" t="s">
        <v>122</v>
      </c>
      <c r="D11" s="23" t="s">
        <v>3</v>
      </c>
      <c r="E11" s="118">
        <v>1.3324000000000001E-2</v>
      </c>
      <c r="F11" s="26"/>
      <c r="G11" s="19"/>
      <c r="H11" s="19"/>
      <c r="I11" s="19"/>
      <c r="J11" s="19" t="s">
        <v>74</v>
      </c>
      <c r="K11" s="120">
        <f>E29</f>
        <v>0.51717400000000002</v>
      </c>
      <c r="L11" s="19"/>
      <c r="M11" s="19"/>
      <c r="N11" s="35"/>
      <c r="O11" s="11"/>
      <c r="P11" s="11"/>
      <c r="Q11" s="11"/>
      <c r="R11" s="11"/>
      <c r="S11" s="168"/>
      <c r="T11" s="11"/>
      <c r="V11" s="11"/>
      <c r="W11" s="11"/>
      <c r="X11" s="11"/>
      <c r="Y11" s="11"/>
    </row>
    <row r="12" spans="2:25" s="13" customFormat="1" ht="15.75" customHeight="1" x14ac:dyDescent="0.2">
      <c r="B12" s="17"/>
      <c r="C12" s="284" t="s">
        <v>100</v>
      </c>
      <c r="D12" s="23" t="s">
        <v>14</v>
      </c>
      <c r="E12" s="118">
        <v>1.3323999999999999E-2</v>
      </c>
      <c r="F12" s="42"/>
      <c r="G12" s="19"/>
      <c r="H12" s="120"/>
      <c r="I12" s="19"/>
      <c r="J12" s="19" t="s">
        <v>49</v>
      </c>
      <c r="K12" s="120">
        <f>E33</f>
        <v>2.938E-2</v>
      </c>
      <c r="L12" s="19"/>
      <c r="M12" s="19"/>
      <c r="N12" s="35"/>
      <c r="O12" s="11"/>
      <c r="P12" s="11"/>
      <c r="Q12" s="11"/>
      <c r="R12" s="11"/>
      <c r="S12" s="168"/>
      <c r="T12" s="11"/>
      <c r="V12" s="11"/>
      <c r="W12" s="11"/>
      <c r="X12" s="11"/>
      <c r="Y12" s="11"/>
    </row>
    <row r="13" spans="2:25" s="13" customFormat="1" x14ac:dyDescent="0.2">
      <c r="B13" s="17"/>
      <c r="C13" s="284" t="s">
        <v>32</v>
      </c>
      <c r="D13" s="23" t="s">
        <v>187</v>
      </c>
      <c r="E13" s="118">
        <v>1.2619999999999999E-2</v>
      </c>
      <c r="F13" s="120"/>
      <c r="G13" s="19"/>
      <c r="H13" s="19"/>
      <c r="I13" s="19"/>
      <c r="J13" s="19" t="s">
        <v>143</v>
      </c>
      <c r="K13" s="120">
        <f>E27</f>
        <v>7.6107999999999995E-2</v>
      </c>
      <c r="L13" s="19"/>
      <c r="M13" s="19"/>
      <c r="N13" s="35"/>
      <c r="O13" s="11"/>
      <c r="P13" s="11"/>
      <c r="Q13" s="11"/>
      <c r="R13" s="11"/>
      <c r="S13" s="168"/>
      <c r="T13" s="11"/>
      <c r="V13" s="11"/>
      <c r="W13" s="11"/>
      <c r="X13" s="11"/>
      <c r="Y13" s="11"/>
    </row>
    <row r="14" spans="2:25" s="13" customFormat="1" x14ac:dyDescent="0.2">
      <c r="B14" s="17"/>
      <c r="C14" s="284" t="s">
        <v>108</v>
      </c>
      <c r="D14" s="23" t="s">
        <v>193</v>
      </c>
      <c r="E14" s="118">
        <v>8.2160000000000011E-3</v>
      </c>
      <c r="F14" s="120"/>
      <c r="G14" s="19"/>
      <c r="H14" s="19"/>
      <c r="I14" s="19"/>
      <c r="J14" s="19"/>
      <c r="K14" s="120"/>
      <c r="L14" s="19"/>
      <c r="M14" s="19"/>
      <c r="N14" s="35"/>
      <c r="O14" s="11"/>
      <c r="P14" s="11"/>
      <c r="Q14" s="11"/>
      <c r="R14" s="11"/>
      <c r="S14" s="168"/>
      <c r="T14" s="11"/>
      <c r="V14" s="11"/>
      <c r="W14" s="11"/>
      <c r="X14" s="11"/>
      <c r="Y14" s="11"/>
    </row>
    <row r="15" spans="2:25" s="13" customFormat="1" x14ac:dyDescent="0.2">
      <c r="B15" s="17"/>
      <c r="C15" s="284" t="s">
        <v>138</v>
      </c>
      <c r="D15" s="23" t="s">
        <v>30</v>
      </c>
      <c r="E15" s="118">
        <v>7.9979999999999999E-3</v>
      </c>
      <c r="F15" s="19"/>
      <c r="G15" s="19"/>
      <c r="H15" s="19"/>
      <c r="I15" s="19"/>
      <c r="L15" s="19"/>
      <c r="M15" s="19"/>
      <c r="N15" s="35"/>
      <c r="O15" s="11"/>
      <c r="P15" s="11"/>
      <c r="Q15" s="11"/>
      <c r="R15" s="11"/>
      <c r="S15" s="168"/>
      <c r="T15" s="11"/>
      <c r="V15" s="11"/>
      <c r="W15" s="11"/>
      <c r="X15" s="11"/>
      <c r="Y15" s="11"/>
    </row>
    <row r="16" spans="2:25" s="13" customFormat="1" x14ac:dyDescent="0.2">
      <c r="B16" s="17"/>
      <c r="C16" s="284" t="s">
        <v>163</v>
      </c>
      <c r="D16" s="23" t="s">
        <v>201</v>
      </c>
      <c r="E16" s="118">
        <v>7.8560000000000001E-3</v>
      </c>
      <c r="F16" s="19"/>
      <c r="G16" s="19"/>
      <c r="H16" s="19"/>
      <c r="I16" s="19"/>
      <c r="J16" s="19"/>
      <c r="K16" s="19"/>
      <c r="L16" s="19"/>
      <c r="M16" s="19"/>
      <c r="N16" s="35"/>
      <c r="O16" s="11"/>
      <c r="P16" s="11"/>
      <c r="Q16" s="11"/>
      <c r="R16" s="11"/>
      <c r="S16" s="168"/>
      <c r="T16" s="11"/>
      <c r="V16" s="11"/>
      <c r="W16" s="11"/>
      <c r="X16" s="11"/>
      <c r="Y16" s="11"/>
    </row>
    <row r="17" spans="2:19" x14ac:dyDescent="0.2">
      <c r="B17" s="17"/>
      <c r="C17" s="285" t="s">
        <v>124</v>
      </c>
      <c r="D17" s="107" t="s">
        <v>4</v>
      </c>
      <c r="E17" s="118">
        <v>7.3490000000000014E-3</v>
      </c>
      <c r="F17" s="19"/>
      <c r="G17" s="19"/>
      <c r="H17" s="19"/>
      <c r="I17" s="19"/>
      <c r="J17" s="19"/>
      <c r="K17" s="19"/>
      <c r="L17" s="19"/>
      <c r="M17" s="19"/>
      <c r="N17" s="35"/>
      <c r="S17" s="168"/>
    </row>
    <row r="18" spans="2:19" x14ac:dyDescent="0.2">
      <c r="B18" s="17"/>
      <c r="C18" s="284" t="s">
        <v>202</v>
      </c>
      <c r="D18" s="23" t="s">
        <v>194</v>
      </c>
      <c r="E18" s="118">
        <v>7.0709999999999974E-3</v>
      </c>
      <c r="F18" s="19"/>
      <c r="G18" s="19"/>
      <c r="H18" s="19"/>
      <c r="I18" s="19"/>
      <c r="J18" s="19"/>
      <c r="K18" s="19"/>
      <c r="L18" s="19"/>
      <c r="M18" s="19"/>
      <c r="N18" s="35"/>
      <c r="S18" s="168"/>
    </row>
    <row r="19" spans="2:19" x14ac:dyDescent="0.2">
      <c r="B19" s="17"/>
      <c r="C19" s="284" t="s">
        <v>84</v>
      </c>
      <c r="D19" s="23" t="s">
        <v>129</v>
      </c>
      <c r="E19" s="118">
        <v>7.0099999999999997E-3</v>
      </c>
      <c r="F19" s="19"/>
      <c r="G19" s="19"/>
      <c r="H19" s="19"/>
      <c r="I19" s="19"/>
      <c r="J19" s="19"/>
      <c r="K19" s="19"/>
      <c r="L19" s="19"/>
      <c r="M19" s="19"/>
      <c r="N19" s="35"/>
      <c r="S19" s="168"/>
    </row>
    <row r="20" spans="2:19" ht="15.75" customHeight="1" x14ac:dyDescent="0.25">
      <c r="B20" s="17"/>
      <c r="C20" s="284" t="s">
        <v>123</v>
      </c>
      <c r="D20" s="23" t="s">
        <v>194</v>
      </c>
      <c r="E20" s="118">
        <v>6.6579999999999973E-3</v>
      </c>
      <c r="F20" s="19"/>
      <c r="G20" s="316" t="s">
        <v>174</v>
      </c>
      <c r="H20" s="317"/>
      <c r="I20" s="317"/>
      <c r="J20" s="317"/>
      <c r="K20" s="317"/>
      <c r="L20" s="281">
        <v>57</v>
      </c>
      <c r="M20" s="282"/>
      <c r="N20" s="268"/>
      <c r="P20" s="165"/>
      <c r="S20" s="168"/>
    </row>
    <row r="21" spans="2:19" ht="15.75" x14ac:dyDescent="0.25">
      <c r="B21" s="17"/>
      <c r="C21" s="284" t="s">
        <v>150</v>
      </c>
      <c r="D21" s="23" t="s">
        <v>194</v>
      </c>
      <c r="E21" s="118">
        <v>6.496E-3</v>
      </c>
      <c r="F21" s="19"/>
      <c r="G21" s="19"/>
      <c r="H21" s="19"/>
      <c r="I21" s="19"/>
      <c r="J21" s="19"/>
      <c r="K21" s="19"/>
      <c r="L21" s="19"/>
      <c r="M21" s="19"/>
      <c r="N21" s="35"/>
      <c r="P21" s="165"/>
      <c r="S21" s="168"/>
    </row>
    <row r="22" spans="2:19" ht="15.75" x14ac:dyDescent="0.25">
      <c r="B22" s="17"/>
      <c r="C22" s="284" t="s">
        <v>102</v>
      </c>
      <c r="D22" s="23" t="s">
        <v>12</v>
      </c>
      <c r="E22" s="118">
        <v>6.489E-3</v>
      </c>
      <c r="F22" s="19"/>
      <c r="G22" s="120"/>
      <c r="H22" s="120"/>
      <c r="I22" s="120"/>
      <c r="J22" s="19"/>
      <c r="K22" s="120"/>
      <c r="L22" s="19"/>
      <c r="M22" s="19"/>
      <c r="N22" s="35"/>
      <c r="P22" s="165"/>
      <c r="S22" s="168"/>
    </row>
    <row r="23" spans="2:19" ht="15.75" customHeight="1" x14ac:dyDescent="0.25">
      <c r="B23" s="17"/>
      <c r="C23" s="27" t="s">
        <v>140</v>
      </c>
      <c r="D23" s="27"/>
      <c r="E23" s="59">
        <f>SUM(E8:E22)</f>
        <v>0.15488199999999999</v>
      </c>
      <c r="F23" s="19"/>
      <c r="G23" s="314" t="s">
        <v>60</v>
      </c>
      <c r="H23" s="314"/>
      <c r="I23" s="314"/>
      <c r="J23" s="314"/>
      <c r="K23" s="314"/>
      <c r="L23" s="314"/>
      <c r="M23" s="314"/>
      <c r="N23" s="315"/>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141</v>
      </c>
      <c r="D25" s="27"/>
      <c r="E25" s="59">
        <v>5.1975999999999994E-2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31.5" x14ac:dyDescent="0.25">
      <c r="B27" s="17"/>
      <c r="C27" s="27" t="s">
        <v>222</v>
      </c>
      <c r="D27" s="174"/>
      <c r="E27" s="59">
        <v>7.6107999999999995E-2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72</v>
      </c>
      <c r="D29" s="27"/>
      <c r="E29" s="59">
        <v>0.51717400000000002</v>
      </c>
      <c r="F29" s="19"/>
      <c r="G29" s="19"/>
      <c r="H29" s="19"/>
      <c r="I29" s="19"/>
      <c r="J29" s="19"/>
      <c r="K29" s="19"/>
      <c r="L29" s="19"/>
      <c r="M29" s="19"/>
      <c r="N29" s="35"/>
      <c r="P29" s="165"/>
      <c r="S29" s="168"/>
    </row>
    <row r="30" spans="2:19" ht="15.75" x14ac:dyDescent="0.25">
      <c r="B30" s="17"/>
      <c r="C30" s="244"/>
      <c r="D30" s="144"/>
      <c r="E30" s="247"/>
      <c r="F30" s="19"/>
      <c r="G30" s="19"/>
      <c r="H30" s="19"/>
      <c r="I30" s="19"/>
      <c r="J30" s="19"/>
      <c r="K30" s="19"/>
      <c r="L30" s="19"/>
      <c r="M30" s="19"/>
      <c r="N30" s="35"/>
      <c r="P30" s="165"/>
      <c r="S30" s="168"/>
    </row>
    <row r="31" spans="2:19" ht="15.75" x14ac:dyDescent="0.25">
      <c r="B31" s="17"/>
      <c r="C31" s="244" t="s">
        <v>97</v>
      </c>
      <c r="D31" s="144" t="s">
        <v>80</v>
      </c>
      <c r="E31" s="286">
        <v>2.9378000000000001E-2</v>
      </c>
      <c r="F31" s="19"/>
      <c r="G31" s="19"/>
      <c r="H31" s="19"/>
      <c r="I31" s="19"/>
      <c r="J31" s="19"/>
      <c r="K31" s="19"/>
      <c r="L31" s="19"/>
      <c r="M31" s="19"/>
      <c r="N31" s="35"/>
      <c r="P31" s="165"/>
      <c r="S31" s="168"/>
    </row>
    <row r="32" spans="2:19" ht="15.75" x14ac:dyDescent="0.25">
      <c r="B32" s="17"/>
      <c r="C32" s="144" t="s">
        <v>137</v>
      </c>
      <c r="D32" s="144" t="s">
        <v>80</v>
      </c>
      <c r="E32" s="189">
        <v>1.9999999999999999E-6</v>
      </c>
      <c r="F32" s="19"/>
      <c r="G32" s="19"/>
      <c r="H32" s="19"/>
      <c r="I32" s="19"/>
      <c r="J32" s="19"/>
      <c r="K32" s="19"/>
      <c r="L32" s="19"/>
      <c r="M32" s="19"/>
      <c r="N32" s="35"/>
      <c r="P32" s="165"/>
      <c r="S32" s="168"/>
    </row>
    <row r="33" spans="1:42" ht="15" customHeight="1" x14ac:dyDescent="0.25">
      <c r="B33" s="17"/>
      <c r="C33" s="27" t="s">
        <v>58</v>
      </c>
      <c r="D33" s="27"/>
      <c r="E33" s="59">
        <f>E31+E32</f>
        <v>2.938E-2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0.17048000000000002</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1</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45"/>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46"/>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9" t="s">
        <v>127</v>
      </c>
      <c r="C71" s="300"/>
      <c r="D71" s="300"/>
      <c r="E71" s="300"/>
      <c r="F71" s="300"/>
      <c r="G71" s="300"/>
      <c r="H71" s="300"/>
      <c r="I71" s="300"/>
      <c r="J71" s="300"/>
      <c r="K71" s="300"/>
      <c r="L71" s="300"/>
      <c r="M71" s="300"/>
      <c r="N71" s="300"/>
      <c r="O71" s="300"/>
      <c r="P71" s="301"/>
      <c r="Q71" s="11"/>
      <c r="R71" s="11"/>
      <c r="S71" s="168"/>
      <c r="T71" s="11"/>
      <c r="V71" s="11"/>
      <c r="W71" s="11"/>
      <c r="X71" s="11"/>
      <c r="Y71" s="11"/>
    </row>
    <row r="72" spans="1:25" s="13" customFormat="1" x14ac:dyDescent="0.2">
      <c r="A72" s="11"/>
      <c r="B72" s="302"/>
      <c r="C72" s="303"/>
      <c r="D72" s="303"/>
      <c r="E72" s="303"/>
      <c r="F72" s="303"/>
      <c r="G72" s="303"/>
      <c r="H72" s="303"/>
      <c r="I72" s="303"/>
      <c r="J72" s="303"/>
      <c r="K72" s="303"/>
      <c r="L72" s="303"/>
      <c r="M72" s="303"/>
      <c r="N72" s="303"/>
      <c r="O72" s="303"/>
      <c r="P72" s="304"/>
      <c r="Q72" s="11"/>
      <c r="R72" s="11"/>
      <c r="S72" s="168"/>
      <c r="T72" s="11"/>
      <c r="V72" s="11"/>
      <c r="W72" s="11"/>
      <c r="X72" s="11"/>
      <c r="Y72" s="11"/>
    </row>
    <row r="73" spans="1:25" s="13" customFormat="1" x14ac:dyDescent="0.2">
      <c r="A73" s="11"/>
      <c r="B73" s="302"/>
      <c r="C73" s="303"/>
      <c r="D73" s="303"/>
      <c r="E73" s="303"/>
      <c r="F73" s="303"/>
      <c r="G73" s="303"/>
      <c r="H73" s="303"/>
      <c r="I73" s="303"/>
      <c r="J73" s="303"/>
      <c r="K73" s="303"/>
      <c r="L73" s="303"/>
      <c r="M73" s="303"/>
      <c r="N73" s="303"/>
      <c r="O73" s="303"/>
      <c r="P73" s="304"/>
      <c r="Q73" s="11"/>
      <c r="R73" s="11"/>
      <c r="S73" s="168"/>
      <c r="T73" s="11"/>
      <c r="V73" s="11"/>
      <c r="W73" s="11"/>
      <c r="X73" s="11"/>
      <c r="Y73" s="11"/>
    </row>
    <row r="74" spans="1:25" s="13" customFormat="1" x14ac:dyDescent="0.2">
      <c r="A74" s="11"/>
      <c r="B74" s="302"/>
      <c r="C74" s="303"/>
      <c r="D74" s="303"/>
      <c r="E74" s="303"/>
      <c r="F74" s="303"/>
      <c r="G74" s="303"/>
      <c r="H74" s="303"/>
      <c r="I74" s="303"/>
      <c r="J74" s="303"/>
      <c r="K74" s="303"/>
      <c r="L74" s="303"/>
      <c r="M74" s="303"/>
      <c r="N74" s="303"/>
      <c r="O74" s="303"/>
      <c r="P74" s="304"/>
      <c r="Q74" s="11"/>
      <c r="R74" s="11"/>
      <c r="S74" s="168"/>
      <c r="T74" s="11"/>
      <c r="V74" s="11"/>
      <c r="W74" s="11"/>
      <c r="X74" s="11"/>
      <c r="Y74" s="11"/>
    </row>
    <row r="75" spans="1:25" s="13" customFormat="1" x14ac:dyDescent="0.2">
      <c r="A75" s="11"/>
      <c r="B75" s="302"/>
      <c r="C75" s="303"/>
      <c r="D75" s="303"/>
      <c r="E75" s="303"/>
      <c r="F75" s="303"/>
      <c r="G75" s="303"/>
      <c r="H75" s="303"/>
      <c r="I75" s="303"/>
      <c r="J75" s="303"/>
      <c r="K75" s="303"/>
      <c r="L75" s="303"/>
      <c r="M75" s="303"/>
      <c r="N75" s="303"/>
      <c r="O75" s="303"/>
      <c r="P75" s="304"/>
      <c r="Q75" s="11"/>
      <c r="R75" s="11"/>
      <c r="S75" s="168"/>
      <c r="T75" s="11"/>
      <c r="V75" s="11"/>
      <c r="W75" s="11"/>
      <c r="X75" s="11"/>
      <c r="Y75" s="11"/>
    </row>
    <row r="76" spans="1:25" s="13" customFormat="1" x14ac:dyDescent="0.2">
      <c r="A76" s="11"/>
      <c r="B76" s="302"/>
      <c r="C76" s="303"/>
      <c r="D76" s="303"/>
      <c r="E76" s="303"/>
      <c r="F76" s="303"/>
      <c r="G76" s="303"/>
      <c r="H76" s="303"/>
      <c r="I76" s="303"/>
      <c r="J76" s="303"/>
      <c r="K76" s="303"/>
      <c r="L76" s="303"/>
      <c r="M76" s="303"/>
      <c r="N76" s="303"/>
      <c r="O76" s="303"/>
      <c r="P76" s="304"/>
      <c r="Q76" s="11"/>
      <c r="R76" s="11"/>
      <c r="S76" s="168"/>
      <c r="T76" s="11"/>
      <c r="V76" s="11"/>
      <c r="W76" s="11"/>
      <c r="X76" s="11"/>
      <c r="Y76" s="11"/>
    </row>
    <row r="77" spans="1:25" s="13" customFormat="1" ht="15.75" thickBot="1" x14ac:dyDescent="0.25">
      <c r="A77" s="11"/>
      <c r="B77" s="305"/>
      <c r="C77" s="306"/>
      <c r="D77" s="306"/>
      <c r="E77" s="306"/>
      <c r="F77" s="306"/>
      <c r="G77" s="306"/>
      <c r="H77" s="306"/>
      <c r="I77" s="306"/>
      <c r="J77" s="306"/>
      <c r="K77" s="306"/>
      <c r="L77" s="306"/>
      <c r="M77" s="306"/>
      <c r="N77" s="306"/>
      <c r="O77" s="306"/>
      <c r="P77" s="307"/>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3"/>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18" ht="15.75" thickBot="1" x14ac:dyDescent="0.25"/>
    <row r="2" spans="2:18" x14ac:dyDescent="0.2">
      <c r="B2" s="14"/>
      <c r="C2" s="15"/>
      <c r="D2" s="15"/>
      <c r="E2" s="15"/>
      <c r="F2" s="15"/>
      <c r="G2" s="187"/>
      <c r="H2" s="187"/>
      <c r="I2" s="187"/>
      <c r="J2" s="187"/>
      <c r="K2" s="187"/>
      <c r="L2" s="15"/>
      <c r="M2" s="15"/>
      <c r="N2" s="34"/>
    </row>
    <row r="3" spans="2:18" ht="20.25" customHeight="1" x14ac:dyDescent="0.2">
      <c r="B3" s="17"/>
      <c r="C3" s="293" t="s">
        <v>90</v>
      </c>
      <c r="D3" s="293"/>
      <c r="E3" s="293"/>
      <c r="F3" s="293"/>
      <c r="G3" s="293"/>
      <c r="H3" s="293"/>
      <c r="I3" s="293"/>
      <c r="J3" s="293"/>
      <c r="K3" s="293"/>
      <c r="L3" s="293"/>
      <c r="M3" s="293"/>
      <c r="N3" s="294"/>
    </row>
    <row r="4" spans="2:18" ht="15.75" x14ac:dyDescent="0.25">
      <c r="B4" s="17"/>
      <c r="C4" s="275" t="s">
        <v>253</v>
      </c>
      <c r="D4" s="1"/>
      <c r="E4" s="1"/>
      <c r="F4" s="19"/>
      <c r="G4" s="44"/>
      <c r="H4" s="44"/>
      <c r="I4" s="44"/>
      <c r="J4" s="44"/>
      <c r="K4" s="44"/>
      <c r="L4" s="19"/>
      <c r="M4" s="19"/>
      <c r="N4" s="35"/>
    </row>
    <row r="5" spans="2:18" ht="20.25" customHeight="1" x14ac:dyDescent="0.2">
      <c r="B5" s="17"/>
      <c r="C5" s="2" t="s">
        <v>254</v>
      </c>
      <c r="D5" s="311" t="s">
        <v>269</v>
      </c>
      <c r="E5" s="311"/>
      <c r="F5" s="19"/>
      <c r="G5" s="44"/>
      <c r="H5" s="44"/>
      <c r="I5" s="44"/>
      <c r="J5" s="44"/>
      <c r="K5" s="44"/>
      <c r="L5" s="19"/>
      <c r="M5" s="19"/>
      <c r="N5" s="35"/>
    </row>
    <row r="6" spans="2:18" ht="15.75" x14ac:dyDescent="0.25">
      <c r="B6" s="17"/>
      <c r="C6" s="1"/>
      <c r="D6" s="1"/>
      <c r="E6" s="1"/>
      <c r="F6" s="19"/>
      <c r="G6" s="44"/>
      <c r="H6" s="44"/>
      <c r="I6" s="44"/>
      <c r="J6" s="44"/>
      <c r="K6" s="44"/>
      <c r="L6" s="19"/>
      <c r="M6" s="19"/>
      <c r="N6" s="35"/>
    </row>
    <row r="7" spans="2:18" ht="32.25" customHeight="1" x14ac:dyDescent="0.2">
      <c r="B7" s="17"/>
      <c r="C7" s="21" t="s">
        <v>51</v>
      </c>
      <c r="D7" s="21" t="s">
        <v>52</v>
      </c>
      <c r="E7" s="21" t="s">
        <v>53</v>
      </c>
      <c r="F7" s="19"/>
      <c r="G7" s="295" t="s">
        <v>54</v>
      </c>
      <c r="H7" s="295"/>
      <c r="I7" s="295"/>
      <c r="J7" s="295"/>
      <c r="K7" s="295"/>
      <c r="L7" s="295"/>
      <c r="M7" s="295"/>
      <c r="N7" s="296"/>
    </row>
    <row r="8" spans="2:18" x14ac:dyDescent="0.2">
      <c r="B8" s="17"/>
      <c r="C8" s="83" t="s">
        <v>37</v>
      </c>
      <c r="D8" s="85" t="s">
        <v>3</v>
      </c>
      <c r="E8" s="103">
        <v>1.6324000000000002E-2</v>
      </c>
      <c r="F8" s="26"/>
      <c r="G8" s="44" t="s">
        <v>55</v>
      </c>
      <c r="H8" s="151">
        <v>1</v>
      </c>
      <c r="I8" s="193">
        <f>H8/SUM($H$8:$H$10)</f>
        <v>1</v>
      </c>
      <c r="J8" s="44"/>
      <c r="K8" s="151"/>
      <c r="L8" s="26"/>
      <c r="M8" s="44"/>
      <c r="N8" s="43"/>
      <c r="R8" s="80"/>
    </row>
    <row r="9" spans="2:18" ht="15.75" customHeight="1" x14ac:dyDescent="0.2">
      <c r="B9" s="17"/>
      <c r="C9" s="84" t="s">
        <v>124</v>
      </c>
      <c r="D9" s="86" t="s">
        <v>4</v>
      </c>
      <c r="E9" s="104">
        <v>1.5328E-2</v>
      </c>
      <c r="F9" s="26"/>
      <c r="G9" s="44" t="s">
        <v>70</v>
      </c>
      <c r="H9" s="194">
        <v>0</v>
      </c>
      <c r="I9" s="193">
        <f t="shared" ref="I9:I10" si="0">H9/SUM($H$8:$H$10)</f>
        <v>0</v>
      </c>
      <c r="J9" s="44" t="s">
        <v>49</v>
      </c>
      <c r="K9" s="151">
        <f>E36</f>
        <v>6.1259000000000001E-2</v>
      </c>
      <c r="L9" s="26"/>
      <c r="M9" s="44"/>
      <c r="N9" s="43"/>
      <c r="R9" s="80"/>
    </row>
    <row r="10" spans="2:18" x14ac:dyDescent="0.2">
      <c r="B10" s="17"/>
      <c r="C10" s="84" t="s">
        <v>122</v>
      </c>
      <c r="D10" s="86" t="s">
        <v>3</v>
      </c>
      <c r="E10" s="104">
        <v>1.4897000000000001E-2</v>
      </c>
      <c r="F10" s="42"/>
      <c r="G10" s="44" t="s">
        <v>56</v>
      </c>
      <c r="H10" s="194">
        <v>0</v>
      </c>
      <c r="I10" s="193">
        <f t="shared" si="0"/>
        <v>0</v>
      </c>
      <c r="J10" s="44" t="s">
        <v>160</v>
      </c>
      <c r="K10" s="151">
        <f>E24+E29+E27</f>
        <v>0.237121</v>
      </c>
      <c r="L10" s="26"/>
      <c r="M10" s="44"/>
      <c r="N10" s="43"/>
      <c r="R10" s="80"/>
    </row>
    <row r="11" spans="2:18" x14ac:dyDescent="0.2">
      <c r="B11" s="17"/>
      <c r="C11" s="84" t="s">
        <v>38</v>
      </c>
      <c r="D11" s="86" t="s">
        <v>187</v>
      </c>
      <c r="E11" s="104">
        <v>1.4432E-2</v>
      </c>
      <c r="F11" s="26"/>
      <c r="G11" s="44"/>
      <c r="H11" s="44"/>
      <c r="I11" s="44"/>
      <c r="J11" s="44" t="s">
        <v>79</v>
      </c>
      <c r="K11" s="151" t="e">
        <f>#REF!</f>
        <v>#REF!</v>
      </c>
      <c r="L11" s="26"/>
      <c r="M11" s="44"/>
      <c r="N11" s="43"/>
      <c r="R11" s="80"/>
    </row>
    <row r="12" spans="2:18" ht="15.75" customHeight="1" x14ac:dyDescent="0.2">
      <c r="B12" s="17"/>
      <c r="C12" s="84" t="s">
        <v>36</v>
      </c>
      <c r="D12" s="86" t="s">
        <v>6</v>
      </c>
      <c r="E12" s="104">
        <v>1.3899E-2</v>
      </c>
      <c r="F12" s="42"/>
      <c r="G12" s="44"/>
      <c r="H12" s="151"/>
      <c r="I12" s="44"/>
      <c r="J12" s="44" t="s">
        <v>23</v>
      </c>
      <c r="K12" s="151">
        <f>E50</f>
        <v>0.274422</v>
      </c>
      <c r="L12" s="26"/>
      <c r="M12" s="44"/>
      <c r="N12" s="43"/>
      <c r="R12" s="80"/>
    </row>
    <row r="13" spans="2:18" x14ac:dyDescent="0.2">
      <c r="B13" s="17"/>
      <c r="C13" s="84" t="s">
        <v>33</v>
      </c>
      <c r="D13" s="86" t="s">
        <v>3</v>
      </c>
      <c r="E13" s="104">
        <v>1.3434E-2</v>
      </c>
      <c r="F13" s="42"/>
      <c r="G13" s="44"/>
      <c r="H13" s="44"/>
      <c r="I13" s="44"/>
      <c r="J13" s="44" t="s">
        <v>50</v>
      </c>
      <c r="K13" s="151">
        <f>E45</f>
        <v>0.36752500000000005</v>
      </c>
      <c r="L13" s="26"/>
      <c r="M13" s="44"/>
      <c r="N13" s="43"/>
      <c r="R13" s="80"/>
    </row>
    <row r="14" spans="2:18" x14ac:dyDescent="0.2">
      <c r="B14" s="17"/>
      <c r="C14" s="84" t="s">
        <v>150</v>
      </c>
      <c r="D14" s="86" t="s">
        <v>194</v>
      </c>
      <c r="E14" s="104">
        <v>1.2645E-2</v>
      </c>
      <c r="F14" s="42"/>
      <c r="G14" s="44"/>
      <c r="H14" s="44"/>
      <c r="I14" s="44"/>
      <c r="J14" s="44" t="s">
        <v>71</v>
      </c>
      <c r="K14" s="151">
        <f>E48</f>
        <v>5.9672999999999997E-2</v>
      </c>
      <c r="L14" s="26"/>
      <c r="M14" s="44"/>
      <c r="N14" s="43"/>
      <c r="R14" s="80"/>
    </row>
    <row r="15" spans="2:18" ht="30" x14ac:dyDescent="0.2">
      <c r="B15" s="17"/>
      <c r="C15" s="84" t="s">
        <v>107</v>
      </c>
      <c r="D15" s="86" t="s">
        <v>193</v>
      </c>
      <c r="E15" s="104">
        <v>1.0962E-2</v>
      </c>
      <c r="F15" s="26"/>
      <c r="G15" s="44"/>
      <c r="H15" s="44"/>
      <c r="I15" s="44"/>
      <c r="L15" s="26"/>
      <c r="M15" s="44"/>
      <c r="N15" s="43"/>
      <c r="R15" s="80"/>
    </row>
    <row r="16" spans="2:18" x14ac:dyDescent="0.2">
      <c r="B16" s="17"/>
      <c r="C16" s="84" t="s">
        <v>39</v>
      </c>
      <c r="D16" s="86" t="s">
        <v>26</v>
      </c>
      <c r="E16" s="104">
        <v>1.0562E-2</v>
      </c>
      <c r="F16" s="44"/>
      <c r="G16" s="44"/>
      <c r="H16" s="44"/>
      <c r="I16" s="44"/>
      <c r="J16" s="44"/>
      <c r="K16" s="44"/>
      <c r="L16" s="44"/>
      <c r="M16" s="44"/>
      <c r="N16" s="43"/>
      <c r="R16" s="80"/>
    </row>
    <row r="17" spans="2:41" x14ac:dyDescent="0.2">
      <c r="B17" s="17"/>
      <c r="C17" s="84" t="s">
        <v>32</v>
      </c>
      <c r="D17" s="86" t="s">
        <v>187</v>
      </c>
      <c r="E17" s="104">
        <v>1.0211E-2</v>
      </c>
      <c r="F17" s="44"/>
      <c r="G17" s="44"/>
      <c r="H17" s="44"/>
      <c r="I17" s="44"/>
      <c r="J17" s="44"/>
      <c r="K17" s="44"/>
      <c r="L17" s="44"/>
      <c r="M17" s="45"/>
      <c r="N17" s="35"/>
      <c r="R17" s="80"/>
    </row>
    <row r="18" spans="2:41" x14ac:dyDescent="0.2">
      <c r="B18" s="17"/>
      <c r="C18" s="84" t="s">
        <v>136</v>
      </c>
      <c r="D18" s="86" t="s">
        <v>27</v>
      </c>
      <c r="E18" s="104">
        <v>1.0181000000000001E-2</v>
      </c>
      <c r="F18" s="19"/>
      <c r="G18" s="44"/>
      <c r="H18" s="44"/>
      <c r="I18" s="44"/>
      <c r="J18" s="44"/>
      <c r="K18" s="44"/>
      <c r="L18" s="45"/>
      <c r="M18" s="45"/>
      <c r="N18" s="35"/>
      <c r="R18" s="80"/>
    </row>
    <row r="19" spans="2:41" x14ac:dyDescent="0.2">
      <c r="B19" s="17"/>
      <c r="C19" s="84" t="s">
        <v>84</v>
      </c>
      <c r="D19" s="86" t="s">
        <v>129</v>
      </c>
      <c r="E19" s="104">
        <v>8.8500000000000002E-3</v>
      </c>
      <c r="F19" s="19"/>
      <c r="G19" s="44"/>
      <c r="H19" s="44"/>
      <c r="I19" s="44"/>
      <c r="J19" s="44"/>
      <c r="K19" s="44"/>
      <c r="L19" s="19"/>
      <c r="M19" s="19"/>
      <c r="N19" s="35"/>
      <c r="R19" s="80"/>
    </row>
    <row r="20" spans="2:41" ht="15.75" customHeight="1" x14ac:dyDescent="0.25">
      <c r="B20" s="17"/>
      <c r="C20" s="84" t="s">
        <v>42</v>
      </c>
      <c r="D20" s="86" t="s">
        <v>199</v>
      </c>
      <c r="E20" s="104">
        <v>8.5789999999999998E-3</v>
      </c>
      <c r="F20" s="19"/>
      <c r="G20" s="316" t="s">
        <v>165</v>
      </c>
      <c r="H20" s="317"/>
      <c r="I20" s="317"/>
      <c r="J20" s="317"/>
      <c r="K20" s="317"/>
      <c r="L20" s="266">
        <v>2.2400000000000002</v>
      </c>
      <c r="M20" s="267"/>
      <c r="N20" s="268"/>
      <c r="R20" s="80"/>
    </row>
    <row r="21" spans="2:41" x14ac:dyDescent="0.2">
      <c r="B21" s="17"/>
      <c r="C21" s="84"/>
      <c r="D21" s="86"/>
      <c r="E21" s="104"/>
      <c r="F21" s="19"/>
      <c r="G21" s="44"/>
      <c r="H21" s="44"/>
      <c r="I21" s="44"/>
      <c r="J21" s="26"/>
      <c r="K21" s="26"/>
      <c r="L21" s="19"/>
      <c r="M21" s="19"/>
      <c r="N21" s="18"/>
      <c r="O21" s="12"/>
      <c r="R21" s="80"/>
    </row>
    <row r="22" spans="2:41" x14ac:dyDescent="0.2">
      <c r="B22" s="17"/>
      <c r="C22" s="84"/>
      <c r="D22" s="86"/>
      <c r="E22" s="104"/>
      <c r="F22" s="19"/>
      <c r="G22" s="151"/>
      <c r="H22" s="151"/>
      <c r="I22" s="151"/>
      <c r="J22" s="26"/>
      <c r="K22" s="42"/>
      <c r="L22" s="19"/>
      <c r="M22" s="19"/>
      <c r="N22" s="18"/>
      <c r="O22" s="12"/>
      <c r="R22" s="80"/>
    </row>
    <row r="23" spans="2:41" ht="15.75" customHeight="1" x14ac:dyDescent="0.2">
      <c r="B23" s="17"/>
      <c r="C23" s="106"/>
      <c r="D23" s="106"/>
      <c r="E23" s="164"/>
      <c r="F23" s="19"/>
      <c r="G23" s="295" t="s">
        <v>60</v>
      </c>
      <c r="H23" s="295"/>
      <c r="I23" s="295"/>
      <c r="J23" s="295"/>
      <c r="K23" s="295"/>
      <c r="L23" s="295"/>
      <c r="M23" s="295"/>
      <c r="N23" s="296"/>
      <c r="O23" s="12"/>
      <c r="R23" s="80"/>
    </row>
    <row r="24" spans="2:41" ht="15.75" x14ac:dyDescent="0.2">
      <c r="B24" s="17"/>
      <c r="C24" s="162" t="s">
        <v>69</v>
      </c>
      <c r="D24" s="162"/>
      <c r="E24" s="163">
        <f>SUM(E8:E22)</f>
        <v>0.160304</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125</v>
      </c>
      <c r="D26" s="36"/>
      <c r="E26" s="50">
        <v>7.6816999999999996E-2</v>
      </c>
      <c r="F26" s="19"/>
      <c r="G26" s="44"/>
      <c r="H26" s="44"/>
      <c r="I26" s="44"/>
      <c r="J26" s="44"/>
      <c r="K26" s="44"/>
      <c r="L26" s="19"/>
      <c r="M26" s="19"/>
      <c r="N26" s="18"/>
      <c r="O26" s="12"/>
      <c r="R26" s="80"/>
    </row>
    <row r="27" spans="2:41" ht="15.75" x14ac:dyDescent="0.2">
      <c r="B27" s="17"/>
      <c r="C27" s="27" t="s">
        <v>126</v>
      </c>
      <c r="D27" s="27"/>
      <c r="E27" s="59">
        <v>7.6816999999999996E-2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91</v>
      </c>
      <c r="D29" s="27"/>
      <c r="E29" s="59">
        <v>0</v>
      </c>
      <c r="F29" s="19"/>
      <c r="G29" s="44"/>
      <c r="H29" s="44"/>
      <c r="I29" s="44"/>
      <c r="J29" s="44"/>
      <c r="K29" s="44"/>
      <c r="L29" s="19"/>
      <c r="M29" s="19"/>
      <c r="N29" s="18"/>
      <c r="O29" s="12"/>
      <c r="R29" s="80"/>
      <c r="U29" s="11" t="s">
        <v>13</v>
      </c>
      <c r="V29" s="11">
        <v>1.1159000000000001E-2</v>
      </c>
    </row>
    <row r="30" spans="2:41" x14ac:dyDescent="0.2">
      <c r="B30" s="17"/>
      <c r="C30" s="23"/>
      <c r="D30" s="23"/>
      <c r="E30" s="287"/>
      <c r="F30" s="19"/>
      <c r="G30" s="44"/>
      <c r="H30" s="44"/>
      <c r="I30" s="44"/>
      <c r="J30" s="44"/>
      <c r="K30" s="44"/>
      <c r="L30" s="19"/>
      <c r="M30" s="19"/>
      <c r="N30" s="18"/>
      <c r="O30" s="12"/>
      <c r="R30" s="80"/>
      <c r="U30" s="11" t="s">
        <v>21</v>
      </c>
      <c r="V30" s="11">
        <v>1.0543E-2</v>
      </c>
    </row>
    <row r="31" spans="2:41" x14ac:dyDescent="0.2">
      <c r="B31" s="17"/>
      <c r="C31" s="23"/>
      <c r="D31" s="23"/>
      <c r="E31" s="50"/>
      <c r="F31" s="19"/>
      <c r="G31" s="44"/>
      <c r="H31" s="44"/>
      <c r="I31" s="44"/>
      <c r="J31" s="44"/>
      <c r="K31" s="44"/>
      <c r="L31" s="19"/>
      <c r="M31" s="19"/>
      <c r="N31" s="18"/>
      <c r="O31" s="12"/>
      <c r="R31" s="80"/>
    </row>
    <row r="32" spans="2:41" x14ac:dyDescent="0.2">
      <c r="B32" s="17"/>
      <c r="C32" s="23" t="s">
        <v>112</v>
      </c>
      <c r="D32" s="23" t="s">
        <v>80</v>
      </c>
      <c r="E32" s="50">
        <v>3.0164E-2</v>
      </c>
      <c r="F32" s="19"/>
      <c r="G32" s="44"/>
      <c r="H32" s="44"/>
      <c r="I32" s="44"/>
      <c r="J32" s="44"/>
      <c r="K32" s="44"/>
      <c r="L32" s="19"/>
      <c r="M32" s="19"/>
      <c r="N32" s="18"/>
      <c r="O32" s="12"/>
      <c r="R32" s="80"/>
    </row>
    <row r="33" spans="1:18" x14ac:dyDescent="0.2">
      <c r="B33" s="17"/>
      <c r="C33" s="23" t="s">
        <v>110</v>
      </c>
      <c r="D33" s="23" t="s">
        <v>80</v>
      </c>
      <c r="E33" s="50">
        <v>2.9325E-2</v>
      </c>
      <c r="F33" s="19"/>
      <c r="G33" s="44"/>
      <c r="H33" s="44"/>
      <c r="I33" s="44"/>
      <c r="J33" s="44"/>
      <c r="K33" s="44"/>
      <c r="L33" s="19"/>
      <c r="M33" s="19"/>
      <c r="N33" s="18"/>
      <c r="O33" s="12"/>
      <c r="R33" s="80"/>
    </row>
    <row r="34" spans="1:18" x14ac:dyDescent="0.2">
      <c r="B34" s="17"/>
      <c r="C34" s="23" t="s">
        <v>101</v>
      </c>
      <c r="D34" s="23" t="s">
        <v>80</v>
      </c>
      <c r="E34" s="50">
        <v>1.7600000000000001E-3</v>
      </c>
      <c r="F34" s="19"/>
      <c r="G34" s="44"/>
      <c r="H34" s="44"/>
      <c r="I34" s="44"/>
      <c r="J34" s="44"/>
      <c r="K34" s="44"/>
      <c r="L34" s="19"/>
      <c r="M34" s="19"/>
      <c r="N34" s="18"/>
      <c r="O34" s="12"/>
      <c r="R34" s="80"/>
    </row>
    <row r="35" spans="1:18" x14ac:dyDescent="0.2">
      <c r="B35" s="17"/>
      <c r="C35" s="23" t="s">
        <v>137</v>
      </c>
      <c r="D35" s="23" t="s">
        <v>80</v>
      </c>
      <c r="E35" s="287">
        <v>1.0000000000000001E-5</v>
      </c>
      <c r="F35" s="19"/>
      <c r="G35" s="44"/>
      <c r="H35" s="44"/>
      <c r="I35" s="44"/>
      <c r="J35" s="44"/>
      <c r="K35" s="44"/>
      <c r="L35" s="19"/>
      <c r="M35" s="19"/>
      <c r="N35" s="18"/>
      <c r="O35" s="12"/>
      <c r="R35" s="80"/>
    </row>
    <row r="36" spans="1:18" ht="15.75" x14ac:dyDescent="0.2">
      <c r="B36" s="17"/>
      <c r="C36" s="27" t="s">
        <v>58</v>
      </c>
      <c r="D36" s="27"/>
      <c r="E36" s="59">
        <f>SUM(E31:E35)</f>
        <v>6.1259000000000001E-2</v>
      </c>
      <c r="F36" s="19"/>
      <c r="G36" s="44"/>
      <c r="H36" s="44"/>
      <c r="I36" s="44"/>
      <c r="J36" s="44"/>
      <c r="K36" s="44"/>
      <c r="L36" s="19"/>
      <c r="M36" s="19"/>
      <c r="N36" s="18"/>
      <c r="O36" s="12"/>
      <c r="R36" s="80"/>
    </row>
    <row r="37" spans="1:18" x14ac:dyDescent="0.2">
      <c r="B37" s="17"/>
      <c r="C37" s="36"/>
      <c r="D37" s="36"/>
      <c r="E37" s="50"/>
      <c r="F37" s="19"/>
      <c r="G37" s="44"/>
      <c r="H37" s="44"/>
      <c r="I37" s="44"/>
      <c r="J37" s="44"/>
      <c r="K37" s="44"/>
      <c r="L37" s="19"/>
      <c r="M37" s="19"/>
      <c r="N37" s="18"/>
      <c r="O37" s="12"/>
      <c r="R37" s="80"/>
    </row>
    <row r="38" spans="1:18" x14ac:dyDescent="0.2">
      <c r="B38" s="17"/>
      <c r="C38" s="36"/>
      <c r="D38" s="36"/>
      <c r="E38" s="50"/>
      <c r="F38" s="19"/>
      <c r="G38" s="44"/>
      <c r="H38" s="44"/>
      <c r="I38" s="44"/>
      <c r="J38" s="44"/>
      <c r="K38" s="44"/>
      <c r="L38" s="19"/>
      <c r="M38" s="19"/>
      <c r="N38" s="18"/>
      <c r="O38" s="12"/>
      <c r="R38" s="80"/>
    </row>
    <row r="39" spans="1:18" x14ac:dyDescent="0.2">
      <c r="B39" s="17"/>
      <c r="C39" s="23" t="s">
        <v>139</v>
      </c>
      <c r="D39" s="23" t="s">
        <v>76</v>
      </c>
      <c r="E39" s="50">
        <v>0.25158700000000001</v>
      </c>
      <c r="F39" s="19"/>
      <c r="G39" s="44"/>
      <c r="H39" s="44"/>
      <c r="I39" s="44"/>
      <c r="J39" s="44"/>
      <c r="K39" s="44"/>
      <c r="L39" s="19"/>
      <c r="M39" s="19"/>
      <c r="N39" s="18"/>
      <c r="O39" s="12"/>
      <c r="R39" s="80"/>
    </row>
    <row r="40" spans="1:18" x14ac:dyDescent="0.2">
      <c r="B40" s="17"/>
      <c r="C40" s="23" t="s">
        <v>173</v>
      </c>
      <c r="D40" s="23" t="s">
        <v>76</v>
      </c>
      <c r="E40" s="50">
        <v>3.0419999999999999E-2</v>
      </c>
      <c r="F40" s="19"/>
      <c r="G40" s="44"/>
      <c r="H40" s="44"/>
      <c r="I40" s="44"/>
      <c r="J40" s="44"/>
      <c r="K40" s="44"/>
      <c r="L40" s="19"/>
      <c r="M40" s="19"/>
      <c r="N40" s="18"/>
      <c r="O40" s="12"/>
      <c r="R40" s="80"/>
    </row>
    <row r="41" spans="1:18" x14ac:dyDescent="0.2">
      <c r="B41" s="17"/>
      <c r="C41" s="23" t="s">
        <v>93</v>
      </c>
      <c r="D41" s="23" t="s">
        <v>76</v>
      </c>
      <c r="E41" s="50">
        <v>3.0293E-2</v>
      </c>
      <c r="F41" s="19"/>
      <c r="G41" s="44"/>
      <c r="H41" s="44"/>
      <c r="I41" s="44"/>
      <c r="J41" s="44"/>
      <c r="K41" s="44"/>
      <c r="L41" s="19"/>
      <c r="M41" s="19"/>
      <c r="N41" s="18"/>
      <c r="O41" s="12"/>
      <c r="R41" s="80"/>
    </row>
    <row r="42" spans="1:18" x14ac:dyDescent="0.2">
      <c r="B42" s="17"/>
      <c r="C42" s="23" t="s">
        <v>103</v>
      </c>
      <c r="D42" s="23" t="s">
        <v>76</v>
      </c>
      <c r="E42" s="50">
        <v>1.9911000000000002E-2</v>
      </c>
      <c r="F42" s="19"/>
      <c r="G42" s="44"/>
      <c r="H42" s="44"/>
      <c r="I42" s="44"/>
      <c r="J42" s="44"/>
      <c r="K42" s="44"/>
      <c r="L42" s="19"/>
      <c r="M42" s="19"/>
      <c r="N42" s="18"/>
      <c r="O42" s="12"/>
      <c r="R42" s="80"/>
    </row>
    <row r="43" spans="1:18" x14ac:dyDescent="0.2">
      <c r="B43" s="17"/>
      <c r="C43" s="23" t="s">
        <v>109</v>
      </c>
      <c r="D43" s="23" t="s">
        <v>76</v>
      </c>
      <c r="E43" s="50">
        <v>1.9595999999999999E-2</v>
      </c>
      <c r="F43" s="19"/>
      <c r="G43" s="191"/>
      <c r="H43" s="44"/>
      <c r="I43" s="44"/>
      <c r="J43" s="44"/>
      <c r="K43" s="44"/>
      <c r="L43" s="19"/>
      <c r="M43" s="19"/>
      <c r="N43" s="18"/>
      <c r="O43" s="12"/>
      <c r="R43" s="80"/>
    </row>
    <row r="44" spans="1:18" x14ac:dyDescent="0.2">
      <c r="B44" s="17"/>
      <c r="C44" s="23" t="s">
        <v>172</v>
      </c>
      <c r="D44" s="23" t="s">
        <v>76</v>
      </c>
      <c r="E44" s="50">
        <v>1.5717999999999999E-2</v>
      </c>
      <c r="F44" s="19"/>
      <c r="G44" s="44"/>
      <c r="H44" s="44"/>
      <c r="I44" s="44"/>
      <c r="J44" s="44"/>
      <c r="K44" s="44"/>
      <c r="L44" s="19"/>
      <c r="M44" s="19"/>
      <c r="N44" s="18"/>
      <c r="O44" s="12"/>
      <c r="R44" s="80"/>
    </row>
    <row r="45" spans="1:18" ht="15.75" x14ac:dyDescent="0.2">
      <c r="A45" s="19"/>
      <c r="B45" s="17"/>
      <c r="C45" s="27" t="s">
        <v>50</v>
      </c>
      <c r="D45" s="27"/>
      <c r="E45" s="59">
        <f>SUM(E39:E44)</f>
        <v>0.36752500000000005</v>
      </c>
      <c r="F45" s="19"/>
      <c r="G45" s="44"/>
      <c r="H45" s="44"/>
      <c r="I45" s="44"/>
      <c r="J45" s="44"/>
      <c r="K45" s="44"/>
      <c r="L45" s="19"/>
      <c r="M45" s="19"/>
      <c r="N45" s="18"/>
      <c r="O45" s="32"/>
      <c r="R45" s="80"/>
    </row>
    <row r="46" spans="1:18" x14ac:dyDescent="0.2">
      <c r="A46" s="19"/>
      <c r="B46" s="17"/>
      <c r="C46" s="23"/>
      <c r="D46" s="23"/>
      <c r="E46" s="23"/>
      <c r="F46" s="19"/>
      <c r="G46" s="44"/>
      <c r="H46" s="44"/>
      <c r="I46" s="44"/>
      <c r="J46" s="44"/>
      <c r="K46" s="44"/>
      <c r="L46" s="19"/>
      <c r="M46" s="19"/>
      <c r="N46" s="18"/>
      <c r="O46" s="32"/>
      <c r="R46" s="80"/>
    </row>
    <row r="47" spans="1:18" x14ac:dyDescent="0.2">
      <c r="A47" s="19"/>
      <c r="B47" s="17"/>
      <c r="C47" s="23" t="s">
        <v>171</v>
      </c>
      <c r="D47" s="23" t="s">
        <v>76</v>
      </c>
      <c r="E47" s="50">
        <v>5.9672999999999997E-2</v>
      </c>
      <c r="F47" s="19"/>
      <c r="G47" s="44"/>
      <c r="H47" s="44"/>
      <c r="I47" s="44"/>
      <c r="J47" s="44"/>
      <c r="K47" s="44"/>
      <c r="L47" s="19"/>
      <c r="M47" s="19"/>
      <c r="N47" s="18"/>
      <c r="O47" s="32"/>
      <c r="R47" s="80"/>
    </row>
    <row r="48" spans="1:18" ht="15.75" x14ac:dyDescent="0.2">
      <c r="A48" s="19"/>
      <c r="B48" s="17"/>
      <c r="C48" s="27" t="s">
        <v>71</v>
      </c>
      <c r="D48" s="27"/>
      <c r="E48" s="59">
        <v>5.9672999999999997E-2</v>
      </c>
      <c r="F48" s="19"/>
      <c r="G48" s="44"/>
      <c r="H48" s="44"/>
      <c r="I48" s="44"/>
      <c r="J48" s="44"/>
      <c r="K48" s="44"/>
      <c r="L48" s="19"/>
      <c r="M48" s="19"/>
      <c r="N48" s="18"/>
      <c r="O48" s="32"/>
      <c r="R48" s="80"/>
    </row>
    <row r="49" spans="1:24" x14ac:dyDescent="0.2">
      <c r="A49" s="19"/>
      <c r="B49" s="17"/>
      <c r="C49" s="36"/>
      <c r="D49" s="36"/>
      <c r="E49" s="50"/>
      <c r="F49" s="19"/>
      <c r="G49" s="44"/>
      <c r="H49" s="44"/>
      <c r="I49" s="44"/>
      <c r="J49" s="44"/>
      <c r="K49" s="44"/>
      <c r="L49" s="19"/>
      <c r="M49" s="19"/>
      <c r="N49" s="18"/>
      <c r="O49" s="32"/>
      <c r="R49" s="80"/>
    </row>
    <row r="50" spans="1:24" ht="15.75" x14ac:dyDescent="0.2">
      <c r="A50" s="19"/>
      <c r="B50" s="17"/>
      <c r="C50" s="27" t="s">
        <v>23</v>
      </c>
      <c r="D50" s="27"/>
      <c r="E50" s="59">
        <v>0.274422</v>
      </c>
      <c r="F50" s="19"/>
      <c r="G50" s="44"/>
      <c r="H50" s="44"/>
      <c r="I50" s="44"/>
      <c r="J50" s="44"/>
      <c r="K50" s="44"/>
      <c r="L50" s="19"/>
      <c r="M50" s="19"/>
      <c r="N50" s="18"/>
      <c r="O50" s="32"/>
      <c r="R50" s="80"/>
    </row>
    <row r="51" spans="1:24" x14ac:dyDescent="0.2">
      <c r="A51" s="19"/>
      <c r="B51" s="17"/>
      <c r="C51" s="36"/>
      <c r="D51" s="36"/>
      <c r="E51" s="153"/>
      <c r="F51" s="19"/>
      <c r="G51" s="44"/>
      <c r="H51" s="44"/>
      <c r="I51" s="44"/>
      <c r="J51" s="44"/>
      <c r="K51" s="44"/>
      <c r="L51" s="19"/>
      <c r="M51" s="19"/>
      <c r="N51" s="18"/>
      <c r="O51" s="32"/>
      <c r="R51" s="80"/>
    </row>
    <row r="52" spans="1:24" ht="15.75" x14ac:dyDescent="0.2">
      <c r="A52" s="19"/>
      <c r="B52" s="17"/>
      <c r="C52" s="28" t="s">
        <v>24</v>
      </c>
      <c r="D52" s="28"/>
      <c r="E52" s="40">
        <f>E50+E48+E45+E36+E29+E27+E24</f>
        <v>1</v>
      </c>
      <c r="F52" s="19"/>
      <c r="G52" s="44"/>
      <c r="H52" s="44"/>
      <c r="I52" s="44"/>
      <c r="J52" s="44"/>
      <c r="K52" s="44"/>
      <c r="L52" s="19"/>
      <c r="M52" s="19"/>
      <c r="N52" s="18"/>
      <c r="O52" s="32"/>
      <c r="R52" s="80"/>
    </row>
    <row r="53" spans="1:24" x14ac:dyDescent="0.2">
      <c r="A53" s="19"/>
      <c r="B53" s="17"/>
      <c r="F53" s="19"/>
      <c r="G53" s="44"/>
      <c r="H53" s="44"/>
      <c r="I53" s="44"/>
      <c r="J53" s="44"/>
      <c r="K53" s="44"/>
      <c r="L53" s="19"/>
      <c r="M53" s="19"/>
      <c r="N53" s="18"/>
      <c r="O53" s="32"/>
      <c r="R53" s="80"/>
    </row>
    <row r="54" spans="1:24" ht="15.75" thickBot="1" x14ac:dyDescent="0.25">
      <c r="A54" s="19"/>
      <c r="B54" s="29"/>
      <c r="C54" s="238"/>
      <c r="D54" s="238"/>
      <c r="E54" s="239"/>
      <c r="F54" s="30"/>
      <c r="G54" s="192"/>
      <c r="H54" s="192"/>
      <c r="I54" s="192"/>
      <c r="J54" s="192"/>
      <c r="K54" s="192"/>
      <c r="L54" s="30"/>
      <c r="M54" s="30"/>
      <c r="N54" s="31"/>
      <c r="O54" s="32"/>
      <c r="R54" s="80"/>
    </row>
    <row r="55" spans="1:24" s="13" customFormat="1" ht="15.75" thickBot="1" x14ac:dyDescent="0.25">
      <c r="A55" s="11"/>
      <c r="B55" s="11"/>
      <c r="C55" s="11"/>
      <c r="D55" s="11"/>
      <c r="E55" s="11"/>
      <c r="F55" s="11"/>
      <c r="G55" s="33"/>
      <c r="H55" s="33"/>
      <c r="I55" s="33"/>
      <c r="J55" s="33"/>
      <c r="K55" s="33"/>
      <c r="L55" s="11"/>
      <c r="M55" s="11"/>
      <c r="N55" s="11"/>
      <c r="O55" s="11"/>
      <c r="R55" s="80"/>
      <c r="U55" s="11"/>
      <c r="V55" s="11"/>
      <c r="W55" s="11"/>
      <c r="X55" s="11"/>
    </row>
    <row r="56" spans="1:24" s="13" customFormat="1" x14ac:dyDescent="0.2">
      <c r="A56" s="11"/>
      <c r="B56" s="299" t="s">
        <v>127</v>
      </c>
      <c r="C56" s="300"/>
      <c r="D56" s="300"/>
      <c r="E56" s="300"/>
      <c r="F56" s="300"/>
      <c r="G56" s="300"/>
      <c r="H56" s="300"/>
      <c r="I56" s="300"/>
      <c r="J56" s="300"/>
      <c r="K56" s="300"/>
      <c r="L56" s="300"/>
      <c r="M56" s="300"/>
      <c r="N56" s="300"/>
      <c r="O56" s="301"/>
      <c r="R56" s="80"/>
      <c r="U56" s="11"/>
      <c r="V56" s="11"/>
      <c r="W56" s="11"/>
      <c r="X56" s="11"/>
    </row>
    <row r="57" spans="1:24" s="13" customFormat="1" x14ac:dyDescent="0.2">
      <c r="A57" s="11"/>
      <c r="B57" s="302"/>
      <c r="C57" s="303"/>
      <c r="D57" s="303"/>
      <c r="E57" s="303"/>
      <c r="F57" s="303"/>
      <c r="G57" s="303"/>
      <c r="H57" s="303"/>
      <c r="I57" s="303"/>
      <c r="J57" s="303"/>
      <c r="K57" s="303"/>
      <c r="L57" s="303"/>
      <c r="M57" s="303"/>
      <c r="N57" s="303"/>
      <c r="O57" s="304"/>
      <c r="R57" s="80"/>
      <c r="U57" s="11"/>
      <c r="V57" s="11"/>
      <c r="W57" s="11"/>
      <c r="X57" s="11"/>
    </row>
    <row r="58" spans="1:24" s="13" customFormat="1" x14ac:dyDescent="0.2">
      <c r="A58" s="11"/>
      <c r="B58" s="302"/>
      <c r="C58" s="303"/>
      <c r="D58" s="303"/>
      <c r="E58" s="303"/>
      <c r="F58" s="303"/>
      <c r="G58" s="303"/>
      <c r="H58" s="303"/>
      <c r="I58" s="303"/>
      <c r="J58" s="303"/>
      <c r="K58" s="303"/>
      <c r="L58" s="303"/>
      <c r="M58" s="303"/>
      <c r="N58" s="303"/>
      <c r="O58" s="304"/>
      <c r="R58" s="80"/>
      <c r="U58" s="11"/>
      <c r="V58" s="11"/>
      <c r="W58" s="11"/>
      <c r="X58" s="11"/>
    </row>
    <row r="59" spans="1:24" s="13" customFormat="1" x14ac:dyDescent="0.2">
      <c r="A59" s="11"/>
      <c r="B59" s="302"/>
      <c r="C59" s="303"/>
      <c r="D59" s="303"/>
      <c r="E59" s="303"/>
      <c r="F59" s="303"/>
      <c r="G59" s="303"/>
      <c r="H59" s="303"/>
      <c r="I59" s="303"/>
      <c r="J59" s="303"/>
      <c r="K59" s="303"/>
      <c r="L59" s="303"/>
      <c r="M59" s="303"/>
      <c r="N59" s="303"/>
      <c r="O59" s="304"/>
      <c r="R59" s="80"/>
      <c r="U59" s="11"/>
      <c r="V59" s="11"/>
      <c r="W59" s="11"/>
      <c r="X59" s="11"/>
    </row>
    <row r="60" spans="1:24" s="13" customFormat="1" x14ac:dyDescent="0.2">
      <c r="A60" s="11"/>
      <c r="B60" s="302"/>
      <c r="C60" s="303"/>
      <c r="D60" s="303"/>
      <c r="E60" s="303"/>
      <c r="F60" s="303"/>
      <c r="G60" s="303"/>
      <c r="H60" s="303"/>
      <c r="I60" s="303"/>
      <c r="J60" s="303"/>
      <c r="K60" s="303"/>
      <c r="L60" s="303"/>
      <c r="M60" s="303"/>
      <c r="N60" s="303"/>
      <c r="O60" s="304"/>
      <c r="R60" s="80"/>
      <c r="U60" s="11"/>
      <c r="V60" s="11"/>
      <c r="W60" s="11"/>
      <c r="X60" s="11"/>
    </row>
    <row r="61" spans="1:24" s="13" customFormat="1" x14ac:dyDescent="0.2">
      <c r="A61" s="11"/>
      <c r="B61" s="302"/>
      <c r="C61" s="303"/>
      <c r="D61" s="303"/>
      <c r="E61" s="303"/>
      <c r="F61" s="303"/>
      <c r="G61" s="303"/>
      <c r="H61" s="303"/>
      <c r="I61" s="303"/>
      <c r="J61" s="303"/>
      <c r="K61" s="303"/>
      <c r="L61" s="303"/>
      <c r="M61" s="303"/>
      <c r="N61" s="303"/>
      <c r="O61" s="304"/>
      <c r="R61" s="80"/>
      <c r="U61" s="11"/>
      <c r="V61" s="11"/>
      <c r="W61" s="11"/>
      <c r="X61" s="11"/>
    </row>
    <row r="62" spans="1:24" s="13" customFormat="1" ht="15.75" thickBot="1" x14ac:dyDescent="0.25">
      <c r="A62" s="11"/>
      <c r="B62" s="305"/>
      <c r="C62" s="306"/>
      <c r="D62" s="306"/>
      <c r="E62" s="306"/>
      <c r="F62" s="306"/>
      <c r="G62" s="306"/>
      <c r="H62" s="306"/>
      <c r="I62" s="306"/>
      <c r="J62" s="306"/>
      <c r="K62" s="306"/>
      <c r="L62" s="306"/>
      <c r="M62" s="306"/>
      <c r="N62" s="306"/>
      <c r="O62" s="307"/>
      <c r="R62" s="80"/>
      <c r="U62" s="11"/>
      <c r="V62" s="11"/>
      <c r="W62" s="11"/>
      <c r="X62" s="11"/>
    </row>
    <row r="63" spans="1:24" s="13" customFormat="1" x14ac:dyDescent="0.2">
      <c r="A63" s="11"/>
      <c r="B63" s="11"/>
      <c r="C63" s="11"/>
      <c r="D63" s="11"/>
      <c r="E63" s="11"/>
      <c r="F63" s="11"/>
      <c r="G63" s="33"/>
      <c r="H63" s="33"/>
      <c r="I63" s="33"/>
      <c r="J63" s="33"/>
      <c r="K63" s="33"/>
      <c r="L63" s="11"/>
      <c r="M63" s="11"/>
      <c r="N63" s="11"/>
      <c r="O63" s="11"/>
      <c r="R63" s="80"/>
      <c r="U63" s="11"/>
      <c r="V63" s="11"/>
      <c r="W63" s="11"/>
      <c r="X63" s="11"/>
    </row>
    <row r="64" spans="1:24" s="13" customFormat="1" x14ac:dyDescent="0.2">
      <c r="A64" s="11"/>
      <c r="B64" s="11"/>
      <c r="C64" s="11"/>
      <c r="D64" s="11"/>
      <c r="E64" s="11"/>
      <c r="F64" s="11"/>
      <c r="G64" s="33"/>
      <c r="H64" s="33"/>
      <c r="I64" s="33"/>
      <c r="J64" s="33"/>
      <c r="K64" s="33"/>
      <c r="L64" s="11"/>
      <c r="M64" s="11"/>
      <c r="N64" s="11"/>
      <c r="O64" s="11"/>
      <c r="R64" s="80"/>
      <c r="U64" s="11"/>
      <c r="V64" s="11"/>
      <c r="W64" s="11"/>
      <c r="X64" s="11"/>
    </row>
    <row r="65" spans="1:24" s="13" customFormat="1" x14ac:dyDescent="0.2">
      <c r="A65" s="11"/>
      <c r="B65" s="11"/>
      <c r="C65" s="11"/>
      <c r="D65" s="11"/>
      <c r="E65" s="11"/>
      <c r="F65" s="11"/>
      <c r="G65" s="33"/>
      <c r="H65" s="33"/>
      <c r="I65" s="33"/>
      <c r="J65" s="33"/>
      <c r="K65" s="33"/>
      <c r="L65" s="11"/>
      <c r="M65" s="11"/>
      <c r="N65" s="11"/>
      <c r="O65" s="11"/>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sheetData>
  <sortState ref="C39:E44">
    <sortCondition descending="1" ref="E39"/>
  </sortState>
  <mergeCells count="6">
    <mergeCell ref="B56:O62"/>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84"/>
  <sheetViews>
    <sheetView showGridLines="0" zoomScale="75"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2:24" s="13" customFormat="1" ht="15.75" thickBot="1" x14ac:dyDescent="0.25">
      <c r="B1" s="11"/>
      <c r="C1" s="11"/>
      <c r="D1" s="11"/>
      <c r="E1" s="11"/>
      <c r="F1" s="11"/>
      <c r="G1" s="33"/>
      <c r="H1" s="33"/>
      <c r="I1" s="33"/>
      <c r="J1" s="33"/>
      <c r="K1" s="33"/>
      <c r="L1" s="33"/>
      <c r="M1" s="11"/>
      <c r="N1" s="11"/>
      <c r="O1" s="11"/>
      <c r="U1" s="11"/>
      <c r="V1" s="11"/>
      <c r="W1" s="11"/>
      <c r="X1" s="11"/>
    </row>
    <row r="2" spans="2:24" s="13" customFormat="1" x14ac:dyDescent="0.2">
      <c r="B2" s="14"/>
      <c r="C2" s="15"/>
      <c r="D2" s="15"/>
      <c r="E2" s="15"/>
      <c r="F2" s="15"/>
      <c r="G2" s="187"/>
      <c r="H2" s="187"/>
      <c r="I2" s="187"/>
      <c r="J2" s="187"/>
      <c r="K2" s="187"/>
      <c r="L2" s="187"/>
      <c r="M2" s="15"/>
      <c r="N2" s="34"/>
      <c r="O2" s="11"/>
      <c r="U2" s="11"/>
      <c r="V2" s="11"/>
      <c r="W2" s="11"/>
      <c r="X2" s="11"/>
    </row>
    <row r="3" spans="2:24" s="13" customFormat="1" ht="20.25" customHeight="1" x14ac:dyDescent="0.2">
      <c r="B3" s="17"/>
      <c r="C3" s="293" t="s">
        <v>83</v>
      </c>
      <c r="D3" s="293"/>
      <c r="E3" s="293"/>
      <c r="F3" s="293"/>
      <c r="G3" s="293"/>
      <c r="H3" s="293"/>
      <c r="I3" s="293"/>
      <c r="J3" s="293"/>
      <c r="K3" s="293"/>
      <c r="L3" s="293"/>
      <c r="M3" s="293"/>
      <c r="N3" s="294"/>
      <c r="O3" s="11"/>
      <c r="U3" s="11"/>
      <c r="V3" s="11"/>
      <c r="W3" s="11"/>
      <c r="X3" s="11"/>
    </row>
    <row r="4" spans="2:24" s="13" customFormat="1" ht="15.75" x14ac:dyDescent="0.25">
      <c r="B4" s="17"/>
      <c r="C4" s="275" t="s">
        <v>253</v>
      </c>
      <c r="D4" s="1"/>
      <c r="E4" s="1"/>
      <c r="F4" s="19"/>
      <c r="G4" s="44"/>
      <c r="H4" s="44"/>
      <c r="I4" s="44"/>
      <c r="J4" s="44"/>
      <c r="K4" s="44"/>
      <c r="L4" s="44"/>
      <c r="M4" s="19"/>
      <c r="N4" s="35"/>
      <c r="O4" s="11"/>
      <c r="U4" s="11"/>
      <c r="V4" s="11"/>
      <c r="W4" s="11"/>
      <c r="X4" s="11"/>
    </row>
    <row r="5" spans="2:24" s="13" customFormat="1" ht="20.25" customHeight="1" x14ac:dyDescent="0.2">
      <c r="B5" s="17"/>
      <c r="C5" s="2" t="s">
        <v>254</v>
      </c>
      <c r="D5" s="311" t="s">
        <v>270</v>
      </c>
      <c r="E5" s="311"/>
      <c r="F5" s="19"/>
      <c r="G5" s="44"/>
      <c r="H5" s="44"/>
      <c r="I5" s="44"/>
      <c r="J5" s="44"/>
      <c r="K5" s="44"/>
      <c r="L5" s="44"/>
      <c r="M5" s="19"/>
      <c r="N5" s="35"/>
      <c r="O5" s="11"/>
      <c r="U5" s="11"/>
      <c r="V5" s="11"/>
      <c r="W5" s="11"/>
      <c r="X5" s="11"/>
    </row>
    <row r="6" spans="2:24" s="13" customFormat="1" ht="15.75" x14ac:dyDescent="0.25">
      <c r="B6" s="17"/>
      <c r="C6" s="1"/>
      <c r="D6" s="1"/>
      <c r="E6" s="1"/>
      <c r="F6" s="19"/>
      <c r="G6" s="44"/>
      <c r="H6" s="44"/>
      <c r="I6" s="44"/>
      <c r="J6" s="44"/>
      <c r="K6" s="44"/>
      <c r="L6" s="44"/>
      <c r="M6" s="19"/>
      <c r="N6" s="35"/>
      <c r="O6" s="11"/>
      <c r="U6" s="11"/>
      <c r="V6" s="11"/>
      <c r="W6" s="11"/>
      <c r="X6" s="11"/>
    </row>
    <row r="7" spans="2:24" s="13" customFormat="1" ht="32.25" customHeight="1" x14ac:dyDescent="0.2">
      <c r="B7" s="17"/>
      <c r="C7" s="21" t="s">
        <v>51</v>
      </c>
      <c r="D7" s="21" t="s">
        <v>52</v>
      </c>
      <c r="E7" s="21" t="s">
        <v>53</v>
      </c>
      <c r="F7" s="19"/>
      <c r="G7" s="295" t="s">
        <v>54</v>
      </c>
      <c r="H7" s="295"/>
      <c r="I7" s="295"/>
      <c r="J7" s="295"/>
      <c r="K7" s="295"/>
      <c r="L7" s="295"/>
      <c r="M7" s="295"/>
      <c r="N7" s="296"/>
      <c r="O7" s="11"/>
      <c r="U7" s="11"/>
      <c r="V7" s="11"/>
      <c r="W7" s="11"/>
      <c r="X7" s="11"/>
    </row>
    <row r="8" spans="2:24" s="13" customFormat="1" x14ac:dyDescent="0.2">
      <c r="B8" s="17"/>
      <c r="C8" s="288" t="s">
        <v>37</v>
      </c>
      <c r="D8" s="289" t="s">
        <v>3</v>
      </c>
      <c r="E8" s="117">
        <v>5.8339000000000002E-2</v>
      </c>
      <c r="F8" s="44"/>
      <c r="G8" s="185" t="s">
        <v>55</v>
      </c>
      <c r="H8" s="186">
        <v>1</v>
      </c>
      <c r="I8" s="188">
        <f>H8/SUM($H$8:$H$10)</f>
        <v>1</v>
      </c>
      <c r="J8" s="44"/>
      <c r="K8" s="151"/>
      <c r="L8" s="44"/>
      <c r="M8" s="44"/>
      <c r="N8" s="109"/>
      <c r="O8" s="11"/>
      <c r="R8" s="80"/>
      <c r="U8" s="11"/>
      <c r="V8" s="11"/>
      <c r="W8" s="11"/>
      <c r="X8" s="11"/>
    </row>
    <row r="9" spans="2:24" s="13" customFormat="1" ht="15.75" customHeight="1" x14ac:dyDescent="0.2">
      <c r="B9" s="17"/>
      <c r="C9" s="114" t="s">
        <v>33</v>
      </c>
      <c r="D9" s="23" t="s">
        <v>3</v>
      </c>
      <c r="E9" s="118">
        <v>4.8620999999999998E-2</v>
      </c>
      <c r="F9" s="44"/>
      <c r="G9" s="185" t="s">
        <v>70</v>
      </c>
      <c r="H9" s="189">
        <v>0</v>
      </c>
      <c r="I9" s="188">
        <f>H9/SUM($H$8:$H$10)</f>
        <v>0</v>
      </c>
      <c r="J9" s="44" t="s">
        <v>57</v>
      </c>
      <c r="K9" s="151">
        <f>E24+E26</f>
        <v>0.76674000000000009</v>
      </c>
      <c r="L9" s="44"/>
      <c r="M9" s="44"/>
      <c r="N9" s="109"/>
      <c r="O9" s="11"/>
      <c r="R9" s="80"/>
      <c r="U9" s="11"/>
      <c r="V9" s="11"/>
      <c r="W9" s="11"/>
      <c r="X9" s="11"/>
    </row>
    <row r="10" spans="2:24" s="13" customFormat="1" x14ac:dyDescent="0.2">
      <c r="B10" s="17"/>
      <c r="C10" s="114" t="s">
        <v>32</v>
      </c>
      <c r="D10" s="23" t="s">
        <v>187</v>
      </c>
      <c r="E10" s="118">
        <v>4.5754000000000003E-2</v>
      </c>
      <c r="F10" s="151"/>
      <c r="G10" s="185" t="s">
        <v>56</v>
      </c>
      <c r="H10" s="189">
        <v>0</v>
      </c>
      <c r="I10" s="188">
        <f>H10/SUM($H$8:$H$10)</f>
        <v>0</v>
      </c>
      <c r="J10" s="44" t="s">
        <v>50</v>
      </c>
      <c r="K10" s="151">
        <f>E40</f>
        <v>7.3367000000000002E-2</v>
      </c>
      <c r="L10" s="44"/>
      <c r="M10" s="44"/>
      <c r="N10" s="109"/>
      <c r="O10" s="11"/>
      <c r="R10" s="80"/>
      <c r="U10" s="11"/>
      <c r="V10" s="11"/>
      <c r="W10" s="11"/>
      <c r="X10" s="11"/>
    </row>
    <row r="11" spans="2:24" s="13" customFormat="1" x14ac:dyDescent="0.2">
      <c r="B11" s="17"/>
      <c r="C11" s="114" t="s">
        <v>39</v>
      </c>
      <c r="D11" s="23" t="s">
        <v>26</v>
      </c>
      <c r="E11" s="118">
        <v>4.1613999999999998E-2</v>
      </c>
      <c r="F11" s="44"/>
      <c r="G11" s="44"/>
      <c r="H11" s="44"/>
      <c r="I11" s="44"/>
      <c r="J11" s="44" t="s">
        <v>23</v>
      </c>
      <c r="K11" s="151">
        <f>E42</f>
        <v>4.7793999999999996E-2</v>
      </c>
      <c r="L11" s="44"/>
      <c r="M11" s="44"/>
      <c r="N11" s="109"/>
      <c r="O11" s="11"/>
      <c r="R11" s="80"/>
      <c r="U11" s="11"/>
      <c r="V11" s="11"/>
      <c r="W11" s="11"/>
      <c r="X11" s="11"/>
    </row>
    <row r="12" spans="2:24" s="13" customFormat="1" ht="15.75" customHeight="1" x14ac:dyDescent="0.2">
      <c r="B12" s="17"/>
      <c r="C12" s="114" t="s">
        <v>122</v>
      </c>
      <c r="D12" s="23" t="s">
        <v>3</v>
      </c>
      <c r="E12" s="118">
        <v>3.6903999999999999E-2</v>
      </c>
      <c r="F12" s="151"/>
      <c r="G12" s="44"/>
      <c r="H12" s="151"/>
      <c r="I12" s="44"/>
      <c r="J12" s="33" t="s">
        <v>75</v>
      </c>
      <c r="K12" s="190">
        <f>E32</f>
        <v>0.112099</v>
      </c>
      <c r="L12" s="44"/>
      <c r="M12" s="44"/>
      <c r="N12" s="109"/>
      <c r="O12" s="11"/>
      <c r="R12" s="80"/>
      <c r="U12" s="11"/>
      <c r="V12" s="11"/>
      <c r="W12" s="11"/>
      <c r="X12" s="11"/>
    </row>
    <row r="13" spans="2:24" s="13" customFormat="1" x14ac:dyDescent="0.2">
      <c r="B13" s="17"/>
      <c r="C13" s="114" t="s">
        <v>36</v>
      </c>
      <c r="D13" s="23" t="s">
        <v>6</v>
      </c>
      <c r="E13" s="118">
        <v>3.0013000000000001E-2</v>
      </c>
      <c r="F13" s="151"/>
      <c r="G13" s="44"/>
      <c r="H13" s="44"/>
      <c r="I13" s="44"/>
      <c r="J13" s="44"/>
      <c r="K13" s="151"/>
      <c r="L13" s="44"/>
      <c r="M13" s="44"/>
      <c r="N13" s="109"/>
      <c r="O13" s="11"/>
      <c r="R13" s="80"/>
      <c r="U13" s="11"/>
      <c r="V13" s="11"/>
      <c r="W13" s="11"/>
      <c r="X13" s="11"/>
    </row>
    <row r="14" spans="2:24" s="13" customFormat="1" x14ac:dyDescent="0.2">
      <c r="B14" s="17"/>
      <c r="C14" s="114" t="s">
        <v>123</v>
      </c>
      <c r="D14" s="23" t="s">
        <v>194</v>
      </c>
      <c r="E14" s="118">
        <v>2.9405000000000001E-2</v>
      </c>
      <c r="F14" s="151"/>
      <c r="G14" s="44"/>
      <c r="H14" s="44"/>
      <c r="I14" s="44"/>
      <c r="J14" s="44"/>
      <c r="K14" s="151"/>
      <c r="L14" s="44"/>
      <c r="M14" s="44"/>
      <c r="N14" s="109"/>
      <c r="O14" s="11"/>
      <c r="R14" s="80"/>
      <c r="U14" s="11"/>
      <c r="V14" s="11"/>
      <c r="W14" s="11"/>
      <c r="X14" s="11"/>
    </row>
    <row r="15" spans="2:24" s="13" customFormat="1" x14ac:dyDescent="0.2">
      <c r="B15" s="17"/>
      <c r="C15" s="114" t="s">
        <v>179</v>
      </c>
      <c r="D15" s="23" t="s">
        <v>19</v>
      </c>
      <c r="E15" s="118">
        <v>2.6856000000000001E-2</v>
      </c>
      <c r="F15" s="44"/>
      <c r="G15" s="44"/>
      <c r="H15" s="44"/>
      <c r="I15" s="44"/>
      <c r="J15" s="33"/>
      <c r="K15" s="190"/>
      <c r="L15" s="44"/>
      <c r="M15" s="44"/>
      <c r="N15" s="109"/>
      <c r="O15" s="11"/>
      <c r="R15" s="80"/>
      <c r="U15" s="11"/>
      <c r="V15" s="11"/>
      <c r="W15" s="11"/>
      <c r="X15" s="11"/>
    </row>
    <row r="16" spans="2:24" s="13" customFormat="1" x14ac:dyDescent="0.2">
      <c r="B16" s="17"/>
      <c r="C16" s="114" t="s">
        <v>100</v>
      </c>
      <c r="D16" s="23" t="s">
        <v>14</v>
      </c>
      <c r="E16" s="118">
        <v>2.5559999999999999E-2</v>
      </c>
      <c r="F16" s="19"/>
      <c r="G16" s="44"/>
      <c r="H16" s="44"/>
      <c r="I16" s="44"/>
      <c r="J16" s="33"/>
      <c r="K16" s="33"/>
      <c r="L16" s="44"/>
      <c r="M16" s="44"/>
      <c r="N16" s="109"/>
      <c r="O16" s="11"/>
      <c r="R16" s="80"/>
      <c r="U16" s="11"/>
      <c r="V16" s="11"/>
      <c r="W16" s="11"/>
      <c r="X16" s="11"/>
    </row>
    <row r="17" spans="1:41" x14ac:dyDescent="0.2">
      <c r="B17" s="17"/>
      <c r="C17" s="114" t="s">
        <v>202</v>
      </c>
      <c r="D17" s="107" t="s">
        <v>194</v>
      </c>
      <c r="E17" s="118">
        <v>2.4750000000000001E-2</v>
      </c>
      <c r="F17" s="19"/>
      <c r="G17" s="44"/>
      <c r="H17" s="44"/>
      <c r="I17" s="44"/>
      <c r="J17" s="44"/>
      <c r="K17" s="44"/>
      <c r="L17" s="44"/>
      <c r="M17" s="44"/>
      <c r="N17" s="109"/>
      <c r="R17" s="80"/>
    </row>
    <row r="18" spans="1:41" x14ac:dyDescent="0.2">
      <c r="B18" s="17"/>
      <c r="C18" s="114" t="s">
        <v>106</v>
      </c>
      <c r="D18" s="23" t="s">
        <v>187</v>
      </c>
      <c r="E18" s="118">
        <v>2.4559999999999998E-2</v>
      </c>
      <c r="F18" s="19"/>
      <c r="G18" s="44"/>
      <c r="H18" s="44"/>
      <c r="I18" s="44"/>
      <c r="J18" s="44"/>
      <c r="K18" s="44"/>
      <c r="L18" s="44"/>
      <c r="M18" s="44"/>
      <c r="N18" s="109"/>
      <c r="R18" s="80"/>
    </row>
    <row r="19" spans="1:41" x14ac:dyDescent="0.2">
      <c r="B19" s="17"/>
      <c r="C19" s="114" t="s">
        <v>108</v>
      </c>
      <c r="D19" s="23" t="s">
        <v>193</v>
      </c>
      <c r="E19" s="118">
        <v>2.2689000000000001E-2</v>
      </c>
      <c r="F19" s="19"/>
      <c r="G19" s="44"/>
      <c r="H19" s="44"/>
      <c r="I19" s="44"/>
      <c r="J19" s="44"/>
      <c r="K19" s="44"/>
      <c r="L19" s="44"/>
      <c r="M19" s="19"/>
      <c r="N19" s="35"/>
      <c r="R19" s="80"/>
    </row>
    <row r="20" spans="1:41" ht="15.75" customHeight="1" x14ac:dyDescent="0.25">
      <c r="B20" s="17"/>
      <c r="C20" s="114" t="s">
        <v>220</v>
      </c>
      <c r="D20" s="23" t="s">
        <v>197</v>
      </c>
      <c r="E20" s="118">
        <v>1.8685E-2</v>
      </c>
      <c r="F20" s="19"/>
      <c r="G20" s="316" t="s">
        <v>165</v>
      </c>
      <c r="H20" s="317"/>
      <c r="I20" s="317"/>
      <c r="J20" s="317"/>
      <c r="K20" s="317"/>
      <c r="L20" s="266">
        <v>1.52</v>
      </c>
      <c r="M20" s="267"/>
      <c r="N20" s="268"/>
      <c r="R20" s="80"/>
    </row>
    <row r="21" spans="1:41" x14ac:dyDescent="0.2">
      <c r="B21" s="17"/>
      <c r="C21" s="114" t="s">
        <v>221</v>
      </c>
      <c r="D21" s="23" t="s">
        <v>189</v>
      </c>
      <c r="E21" s="118">
        <v>1.8526000000000001E-2</v>
      </c>
      <c r="F21" s="19"/>
      <c r="G21" s="44"/>
      <c r="H21" s="44"/>
      <c r="I21" s="44"/>
      <c r="J21" s="44"/>
      <c r="K21" s="44"/>
      <c r="L21" s="44"/>
      <c r="M21" s="19"/>
      <c r="N21" s="18"/>
      <c r="O21" s="12"/>
      <c r="R21" s="80"/>
    </row>
    <row r="22" spans="1:41" x14ac:dyDescent="0.2">
      <c r="B22" s="17"/>
      <c r="C22" s="114" t="s">
        <v>205</v>
      </c>
      <c r="D22" s="23" t="s">
        <v>130</v>
      </c>
      <c r="E22" s="118">
        <v>1.8162000000000001E-2</v>
      </c>
      <c r="F22" s="19"/>
      <c r="G22" s="151"/>
      <c r="H22" s="151"/>
      <c r="I22" s="151"/>
      <c r="J22" s="44"/>
      <c r="K22" s="151"/>
      <c r="L22" s="44"/>
      <c r="M22" s="19"/>
      <c r="N22" s="18"/>
      <c r="O22" s="12"/>
      <c r="R22" s="80"/>
    </row>
    <row r="23" spans="1:41" ht="15.75" customHeight="1" x14ac:dyDescent="0.2">
      <c r="B23" s="17"/>
      <c r="C23" s="23"/>
      <c r="D23" s="36"/>
      <c r="E23" s="50"/>
      <c r="F23" s="19"/>
      <c r="G23" s="295" t="s">
        <v>60</v>
      </c>
      <c r="H23" s="295"/>
      <c r="I23" s="295"/>
      <c r="J23" s="295"/>
      <c r="K23" s="295"/>
      <c r="L23" s="295"/>
      <c r="M23" s="295"/>
      <c r="N23" s="296"/>
      <c r="O23" s="12"/>
      <c r="R23" s="80"/>
    </row>
    <row r="24" spans="1:41" ht="15.75" x14ac:dyDescent="0.2">
      <c r="B24" s="17"/>
      <c r="C24" s="27" t="s">
        <v>69</v>
      </c>
      <c r="D24" s="27"/>
      <c r="E24" s="59">
        <f>SUM(E8:E22)</f>
        <v>0.47043799999999997</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91</v>
      </c>
      <c r="D26" s="27"/>
      <c r="E26" s="59">
        <v>0.29630200000000012</v>
      </c>
      <c r="F26" s="120"/>
      <c r="G26" s="44"/>
      <c r="H26" s="44"/>
      <c r="I26" s="44"/>
      <c r="J26" s="44"/>
      <c r="K26" s="44"/>
      <c r="L26" s="44"/>
      <c r="M26" s="19"/>
      <c r="N26" s="18"/>
      <c r="O26" s="12"/>
      <c r="R26" s="80"/>
    </row>
    <row r="27" spans="1:41" x14ac:dyDescent="0.2">
      <c r="B27" s="17"/>
      <c r="C27" s="23"/>
      <c r="D27" s="23"/>
      <c r="E27" s="23"/>
      <c r="F27" s="19"/>
      <c r="G27" s="44"/>
      <c r="H27" s="44"/>
      <c r="I27" s="44"/>
      <c r="J27" s="44"/>
      <c r="K27" s="44"/>
      <c r="L27" s="44"/>
      <c r="M27" s="19"/>
      <c r="N27" s="18"/>
      <c r="O27" s="12"/>
      <c r="R27" s="80"/>
    </row>
    <row r="28" spans="1:41" s="38" customFormat="1" ht="13.5" customHeight="1" x14ac:dyDescent="0.2">
      <c r="B28" s="39"/>
      <c r="C28" s="144"/>
      <c r="D28" s="8"/>
      <c r="E28" s="50"/>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44" t="s">
        <v>112</v>
      </c>
      <c r="D29" s="8" t="s">
        <v>80</v>
      </c>
      <c r="E29" s="50">
        <v>5.2486999999999999E-2</v>
      </c>
      <c r="F29" s="19"/>
      <c r="G29" s="44"/>
      <c r="H29" s="44"/>
      <c r="I29" s="44"/>
      <c r="J29" s="44"/>
      <c r="K29" s="44"/>
      <c r="L29" s="44"/>
      <c r="M29" s="19"/>
      <c r="N29" s="18"/>
      <c r="O29" s="12"/>
      <c r="R29" s="80"/>
    </row>
    <row r="30" spans="1:41" x14ac:dyDescent="0.2">
      <c r="B30" s="17"/>
      <c r="C30" s="161" t="s">
        <v>110</v>
      </c>
      <c r="D30" s="8" t="s">
        <v>80</v>
      </c>
      <c r="E30" s="50">
        <v>4.6854E-2</v>
      </c>
      <c r="F30" s="19"/>
      <c r="G30" s="44"/>
      <c r="H30" s="44"/>
      <c r="I30" s="44"/>
      <c r="J30" s="44"/>
      <c r="K30" s="44"/>
      <c r="L30" s="44"/>
      <c r="M30" s="19"/>
      <c r="N30" s="18"/>
      <c r="O30" s="12"/>
      <c r="R30" s="80"/>
    </row>
    <row r="31" spans="1:41" x14ac:dyDescent="0.2">
      <c r="B31" s="17"/>
      <c r="C31" s="144" t="s">
        <v>101</v>
      </c>
      <c r="D31" s="8" t="s">
        <v>80</v>
      </c>
      <c r="E31" s="50">
        <v>1.2758E-2</v>
      </c>
      <c r="F31" s="19"/>
      <c r="G31" s="44"/>
      <c r="H31" s="44"/>
      <c r="I31" s="44"/>
      <c r="J31" s="44"/>
      <c r="K31" s="44"/>
      <c r="L31" s="44"/>
      <c r="M31" s="19"/>
      <c r="N31" s="18"/>
      <c r="O31" s="12"/>
      <c r="R31" s="80"/>
    </row>
    <row r="32" spans="1:41" s="72" customFormat="1" ht="15.75" x14ac:dyDescent="0.2">
      <c r="A32" s="11"/>
      <c r="B32" s="17"/>
      <c r="C32" s="27" t="s">
        <v>58</v>
      </c>
      <c r="D32" s="27"/>
      <c r="E32" s="59">
        <f>SUM(E29:E31)</f>
        <v>0.112099</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x14ac:dyDescent="0.2">
      <c r="A33" s="11"/>
      <c r="B33" s="17"/>
      <c r="C33" s="137"/>
      <c r="D33" s="137"/>
      <c r="E33" s="137"/>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61" t="s">
        <v>118</v>
      </c>
      <c r="D34" s="36" t="s">
        <v>76</v>
      </c>
      <c r="E34" s="173">
        <v>3.4418999999999998E-2</v>
      </c>
      <c r="F34" s="19"/>
      <c r="G34" s="44"/>
      <c r="H34" s="44"/>
      <c r="I34" s="44"/>
      <c r="J34" s="44"/>
      <c r="K34" s="44"/>
      <c r="L34" s="44"/>
      <c r="M34" s="19"/>
      <c r="N34" s="18"/>
      <c r="O34" s="12"/>
      <c r="R34" s="80"/>
      <c r="U34" s="11"/>
      <c r="V34" s="11"/>
      <c r="W34" s="11"/>
      <c r="X34" s="11"/>
    </row>
    <row r="35" spans="1:41" s="13" customFormat="1" x14ac:dyDescent="0.2">
      <c r="A35" s="11"/>
      <c r="B35" s="17"/>
      <c r="C35" s="161" t="s">
        <v>139</v>
      </c>
      <c r="D35" s="36" t="s">
        <v>76</v>
      </c>
      <c r="E35" s="173">
        <v>1.6330000000000001E-2</v>
      </c>
      <c r="F35" s="19"/>
      <c r="G35" s="44"/>
      <c r="H35" s="44"/>
      <c r="I35" s="44"/>
      <c r="J35" s="44"/>
      <c r="K35" s="44"/>
      <c r="L35" s="44"/>
      <c r="M35" s="19"/>
      <c r="N35" s="18"/>
      <c r="O35" s="12"/>
      <c r="R35" s="80"/>
      <c r="U35" s="11"/>
      <c r="V35" s="11"/>
      <c r="W35" s="11"/>
      <c r="X35" s="11"/>
    </row>
    <row r="36" spans="1:41" s="13" customFormat="1" x14ac:dyDescent="0.2">
      <c r="A36" s="11"/>
      <c r="B36" s="17"/>
      <c r="C36" s="161" t="s">
        <v>109</v>
      </c>
      <c r="D36" s="36" t="s">
        <v>76</v>
      </c>
      <c r="E36" s="173">
        <v>1.0101000000000001E-2</v>
      </c>
      <c r="F36" s="19"/>
      <c r="G36" s="44"/>
      <c r="H36" s="44"/>
      <c r="I36" s="44"/>
      <c r="J36" s="44"/>
      <c r="K36" s="44"/>
      <c r="L36" s="44"/>
      <c r="M36" s="19"/>
      <c r="N36" s="18"/>
      <c r="O36" s="12"/>
      <c r="R36" s="80"/>
      <c r="U36" s="11"/>
      <c r="V36" s="11"/>
      <c r="W36" s="11"/>
      <c r="X36" s="11"/>
    </row>
    <row r="37" spans="1:41" s="13" customFormat="1" x14ac:dyDescent="0.2">
      <c r="A37" s="11"/>
      <c r="B37" s="17"/>
      <c r="C37" s="161" t="s">
        <v>103</v>
      </c>
      <c r="D37" s="36" t="s">
        <v>76</v>
      </c>
      <c r="E37" s="173">
        <v>8.8929999999999999E-3</v>
      </c>
      <c r="F37" s="19"/>
      <c r="G37" s="44"/>
      <c r="H37" s="44"/>
      <c r="I37" s="44"/>
      <c r="J37" s="44"/>
      <c r="K37" s="44"/>
      <c r="L37" s="44"/>
      <c r="M37" s="19"/>
      <c r="N37" s="18"/>
      <c r="O37" s="12"/>
      <c r="R37" s="80"/>
      <c r="U37" s="11"/>
      <c r="V37" s="11"/>
      <c r="W37" s="11"/>
      <c r="X37" s="11"/>
    </row>
    <row r="38" spans="1:41" s="13" customFormat="1" x14ac:dyDescent="0.2">
      <c r="A38" s="11"/>
      <c r="B38" s="17"/>
      <c r="C38" s="161" t="s">
        <v>93</v>
      </c>
      <c r="D38" s="36" t="s">
        <v>76</v>
      </c>
      <c r="E38" s="173">
        <v>3.4160000000000002E-3</v>
      </c>
      <c r="F38" s="19"/>
      <c r="G38" s="44"/>
      <c r="H38" s="44"/>
      <c r="I38" s="44"/>
      <c r="J38" s="44"/>
      <c r="K38" s="44"/>
      <c r="L38" s="44"/>
      <c r="M38" s="19"/>
      <c r="N38" s="18"/>
      <c r="O38" s="12"/>
      <c r="R38" s="80"/>
      <c r="U38" s="11"/>
      <c r="V38" s="11"/>
      <c r="W38" s="11"/>
      <c r="X38" s="11"/>
    </row>
    <row r="39" spans="1:41" s="20" customFormat="1" x14ac:dyDescent="0.2">
      <c r="A39" s="38"/>
      <c r="B39" s="39"/>
      <c r="C39" s="161" t="s">
        <v>92</v>
      </c>
      <c r="D39" s="36" t="s">
        <v>76</v>
      </c>
      <c r="E39" s="173">
        <v>2.0799999999999999E-4</v>
      </c>
      <c r="F39" s="37"/>
      <c r="G39" s="44"/>
      <c r="H39" s="44"/>
      <c r="I39" s="44"/>
      <c r="J39" s="44"/>
      <c r="K39" s="44"/>
      <c r="L39" s="185"/>
      <c r="M39" s="37"/>
      <c r="N39" s="48"/>
      <c r="O39" s="49"/>
      <c r="R39" s="81"/>
      <c r="U39" s="38"/>
      <c r="V39" s="38"/>
      <c r="W39" s="38"/>
      <c r="X39" s="38"/>
    </row>
    <row r="40" spans="1:41" s="13" customFormat="1" ht="15.75" x14ac:dyDescent="0.2">
      <c r="A40" s="11"/>
      <c r="B40" s="17"/>
      <c r="C40" s="27" t="s">
        <v>50</v>
      </c>
      <c r="D40" s="27"/>
      <c r="E40" s="59">
        <f>SUM(E34:E39)</f>
        <v>7.3367000000000002E-2</v>
      </c>
      <c r="F40" s="19"/>
      <c r="G40" s="44"/>
      <c r="H40" s="44"/>
      <c r="I40" s="44"/>
      <c r="J40" s="44"/>
      <c r="K40" s="44"/>
      <c r="L40" s="44"/>
      <c r="M40" s="19"/>
      <c r="N40" s="18"/>
      <c r="O40" s="12"/>
      <c r="R40" s="80"/>
      <c r="U40" s="11"/>
      <c r="V40" s="11"/>
      <c r="W40" s="11"/>
      <c r="X40" s="11"/>
    </row>
    <row r="41" spans="1:41" s="13" customFormat="1" ht="15.75" x14ac:dyDescent="0.2">
      <c r="A41" s="19"/>
      <c r="B41" s="17"/>
      <c r="C41" s="119"/>
      <c r="D41" s="119"/>
      <c r="E41" s="145"/>
      <c r="F41" s="19"/>
      <c r="G41" s="44"/>
      <c r="H41" s="44"/>
      <c r="I41" s="44"/>
      <c r="J41" s="44"/>
      <c r="K41" s="44"/>
      <c r="L41" s="44"/>
      <c r="M41" s="19"/>
      <c r="N41" s="18"/>
      <c r="O41" s="32"/>
      <c r="R41" s="80"/>
      <c r="U41" s="11"/>
      <c r="V41" s="11"/>
      <c r="W41" s="11"/>
      <c r="X41" s="11"/>
    </row>
    <row r="42" spans="1:41" s="13" customFormat="1" ht="15.75" x14ac:dyDescent="0.2">
      <c r="A42" s="19"/>
      <c r="B42" s="17"/>
      <c r="C42" s="27" t="s">
        <v>23</v>
      </c>
      <c r="D42" s="27"/>
      <c r="E42" s="59">
        <v>4.7793999999999996E-2</v>
      </c>
      <c r="F42" s="19"/>
      <c r="G42" s="44"/>
      <c r="H42" s="44"/>
      <c r="I42" s="44"/>
      <c r="J42" s="44"/>
      <c r="K42" s="44"/>
      <c r="L42" s="44"/>
      <c r="M42" s="19"/>
      <c r="N42" s="18"/>
      <c r="O42" s="32"/>
      <c r="R42" s="80"/>
      <c r="U42" s="11"/>
      <c r="V42" s="11"/>
      <c r="W42" s="11"/>
      <c r="X42" s="11"/>
    </row>
    <row r="43" spans="1:41" s="13" customFormat="1" x14ac:dyDescent="0.2">
      <c r="A43" s="19"/>
      <c r="B43" s="17"/>
      <c r="C43" s="36"/>
      <c r="D43" s="36"/>
      <c r="E43" s="153"/>
      <c r="F43" s="19"/>
      <c r="G43" s="44"/>
      <c r="H43" s="44"/>
      <c r="I43" s="44"/>
      <c r="J43" s="44"/>
      <c r="K43" s="44"/>
      <c r="L43" s="44"/>
      <c r="M43" s="19"/>
      <c r="N43" s="18"/>
      <c r="O43" s="32"/>
      <c r="R43" s="80"/>
      <c r="U43" s="11"/>
      <c r="V43" s="11"/>
      <c r="W43" s="11"/>
      <c r="X43" s="11"/>
    </row>
    <row r="44" spans="1:41" s="13" customFormat="1" ht="15.75" x14ac:dyDescent="0.2">
      <c r="A44" s="19"/>
      <c r="B44" s="17"/>
      <c r="C44" s="28" t="s">
        <v>24</v>
      </c>
      <c r="D44" s="28"/>
      <c r="E44" s="40">
        <f>E42+E40+E32+E26+E24</f>
        <v>1</v>
      </c>
      <c r="F44" s="19"/>
      <c r="G44" s="44"/>
      <c r="H44" s="44"/>
      <c r="I44" s="44"/>
      <c r="J44" s="44"/>
      <c r="K44" s="44"/>
      <c r="L44" s="44"/>
      <c r="M44" s="19"/>
      <c r="N44" s="18"/>
      <c r="O44" s="32"/>
      <c r="R44" s="80"/>
      <c r="U44" s="11"/>
      <c r="V44" s="11"/>
      <c r="W44" s="11"/>
      <c r="X44" s="11"/>
    </row>
    <row r="45" spans="1:41" s="13" customFormat="1" x14ac:dyDescent="0.2">
      <c r="A45" s="19"/>
      <c r="B45" s="17"/>
      <c r="F45" s="19"/>
      <c r="G45" s="44"/>
      <c r="H45" s="44"/>
      <c r="I45" s="44"/>
      <c r="J45" s="44"/>
      <c r="K45" s="44"/>
      <c r="L45" s="44"/>
      <c r="M45" s="19"/>
      <c r="N45" s="18"/>
      <c r="O45" s="32"/>
      <c r="R45" s="80"/>
      <c r="U45" s="11"/>
      <c r="V45" s="11"/>
      <c r="W45" s="11"/>
      <c r="X45" s="11"/>
    </row>
    <row r="46" spans="1:41" s="13" customFormat="1" hidden="1" x14ac:dyDescent="0.2">
      <c r="A46" s="19"/>
      <c r="B46" s="17"/>
      <c r="F46" s="19"/>
      <c r="G46" s="44"/>
      <c r="H46" s="44"/>
      <c r="I46" s="44"/>
      <c r="J46" s="44"/>
      <c r="K46" s="44"/>
      <c r="L46" s="44"/>
      <c r="M46" s="19"/>
      <c r="N46" s="18"/>
      <c r="O46" s="32"/>
      <c r="R46" s="80"/>
      <c r="U46" s="11"/>
      <c r="V46" s="11"/>
      <c r="W46" s="11"/>
      <c r="X46" s="11"/>
    </row>
    <row r="47" spans="1:41" s="13" customFormat="1" hidden="1" x14ac:dyDescent="0.2">
      <c r="A47" s="19"/>
      <c r="B47" s="17"/>
      <c r="F47" s="19"/>
      <c r="G47" s="44"/>
      <c r="H47" s="44"/>
      <c r="I47" s="44"/>
      <c r="J47" s="44"/>
      <c r="K47" s="44"/>
      <c r="L47" s="44"/>
      <c r="M47" s="19"/>
      <c r="N47" s="18"/>
      <c r="O47" s="32"/>
      <c r="R47" s="80"/>
      <c r="U47" s="11"/>
      <c r="V47" s="11"/>
      <c r="W47" s="11"/>
      <c r="X47" s="11"/>
    </row>
    <row r="48" spans="1:41" s="13" customFormat="1" hidden="1" x14ac:dyDescent="0.2">
      <c r="A48" s="19"/>
      <c r="B48" s="17"/>
      <c r="F48" s="19"/>
      <c r="G48" s="44"/>
      <c r="H48" s="44"/>
      <c r="I48" s="44"/>
      <c r="J48" s="44"/>
      <c r="K48" s="44"/>
      <c r="L48" s="44"/>
      <c r="M48" s="19"/>
      <c r="N48" s="18"/>
      <c r="O48" s="32"/>
      <c r="R48" s="80"/>
      <c r="U48" s="11"/>
      <c r="V48" s="11"/>
      <c r="W48" s="11"/>
      <c r="X48" s="11"/>
    </row>
    <row r="49" spans="1:24" s="13" customFormat="1" hidden="1" x14ac:dyDescent="0.2">
      <c r="A49" s="19"/>
      <c r="B49" s="17"/>
      <c r="F49" s="19"/>
      <c r="G49" s="44"/>
      <c r="H49" s="44"/>
      <c r="I49" s="44"/>
      <c r="J49" s="44"/>
      <c r="K49" s="44"/>
      <c r="L49" s="44"/>
      <c r="M49" s="19"/>
      <c r="N49" s="18"/>
      <c r="O49" s="32"/>
      <c r="R49" s="80"/>
      <c r="U49" s="11"/>
      <c r="V49" s="11"/>
      <c r="W49" s="11"/>
      <c r="X49" s="11"/>
    </row>
    <row r="50" spans="1:24" s="13" customFormat="1" hidden="1" x14ac:dyDescent="0.2">
      <c r="A50" s="19"/>
      <c r="B50" s="17"/>
      <c r="F50" s="19"/>
      <c r="G50" s="44"/>
      <c r="H50" s="44"/>
      <c r="I50" s="44"/>
      <c r="J50" s="44"/>
      <c r="K50" s="44"/>
      <c r="L50" s="44"/>
      <c r="M50" s="19"/>
      <c r="N50" s="18"/>
      <c r="O50" s="32"/>
      <c r="R50" s="80"/>
      <c r="U50" s="11"/>
      <c r="V50" s="11"/>
      <c r="W50" s="11"/>
      <c r="X50" s="11"/>
    </row>
    <row r="51" spans="1:24" s="13" customFormat="1" hidden="1" x14ac:dyDescent="0.2">
      <c r="A51" s="19"/>
      <c r="B51" s="17"/>
      <c r="F51" s="19"/>
      <c r="G51" s="44"/>
      <c r="H51" s="44"/>
      <c r="I51" s="44"/>
      <c r="J51" s="44"/>
      <c r="K51" s="44"/>
      <c r="L51" s="44"/>
      <c r="M51" s="19"/>
      <c r="N51" s="18"/>
      <c r="O51" s="32"/>
      <c r="R51" s="80"/>
      <c r="U51" s="11"/>
      <c r="V51" s="11"/>
      <c r="W51" s="11"/>
      <c r="X51" s="11"/>
    </row>
    <row r="52" spans="1:24" s="13" customFormat="1" hidden="1" x14ac:dyDescent="0.2">
      <c r="A52" s="19"/>
      <c r="B52" s="17"/>
      <c r="F52" s="19"/>
      <c r="G52" s="44"/>
      <c r="H52" s="44"/>
      <c r="I52" s="44"/>
      <c r="J52" s="44"/>
      <c r="K52" s="44"/>
      <c r="L52" s="44"/>
      <c r="M52" s="19"/>
      <c r="N52" s="18"/>
      <c r="O52" s="32"/>
      <c r="R52" s="80"/>
      <c r="U52" s="11"/>
      <c r="V52" s="11"/>
      <c r="W52" s="11"/>
      <c r="X52" s="11"/>
    </row>
    <row r="53" spans="1:24" s="13" customFormat="1" hidden="1" x14ac:dyDescent="0.2">
      <c r="A53" s="19"/>
      <c r="B53" s="17"/>
      <c r="F53" s="19"/>
      <c r="G53" s="44"/>
      <c r="H53" s="44"/>
      <c r="I53" s="44"/>
      <c r="J53" s="44"/>
      <c r="K53" s="44"/>
      <c r="L53" s="44"/>
      <c r="M53" s="19"/>
      <c r="N53" s="18"/>
      <c r="O53" s="32"/>
      <c r="R53" s="80"/>
      <c r="U53" s="11"/>
      <c r="V53" s="11"/>
      <c r="W53" s="11"/>
      <c r="X53" s="11"/>
    </row>
    <row r="54" spans="1:24" s="13" customFormat="1" hidden="1" x14ac:dyDescent="0.2">
      <c r="A54" s="19"/>
      <c r="B54" s="17"/>
      <c r="F54" s="19"/>
      <c r="G54" s="44"/>
      <c r="H54" s="44"/>
      <c r="I54" s="44"/>
      <c r="J54" s="44"/>
      <c r="K54" s="44"/>
      <c r="L54" s="44"/>
      <c r="M54" s="19"/>
      <c r="N54" s="18"/>
      <c r="O54" s="32"/>
      <c r="R54" s="80"/>
      <c r="U54" s="11"/>
      <c r="V54" s="11"/>
      <c r="W54" s="11"/>
      <c r="X54" s="11"/>
    </row>
    <row r="55" spans="1:24" s="13" customFormat="1" hidden="1" x14ac:dyDescent="0.2">
      <c r="A55" s="19"/>
      <c r="B55" s="17"/>
      <c r="C55" s="11"/>
      <c r="D55" s="11"/>
      <c r="E55" s="11"/>
      <c r="F55" s="19"/>
      <c r="G55" s="44"/>
      <c r="H55" s="44"/>
      <c r="I55" s="44"/>
      <c r="J55" s="44"/>
      <c r="K55" s="44"/>
      <c r="L55" s="44"/>
      <c r="M55" s="19"/>
      <c r="N55" s="18"/>
      <c r="O55" s="32"/>
      <c r="R55" s="80"/>
      <c r="U55" s="11"/>
      <c r="V55" s="11"/>
      <c r="W55" s="11"/>
      <c r="X55" s="11"/>
    </row>
    <row r="56" spans="1:24" s="13" customFormat="1" hidden="1" x14ac:dyDescent="0.2">
      <c r="A56" s="11"/>
      <c r="B56" s="17"/>
      <c r="C56" s="19"/>
      <c r="D56" s="19"/>
      <c r="E56" s="19"/>
      <c r="F56" s="19"/>
      <c r="G56" s="44"/>
      <c r="H56" s="44"/>
      <c r="I56" s="44"/>
      <c r="J56" s="44"/>
      <c r="K56" s="44"/>
      <c r="L56" s="44"/>
      <c r="M56" s="19"/>
      <c r="N56" s="35"/>
      <c r="O56" s="11"/>
      <c r="R56" s="80"/>
      <c r="U56" s="11"/>
      <c r="V56" s="11"/>
      <c r="W56" s="11"/>
      <c r="X56" s="11"/>
    </row>
    <row r="57" spans="1:24" s="13" customFormat="1" hidden="1" x14ac:dyDescent="0.2">
      <c r="A57" s="11"/>
      <c r="B57" s="17"/>
      <c r="C57" s="19"/>
      <c r="D57" s="19"/>
      <c r="E57" s="19"/>
      <c r="F57" s="19"/>
      <c r="G57" s="44"/>
      <c r="H57" s="44"/>
      <c r="I57" s="44"/>
      <c r="J57" s="44"/>
      <c r="K57" s="44"/>
      <c r="L57" s="44"/>
      <c r="M57" s="19"/>
      <c r="N57" s="35"/>
      <c r="O57" s="11"/>
      <c r="R57" s="80"/>
      <c r="U57" s="11"/>
      <c r="V57" s="11"/>
      <c r="W57" s="11"/>
      <c r="X57" s="11"/>
    </row>
    <row r="58" spans="1:24" s="13" customFormat="1" hidden="1" x14ac:dyDescent="0.2">
      <c r="A58" s="11"/>
      <c r="B58" s="17"/>
      <c r="C58" s="19"/>
      <c r="D58" s="19"/>
      <c r="E58" s="19"/>
      <c r="F58" s="19"/>
      <c r="G58" s="44"/>
      <c r="H58" s="44"/>
      <c r="I58" s="44"/>
      <c r="J58" s="44"/>
      <c r="K58" s="44"/>
      <c r="L58" s="44"/>
      <c r="M58" s="19"/>
      <c r="N58" s="35"/>
      <c r="O58" s="11"/>
      <c r="R58" s="80"/>
      <c r="U58" s="11"/>
      <c r="V58" s="11"/>
      <c r="W58" s="11"/>
      <c r="X58" s="11"/>
    </row>
    <row r="59" spans="1:24" s="13" customFormat="1" hidden="1" x14ac:dyDescent="0.2">
      <c r="A59" s="11"/>
      <c r="B59" s="17"/>
      <c r="C59" s="19"/>
      <c r="D59" s="19"/>
      <c r="E59" s="19"/>
      <c r="F59" s="19"/>
      <c r="G59" s="44"/>
      <c r="H59" s="44"/>
      <c r="I59" s="44"/>
      <c r="J59" s="44"/>
      <c r="K59" s="44"/>
      <c r="L59" s="44"/>
      <c r="M59" s="19"/>
      <c r="N59" s="35"/>
      <c r="O59" s="11"/>
      <c r="R59" s="80"/>
      <c r="U59" s="11"/>
      <c r="V59" s="11"/>
      <c r="W59" s="11"/>
      <c r="X59" s="11"/>
    </row>
    <row r="60" spans="1:24" s="13" customFormat="1" hidden="1" x14ac:dyDescent="0.2">
      <c r="A60" s="11"/>
      <c r="B60" s="17"/>
      <c r="C60" s="19"/>
      <c r="D60" s="19"/>
      <c r="E60" s="19"/>
      <c r="F60" s="19"/>
      <c r="G60" s="44"/>
      <c r="H60" s="44"/>
      <c r="I60" s="44"/>
      <c r="J60" s="44"/>
      <c r="K60" s="44"/>
      <c r="L60" s="44"/>
      <c r="M60" s="19"/>
      <c r="N60" s="35"/>
      <c r="O60" s="11"/>
      <c r="R60" s="80"/>
      <c r="U60" s="11"/>
      <c r="V60" s="11"/>
      <c r="W60" s="11"/>
      <c r="X60" s="11"/>
    </row>
    <row r="61" spans="1:24" s="13" customFormat="1" hidden="1" x14ac:dyDescent="0.2">
      <c r="A61" s="11"/>
      <c r="B61" s="17"/>
      <c r="C61" s="19"/>
      <c r="D61" s="19"/>
      <c r="E61" s="19"/>
      <c r="F61" s="19"/>
      <c r="G61" s="44"/>
      <c r="H61" s="44"/>
      <c r="I61" s="44"/>
      <c r="J61" s="44"/>
      <c r="K61" s="44"/>
      <c r="L61" s="44"/>
      <c r="M61" s="19"/>
      <c r="N61" s="35"/>
      <c r="O61" s="11"/>
      <c r="R61" s="80"/>
      <c r="U61" s="11"/>
      <c r="V61" s="11"/>
      <c r="W61" s="11"/>
      <c r="X61" s="11"/>
    </row>
    <row r="62" spans="1:24" s="13" customFormat="1" hidden="1" x14ac:dyDescent="0.2">
      <c r="A62" s="11"/>
      <c r="B62" s="17"/>
      <c r="C62" s="19"/>
      <c r="D62" s="19"/>
      <c r="E62" s="19"/>
      <c r="F62" s="19"/>
      <c r="G62" s="44"/>
      <c r="H62" s="44"/>
      <c r="I62" s="44"/>
      <c r="J62" s="44"/>
      <c r="K62" s="44"/>
      <c r="L62" s="44"/>
      <c r="M62" s="19"/>
      <c r="N62" s="35"/>
      <c r="O62" s="11"/>
      <c r="R62" s="80"/>
      <c r="U62" s="11"/>
      <c r="V62" s="11"/>
      <c r="W62" s="11"/>
      <c r="X62" s="11"/>
    </row>
    <row r="63" spans="1:24" s="13" customFormat="1" hidden="1" x14ac:dyDescent="0.2">
      <c r="A63" s="11"/>
      <c r="B63" s="17"/>
      <c r="C63" s="19"/>
      <c r="D63" s="19"/>
      <c r="E63" s="19"/>
      <c r="F63" s="19"/>
      <c r="G63" s="44"/>
      <c r="H63" s="44"/>
      <c r="I63" s="44"/>
      <c r="J63" s="44"/>
      <c r="K63" s="44"/>
      <c r="L63" s="44"/>
      <c r="M63" s="19"/>
      <c r="N63" s="35"/>
      <c r="O63" s="11"/>
      <c r="R63" s="80"/>
      <c r="U63" s="11"/>
      <c r="V63" s="11"/>
      <c r="W63" s="11"/>
      <c r="X63" s="11"/>
    </row>
    <row r="64" spans="1:24" s="13" customFormat="1" hidden="1" x14ac:dyDescent="0.2">
      <c r="A64" s="11"/>
      <c r="B64" s="17"/>
      <c r="C64" s="19"/>
      <c r="D64" s="19"/>
      <c r="E64" s="19"/>
      <c r="F64" s="19"/>
      <c r="G64" s="44"/>
      <c r="H64" s="44"/>
      <c r="I64" s="44"/>
      <c r="J64" s="44"/>
      <c r="K64" s="44"/>
      <c r="L64" s="44"/>
      <c r="M64" s="19"/>
      <c r="N64" s="35"/>
      <c r="O64" s="11"/>
      <c r="R64" s="80"/>
      <c r="U64" s="11"/>
      <c r="V64" s="11"/>
      <c r="W64" s="11"/>
      <c r="X64" s="11"/>
    </row>
    <row r="65" spans="1:24" s="13" customFormat="1" ht="15.75" thickBot="1" x14ac:dyDescent="0.25">
      <c r="A65" s="11"/>
      <c r="B65" s="29"/>
      <c r="C65" s="30"/>
      <c r="D65" s="30"/>
      <c r="E65" s="30"/>
      <c r="F65" s="30"/>
      <c r="G65" s="192"/>
      <c r="H65" s="192"/>
      <c r="I65" s="192"/>
      <c r="J65" s="192"/>
      <c r="K65" s="192"/>
      <c r="L65" s="192"/>
      <c r="M65" s="30"/>
      <c r="N65" s="41"/>
      <c r="O65" s="11"/>
      <c r="R65" s="80"/>
      <c r="U65" s="11"/>
      <c r="V65" s="11"/>
      <c r="W65" s="11"/>
      <c r="X65" s="11"/>
    </row>
    <row r="66" spans="1:24" s="13" customFormat="1" ht="15.75" thickBot="1" x14ac:dyDescent="0.25">
      <c r="A66" s="11"/>
      <c r="B66" s="11"/>
      <c r="C66" s="11"/>
      <c r="D66" s="11"/>
      <c r="E66" s="11"/>
      <c r="F66" s="11"/>
      <c r="G66" s="33"/>
      <c r="H66" s="33"/>
      <c r="I66" s="33"/>
      <c r="J66" s="33"/>
      <c r="K66" s="33"/>
      <c r="L66" s="33"/>
      <c r="M66" s="11"/>
      <c r="N66" s="11"/>
      <c r="O66" s="11"/>
      <c r="R66" s="80"/>
      <c r="U66" s="11"/>
      <c r="V66" s="11"/>
      <c r="W66" s="11"/>
      <c r="X66" s="11"/>
    </row>
    <row r="67" spans="1:24" s="13" customFormat="1" x14ac:dyDescent="0.2">
      <c r="A67" s="11"/>
      <c r="B67" s="299" t="s">
        <v>127</v>
      </c>
      <c r="C67" s="300"/>
      <c r="D67" s="300"/>
      <c r="E67" s="300"/>
      <c r="F67" s="300"/>
      <c r="G67" s="300"/>
      <c r="H67" s="300"/>
      <c r="I67" s="300"/>
      <c r="J67" s="300"/>
      <c r="K67" s="300"/>
      <c r="L67" s="300"/>
      <c r="M67" s="300"/>
      <c r="N67" s="300"/>
      <c r="O67" s="301"/>
      <c r="R67" s="80"/>
      <c r="U67" s="11"/>
      <c r="V67" s="11"/>
      <c r="W67" s="11"/>
      <c r="X67" s="11"/>
    </row>
    <row r="68" spans="1:24" s="13" customFormat="1" x14ac:dyDescent="0.2">
      <c r="A68" s="11"/>
      <c r="B68" s="302"/>
      <c r="C68" s="303"/>
      <c r="D68" s="303"/>
      <c r="E68" s="303"/>
      <c r="F68" s="303"/>
      <c r="G68" s="303"/>
      <c r="H68" s="303"/>
      <c r="I68" s="303"/>
      <c r="J68" s="303"/>
      <c r="K68" s="303"/>
      <c r="L68" s="303"/>
      <c r="M68" s="303"/>
      <c r="N68" s="303"/>
      <c r="O68" s="304"/>
      <c r="R68" s="80"/>
      <c r="U68" s="11"/>
      <c r="V68" s="11"/>
      <c r="W68" s="11"/>
      <c r="X68" s="11"/>
    </row>
    <row r="69" spans="1:24" s="13" customFormat="1" x14ac:dyDescent="0.2">
      <c r="A69" s="11"/>
      <c r="B69" s="302"/>
      <c r="C69" s="303"/>
      <c r="D69" s="303"/>
      <c r="E69" s="303"/>
      <c r="F69" s="303"/>
      <c r="G69" s="303"/>
      <c r="H69" s="303"/>
      <c r="I69" s="303"/>
      <c r="J69" s="303"/>
      <c r="K69" s="303"/>
      <c r="L69" s="303"/>
      <c r="M69" s="303"/>
      <c r="N69" s="303"/>
      <c r="O69" s="304"/>
      <c r="R69" s="80"/>
      <c r="U69" s="11"/>
      <c r="V69" s="11"/>
      <c r="W69" s="11"/>
      <c r="X69" s="11"/>
    </row>
    <row r="70" spans="1:24" s="13" customFormat="1" x14ac:dyDescent="0.2">
      <c r="A70" s="11"/>
      <c r="B70" s="302"/>
      <c r="C70" s="303"/>
      <c r="D70" s="303"/>
      <c r="E70" s="303"/>
      <c r="F70" s="303"/>
      <c r="G70" s="303"/>
      <c r="H70" s="303"/>
      <c r="I70" s="303"/>
      <c r="J70" s="303"/>
      <c r="K70" s="303"/>
      <c r="L70" s="303"/>
      <c r="M70" s="303"/>
      <c r="N70" s="303"/>
      <c r="O70" s="304"/>
      <c r="R70" s="80"/>
      <c r="U70" s="11"/>
      <c r="V70" s="11"/>
      <c r="W70" s="11"/>
      <c r="X70" s="11"/>
    </row>
    <row r="71" spans="1:24" s="13" customFormat="1" x14ac:dyDescent="0.2">
      <c r="A71" s="11"/>
      <c r="B71" s="302"/>
      <c r="C71" s="303"/>
      <c r="D71" s="303"/>
      <c r="E71" s="303"/>
      <c r="F71" s="303"/>
      <c r="G71" s="303"/>
      <c r="H71" s="303"/>
      <c r="I71" s="303"/>
      <c r="J71" s="303"/>
      <c r="K71" s="303"/>
      <c r="L71" s="303"/>
      <c r="M71" s="303"/>
      <c r="N71" s="303"/>
      <c r="O71" s="304"/>
      <c r="R71" s="80"/>
      <c r="U71" s="11"/>
      <c r="V71" s="11"/>
      <c r="W71" s="11"/>
      <c r="X71" s="11"/>
    </row>
    <row r="72" spans="1:24" s="13" customFormat="1" x14ac:dyDescent="0.2">
      <c r="A72" s="11"/>
      <c r="B72" s="302"/>
      <c r="C72" s="303"/>
      <c r="D72" s="303"/>
      <c r="E72" s="303"/>
      <c r="F72" s="303"/>
      <c r="G72" s="303"/>
      <c r="H72" s="303"/>
      <c r="I72" s="303"/>
      <c r="J72" s="303"/>
      <c r="K72" s="303"/>
      <c r="L72" s="303"/>
      <c r="M72" s="303"/>
      <c r="N72" s="303"/>
      <c r="O72" s="304"/>
      <c r="R72" s="80"/>
      <c r="U72" s="11"/>
      <c r="V72" s="11"/>
      <c r="W72" s="11"/>
      <c r="X72" s="11"/>
    </row>
    <row r="73" spans="1:24" s="13" customFormat="1" ht="15.75" thickBot="1" x14ac:dyDescent="0.25">
      <c r="A73" s="11"/>
      <c r="B73" s="305"/>
      <c r="C73" s="306"/>
      <c r="D73" s="306"/>
      <c r="E73" s="306"/>
      <c r="F73" s="306"/>
      <c r="G73" s="306"/>
      <c r="H73" s="306"/>
      <c r="I73" s="306"/>
      <c r="J73" s="306"/>
      <c r="K73" s="306"/>
      <c r="L73" s="306"/>
      <c r="M73" s="306"/>
      <c r="N73" s="306"/>
      <c r="O73" s="307"/>
      <c r="R73" s="80"/>
      <c r="U73" s="11"/>
      <c r="V73" s="11"/>
      <c r="W73" s="11"/>
      <c r="X73" s="11"/>
    </row>
    <row r="74" spans="1:24" s="13" customFormat="1" x14ac:dyDescent="0.2">
      <c r="A74" s="11"/>
      <c r="B74" s="11"/>
      <c r="C74" s="11"/>
      <c r="D74" s="11"/>
      <c r="E74" s="11"/>
      <c r="F74" s="11"/>
      <c r="G74" s="33"/>
      <c r="H74" s="33"/>
      <c r="I74" s="33"/>
      <c r="J74" s="33"/>
      <c r="K74" s="33"/>
      <c r="L74" s="33"/>
      <c r="M74" s="11"/>
      <c r="N74" s="11"/>
      <c r="O74" s="11"/>
      <c r="R74" s="80"/>
      <c r="U74" s="11"/>
      <c r="V74" s="11"/>
      <c r="W74" s="11"/>
      <c r="X74" s="11"/>
    </row>
    <row r="75" spans="1:24" s="13" customFormat="1" x14ac:dyDescent="0.2">
      <c r="A75" s="11"/>
      <c r="B75" s="11"/>
      <c r="C75" s="11"/>
      <c r="D75" s="11"/>
      <c r="E75" s="11"/>
      <c r="F75" s="11"/>
      <c r="G75" s="33"/>
      <c r="H75" s="33"/>
      <c r="I75" s="33"/>
      <c r="J75" s="33"/>
      <c r="K75" s="33"/>
      <c r="L75" s="33"/>
      <c r="M75" s="11"/>
      <c r="N75" s="11"/>
      <c r="O75" s="11"/>
      <c r="R75" s="80"/>
      <c r="U75" s="11"/>
      <c r="V75" s="11"/>
      <c r="W75" s="11"/>
      <c r="X75" s="11"/>
    </row>
    <row r="76" spans="1:24" s="13" customFormat="1" x14ac:dyDescent="0.2">
      <c r="A76" s="11"/>
      <c r="B76" s="11"/>
      <c r="C76" s="11"/>
      <c r="D76" s="11"/>
      <c r="E76" s="11"/>
      <c r="F76" s="11"/>
      <c r="G76" s="33"/>
      <c r="H76" s="33"/>
      <c r="I76" s="33"/>
      <c r="J76" s="33"/>
      <c r="K76" s="33"/>
      <c r="L76" s="33"/>
      <c r="M76" s="11"/>
      <c r="N76" s="11"/>
      <c r="O76" s="11"/>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33"/>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33"/>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33"/>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33"/>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33"/>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33"/>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33"/>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33"/>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33"/>
      <c r="M674" s="11"/>
      <c r="N674" s="11"/>
      <c r="O674" s="11"/>
      <c r="R674" s="80"/>
      <c r="U674" s="11"/>
      <c r="V674" s="11"/>
      <c r="W674" s="11"/>
      <c r="X674" s="11"/>
    </row>
    <row r="675" spans="1:24" s="13" customFormat="1" x14ac:dyDescent="0.2">
      <c r="A675" s="11"/>
      <c r="B675" s="11"/>
      <c r="C675" s="11"/>
      <c r="D675" s="11"/>
      <c r="E675" s="11"/>
      <c r="F675" s="11"/>
      <c r="G675" s="33"/>
      <c r="H675" s="33"/>
      <c r="I675" s="33"/>
      <c r="J675" s="33"/>
      <c r="K675" s="33"/>
      <c r="L675" s="33"/>
      <c r="M675" s="11"/>
      <c r="N675" s="11"/>
      <c r="O675" s="11"/>
      <c r="R675" s="80"/>
      <c r="U675" s="11"/>
      <c r="V675" s="11"/>
      <c r="W675" s="11"/>
      <c r="X675" s="11"/>
    </row>
    <row r="676" spans="1:24" s="13" customFormat="1" x14ac:dyDescent="0.2">
      <c r="A676" s="11"/>
      <c r="B676" s="11"/>
      <c r="C676" s="11"/>
      <c r="D676" s="11"/>
      <c r="E676" s="11"/>
      <c r="F676" s="11"/>
      <c r="G676" s="33"/>
      <c r="H676" s="33"/>
      <c r="I676" s="33"/>
      <c r="J676" s="33"/>
      <c r="K676" s="33"/>
      <c r="L676" s="33"/>
      <c r="M676" s="11"/>
      <c r="N676" s="11"/>
      <c r="O676" s="11"/>
      <c r="R676" s="80"/>
      <c r="U676" s="11"/>
      <c r="V676" s="11"/>
      <c r="W676" s="11"/>
      <c r="X676" s="11"/>
    </row>
    <row r="677" spans="1:24" s="13" customFormat="1" x14ac:dyDescent="0.2">
      <c r="A677" s="11"/>
      <c r="B677" s="11"/>
      <c r="C677" s="11"/>
      <c r="D677" s="11"/>
      <c r="E677" s="11"/>
      <c r="F677" s="11"/>
      <c r="G677" s="33"/>
      <c r="H677" s="33"/>
      <c r="I677" s="33"/>
      <c r="J677" s="33"/>
      <c r="K677" s="33"/>
      <c r="L677" s="33"/>
      <c r="M677" s="11"/>
      <c r="N677" s="11"/>
      <c r="O677" s="11"/>
      <c r="R677" s="80"/>
      <c r="U677" s="11"/>
      <c r="V677" s="11"/>
      <c r="W677" s="11"/>
      <c r="X677" s="11"/>
    </row>
    <row r="678" spans="1:24" s="13" customFormat="1" x14ac:dyDescent="0.2">
      <c r="A678" s="11"/>
      <c r="B678" s="11"/>
      <c r="C678" s="11"/>
      <c r="D678" s="11"/>
      <c r="E678" s="11"/>
      <c r="F678" s="11"/>
      <c r="G678" s="33"/>
      <c r="H678" s="33"/>
      <c r="I678" s="33"/>
      <c r="J678" s="33"/>
      <c r="K678" s="33"/>
      <c r="L678" s="33"/>
      <c r="M678" s="11"/>
      <c r="N678" s="11"/>
      <c r="O678" s="11"/>
      <c r="R678" s="80"/>
      <c r="U678" s="11"/>
      <c r="V678" s="11"/>
      <c r="W678" s="11"/>
      <c r="X678" s="11"/>
    </row>
    <row r="679" spans="1:24" s="13" customFormat="1" x14ac:dyDescent="0.2">
      <c r="A679" s="11"/>
      <c r="B679" s="11"/>
      <c r="C679" s="11"/>
      <c r="D679" s="11"/>
      <c r="E679" s="11"/>
      <c r="F679" s="11"/>
      <c r="G679" s="33"/>
      <c r="H679" s="33"/>
      <c r="I679" s="33"/>
      <c r="J679" s="33"/>
      <c r="K679" s="33"/>
      <c r="L679" s="33"/>
      <c r="M679" s="11"/>
      <c r="N679" s="11"/>
      <c r="O679" s="11"/>
      <c r="R679" s="80"/>
      <c r="U679" s="11"/>
      <c r="V679" s="11"/>
      <c r="W679" s="11"/>
      <c r="X679" s="11"/>
    </row>
    <row r="680" spans="1:24" s="13" customFormat="1" x14ac:dyDescent="0.2">
      <c r="A680" s="11"/>
      <c r="B680" s="11"/>
      <c r="C680" s="11"/>
      <c r="D680" s="11"/>
      <c r="E680" s="11"/>
      <c r="F680" s="11"/>
      <c r="G680" s="33"/>
      <c r="H680" s="33"/>
      <c r="I680" s="33"/>
      <c r="J680" s="33"/>
      <c r="K680" s="33"/>
      <c r="L680" s="33"/>
      <c r="M680" s="11"/>
      <c r="N680" s="11"/>
      <c r="O680" s="11"/>
      <c r="R680" s="80"/>
      <c r="U680" s="11"/>
      <c r="V680" s="11"/>
      <c r="W680" s="11"/>
      <c r="X680" s="11"/>
    </row>
    <row r="681" spans="1:24" s="13" customFormat="1" x14ac:dyDescent="0.2">
      <c r="A681" s="11"/>
      <c r="B681" s="11"/>
      <c r="C681" s="11"/>
      <c r="D681" s="11"/>
      <c r="E681" s="11"/>
      <c r="F681" s="11"/>
      <c r="G681" s="33"/>
      <c r="H681" s="33"/>
      <c r="I681" s="33"/>
      <c r="J681" s="33"/>
      <c r="K681" s="33"/>
      <c r="L681" s="33"/>
      <c r="M681" s="11"/>
      <c r="N681" s="11"/>
      <c r="O681" s="11"/>
      <c r="R681" s="80"/>
      <c r="U681" s="11"/>
      <c r="V681" s="11"/>
      <c r="W681" s="11"/>
      <c r="X681" s="11"/>
    </row>
    <row r="682" spans="1:24" s="13" customFormat="1" x14ac:dyDescent="0.2">
      <c r="A682" s="11"/>
      <c r="B682" s="11"/>
      <c r="C682" s="11"/>
      <c r="D682" s="11"/>
      <c r="E682" s="11"/>
      <c r="F682" s="11"/>
      <c r="G682" s="33"/>
      <c r="H682" s="33"/>
      <c r="I682" s="33"/>
      <c r="J682" s="33"/>
      <c r="K682" s="33"/>
      <c r="L682" s="33"/>
      <c r="M682" s="11"/>
      <c r="N682" s="11"/>
      <c r="O682" s="11"/>
      <c r="R682" s="80"/>
      <c r="U682" s="11"/>
      <c r="V682" s="11"/>
      <c r="W682" s="11"/>
      <c r="X682" s="11"/>
    </row>
    <row r="683" spans="1:24" s="13" customFormat="1" x14ac:dyDescent="0.2">
      <c r="A683" s="11"/>
      <c r="B683" s="11"/>
      <c r="C683" s="11"/>
      <c r="D683" s="11"/>
      <c r="E683" s="11"/>
      <c r="F683" s="11"/>
      <c r="G683" s="33"/>
      <c r="H683" s="33"/>
      <c r="I683" s="33"/>
      <c r="J683" s="33"/>
      <c r="K683" s="33"/>
      <c r="L683" s="33"/>
      <c r="M683" s="11"/>
      <c r="N683" s="11"/>
      <c r="O683" s="11"/>
      <c r="R683" s="80"/>
      <c r="U683" s="11"/>
      <c r="V683" s="11"/>
      <c r="W683" s="11"/>
      <c r="X683" s="11"/>
    </row>
    <row r="684" spans="1:24" s="13" customFormat="1" x14ac:dyDescent="0.2">
      <c r="A684" s="11"/>
      <c r="B684" s="11"/>
      <c r="C684" s="11"/>
      <c r="D684" s="11"/>
      <c r="E684" s="11"/>
      <c r="F684" s="11"/>
      <c r="G684" s="33"/>
      <c r="H684" s="33"/>
      <c r="I684" s="33"/>
      <c r="J684" s="33"/>
      <c r="K684" s="33"/>
      <c r="L684" s="33"/>
      <c r="M684" s="11"/>
      <c r="N684" s="11"/>
      <c r="O684" s="11"/>
      <c r="R684" s="80"/>
      <c r="U684" s="11"/>
      <c r="V684" s="11"/>
      <c r="W684" s="11"/>
      <c r="X684" s="11"/>
    </row>
  </sheetData>
  <sortState ref="C34:E39">
    <sortCondition descending="1" ref="E34"/>
  </sortState>
  <mergeCells count="6">
    <mergeCell ref="B67:O73"/>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2:21" ht="15.75" thickBot="1" x14ac:dyDescent="0.25"/>
    <row r="2" spans="2:21" x14ac:dyDescent="0.2">
      <c r="B2" s="14"/>
      <c r="C2" s="15"/>
      <c r="D2" s="15"/>
      <c r="E2" s="15"/>
      <c r="F2" s="15"/>
      <c r="G2" s="15"/>
      <c r="H2" s="15"/>
      <c r="I2" s="15"/>
      <c r="J2" s="15"/>
      <c r="K2" s="15"/>
      <c r="L2" s="15"/>
      <c r="M2" s="34"/>
    </row>
    <row r="3" spans="2:21" ht="20.25" customHeight="1" x14ac:dyDescent="0.2">
      <c r="B3" s="17"/>
      <c r="C3" s="293" t="s">
        <v>61</v>
      </c>
      <c r="D3" s="293"/>
      <c r="E3" s="293"/>
      <c r="F3" s="293"/>
      <c r="G3" s="293"/>
      <c r="H3" s="293"/>
      <c r="I3" s="293"/>
      <c r="J3" s="293"/>
      <c r="K3" s="293"/>
      <c r="L3" s="293"/>
      <c r="M3" s="294"/>
    </row>
    <row r="4" spans="2:21" ht="15.75" x14ac:dyDescent="0.25">
      <c r="B4" s="17"/>
      <c r="C4" s="275" t="s">
        <v>253</v>
      </c>
      <c r="D4" s="1"/>
      <c r="E4" s="1"/>
      <c r="F4" s="19"/>
      <c r="G4" s="19"/>
      <c r="H4" s="19"/>
      <c r="I4" s="19"/>
      <c r="J4" s="19"/>
      <c r="K4" s="19"/>
      <c r="L4" s="19"/>
      <c r="M4" s="35"/>
    </row>
    <row r="5" spans="2:21" ht="20.25" customHeight="1" x14ac:dyDescent="0.25">
      <c r="B5" s="17"/>
      <c r="C5" s="2" t="s">
        <v>254</v>
      </c>
      <c r="D5" s="113" t="s">
        <v>271</v>
      </c>
      <c r="E5"/>
      <c r="F5" s="19"/>
      <c r="G5" s="19"/>
      <c r="H5" s="19"/>
      <c r="I5" s="19"/>
      <c r="J5" s="19"/>
      <c r="K5" s="19"/>
      <c r="L5" s="19"/>
      <c r="M5" s="35"/>
    </row>
    <row r="6" spans="2:21" x14ac:dyDescent="0.2">
      <c r="B6" s="17"/>
      <c r="C6" s="19"/>
      <c r="D6" s="19"/>
      <c r="E6" s="19"/>
      <c r="F6" s="19"/>
      <c r="G6" s="19"/>
      <c r="H6" s="19"/>
      <c r="I6" s="19"/>
      <c r="J6" s="19"/>
      <c r="K6" s="19"/>
      <c r="L6" s="19"/>
      <c r="M6" s="35"/>
    </row>
    <row r="7" spans="2:21" ht="32.25" customHeight="1" x14ac:dyDescent="0.2">
      <c r="B7" s="17"/>
      <c r="C7" s="21" t="s">
        <v>51</v>
      </c>
      <c r="D7" s="21" t="s">
        <v>53</v>
      </c>
      <c r="E7" s="19"/>
      <c r="F7" s="295" t="s">
        <v>60</v>
      </c>
      <c r="G7" s="295"/>
      <c r="H7" s="295"/>
      <c r="I7" s="295"/>
      <c r="J7" s="295"/>
      <c r="K7" s="295"/>
      <c r="L7" s="295"/>
      <c r="M7" s="296"/>
    </row>
    <row r="8" spans="2:21" ht="15.75" x14ac:dyDescent="0.25">
      <c r="B8" s="17"/>
      <c r="C8" s="23" t="s">
        <v>153</v>
      </c>
      <c r="D8" s="82">
        <v>2.0542000000000001E-2</v>
      </c>
      <c r="E8" s="51"/>
      <c r="F8" s="44"/>
      <c r="G8" s="42"/>
      <c r="H8" s="26"/>
      <c r="I8" s="19"/>
      <c r="J8" s="170"/>
      <c r="K8" s="26"/>
      <c r="L8" s="44"/>
      <c r="M8" s="35"/>
      <c r="P8" s="80"/>
      <c r="T8" s="13" t="s">
        <v>3</v>
      </c>
      <c r="U8" s="13">
        <v>0.25058799999999998</v>
      </c>
    </row>
    <row r="9" spans="2:21" x14ac:dyDescent="0.2">
      <c r="B9" s="17"/>
      <c r="C9" s="181" t="s">
        <v>154</v>
      </c>
      <c r="D9" s="50">
        <v>0.14968999999999999</v>
      </c>
      <c r="E9" s="19"/>
      <c r="F9" s="44"/>
      <c r="G9" s="26"/>
      <c r="H9" s="26"/>
      <c r="I9" s="19" t="s">
        <v>62</v>
      </c>
      <c r="J9" s="170">
        <f>D11</f>
        <v>0.26305899999999999</v>
      </c>
      <c r="K9" s="26"/>
      <c r="L9" s="44"/>
      <c r="M9" s="35"/>
      <c r="P9" s="80"/>
      <c r="T9" s="13" t="s">
        <v>8</v>
      </c>
      <c r="U9" s="13">
        <v>0.13553799999999999</v>
      </c>
    </row>
    <row r="10" spans="2:21" x14ac:dyDescent="0.2">
      <c r="B10" s="17"/>
      <c r="C10" s="36" t="s">
        <v>155</v>
      </c>
      <c r="D10" s="50">
        <v>9.2827000000000007E-2</v>
      </c>
      <c r="E10" s="19"/>
      <c r="F10" s="44"/>
      <c r="G10" s="26"/>
      <c r="H10" s="26"/>
      <c r="I10" s="19" t="s">
        <v>64</v>
      </c>
      <c r="J10" s="170">
        <f>D16</f>
        <v>0.73230700000000004</v>
      </c>
      <c r="K10" s="26"/>
      <c r="L10" s="44"/>
      <c r="M10" s="35"/>
      <c r="P10" s="80"/>
      <c r="T10" s="13" t="s">
        <v>16</v>
      </c>
      <c r="U10" s="13">
        <v>6.5020000000000008E-2</v>
      </c>
    </row>
    <row r="11" spans="2:21" ht="15.75" x14ac:dyDescent="0.25">
      <c r="B11" s="17"/>
      <c r="C11" s="52" t="s">
        <v>63</v>
      </c>
      <c r="D11" s="53">
        <f>SUM(D8:D10)</f>
        <v>0.26305899999999999</v>
      </c>
      <c r="E11" s="19"/>
      <c r="F11" s="44"/>
      <c r="G11" s="26"/>
      <c r="H11" s="26"/>
      <c r="I11" s="19" t="s">
        <v>23</v>
      </c>
      <c r="J11" s="170">
        <f>D18</f>
        <v>4.634000000000001E-3</v>
      </c>
      <c r="K11" s="26"/>
      <c r="L11" s="44"/>
      <c r="M11" s="35"/>
      <c r="P11" s="80"/>
      <c r="T11" s="13" t="s">
        <v>11</v>
      </c>
      <c r="U11" s="13">
        <v>6.1296999999999997E-2</v>
      </c>
    </row>
    <row r="12" spans="2:21" x14ac:dyDescent="0.2">
      <c r="B12" s="17"/>
      <c r="C12" s="181"/>
      <c r="D12" s="23"/>
      <c r="E12" s="19"/>
      <c r="F12" s="44"/>
      <c r="G12" s="26"/>
      <c r="H12" s="26"/>
      <c r="K12" s="26"/>
      <c r="L12" s="44"/>
      <c r="M12" s="35"/>
      <c r="P12" s="80"/>
      <c r="T12" s="13" t="s">
        <v>10</v>
      </c>
      <c r="U12" s="13">
        <v>5.7718999999999993E-2</v>
      </c>
    </row>
    <row r="13" spans="2:21" ht="15.75" customHeight="1" x14ac:dyDescent="0.2">
      <c r="B13" s="17"/>
      <c r="C13" s="36" t="s">
        <v>156</v>
      </c>
      <c r="D13" s="50">
        <v>0.104853</v>
      </c>
      <c r="E13" s="19"/>
      <c r="F13" s="44"/>
      <c r="G13" s="26"/>
      <c r="H13" s="26"/>
      <c r="I13" s="19"/>
      <c r="J13" s="170"/>
      <c r="K13" s="26"/>
      <c r="L13" s="44"/>
      <c r="M13" s="35"/>
      <c r="P13" s="80"/>
      <c r="T13" s="13" t="s">
        <v>4</v>
      </c>
      <c r="U13" s="13">
        <v>5.0237999999999991E-2</v>
      </c>
    </row>
    <row r="14" spans="2:21" ht="15.75" customHeight="1" x14ac:dyDescent="0.2">
      <c r="B14" s="17"/>
      <c r="C14" s="36" t="s">
        <v>157</v>
      </c>
      <c r="D14" s="50">
        <v>0.48615700000000001</v>
      </c>
      <c r="E14" s="19"/>
      <c r="F14" s="44"/>
      <c r="G14" s="26"/>
      <c r="H14" s="26"/>
      <c r="I14" s="19"/>
      <c r="J14" s="170"/>
      <c r="K14" s="26"/>
      <c r="L14" s="44"/>
      <c r="M14" s="35"/>
      <c r="P14" s="80"/>
      <c r="T14" s="13" t="s">
        <v>19</v>
      </c>
      <c r="U14" s="13">
        <v>4.0393999999999999E-2</v>
      </c>
    </row>
    <row r="15" spans="2:21" x14ac:dyDescent="0.2">
      <c r="B15" s="17"/>
      <c r="C15" s="36" t="s">
        <v>158</v>
      </c>
      <c r="D15" s="50">
        <v>0.14129700000000001</v>
      </c>
      <c r="E15" s="19"/>
      <c r="F15" s="44"/>
      <c r="G15" s="26"/>
      <c r="H15" s="26"/>
      <c r="I15" s="19"/>
      <c r="J15" s="171"/>
      <c r="K15" s="26"/>
      <c r="L15" s="44"/>
      <c r="M15" s="35"/>
      <c r="P15" s="80"/>
      <c r="T15" s="13" t="s">
        <v>27</v>
      </c>
      <c r="U15" s="13">
        <v>3.9577000000000001E-2</v>
      </c>
    </row>
    <row r="16" spans="2:21" ht="15.75" x14ac:dyDescent="0.25">
      <c r="B16" s="17"/>
      <c r="C16" s="52" t="s">
        <v>22</v>
      </c>
      <c r="D16" s="53">
        <f>SUM(D13:D15)</f>
        <v>0.73230700000000004</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4.634000000000001E-3</v>
      </c>
      <c r="E18" s="19"/>
      <c r="F18" s="44"/>
      <c r="G18" s="44"/>
      <c r="H18" s="44"/>
      <c r="I18" s="44"/>
      <c r="J18" s="44"/>
      <c r="K18" s="44"/>
      <c r="L18" s="45"/>
      <c r="M18" s="35"/>
      <c r="P18" s="80"/>
      <c r="T18" s="13" t="s">
        <v>30</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65</v>
      </c>
      <c r="D20" s="55">
        <f>SUM(D18,D16,D11)</f>
        <v>1</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31</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8"/>
      <c r="G25" s="318"/>
      <c r="H25" s="318"/>
      <c r="I25" s="318"/>
      <c r="J25" s="318"/>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7"/>
      <c r="D30" s="297"/>
      <c r="E30" s="297"/>
      <c r="F30" s="297"/>
      <c r="G30" s="297"/>
      <c r="H30" s="297"/>
      <c r="I30" s="297"/>
      <c r="J30" s="297"/>
      <c r="K30" s="297"/>
      <c r="L30" s="297"/>
      <c r="M30" s="298"/>
      <c r="P30" s="80"/>
    </row>
    <row r="31" spans="2:21" ht="15.75" thickBot="1" x14ac:dyDescent="0.25">
      <c r="P31" s="80"/>
    </row>
    <row r="32" spans="2:21" x14ac:dyDescent="0.2">
      <c r="B32" s="299" t="s">
        <v>127</v>
      </c>
      <c r="C32" s="300"/>
      <c r="D32" s="300"/>
      <c r="E32" s="300"/>
      <c r="F32" s="300"/>
      <c r="G32" s="300"/>
      <c r="H32" s="300"/>
      <c r="I32" s="300"/>
      <c r="J32" s="300"/>
      <c r="K32" s="300"/>
      <c r="L32" s="300"/>
      <c r="M32" s="300"/>
      <c r="N32" s="301"/>
      <c r="P32" s="80"/>
    </row>
    <row r="33" spans="2:16" x14ac:dyDescent="0.2">
      <c r="B33" s="302"/>
      <c r="C33" s="303"/>
      <c r="D33" s="303"/>
      <c r="E33" s="303"/>
      <c r="F33" s="303"/>
      <c r="G33" s="303"/>
      <c r="H33" s="303"/>
      <c r="I33" s="303"/>
      <c r="J33" s="303"/>
      <c r="K33" s="303"/>
      <c r="L33" s="303"/>
      <c r="M33" s="303"/>
      <c r="N33" s="304"/>
      <c r="P33" s="80"/>
    </row>
    <row r="34" spans="2:16" x14ac:dyDescent="0.2">
      <c r="B34" s="302"/>
      <c r="C34" s="303"/>
      <c r="D34" s="303"/>
      <c r="E34" s="303"/>
      <c r="F34" s="303"/>
      <c r="G34" s="303"/>
      <c r="H34" s="303"/>
      <c r="I34" s="303"/>
      <c r="J34" s="303"/>
      <c r="K34" s="303"/>
      <c r="L34" s="303"/>
      <c r="M34" s="303"/>
      <c r="N34" s="304"/>
      <c r="P34" s="80"/>
    </row>
    <row r="35" spans="2:16" x14ac:dyDescent="0.2">
      <c r="B35" s="302"/>
      <c r="C35" s="303"/>
      <c r="D35" s="303"/>
      <c r="E35" s="303"/>
      <c r="F35" s="303"/>
      <c r="G35" s="303"/>
      <c r="H35" s="303"/>
      <c r="I35" s="303"/>
      <c r="J35" s="303"/>
      <c r="K35" s="303"/>
      <c r="L35" s="303"/>
      <c r="M35" s="303"/>
      <c r="N35" s="304"/>
      <c r="P35" s="80"/>
    </row>
    <row r="36" spans="2:16" x14ac:dyDescent="0.2">
      <c r="B36" s="302"/>
      <c r="C36" s="303"/>
      <c r="D36" s="303"/>
      <c r="E36" s="303"/>
      <c r="F36" s="303"/>
      <c r="G36" s="303"/>
      <c r="H36" s="303"/>
      <c r="I36" s="303"/>
      <c r="J36" s="303"/>
      <c r="K36" s="303"/>
      <c r="L36" s="303"/>
      <c r="M36" s="303"/>
      <c r="N36" s="304"/>
      <c r="P36" s="80"/>
    </row>
    <row r="37" spans="2:16" x14ac:dyDescent="0.2">
      <c r="B37" s="302"/>
      <c r="C37" s="303"/>
      <c r="D37" s="303"/>
      <c r="E37" s="303"/>
      <c r="F37" s="303"/>
      <c r="G37" s="303"/>
      <c r="H37" s="303"/>
      <c r="I37" s="303"/>
      <c r="J37" s="303"/>
      <c r="K37" s="303"/>
      <c r="L37" s="303"/>
      <c r="M37" s="303"/>
      <c r="N37" s="304"/>
      <c r="P37" s="80"/>
    </row>
    <row r="38" spans="2:16" ht="15.75" thickBot="1" x14ac:dyDescent="0.25">
      <c r="B38" s="305"/>
      <c r="C38" s="306"/>
      <c r="D38" s="306"/>
      <c r="E38" s="306"/>
      <c r="F38" s="306"/>
      <c r="G38" s="306"/>
      <c r="H38" s="306"/>
      <c r="I38" s="306"/>
      <c r="J38" s="306"/>
      <c r="K38" s="306"/>
      <c r="L38" s="306"/>
      <c r="M38" s="306"/>
      <c r="N38" s="307"/>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13:D15">
    <sortCondition descending="1" ref="D13"/>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5"/>
      <c r="J2" s="15"/>
      <c r="K2" s="15"/>
      <c r="L2" s="15"/>
      <c r="M2" s="34"/>
    </row>
    <row r="3" spans="2:24" ht="20.25" customHeight="1" x14ac:dyDescent="0.2">
      <c r="B3" s="17"/>
      <c r="C3" s="293" t="s">
        <v>66</v>
      </c>
      <c r="D3" s="293"/>
      <c r="E3" s="293"/>
      <c r="F3" s="293"/>
      <c r="G3" s="293"/>
      <c r="H3" s="293"/>
      <c r="I3" s="293"/>
      <c r="J3" s="293"/>
      <c r="K3" s="293"/>
      <c r="L3" s="293"/>
      <c r="M3" s="294"/>
    </row>
    <row r="4" spans="2:24" ht="15.75" x14ac:dyDescent="0.25">
      <c r="B4" s="17"/>
      <c r="C4" s="275" t="s">
        <v>253</v>
      </c>
      <c r="D4" s="1"/>
      <c r="E4" s="1"/>
      <c r="F4" s="19"/>
      <c r="G4" s="19"/>
      <c r="H4" s="19"/>
      <c r="I4" s="19"/>
      <c r="J4" s="19"/>
      <c r="K4" s="19"/>
      <c r="L4" s="19"/>
      <c r="M4" s="35"/>
    </row>
    <row r="5" spans="2:24" ht="20.25" customHeight="1" x14ac:dyDescent="0.25">
      <c r="B5" s="17"/>
      <c r="C5" s="2" t="s">
        <v>254</v>
      </c>
      <c r="D5" s="113" t="s">
        <v>272</v>
      </c>
      <c r="E5"/>
      <c r="F5" s="19"/>
      <c r="G5" s="19"/>
      <c r="H5" s="19"/>
      <c r="I5" s="19"/>
      <c r="J5" s="19"/>
      <c r="K5" s="19"/>
      <c r="L5" s="19"/>
      <c r="M5" s="35"/>
    </row>
    <row r="6" spans="2:24" x14ac:dyDescent="0.2">
      <c r="B6" s="17"/>
      <c r="C6" s="19"/>
      <c r="D6" s="19"/>
      <c r="E6" s="19"/>
      <c r="F6" s="19"/>
      <c r="G6" s="19"/>
      <c r="H6" s="19"/>
      <c r="I6" s="19"/>
      <c r="J6" s="19"/>
      <c r="K6" s="19"/>
      <c r="L6" s="19"/>
      <c r="M6" s="35"/>
    </row>
    <row r="7" spans="2:24" ht="32.25" customHeight="1" x14ac:dyDescent="0.2">
      <c r="B7" s="17"/>
      <c r="C7" s="21" t="s">
        <v>51</v>
      </c>
      <c r="D7" s="21" t="s">
        <v>53</v>
      </c>
      <c r="E7" s="19"/>
      <c r="F7" s="314" t="s">
        <v>60</v>
      </c>
      <c r="G7" s="314"/>
      <c r="H7" s="314"/>
      <c r="I7" s="314"/>
      <c r="J7" s="314"/>
      <c r="K7" s="314"/>
      <c r="L7" s="314"/>
      <c r="M7" s="315"/>
    </row>
    <row r="8" spans="2:24" x14ac:dyDescent="0.2">
      <c r="B8" s="17"/>
      <c r="C8" s="36" t="s">
        <v>153</v>
      </c>
      <c r="D8" s="50">
        <v>2.7363999999999999E-2</v>
      </c>
      <c r="E8" s="19"/>
      <c r="F8" s="19"/>
      <c r="G8" s="120"/>
      <c r="H8" s="19"/>
      <c r="I8" s="57" t="s">
        <v>62</v>
      </c>
      <c r="J8" s="58">
        <f>D11</f>
        <v>0.48128199999999999</v>
      </c>
      <c r="K8" s="19"/>
      <c r="L8" s="19"/>
      <c r="M8" s="35"/>
      <c r="S8" s="80"/>
      <c r="W8" s="11" t="s">
        <v>3</v>
      </c>
      <c r="X8" s="11">
        <v>0.25058799999999998</v>
      </c>
    </row>
    <row r="9" spans="2:24" ht="15.75" customHeight="1" x14ac:dyDescent="0.2">
      <c r="B9" s="17"/>
      <c r="C9" s="36" t="s">
        <v>154</v>
      </c>
      <c r="D9" s="50">
        <v>0.14605699999999999</v>
      </c>
      <c r="E9" s="19"/>
      <c r="F9" s="19"/>
      <c r="G9" s="19"/>
      <c r="H9" s="19"/>
      <c r="I9" s="57" t="s">
        <v>64</v>
      </c>
      <c r="J9" s="60">
        <f>D17</f>
        <v>0.48241499999999993</v>
      </c>
      <c r="K9" s="19"/>
      <c r="L9" s="19"/>
      <c r="M9" s="35"/>
      <c r="S9" s="80"/>
      <c r="W9" s="11" t="s">
        <v>8</v>
      </c>
      <c r="X9" s="11">
        <v>0.13553799999999999</v>
      </c>
    </row>
    <row r="10" spans="2:24" x14ac:dyDescent="0.2">
      <c r="B10" s="17"/>
      <c r="C10" s="23" t="s">
        <v>155</v>
      </c>
      <c r="D10" s="82">
        <v>0.307861</v>
      </c>
      <c r="E10" s="19"/>
      <c r="F10" s="19"/>
      <c r="G10" s="19"/>
      <c r="H10" s="19"/>
      <c r="I10" s="57" t="s">
        <v>23</v>
      </c>
      <c r="J10" s="60">
        <f>D19</f>
        <v>3.6303000000000002E-2</v>
      </c>
      <c r="K10" s="19"/>
      <c r="L10" s="19"/>
      <c r="M10" s="35"/>
      <c r="S10" s="80"/>
      <c r="W10" s="11" t="s">
        <v>16</v>
      </c>
      <c r="X10" s="11">
        <v>6.5020000000000008E-2</v>
      </c>
    </row>
    <row r="11" spans="2:24" ht="15.75" customHeight="1" x14ac:dyDescent="0.25">
      <c r="B11" s="17"/>
      <c r="C11" s="52" t="s">
        <v>63</v>
      </c>
      <c r="D11" s="53">
        <f>SUM(D8:D10)</f>
        <v>0.48128199999999999</v>
      </c>
      <c r="E11" s="19"/>
      <c r="F11" s="19"/>
      <c r="G11" s="19"/>
      <c r="H11" s="19"/>
      <c r="I11" s="13"/>
      <c r="J11" s="13"/>
      <c r="K11" s="19"/>
      <c r="L11" s="19"/>
      <c r="M11" s="35"/>
      <c r="S11" s="80"/>
      <c r="W11" s="11" t="s">
        <v>11</v>
      </c>
      <c r="X11" s="11">
        <v>6.1296999999999997E-2</v>
      </c>
    </row>
    <row r="12" spans="2:24" x14ac:dyDescent="0.2">
      <c r="B12" s="17"/>
      <c r="C12" s="23"/>
      <c r="D12" s="23"/>
      <c r="E12" s="19"/>
      <c r="F12" s="19"/>
      <c r="G12" s="19"/>
      <c r="H12" s="19"/>
      <c r="K12" s="19"/>
      <c r="L12" s="19"/>
      <c r="M12" s="35"/>
      <c r="S12" s="80"/>
      <c r="W12" s="11" t="s">
        <v>10</v>
      </c>
      <c r="X12" s="11">
        <v>5.7718999999999993E-2</v>
      </c>
    </row>
    <row r="13" spans="2:24" ht="15.75" customHeight="1" x14ac:dyDescent="0.2">
      <c r="B13" s="17"/>
      <c r="C13" s="36" t="s">
        <v>156</v>
      </c>
      <c r="D13" s="50">
        <v>8.6798E-2</v>
      </c>
      <c r="E13" s="19"/>
      <c r="F13" s="19"/>
      <c r="G13" s="19"/>
      <c r="H13" s="19"/>
      <c r="I13" s="172"/>
      <c r="J13" s="172"/>
      <c r="K13" s="19"/>
      <c r="L13" s="19"/>
      <c r="M13" s="35"/>
      <c r="S13" s="80"/>
      <c r="W13" s="11" t="s">
        <v>4</v>
      </c>
      <c r="X13" s="11">
        <v>5.0237999999999991E-2</v>
      </c>
    </row>
    <row r="14" spans="2:24" x14ac:dyDescent="0.2">
      <c r="B14" s="17"/>
      <c r="C14" s="36" t="s">
        <v>157</v>
      </c>
      <c r="D14" s="50">
        <v>0.28288999999999997</v>
      </c>
      <c r="E14" s="19"/>
      <c r="F14" s="45"/>
      <c r="G14" s="45"/>
      <c r="H14" s="45"/>
      <c r="I14" s="45"/>
      <c r="J14" s="45"/>
      <c r="K14" s="45"/>
      <c r="L14" s="45"/>
      <c r="M14" s="43"/>
      <c r="S14" s="80"/>
      <c r="W14" s="11" t="s">
        <v>19</v>
      </c>
      <c r="X14" s="11">
        <v>4.0393999999999999E-2</v>
      </c>
    </row>
    <row r="15" spans="2:24" x14ac:dyDescent="0.2">
      <c r="B15" s="17"/>
      <c r="C15" s="36" t="s">
        <v>158</v>
      </c>
      <c r="D15" s="50">
        <v>0.11272699999999999</v>
      </c>
      <c r="E15" s="19"/>
      <c r="F15" s="44"/>
      <c r="G15" s="44"/>
      <c r="H15" s="44"/>
      <c r="I15" s="44"/>
      <c r="J15" s="44"/>
      <c r="K15" s="44"/>
      <c r="L15" s="44"/>
      <c r="M15" s="43"/>
      <c r="S15" s="80"/>
      <c r="W15" s="11" t="s">
        <v>27</v>
      </c>
      <c r="X15" s="11">
        <v>3.9577000000000001E-2</v>
      </c>
    </row>
    <row r="16" spans="2: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0.48241499999999993</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30</v>
      </c>
      <c r="X18" s="11">
        <v>2.5925E-2</v>
      </c>
    </row>
    <row r="19" spans="2:24" ht="15.75" x14ac:dyDescent="0.25">
      <c r="B19" s="17"/>
      <c r="C19" s="52" t="s">
        <v>23</v>
      </c>
      <c r="D19" s="53">
        <v>3.6303000000000002E-2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65</v>
      </c>
      <c r="D21" s="55">
        <f>SUM(D19,D17,D11)</f>
        <v>0.99999999999999989</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31</v>
      </c>
      <c r="X22" s="11">
        <v>1.7219000000000002E-2</v>
      </c>
    </row>
    <row r="23" spans="2:24" x14ac:dyDescent="0.2">
      <c r="B23" s="17"/>
      <c r="C23" s="155"/>
      <c r="D23" s="156"/>
      <c r="E23" s="19"/>
      <c r="F23" s="32" t="s">
        <v>59</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8"/>
      <c r="G37" s="318"/>
      <c r="H37" s="318"/>
      <c r="I37" s="318"/>
      <c r="J37" s="318"/>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9" t="s">
        <v>127</v>
      </c>
      <c r="C41" s="300"/>
      <c r="D41" s="300"/>
      <c r="E41" s="300"/>
      <c r="F41" s="300"/>
      <c r="G41" s="300"/>
      <c r="H41" s="300"/>
      <c r="I41" s="300"/>
      <c r="J41" s="300"/>
      <c r="K41" s="300"/>
      <c r="L41" s="300"/>
      <c r="M41" s="300"/>
      <c r="N41" s="301"/>
      <c r="S41" s="80"/>
    </row>
    <row r="42" spans="2:19" x14ac:dyDescent="0.2">
      <c r="B42" s="302"/>
      <c r="C42" s="303"/>
      <c r="D42" s="303"/>
      <c r="E42" s="303"/>
      <c r="F42" s="303"/>
      <c r="G42" s="303"/>
      <c r="H42" s="303"/>
      <c r="I42" s="303"/>
      <c r="J42" s="303"/>
      <c r="K42" s="303"/>
      <c r="L42" s="303"/>
      <c r="M42" s="303"/>
      <c r="N42" s="304"/>
      <c r="S42" s="80"/>
    </row>
    <row r="43" spans="2:19" x14ac:dyDescent="0.2">
      <c r="B43" s="302"/>
      <c r="C43" s="303"/>
      <c r="D43" s="303"/>
      <c r="E43" s="303"/>
      <c r="F43" s="303"/>
      <c r="G43" s="303"/>
      <c r="H43" s="303"/>
      <c r="I43" s="303"/>
      <c r="J43" s="303"/>
      <c r="K43" s="303"/>
      <c r="L43" s="303"/>
      <c r="M43" s="303"/>
      <c r="N43" s="304"/>
      <c r="S43" s="80"/>
    </row>
    <row r="44" spans="2:19" x14ac:dyDescent="0.2">
      <c r="B44" s="302"/>
      <c r="C44" s="303"/>
      <c r="D44" s="303"/>
      <c r="E44" s="303"/>
      <c r="F44" s="303"/>
      <c r="G44" s="303"/>
      <c r="H44" s="303"/>
      <c r="I44" s="303"/>
      <c r="J44" s="303"/>
      <c r="K44" s="303"/>
      <c r="L44" s="303"/>
      <c r="M44" s="303"/>
      <c r="N44" s="304"/>
      <c r="S44" s="80"/>
    </row>
    <row r="45" spans="2:19" x14ac:dyDescent="0.2">
      <c r="B45" s="302"/>
      <c r="C45" s="303"/>
      <c r="D45" s="303"/>
      <c r="E45" s="303"/>
      <c r="F45" s="303"/>
      <c r="G45" s="303"/>
      <c r="H45" s="303"/>
      <c r="I45" s="303"/>
      <c r="J45" s="303"/>
      <c r="K45" s="303"/>
      <c r="L45" s="303"/>
      <c r="M45" s="303"/>
      <c r="N45" s="304"/>
      <c r="S45" s="80"/>
    </row>
    <row r="46" spans="2:19" x14ac:dyDescent="0.2">
      <c r="B46" s="302"/>
      <c r="C46" s="303"/>
      <c r="D46" s="303"/>
      <c r="E46" s="303"/>
      <c r="F46" s="303"/>
      <c r="G46" s="303"/>
      <c r="H46" s="303"/>
      <c r="I46" s="303"/>
      <c r="J46" s="303"/>
      <c r="K46" s="303"/>
      <c r="L46" s="303"/>
      <c r="M46" s="303"/>
      <c r="N46" s="304"/>
      <c r="S46" s="80"/>
    </row>
    <row r="47" spans="2:19" ht="15.75" thickBot="1" x14ac:dyDescent="0.25">
      <c r="B47" s="305"/>
      <c r="C47" s="306"/>
      <c r="D47" s="306"/>
      <c r="E47" s="306"/>
      <c r="F47" s="306"/>
      <c r="G47" s="306"/>
      <c r="H47" s="306"/>
      <c r="I47" s="306"/>
      <c r="J47" s="306"/>
      <c r="K47" s="306"/>
      <c r="L47" s="306"/>
      <c r="M47" s="306"/>
      <c r="N47" s="307"/>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2:24" ht="15.75" thickBot="1" x14ac:dyDescent="0.25"/>
    <row r="2" spans="2:24" x14ac:dyDescent="0.2">
      <c r="B2" s="14"/>
      <c r="C2" s="15"/>
      <c r="D2" s="15"/>
      <c r="E2" s="15"/>
      <c r="F2" s="15"/>
      <c r="G2" s="15"/>
      <c r="H2" s="15"/>
      <c r="I2" s="187"/>
      <c r="J2" s="187"/>
      <c r="K2" s="15"/>
      <c r="L2" s="15"/>
      <c r="M2" s="34"/>
    </row>
    <row r="3" spans="2:24" ht="20.25" customHeight="1" x14ac:dyDescent="0.2">
      <c r="B3" s="17"/>
      <c r="C3" s="293" t="s">
        <v>67</v>
      </c>
      <c r="D3" s="293"/>
      <c r="E3" s="293"/>
      <c r="F3" s="293"/>
      <c r="G3" s="293"/>
      <c r="H3" s="293"/>
      <c r="I3" s="293"/>
      <c r="J3" s="293"/>
      <c r="K3" s="293"/>
      <c r="L3" s="293"/>
      <c r="M3" s="294"/>
    </row>
    <row r="4" spans="2:24" ht="15.75" x14ac:dyDescent="0.25">
      <c r="B4" s="17"/>
      <c r="C4" s="275" t="s">
        <v>253</v>
      </c>
      <c r="D4" s="1"/>
      <c r="E4" s="1"/>
      <c r="F4" s="19"/>
      <c r="G4" s="19"/>
      <c r="H4" s="19"/>
      <c r="I4" s="44"/>
      <c r="J4" s="44"/>
      <c r="K4" s="19"/>
      <c r="L4" s="19"/>
      <c r="M4" s="35"/>
    </row>
    <row r="5" spans="2:24" ht="20.25" customHeight="1" x14ac:dyDescent="0.25">
      <c r="B5" s="17"/>
      <c r="C5" s="2" t="s">
        <v>254</v>
      </c>
      <c r="D5" s="113" t="s">
        <v>273</v>
      </c>
      <c r="E5"/>
      <c r="F5" s="19"/>
      <c r="G5" s="19"/>
      <c r="H5" s="19"/>
      <c r="I5" s="44"/>
      <c r="J5" s="44"/>
      <c r="K5" s="19"/>
      <c r="L5" s="19"/>
      <c r="M5" s="35"/>
    </row>
    <row r="6" spans="2:24" x14ac:dyDescent="0.2">
      <c r="B6" s="17"/>
      <c r="C6" s="19"/>
      <c r="D6" s="19"/>
      <c r="E6" s="19"/>
      <c r="F6" s="19"/>
      <c r="G6" s="19"/>
      <c r="H6" s="19"/>
      <c r="I6" s="44"/>
      <c r="J6" s="44"/>
      <c r="K6" s="19"/>
      <c r="L6" s="19"/>
      <c r="M6" s="35"/>
    </row>
    <row r="7" spans="2:24" ht="15.75" x14ac:dyDescent="0.2">
      <c r="B7" s="17"/>
      <c r="C7" s="21" t="s">
        <v>51</v>
      </c>
      <c r="D7" s="21" t="s">
        <v>53</v>
      </c>
      <c r="E7" s="19"/>
      <c r="F7" s="295" t="s">
        <v>60</v>
      </c>
      <c r="G7" s="295"/>
      <c r="H7" s="295"/>
      <c r="I7" s="295"/>
      <c r="J7" s="295"/>
      <c r="K7" s="295"/>
      <c r="L7" s="295"/>
      <c r="M7" s="296"/>
    </row>
    <row r="8" spans="2:24" x14ac:dyDescent="0.2">
      <c r="B8" s="17"/>
      <c r="C8" s="36" t="s">
        <v>153</v>
      </c>
      <c r="D8" s="50">
        <v>3.2458000000000001E-2</v>
      </c>
      <c r="E8" s="19"/>
      <c r="F8" s="19"/>
      <c r="G8" s="151"/>
      <c r="H8" s="26"/>
      <c r="I8" s="44" t="s">
        <v>62</v>
      </c>
      <c r="J8" s="195">
        <f>D11</f>
        <v>0.67830000000000001</v>
      </c>
      <c r="K8" s="19"/>
      <c r="L8" s="44"/>
      <c r="M8" s="35"/>
      <c r="S8" s="80"/>
      <c r="W8" s="11" t="s">
        <v>3</v>
      </c>
      <c r="X8" s="11">
        <v>0.25058799999999998</v>
      </c>
    </row>
    <row r="9" spans="2:24" ht="15.75" customHeight="1" x14ac:dyDescent="0.2">
      <c r="B9" s="17"/>
      <c r="C9" s="23" t="s">
        <v>154</v>
      </c>
      <c r="D9" s="82">
        <v>0.452401</v>
      </c>
      <c r="E9" s="19"/>
      <c r="F9" s="19"/>
      <c r="G9" s="44"/>
      <c r="H9" s="26"/>
      <c r="I9" s="44" t="s">
        <v>64</v>
      </c>
      <c r="J9" s="195">
        <f>D15</f>
        <v>0.27685700000000002</v>
      </c>
      <c r="K9" s="19"/>
      <c r="L9" s="44"/>
      <c r="M9" s="35"/>
      <c r="S9" s="80"/>
      <c r="W9" s="11" t="s">
        <v>8</v>
      </c>
      <c r="X9" s="11">
        <v>0.13553799999999999</v>
      </c>
    </row>
    <row r="10" spans="2:24" x14ac:dyDescent="0.2">
      <c r="B10" s="17"/>
      <c r="C10" s="23" t="s">
        <v>155</v>
      </c>
      <c r="D10" s="118">
        <v>0.193441</v>
      </c>
      <c r="E10" s="19"/>
      <c r="F10" s="19"/>
      <c r="G10" s="44"/>
      <c r="H10" s="26"/>
      <c r="I10" s="44" t="s">
        <v>23</v>
      </c>
      <c r="J10" s="195">
        <f>D17</f>
        <v>4.4842999999999994E-2</v>
      </c>
      <c r="K10" s="19"/>
      <c r="L10" s="44"/>
      <c r="M10" s="35"/>
      <c r="S10" s="80"/>
      <c r="W10" s="11" t="s">
        <v>16</v>
      </c>
      <c r="X10" s="11">
        <v>6.5020000000000008E-2</v>
      </c>
    </row>
    <row r="11" spans="2:24" ht="15.75" x14ac:dyDescent="0.25">
      <c r="B11" s="17"/>
      <c r="C11" s="52" t="s">
        <v>63</v>
      </c>
      <c r="D11" s="53">
        <f>SUM(D8:D10)</f>
        <v>0.67830000000000001</v>
      </c>
      <c r="E11" s="19"/>
      <c r="F11" s="19"/>
      <c r="G11" s="44"/>
      <c r="H11" s="26"/>
      <c r="K11" s="19"/>
      <c r="L11" s="44"/>
      <c r="M11" s="35"/>
      <c r="S11" s="80"/>
      <c r="W11" s="11" t="s">
        <v>11</v>
      </c>
      <c r="X11" s="11">
        <v>6.1296999999999997E-2</v>
      </c>
    </row>
    <row r="12" spans="2:24" x14ac:dyDescent="0.2">
      <c r="B12" s="17"/>
      <c r="C12" s="23"/>
      <c r="D12" s="23"/>
      <c r="E12" s="19"/>
      <c r="F12" s="19"/>
      <c r="G12" s="44"/>
      <c r="H12" s="26"/>
      <c r="I12" s="44"/>
      <c r="J12" s="44"/>
      <c r="K12" s="19"/>
      <c r="L12" s="44"/>
      <c r="M12" s="35"/>
      <c r="S12" s="80"/>
      <c r="W12" s="11" t="s">
        <v>10</v>
      </c>
      <c r="X12" s="11">
        <v>5.7718999999999993E-2</v>
      </c>
    </row>
    <row r="13" spans="2:24" x14ac:dyDescent="0.2">
      <c r="B13" s="17"/>
      <c r="C13" s="36" t="s">
        <v>156</v>
      </c>
      <c r="D13" s="50">
        <v>7.5827000000000006E-2</v>
      </c>
      <c r="E13" s="19"/>
      <c r="F13" s="19"/>
      <c r="G13" s="44"/>
      <c r="H13" s="26"/>
      <c r="I13" s="44"/>
      <c r="J13" s="44"/>
      <c r="K13" s="26"/>
      <c r="L13" s="44"/>
      <c r="M13" s="35"/>
      <c r="S13" s="80"/>
      <c r="W13" s="11" t="s">
        <v>4</v>
      </c>
      <c r="X13" s="11">
        <v>5.0237999999999991E-2</v>
      </c>
    </row>
    <row r="14" spans="2:24" x14ac:dyDescent="0.2">
      <c r="B14" s="17"/>
      <c r="C14" s="36" t="s">
        <v>157</v>
      </c>
      <c r="D14" s="50">
        <v>0.20102999999999999</v>
      </c>
      <c r="E14" s="19"/>
      <c r="F14" s="19"/>
      <c r="G14" s="44"/>
      <c r="H14" s="26"/>
      <c r="I14" s="44"/>
      <c r="J14" s="44"/>
      <c r="K14" s="26"/>
      <c r="L14" s="19"/>
      <c r="M14" s="35"/>
      <c r="S14" s="80"/>
      <c r="W14" s="11" t="s">
        <v>19</v>
      </c>
      <c r="X14" s="11">
        <v>4.0393999999999999E-2</v>
      </c>
    </row>
    <row r="15" spans="2:24" ht="15.75" x14ac:dyDescent="0.25">
      <c r="B15" s="17"/>
      <c r="C15" s="52" t="s">
        <v>158</v>
      </c>
      <c r="D15" s="53">
        <f>SUM(D12:D14)</f>
        <v>0.27685700000000002</v>
      </c>
      <c r="E15" s="19"/>
      <c r="F15" s="19"/>
      <c r="G15" s="44"/>
      <c r="H15" s="44"/>
      <c r="I15" s="44"/>
      <c r="J15" s="44"/>
      <c r="K15" s="44"/>
      <c r="L15" s="19"/>
      <c r="M15" s="35"/>
      <c r="S15" s="80"/>
      <c r="W15" s="11" t="s">
        <v>27</v>
      </c>
      <c r="X15" s="11">
        <v>3.9577000000000001E-2</v>
      </c>
    </row>
    <row r="16" spans="2: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4.4842999999999994E-2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30</v>
      </c>
      <c r="X18" s="11">
        <v>2.5925E-2</v>
      </c>
    </row>
    <row r="19" spans="2:24" ht="15.75" x14ac:dyDescent="0.25">
      <c r="B19" s="17"/>
      <c r="C19" s="54" t="s">
        <v>65</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31</v>
      </c>
      <c r="X22" s="11">
        <v>1.7219000000000002E-2</v>
      </c>
    </row>
    <row r="23" spans="2:24" ht="15.75" x14ac:dyDescent="0.25">
      <c r="B23" s="17"/>
      <c r="C23" s="157"/>
      <c r="D23" s="158"/>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7"/>
      <c r="D30" s="297"/>
      <c r="E30" s="297"/>
      <c r="F30" s="297"/>
      <c r="G30" s="297"/>
      <c r="H30" s="297"/>
      <c r="I30" s="297"/>
      <c r="J30" s="297"/>
      <c r="K30" s="297"/>
      <c r="L30" s="297"/>
      <c r="M30" s="298"/>
      <c r="S30" s="80"/>
    </row>
    <row r="31" spans="2:24" ht="15.75" thickBot="1" x14ac:dyDescent="0.25">
      <c r="S31" s="80"/>
    </row>
    <row r="32" spans="2:24" x14ac:dyDescent="0.2">
      <c r="B32" s="299" t="s">
        <v>127</v>
      </c>
      <c r="C32" s="300"/>
      <c r="D32" s="300"/>
      <c r="E32" s="300"/>
      <c r="F32" s="300"/>
      <c r="G32" s="300"/>
      <c r="H32" s="300"/>
      <c r="I32" s="300"/>
      <c r="J32" s="300"/>
      <c r="K32" s="300"/>
      <c r="L32" s="300"/>
      <c r="M32" s="300"/>
      <c r="N32" s="301"/>
      <c r="S32" s="80"/>
    </row>
    <row r="33" spans="2:19" x14ac:dyDescent="0.2">
      <c r="B33" s="302"/>
      <c r="C33" s="303"/>
      <c r="D33" s="303"/>
      <c r="E33" s="303"/>
      <c r="F33" s="303"/>
      <c r="G33" s="303"/>
      <c r="H33" s="303"/>
      <c r="I33" s="303"/>
      <c r="J33" s="303"/>
      <c r="K33" s="303"/>
      <c r="L33" s="303"/>
      <c r="M33" s="303"/>
      <c r="N33" s="304"/>
      <c r="S33" s="80"/>
    </row>
    <row r="34" spans="2:19" x14ac:dyDescent="0.2">
      <c r="B34" s="302"/>
      <c r="C34" s="303"/>
      <c r="D34" s="303"/>
      <c r="E34" s="303"/>
      <c r="F34" s="303"/>
      <c r="G34" s="303"/>
      <c r="H34" s="303"/>
      <c r="I34" s="303"/>
      <c r="J34" s="303"/>
      <c r="K34" s="303"/>
      <c r="L34" s="303"/>
      <c r="M34" s="303"/>
      <c r="N34" s="304"/>
      <c r="S34" s="80"/>
    </row>
    <row r="35" spans="2:19" x14ac:dyDescent="0.2">
      <c r="B35" s="302"/>
      <c r="C35" s="303"/>
      <c r="D35" s="303"/>
      <c r="E35" s="303"/>
      <c r="F35" s="303"/>
      <c r="G35" s="303"/>
      <c r="H35" s="303"/>
      <c r="I35" s="303"/>
      <c r="J35" s="303"/>
      <c r="K35" s="303"/>
      <c r="L35" s="303"/>
      <c r="M35" s="303"/>
      <c r="N35" s="304"/>
      <c r="S35" s="80"/>
    </row>
    <row r="36" spans="2:19" x14ac:dyDescent="0.2">
      <c r="B36" s="302"/>
      <c r="C36" s="303"/>
      <c r="D36" s="303"/>
      <c r="E36" s="303"/>
      <c r="F36" s="303"/>
      <c r="G36" s="303"/>
      <c r="H36" s="303"/>
      <c r="I36" s="303"/>
      <c r="J36" s="303"/>
      <c r="K36" s="303"/>
      <c r="L36" s="303"/>
      <c r="M36" s="303"/>
      <c r="N36" s="304"/>
      <c r="S36" s="80"/>
    </row>
    <row r="37" spans="2:19" x14ac:dyDescent="0.2">
      <c r="B37" s="302"/>
      <c r="C37" s="303"/>
      <c r="D37" s="303"/>
      <c r="E37" s="303"/>
      <c r="F37" s="303"/>
      <c r="G37" s="303"/>
      <c r="H37" s="303"/>
      <c r="I37" s="303"/>
      <c r="J37" s="303"/>
      <c r="K37" s="303"/>
      <c r="L37" s="303"/>
      <c r="M37" s="303"/>
      <c r="N37" s="304"/>
      <c r="S37" s="80"/>
    </row>
    <row r="38" spans="2:19" ht="15.75" thickBot="1" x14ac:dyDescent="0.25">
      <c r="B38" s="305"/>
      <c r="C38" s="306"/>
      <c r="D38" s="306"/>
      <c r="E38" s="306"/>
      <c r="F38" s="306"/>
      <c r="G38" s="306"/>
      <c r="H38" s="306"/>
      <c r="I38" s="306"/>
      <c r="J38" s="306"/>
      <c r="K38" s="306"/>
      <c r="L38" s="306"/>
      <c r="M38" s="306"/>
      <c r="N38" s="307"/>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13:D15">
    <sortCondition descending="1" ref="D12:D14"/>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236</v>
      </c>
      <c r="D3" s="308"/>
      <c r="E3" s="308"/>
      <c r="F3" s="308"/>
      <c r="G3" s="308"/>
      <c r="H3" s="308"/>
      <c r="I3" s="308"/>
      <c r="J3" s="308"/>
      <c r="K3" s="308"/>
      <c r="L3" s="308"/>
      <c r="M3" s="308"/>
      <c r="N3" s="308"/>
      <c r="O3" s="308"/>
      <c r="P3" s="308"/>
      <c r="Q3" s="308"/>
      <c r="R3" s="308"/>
      <c r="S3" s="308"/>
      <c r="T3" s="75"/>
    </row>
    <row r="4" spans="1:24" ht="15.75" customHeight="1" x14ac:dyDescent="0.25">
      <c r="B4" s="5"/>
      <c r="C4" s="275" t="s">
        <v>253</v>
      </c>
      <c r="D4" s="1"/>
      <c r="E4" s="1"/>
      <c r="F4" s="1"/>
      <c r="G4" s="1"/>
      <c r="H4" s="1"/>
      <c r="I4" s="1"/>
      <c r="J4" s="1"/>
      <c r="K4" s="1"/>
      <c r="L4" s="1"/>
      <c r="M4" s="1"/>
      <c r="N4" s="1"/>
      <c r="O4" s="1"/>
      <c r="P4" s="1"/>
      <c r="Q4" s="1"/>
      <c r="R4" s="1"/>
      <c r="S4" s="76"/>
      <c r="T4" s="75"/>
    </row>
    <row r="5" spans="1:24" ht="18" customHeight="1" x14ac:dyDescent="0.25">
      <c r="B5" s="5"/>
      <c r="C5" s="2" t="s">
        <v>254</v>
      </c>
      <c r="D5" s="311" t="s">
        <v>274</v>
      </c>
      <c r="E5" s="311"/>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36</v>
      </c>
      <c r="D8" s="94" t="s">
        <v>6</v>
      </c>
      <c r="E8" s="96">
        <v>0.11655699999999999</v>
      </c>
      <c r="F8" s="1"/>
      <c r="G8" s="1"/>
      <c r="H8" s="1"/>
      <c r="I8" s="1"/>
      <c r="J8" s="1"/>
      <c r="K8" s="1"/>
      <c r="L8" s="1"/>
      <c r="M8" s="1"/>
      <c r="N8" s="1"/>
      <c r="O8" s="1"/>
      <c r="P8" s="1"/>
      <c r="Q8" s="1"/>
      <c r="R8" s="1"/>
      <c r="S8" s="76"/>
      <c r="T8" s="75"/>
      <c r="W8" s="216" t="s">
        <v>3</v>
      </c>
      <c r="X8" s="217">
        <v>0.25946799999999998</v>
      </c>
    </row>
    <row r="9" spans="1:24" ht="15.75" customHeight="1" x14ac:dyDescent="0.25">
      <c r="B9" s="5"/>
      <c r="C9" s="93" t="s">
        <v>33</v>
      </c>
      <c r="D9" s="95" t="s">
        <v>3</v>
      </c>
      <c r="E9" s="97">
        <v>8.3552000000000001E-2</v>
      </c>
      <c r="F9" s="1"/>
      <c r="G9" s="1"/>
      <c r="H9" s="1"/>
      <c r="I9" s="1"/>
      <c r="J9" s="1"/>
      <c r="K9" s="1"/>
      <c r="L9" s="1"/>
      <c r="M9" s="1"/>
      <c r="N9" s="1"/>
      <c r="O9" s="1"/>
      <c r="P9" s="1"/>
      <c r="Q9" s="1"/>
      <c r="R9" s="1"/>
      <c r="S9" s="76"/>
      <c r="T9" s="75"/>
      <c r="W9" s="216" t="s">
        <v>187</v>
      </c>
      <c r="X9" s="217">
        <v>0.14186700000000002</v>
      </c>
    </row>
    <row r="10" spans="1:24" ht="15.75" x14ac:dyDescent="0.25">
      <c r="B10" s="5"/>
      <c r="C10" s="93" t="s">
        <v>37</v>
      </c>
      <c r="D10" s="95" t="s">
        <v>3</v>
      </c>
      <c r="E10" s="97">
        <v>7.9094999999999999E-2</v>
      </c>
      <c r="F10" s="1"/>
      <c r="G10" s="1"/>
      <c r="H10" s="1"/>
      <c r="I10" s="1"/>
      <c r="J10" s="1"/>
      <c r="K10" s="1"/>
      <c r="L10" s="1"/>
      <c r="M10" s="1"/>
      <c r="N10" s="1"/>
      <c r="O10" s="1"/>
      <c r="P10" s="1"/>
      <c r="Q10" s="1"/>
      <c r="R10" s="1"/>
      <c r="S10" s="76"/>
      <c r="T10" s="75"/>
      <c r="W10" s="216" t="s">
        <v>6</v>
      </c>
      <c r="X10" s="217">
        <v>0.12057999999999999</v>
      </c>
    </row>
    <row r="11" spans="1:24" ht="15.75" customHeight="1" x14ac:dyDescent="0.25">
      <c r="B11" s="5"/>
      <c r="C11" s="93" t="s">
        <v>32</v>
      </c>
      <c r="D11" s="95" t="s">
        <v>187</v>
      </c>
      <c r="E11" s="97">
        <v>6.9998000000000005E-2</v>
      </c>
      <c r="F11" s="1"/>
      <c r="G11" s="1"/>
      <c r="H11" s="1"/>
      <c r="I11" s="1"/>
      <c r="J11" s="1"/>
      <c r="K11" s="1"/>
      <c r="L11" s="1"/>
      <c r="M11" s="1"/>
      <c r="N11" s="1"/>
      <c r="O11" s="1"/>
      <c r="P11" s="1"/>
      <c r="Q11" s="1"/>
      <c r="R11" s="1"/>
      <c r="S11" s="76"/>
      <c r="T11" s="75"/>
      <c r="W11" s="216" t="s">
        <v>4</v>
      </c>
      <c r="X11" s="217">
        <v>9.4842999999999997E-2</v>
      </c>
    </row>
    <row r="12" spans="1:24" ht="15" customHeight="1" x14ac:dyDescent="0.25">
      <c r="B12" s="5"/>
      <c r="C12" s="93" t="s">
        <v>34</v>
      </c>
      <c r="D12" s="95" t="s">
        <v>4</v>
      </c>
      <c r="E12" s="97">
        <v>5.6795999999999999E-2</v>
      </c>
      <c r="F12" s="1"/>
      <c r="G12" s="1"/>
      <c r="H12" s="1"/>
      <c r="I12" s="1"/>
      <c r="J12" s="1"/>
      <c r="K12" s="1"/>
      <c r="L12" s="1"/>
      <c r="M12" s="1"/>
      <c r="N12" s="1"/>
      <c r="O12" s="1"/>
      <c r="P12" s="1"/>
      <c r="Q12" s="1"/>
      <c r="R12" s="1"/>
      <c r="S12" s="76"/>
      <c r="T12" s="75"/>
      <c r="W12" s="216" t="s">
        <v>199</v>
      </c>
      <c r="X12" s="217">
        <v>6.6359000000000001E-2</v>
      </c>
    </row>
    <row r="13" spans="1:24" ht="15" customHeight="1" x14ac:dyDescent="0.25">
      <c r="B13" s="5"/>
      <c r="C13" s="93" t="s">
        <v>38</v>
      </c>
      <c r="D13" s="95" t="s">
        <v>187</v>
      </c>
      <c r="E13" s="97">
        <v>4.2611000000000003E-2</v>
      </c>
      <c r="F13" s="1"/>
      <c r="G13" s="1"/>
      <c r="H13" s="1"/>
      <c r="I13" s="1"/>
      <c r="J13" s="1"/>
      <c r="K13" s="1"/>
      <c r="L13" s="1"/>
      <c r="M13" s="1"/>
      <c r="N13" s="1"/>
      <c r="O13" s="1"/>
      <c r="P13" s="1"/>
      <c r="Q13" s="1"/>
      <c r="R13" s="1"/>
      <c r="S13" s="76"/>
      <c r="T13" s="75"/>
      <c r="W13" s="216" t="s">
        <v>194</v>
      </c>
      <c r="X13" s="217">
        <v>5.9889000000000005E-2</v>
      </c>
    </row>
    <row r="14" spans="1:24" ht="15" customHeight="1" x14ac:dyDescent="0.25">
      <c r="B14" s="5"/>
      <c r="C14" s="93" t="s">
        <v>40</v>
      </c>
      <c r="D14" s="95" t="s">
        <v>3</v>
      </c>
      <c r="E14" s="97">
        <v>3.6053000000000002E-2</v>
      </c>
      <c r="F14" s="1"/>
      <c r="G14" s="1"/>
      <c r="H14" s="1"/>
      <c r="I14" s="1"/>
      <c r="J14" s="1"/>
      <c r="K14" s="1"/>
      <c r="L14" s="1"/>
      <c r="M14" s="1"/>
      <c r="N14" s="1"/>
      <c r="O14" s="1"/>
      <c r="P14" s="1"/>
      <c r="Q14" s="1"/>
      <c r="R14" s="1"/>
      <c r="S14" s="76"/>
      <c r="T14" s="75"/>
      <c r="W14" s="216" t="s">
        <v>19</v>
      </c>
      <c r="X14" s="217">
        <v>3.3461999999999999E-2</v>
      </c>
    </row>
    <row r="15" spans="1:24" ht="15" customHeight="1" x14ac:dyDescent="0.25">
      <c r="B15" s="5"/>
      <c r="C15" s="93" t="s">
        <v>35</v>
      </c>
      <c r="D15" s="95" t="s">
        <v>199</v>
      </c>
      <c r="E15" s="97">
        <v>3.5935000000000002E-2</v>
      </c>
      <c r="F15" s="1"/>
      <c r="G15" s="1"/>
      <c r="H15" s="1"/>
      <c r="I15" s="1"/>
      <c r="J15" s="1"/>
      <c r="K15" s="1"/>
      <c r="L15" s="1"/>
      <c r="M15" s="1"/>
      <c r="N15" s="1"/>
      <c r="O15" s="1"/>
      <c r="P15" s="1"/>
      <c r="Q15" s="1"/>
      <c r="R15" s="1"/>
      <c r="S15" s="76"/>
      <c r="T15" s="75"/>
      <c r="W15" s="216" t="s">
        <v>193</v>
      </c>
      <c r="X15" s="217">
        <v>3.2049000000000001E-2</v>
      </c>
    </row>
    <row r="16" spans="1:24" ht="15" customHeight="1" x14ac:dyDescent="0.25">
      <c r="B16" s="5"/>
      <c r="C16" s="93" t="s">
        <v>42</v>
      </c>
      <c r="D16" s="95" t="s">
        <v>199</v>
      </c>
      <c r="E16" s="97">
        <v>3.0424E-2</v>
      </c>
      <c r="F16" s="1"/>
      <c r="G16" s="1"/>
      <c r="H16" s="1"/>
      <c r="I16" s="1"/>
      <c r="J16" s="1"/>
      <c r="K16" s="1"/>
      <c r="L16" s="1"/>
      <c r="M16" s="1"/>
      <c r="N16" s="1"/>
      <c r="O16" s="1"/>
      <c r="P16" s="1"/>
      <c r="Q16" s="1"/>
      <c r="R16" s="1"/>
      <c r="S16" s="76"/>
      <c r="T16" s="75"/>
      <c r="W16" s="216" t="s">
        <v>26</v>
      </c>
      <c r="X16" s="217">
        <v>2.9774999999999999E-2</v>
      </c>
    </row>
    <row r="17" spans="2:24" ht="15" customHeight="1" x14ac:dyDescent="0.25">
      <c r="B17" s="5"/>
      <c r="C17" s="93" t="s">
        <v>39</v>
      </c>
      <c r="D17" s="95" t="s">
        <v>26</v>
      </c>
      <c r="E17" s="97">
        <v>2.9774999999999999E-2</v>
      </c>
      <c r="F17" s="1"/>
      <c r="G17" s="1"/>
      <c r="H17" s="1"/>
      <c r="I17" s="1"/>
      <c r="J17" s="1"/>
      <c r="K17" s="1"/>
      <c r="L17" s="1"/>
      <c r="M17" s="1"/>
      <c r="N17" s="1"/>
      <c r="O17" s="1"/>
      <c r="P17" s="1"/>
      <c r="Q17" s="1"/>
      <c r="R17" s="1"/>
      <c r="S17" s="76"/>
      <c r="T17" s="75"/>
      <c r="W17" s="216" t="s">
        <v>14</v>
      </c>
      <c r="X17" s="217">
        <v>2.2497E-2</v>
      </c>
    </row>
    <row r="18" spans="2:24" ht="15" customHeight="1" x14ac:dyDescent="0.25">
      <c r="B18" s="5"/>
      <c r="C18" s="93" t="s">
        <v>122</v>
      </c>
      <c r="D18" s="95" t="s">
        <v>3</v>
      </c>
      <c r="E18" s="97">
        <v>2.6113000000000001E-2</v>
      </c>
      <c r="F18" s="1"/>
      <c r="G18" s="1"/>
      <c r="H18" s="1"/>
      <c r="I18" s="1"/>
      <c r="J18" s="1"/>
      <c r="K18" s="1"/>
      <c r="L18" s="1"/>
      <c r="M18" s="1"/>
      <c r="N18" s="1"/>
      <c r="O18" s="1"/>
      <c r="P18" s="1"/>
      <c r="Q18" s="1"/>
      <c r="R18" s="1"/>
      <c r="S18" s="76"/>
      <c r="T18" s="75"/>
      <c r="W18" s="216" t="s">
        <v>129</v>
      </c>
      <c r="X18" s="217">
        <v>2.1715999999999999E-2</v>
      </c>
    </row>
    <row r="19" spans="2:24" ht="15" customHeight="1" x14ac:dyDescent="0.25">
      <c r="B19" s="5"/>
      <c r="C19" s="93" t="s">
        <v>41</v>
      </c>
      <c r="D19" s="95" t="s">
        <v>3</v>
      </c>
      <c r="E19" s="97">
        <v>2.5416000000000001E-2</v>
      </c>
      <c r="F19" s="1"/>
      <c r="G19" s="1"/>
      <c r="H19" s="1"/>
      <c r="I19" s="1"/>
      <c r="J19" s="1"/>
      <c r="K19" s="1"/>
      <c r="L19" s="1"/>
      <c r="M19" s="1"/>
      <c r="N19" s="1"/>
      <c r="O19" s="1"/>
      <c r="P19" s="1"/>
      <c r="Q19" s="1"/>
      <c r="R19" s="1"/>
      <c r="S19" s="76"/>
      <c r="T19" s="75"/>
      <c r="W19" s="216" t="s">
        <v>12</v>
      </c>
      <c r="X19" s="217">
        <v>2.0018000000000001E-2</v>
      </c>
    </row>
    <row r="20" spans="2:24" ht="15" customHeight="1" x14ac:dyDescent="0.25">
      <c r="B20" s="5"/>
      <c r="C20" s="93" t="s">
        <v>124</v>
      </c>
      <c r="D20" s="95" t="s">
        <v>4</v>
      </c>
      <c r="E20" s="97">
        <v>2.4913000000000001E-2</v>
      </c>
      <c r="F20" s="1"/>
      <c r="G20" s="1"/>
      <c r="H20" s="1"/>
      <c r="I20" s="1"/>
      <c r="J20" s="1"/>
      <c r="K20" s="1"/>
      <c r="L20" s="1"/>
      <c r="M20" s="1"/>
      <c r="N20" s="1"/>
      <c r="O20" s="1"/>
      <c r="P20" s="1"/>
      <c r="Q20" s="1"/>
      <c r="R20" s="1"/>
      <c r="S20" s="76"/>
      <c r="T20" s="75"/>
      <c r="W20" s="216" t="s">
        <v>13</v>
      </c>
      <c r="X20" s="217">
        <v>1.9451000000000003E-2</v>
      </c>
    </row>
    <row r="21" spans="2:24" ht="15" customHeight="1" x14ac:dyDescent="0.25">
      <c r="B21" s="5"/>
      <c r="C21" s="93" t="s">
        <v>100</v>
      </c>
      <c r="D21" s="95" t="s">
        <v>14</v>
      </c>
      <c r="E21" s="97">
        <v>2.2497E-2</v>
      </c>
      <c r="F21" s="1"/>
      <c r="G21" s="1"/>
      <c r="H21" s="1"/>
      <c r="I21" s="1"/>
      <c r="J21" s="1"/>
      <c r="K21" s="1"/>
      <c r="L21" s="1"/>
      <c r="M21" s="1"/>
      <c r="N21" s="1"/>
      <c r="O21" s="1"/>
      <c r="P21" s="1"/>
      <c r="Q21" s="1"/>
      <c r="R21" s="1"/>
      <c r="S21" s="76"/>
      <c r="T21" s="75"/>
      <c r="W21" s="216" t="s">
        <v>189</v>
      </c>
      <c r="X21" s="217">
        <v>1.4777E-2</v>
      </c>
    </row>
    <row r="22" spans="2:24" ht="15" customHeight="1" x14ac:dyDescent="0.25">
      <c r="B22" s="5"/>
      <c r="C22" s="93" t="s">
        <v>43</v>
      </c>
      <c r="D22" s="95" t="s">
        <v>19</v>
      </c>
      <c r="E22" s="97">
        <v>1.9553000000000001E-2</v>
      </c>
      <c r="F22" s="1"/>
      <c r="G22" s="1"/>
      <c r="H22" s="1"/>
      <c r="I22" s="1"/>
      <c r="J22" s="1"/>
      <c r="K22" s="1"/>
      <c r="L22" s="1"/>
      <c r="M22" s="1"/>
      <c r="N22" s="1"/>
      <c r="O22" s="1"/>
      <c r="P22" s="1"/>
      <c r="Q22" s="1"/>
      <c r="R22" s="1"/>
      <c r="S22" s="76"/>
      <c r="T22" s="75"/>
      <c r="W22" s="216" t="s">
        <v>132</v>
      </c>
      <c r="X22" s="217">
        <v>1.4513999999999999E-2</v>
      </c>
    </row>
    <row r="23" spans="2:24" ht="15" customHeight="1" x14ac:dyDescent="0.25">
      <c r="B23" s="5"/>
      <c r="C23" s="67"/>
      <c r="D23" s="67"/>
      <c r="E23" s="89"/>
      <c r="F23" s="1"/>
      <c r="G23" s="1"/>
      <c r="H23" s="1"/>
      <c r="I23" s="1"/>
      <c r="J23" s="1"/>
      <c r="K23" s="1"/>
      <c r="L23" s="1"/>
      <c r="M23" s="1"/>
      <c r="N23" s="1"/>
      <c r="O23" s="1"/>
      <c r="P23" s="1"/>
      <c r="Q23" s="1"/>
      <c r="R23" s="1"/>
      <c r="S23" s="76"/>
      <c r="T23" s="75"/>
      <c r="W23" s="216" t="s">
        <v>18</v>
      </c>
      <c r="X23" s="217">
        <v>8.2109999999999995E-3</v>
      </c>
    </row>
    <row r="24" spans="2:24" ht="15" customHeight="1" x14ac:dyDescent="0.25">
      <c r="B24" s="5"/>
      <c r="C24" s="69" t="s">
        <v>68</v>
      </c>
      <c r="D24" s="71"/>
      <c r="E24" s="128">
        <f>SUM(E8:E22)</f>
        <v>0.69928800000000013</v>
      </c>
      <c r="F24" s="1"/>
      <c r="G24" s="1"/>
      <c r="H24" s="1"/>
      <c r="I24" s="1"/>
      <c r="J24" s="1"/>
      <c r="K24" s="1"/>
      <c r="L24" s="1"/>
      <c r="M24" s="1"/>
      <c r="N24" s="1"/>
      <c r="O24" s="1"/>
      <c r="P24" s="1"/>
      <c r="Q24" s="1"/>
      <c r="R24" s="1"/>
      <c r="S24" s="76"/>
      <c r="T24" s="75"/>
      <c r="W24" s="216" t="s">
        <v>215</v>
      </c>
      <c r="X24" s="217">
        <v>7.7499999999999999E-3</v>
      </c>
    </row>
    <row r="25" spans="2:24" ht="15" customHeight="1" x14ac:dyDescent="0.25">
      <c r="B25" s="5"/>
      <c r="C25" s="1"/>
      <c r="D25" s="1"/>
      <c r="E25" s="1"/>
      <c r="F25" s="1"/>
      <c r="G25" s="1"/>
      <c r="H25" s="1"/>
      <c r="I25" s="1"/>
      <c r="J25" s="1"/>
      <c r="K25" s="1"/>
      <c r="L25" s="1"/>
      <c r="M25" s="1"/>
      <c r="N25" s="1"/>
      <c r="O25" s="1"/>
      <c r="P25" s="1"/>
      <c r="Q25" s="1"/>
      <c r="R25" s="1"/>
      <c r="S25" s="76"/>
      <c r="T25" s="75"/>
      <c r="W25" s="216" t="s">
        <v>15</v>
      </c>
      <c r="X25" s="217">
        <v>6.9280000000000001E-3</v>
      </c>
    </row>
    <row r="26" spans="2:24" ht="15" customHeight="1" x14ac:dyDescent="0.25">
      <c r="B26" s="5"/>
      <c r="C26" s="123"/>
      <c r="D26" s="123"/>
      <c r="E26" s="124"/>
      <c r="F26" s="1"/>
      <c r="G26" s="1"/>
      <c r="H26" s="1"/>
      <c r="I26" s="1"/>
      <c r="J26" s="1"/>
      <c r="K26" s="1"/>
      <c r="L26" s="1"/>
      <c r="M26" s="1"/>
      <c r="N26" s="1"/>
      <c r="O26" s="1"/>
      <c r="P26" s="1"/>
      <c r="Q26" s="1"/>
      <c r="R26" s="1"/>
      <c r="S26" s="76"/>
      <c r="T26" s="75"/>
      <c r="W26" s="216" t="s">
        <v>216</v>
      </c>
      <c r="X26" s="217">
        <v>6.2969999999999996E-3</v>
      </c>
    </row>
    <row r="27" spans="2:24" ht="15" customHeight="1" x14ac:dyDescent="0.25">
      <c r="B27" s="5"/>
      <c r="C27" s="110"/>
      <c r="D27" s="110"/>
      <c r="E27" s="125"/>
      <c r="F27" s="1"/>
      <c r="G27" s="1"/>
      <c r="H27" s="1"/>
      <c r="I27" s="1"/>
      <c r="J27" s="1"/>
      <c r="K27" s="1"/>
      <c r="L27" s="1"/>
      <c r="M27" s="1"/>
      <c r="N27" s="1"/>
      <c r="O27" s="1"/>
      <c r="P27" s="1"/>
      <c r="Q27" s="1"/>
      <c r="R27" s="1"/>
      <c r="S27" s="76"/>
      <c r="T27" s="75"/>
      <c r="W27" s="216" t="s">
        <v>197</v>
      </c>
      <c r="X27" s="217">
        <v>6.2170000000000003E-3</v>
      </c>
    </row>
    <row r="28" spans="2:24" ht="15" customHeight="1" x14ac:dyDescent="0.25">
      <c r="B28" s="5"/>
      <c r="C28" s="123"/>
      <c r="D28" s="126"/>
      <c r="E28" s="127"/>
      <c r="F28" s="1"/>
      <c r="G28" s="1"/>
      <c r="H28" s="1"/>
      <c r="I28" s="1"/>
      <c r="J28" s="1"/>
      <c r="K28" s="1"/>
      <c r="L28" s="1"/>
      <c r="M28" s="1"/>
      <c r="N28" s="1"/>
      <c r="O28" s="1"/>
      <c r="P28" s="1"/>
      <c r="Q28" s="1"/>
      <c r="R28" s="1"/>
      <c r="S28" s="76"/>
      <c r="T28" s="75"/>
      <c r="W28" s="216" t="s">
        <v>117</v>
      </c>
      <c r="X28" s="217">
        <v>5.6499999999999996E-3</v>
      </c>
    </row>
    <row r="29" spans="2:24" ht="15" customHeight="1" x14ac:dyDescent="0.25">
      <c r="B29" s="5"/>
      <c r="C29" s="110"/>
      <c r="D29" s="110"/>
      <c r="E29" s="110"/>
      <c r="F29" s="1"/>
      <c r="G29" s="1"/>
      <c r="H29" s="1"/>
      <c r="I29" s="1"/>
      <c r="J29" s="1"/>
      <c r="K29" s="1"/>
      <c r="L29" s="1"/>
      <c r="M29" s="1"/>
      <c r="N29" s="1"/>
      <c r="O29" s="1"/>
      <c r="P29" s="1"/>
      <c r="Q29" s="1"/>
      <c r="R29" s="1"/>
      <c r="S29" s="76"/>
      <c r="T29" s="75"/>
      <c r="W29" s="216" t="s">
        <v>200</v>
      </c>
      <c r="X29" s="217">
        <v>5.3249999999999999E-3</v>
      </c>
    </row>
    <row r="30" spans="2:24" ht="15" customHeight="1" x14ac:dyDescent="0.25">
      <c r="B30" s="5"/>
      <c r="C30" s="123"/>
      <c r="D30" s="126"/>
      <c r="E30" s="124"/>
      <c r="F30" s="1"/>
      <c r="G30" s="1"/>
      <c r="H30" s="1"/>
      <c r="I30" s="1"/>
      <c r="J30" s="1"/>
      <c r="K30" s="1"/>
      <c r="L30" s="1"/>
      <c r="M30" s="1"/>
      <c r="N30" s="1"/>
      <c r="O30" s="1"/>
      <c r="P30" s="1"/>
      <c r="Q30" s="1"/>
      <c r="R30" s="1"/>
      <c r="S30" s="76"/>
      <c r="T30" s="75"/>
      <c r="W30" s="216"/>
      <c r="X30" s="290"/>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9" t="s">
        <v>127</v>
      </c>
      <c r="C38" s="300"/>
      <c r="D38" s="300"/>
      <c r="E38" s="300"/>
      <c r="F38" s="300"/>
      <c r="G38" s="300"/>
      <c r="H38" s="300"/>
      <c r="I38" s="300"/>
      <c r="J38" s="300"/>
      <c r="K38" s="300"/>
      <c r="L38" s="300"/>
      <c r="M38" s="300"/>
      <c r="N38" s="301"/>
    </row>
    <row r="39" spans="2:24" ht="15" customHeight="1" x14ac:dyDescent="0.25">
      <c r="B39" s="302"/>
      <c r="C39" s="303"/>
      <c r="D39" s="303"/>
      <c r="E39" s="303"/>
      <c r="F39" s="303"/>
      <c r="G39" s="303"/>
      <c r="H39" s="303"/>
      <c r="I39" s="303"/>
      <c r="J39" s="303"/>
      <c r="K39" s="303"/>
      <c r="L39" s="303"/>
      <c r="M39" s="303"/>
      <c r="N39" s="304"/>
    </row>
    <row r="40" spans="2:24" ht="15" customHeight="1" x14ac:dyDescent="0.25">
      <c r="B40" s="302"/>
      <c r="C40" s="303"/>
      <c r="D40" s="303"/>
      <c r="E40" s="303"/>
      <c r="F40" s="303"/>
      <c r="G40" s="303"/>
      <c r="H40" s="303"/>
      <c r="I40" s="303"/>
      <c r="J40" s="303"/>
      <c r="K40" s="303"/>
      <c r="L40" s="303"/>
      <c r="M40" s="303"/>
      <c r="N40" s="304"/>
    </row>
    <row r="41" spans="2:24" ht="15" customHeight="1" x14ac:dyDescent="0.25">
      <c r="B41" s="302"/>
      <c r="C41" s="303"/>
      <c r="D41" s="303"/>
      <c r="E41" s="303"/>
      <c r="F41" s="303"/>
      <c r="G41" s="303"/>
      <c r="H41" s="303"/>
      <c r="I41" s="303"/>
      <c r="J41" s="303"/>
      <c r="K41" s="303"/>
      <c r="L41" s="303"/>
      <c r="M41" s="303"/>
      <c r="N41" s="304"/>
    </row>
    <row r="42" spans="2:24" ht="15" customHeight="1" x14ac:dyDescent="0.25">
      <c r="B42" s="302"/>
      <c r="C42" s="303"/>
      <c r="D42" s="303"/>
      <c r="E42" s="303"/>
      <c r="F42" s="303"/>
      <c r="G42" s="303"/>
      <c r="H42" s="303"/>
      <c r="I42" s="303"/>
      <c r="J42" s="303"/>
      <c r="K42" s="303"/>
      <c r="L42" s="303"/>
      <c r="M42" s="303"/>
      <c r="N42" s="304"/>
    </row>
    <row r="43" spans="2:24" ht="15" customHeight="1" x14ac:dyDescent="0.25">
      <c r="B43" s="302"/>
      <c r="C43" s="303"/>
      <c r="D43" s="303"/>
      <c r="E43" s="303"/>
      <c r="F43" s="303"/>
      <c r="G43" s="303"/>
      <c r="H43" s="303"/>
      <c r="I43" s="303"/>
      <c r="J43" s="303"/>
      <c r="K43" s="303"/>
      <c r="L43" s="303"/>
      <c r="M43" s="303"/>
      <c r="N43" s="304"/>
    </row>
    <row r="44" spans="2:24" ht="15" customHeight="1" thickBot="1" x14ac:dyDescent="0.3">
      <c r="B44" s="305"/>
      <c r="C44" s="306"/>
      <c r="D44" s="306"/>
      <c r="E44" s="306"/>
      <c r="F44" s="306"/>
      <c r="G44" s="306"/>
      <c r="H44" s="306"/>
      <c r="I44" s="306"/>
      <c r="J44" s="306"/>
      <c r="K44" s="306"/>
      <c r="L44" s="306"/>
      <c r="M44" s="306"/>
      <c r="N44" s="307"/>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9"/>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8" t="s">
        <v>234</v>
      </c>
      <c r="D3" s="309"/>
      <c r="E3" s="309"/>
      <c r="F3" s="309"/>
      <c r="G3" s="309"/>
      <c r="H3" s="309"/>
      <c r="I3" s="309"/>
      <c r="J3" s="309"/>
      <c r="K3" s="309"/>
      <c r="L3" s="309"/>
      <c r="M3" s="309"/>
      <c r="N3" s="309"/>
      <c r="O3" s="309"/>
      <c r="P3" s="309"/>
      <c r="Q3" s="309"/>
      <c r="R3" s="309"/>
      <c r="S3" s="310"/>
      <c r="T3" s="75"/>
    </row>
    <row r="4" spans="1:26" ht="15.75" customHeight="1" x14ac:dyDescent="0.25">
      <c r="B4" s="5"/>
      <c r="C4" s="275" t="s">
        <v>253</v>
      </c>
      <c r="D4" s="1"/>
      <c r="E4" s="1"/>
      <c r="F4" s="1"/>
      <c r="G4" s="1"/>
      <c r="H4" s="1"/>
      <c r="I4" s="1"/>
      <c r="J4" s="1"/>
      <c r="K4" s="1"/>
      <c r="L4" s="1"/>
      <c r="M4" s="1"/>
      <c r="N4" s="1"/>
      <c r="O4" s="1"/>
      <c r="P4" s="1"/>
      <c r="Q4" s="1"/>
      <c r="R4" s="1"/>
      <c r="S4" s="76"/>
      <c r="T4" s="75"/>
    </row>
    <row r="5" spans="1:26" ht="18" customHeight="1" x14ac:dyDescent="0.25">
      <c r="B5" s="5"/>
      <c r="C5" s="2" t="s">
        <v>254</v>
      </c>
      <c r="D5" s="313" t="s">
        <v>275</v>
      </c>
      <c r="E5" s="313"/>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36</v>
      </c>
      <c r="D8" s="94" t="s">
        <v>6</v>
      </c>
      <c r="E8" s="96">
        <v>0.133633</v>
      </c>
      <c r="F8" s="1"/>
      <c r="G8" s="1"/>
      <c r="H8" s="1"/>
      <c r="I8" s="1"/>
      <c r="J8" s="1"/>
      <c r="K8" s="1"/>
      <c r="L8" s="1"/>
      <c r="M8" s="1"/>
      <c r="N8" s="1"/>
      <c r="O8" s="1"/>
      <c r="P8" s="1"/>
      <c r="Q8" s="1"/>
      <c r="R8" s="1"/>
      <c r="S8" s="76"/>
      <c r="T8" s="75"/>
      <c r="W8" s="240" t="s">
        <v>3</v>
      </c>
      <c r="X8" s="241">
        <v>0.29697800000000002</v>
      </c>
      <c r="Y8" s="108"/>
      <c r="Z8" s="108"/>
    </row>
    <row r="9" spans="1:26" ht="15.75" customHeight="1" x14ac:dyDescent="0.25">
      <c r="B9" s="5"/>
      <c r="C9" s="93" t="s">
        <v>33</v>
      </c>
      <c r="D9" s="95" t="s">
        <v>3</v>
      </c>
      <c r="E9" s="97">
        <v>9.6896999999999997E-2</v>
      </c>
      <c r="F9" s="1"/>
      <c r="G9" s="1"/>
      <c r="H9" s="1"/>
      <c r="I9" s="1"/>
      <c r="J9" s="1"/>
      <c r="K9" s="1"/>
      <c r="L9" s="1"/>
      <c r="M9" s="1"/>
      <c r="N9" s="1"/>
      <c r="O9" s="1"/>
      <c r="P9" s="1"/>
      <c r="Q9" s="1"/>
      <c r="R9" s="1"/>
      <c r="S9" s="76"/>
      <c r="T9" s="75"/>
      <c r="W9" s="240" t="s">
        <v>187</v>
      </c>
      <c r="X9" s="241">
        <v>0.16372</v>
      </c>
      <c r="Y9" s="108"/>
      <c r="Z9" s="108"/>
    </row>
    <row r="10" spans="1:26" ht="15.75" x14ac:dyDescent="0.25">
      <c r="B10" s="5"/>
      <c r="C10" s="93" t="s">
        <v>37</v>
      </c>
      <c r="D10" s="95" t="s">
        <v>3</v>
      </c>
      <c r="E10" s="97">
        <v>9.1828000000000007E-2</v>
      </c>
      <c r="F10" s="1"/>
      <c r="G10" s="1"/>
      <c r="H10" s="1"/>
      <c r="I10" s="1"/>
      <c r="J10" s="1"/>
      <c r="K10" s="1"/>
      <c r="L10" s="1"/>
      <c r="M10" s="1"/>
      <c r="N10" s="1"/>
      <c r="O10" s="1"/>
      <c r="P10" s="1"/>
      <c r="Q10" s="1"/>
      <c r="R10" s="1"/>
      <c r="S10" s="76"/>
      <c r="T10" s="75"/>
      <c r="W10" s="240" t="s">
        <v>6</v>
      </c>
      <c r="X10" s="241">
        <v>0.133633</v>
      </c>
      <c r="Y10" s="108"/>
      <c r="Z10" s="108"/>
    </row>
    <row r="11" spans="1:26" ht="15.75" customHeight="1" x14ac:dyDescent="0.25">
      <c r="B11" s="5"/>
      <c r="C11" s="93" t="s">
        <v>32</v>
      </c>
      <c r="D11" s="95" t="s">
        <v>187</v>
      </c>
      <c r="E11" s="97">
        <v>8.0848000000000003E-2</v>
      </c>
      <c r="F11" s="1"/>
      <c r="G11" s="1"/>
      <c r="H11" s="1"/>
      <c r="I11" s="1"/>
      <c r="J11" s="1"/>
      <c r="K11" s="1"/>
      <c r="L11" s="1"/>
      <c r="M11" s="1"/>
      <c r="N11" s="1"/>
      <c r="O11" s="1"/>
      <c r="P11" s="1"/>
      <c r="Q11" s="1"/>
      <c r="R11" s="1"/>
      <c r="S11" s="76"/>
      <c r="T11" s="75"/>
      <c r="W11" s="240" t="s">
        <v>4</v>
      </c>
      <c r="X11" s="241">
        <v>0.109345</v>
      </c>
      <c r="Y11" s="108"/>
      <c r="Z11" s="108"/>
    </row>
    <row r="12" spans="1:26" ht="15" customHeight="1" x14ac:dyDescent="0.25">
      <c r="B12" s="5"/>
      <c r="C12" s="93" t="s">
        <v>34</v>
      </c>
      <c r="D12" s="95" t="s">
        <v>4</v>
      </c>
      <c r="E12" s="97">
        <v>6.5738000000000005E-2</v>
      </c>
      <c r="F12" s="1"/>
      <c r="G12" s="1"/>
      <c r="H12" s="1"/>
      <c r="I12" s="1"/>
      <c r="J12" s="1"/>
      <c r="K12" s="1"/>
      <c r="L12" s="1"/>
      <c r="M12" s="1"/>
      <c r="N12" s="1"/>
      <c r="O12" s="1"/>
      <c r="P12" s="1"/>
      <c r="Q12" s="1"/>
      <c r="R12" s="1"/>
      <c r="S12" s="76"/>
      <c r="T12" s="75"/>
      <c r="W12" s="240" t="s">
        <v>199</v>
      </c>
      <c r="X12" s="241">
        <v>7.6605000000000006E-2</v>
      </c>
      <c r="Y12" s="108"/>
      <c r="Z12" s="108"/>
    </row>
    <row r="13" spans="1:26" ht="15" customHeight="1" x14ac:dyDescent="0.25">
      <c r="B13" s="5"/>
      <c r="C13" s="93" t="s">
        <v>38</v>
      </c>
      <c r="D13" s="95" t="s">
        <v>187</v>
      </c>
      <c r="E13" s="97">
        <v>4.8467999999999997E-2</v>
      </c>
      <c r="F13" s="1"/>
      <c r="G13" s="1"/>
      <c r="H13" s="1"/>
      <c r="I13" s="1"/>
      <c r="J13" s="1"/>
      <c r="K13" s="1"/>
      <c r="L13" s="1"/>
      <c r="M13" s="1"/>
      <c r="N13" s="1"/>
      <c r="O13" s="1"/>
      <c r="P13" s="1"/>
      <c r="Q13" s="1"/>
      <c r="R13" s="1"/>
      <c r="S13" s="76"/>
      <c r="T13" s="75"/>
      <c r="W13" s="240" t="s">
        <v>19</v>
      </c>
      <c r="X13" s="241">
        <v>3.8642999999999997E-2</v>
      </c>
      <c r="Y13" s="108"/>
      <c r="Z13" s="108"/>
    </row>
    <row r="14" spans="1:26" ht="15" customHeight="1" x14ac:dyDescent="0.25">
      <c r="B14" s="5"/>
      <c r="C14" s="93" t="s">
        <v>35</v>
      </c>
      <c r="D14" s="95" t="s">
        <v>199</v>
      </c>
      <c r="E14" s="97">
        <v>4.1404999999999997E-2</v>
      </c>
      <c r="F14" s="1"/>
      <c r="G14" s="1"/>
      <c r="H14" s="1"/>
      <c r="I14" s="1"/>
      <c r="J14" s="1"/>
      <c r="K14" s="1"/>
      <c r="L14" s="1"/>
      <c r="M14" s="1"/>
      <c r="N14" s="1"/>
      <c r="O14" s="1"/>
      <c r="P14" s="1"/>
      <c r="Q14" s="1"/>
      <c r="R14" s="1"/>
      <c r="S14" s="76"/>
      <c r="T14" s="75"/>
      <c r="W14" s="240" t="s">
        <v>194</v>
      </c>
      <c r="X14" s="241">
        <v>3.6679000000000003E-2</v>
      </c>
      <c r="Y14" s="108"/>
      <c r="Z14" s="108"/>
    </row>
    <row r="15" spans="1:26" ht="15" customHeight="1" x14ac:dyDescent="0.25">
      <c r="B15" s="5"/>
      <c r="C15" s="93" t="s">
        <v>40</v>
      </c>
      <c r="D15" s="95" t="s">
        <v>3</v>
      </c>
      <c r="E15" s="97">
        <v>3.7270999999999999E-2</v>
      </c>
      <c r="F15" s="1"/>
      <c r="G15" s="1"/>
      <c r="H15" s="1"/>
      <c r="I15" s="1"/>
      <c r="J15" s="1"/>
      <c r="K15" s="1"/>
      <c r="L15" s="1"/>
      <c r="M15" s="1"/>
      <c r="N15" s="1"/>
      <c r="O15" s="1"/>
      <c r="P15" s="1"/>
      <c r="Q15" s="1"/>
      <c r="R15" s="1"/>
      <c r="S15" s="76"/>
      <c r="T15" s="75"/>
      <c r="W15" s="240" t="s">
        <v>26</v>
      </c>
      <c r="X15" s="241">
        <v>3.4345000000000001E-2</v>
      </c>
      <c r="Y15" s="108"/>
      <c r="Z15" s="108"/>
    </row>
    <row r="16" spans="1:26" ht="15" customHeight="1" x14ac:dyDescent="0.25">
      <c r="B16" s="5"/>
      <c r="C16" s="93" t="s">
        <v>42</v>
      </c>
      <c r="D16" s="95" t="s">
        <v>199</v>
      </c>
      <c r="E16" s="97">
        <v>3.5200000000000002E-2</v>
      </c>
      <c r="F16" s="1"/>
      <c r="G16" s="1"/>
      <c r="H16" s="1"/>
      <c r="I16" s="1"/>
      <c r="J16" s="1"/>
      <c r="K16" s="1"/>
      <c r="L16" s="1"/>
      <c r="M16" s="1"/>
      <c r="N16" s="1"/>
      <c r="O16" s="1"/>
      <c r="P16" s="1"/>
      <c r="Q16" s="1"/>
      <c r="R16" s="1"/>
      <c r="S16" s="76"/>
      <c r="T16" s="75"/>
      <c r="W16" s="240" t="s">
        <v>14</v>
      </c>
      <c r="X16" s="241">
        <v>2.5631000000000001E-2</v>
      </c>
      <c r="Y16" s="108"/>
      <c r="Z16" s="108"/>
    </row>
    <row r="17" spans="2:26" ht="15" customHeight="1" x14ac:dyDescent="0.25">
      <c r="B17" s="5"/>
      <c r="C17" s="93" t="s">
        <v>39</v>
      </c>
      <c r="D17" s="95" t="s">
        <v>26</v>
      </c>
      <c r="E17" s="97">
        <v>3.4345000000000001E-2</v>
      </c>
      <c r="F17" s="1"/>
      <c r="G17" s="1"/>
      <c r="H17" s="1"/>
      <c r="I17" s="1"/>
      <c r="J17" s="1"/>
      <c r="K17" s="1"/>
      <c r="L17" s="1"/>
      <c r="M17" s="1"/>
      <c r="N17" s="1"/>
      <c r="O17" s="1"/>
      <c r="P17" s="1"/>
      <c r="Q17" s="1"/>
      <c r="R17" s="1"/>
      <c r="S17" s="76"/>
      <c r="T17" s="75"/>
      <c r="W17" s="240" t="s">
        <v>12</v>
      </c>
      <c r="X17" s="241">
        <v>2.2998999999999999E-2</v>
      </c>
      <c r="Y17" s="108"/>
      <c r="Z17" s="108"/>
    </row>
    <row r="18" spans="2:26" ht="15" customHeight="1" x14ac:dyDescent="0.25">
      <c r="B18" s="5"/>
      <c r="C18" s="93" t="s">
        <v>122</v>
      </c>
      <c r="D18" s="95" t="s">
        <v>3</v>
      </c>
      <c r="E18" s="97">
        <v>3.0516000000000001E-2</v>
      </c>
      <c r="F18" s="1"/>
      <c r="G18" s="1"/>
      <c r="H18" s="1"/>
      <c r="I18" s="1"/>
      <c r="J18" s="1"/>
      <c r="K18" s="1"/>
      <c r="L18" s="1"/>
      <c r="M18" s="1"/>
      <c r="N18" s="1"/>
      <c r="O18" s="1"/>
      <c r="P18" s="1"/>
      <c r="Q18" s="1"/>
      <c r="R18" s="1"/>
      <c r="S18" s="76"/>
      <c r="T18" s="75"/>
      <c r="W18" s="240" t="s">
        <v>193</v>
      </c>
      <c r="X18" s="241">
        <v>2.1436E-2</v>
      </c>
      <c r="Y18" s="108"/>
      <c r="Z18" s="108"/>
    </row>
    <row r="19" spans="2:26" ht="15" customHeight="1" x14ac:dyDescent="0.25">
      <c r="B19" s="5"/>
      <c r="C19" s="93" t="s">
        <v>41</v>
      </c>
      <c r="D19" s="95" t="s">
        <v>3</v>
      </c>
      <c r="E19" s="97">
        <v>3.0428E-2</v>
      </c>
      <c r="F19" s="1"/>
      <c r="G19" s="1"/>
      <c r="H19" s="1"/>
      <c r="I19" s="1"/>
      <c r="J19" s="1"/>
      <c r="K19" s="1"/>
      <c r="L19" s="1"/>
      <c r="M19" s="1"/>
      <c r="N19" s="1"/>
      <c r="O19" s="1"/>
      <c r="P19" s="1"/>
      <c r="Q19" s="1"/>
      <c r="R19" s="1"/>
      <c r="S19" s="76"/>
      <c r="T19" s="75"/>
      <c r="W19" s="240" t="s">
        <v>13</v>
      </c>
      <c r="X19" s="241">
        <v>1.2839E-2</v>
      </c>
      <c r="Y19" s="108"/>
      <c r="Z19" s="108"/>
    </row>
    <row r="20" spans="2:26" ht="15" customHeight="1" x14ac:dyDescent="0.25">
      <c r="B20" s="5"/>
      <c r="C20" s="93" t="s">
        <v>124</v>
      </c>
      <c r="D20" s="95" t="s">
        <v>4</v>
      </c>
      <c r="E20" s="97">
        <v>2.9007000000000002E-2</v>
      </c>
      <c r="F20" s="1"/>
      <c r="G20" s="1"/>
      <c r="H20" s="1"/>
      <c r="I20" s="1"/>
      <c r="J20" s="1"/>
      <c r="K20" s="1"/>
      <c r="L20" s="1"/>
      <c r="M20" s="1"/>
      <c r="N20" s="1"/>
      <c r="O20" s="1"/>
      <c r="P20" s="1"/>
      <c r="Q20" s="1"/>
      <c r="R20" s="1"/>
      <c r="S20" s="76"/>
      <c r="T20" s="75"/>
      <c r="W20" s="240" t="s">
        <v>129</v>
      </c>
      <c r="X20" s="241">
        <v>1.1041E-2</v>
      </c>
      <c r="Y20" s="108"/>
      <c r="Z20" s="108"/>
    </row>
    <row r="21" spans="2:26" ht="15" customHeight="1" x14ac:dyDescent="0.25">
      <c r="B21" s="5"/>
      <c r="C21" s="93" t="s">
        <v>100</v>
      </c>
      <c r="D21" s="95" t="s">
        <v>14</v>
      </c>
      <c r="E21" s="97">
        <v>2.5631000000000001E-2</v>
      </c>
      <c r="F21" s="1"/>
      <c r="G21" s="1"/>
      <c r="H21" s="1"/>
      <c r="I21" s="1"/>
      <c r="J21" s="1"/>
      <c r="K21" s="1"/>
      <c r="L21" s="1"/>
      <c r="M21" s="1"/>
      <c r="N21" s="1"/>
      <c r="O21" s="1"/>
      <c r="P21" s="1"/>
      <c r="Q21" s="1"/>
      <c r="R21" s="1"/>
      <c r="S21" s="76"/>
      <c r="T21" s="75"/>
      <c r="W21" s="240" t="s">
        <v>189</v>
      </c>
      <c r="X21" s="241">
        <v>9.2350000000000002E-3</v>
      </c>
      <c r="Y21" s="108"/>
      <c r="Z21" s="108"/>
    </row>
    <row r="22" spans="2:26" ht="15" customHeight="1" x14ac:dyDescent="0.25">
      <c r="B22" s="5"/>
      <c r="C22" s="93" t="s">
        <v>43</v>
      </c>
      <c r="D22" s="95" t="s">
        <v>19</v>
      </c>
      <c r="E22" s="97">
        <v>2.2449E-2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0"/>
      <c r="X23" s="241"/>
      <c r="Y23" s="108"/>
      <c r="Z23" s="108"/>
    </row>
    <row r="24" spans="2:26" ht="15" customHeight="1" x14ac:dyDescent="0.25">
      <c r="B24" s="5"/>
      <c r="C24" s="69" t="s">
        <v>68</v>
      </c>
      <c r="D24" s="71"/>
      <c r="E24" s="64">
        <f>SUM(E8:E22)</f>
        <v>0.80366400000000016</v>
      </c>
      <c r="F24" s="1"/>
      <c r="G24" s="1"/>
      <c r="H24" s="1"/>
      <c r="I24" s="1"/>
      <c r="J24" s="1"/>
      <c r="K24" s="1"/>
      <c r="L24" s="1"/>
      <c r="M24" s="1"/>
      <c r="N24" s="1"/>
      <c r="O24" s="1"/>
      <c r="P24" s="1"/>
      <c r="Q24" s="1"/>
      <c r="R24" s="1"/>
      <c r="S24" s="76"/>
      <c r="T24" s="75"/>
      <c r="W24" s="240"/>
      <c r="X24" s="241"/>
      <c r="Y24" s="108"/>
      <c r="Z24" s="108"/>
    </row>
    <row r="25" spans="2:26" ht="15" customHeight="1" x14ac:dyDescent="0.25">
      <c r="B25" s="5"/>
      <c r="F25" s="1"/>
      <c r="G25" s="1"/>
      <c r="H25" s="1"/>
      <c r="I25" s="1"/>
      <c r="J25" s="1"/>
      <c r="K25" s="1"/>
      <c r="L25" s="1"/>
      <c r="M25" s="1"/>
      <c r="N25" s="1"/>
      <c r="O25" s="1"/>
      <c r="P25" s="1"/>
      <c r="Q25" s="1"/>
      <c r="R25" s="1"/>
      <c r="S25" s="76"/>
      <c r="T25" s="75"/>
      <c r="W25" s="240"/>
      <c r="X25" s="241"/>
      <c r="Y25" s="108"/>
      <c r="Z25" s="108"/>
    </row>
    <row r="26" spans="2:26" ht="15" customHeight="1" x14ac:dyDescent="0.25">
      <c r="B26" s="5"/>
      <c r="F26" s="1"/>
      <c r="G26" s="1"/>
      <c r="H26" s="1"/>
      <c r="I26" s="1"/>
      <c r="J26" s="1"/>
      <c r="K26" s="1"/>
      <c r="L26" s="1"/>
      <c r="M26" s="1"/>
      <c r="N26" s="1"/>
      <c r="O26" s="1"/>
      <c r="P26" s="1"/>
      <c r="Q26" s="1"/>
      <c r="R26" s="1"/>
      <c r="S26" s="76"/>
      <c r="T26" s="75"/>
      <c r="W26" s="240"/>
      <c r="X26" s="241"/>
      <c r="Y26" s="108"/>
      <c r="Z26" s="108"/>
    </row>
    <row r="27" spans="2:26" ht="15" customHeight="1" x14ac:dyDescent="0.25">
      <c r="B27" s="5"/>
      <c r="F27" s="1"/>
      <c r="G27" s="1"/>
      <c r="H27" s="1"/>
      <c r="I27" s="1"/>
      <c r="J27" s="1"/>
      <c r="K27" s="1"/>
      <c r="L27" s="1"/>
      <c r="M27" s="1"/>
      <c r="N27" s="1"/>
      <c r="O27" s="1"/>
      <c r="P27" s="1"/>
      <c r="Q27" s="1"/>
      <c r="R27" s="1"/>
      <c r="S27" s="76"/>
      <c r="T27" s="75"/>
      <c r="W27" s="240"/>
      <c r="X27" s="241"/>
      <c r="Y27" s="108"/>
      <c r="Z27" s="108"/>
    </row>
    <row r="28" spans="2:26" ht="15" customHeight="1" x14ac:dyDescent="0.25">
      <c r="B28" s="5"/>
      <c r="F28" s="1"/>
      <c r="G28" s="1"/>
      <c r="H28" s="1"/>
      <c r="I28" s="1"/>
      <c r="J28" s="1"/>
      <c r="K28" s="1"/>
      <c r="L28" s="1"/>
      <c r="M28" s="1"/>
      <c r="N28" s="1"/>
      <c r="O28" s="1"/>
      <c r="P28" s="1"/>
      <c r="Q28" s="1"/>
      <c r="R28" s="1"/>
      <c r="S28" s="76"/>
      <c r="T28" s="75"/>
      <c r="W28" s="240"/>
      <c r="X28" s="241"/>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299" t="s">
        <v>127</v>
      </c>
      <c r="C39" s="300"/>
      <c r="D39" s="300"/>
      <c r="E39" s="300"/>
      <c r="F39" s="300"/>
      <c r="G39" s="300"/>
      <c r="H39" s="300"/>
      <c r="I39" s="300"/>
      <c r="J39" s="300"/>
      <c r="K39" s="300"/>
      <c r="L39" s="300"/>
      <c r="M39" s="300"/>
      <c r="N39" s="301"/>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2"/>
      <c r="C40" s="303"/>
      <c r="D40" s="303"/>
      <c r="E40" s="303"/>
      <c r="F40" s="303"/>
      <c r="G40" s="303"/>
      <c r="H40" s="303"/>
      <c r="I40" s="303"/>
      <c r="J40" s="303"/>
      <c r="K40" s="303"/>
      <c r="L40" s="303"/>
      <c r="M40" s="303"/>
      <c r="N40" s="304"/>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2"/>
      <c r="C41" s="303"/>
      <c r="D41" s="303"/>
      <c r="E41" s="303"/>
      <c r="F41" s="303"/>
      <c r="G41" s="303"/>
      <c r="H41" s="303"/>
      <c r="I41" s="303"/>
      <c r="J41" s="303"/>
      <c r="K41" s="303"/>
      <c r="L41" s="303"/>
      <c r="M41" s="303"/>
      <c r="N41" s="304"/>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2"/>
      <c r="C42" s="303"/>
      <c r="D42" s="303"/>
      <c r="E42" s="303"/>
      <c r="F42" s="303"/>
      <c r="G42" s="303"/>
      <c r="H42" s="303"/>
      <c r="I42" s="303"/>
      <c r="J42" s="303"/>
      <c r="K42" s="303"/>
      <c r="L42" s="303"/>
      <c r="M42" s="303"/>
      <c r="N42" s="304"/>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108"/>
      <c r="AB43" s="108"/>
      <c r="AC43" s="108"/>
      <c r="AD43" s="108"/>
      <c r="AE43" s="108"/>
      <c r="AF43" s="108"/>
      <c r="AG43" s="108"/>
    </row>
    <row r="44" spans="1:33" ht="15" customHeight="1" x14ac:dyDescent="0.25">
      <c r="B44" s="302"/>
      <c r="C44" s="303"/>
      <c r="D44" s="303"/>
      <c r="E44" s="303"/>
      <c r="F44" s="303"/>
      <c r="G44" s="303"/>
      <c r="H44" s="303"/>
      <c r="I44" s="303"/>
      <c r="J44" s="303"/>
      <c r="K44" s="303"/>
      <c r="L44" s="303"/>
      <c r="M44" s="303"/>
      <c r="N44" s="304"/>
    </row>
    <row r="45" spans="1:33" ht="15" customHeight="1" thickBot="1" x14ac:dyDescent="0.3">
      <c r="B45" s="305"/>
      <c r="C45" s="306"/>
      <c r="D45" s="306"/>
      <c r="E45" s="306"/>
      <c r="F45" s="306"/>
      <c r="G45" s="306"/>
      <c r="H45" s="306"/>
      <c r="I45" s="306"/>
      <c r="J45" s="306"/>
      <c r="K45" s="306"/>
      <c r="L45" s="306"/>
      <c r="M45" s="306"/>
      <c r="N45" s="307"/>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9"/>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235</v>
      </c>
      <c r="D3" s="309"/>
      <c r="E3" s="309"/>
      <c r="F3" s="309"/>
      <c r="G3" s="309"/>
      <c r="H3" s="309"/>
      <c r="I3" s="309"/>
      <c r="J3" s="309"/>
      <c r="K3" s="309"/>
      <c r="L3" s="309"/>
      <c r="M3" s="309"/>
      <c r="N3" s="309"/>
      <c r="O3" s="309"/>
      <c r="P3" s="309"/>
      <c r="Q3" s="309"/>
      <c r="R3" s="309"/>
      <c r="S3" s="310"/>
      <c r="T3" s="75"/>
    </row>
    <row r="4" spans="1:24" ht="15.75" customHeight="1" x14ac:dyDescent="0.25">
      <c r="B4" s="5"/>
      <c r="C4" s="275" t="s">
        <v>253</v>
      </c>
      <c r="D4" s="1"/>
      <c r="E4" s="1"/>
      <c r="F4" s="1"/>
      <c r="G4" s="1"/>
      <c r="H4" s="1"/>
      <c r="I4" s="1"/>
      <c r="J4" s="1"/>
      <c r="K4" s="1"/>
      <c r="L4" s="1"/>
      <c r="M4" s="1"/>
      <c r="N4" s="1"/>
      <c r="O4" s="1"/>
      <c r="P4" s="1"/>
      <c r="Q4" s="1"/>
      <c r="R4" s="1"/>
      <c r="S4" s="76"/>
      <c r="T4" s="75"/>
    </row>
    <row r="5" spans="1:24" ht="18" customHeight="1" x14ac:dyDescent="0.25">
      <c r="B5" s="5"/>
      <c r="C5" s="2" t="s">
        <v>254</v>
      </c>
      <c r="D5" s="313" t="s">
        <v>276</v>
      </c>
      <c r="E5" s="313"/>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36</v>
      </c>
      <c r="D8" s="85" t="s">
        <v>6</v>
      </c>
      <c r="E8" s="103">
        <v>0.11551699999999999</v>
      </c>
      <c r="F8" s="1"/>
      <c r="G8" s="1"/>
      <c r="H8" s="1"/>
      <c r="I8" s="1"/>
      <c r="J8" s="1"/>
      <c r="K8" s="1"/>
      <c r="L8" s="1"/>
      <c r="M8" s="1"/>
      <c r="N8" s="1"/>
      <c r="O8" s="1"/>
      <c r="P8" s="1"/>
      <c r="Q8" s="1"/>
      <c r="R8" s="1"/>
      <c r="S8" s="76"/>
      <c r="T8" s="75"/>
      <c r="W8" s="200" t="s">
        <v>3</v>
      </c>
      <c r="X8" s="201">
        <v>0.26074399999999998</v>
      </c>
    </row>
    <row r="9" spans="1:24" ht="15.75" customHeight="1" x14ac:dyDescent="0.25">
      <c r="B9" s="5"/>
      <c r="C9" s="84" t="s">
        <v>33</v>
      </c>
      <c r="D9" s="86" t="s">
        <v>3</v>
      </c>
      <c r="E9" s="104">
        <v>8.3910999999999999E-2</v>
      </c>
      <c r="F9" s="1"/>
      <c r="G9" s="1"/>
      <c r="H9" s="1"/>
      <c r="I9" s="1"/>
      <c r="J9" s="1"/>
      <c r="K9" s="1"/>
      <c r="L9" s="1"/>
      <c r="M9" s="1"/>
      <c r="N9" s="1"/>
      <c r="O9" s="1"/>
      <c r="P9" s="1"/>
      <c r="Q9" s="1"/>
      <c r="R9" s="1"/>
      <c r="S9" s="76"/>
      <c r="T9" s="75"/>
      <c r="W9" s="200" t="s">
        <v>187</v>
      </c>
      <c r="X9" s="201">
        <v>0.141817</v>
      </c>
    </row>
    <row r="10" spans="1:24" ht="15.75" x14ac:dyDescent="0.25">
      <c r="B10" s="5"/>
      <c r="C10" s="84" t="s">
        <v>37</v>
      </c>
      <c r="D10" s="86" t="s">
        <v>3</v>
      </c>
      <c r="E10" s="104">
        <v>7.9434000000000005E-2</v>
      </c>
      <c r="F10" s="1"/>
      <c r="G10" s="1"/>
      <c r="H10" s="1"/>
      <c r="I10" s="1"/>
      <c r="J10" s="1"/>
      <c r="K10" s="1"/>
      <c r="L10" s="1"/>
      <c r="M10" s="1"/>
      <c r="N10" s="1"/>
      <c r="O10" s="1"/>
      <c r="P10" s="1"/>
      <c r="Q10" s="1"/>
      <c r="R10" s="1"/>
      <c r="S10" s="76"/>
      <c r="T10" s="75"/>
      <c r="W10" s="200" t="s">
        <v>6</v>
      </c>
      <c r="X10" s="201">
        <v>0.119475</v>
      </c>
    </row>
    <row r="11" spans="1:24" ht="15.75" customHeight="1" x14ac:dyDescent="0.25">
      <c r="B11" s="5"/>
      <c r="C11" s="84" t="s">
        <v>32</v>
      </c>
      <c r="D11" s="86" t="s">
        <v>187</v>
      </c>
      <c r="E11" s="104">
        <v>6.9790000000000005E-2</v>
      </c>
      <c r="F11" s="1"/>
      <c r="G11" s="1"/>
      <c r="H11" s="1"/>
      <c r="I11" s="1"/>
      <c r="J11" s="1"/>
      <c r="K11" s="1"/>
      <c r="L11" s="1"/>
      <c r="M11" s="1"/>
      <c r="N11" s="1"/>
      <c r="O11" s="1"/>
      <c r="P11" s="1"/>
      <c r="Q11" s="1"/>
      <c r="R11" s="1"/>
      <c r="S11" s="76"/>
      <c r="T11" s="75"/>
      <c r="W11" s="200" t="s">
        <v>4</v>
      </c>
      <c r="X11" s="201">
        <v>9.5687999999999995E-2</v>
      </c>
    </row>
    <row r="12" spans="1:24" ht="15" customHeight="1" x14ac:dyDescent="0.25">
      <c r="B12" s="5"/>
      <c r="C12" s="84" t="s">
        <v>34</v>
      </c>
      <c r="D12" s="86" t="s">
        <v>4</v>
      </c>
      <c r="E12" s="104">
        <v>5.6883999999999997E-2</v>
      </c>
      <c r="F12" s="1"/>
      <c r="G12" s="1"/>
      <c r="H12" s="1"/>
      <c r="I12" s="1"/>
      <c r="J12" s="1"/>
      <c r="K12" s="1"/>
      <c r="L12" s="1"/>
      <c r="M12" s="1"/>
      <c r="N12" s="1"/>
      <c r="O12" s="1"/>
      <c r="P12" s="1"/>
      <c r="Q12" s="1"/>
      <c r="R12" s="1"/>
      <c r="S12" s="76"/>
      <c r="T12" s="75"/>
      <c r="W12" s="200" t="s">
        <v>199</v>
      </c>
      <c r="X12" s="201">
        <v>6.6252999999999992E-2</v>
      </c>
    </row>
    <row r="13" spans="1:24" ht="15" customHeight="1" x14ac:dyDescent="0.25">
      <c r="B13" s="5"/>
      <c r="C13" s="84" t="s">
        <v>38</v>
      </c>
      <c r="D13" s="86" t="s">
        <v>187</v>
      </c>
      <c r="E13" s="104">
        <v>4.2449000000000001E-2</v>
      </c>
      <c r="F13" s="1"/>
      <c r="G13" s="1"/>
      <c r="H13" s="1"/>
      <c r="I13" s="1"/>
      <c r="J13" s="1"/>
      <c r="K13" s="1"/>
      <c r="L13" s="1"/>
      <c r="M13" s="1"/>
      <c r="N13" s="1"/>
      <c r="O13" s="1"/>
      <c r="P13" s="1"/>
      <c r="Q13" s="1"/>
      <c r="R13" s="1"/>
      <c r="S13" s="76"/>
      <c r="T13" s="75"/>
      <c r="W13" s="200" t="s">
        <v>194</v>
      </c>
      <c r="X13" s="201">
        <v>6.0173999999999998E-2</v>
      </c>
    </row>
    <row r="14" spans="1:24" ht="15" customHeight="1" x14ac:dyDescent="0.25">
      <c r="B14" s="5"/>
      <c r="C14" s="84" t="s">
        <v>40</v>
      </c>
      <c r="D14" s="86" t="s">
        <v>3</v>
      </c>
      <c r="E14" s="104">
        <v>3.6148E-2</v>
      </c>
      <c r="F14" s="1"/>
      <c r="G14" s="1"/>
      <c r="H14" s="1"/>
      <c r="I14" s="1"/>
      <c r="J14" s="1"/>
      <c r="K14" s="1"/>
      <c r="L14" s="1"/>
      <c r="M14" s="1"/>
      <c r="N14" s="1"/>
      <c r="O14" s="1"/>
      <c r="P14" s="1"/>
      <c r="Q14" s="1"/>
      <c r="R14" s="1"/>
      <c r="S14" s="76"/>
      <c r="T14" s="75"/>
      <c r="W14" s="200" t="s">
        <v>19</v>
      </c>
      <c r="X14" s="201">
        <v>3.3466999999999997E-2</v>
      </c>
    </row>
    <row r="15" spans="1:24" ht="15" customHeight="1" x14ac:dyDescent="0.25">
      <c r="B15" s="5"/>
      <c r="C15" s="84" t="s">
        <v>35</v>
      </c>
      <c r="D15" s="86" t="s">
        <v>199</v>
      </c>
      <c r="E15" s="104">
        <v>3.5763999999999997E-2</v>
      </c>
      <c r="F15" s="1"/>
      <c r="G15" s="1"/>
      <c r="H15" s="1"/>
      <c r="I15" s="1"/>
      <c r="J15" s="1"/>
      <c r="K15" s="1"/>
      <c r="L15" s="1"/>
      <c r="M15" s="1"/>
      <c r="N15" s="1"/>
      <c r="O15" s="1"/>
      <c r="P15" s="1"/>
      <c r="Q15" s="1"/>
      <c r="R15" s="1"/>
      <c r="S15" s="76"/>
      <c r="T15" s="75"/>
      <c r="W15" s="200" t="s">
        <v>193</v>
      </c>
      <c r="X15" s="201">
        <v>3.1653000000000001E-2</v>
      </c>
    </row>
    <row r="16" spans="1:24" ht="15" customHeight="1" x14ac:dyDescent="0.25">
      <c r="B16" s="5"/>
      <c r="C16" s="84" t="s">
        <v>42</v>
      </c>
      <c r="D16" s="86" t="s">
        <v>199</v>
      </c>
      <c r="E16" s="104">
        <v>3.0488999999999999E-2</v>
      </c>
      <c r="F16" s="1"/>
      <c r="G16" s="1"/>
      <c r="H16" s="1"/>
      <c r="I16" s="1"/>
      <c r="J16" s="1"/>
      <c r="K16" s="1"/>
      <c r="L16" s="1"/>
      <c r="M16" s="1"/>
      <c r="N16" s="1"/>
      <c r="O16" s="1"/>
      <c r="P16" s="1"/>
      <c r="Q16" s="1"/>
      <c r="R16" s="1"/>
      <c r="S16" s="76"/>
      <c r="T16" s="75"/>
      <c r="W16" s="200" t="s">
        <v>26</v>
      </c>
      <c r="X16" s="201">
        <v>2.9624999999999999E-2</v>
      </c>
    </row>
    <row r="17" spans="2:24" ht="15" customHeight="1" x14ac:dyDescent="0.25">
      <c r="B17" s="5"/>
      <c r="C17" s="84" t="s">
        <v>39</v>
      </c>
      <c r="D17" s="86" t="s">
        <v>26</v>
      </c>
      <c r="E17" s="104">
        <v>2.9624999999999999E-2</v>
      </c>
      <c r="F17" s="1"/>
      <c r="G17" s="1"/>
      <c r="H17" s="1"/>
      <c r="I17" s="1"/>
      <c r="J17" s="1"/>
      <c r="K17" s="1"/>
      <c r="L17" s="1"/>
      <c r="M17" s="1"/>
      <c r="N17" s="1"/>
      <c r="O17" s="1"/>
      <c r="P17" s="1"/>
      <c r="Q17" s="1"/>
      <c r="R17" s="1"/>
      <c r="S17" s="76"/>
      <c r="T17" s="75"/>
      <c r="W17" s="200" t="s">
        <v>14</v>
      </c>
      <c r="X17" s="201">
        <v>2.2179999999999998E-2</v>
      </c>
    </row>
    <row r="18" spans="2:24" ht="15" customHeight="1" x14ac:dyDescent="0.25">
      <c r="B18" s="5"/>
      <c r="C18" s="84" t="s">
        <v>122</v>
      </c>
      <c r="D18" s="86" t="s">
        <v>3</v>
      </c>
      <c r="E18" s="104">
        <v>2.6394999999999998E-2</v>
      </c>
      <c r="F18" s="1"/>
      <c r="G18" s="1"/>
      <c r="H18" s="1"/>
      <c r="I18" s="1"/>
      <c r="J18" s="1"/>
      <c r="K18" s="1"/>
      <c r="L18" s="1"/>
      <c r="M18" s="1"/>
      <c r="N18" s="1"/>
      <c r="O18" s="1"/>
      <c r="P18" s="1"/>
      <c r="Q18" s="1"/>
      <c r="R18" s="1"/>
      <c r="S18" s="76"/>
      <c r="T18" s="75"/>
      <c r="W18" s="200" t="s">
        <v>129</v>
      </c>
      <c r="X18" s="201">
        <v>2.1582999999999998E-2</v>
      </c>
    </row>
    <row r="19" spans="2:24" ht="15" customHeight="1" x14ac:dyDescent="0.25">
      <c r="B19" s="5"/>
      <c r="C19" s="84" t="s">
        <v>41</v>
      </c>
      <c r="D19" s="86" t="s">
        <v>3</v>
      </c>
      <c r="E19" s="104">
        <v>2.5454000000000001E-2</v>
      </c>
      <c r="F19" s="1"/>
      <c r="G19" s="1"/>
      <c r="H19" s="1"/>
      <c r="I19" s="1"/>
      <c r="J19" s="1"/>
      <c r="K19" s="1"/>
      <c r="L19" s="1"/>
      <c r="M19" s="1"/>
      <c r="N19" s="1"/>
      <c r="O19" s="1"/>
      <c r="P19" s="1"/>
      <c r="Q19" s="1"/>
      <c r="R19" s="1"/>
      <c r="S19" s="76"/>
      <c r="T19" s="75"/>
      <c r="W19" s="200" t="s">
        <v>12</v>
      </c>
      <c r="X19" s="201">
        <v>1.9931999999999998E-2</v>
      </c>
    </row>
    <row r="20" spans="2:24" ht="15" customHeight="1" x14ac:dyDescent="0.25">
      <c r="B20" s="5"/>
      <c r="C20" s="84" t="s">
        <v>124</v>
      </c>
      <c r="D20" s="86" t="s">
        <v>4</v>
      </c>
      <c r="E20" s="104">
        <v>2.5339E-2</v>
      </c>
      <c r="F20" s="1"/>
      <c r="G20" s="1"/>
      <c r="H20" s="1"/>
      <c r="I20" s="1"/>
      <c r="J20" s="1"/>
      <c r="K20" s="1"/>
      <c r="L20" s="1"/>
      <c r="M20" s="1"/>
      <c r="N20" s="1"/>
      <c r="O20" s="1"/>
      <c r="P20" s="1"/>
      <c r="Q20" s="1"/>
      <c r="R20" s="1"/>
      <c r="S20" s="76"/>
      <c r="T20" s="75"/>
      <c r="W20" s="200" t="s">
        <v>13</v>
      </c>
      <c r="X20" s="201">
        <v>1.9583E-2</v>
      </c>
    </row>
    <row r="21" spans="2:24" ht="15" customHeight="1" x14ac:dyDescent="0.25">
      <c r="B21" s="5"/>
      <c r="C21" s="84" t="s">
        <v>100</v>
      </c>
      <c r="D21" s="86" t="s">
        <v>14</v>
      </c>
      <c r="E21" s="104">
        <v>2.2179999999999998E-2</v>
      </c>
      <c r="F21" s="1"/>
      <c r="G21" s="1"/>
      <c r="H21" s="1"/>
      <c r="I21" s="1"/>
      <c r="J21" s="1"/>
      <c r="K21" s="1"/>
      <c r="L21" s="1"/>
      <c r="M21" s="1"/>
      <c r="N21" s="1"/>
      <c r="O21" s="1"/>
      <c r="P21" s="1"/>
      <c r="Q21" s="1"/>
      <c r="R21" s="1"/>
      <c r="S21" s="76"/>
      <c r="T21" s="75"/>
      <c r="W21" s="200" t="s">
        <v>189</v>
      </c>
      <c r="X21" s="201">
        <v>1.4565999999999999E-2</v>
      </c>
    </row>
    <row r="22" spans="2:24" ht="15" customHeight="1" x14ac:dyDescent="0.25">
      <c r="B22" s="5"/>
      <c r="C22" s="84" t="s">
        <v>43</v>
      </c>
      <c r="D22" s="86" t="s">
        <v>19</v>
      </c>
      <c r="E22" s="104">
        <v>1.9418999999999999E-2</v>
      </c>
      <c r="F22" s="1"/>
      <c r="G22" s="1"/>
      <c r="H22" s="1"/>
      <c r="I22" s="1"/>
      <c r="J22" s="1"/>
      <c r="K22" s="1"/>
      <c r="L22" s="1"/>
      <c r="M22" s="1"/>
      <c r="N22" s="1"/>
      <c r="O22" s="1"/>
      <c r="P22" s="1"/>
      <c r="Q22" s="1"/>
      <c r="R22" s="1"/>
      <c r="S22" s="76"/>
      <c r="T22" s="75"/>
      <c r="W22" s="200" t="s">
        <v>132</v>
      </c>
      <c r="X22" s="201">
        <v>1.4457000000000001E-2</v>
      </c>
    </row>
    <row r="23" spans="2:24" ht="15" customHeight="1" x14ac:dyDescent="0.25">
      <c r="B23" s="5"/>
      <c r="C23" s="68"/>
      <c r="D23" s="68"/>
      <c r="E23" s="90"/>
      <c r="F23" s="1"/>
      <c r="G23" s="1"/>
      <c r="H23" s="1"/>
      <c r="I23" s="1"/>
      <c r="J23" s="1"/>
      <c r="K23" s="1"/>
      <c r="L23" s="1"/>
      <c r="M23" s="1"/>
      <c r="N23" s="1"/>
      <c r="O23" s="1"/>
      <c r="P23" s="1"/>
      <c r="Q23" s="1"/>
      <c r="R23" s="1"/>
      <c r="S23" s="76"/>
      <c r="T23" s="75"/>
      <c r="W23" s="200" t="s">
        <v>18</v>
      </c>
      <c r="X23" s="201">
        <v>8.2500000000000004E-3</v>
      </c>
    </row>
    <row r="24" spans="2:24" ht="15" customHeight="1" x14ac:dyDescent="0.25">
      <c r="B24" s="5"/>
      <c r="C24" s="69" t="s">
        <v>68</v>
      </c>
      <c r="D24" s="71"/>
      <c r="E24" s="64">
        <f>SUM(E8:E22)</f>
        <v>0.69879799999999992</v>
      </c>
      <c r="F24" s="1"/>
      <c r="G24" s="1"/>
      <c r="H24" s="1"/>
      <c r="I24" s="1"/>
      <c r="J24" s="1"/>
      <c r="K24" s="1"/>
      <c r="L24" s="1"/>
      <c r="M24" s="1"/>
      <c r="N24" s="1"/>
      <c r="O24" s="1"/>
      <c r="P24" s="1"/>
      <c r="Q24" s="1"/>
      <c r="R24" s="1"/>
      <c r="S24" s="76"/>
      <c r="T24" s="75"/>
      <c r="W24" s="200" t="s">
        <v>215</v>
      </c>
      <c r="X24" s="201">
        <v>7.6759999999999997E-3</v>
      </c>
    </row>
    <row r="25" spans="2:24" ht="15" customHeight="1" x14ac:dyDescent="0.25">
      <c r="B25" s="5"/>
      <c r="F25" s="1"/>
      <c r="G25" s="1"/>
      <c r="H25" s="1"/>
      <c r="I25" s="1"/>
      <c r="J25" s="1"/>
      <c r="K25" s="1"/>
      <c r="L25" s="1"/>
      <c r="M25" s="1"/>
      <c r="N25" s="1"/>
      <c r="O25" s="1"/>
      <c r="P25" s="1"/>
      <c r="Q25" s="1"/>
      <c r="R25" s="1"/>
      <c r="S25" s="76"/>
      <c r="T25" s="75"/>
      <c r="W25" s="200" t="s">
        <v>15</v>
      </c>
      <c r="X25" s="201">
        <v>6.9179999999999997E-3</v>
      </c>
    </row>
    <row r="26" spans="2:24" ht="15" customHeight="1" x14ac:dyDescent="0.25">
      <c r="B26" s="5"/>
      <c r="F26" s="1"/>
      <c r="G26" s="1"/>
      <c r="H26" s="1"/>
      <c r="I26" s="1"/>
      <c r="J26" s="1"/>
      <c r="K26" s="1"/>
      <c r="L26" s="1"/>
      <c r="M26" s="1"/>
      <c r="N26" s="1"/>
      <c r="O26" s="1"/>
      <c r="P26" s="1"/>
      <c r="Q26" s="1"/>
      <c r="R26" s="1"/>
      <c r="S26" s="76"/>
      <c r="T26" s="75"/>
      <c r="W26" s="200" t="s">
        <v>216</v>
      </c>
      <c r="X26" s="201">
        <v>6.2550000000000001E-3</v>
      </c>
    </row>
    <row r="27" spans="2:24" ht="15" customHeight="1" x14ac:dyDescent="0.25">
      <c r="B27" s="5"/>
      <c r="F27" s="1"/>
      <c r="G27" s="1"/>
      <c r="H27" s="1"/>
      <c r="I27" s="1"/>
      <c r="J27" s="1"/>
      <c r="K27" s="1"/>
      <c r="L27" s="1"/>
      <c r="M27" s="1"/>
      <c r="N27" s="1"/>
      <c r="O27" s="1"/>
      <c r="P27" s="1"/>
      <c r="Q27" s="1"/>
      <c r="R27" s="1"/>
      <c r="S27" s="76"/>
      <c r="T27" s="75"/>
      <c r="W27" s="200" t="s">
        <v>197</v>
      </c>
      <c r="X27" s="201">
        <v>6.1040000000000001E-3</v>
      </c>
    </row>
    <row r="28" spans="2:24" ht="15" customHeight="1" x14ac:dyDescent="0.25">
      <c r="B28" s="5"/>
      <c r="F28" s="1"/>
      <c r="G28" s="1"/>
      <c r="H28" s="1"/>
      <c r="I28" s="1"/>
      <c r="J28" s="1"/>
      <c r="K28" s="1"/>
      <c r="L28" s="1"/>
      <c r="M28" s="1"/>
      <c r="N28" s="1"/>
      <c r="O28" s="1"/>
      <c r="P28" s="1"/>
      <c r="Q28" s="1"/>
      <c r="R28" s="1"/>
      <c r="S28" s="76"/>
      <c r="T28" s="75"/>
      <c r="W28" s="200" t="s">
        <v>117</v>
      </c>
      <c r="X28" s="201">
        <v>5.5979999999999997E-3</v>
      </c>
    </row>
    <row r="29" spans="2:24" ht="15" customHeight="1" x14ac:dyDescent="0.25">
      <c r="B29" s="5"/>
      <c r="F29" s="1"/>
      <c r="G29" s="1"/>
      <c r="H29" s="1"/>
      <c r="I29" s="1"/>
      <c r="J29" s="1"/>
      <c r="K29" s="1"/>
      <c r="L29" s="1"/>
      <c r="M29" s="1"/>
      <c r="N29" s="1"/>
      <c r="O29" s="1"/>
      <c r="P29" s="1"/>
      <c r="Q29" s="1"/>
      <c r="R29" s="1"/>
      <c r="S29" s="76"/>
      <c r="T29" s="75"/>
      <c r="W29" s="165" t="s">
        <v>200</v>
      </c>
      <c r="X29" s="201">
        <v>5.2839999999999996E-3</v>
      </c>
    </row>
    <row r="30" spans="2:24" ht="15" customHeight="1" x14ac:dyDescent="0.25">
      <c r="B30" s="5"/>
      <c r="F30" s="1"/>
      <c r="G30" s="1"/>
      <c r="H30" s="1"/>
      <c r="I30" s="1"/>
      <c r="J30" s="1"/>
      <c r="K30" s="1"/>
      <c r="L30" s="1"/>
      <c r="M30" s="1"/>
      <c r="N30" s="1"/>
      <c r="O30" s="1"/>
      <c r="P30" s="1"/>
      <c r="Q30" s="1"/>
      <c r="R30" s="1"/>
      <c r="S30" s="76"/>
      <c r="T30" s="75"/>
      <c r="W30" s="200"/>
      <c r="X30" s="201"/>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299" t="s">
        <v>127</v>
      </c>
      <c r="C42" s="300"/>
      <c r="D42" s="300"/>
      <c r="E42" s="300"/>
      <c r="F42" s="300"/>
      <c r="G42" s="300"/>
      <c r="H42" s="300"/>
      <c r="I42" s="300"/>
      <c r="J42" s="300"/>
      <c r="K42" s="300"/>
      <c r="L42" s="300"/>
      <c r="M42" s="300"/>
      <c r="N42" s="301"/>
      <c r="O42"/>
      <c r="P42"/>
      <c r="Q42"/>
      <c r="R42"/>
      <c r="S42" s="9"/>
      <c r="T42" s="9"/>
      <c r="U42" s="9"/>
      <c r="V42" s="9"/>
      <c r="W42" s="165"/>
      <c r="X42" s="165"/>
      <c r="Y42" s="165"/>
      <c r="Z42" s="165"/>
      <c r="AA42" s="9"/>
      <c r="AB42" s="108"/>
      <c r="AC42" s="108"/>
      <c r="AD42" s="108"/>
      <c r="AE42" s="108"/>
    </row>
    <row r="43" spans="1:31"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9"/>
      <c r="AB43" s="108"/>
      <c r="AC43" s="108"/>
      <c r="AD43" s="108"/>
      <c r="AE43" s="108"/>
    </row>
    <row r="44" spans="1:31" s="10" customFormat="1" ht="15" customHeight="1" x14ac:dyDescent="0.25">
      <c r="A44"/>
      <c r="B44" s="302"/>
      <c r="C44" s="303"/>
      <c r="D44" s="303"/>
      <c r="E44" s="303"/>
      <c r="F44" s="303"/>
      <c r="G44" s="303"/>
      <c r="H44" s="303"/>
      <c r="I44" s="303"/>
      <c r="J44" s="303"/>
      <c r="K44" s="303"/>
      <c r="L44" s="303"/>
      <c r="M44" s="303"/>
      <c r="N44" s="304"/>
      <c r="O44"/>
      <c r="P44"/>
      <c r="Q44"/>
      <c r="R44"/>
      <c r="S44" s="9"/>
      <c r="T44" s="9"/>
      <c r="U44" s="9"/>
      <c r="V44" s="9"/>
      <c r="W44" s="165"/>
      <c r="X44" s="165"/>
      <c r="Y44" s="165"/>
      <c r="Z44" s="165"/>
      <c r="AA44" s="9"/>
      <c r="AB44" s="108"/>
      <c r="AC44" s="108"/>
      <c r="AD44" s="108"/>
      <c r="AE44" s="108"/>
    </row>
    <row r="45" spans="1:31" s="10" customFormat="1" ht="15" customHeight="1" x14ac:dyDescent="0.25">
      <c r="A45"/>
      <c r="B45" s="302"/>
      <c r="C45" s="303"/>
      <c r="D45" s="303"/>
      <c r="E45" s="303"/>
      <c r="F45" s="303"/>
      <c r="G45" s="303"/>
      <c r="H45" s="303"/>
      <c r="I45" s="303"/>
      <c r="J45" s="303"/>
      <c r="K45" s="303"/>
      <c r="L45" s="303"/>
      <c r="M45" s="303"/>
      <c r="N45" s="304"/>
      <c r="O45"/>
      <c r="P45"/>
      <c r="Q45"/>
      <c r="R45"/>
      <c r="S45" s="9"/>
      <c r="T45" s="9"/>
      <c r="U45" s="9"/>
      <c r="V45" s="9"/>
      <c r="W45" s="165"/>
      <c r="X45" s="165"/>
      <c r="Y45" s="165"/>
      <c r="Z45" s="165"/>
      <c r="AA45" s="9"/>
      <c r="AB45" s="108"/>
      <c r="AC45" s="108"/>
      <c r="AD45" s="108"/>
      <c r="AE45" s="108"/>
    </row>
    <row r="46" spans="1:31" s="10" customFormat="1" ht="15" customHeight="1" x14ac:dyDescent="0.25">
      <c r="A46"/>
      <c r="B46" s="302"/>
      <c r="C46" s="303"/>
      <c r="D46" s="303"/>
      <c r="E46" s="303"/>
      <c r="F46" s="303"/>
      <c r="G46" s="303"/>
      <c r="H46" s="303"/>
      <c r="I46" s="303"/>
      <c r="J46" s="303"/>
      <c r="K46" s="303"/>
      <c r="L46" s="303"/>
      <c r="M46" s="303"/>
      <c r="N46" s="304"/>
      <c r="O46"/>
      <c r="P46"/>
      <c r="Q46"/>
      <c r="R46"/>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9"/>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182</v>
      </c>
      <c r="D3" s="309"/>
      <c r="E3" s="309"/>
      <c r="F3" s="309"/>
      <c r="G3" s="309"/>
      <c r="H3" s="309"/>
      <c r="I3" s="309"/>
      <c r="J3" s="309"/>
      <c r="K3" s="309"/>
      <c r="L3" s="309"/>
      <c r="M3" s="309"/>
      <c r="N3" s="309"/>
      <c r="O3" s="309"/>
      <c r="P3" s="309"/>
      <c r="Q3" s="309"/>
      <c r="R3" s="309"/>
      <c r="S3" s="310"/>
      <c r="T3" s="291"/>
      <c r="U3" s="292"/>
    </row>
    <row r="4" spans="1:24" ht="15.75" customHeight="1" x14ac:dyDescent="0.25">
      <c r="B4" s="276"/>
      <c r="C4" s="275" t="s">
        <v>253</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254</v>
      </c>
      <c r="D5" s="313" t="s">
        <v>277</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36</v>
      </c>
      <c r="D8" s="85" t="s">
        <v>6</v>
      </c>
      <c r="E8" s="103">
        <v>9.955E-2</v>
      </c>
      <c r="F8" s="274"/>
      <c r="G8" s="274"/>
      <c r="H8" s="274"/>
      <c r="I8" s="274"/>
      <c r="J8" s="274"/>
      <c r="K8" s="274"/>
      <c r="L8" s="274"/>
      <c r="M8" s="274"/>
      <c r="N8" s="274"/>
      <c r="O8" s="274"/>
      <c r="P8" s="274"/>
      <c r="Q8" s="274"/>
      <c r="R8" s="274"/>
      <c r="S8" s="76"/>
      <c r="T8" s="76"/>
      <c r="U8" s="230"/>
      <c r="W8" s="216" t="s">
        <v>3</v>
      </c>
      <c r="X8" s="217">
        <v>0.22738599999999998</v>
      </c>
    </row>
    <row r="9" spans="1:24" ht="15.75" customHeight="1" x14ac:dyDescent="0.25">
      <c r="B9" s="276"/>
      <c r="C9" s="84" t="s">
        <v>33</v>
      </c>
      <c r="D9" s="86" t="s">
        <v>3</v>
      </c>
      <c r="E9" s="104">
        <v>7.1415999999999993E-2</v>
      </c>
      <c r="F9" s="274"/>
      <c r="G9" s="274"/>
      <c r="H9" s="274"/>
      <c r="I9" s="274"/>
      <c r="J9" s="274"/>
      <c r="K9" s="274"/>
      <c r="L9" s="274"/>
      <c r="M9" s="274"/>
      <c r="N9" s="274"/>
      <c r="O9" s="274"/>
      <c r="P9" s="274"/>
      <c r="Q9" s="274"/>
      <c r="R9" s="274"/>
      <c r="S9" s="76"/>
      <c r="T9" s="76"/>
      <c r="U9" s="230"/>
      <c r="W9" s="216" t="s">
        <v>187</v>
      </c>
      <c r="X9" s="217">
        <v>0.12584399999999998</v>
      </c>
    </row>
    <row r="10" spans="1:24" ht="15.75" x14ac:dyDescent="0.25">
      <c r="B10" s="276"/>
      <c r="C10" s="84" t="s">
        <v>37</v>
      </c>
      <c r="D10" s="86" t="s">
        <v>3</v>
      </c>
      <c r="E10" s="104">
        <v>6.7515000000000006E-2</v>
      </c>
      <c r="F10" s="274"/>
      <c r="G10" s="274"/>
      <c r="H10" s="274"/>
      <c r="I10" s="274"/>
      <c r="J10" s="274"/>
      <c r="K10" s="274"/>
      <c r="L10" s="274"/>
      <c r="M10" s="274"/>
      <c r="N10" s="274"/>
      <c r="O10" s="274"/>
      <c r="P10" s="274"/>
      <c r="Q10" s="274"/>
      <c r="R10" s="274"/>
      <c r="S10" s="76"/>
      <c r="T10" s="76"/>
      <c r="U10" s="230"/>
      <c r="W10" s="216" t="s">
        <v>6</v>
      </c>
      <c r="X10" s="217">
        <v>0.105985</v>
      </c>
    </row>
    <row r="11" spans="1:24" ht="15.75" customHeight="1" x14ac:dyDescent="0.25">
      <c r="B11" s="276"/>
      <c r="C11" s="84" t="s">
        <v>32</v>
      </c>
      <c r="D11" s="86" t="s">
        <v>187</v>
      </c>
      <c r="E11" s="104">
        <v>5.9808E-2</v>
      </c>
      <c r="F11" s="274"/>
      <c r="G11" s="274"/>
      <c r="H11" s="274"/>
      <c r="I11" s="274"/>
      <c r="J11" s="274"/>
      <c r="K11" s="274"/>
      <c r="L11" s="274"/>
      <c r="M11" s="274"/>
      <c r="N11" s="274"/>
      <c r="O11" s="274"/>
      <c r="P11" s="274"/>
      <c r="Q11" s="274"/>
      <c r="R11" s="274"/>
      <c r="S11" s="76"/>
      <c r="T11" s="76"/>
      <c r="U11" s="230"/>
      <c r="W11" s="216" t="s">
        <v>4</v>
      </c>
      <c r="X11" s="217">
        <v>9.0980000000000005E-2</v>
      </c>
    </row>
    <row r="12" spans="1:24" ht="15" customHeight="1" x14ac:dyDescent="0.25">
      <c r="B12" s="276"/>
      <c r="C12" s="84" t="s">
        <v>34</v>
      </c>
      <c r="D12" s="86" t="s">
        <v>4</v>
      </c>
      <c r="E12" s="104">
        <v>4.8313000000000002E-2</v>
      </c>
      <c r="F12" s="274"/>
      <c r="G12" s="274"/>
      <c r="H12" s="274"/>
      <c r="I12" s="274"/>
      <c r="J12" s="274"/>
      <c r="K12" s="274"/>
      <c r="L12" s="274"/>
      <c r="M12" s="274"/>
      <c r="N12" s="274"/>
      <c r="O12" s="274"/>
      <c r="P12" s="274"/>
      <c r="Q12" s="274"/>
      <c r="R12" s="274"/>
      <c r="S12" s="76"/>
      <c r="T12" s="76"/>
      <c r="U12" s="230"/>
      <c r="W12" s="216" t="s">
        <v>199</v>
      </c>
      <c r="X12" s="217">
        <v>5.6647000000000003E-2</v>
      </c>
    </row>
    <row r="13" spans="1:24" ht="15" customHeight="1" x14ac:dyDescent="0.25">
      <c r="B13" s="276"/>
      <c r="C13" s="84" t="s">
        <v>38</v>
      </c>
      <c r="D13" s="86" t="s">
        <v>187</v>
      </c>
      <c r="E13" s="104">
        <v>3.6375999999999999E-2</v>
      </c>
      <c r="F13" s="274"/>
      <c r="G13" s="274"/>
      <c r="H13" s="274"/>
      <c r="I13" s="274"/>
      <c r="J13" s="274"/>
      <c r="K13" s="274"/>
      <c r="L13" s="274"/>
      <c r="M13" s="274"/>
      <c r="N13" s="274"/>
      <c r="O13" s="274"/>
      <c r="P13" s="274"/>
      <c r="Q13" s="274"/>
      <c r="R13" s="274"/>
      <c r="S13" s="76"/>
      <c r="T13" s="76"/>
      <c r="U13" s="230"/>
      <c r="W13" s="216" t="s">
        <v>194</v>
      </c>
      <c r="X13" s="217">
        <v>5.1175999999999999E-2</v>
      </c>
    </row>
    <row r="14" spans="1:24" ht="15" customHeight="1" x14ac:dyDescent="0.25">
      <c r="B14" s="276"/>
      <c r="C14" s="84" t="s">
        <v>35</v>
      </c>
      <c r="D14" s="86" t="s">
        <v>199</v>
      </c>
      <c r="E14" s="104">
        <v>3.0700000000000002E-2</v>
      </c>
      <c r="F14" s="274"/>
      <c r="G14" s="274"/>
      <c r="H14" s="274"/>
      <c r="I14" s="274"/>
      <c r="J14" s="274"/>
      <c r="K14" s="274"/>
      <c r="L14" s="274"/>
      <c r="M14" s="274"/>
      <c r="N14" s="274"/>
      <c r="O14" s="274"/>
      <c r="P14" s="274"/>
      <c r="Q14" s="274"/>
      <c r="R14" s="274"/>
      <c r="S14" s="76"/>
      <c r="T14" s="76"/>
      <c r="U14" s="230"/>
      <c r="W14" s="216" t="s">
        <v>12</v>
      </c>
      <c r="X14" s="217">
        <v>4.2888000000000003E-2</v>
      </c>
    </row>
    <row r="15" spans="1:24" ht="15" customHeight="1" x14ac:dyDescent="0.25">
      <c r="B15" s="276"/>
      <c r="C15" s="84" t="s">
        <v>40</v>
      </c>
      <c r="D15" s="86" t="s">
        <v>3</v>
      </c>
      <c r="E15" s="104">
        <v>3.0641999999999999E-2</v>
      </c>
      <c r="F15" s="274"/>
      <c r="G15" s="274"/>
      <c r="H15" s="274"/>
      <c r="I15" s="274"/>
      <c r="J15" s="274"/>
      <c r="K15" s="274"/>
      <c r="L15" s="274"/>
      <c r="M15" s="274"/>
      <c r="N15" s="274"/>
      <c r="O15" s="274"/>
      <c r="P15" s="274"/>
      <c r="Q15" s="274"/>
      <c r="R15" s="274"/>
      <c r="S15" s="76"/>
      <c r="T15" s="76"/>
      <c r="U15" s="230"/>
      <c r="W15" s="216" t="s">
        <v>193</v>
      </c>
      <c r="X15" s="217">
        <v>3.4759000000000005E-2</v>
      </c>
    </row>
    <row r="16" spans="1:24" ht="15" customHeight="1" x14ac:dyDescent="0.25">
      <c r="B16" s="276"/>
      <c r="C16" s="84" t="s">
        <v>42</v>
      </c>
      <c r="D16" s="86" t="s">
        <v>199</v>
      </c>
      <c r="E16" s="104">
        <v>2.5947000000000001E-2</v>
      </c>
      <c r="F16" s="274"/>
      <c r="G16" s="274"/>
      <c r="H16" s="274"/>
      <c r="I16" s="274"/>
      <c r="J16" s="274"/>
      <c r="K16" s="274"/>
      <c r="L16" s="274"/>
      <c r="M16" s="274"/>
      <c r="N16" s="274"/>
      <c r="O16" s="274"/>
      <c r="P16" s="274"/>
      <c r="Q16" s="274"/>
      <c r="R16" s="274"/>
      <c r="S16" s="76"/>
      <c r="T16" s="76"/>
      <c r="U16" s="230"/>
      <c r="W16" s="216" t="s">
        <v>19</v>
      </c>
      <c r="X16" s="217">
        <v>3.4210000000000004E-2</v>
      </c>
    </row>
    <row r="17" spans="2:24" ht="15" customHeight="1" x14ac:dyDescent="0.25">
      <c r="B17" s="276"/>
      <c r="C17" s="84" t="s">
        <v>39</v>
      </c>
      <c r="D17" s="86" t="s">
        <v>26</v>
      </c>
      <c r="E17" s="104">
        <v>2.5391E-2</v>
      </c>
      <c r="F17" s="274"/>
      <c r="G17" s="274"/>
      <c r="H17" s="274"/>
      <c r="I17" s="274"/>
      <c r="J17" s="274"/>
      <c r="K17" s="274"/>
      <c r="L17" s="274"/>
      <c r="M17" s="274"/>
      <c r="N17" s="274"/>
      <c r="O17" s="274"/>
      <c r="P17" s="274"/>
      <c r="Q17" s="274"/>
      <c r="R17" s="274"/>
      <c r="S17" s="76"/>
      <c r="T17" s="76"/>
      <c r="U17" s="230"/>
      <c r="W17" s="216" t="s">
        <v>26</v>
      </c>
      <c r="X17" s="217">
        <v>2.5391E-2</v>
      </c>
    </row>
    <row r="18" spans="2:24" ht="15" customHeight="1" x14ac:dyDescent="0.25">
      <c r="B18" s="276"/>
      <c r="C18" s="84" t="s">
        <v>122</v>
      </c>
      <c r="D18" s="86" t="s">
        <v>3</v>
      </c>
      <c r="E18" s="104">
        <v>2.2284000000000002E-2</v>
      </c>
      <c r="F18" s="274"/>
      <c r="G18" s="274"/>
      <c r="H18" s="274"/>
      <c r="I18" s="274"/>
      <c r="J18" s="274"/>
      <c r="K18" s="274"/>
      <c r="L18" s="274"/>
      <c r="M18" s="274"/>
      <c r="N18" s="274"/>
      <c r="O18" s="274"/>
      <c r="P18" s="274"/>
      <c r="Q18" s="274"/>
      <c r="R18" s="274"/>
      <c r="S18" s="76"/>
      <c r="T18" s="76"/>
      <c r="U18" s="230"/>
      <c r="W18" s="216" t="s">
        <v>129</v>
      </c>
      <c r="X18" s="217">
        <v>2.3952000000000001E-2</v>
      </c>
    </row>
    <row r="19" spans="2:24" ht="15" customHeight="1" x14ac:dyDescent="0.25">
      <c r="B19" s="276"/>
      <c r="C19" s="84" t="s">
        <v>41</v>
      </c>
      <c r="D19" s="86" t="s">
        <v>3</v>
      </c>
      <c r="E19" s="104">
        <v>2.1742999999999998E-2</v>
      </c>
      <c r="F19" s="274"/>
      <c r="G19" s="274"/>
      <c r="H19" s="274"/>
      <c r="I19" s="274"/>
      <c r="J19" s="274"/>
      <c r="K19" s="274"/>
      <c r="L19" s="274"/>
      <c r="M19" s="274"/>
      <c r="N19" s="274"/>
      <c r="O19" s="274"/>
      <c r="P19" s="274"/>
      <c r="Q19" s="274"/>
      <c r="R19" s="274"/>
      <c r="S19" s="76"/>
      <c r="T19" s="76"/>
      <c r="U19" s="230"/>
      <c r="W19" s="216" t="s">
        <v>14</v>
      </c>
      <c r="X19" s="217">
        <v>2.1066000000000001E-2</v>
      </c>
    </row>
    <row r="20" spans="2:24" ht="15" customHeight="1" x14ac:dyDescent="0.25">
      <c r="B20" s="276"/>
      <c r="C20" s="84" t="s">
        <v>124</v>
      </c>
      <c r="D20" s="86" t="s">
        <v>4</v>
      </c>
      <c r="E20" s="104">
        <v>2.1257999999999999E-2</v>
      </c>
      <c r="F20" s="274"/>
      <c r="G20" s="274"/>
      <c r="H20" s="274"/>
      <c r="I20" s="274"/>
      <c r="J20" s="274"/>
      <c r="K20" s="274"/>
      <c r="L20" s="274"/>
      <c r="M20" s="274"/>
      <c r="N20" s="274"/>
      <c r="O20" s="274"/>
      <c r="P20" s="274"/>
      <c r="Q20" s="274"/>
      <c r="R20" s="274"/>
      <c r="S20" s="76"/>
      <c r="T20" s="76"/>
      <c r="U20" s="230"/>
      <c r="W20" s="216" t="s">
        <v>132</v>
      </c>
      <c r="X20" s="217">
        <v>1.993E-2</v>
      </c>
    </row>
    <row r="21" spans="2:24" ht="15" customHeight="1" x14ac:dyDescent="0.25">
      <c r="B21" s="276"/>
      <c r="C21" s="84" t="s">
        <v>100</v>
      </c>
      <c r="D21" s="86" t="s">
        <v>14</v>
      </c>
      <c r="E21" s="104">
        <v>1.9185000000000001E-2</v>
      </c>
      <c r="F21" s="274"/>
      <c r="G21" s="274"/>
      <c r="H21" s="274"/>
      <c r="I21" s="274"/>
      <c r="J21" s="274"/>
      <c r="K21" s="274"/>
      <c r="L21" s="274"/>
      <c r="M21" s="274"/>
      <c r="N21" s="274"/>
      <c r="O21" s="274"/>
      <c r="P21" s="274"/>
      <c r="Q21" s="274"/>
      <c r="R21" s="274"/>
      <c r="S21" s="76"/>
      <c r="T21" s="76"/>
      <c r="U21" s="230"/>
      <c r="W21" s="216" t="s">
        <v>13</v>
      </c>
      <c r="X21" s="217">
        <v>1.7898000000000001E-2</v>
      </c>
    </row>
    <row r="22" spans="2:24" ht="15" customHeight="1" x14ac:dyDescent="0.25">
      <c r="B22" s="276"/>
      <c r="C22" s="84" t="s">
        <v>43</v>
      </c>
      <c r="D22" s="86" t="s">
        <v>19</v>
      </c>
      <c r="E22" s="104">
        <v>1.6693E-2</v>
      </c>
      <c r="F22" s="274"/>
      <c r="G22" s="274"/>
      <c r="H22" s="274"/>
      <c r="I22" s="274"/>
      <c r="J22" s="274"/>
      <c r="K22" s="274"/>
      <c r="L22" s="274"/>
      <c r="M22" s="274"/>
      <c r="N22" s="274"/>
      <c r="O22" s="274"/>
      <c r="P22" s="274"/>
      <c r="Q22" s="274"/>
      <c r="R22" s="274"/>
      <c r="S22" s="76"/>
      <c r="T22" s="76"/>
      <c r="U22" s="230"/>
      <c r="W22" s="216" t="s">
        <v>203</v>
      </c>
      <c r="X22" s="217">
        <v>1.4435999999999999E-2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30</v>
      </c>
      <c r="X23" s="217">
        <v>1.2933E-2</v>
      </c>
    </row>
    <row r="24" spans="2:24" ht="15" customHeight="1" x14ac:dyDescent="0.25">
      <c r="B24" s="276"/>
      <c r="C24" s="69" t="s">
        <v>68</v>
      </c>
      <c r="D24" s="71"/>
      <c r="E24" s="64">
        <f>SUM(E8:E22)</f>
        <v>0.59682099999999993</v>
      </c>
      <c r="F24" s="274"/>
      <c r="G24" s="274"/>
      <c r="H24" s="274"/>
      <c r="I24" s="274"/>
      <c r="J24" s="274"/>
      <c r="K24" s="274"/>
      <c r="L24" s="274"/>
      <c r="M24" s="274"/>
      <c r="N24" s="274"/>
      <c r="O24" s="274"/>
      <c r="P24" s="274"/>
      <c r="Q24" s="274"/>
      <c r="R24" s="274"/>
      <c r="S24" s="76"/>
      <c r="T24" s="76"/>
      <c r="U24" s="230"/>
      <c r="W24" s="216" t="s">
        <v>189</v>
      </c>
      <c r="X24" s="217">
        <v>1.2192999999999999E-2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218</v>
      </c>
      <c r="X25" s="217">
        <v>9.5829999999999995E-3</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198</v>
      </c>
      <c r="X26" s="217">
        <v>8.6150000000000011E-3</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200</v>
      </c>
      <c r="X27" s="217">
        <v>7.5690000000000002E-3</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t="s">
        <v>18</v>
      </c>
      <c r="X28" s="217">
        <v>7.0020000000000004E-3</v>
      </c>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t="s">
        <v>215</v>
      </c>
      <c r="X29" s="217">
        <v>6.6080000000000002E-3</v>
      </c>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t="s">
        <v>15</v>
      </c>
      <c r="X30" s="217">
        <v>5.9160000000000003E-3</v>
      </c>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t="s">
        <v>216</v>
      </c>
      <c r="X31" s="217">
        <v>5.398E-3</v>
      </c>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t="s">
        <v>197</v>
      </c>
      <c r="X32" s="217">
        <v>5.2940000000000001E-3</v>
      </c>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t="s">
        <v>117</v>
      </c>
      <c r="X33" s="217">
        <v>4.836E-3</v>
      </c>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t="s">
        <v>219</v>
      </c>
      <c r="X34" s="217">
        <v>3.3029999999999999E-3</v>
      </c>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t="s">
        <v>201</v>
      </c>
      <c r="X35" s="217">
        <v>2.8110000000000001E-3</v>
      </c>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t="s">
        <v>28</v>
      </c>
      <c r="X36" s="217">
        <v>2.7130000000000001E-3</v>
      </c>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t="s">
        <v>186</v>
      </c>
      <c r="X37" s="217">
        <v>2.6419999999999998E-3</v>
      </c>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t="s">
        <v>195</v>
      </c>
      <c r="X38" s="217">
        <v>2.64E-3</v>
      </c>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t="s">
        <v>130</v>
      </c>
      <c r="X39" s="217">
        <v>2.5820000000000001E-3</v>
      </c>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t="s">
        <v>207</v>
      </c>
      <c r="X40" s="217">
        <v>2.1220000000000002E-3</v>
      </c>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t="s">
        <v>191</v>
      </c>
      <c r="X41" s="217">
        <v>1.619E-3</v>
      </c>
      <c r="Y41" s="165"/>
      <c r="Z41" s="165"/>
      <c r="AA41" s="9"/>
      <c r="AB41" s="108"/>
      <c r="AC41" s="108"/>
      <c r="AD41" s="108"/>
      <c r="AE41" s="108"/>
    </row>
    <row r="42" spans="1:31" s="10" customFormat="1" ht="15" customHeight="1" x14ac:dyDescent="0.25">
      <c r="A42" s="273"/>
      <c r="B42" s="299" t="s">
        <v>127</v>
      </c>
      <c r="C42" s="300"/>
      <c r="D42" s="300"/>
      <c r="E42" s="300"/>
      <c r="F42" s="300"/>
      <c r="G42" s="300"/>
      <c r="H42" s="300"/>
      <c r="I42" s="300"/>
      <c r="J42" s="300"/>
      <c r="K42" s="300"/>
      <c r="L42" s="300"/>
      <c r="M42" s="300"/>
      <c r="N42" s="301"/>
      <c r="O42" s="273"/>
      <c r="P42" s="273"/>
      <c r="Q42" s="273"/>
      <c r="R42" s="273"/>
      <c r="S42" s="9"/>
      <c r="T42" s="9"/>
      <c r="U42" s="9"/>
      <c r="V42" s="9"/>
      <c r="W42" s="216" t="s">
        <v>131</v>
      </c>
      <c r="X42" s="217">
        <v>1.49E-3</v>
      </c>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216" t="s">
        <v>217</v>
      </c>
      <c r="X43" s="217">
        <v>7.1400000000000001E-4</v>
      </c>
      <c r="Y43" s="165"/>
      <c r="Z43" s="165"/>
      <c r="AA43" s="9"/>
      <c r="AB43" s="108"/>
      <c r="AC43" s="108"/>
      <c r="AD43" s="108"/>
      <c r="AE43" s="108"/>
    </row>
    <row r="44" spans="1:31" s="10" customFormat="1" ht="15" customHeight="1" x14ac:dyDescent="0.25">
      <c r="A44" s="273"/>
      <c r="B44" s="302"/>
      <c r="C44" s="303"/>
      <c r="D44" s="303"/>
      <c r="E44" s="303"/>
      <c r="F44" s="303"/>
      <c r="G44" s="303"/>
      <c r="H44" s="303"/>
      <c r="I44" s="303"/>
      <c r="J44" s="303"/>
      <c r="K44" s="303"/>
      <c r="L44" s="303"/>
      <c r="M44" s="303"/>
      <c r="N44" s="304"/>
      <c r="O44" s="273"/>
      <c r="P44" s="273"/>
      <c r="Q44" s="273"/>
      <c r="R44" s="273"/>
      <c r="S44" s="9"/>
      <c r="T44" s="9"/>
      <c r="U44" s="9"/>
      <c r="V44" s="9"/>
      <c r="W44" s="216"/>
      <c r="X44" s="217"/>
      <c r="Y44" s="165"/>
      <c r="Z44" s="165"/>
      <c r="AA44" s="9"/>
      <c r="AB44" s="108"/>
      <c r="AC44" s="108"/>
      <c r="AD44" s="108"/>
      <c r="AE44" s="108"/>
    </row>
    <row r="45" spans="1:31" s="10" customFormat="1" ht="15" customHeight="1" x14ac:dyDescent="0.25">
      <c r="A45" s="273"/>
      <c r="B45" s="302"/>
      <c r="C45" s="303"/>
      <c r="D45" s="303"/>
      <c r="E45" s="303"/>
      <c r="F45" s="303"/>
      <c r="G45" s="303"/>
      <c r="H45" s="303"/>
      <c r="I45" s="303"/>
      <c r="J45" s="303"/>
      <c r="K45" s="303"/>
      <c r="L45" s="303"/>
      <c r="M45" s="303"/>
      <c r="N45" s="304"/>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2"/>
      <c r="C46" s="303"/>
      <c r="D46" s="303"/>
      <c r="E46" s="303"/>
      <c r="F46" s="303"/>
      <c r="G46" s="303"/>
      <c r="H46" s="303"/>
      <c r="I46" s="303"/>
      <c r="J46" s="303"/>
      <c r="K46" s="303"/>
      <c r="L46" s="303"/>
      <c r="M46" s="303"/>
      <c r="N46" s="304"/>
      <c r="O46" s="273"/>
      <c r="P46" s="273"/>
      <c r="Q46" s="273"/>
      <c r="R46" s="273"/>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IDFC-USFOF</vt:lpstr>
      <vt:lpstr>IDFC CEF</vt:lpstr>
      <vt:lpstr>IDFC LCF</vt:lpstr>
      <vt:lpstr>IDFC FEF</vt:lpstr>
      <vt:lpstr>IDFC SVF</vt:lpstr>
      <vt:lpstr>IDFC MidCap F</vt:lpstr>
      <vt:lpstr>IDFC MCF</vt:lpstr>
      <vt:lpstr>IDFC FCF</vt:lpstr>
      <vt:lpstr>IDFC EBF</vt:lpstr>
      <vt:lpstr>IDFC IF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2022-09-02T12:32:54Z</dcterms:modified>
</cp:coreProperties>
</file>