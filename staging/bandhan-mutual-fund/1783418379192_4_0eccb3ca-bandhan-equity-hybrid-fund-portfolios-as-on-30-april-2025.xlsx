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xl/drawings/drawing3.xml" ContentType="application/vnd.openxmlformats-officedocument.drawing+xml"/>
  <Override PartName="/xl/charts/chart3.xml" ContentType="application/vnd.openxmlformats-officedocument.drawingml.chart+xml"/>
  <Override PartName="/xl/drawings/drawing4.xml" ContentType="application/vnd.openxmlformats-officedocument.drawing+xml"/>
  <Override PartName="/xl/charts/chart4.xml" ContentType="application/vnd.openxmlformats-officedocument.drawingml.chart+xml"/>
  <Override PartName="/xl/drawings/drawing5.xml" ContentType="application/vnd.openxmlformats-officedocument.drawing+xml"/>
  <Override PartName="/xl/charts/chart5.xml" ContentType="application/vnd.openxmlformats-officedocument.drawingml.chart+xml"/>
  <Override PartName="/xl/charts/chart6.xml" ContentType="application/vnd.openxmlformats-officedocument.drawingml.chart+xml"/>
  <Override PartName="/xl/drawings/drawing6.xml" ContentType="application/vnd.openxmlformats-officedocument.drawing+xml"/>
  <Override PartName="/xl/charts/chart7.xml" ContentType="application/vnd.openxmlformats-officedocument.drawingml.chart+xml"/>
  <Override PartName="/xl/drawings/drawing7.xml" ContentType="application/vnd.openxmlformats-officedocument.drawing+xml"/>
  <Override PartName="/xl/charts/chart8.xml" ContentType="application/vnd.openxmlformats-officedocument.drawingml.chart+xml"/>
  <Override PartName="/xl/drawings/drawing8.xml" ContentType="application/vnd.openxmlformats-officedocument.drawing+xml"/>
  <Override PartName="/xl/charts/chart9.xml" ContentType="application/vnd.openxmlformats-officedocument.drawingml.chart+xml"/>
  <Override PartName="/xl/charts/style1.xml" ContentType="application/vnd.ms-office.chartstyle+xml"/>
  <Override PartName="/xl/charts/colors1.xml" ContentType="application/vnd.ms-office.chartcolorstyle+xml"/>
  <Override PartName="/xl/drawings/drawing9.xml" ContentType="application/vnd.openxmlformats-officedocument.drawing+xml"/>
  <Override PartName="/xl/charts/chart10.xml" ContentType="application/vnd.openxmlformats-officedocument.drawingml.chart+xml"/>
  <Override PartName="/xl/drawings/drawing10.xml" ContentType="application/vnd.openxmlformats-officedocument.drawing+xml"/>
  <Override PartName="/xl/charts/chart11.xml" ContentType="application/vnd.openxmlformats-officedocument.drawingml.chart+xml"/>
  <Override PartName="/xl/drawings/drawing11.xml" ContentType="application/vnd.openxmlformats-officedocument.drawing+xml"/>
  <Override PartName="/xl/charts/chart12.xml" ContentType="application/vnd.openxmlformats-officedocument.drawingml.chart+xml"/>
  <Override PartName="/xl/drawings/drawing12.xml" ContentType="application/vnd.openxmlformats-officedocument.drawing+xml"/>
  <Override PartName="/xl/charts/chart13.xml" ContentType="application/vnd.openxmlformats-officedocument.drawingml.chart+xml"/>
  <Override PartName="/xl/drawings/drawing13.xml" ContentType="application/vnd.openxmlformats-officedocument.drawing+xml"/>
  <Override PartName="/xl/charts/chart14.xml" ContentType="application/vnd.openxmlformats-officedocument.drawingml.chart+xml"/>
  <Override PartName="/xl/drawings/drawing14.xml" ContentType="application/vnd.openxmlformats-officedocument.drawing+xml"/>
  <Override PartName="/xl/charts/chart15.xml" ContentType="application/vnd.openxmlformats-officedocument.drawingml.chart+xml"/>
  <Override PartName="/xl/drawings/drawing15.xml" ContentType="application/vnd.openxmlformats-officedocument.drawing+xml"/>
  <Override PartName="/xl/charts/chart16.xml" ContentType="application/vnd.openxmlformats-officedocument.drawingml.chart+xml"/>
  <Override PartName="/xl/drawings/drawing16.xml" ContentType="application/vnd.openxmlformats-officedocument.drawing+xml"/>
  <Override PartName="/xl/charts/chart17.xml" ContentType="application/vnd.openxmlformats-officedocument.drawingml.chart+xml"/>
  <Override PartName="/xl/drawings/drawing17.xml" ContentType="application/vnd.openxmlformats-officedocument.drawing+xml"/>
  <Override PartName="/xl/charts/chart18.xml" ContentType="application/vnd.openxmlformats-officedocument.drawingml.chart+xml"/>
  <Override PartName="/xl/charts/chart19.xml" ContentType="application/vnd.openxmlformats-officedocument.drawingml.chart+xml"/>
  <Override PartName="/xl/charts/chart20.xml" ContentType="application/vnd.openxmlformats-officedocument.drawingml.chart+xml"/>
  <Override PartName="/xl/drawings/drawing18.xml" ContentType="application/vnd.openxmlformats-officedocument.drawing+xml"/>
  <Override PartName="/xl/charts/chart21.xml" ContentType="application/vnd.openxmlformats-officedocument.drawingml.chart+xml"/>
  <Override PartName="/xl/charts/chart22.xml" ContentType="application/vnd.openxmlformats-officedocument.drawingml.chart+xml"/>
  <Override PartName="/xl/drawings/drawing19.xml" ContentType="application/vnd.openxmlformats-officedocument.drawing+xml"/>
  <Override PartName="/xl/charts/chart23.xml" ContentType="application/vnd.openxmlformats-officedocument.drawingml.chart+xml"/>
  <Override PartName="/xl/charts/chart24.xml" ContentType="application/vnd.openxmlformats-officedocument.drawingml.chart+xml"/>
  <Override PartName="/xl/drawings/drawing20.xml" ContentType="application/vnd.openxmlformats-officedocument.drawing+xml"/>
  <Override PartName="/xl/charts/chart25.xml" ContentType="application/vnd.openxmlformats-officedocument.drawingml.chart+xml"/>
  <Override PartName="/xl/charts/chart26.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1.xml" ContentType="application/vnd.openxmlformats-officedocument.drawing+xml"/>
  <Override PartName="/xl/charts/chart27.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2.xml" ContentType="application/vnd.openxmlformats-officedocument.drawing+xml"/>
  <Override PartName="/xl/charts/chart28.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3.xml" ContentType="application/vnd.openxmlformats-officedocument.drawing+xml"/>
  <Override PartName="/xl/charts/chart29.xml" ContentType="application/vnd.openxmlformats-officedocument.drawingml.chart+xml"/>
  <Override PartName="/xl/drawings/drawing24.xml" ContentType="application/vnd.openxmlformats-officedocument.drawing+xml"/>
  <Override PartName="/xl/charts/chart30.xml" ContentType="application/vnd.openxmlformats-officedocument.drawingml.chart+xml"/>
  <Override PartName="/xl/drawings/drawing25.xml" ContentType="application/vnd.openxmlformats-officedocument.drawing+xml"/>
  <Override PartName="/xl/charts/chart31.xml" ContentType="application/vnd.openxmlformats-officedocument.drawingml.chart+xml"/>
  <Override PartName="/xl/drawings/drawing26.xml" ContentType="application/vnd.openxmlformats-officedocument.drawing+xml"/>
  <Override PartName="/xl/charts/chart32.xml" ContentType="application/vnd.openxmlformats-officedocument.drawingml.chart+xml"/>
  <Override PartName="/xl/charts/chart33.xml" ContentType="application/vnd.openxmlformats-officedocument.drawingml.chart+xml"/>
  <Override PartName="/xl/drawings/drawing27.xml" ContentType="application/vnd.openxmlformats-officedocument.drawing+xml"/>
  <Override PartName="/xl/charts/chart34.xml" ContentType="application/vnd.openxmlformats-officedocument.drawingml.chart+xml"/>
  <Override PartName="/xl/drawings/drawing28.xml" ContentType="application/vnd.openxmlformats-officedocument.drawing+xml"/>
  <Override PartName="/xl/charts/chart35.xml" ContentType="application/vnd.openxmlformats-officedocument.drawingml.chart+xml"/>
  <Override PartName="/xl/drawings/drawing29.xml" ContentType="application/vnd.openxmlformats-officedocument.drawing+xml"/>
  <Override PartName="/xl/charts/chart36.xml" ContentType="application/vnd.openxmlformats-officedocument.drawingml.chart+xml"/>
  <Override PartName="/xl/drawings/drawing30.xml" ContentType="application/vnd.openxmlformats-officedocument.drawing+xml"/>
  <Override PartName="/xl/charts/chart37.xml" ContentType="application/vnd.openxmlformats-officedocument.drawingml.chart+xml"/>
  <Override PartName="/xl/charts/style5.xml" ContentType="application/vnd.ms-office.chartstyle+xml"/>
  <Override PartName="/xl/charts/colors5.xml" ContentType="application/vnd.ms-office.chartcolorstyle+xml"/>
  <Override PartName="/xl/drawings/drawing31.xml" ContentType="application/vnd.openxmlformats-officedocument.drawing+xml"/>
  <Override PartName="/xl/charts/chart38.xml" ContentType="application/vnd.openxmlformats-officedocument.drawingml.chart+xml"/>
  <Override PartName="/xl/drawings/drawing32.xml" ContentType="application/vnd.openxmlformats-officedocument.drawing+xml"/>
  <Override PartName="/xl/charts/chart39.xml" ContentType="application/vnd.openxmlformats-officedocument.drawingml.chart+xml"/>
  <Override PartName="/xl/drawings/drawing33.xml" ContentType="application/vnd.openxmlformats-officedocument.drawing+xml"/>
  <Override PartName="/xl/charts/chart40.xml" ContentType="application/vnd.openxmlformats-officedocument.drawingml.chart+xml"/>
  <Override PartName="/xl/drawings/drawing34.xml" ContentType="application/vnd.openxmlformats-officedocument.drawing+xml"/>
  <Override PartName="/xl/charts/chart41.xml" ContentType="application/vnd.openxmlformats-officedocument.drawingml.chart+xml"/>
  <Override PartName="/xl/drawings/drawing35.xml" ContentType="application/vnd.openxmlformats-officedocument.drawing+xml"/>
  <Override PartName="/xl/charts/chart42.xml" ContentType="application/vnd.openxmlformats-officedocument.drawingml.chart+xml"/>
  <Override PartName="/xl/drawings/drawing36.xml" ContentType="application/vnd.openxmlformats-officedocument.drawing+xml"/>
  <Override PartName="/xl/charts/chart43.xml" ContentType="application/vnd.openxmlformats-officedocument.drawingml.chart+xml"/>
  <Override PartName="/xl/drawings/drawing37.xml" ContentType="application/vnd.openxmlformats-officedocument.drawing+xml"/>
  <Override PartName="/xl/charts/chart44.xml" ContentType="application/vnd.openxmlformats-officedocument.drawingml.chart+xml"/>
  <Override PartName="/xl/drawings/drawing38.xml" ContentType="application/vnd.openxmlformats-officedocument.drawing+xml"/>
  <Override PartName="/xl/charts/chart45.xml" ContentType="application/vnd.openxmlformats-officedocument.drawingml.chart+xml"/>
  <Override PartName="/xl/drawings/drawing39.xml" ContentType="application/vnd.openxmlformats-officedocument.drawing+xml"/>
  <Override PartName="/xl/charts/chart46.xml" ContentType="application/vnd.openxmlformats-officedocument.drawingml.chart+xml"/>
  <Override PartName="/xl/drawings/drawing40.xml" ContentType="application/vnd.openxmlformats-officedocument.drawing+xml"/>
  <Override PartName="/xl/charts/chart47.xml" ContentType="application/vnd.openxmlformats-officedocument.drawingml.chart+xml"/>
  <Override PartName="/xl/drawings/drawing41.xml" ContentType="application/vnd.openxmlformats-officedocument.drawing+xml"/>
  <Override PartName="/xl/charts/chart48.xml" ContentType="application/vnd.openxmlformats-officedocument.drawingml.chart+xml"/>
  <Override PartName="/xl/drawings/drawing42.xml" ContentType="application/vnd.openxmlformats-officedocument.drawing+xml"/>
  <Override PartName="/xl/charts/chart49.xml" ContentType="application/vnd.openxmlformats-officedocument.drawingml.chart+xml"/>
  <Override PartName="/xl/drawings/drawing43.xml" ContentType="application/vnd.openxmlformats-officedocument.drawing+xml"/>
  <Override PartName="/xl/charts/chart50.xml" ContentType="application/vnd.openxmlformats-officedocument.drawingml.chart+xml"/>
  <Override PartName="/xl/drawings/drawing44.xml" ContentType="application/vnd.openxmlformats-officedocument.drawing+xml"/>
  <Override PartName="/xl/charts/chart51.xml" ContentType="application/vnd.openxmlformats-officedocument.drawingml.chart+xml"/>
  <Override PartName="/xl/drawings/drawing45.xml" ContentType="application/vnd.openxmlformats-officedocument.drawing+xml"/>
  <Override PartName="/xl/charts/chart52.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6"/>
  <workbookPr codeName="ThisWorkbook" defaultThemeVersion="124226"/>
  <mc:AlternateContent xmlns:mc="http://schemas.openxmlformats.org/markup-compatibility/2006">
    <mc:Choice Requires="x15">
      <x15ac:absPath xmlns:x15ac="http://schemas.microsoft.com/office/spreadsheetml/2010/11/ac" url="Z:\Product_Team\MONTH END DELIVERABLES-1\Portfolios_All\2025\May 2025\"/>
    </mc:Choice>
  </mc:AlternateContent>
  <xr:revisionPtr revIDLastSave="0" documentId="13_ncr:1_{27A111B3-7416-43E7-84E0-48EC17FB8F81}" xr6:coauthVersionLast="36" xr6:coauthVersionMax="47" xr10:uidLastSave="{00000000-0000-0000-0000-000000000000}"/>
  <bookViews>
    <workbookView xWindow="0" yWindow="0" windowWidth="19200" windowHeight="6810" tabRatio="875" firstSheet="36" activeTab="39" xr2:uid="{00000000-000D-0000-FFFF-FFFF00000000}"/>
  </bookViews>
  <sheets>
    <sheet name="BANDHAN-USFOF" sheetId="29" r:id="rId1"/>
    <sheet name="BANDHAN CEF" sheetId="4" r:id="rId2"/>
    <sheet name="BANDHAN LCF" sheetId="6" r:id="rId3"/>
    <sheet name="BANDHAN FEF" sheetId="7" r:id="rId4"/>
    <sheet name="BANDHAN SVF" sheetId="12" r:id="rId5"/>
    <sheet name="BANDHAN-MCAP" sheetId="33" r:id="rId6"/>
    <sheet name="BANDHAN MCF" sheetId="30" r:id="rId7"/>
    <sheet name="BANDHAN FCF" sheetId="11" r:id="rId8"/>
    <sheet name="BANDHAN SCF" sheetId="28" r:id="rId9"/>
    <sheet name="BANDHAN IF" sheetId="8" r:id="rId10"/>
    <sheet name="BANDHAN TLF" sheetId="37" r:id="rId11"/>
    <sheet name="BANDHAN FSF" sheetId="39" r:id="rId12"/>
    <sheet name="BANDHAN INNOV" sheetId="46" r:id="rId13"/>
    <sheet name="BANDHAN BUSINESS CYCLE" sheetId="54" r:id="rId14"/>
    <sheet name="BANDHAN-ELSS" sheetId="13" r:id="rId15"/>
    <sheet name="BANDHAN-AF" sheetId="27" r:id="rId16"/>
    <sheet name="BANDHAN BAF" sheetId="5" r:id="rId17"/>
    <sheet name="BANDHAN-ESF" sheetId="25" r:id="rId18"/>
    <sheet name="BANDHAN CHF" sheetId="18" r:id="rId19"/>
    <sheet name="BANDHAN-AHF" sheetId="26" r:id="rId20"/>
    <sheet name="BANDHAN RF" sheetId="41" r:id="rId21"/>
    <sheet name="BANDHAN MAF" sheetId="45" r:id="rId22"/>
    <sheet name="BANDHAN AAF-AP" sheetId="19" r:id="rId23"/>
    <sheet name="BANDHANAAF-MP" sheetId="20" r:id="rId24"/>
    <sheet name="BANDHANAAF-CP" sheetId="21" r:id="rId25"/>
    <sheet name="BANDHAN IPAFOFs" sheetId="63" r:id="rId26"/>
    <sheet name="BANDHAN-NIFTY 50 Index" sheetId="10" r:id="rId27"/>
    <sheet name="BANDHAN BSE SENSEX ETF" sheetId="16" r:id="rId28"/>
    <sheet name="BANDHAN- Nifty 50 ETF" sheetId="17" r:id="rId29"/>
    <sheet name="BANDHAN-Nifty 100 Index" sheetId="31" r:id="rId30"/>
    <sheet name="BANDHAN-Nifty200 Mom30 Index" sheetId="34" r:id="rId31"/>
    <sheet name="BANDHAN NIF100LV30" sheetId="35" r:id="rId32"/>
    <sheet name="BANDHAN NIFTY IT INDEX" sheetId="40" r:id="rId33"/>
    <sheet name="Bandhan Nifty Alpha 50 Index" sheetId="42" r:id="rId34"/>
    <sheet name="Bandhan Nifty Smallcap 250 " sheetId="44" r:id="rId35"/>
    <sheet name="Bandhan Nifty Total Market " sheetId="47" r:id="rId36"/>
    <sheet name="Bandhan Nifty Bank Index Fund" sheetId="49" r:id="rId37"/>
    <sheet name="Bandhan BSE Healthcare Index " sheetId="52" r:id="rId38"/>
    <sheet name="Bandhan Nifty Midcap 150 Index " sheetId="53" r:id="rId39"/>
    <sheet name="Bandhan Nifty 500 Value 50 " sheetId="56" r:id="rId40"/>
    <sheet name="Bandhan Nifty 500 Momentum 50 " sheetId="57" r:id="rId41"/>
    <sheet name="Bandhan Nifty 200 Quality 30 " sheetId="58" r:id="rId42"/>
    <sheet name="Bandhan Nifty Alpha Low Vol 30" sheetId="61" r:id="rId43"/>
    <sheet name="Bandhan Nifty Next 50 Index" sheetId="62" r:id="rId44"/>
    <sheet name="BANDHAN US TB 0-1yr FOF" sheetId="60" r:id="rId45"/>
  </sheets>
  <definedNames>
    <definedName name="_xlnm._FilterDatabase" localSheetId="22" hidden="1">'BANDHAN AAF-AP'!$C$12:$D$15</definedName>
    <definedName name="_xlnm._FilterDatabase" localSheetId="16" hidden="1">'BANDHAN BAF'!$I$48:$J$49</definedName>
    <definedName name="JR_PAGE_ANCHOR_0_24" localSheetId="42">#REF!</definedName>
    <definedName name="JR_PAGE_ANCHOR_0_24" localSheetId="43">#REF!</definedName>
    <definedName name="JR_PAGE_ANCHOR_0_24" localSheetId="44">#REF!</definedName>
    <definedName name="JR_PAGE_ANCHOR_0_24">#REF!</definedName>
    <definedName name="JR_PAGE_ANCHOR_0_25" localSheetId="42">#REF!</definedName>
    <definedName name="JR_PAGE_ANCHOR_0_25" localSheetId="43">#REF!</definedName>
    <definedName name="JR_PAGE_ANCHOR_0_25" localSheetId="44">#REF!</definedName>
    <definedName name="JR_PAGE_ANCHOR_0_25">#REF!</definedName>
    <definedName name="JR_PAGE_ANCHOR_0_26" localSheetId="42">#REF!</definedName>
    <definedName name="JR_PAGE_ANCHOR_0_26" localSheetId="43">#REF!</definedName>
    <definedName name="JR_PAGE_ANCHOR_0_26">#REF!</definedName>
    <definedName name="JR_PAGE_ANCHOR_0_27" localSheetId="42">#REF!</definedName>
    <definedName name="JR_PAGE_ANCHOR_0_27" localSheetId="43">#REF!</definedName>
    <definedName name="JR_PAGE_ANCHOR_0_27">#REF!</definedName>
    <definedName name="JR_PAGE_ANCHOR_0_28" localSheetId="42">#REF!</definedName>
    <definedName name="JR_PAGE_ANCHOR_0_28" localSheetId="43">#REF!</definedName>
    <definedName name="JR_PAGE_ANCHOR_0_28">#REF!</definedName>
    <definedName name="_xlnm.Print_Area" localSheetId="15">'BANDHAN-AF'!$C$5:$E$13</definedName>
  </definedNames>
  <calcPr calcId="191029"/>
</workbook>
</file>

<file path=xl/calcChain.xml><?xml version="1.0" encoding="utf-8"?>
<calcChain xmlns="http://schemas.openxmlformats.org/spreadsheetml/2006/main">
  <c r="E29" i="27" l="1"/>
  <c r="K9" i="63" l="1"/>
  <c r="K10" i="63"/>
  <c r="K11" i="63"/>
  <c r="J10" i="20"/>
  <c r="H10" i="26"/>
  <c r="H9" i="26"/>
  <c r="E19" i="18" l="1"/>
  <c r="H10" i="18" l="1"/>
  <c r="H9" i="18"/>
  <c r="E23" i="25"/>
  <c r="E24" i="62" l="1"/>
  <c r="E24" i="61" l="1"/>
  <c r="D15" i="60" l="1"/>
  <c r="J10" i="60"/>
  <c r="J9" i="60"/>
  <c r="J8" i="60"/>
  <c r="K13" i="26" l="1"/>
  <c r="K14" i="26"/>
  <c r="K12" i="26"/>
  <c r="E50" i="25"/>
  <c r="E20" i="49" l="1"/>
  <c r="E24" i="58"/>
  <c r="E23" i="5" l="1"/>
  <c r="E48" i="5" s="1"/>
  <c r="K18" i="25" l="1"/>
  <c r="E24" i="57" l="1"/>
  <c r="E24" i="56"/>
  <c r="K17" i="25"/>
  <c r="E24" i="54" l="1"/>
  <c r="E24" i="53" l="1"/>
  <c r="E24" i="52"/>
  <c r="K16" i="25" l="1"/>
  <c r="K15" i="25"/>
  <c r="K14" i="25"/>
  <c r="K12" i="25"/>
  <c r="K10" i="25"/>
  <c r="H8" i="26" l="1"/>
  <c r="E24" i="47" l="1"/>
  <c r="K9" i="26"/>
  <c r="H8" i="18"/>
  <c r="E24" i="46" l="1"/>
  <c r="K14" i="18" l="1"/>
  <c r="E42" i="45" l="1"/>
  <c r="E24" i="44" l="1"/>
  <c r="E24" i="42" l="1"/>
  <c r="E35" i="41" l="1"/>
  <c r="E19" i="40" l="1"/>
  <c r="J11" i="19" l="1"/>
  <c r="D11" i="19" l="1"/>
  <c r="E24" i="39"/>
  <c r="D15" i="29" l="1"/>
  <c r="D11" i="21" l="1"/>
  <c r="E24" i="37" l="1"/>
  <c r="E24" i="35" l="1"/>
  <c r="E24" i="34" l="1"/>
  <c r="E24" i="33"/>
  <c r="E24" i="31" l="1"/>
  <c r="K9" i="18" l="1"/>
  <c r="D18" i="21" l="1"/>
  <c r="E24" i="30"/>
  <c r="D16" i="19" l="1"/>
  <c r="J10" i="29"/>
  <c r="J9" i="29"/>
  <c r="K12" i="18" l="1"/>
  <c r="E24" i="12" l="1"/>
  <c r="K9" i="25" l="1"/>
  <c r="S8" i="27"/>
  <c r="S9" i="27" s="1"/>
  <c r="E24" i="8"/>
  <c r="J8" i="29" l="1"/>
  <c r="I9" i="18" l="1"/>
  <c r="I10" i="18"/>
  <c r="K11" i="18" l="1"/>
  <c r="E24" i="28" l="1"/>
  <c r="E47" i="18" l="1"/>
  <c r="K10" i="18" l="1"/>
  <c r="E24" i="26"/>
  <c r="E51" i="26" s="1"/>
  <c r="I10" i="26"/>
  <c r="I9" i="26"/>
  <c r="I8" i="26"/>
  <c r="K10" i="26" l="1"/>
  <c r="J10" i="21"/>
  <c r="J9" i="21"/>
  <c r="D17" i="20"/>
  <c r="J9" i="20" s="1"/>
  <c r="D11" i="20"/>
  <c r="J8" i="20" s="1"/>
  <c r="J8" i="21" l="1"/>
  <c r="D21" i="20" l="1"/>
  <c r="I10" i="25" l="1"/>
  <c r="I9" i="25"/>
  <c r="I8" i="25"/>
  <c r="I8" i="18" l="1"/>
  <c r="E24" i="10" l="1"/>
  <c r="E24" i="7"/>
  <c r="E24" i="6"/>
  <c r="E24" i="4"/>
  <c r="E24" i="13"/>
  <c r="E24" i="17"/>
  <c r="E24" i="16"/>
  <c r="E24" i="11"/>
  <c r="J10" i="19" l="1"/>
  <c r="J9" i="19" l="1"/>
  <c r="D20" i="19"/>
</calcChain>
</file>

<file path=xl/sharedStrings.xml><?xml version="1.0" encoding="utf-8"?>
<sst xmlns="http://schemas.openxmlformats.org/spreadsheetml/2006/main" count="2784" uniqueCount="439">
  <si>
    <t>Company</t>
  </si>
  <si>
    <t>Industry</t>
  </si>
  <si>
    <t>(%) NAV</t>
  </si>
  <si>
    <t>Banks</t>
  </si>
  <si>
    <t>Finance</t>
  </si>
  <si>
    <t>Corporate Bond Total</t>
  </si>
  <si>
    <t>Petroleum Products</t>
  </si>
  <si>
    <t>Consumer Non Durables</t>
  </si>
  <si>
    <t>Construction Project</t>
  </si>
  <si>
    <t>Software</t>
  </si>
  <si>
    <t>Power</t>
  </si>
  <si>
    <t>Ferrous Metals</t>
  </si>
  <si>
    <t>Telecom - Services</t>
  </si>
  <si>
    <t>Oil</t>
  </si>
  <si>
    <t>Auto</t>
  </si>
  <si>
    <t>Non - Ferrous Metals</t>
  </si>
  <si>
    <t>Consumer Durables</t>
  </si>
  <si>
    <t>Chemicals</t>
  </si>
  <si>
    <t>Industrial Capital Goods</t>
  </si>
  <si>
    <t>Equity Total</t>
  </si>
  <si>
    <t>Net Current Asset</t>
  </si>
  <si>
    <t>Grand Total</t>
  </si>
  <si>
    <t>SECTOR</t>
  </si>
  <si>
    <t>Construction</t>
  </si>
  <si>
    <t>Industrial Products</t>
  </si>
  <si>
    <t>Gas</t>
  </si>
  <si>
    <t>Retailing</t>
  </si>
  <si>
    <t>Hotels, Resorts And Other Recreational Activities</t>
  </si>
  <si>
    <t>Infosys Limited</t>
  </si>
  <si>
    <t>HDFC Bank Limited</t>
  </si>
  <si>
    <t>ITC Limited</t>
  </si>
  <si>
    <t>Reliance Industries Limited</t>
  </si>
  <si>
    <t>ICICI Bank Limited</t>
  </si>
  <si>
    <t>Tata Consultancy Services Limited</t>
  </si>
  <si>
    <t>Larsen &amp; Toubro Limited</t>
  </si>
  <si>
    <t>Kotak Mahindra Bank Limited</t>
  </si>
  <si>
    <t>Axis Bank Limited</t>
  </si>
  <si>
    <t>Hindustan Unilever Limited</t>
  </si>
  <si>
    <t>Date</t>
  </si>
  <si>
    <t>Total Hedged Equity</t>
  </si>
  <si>
    <t>Total Debt</t>
  </si>
  <si>
    <t>Corporate Bond</t>
  </si>
  <si>
    <t>Government Bond</t>
  </si>
  <si>
    <t>Name</t>
  </si>
  <si>
    <t>Rating/Industry</t>
  </si>
  <si>
    <t>Total</t>
  </si>
  <si>
    <t>Asset Quality</t>
  </si>
  <si>
    <t>AAA Equivalent</t>
  </si>
  <si>
    <t>AA Equivalent</t>
  </si>
  <si>
    <t xml:space="preserve">Corporate Bond </t>
  </si>
  <si>
    <t>Asset Allocation</t>
  </si>
  <si>
    <t xml:space="preserve">Debt </t>
  </si>
  <si>
    <t>Debt Total</t>
  </si>
  <si>
    <t xml:space="preserve">Equity </t>
  </si>
  <si>
    <t>Net Assets</t>
  </si>
  <si>
    <t>Top 15 Equity Total</t>
  </si>
  <si>
    <t>Top 15 Equity Holdings</t>
  </si>
  <si>
    <t>AA+ Equivalent</t>
  </si>
  <si>
    <t>Arbitrage Position</t>
  </si>
  <si>
    <t>Other Active Equity Holdings</t>
  </si>
  <si>
    <t>Arbitrage</t>
  </si>
  <si>
    <t>SOV</t>
  </si>
  <si>
    <t>NTPC Limited</t>
  </si>
  <si>
    <t>AAA</t>
  </si>
  <si>
    <t>UltraTech Cement Limited</t>
  </si>
  <si>
    <t xml:space="preserve">Top 15 Active Equity Holdings </t>
  </si>
  <si>
    <t>Other Equity Holdings</t>
  </si>
  <si>
    <t>7.17% GOI (MD 08/01/2028)</t>
  </si>
  <si>
    <t>Net Cash and Cash Equivalent</t>
  </si>
  <si>
    <t>REC Limited</t>
  </si>
  <si>
    <t>Bharti Airtel Limited</t>
  </si>
  <si>
    <t>Torrent Power Limited</t>
  </si>
  <si>
    <t>6.79% GOI (MD 15/05/2027)</t>
  </si>
  <si>
    <t>Jindal Steel &amp; Power Limited</t>
  </si>
  <si>
    <t>Power Finance Corporation Limited</t>
  </si>
  <si>
    <t>Healthcare Services</t>
  </si>
  <si>
    <t>Shaily Engineering Plastics Limited</t>
  </si>
  <si>
    <t>State Bank of India</t>
  </si>
  <si>
    <t>Tata Motors Limited</t>
  </si>
  <si>
    <t>Bajaj Finance Limited</t>
  </si>
  <si>
    <t>Exchange Traded Fund</t>
  </si>
  <si>
    <t>Cement &amp; Cement Products</t>
  </si>
  <si>
    <t>Leisure Services</t>
  </si>
  <si>
    <t>Capital Markets</t>
  </si>
  <si>
    <t>Insurance</t>
  </si>
  <si>
    <t>Aerospace &amp; Defense</t>
  </si>
  <si>
    <t>Britannia Industries Limited</t>
  </si>
  <si>
    <t>Top 15 Net Equity Holdings</t>
  </si>
  <si>
    <t>Other Net Equity Holdings</t>
  </si>
  <si>
    <t>JPMorgan Funds - US Growth Fund 
Class: JPM US Growth I (acc) - USD</t>
  </si>
  <si>
    <t>International Mutual Fund Units</t>
  </si>
  <si>
    <t>“Disclaimer: MUTUAL FUND INVESTMENTS ARE SUBJECT TO MARKET RISKS, READ ALL SCHEME RELATED DOCUMENTS CAREFULLY.                                                                                                                                                                                                                           The identity of the issuer of the Promotion Material and the investment product which is the subject of the Promotion Material and the content of the Promotion Material has been verified by the issuer thereof; The Promotion Material is not issued by J.P. Morgan Asset Management (Singapore) Limited (JPMAMSL), any of its Affiliates or a JPMorgan Fund and the Promotion Material does not relate to a direct investment in any JPMorgan Fund; neither JPMAMSL, any of its Affiliates or a JPMorgan Fund has reviewed the contents of the Promotion Material and accordingly takes no responsibility for the accuracy of the contents of the Promotion Material or any liability for any statement or misstatement in the Promotion Material; and an investor would be investing into an investment product which is established, offered and sold by the Company or its Affiliates and would not be investing in any JPMorgan Fund, and accordingly there is no contractual relationship between the Investor and JPMAMSL, any of its Affiliates or a JPMorgan Fund.</t>
  </si>
  <si>
    <t>The Indian Hotels Company Limited</t>
  </si>
  <si>
    <t>Entertainment</t>
  </si>
  <si>
    <t>Maruti Suzuki India Limited</t>
  </si>
  <si>
    <t>Equity + Nifty ETF</t>
  </si>
  <si>
    <t>CG Power and Industrial Solutions Limited</t>
  </si>
  <si>
    <t xml:space="preserve">Net Equity </t>
  </si>
  <si>
    <t>Average Maturity Years</t>
  </si>
  <si>
    <t>Clearing Corporation of India Ltd</t>
  </si>
  <si>
    <t>TRI Party Repo Total</t>
  </si>
  <si>
    <t>8.28% GOI (M/D 21/09/2027)</t>
  </si>
  <si>
    <t>Cipla Limited</t>
  </si>
  <si>
    <t>Cholamandalam Investment and Finance Company Ltd</t>
  </si>
  <si>
    <t>Beverages</t>
  </si>
  <si>
    <t>IT - Software</t>
  </si>
  <si>
    <t>Food Products</t>
  </si>
  <si>
    <t>Bosch Limited</t>
  </si>
  <si>
    <t>Auto Components</t>
  </si>
  <si>
    <t>Pharmaceuticals &amp; Biotechnology</t>
  </si>
  <si>
    <t>Automobiles</t>
  </si>
  <si>
    <t>Realty</t>
  </si>
  <si>
    <t>IT - Services</t>
  </si>
  <si>
    <t>Agricultural Food &amp; other Products</t>
  </si>
  <si>
    <t>Chemicals &amp; Petrochemicals</t>
  </si>
  <si>
    <t>Diversified FMCG</t>
  </si>
  <si>
    <t>Fertilizers &amp; Agrochemicals</t>
  </si>
  <si>
    <t>Electrical Equipment</t>
  </si>
  <si>
    <t>Mahindra &amp; Mahindra Limited</t>
  </si>
  <si>
    <t>Personal Products</t>
  </si>
  <si>
    <t>Textiles &amp; Apparels</t>
  </si>
  <si>
    <t>Diversified</t>
  </si>
  <si>
    <t>Transport Services</t>
  </si>
  <si>
    <t>Paper, Forest &amp; Jute Products</t>
  </si>
  <si>
    <t>Commercial Services &amp; Supplies</t>
  </si>
  <si>
    <t>Agricultural, Commercial &amp; Construction Vehicles</t>
  </si>
  <si>
    <t>Cigarettes &amp; Tobacco Products</t>
  </si>
  <si>
    <t>Bharat Electronics Limited</t>
  </si>
  <si>
    <t>Transport Infrastructure</t>
  </si>
  <si>
    <t>Consumable Fuels</t>
  </si>
  <si>
    <t>Metals &amp; Minerals Trading</t>
  </si>
  <si>
    <t>Diversified Metals</t>
  </si>
  <si>
    <t>TVS Motor Company Limited</t>
  </si>
  <si>
    <t>IndusInd Bank Limited</t>
  </si>
  <si>
    <t>UNO Minda Limited</t>
  </si>
  <si>
    <t>Industrial Manufacturing</t>
  </si>
  <si>
    <t>Trent Limited</t>
  </si>
  <si>
    <t>Cummins India Limited</t>
  </si>
  <si>
    <t>7.38% GOI (MD 20/06/2027)</t>
  </si>
  <si>
    <t>Net Equity</t>
  </si>
  <si>
    <t>Dr. Reddy's Laboratories Limited</t>
  </si>
  <si>
    <t>Bajaj Auto Limited</t>
  </si>
  <si>
    <t>Hero MotoCorp Limited</t>
  </si>
  <si>
    <t>InterGlobe Aviation Limited</t>
  </si>
  <si>
    <t>Minerals &amp; Mining</t>
  </si>
  <si>
    <t>Ahluwalia Contracts (India) Limited</t>
  </si>
  <si>
    <t>LTIMindtree Limited</t>
  </si>
  <si>
    <t>Hindustan Aeronautics Limited</t>
  </si>
  <si>
    <t>Godrej Consumer Products Limited</t>
  </si>
  <si>
    <t>BANDHAN US EQUITY FUND OF FUND</t>
  </si>
  <si>
    <t xml:space="preserve"> BANDHAN NIFTY100 LOW VOLATILITY 30 INDEX FUND</t>
  </si>
  <si>
    <t xml:space="preserve">  BANDHAN NIFTY200 MOMENTUM 30 INDEX FUND</t>
  </si>
  <si>
    <t xml:space="preserve"> BANDHAN NIFTY 100 INDEX FUND</t>
  </si>
  <si>
    <t>BANDHAN NIFTY 50 Exchange Traded Fund</t>
  </si>
  <si>
    <t>BANDHAN NIFTY 50 INDEX FUND</t>
  </si>
  <si>
    <t>BANDHAN ASSET ALLOCATION FUND - MODERATE PLAN</t>
  </si>
  <si>
    <t>BANDHAN ASSET ALLOCATION FUND - AGGRESSIVE PLAN</t>
  </si>
  <si>
    <t>BANDHAN EQUITY SAVINGS FUND</t>
  </si>
  <si>
    <t>BANDHAN BALANCED ADVANTAGE FUND</t>
  </si>
  <si>
    <t>BANDHAN ARBITRAGE FUND</t>
  </si>
  <si>
    <t>BANDHAN-AF</t>
  </si>
  <si>
    <t>BANDHAN TRANSPORTATION AND LOGISTICS FUND</t>
  </si>
  <si>
    <t>BANDHAN INFRASTRUCTURE FUND</t>
  </si>
  <si>
    <t>BANDHAN FLEXI CAP FUND</t>
  </si>
  <si>
    <t>BANDHAN MULTI CAP FUND</t>
  </si>
  <si>
    <t xml:space="preserve"> BANDHAN MIDCAP FUND</t>
  </si>
  <si>
    <t>BANDHAN STERLING VALUE FUND</t>
  </si>
  <si>
    <t>BANDHAN FOCUSED EQUITY FUND</t>
  </si>
  <si>
    <t>BANDHAN LARGE CAP FUND</t>
  </si>
  <si>
    <t>BANDHAN CORE EQUITY FUND</t>
  </si>
  <si>
    <t>Bandhan 50 Nifty ETF</t>
  </si>
  <si>
    <t xml:space="preserve">Bandhan ASSET ALLOCATION FUND - CONSERVATIVE PLAN </t>
  </si>
  <si>
    <t>Bandhan Low Duration Fund -Direct Pl-Growth</t>
  </si>
  <si>
    <t>Bandhan Bond Fund -Short Term Pl Direct Pl-Growth</t>
  </si>
  <si>
    <t>Bandhan  Focused Equity Fund-Direct Pl-Growth</t>
  </si>
  <si>
    <t>Bandhan Large Cap Fund-Direct Pl-Growth</t>
  </si>
  <si>
    <t>Bandhan Liquid Fund -Direct Plan-Growth</t>
  </si>
  <si>
    <t>Kirloskar Brothers Limited</t>
  </si>
  <si>
    <t>Kotak Mahindra Prime Limited</t>
  </si>
  <si>
    <t>“Disclaimer: MUTUAL FUND INVESTMENTS ARE SUBJECT TO MARKET RISKS, READ ALL SCHEME RELATED DOCUMENTS CAREFULLY.
The Disclosures of scheme portfolio herein is provided solely to enhance the transparency about the investment strategy / theme of the Scheme(s) and should not be treated as endorsement of the views / opinions or as an investment advice. 
The disclosure should be read in conjunction with the Factsheet, Investment Strategy and all other Statutory Disclosures available for the Scheme. The securities referred above should not be construed as recommendations from Bandhan Mutual Fund (formerly known as IDFC Mutual Fund)/ Bandhan Mutual Fund Trustee Limited (formerly IDFC AMC Trustee Company Limited) / Bandhan AMC Limited (formerly IDFC Asset Management Company Limited), . The Scheme may or may not have any present or future positions in the above securities. Investors are advised to consult their own investment advisor before making any investment decision in light of their risk appetite, investment goals and horizon.”</t>
  </si>
  <si>
    <t>BANDHAN FINANCIAL SERVICES FUND</t>
  </si>
  <si>
    <t>Financial Technology (Fintech)</t>
  </si>
  <si>
    <t>Household Products</t>
  </si>
  <si>
    <t>Persistent Systems Limited</t>
  </si>
  <si>
    <t>Cholamandalam Financial Holdings Limited</t>
  </si>
  <si>
    <t>Wipro Limited</t>
  </si>
  <si>
    <t>Tech Mahindra Limited</t>
  </si>
  <si>
    <t>HCL Technologies Limited</t>
  </si>
  <si>
    <t>Coforge Limited</t>
  </si>
  <si>
    <t>BANDHAN NIFTY IT INDEX FUND</t>
  </si>
  <si>
    <t>7.18% GOI (MD 14/08/2033)</t>
  </si>
  <si>
    <t>Varun Beverages Limited</t>
  </si>
  <si>
    <t>Apar Industries Limited</t>
  </si>
  <si>
    <t>Arvind Limited</t>
  </si>
  <si>
    <t>7.18% GOI (MD 24/07/2037)</t>
  </si>
  <si>
    <t>Corporate Debt Market Development Fund</t>
  </si>
  <si>
    <t>BANDHAN RETIREMENT FUND</t>
  </si>
  <si>
    <t>Coal India Limited</t>
  </si>
  <si>
    <t>TVS Holdings Limited</t>
  </si>
  <si>
    <t>As per the requirement of regulation 43A of SEBI (Mutual Funds) Regulations, 1996, SEBI circular no. SEBI/HO/IMD/PoD2/P/CIR/2023/128 dated July 27, 2023 on framework for Corporate Debt Market Development Fund and SEBI circular no. SEBI/HO/IMD/PoD2 /P/CIR/2023/129 dated July 27, 2023 on investment by mutual fund schemes and Asset Management Companies (AMCs) in units of Corporate Debt Market Development Fund (“CDMDF”), specified open ended debt-oriented schemes of Bandhan Mutual Fund and Bandhan AMC Limited (‘AMC’) shall invest  percentage of net assets in the units of the CDMDF.</t>
  </si>
  <si>
    <t>Shriram Finance Limited</t>
  </si>
  <si>
    <t>Bandhan Nifty Alpha 50 Index Fund</t>
  </si>
  <si>
    <t>Bandhan Small Cap Fund - Direct Pl - Gr</t>
  </si>
  <si>
    <t>BANDHAN SMALL CAP FUND (PREVIOUSLY KNOWN AS BANDHAN EMERGING BUSINESSES FUND)</t>
  </si>
  <si>
    <t>BANDHAN ELSS TAX SAVER FUND (PREVIOUSLY KNOWN AS BANDHAN TAX ADVANTAGE (ELSS) FUND)</t>
  </si>
  <si>
    <t>Mankind Pharma Limited</t>
  </si>
  <si>
    <t>Computer Age Management Services Limited</t>
  </si>
  <si>
    <t>GPT Infraprojects Limited</t>
  </si>
  <si>
    <t>Multi Commodity Exchange of India Limited</t>
  </si>
  <si>
    <t>Prestige Estates Projects Limited</t>
  </si>
  <si>
    <t>Bandhan Nifty Smallcap 250 Index Fund</t>
  </si>
  <si>
    <t>Healthcare Equipment &amp; Supplies</t>
  </si>
  <si>
    <t>Central Depository Services (India) Limited</t>
  </si>
  <si>
    <t>Mutual Fund Units</t>
  </si>
  <si>
    <t>Bandhan Money Manager Treasury -Direct Pl-Growth</t>
  </si>
  <si>
    <t>7.3% GOI (MD 19/06/2053)</t>
  </si>
  <si>
    <t>Eicher Motors Limited</t>
  </si>
  <si>
    <t>PB Fintech Limited</t>
  </si>
  <si>
    <t>International Exchange Traded Funds</t>
  </si>
  <si>
    <t>iShares V PLC - iShares MSCI ACWI UCITS ETF</t>
  </si>
  <si>
    <t>Exchange Traded Funds</t>
  </si>
  <si>
    <t>Others</t>
  </si>
  <si>
    <t>ICICI Prudential Gold ETF</t>
  </si>
  <si>
    <t>ICICI Prudential Silver ETF</t>
  </si>
  <si>
    <t>BANDHAN MULTI ASSET ALLOCATION FUND</t>
  </si>
  <si>
    <t>Info Edge (India) Limited</t>
  </si>
  <si>
    <t>Engineering Services</t>
  </si>
  <si>
    <t>IT - Hardware</t>
  </si>
  <si>
    <t>Jio Financial Services Limited</t>
  </si>
  <si>
    <t>Dixon Technologies (India) Limited</t>
  </si>
  <si>
    <t>6.54% GOI (MD 17/01/2032)</t>
  </si>
  <si>
    <t>V-Mart Retail Limited</t>
  </si>
  <si>
    <t>Asian Paints Limited</t>
  </si>
  <si>
    <t>Glenmark Pharmaceuticals Limited</t>
  </si>
  <si>
    <t>Crompton Greaves Consumer Electricals Limited</t>
  </si>
  <si>
    <t>BSE Limited</t>
  </si>
  <si>
    <t>Suzlon Energy Limited</t>
  </si>
  <si>
    <t>BANDHAN INNOVATION FUND</t>
  </si>
  <si>
    <t>United Breweries Limited</t>
  </si>
  <si>
    <t>Avanti Feeds Limited</t>
  </si>
  <si>
    <t>Adani Ports and Special Economic Zone Limited</t>
  </si>
  <si>
    <t>AstraZeneca Pharma India Limited</t>
  </si>
  <si>
    <t>Bajaj Finserv Limited</t>
  </si>
  <si>
    <t>Grasim Industries Limited</t>
  </si>
  <si>
    <t>Aster DM Healthcare Limited</t>
  </si>
  <si>
    <t>Sun Pharmaceutical Industries Limited</t>
  </si>
  <si>
    <t>KEC International Limited</t>
  </si>
  <si>
    <t>LT Foods Limited</t>
  </si>
  <si>
    <t>The South Indian Bank Limited</t>
  </si>
  <si>
    <t>Alkem Laboratories Limited</t>
  </si>
  <si>
    <t>AU Small Finance Bank Limited</t>
  </si>
  <si>
    <t>Muthoot Finance Limited</t>
  </si>
  <si>
    <t>AA+</t>
  </si>
  <si>
    <t>BANDHAN CONSERVATIVE HYBRID FUND (PREVIOUSLY KNOWN AS BANDHAN REGULAR SAVINGS FUND)</t>
  </si>
  <si>
    <t>Godrej Housing Finance Limited</t>
  </si>
  <si>
    <t>Bandhan Nifty Total Market Index Fund</t>
  </si>
  <si>
    <t>The Federal Bank Limited</t>
  </si>
  <si>
    <t>The Karnataka Bank Limited</t>
  </si>
  <si>
    <t>PTC India Financial Services Limited</t>
  </si>
  <si>
    <t>Mphasis Limited</t>
  </si>
  <si>
    <t>Other Utilities</t>
  </si>
  <si>
    <t>AA</t>
  </si>
  <si>
    <t>One 97 Communications Limited</t>
  </si>
  <si>
    <t>Punjab National Bank</t>
  </si>
  <si>
    <t>Torrent Pharmaceuticals Limited</t>
  </si>
  <si>
    <t>Bajaj Housing Finance Limited</t>
  </si>
  <si>
    <t>Aurobindo Pharma Limited</t>
  </si>
  <si>
    <t>Sobha Limited</t>
  </si>
  <si>
    <t>H.G. Infra Engineering Limited</t>
  </si>
  <si>
    <t>Bank of Baroda</t>
  </si>
  <si>
    <t>IDFC First Bank Limited</t>
  </si>
  <si>
    <t>Bandhan Nifty Bank Index Fund</t>
  </si>
  <si>
    <t>Vedanta Limited</t>
  </si>
  <si>
    <t>Government Bond Total</t>
  </si>
  <si>
    <t>Zero Coupon Bond Total</t>
  </si>
  <si>
    <t>Tata Motors Finance Limited</t>
  </si>
  <si>
    <t>Nestle India Limited</t>
  </si>
  <si>
    <t>Motilal Oswal Financial Services Limited</t>
  </si>
  <si>
    <t>MRF Limited</t>
  </si>
  <si>
    <t>SBI Cards and Payment Services Limited</t>
  </si>
  <si>
    <t>Jubilant Ingrevia Limited</t>
  </si>
  <si>
    <t>Apollo Hospitals Enterprise Limited</t>
  </si>
  <si>
    <t>Oracle Financial Services Software Limited</t>
  </si>
  <si>
    <t>Radico Khaitan Limited</t>
  </si>
  <si>
    <t>Canara Bank</t>
  </si>
  <si>
    <t>Bandhan BSE Healthcare Index Fund</t>
  </si>
  <si>
    <t>Max Healthcare Institute Limited</t>
  </si>
  <si>
    <t>Divi's Laboratories Limited</t>
  </si>
  <si>
    <t>Lupin Limited</t>
  </si>
  <si>
    <t>Fortis Healthcare Limited</t>
  </si>
  <si>
    <t>Zydus Lifesciences Limited</t>
  </si>
  <si>
    <t>Bandhan Nifty Midcap 150 Index Fund</t>
  </si>
  <si>
    <t>BANDHAN BUSINESS CYCLE FUND</t>
  </si>
  <si>
    <t>Coromandel International Limited</t>
  </si>
  <si>
    <t>Equity Options</t>
  </si>
  <si>
    <t>State Government Bond</t>
  </si>
  <si>
    <t>Aditya Birla Real Estate Limited</t>
  </si>
  <si>
    <t>Bandhan Nifty 500 Value 50 Index Fund</t>
  </si>
  <si>
    <t>Bandhan Nifty 500 Momentum 50 Index Fund</t>
  </si>
  <si>
    <t>Avenue Supermarts Limited</t>
  </si>
  <si>
    <t>LG Balakrishnan &amp; Bros Limited</t>
  </si>
  <si>
    <t>Sundaram Clayton Limited</t>
  </si>
  <si>
    <t>BANDHAN BSE SENSEX Exchange Traded Fund</t>
  </si>
  <si>
    <t>Laurus Labs Limited</t>
  </si>
  <si>
    <t>HDFC Asset Management Company Limited</t>
  </si>
  <si>
    <t>Power Grid Corporation of India Limited</t>
  </si>
  <si>
    <t>Hindalco Industries Limited</t>
  </si>
  <si>
    <t>Oil &amp; Natural Gas Corporation Limited</t>
  </si>
  <si>
    <t>Tata Steel Limited</t>
  </si>
  <si>
    <t>Indian Oil Corporation Limited</t>
  </si>
  <si>
    <t>Bharat Petroleum Corporation Limited</t>
  </si>
  <si>
    <t>UPL Limited</t>
  </si>
  <si>
    <t>Godrej Industries Limited</t>
  </si>
  <si>
    <t>8.23% Gujarat SDL (MD 21/02/2028)</t>
  </si>
  <si>
    <t>Wockhardt Limited</t>
  </si>
  <si>
    <t>Indus Towers Limited</t>
  </si>
  <si>
    <t>Certificate of Deposit Total</t>
  </si>
  <si>
    <t>A1+</t>
  </si>
  <si>
    <t>7.7% Karnataka SDL (MD 15/11/2027)</t>
  </si>
  <si>
    <t>7.75% Gujarat SDL (MD 13/12/2027)</t>
  </si>
  <si>
    <t>Amber Enterprises India Limited</t>
  </si>
  <si>
    <t>Telecom - Equipment &amp; Accessories</t>
  </si>
  <si>
    <t>Bandhan Nifty 200 Quality 30 Index Fund</t>
  </si>
  <si>
    <t>ICICI Lombard General Insurance Company Limited</t>
  </si>
  <si>
    <t>Hyundai Motor India Ltd</t>
  </si>
  <si>
    <t>United Spirits Limited</t>
  </si>
  <si>
    <t>Colgate Palmolive (India) Limited</t>
  </si>
  <si>
    <t>Rating</t>
  </si>
  <si>
    <t>AAA EQUIVALENT</t>
  </si>
  <si>
    <t>Bandhan Corporate Bond Fund - Direct Growth</t>
  </si>
  <si>
    <t>TRI Party Repo</t>
  </si>
  <si>
    <t>Mutual Fund Units Total</t>
  </si>
  <si>
    <t>JPMorgan ETFs BetaBuilders US Tre Bond0-1 yr UCITS</t>
  </si>
  <si>
    <t>PCBL Chemical Limited</t>
  </si>
  <si>
    <t>Yatharth Hospital And Trauma Care Services Limited</t>
  </si>
  <si>
    <t>VRL Logistics Limited</t>
  </si>
  <si>
    <t>Max Financial Services Limited</t>
  </si>
  <si>
    <t>Mazagon Dock Shipbuilders Limited</t>
  </si>
  <si>
    <t>Karur Vysya Bank Limited</t>
  </si>
  <si>
    <t>SRF Limited</t>
  </si>
  <si>
    <t>Marico Limited</t>
  </si>
  <si>
    <t xml:space="preserve">BANDHAN US TREASURY BOND 0-1 YEAR FUND OF FUND </t>
  </si>
  <si>
    <t>Pidilite Industries Limited</t>
  </si>
  <si>
    <t>Bandhan Nifty Alpha Low Volatility 30 Index Fund</t>
  </si>
  <si>
    <t>Commercial Paper</t>
  </si>
  <si>
    <t>NHPC Limited</t>
  </si>
  <si>
    <t>GlaxoSmithKline Pharmaceuticals Limited</t>
  </si>
  <si>
    <t>Bandhan Arbitrage Fund-Direct Plan- Growth</t>
  </si>
  <si>
    <t>Can Fin Homes Limited</t>
  </si>
  <si>
    <t>Zinka Logistics Solution Limited</t>
  </si>
  <si>
    <t>SBI Life Insurance Company Limited</t>
  </si>
  <si>
    <t>Suven Pharmaceuticals Limited</t>
  </si>
  <si>
    <t>Tata Power Company Limited</t>
  </si>
  <si>
    <t>Bandhan Nifty Next 50 Index Fund</t>
  </si>
  <si>
    <t xml:space="preserve">Bandhan Income Plus Arbitrage Fund of Funds (31 March, 2025 ) (previously known as Bandhan All Seasons Bond Fund) </t>
  </si>
  <si>
    <t>Bandhan CRISIL-IBX Fin Serv 3-6 Months-Direct-Gr</t>
  </si>
  <si>
    <t>8.43% Uttar Pradesh SDL (MD 06/03/2029)</t>
  </si>
  <si>
    <t>Titan Company Limited</t>
  </si>
  <si>
    <t xml:space="preserve"> AA</t>
  </si>
  <si>
    <t xml:space="preserve"> AAA</t>
  </si>
  <si>
    <t xml:space="preserve"> AA+</t>
  </si>
  <si>
    <t xml:space="preserve"> Bandhan Aggressive Hybrid Fund (previously known as BANDHAN HYBRID EQUITY FUND)</t>
  </si>
  <si>
    <t>HDFC Life Insurance Company Limited</t>
  </si>
  <si>
    <t>Angel One Limited</t>
  </si>
  <si>
    <t>Solar Industries India Limited</t>
  </si>
  <si>
    <t>JK Cement Limited</t>
  </si>
  <si>
    <t>Poonawalla Fincorp Limited</t>
  </si>
  <si>
    <t>Inox Wind Energy Limited</t>
  </si>
  <si>
    <t>Samvardhana Motherson International Limited</t>
  </si>
  <si>
    <t>PG Electroplast Limited</t>
  </si>
  <si>
    <t>Hitachi Energy India Limited</t>
  </si>
  <si>
    <t>Aegis Logistics Limited</t>
  </si>
  <si>
    <t>Firstsource Solutions Limited</t>
  </si>
  <si>
    <t>Krishna Institute Of Medical Sciences Limited</t>
  </si>
  <si>
    <t>Navin Fluorine International Limited</t>
  </si>
  <si>
    <t>Redington Limited</t>
  </si>
  <si>
    <t>PNB Housing Finance Limited</t>
  </si>
  <si>
    <t>3M India Limited</t>
  </si>
  <si>
    <t>Eternal Limited</t>
  </si>
  <si>
    <t>SignatureGlobal (India) Limited</t>
  </si>
  <si>
    <t>Miscellaneous</t>
  </si>
  <si>
    <t>Bharti Hexacom Limited</t>
  </si>
  <si>
    <t>Spicejet Limited</t>
  </si>
  <si>
    <t>Escorts Kubota Limited</t>
  </si>
  <si>
    <t>ICICI Prudential Life Insurance Company Limited</t>
  </si>
  <si>
    <t>MedPlus Health Services Limited</t>
  </si>
  <si>
    <t>City Union Bank Limited</t>
  </si>
  <si>
    <t>Cochin Shipyard Limited</t>
  </si>
  <si>
    <t>Kaynes Technology India Limited</t>
  </si>
  <si>
    <t>Delhivery Limited</t>
  </si>
  <si>
    <t>7.04% Tamilnadu SDL (MD 19/03/2030)</t>
  </si>
  <si>
    <t>291.37 crs</t>
  </si>
  <si>
    <t>8408.32 Cr</t>
  </si>
  <si>
    <t>1828.46 crs</t>
  </si>
  <si>
    <t>1764.02 crs</t>
  </si>
  <si>
    <t>9773.98 crs</t>
  </si>
  <si>
    <t>1557.70 crs</t>
  </si>
  <si>
    <t>2500.28 crs</t>
  </si>
  <si>
    <t>7178.75 crs</t>
  </si>
  <si>
    <t>10244.10 crs</t>
  </si>
  <si>
    <t>1577.17 crs</t>
  </si>
  <si>
    <t>512.67 crs</t>
  </si>
  <si>
    <t>1008.34 crs</t>
  </si>
  <si>
    <t>1434.07 crs</t>
  </si>
  <si>
    <t>1624.20 crs</t>
  </si>
  <si>
    <t>6806.11 crs</t>
  </si>
  <si>
    <t>8656.28 crs</t>
  </si>
  <si>
    <t>2254.43 crs</t>
  </si>
  <si>
    <t>286.79 crs</t>
  </si>
  <si>
    <t>115.75 crs</t>
  </si>
  <si>
    <t>846.25 crs</t>
  </si>
  <si>
    <t>176.53 crs</t>
  </si>
  <si>
    <t>1870.96  crs</t>
  </si>
  <si>
    <t>19.60 crs</t>
  </si>
  <si>
    <t>19.57 crs</t>
  </si>
  <si>
    <t>6.14 crs</t>
  </si>
  <si>
    <t>299.69 crs</t>
  </si>
  <si>
    <t>1834.04 crs</t>
  </si>
  <si>
    <t>1.21 crs</t>
  </si>
  <si>
    <t>27.58 crs</t>
  </si>
  <si>
    <t>174.65 crs</t>
  </si>
  <si>
    <t>128.05 crs</t>
  </si>
  <si>
    <t>1413.95 crs</t>
  </si>
  <si>
    <t>400.73 crs</t>
  </si>
  <si>
    <t>50.60 crs</t>
  </si>
  <si>
    <t>37.93 crs</t>
  </si>
  <si>
    <t>16.38 crs</t>
  </si>
  <si>
    <t>17.98 crs</t>
  </si>
  <si>
    <t>23.22 crs</t>
  </si>
  <si>
    <t>21.73 crs</t>
  </si>
  <si>
    <t>10.46 crs</t>
  </si>
  <si>
    <t>8.52 crs</t>
  </si>
  <si>
    <t>14.23 crs</t>
  </si>
  <si>
    <t>132.84 crs</t>
  </si>
  <si>
    <t>Portfolio as on - (30th April 2025)</t>
  </si>
  <si>
    <t>Net Assets as on 30th April 2025</t>
  </si>
  <si>
    <t>Certificate of Deposit</t>
  </si>
  <si>
    <t>Bandhan Ultra Short Term Fund - Direct Plan Growth</t>
  </si>
  <si>
    <t>12.12 crs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</si>
</sst>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0.00%;[Black]\(0.00%\)"/>
    <numFmt numFmtId="165" formatCode="#,##0.00%_);\(#,##0.00%\)"/>
    <numFmt numFmtId="166" formatCode="#0.00%;\(#0.00%\)"/>
    <numFmt numFmtId="167" formatCode="0.000000%"/>
    <numFmt numFmtId="168" formatCode="0.0%"/>
    <numFmt numFmtId="169" formatCode="0.000%"/>
    <numFmt numFmtId="170" formatCode="0.000%;[Black]\(0.000%\)"/>
  </numFmts>
  <fonts count="21" x14ac:knownFonts="1">
    <font>
      <sz val="11"/>
      <color theme="1"/>
      <name val="Calibri"/>
      <family val="2"/>
      <scheme val="minor"/>
    </font>
    <font>
      <sz val="11"/>
      <color theme="1"/>
      <name val="Calibri"/>
      <family val="2"/>
      <scheme val="minor"/>
    </font>
    <font>
      <sz val="12"/>
      <color theme="0"/>
      <name val="Arial"/>
      <family val="2"/>
    </font>
    <font>
      <sz val="12"/>
      <name val="Arial"/>
      <family val="2"/>
    </font>
    <font>
      <b/>
      <sz val="11"/>
      <name val="Arial"/>
      <family val="2"/>
    </font>
    <font>
      <b/>
      <sz val="12"/>
      <name val="Arial"/>
      <family val="2"/>
    </font>
    <font>
      <sz val="11"/>
      <name val="Calibri"/>
      <family val="2"/>
      <scheme val="minor"/>
    </font>
    <font>
      <sz val="12"/>
      <name val="Calibri"/>
      <family val="2"/>
      <scheme val="minor"/>
    </font>
    <font>
      <sz val="10"/>
      <name val="Calibri"/>
      <family val="2"/>
    </font>
    <font>
      <b/>
      <sz val="16"/>
      <name val="Arial"/>
      <family val="2"/>
    </font>
    <font>
      <b/>
      <sz val="9"/>
      <name val="Arial"/>
      <family val="2"/>
    </font>
    <font>
      <b/>
      <sz val="11"/>
      <name val="Calibri"/>
      <family val="2"/>
      <scheme val="minor"/>
    </font>
    <font>
      <sz val="9"/>
      <color rgb="FF000000"/>
      <name val="Arial"/>
      <family val="2"/>
    </font>
    <font>
      <b/>
      <sz val="16"/>
      <color theme="1"/>
      <name val="Arial"/>
      <family val="2"/>
    </font>
    <font>
      <sz val="12"/>
      <color rgb="FFFF0000"/>
      <name val="Arial"/>
      <family val="2"/>
    </font>
    <font>
      <b/>
      <sz val="9"/>
      <color rgb="FF000000"/>
      <name val="Arial"/>
      <family val="2"/>
    </font>
    <font>
      <b/>
      <sz val="12"/>
      <color theme="1"/>
      <name val="Arial"/>
      <family val="2"/>
    </font>
    <font>
      <b/>
      <sz val="11"/>
      <color theme="1"/>
      <name val="Arial"/>
      <family val="2"/>
    </font>
    <font>
      <sz val="12"/>
      <color theme="1"/>
      <name val="Arial"/>
      <family val="2"/>
    </font>
    <font>
      <b/>
      <sz val="12"/>
      <color indexed="8"/>
      <name val="Arial"/>
      <family val="2"/>
    </font>
    <font>
      <sz val="11"/>
      <color indexed="9"/>
      <name val="Calibri"/>
      <family val="2"/>
      <scheme val="minor"/>
    </font>
  </fonts>
  <fills count="5">
    <fill>
      <patternFill patternType="none"/>
    </fill>
    <fill>
      <patternFill patternType="gray125"/>
    </fill>
    <fill>
      <patternFill patternType="solid">
        <fgColor rgb="FFD8D8D8"/>
        <bgColor indexed="64"/>
      </patternFill>
    </fill>
    <fill>
      <patternFill patternType="solid">
        <fgColor theme="0"/>
        <bgColor indexed="64"/>
      </patternFill>
    </fill>
    <fill>
      <patternFill patternType="solid">
        <fgColor theme="0" tint="-0.14999847407452621"/>
        <bgColor indexed="64"/>
      </patternFill>
    </fill>
  </fills>
  <borders count="41">
    <border>
      <left/>
      <right/>
      <top/>
      <bottom/>
      <diagonal/>
    </border>
    <border>
      <left/>
      <right/>
      <top style="medium">
        <color indexed="8"/>
      </top>
      <bottom/>
      <diagonal/>
    </border>
    <border>
      <left/>
      <right style="medium">
        <color indexed="8"/>
      </right>
      <top style="medium">
        <color indexed="8"/>
      </top>
      <bottom/>
      <diagonal/>
    </border>
    <border>
      <left/>
      <right style="medium">
        <color indexed="8"/>
      </right>
      <top/>
      <bottom/>
      <diagonal/>
    </border>
    <border>
      <left style="medium">
        <color indexed="8"/>
      </left>
      <right/>
      <top style="medium">
        <color indexed="8"/>
      </top>
      <bottom/>
      <diagonal/>
    </border>
    <border>
      <left style="medium">
        <color indexed="8"/>
      </left>
      <right/>
      <top/>
      <bottom/>
      <diagonal/>
    </border>
    <border>
      <left style="medium">
        <color indexed="8"/>
      </left>
      <right/>
      <top/>
      <bottom style="medium">
        <color indexed="8"/>
      </bottom>
      <diagonal/>
    </border>
    <border>
      <left/>
      <right/>
      <top/>
      <bottom style="medium">
        <color indexed="8"/>
      </bottom>
      <diagonal/>
    </border>
    <border>
      <left/>
      <right style="medium">
        <color indexed="8"/>
      </right>
      <top/>
      <bottom style="medium">
        <color indexed="8"/>
      </bottom>
      <diagonal/>
    </border>
    <border>
      <left style="thin">
        <color indexed="64"/>
      </left>
      <right style="thin">
        <color indexed="64"/>
      </right>
      <top/>
      <bottom/>
      <diagonal/>
    </border>
    <border>
      <left/>
      <right style="thin">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top style="thin">
        <color indexed="64"/>
      </top>
      <bottom/>
      <diagonal/>
    </border>
    <border>
      <left style="thin">
        <color indexed="64"/>
      </left>
      <right/>
      <top/>
      <bottom style="thin">
        <color indexed="64"/>
      </bottom>
      <diagonal/>
    </border>
    <border>
      <left style="thin">
        <color indexed="8"/>
      </left>
      <right/>
      <top/>
      <bottom/>
      <diagonal/>
    </border>
    <border>
      <left style="thin">
        <color indexed="8"/>
      </left>
      <right/>
      <top/>
      <bottom style="thin">
        <color indexed="8"/>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diagonal/>
    </border>
    <border>
      <left/>
      <right/>
      <top/>
      <bottom style="thin">
        <color indexed="64"/>
      </bottom>
      <diagonal/>
    </border>
    <border>
      <left style="thin">
        <color indexed="8"/>
      </left>
      <right/>
      <top style="thin">
        <color indexed="8"/>
      </top>
      <bottom/>
      <diagonal/>
    </border>
    <border>
      <left style="thin">
        <color indexed="8"/>
      </left>
      <right style="thin">
        <color indexed="8"/>
      </right>
      <top style="thin">
        <color indexed="8"/>
      </top>
      <bottom/>
      <diagonal/>
    </border>
    <border>
      <left/>
      <right style="thin">
        <color indexed="8"/>
      </right>
      <top style="thin">
        <color indexed="8"/>
      </top>
      <bottom/>
      <diagonal/>
    </border>
    <border>
      <left style="thin">
        <color indexed="8"/>
      </left>
      <right style="thin">
        <color indexed="8"/>
      </right>
      <top/>
      <bottom/>
      <diagonal/>
    </border>
    <border>
      <left/>
      <right style="thin">
        <color indexed="8"/>
      </right>
      <top/>
      <bottom/>
      <diagonal/>
    </border>
    <border>
      <left style="thin">
        <color indexed="8"/>
      </left>
      <right style="thin">
        <color indexed="8"/>
      </right>
      <top/>
      <bottom style="thin">
        <color indexed="8"/>
      </bottom>
      <diagonal/>
    </border>
    <border>
      <left/>
      <right style="thin">
        <color indexed="8"/>
      </right>
      <top/>
      <bottom style="thin">
        <color indexed="8"/>
      </bottom>
      <diagonal/>
    </border>
  </borders>
  <cellStyleXfs count="2">
    <xf numFmtId="0" fontId="0" fillId="0" borderId="0"/>
    <xf numFmtId="9" fontId="1" fillId="0" borderId="0" applyFont="0" applyFill="0" applyBorder="0" applyAlignment="0" applyProtection="0"/>
  </cellStyleXfs>
  <cellXfs count="344">
    <xf numFmtId="0" fontId="0" fillId="0" borderId="0" xfId="0"/>
    <xf numFmtId="0" fontId="2" fillId="0" borderId="0" xfId="0" applyFont="1"/>
    <xf numFmtId="0" fontId="2" fillId="0" borderId="0" xfId="0" applyFont="1" applyFill="1"/>
    <xf numFmtId="0" fontId="3" fillId="0" borderId="0" xfId="0" applyFont="1"/>
    <xf numFmtId="0" fontId="3" fillId="0" borderId="9" xfId="0" applyFont="1" applyBorder="1" applyAlignment="1">
      <alignment horizontal="left"/>
    </xf>
    <xf numFmtId="0" fontId="3" fillId="0" borderId="0" xfId="0" applyFont="1" applyBorder="1"/>
    <xf numFmtId="10" fontId="3" fillId="0" borderId="9" xfId="1" applyNumberFormat="1" applyFont="1" applyBorder="1" applyAlignment="1">
      <alignment horizontal="right"/>
    </xf>
    <xf numFmtId="0" fontId="5" fillId="4" borderId="9" xfId="0" applyFont="1" applyFill="1" applyBorder="1" applyAlignment="1">
      <alignment horizontal="left"/>
    </xf>
    <xf numFmtId="165" fontId="5" fillId="4" borderId="9" xfId="0" applyNumberFormat="1" applyFont="1" applyFill="1" applyBorder="1" applyAlignment="1">
      <alignment horizontal="right"/>
    </xf>
    <xf numFmtId="0" fontId="5" fillId="4" borderId="18" xfId="0" applyFont="1" applyFill="1" applyBorder="1" applyAlignment="1">
      <alignment horizontal="left"/>
    </xf>
    <xf numFmtId="165" fontId="5" fillId="4" borderId="18" xfId="0" applyNumberFormat="1" applyFont="1" applyFill="1" applyBorder="1" applyAlignment="1">
      <alignment horizontal="right"/>
    </xf>
    <xf numFmtId="0" fontId="4" fillId="0" borderId="15" xfId="0" applyFont="1" applyFill="1" applyBorder="1" applyAlignment="1">
      <alignment vertical="center" wrapText="1"/>
    </xf>
    <xf numFmtId="0" fontId="2" fillId="3" borderId="0" xfId="0" applyFont="1" applyFill="1" applyBorder="1"/>
    <xf numFmtId="10" fontId="2" fillId="3" borderId="0" xfId="0" applyNumberFormat="1" applyFont="1" applyFill="1" applyBorder="1"/>
    <xf numFmtId="14" fontId="2" fillId="0" borderId="0" xfId="0" applyNumberFormat="1" applyFont="1"/>
    <xf numFmtId="0" fontId="3" fillId="0" borderId="9" xfId="0" applyNumberFormat="1" applyFont="1" applyFill="1" applyBorder="1" applyAlignment="1" applyProtection="1">
      <alignment horizontal="left" wrapText="1"/>
    </xf>
    <xf numFmtId="0" fontId="3" fillId="0" borderId="9" xfId="0" applyNumberFormat="1" applyFont="1" applyFill="1" applyBorder="1" applyAlignment="1" applyProtection="1">
      <alignment horizontal="left" vertical="top" wrapText="1"/>
    </xf>
    <xf numFmtId="166" fontId="3" fillId="0" borderId="9" xfId="0" applyNumberFormat="1" applyFont="1" applyFill="1" applyBorder="1" applyAlignment="1" applyProtection="1">
      <alignment horizontal="right" wrapText="1"/>
    </xf>
    <xf numFmtId="166" fontId="3" fillId="0" borderId="10" xfId="0" applyNumberFormat="1" applyFont="1" applyFill="1" applyBorder="1" applyAlignment="1" applyProtection="1">
      <alignment horizontal="right" wrapText="1"/>
    </xf>
    <xf numFmtId="0" fontId="6" fillId="0" borderId="0" xfId="0" applyFont="1"/>
    <xf numFmtId="0" fontId="3" fillId="0" borderId="15" xfId="0" applyFont="1" applyBorder="1"/>
    <xf numFmtId="0" fontId="6" fillId="0" borderId="2" xfId="0" applyFont="1" applyBorder="1"/>
    <xf numFmtId="0" fontId="6" fillId="0" borderId="3" xfId="0" applyFont="1" applyBorder="1"/>
    <xf numFmtId="0" fontId="6" fillId="0" borderId="8" xfId="0" applyFont="1" applyBorder="1"/>
    <xf numFmtId="0" fontId="6" fillId="0" borderId="13" xfId="0" applyFont="1" applyBorder="1"/>
    <xf numFmtId="0" fontId="6" fillId="0" borderId="15" xfId="0" applyFont="1" applyBorder="1"/>
    <xf numFmtId="0" fontId="6" fillId="0" borderId="22" xfId="0" applyFont="1" applyBorder="1"/>
    <xf numFmtId="0" fontId="3" fillId="0" borderId="9" xfId="0" applyFont="1" applyFill="1" applyBorder="1" applyAlignment="1">
      <alignment horizontal="left"/>
    </xf>
    <xf numFmtId="0" fontId="6" fillId="0" borderId="12" xfId="0" applyFont="1" applyBorder="1"/>
    <xf numFmtId="0" fontId="6" fillId="0" borderId="0" xfId="0" applyFont="1" applyBorder="1"/>
    <xf numFmtId="0" fontId="6" fillId="0" borderId="21" xfId="0" applyFont="1" applyBorder="1"/>
    <xf numFmtId="10" fontId="3" fillId="0" borderId="0" xfId="0" applyNumberFormat="1" applyFont="1" applyBorder="1"/>
    <xf numFmtId="165" fontId="3" fillId="0" borderId="9" xfId="0" applyNumberFormat="1" applyFont="1" applyBorder="1" applyAlignment="1">
      <alignment horizontal="right"/>
    </xf>
    <xf numFmtId="0" fontId="3" fillId="0" borderId="0" xfId="0" applyFont="1" applyFill="1" applyBorder="1" applyAlignment="1">
      <alignment horizontal="left"/>
    </xf>
    <xf numFmtId="10" fontId="3" fillId="0" borderId="0" xfId="1" applyNumberFormat="1" applyFont="1" applyFill="1" applyBorder="1" applyAlignment="1">
      <alignment horizontal="right"/>
    </xf>
    <xf numFmtId="0" fontId="5" fillId="0" borderId="0" xfId="0" applyFont="1" applyFill="1" applyBorder="1" applyAlignment="1">
      <alignment horizontal="left"/>
    </xf>
    <xf numFmtId="165" fontId="5" fillId="0" borderId="0" xfId="0" applyNumberFormat="1" applyFont="1" applyFill="1" applyBorder="1" applyAlignment="1">
      <alignment horizontal="right"/>
    </xf>
    <xf numFmtId="10" fontId="5" fillId="0" borderId="0" xfId="1" applyNumberFormat="1" applyFont="1" applyFill="1" applyBorder="1" applyAlignment="1">
      <alignment horizontal="right"/>
    </xf>
    <xf numFmtId="0" fontId="3" fillId="0" borderId="9" xfId="0" applyFont="1" applyBorder="1"/>
    <xf numFmtId="0" fontId="6" fillId="3" borderId="0" xfId="0" applyFont="1" applyFill="1"/>
    <xf numFmtId="0" fontId="7" fillId="0" borderId="0" xfId="0" applyFont="1"/>
    <xf numFmtId="0" fontId="3" fillId="0" borderId="0" xfId="0" applyFont="1" applyFill="1" applyBorder="1"/>
    <xf numFmtId="0" fontId="3" fillId="0" borderId="12" xfId="0" applyFont="1" applyBorder="1"/>
    <xf numFmtId="10" fontId="3" fillId="0" borderId="0" xfId="0" applyNumberFormat="1" applyFont="1"/>
    <xf numFmtId="0" fontId="8" fillId="0" borderId="0" xfId="0" applyFont="1" applyBorder="1"/>
    <xf numFmtId="0" fontId="3" fillId="0" borderId="21" xfId="0" applyFont="1" applyBorder="1"/>
    <xf numFmtId="10" fontId="3" fillId="0" borderId="10" xfId="1" applyNumberFormat="1" applyFont="1" applyBorder="1" applyAlignment="1">
      <alignment horizontal="right"/>
    </xf>
    <xf numFmtId="10" fontId="3" fillId="0" borderId="0" xfId="1" applyNumberFormat="1" applyFont="1" applyBorder="1"/>
    <xf numFmtId="0" fontId="3" fillId="0" borderId="0" xfId="0" applyFont="1" applyFill="1"/>
    <xf numFmtId="14" fontId="3" fillId="0" borderId="0" xfId="0" applyNumberFormat="1" applyFont="1"/>
    <xf numFmtId="14" fontId="3" fillId="0" borderId="0" xfId="0" applyNumberFormat="1" applyFont="1" applyBorder="1"/>
    <xf numFmtId="0" fontId="6" fillId="0" borderId="0" xfId="0" applyFont="1" applyFill="1" applyBorder="1"/>
    <xf numFmtId="0" fontId="6" fillId="0" borderId="15" xfId="0" applyFont="1" applyFill="1" applyBorder="1"/>
    <xf numFmtId="0" fontId="6" fillId="0" borderId="0" xfId="0" applyFont="1" applyFill="1"/>
    <xf numFmtId="0" fontId="3" fillId="0" borderId="21" xfId="0" applyFont="1" applyBorder="1" applyAlignment="1">
      <alignment horizontal="left"/>
    </xf>
    <xf numFmtId="10" fontId="3" fillId="0" borderId="21" xfId="1" applyNumberFormat="1" applyFont="1" applyBorder="1" applyAlignment="1">
      <alignment horizontal="right"/>
    </xf>
    <xf numFmtId="0" fontId="6" fillId="0" borderId="0" xfId="0" applyFont="1" applyAlignment="1">
      <alignment horizontal="left"/>
    </xf>
    <xf numFmtId="10" fontId="6" fillId="0" borderId="0" xfId="0" applyNumberFormat="1" applyFont="1"/>
    <xf numFmtId="0" fontId="3" fillId="0" borderId="9" xfId="0" applyFont="1" applyFill="1" applyBorder="1" applyAlignment="1">
      <alignment vertical="center" wrapText="1"/>
    </xf>
    <xf numFmtId="0" fontId="3" fillId="0" borderId="24" xfId="0" applyFont="1" applyBorder="1" applyAlignment="1">
      <alignment horizontal="left" wrapText="1"/>
    </xf>
    <xf numFmtId="0" fontId="5" fillId="4" borderId="24" xfId="0" applyFont="1" applyFill="1" applyBorder="1" applyAlignment="1">
      <alignment horizontal="left"/>
    </xf>
    <xf numFmtId="0" fontId="6" fillId="0" borderId="0" xfId="0" applyFont="1" applyAlignment="1"/>
    <xf numFmtId="10" fontId="6" fillId="0" borderId="0" xfId="0" applyNumberFormat="1" applyFont="1" applyAlignment="1"/>
    <xf numFmtId="0" fontId="6" fillId="0" borderId="11" xfId="0" applyFont="1" applyBorder="1"/>
    <xf numFmtId="0" fontId="6" fillId="0" borderId="14" xfId="0" applyFont="1" applyBorder="1"/>
    <xf numFmtId="0" fontId="6" fillId="4" borderId="0" xfId="0" applyFont="1" applyFill="1" applyBorder="1"/>
    <xf numFmtId="0" fontId="6" fillId="4" borderId="15" xfId="0" applyFont="1" applyFill="1" applyBorder="1"/>
    <xf numFmtId="0" fontId="5" fillId="0" borderId="0" xfId="0" applyFont="1" applyBorder="1" applyAlignment="1">
      <alignment horizontal="left"/>
    </xf>
    <xf numFmtId="0" fontId="5" fillId="2" borderId="16" xfId="0" applyFont="1" applyFill="1" applyBorder="1" applyAlignment="1">
      <alignment horizontal="center" vertical="center"/>
    </xf>
    <xf numFmtId="0" fontId="5" fillId="2" borderId="16" xfId="0" applyFont="1" applyFill="1" applyBorder="1" applyAlignment="1">
      <alignment horizontal="center" vertical="center" wrapText="1"/>
    </xf>
    <xf numFmtId="0" fontId="5" fillId="2" borderId="17" xfId="0" applyFont="1" applyFill="1" applyBorder="1" applyAlignment="1">
      <alignment horizontal="center" vertical="center"/>
    </xf>
    <xf numFmtId="0" fontId="3" fillId="0" borderId="18" xfId="0" applyFont="1" applyBorder="1" applyAlignment="1">
      <alignment vertical="center"/>
    </xf>
    <xf numFmtId="164" fontId="3" fillId="0" borderId="18" xfId="0" applyNumberFormat="1" applyFont="1" applyBorder="1" applyAlignment="1">
      <alignment vertical="center"/>
    </xf>
    <xf numFmtId="0" fontId="5" fillId="2" borderId="18" xfId="0" applyFont="1" applyFill="1" applyBorder="1" applyAlignment="1">
      <alignment horizontal="left" vertical="center"/>
    </xf>
    <xf numFmtId="0" fontId="5" fillId="2" borderId="18" xfId="0" applyFont="1" applyFill="1" applyBorder="1" applyAlignment="1">
      <alignment horizontal="right" vertical="center"/>
    </xf>
    <xf numFmtId="164" fontId="5" fillId="2" borderId="19" xfId="0" applyNumberFormat="1" applyFont="1" applyFill="1" applyBorder="1" applyAlignment="1">
      <alignment horizontal="right" vertical="center"/>
    </xf>
    <xf numFmtId="0" fontId="6" fillId="0" borderId="20" xfId="0" applyFont="1" applyBorder="1"/>
    <xf numFmtId="0" fontId="6" fillId="0" borderId="4" xfId="0" applyFont="1" applyBorder="1"/>
    <xf numFmtId="0" fontId="6" fillId="0" borderId="1" xfId="0" applyFont="1" applyBorder="1"/>
    <xf numFmtId="0" fontId="6" fillId="0" borderId="5" xfId="0" applyFont="1" applyBorder="1"/>
    <xf numFmtId="0" fontId="6" fillId="0" borderId="6" xfId="0" applyFont="1" applyBorder="1"/>
    <xf numFmtId="0" fontId="6" fillId="0" borderId="7" xfId="0" applyFont="1" applyBorder="1"/>
    <xf numFmtId="0" fontId="3" fillId="0" borderId="9" xfId="0" applyFont="1" applyBorder="1" applyAlignment="1">
      <alignment vertical="center"/>
    </xf>
    <xf numFmtId="164" fontId="3" fillId="0" borderId="9" xfId="0" applyNumberFormat="1" applyFont="1" applyBorder="1" applyAlignment="1">
      <alignment vertical="center"/>
    </xf>
    <xf numFmtId="164" fontId="5" fillId="2" borderId="18" xfId="0" applyNumberFormat="1" applyFont="1" applyFill="1" applyBorder="1" applyAlignment="1">
      <alignment horizontal="right" vertical="center"/>
    </xf>
    <xf numFmtId="0" fontId="5" fillId="0" borderId="0" xfId="0" applyFont="1" applyFill="1" applyBorder="1" applyAlignment="1">
      <alignment horizontal="left" vertical="center"/>
    </xf>
    <xf numFmtId="10" fontId="5" fillId="0" borderId="0" xfId="0" applyNumberFormat="1" applyFont="1" applyFill="1" applyBorder="1" applyAlignment="1">
      <alignment horizontal="right" vertical="center"/>
    </xf>
    <xf numFmtId="0" fontId="6" fillId="0" borderId="0" xfId="0" applyFont="1" applyFill="1" applyBorder="1" applyAlignment="1">
      <alignment horizontal="right"/>
    </xf>
    <xf numFmtId="0" fontId="5" fillId="0" borderId="0" xfId="0" applyFont="1" applyFill="1" applyBorder="1" applyAlignment="1">
      <alignment horizontal="right" vertical="center"/>
    </xf>
    <xf numFmtId="10" fontId="5" fillId="0" borderId="0" xfId="1" applyNumberFormat="1" applyFont="1" applyFill="1" applyBorder="1" applyAlignment="1">
      <alignment horizontal="right" vertical="center"/>
    </xf>
    <xf numFmtId="0" fontId="5" fillId="0" borderId="0" xfId="0" applyFont="1" applyFill="1" applyBorder="1" applyAlignment="1">
      <alignment vertical="center" wrapText="1"/>
    </xf>
    <xf numFmtId="0" fontId="3" fillId="0" borderId="11" xfId="0" applyFont="1" applyBorder="1"/>
    <xf numFmtId="0" fontId="3" fillId="0" borderId="13" xfId="0" applyFont="1" applyBorder="1"/>
    <xf numFmtId="0" fontId="3" fillId="0" borderId="14" xfId="0" applyFont="1" applyBorder="1"/>
    <xf numFmtId="0" fontId="9" fillId="4" borderId="0" xfId="0" applyFont="1" applyFill="1" applyBorder="1" applyAlignment="1">
      <alignment vertical="center"/>
    </xf>
    <xf numFmtId="0" fontId="5" fillId="4" borderId="16" xfId="0" applyFont="1" applyFill="1" applyBorder="1" applyAlignment="1">
      <alignment horizontal="center" vertical="center" wrapText="1"/>
    </xf>
    <xf numFmtId="0" fontId="3" fillId="0" borderId="20" xfId="0" applyFont="1" applyBorder="1"/>
    <xf numFmtId="0" fontId="3" fillId="3" borderId="0" xfId="0" applyFont="1" applyFill="1" applyBorder="1"/>
    <xf numFmtId="10" fontId="3" fillId="3" borderId="0" xfId="0" applyNumberFormat="1" applyFont="1" applyFill="1" applyBorder="1"/>
    <xf numFmtId="10" fontId="3" fillId="3" borderId="0" xfId="1" applyNumberFormat="1" applyFont="1" applyFill="1" applyBorder="1"/>
    <xf numFmtId="0" fontId="5" fillId="0" borderId="21" xfId="0" applyFont="1" applyBorder="1" applyAlignment="1"/>
    <xf numFmtId="0" fontId="5" fillId="0" borderId="22" xfId="0" applyFont="1" applyBorder="1" applyAlignment="1"/>
    <xf numFmtId="0" fontId="3" fillId="0" borderId="24" xfId="0" applyFont="1" applyBorder="1"/>
    <xf numFmtId="165" fontId="3" fillId="0" borderId="0" xfId="0" applyNumberFormat="1" applyFont="1" applyBorder="1"/>
    <xf numFmtId="0" fontId="6" fillId="2" borderId="0" xfId="0" applyFont="1" applyFill="1" applyBorder="1"/>
    <xf numFmtId="0" fontId="6" fillId="2" borderId="3" xfId="0" applyFont="1" applyFill="1" applyBorder="1"/>
    <xf numFmtId="0" fontId="5" fillId="4" borderId="9" xfId="0" applyFont="1" applyFill="1" applyBorder="1" applyAlignment="1">
      <alignment vertical="center" wrapText="1"/>
    </xf>
    <xf numFmtId="10" fontId="5" fillId="4" borderId="9" xfId="0" applyNumberFormat="1" applyFont="1" applyFill="1" applyBorder="1" applyAlignment="1">
      <alignment vertical="center" wrapText="1"/>
    </xf>
    <xf numFmtId="0" fontId="3" fillId="0" borderId="14" xfId="0" applyFont="1" applyFill="1" applyBorder="1"/>
    <xf numFmtId="0" fontId="3" fillId="0" borderId="15" xfId="0" applyFont="1" applyFill="1" applyBorder="1"/>
    <xf numFmtId="14" fontId="3" fillId="0" borderId="0" xfId="0" applyNumberFormat="1" applyFont="1" applyFill="1"/>
    <xf numFmtId="0" fontId="5" fillId="0" borderId="9" xfId="0" applyFont="1" applyFill="1" applyBorder="1" applyAlignment="1">
      <alignment vertical="center" wrapText="1"/>
    </xf>
    <xf numFmtId="10" fontId="5" fillId="0" borderId="9" xfId="0" applyNumberFormat="1" applyFont="1" applyFill="1" applyBorder="1" applyAlignment="1">
      <alignment vertical="center" wrapText="1"/>
    </xf>
    <xf numFmtId="0" fontId="5" fillId="4" borderId="18" xfId="0" applyFont="1" applyFill="1" applyBorder="1" applyAlignment="1">
      <alignment vertical="center" wrapText="1"/>
    </xf>
    <xf numFmtId="10" fontId="5" fillId="4" borderId="18" xfId="0" applyNumberFormat="1" applyFont="1" applyFill="1" applyBorder="1" applyAlignment="1">
      <alignment vertical="center" wrapText="1"/>
    </xf>
    <xf numFmtId="0" fontId="5" fillId="4" borderId="16" xfId="0" applyFont="1" applyFill="1" applyBorder="1" applyAlignment="1">
      <alignment vertical="center" wrapText="1"/>
    </xf>
    <xf numFmtId="0" fontId="3" fillId="0" borderId="22" xfId="0" applyFont="1" applyBorder="1"/>
    <xf numFmtId="0" fontId="5" fillId="4" borderId="17" xfId="0" applyFont="1" applyFill="1" applyBorder="1" applyAlignment="1">
      <alignment horizontal="center" vertical="center" wrapText="1"/>
    </xf>
    <xf numFmtId="0" fontId="4" fillId="2" borderId="0" xfId="0" applyFont="1" applyFill="1" applyBorder="1" applyAlignment="1">
      <alignment horizontal="center"/>
    </xf>
    <xf numFmtId="2" fontId="5" fillId="4" borderId="9" xfId="0" applyNumberFormat="1" applyFont="1" applyFill="1" applyBorder="1" applyAlignment="1">
      <alignment vertical="center" wrapText="1"/>
    </xf>
    <xf numFmtId="0" fontId="5" fillId="2" borderId="25" xfId="0" applyFont="1" applyFill="1" applyBorder="1" applyAlignment="1">
      <alignment horizontal="center" vertical="center"/>
    </xf>
    <xf numFmtId="164" fontId="3" fillId="0" borderId="10" xfId="0" applyNumberFormat="1" applyFont="1" applyBorder="1" applyAlignment="1">
      <alignment vertical="center"/>
    </xf>
    <xf numFmtId="0" fontId="5" fillId="4" borderId="24" xfId="0" applyFont="1" applyFill="1" applyBorder="1" applyAlignment="1">
      <alignment vertical="center" wrapText="1"/>
    </xf>
    <xf numFmtId="0" fontId="5" fillId="2" borderId="9" xfId="0" applyFont="1" applyFill="1" applyBorder="1" applyAlignment="1">
      <alignment horizontal="right" vertical="center"/>
    </xf>
    <xf numFmtId="164" fontId="5" fillId="2" borderId="10" xfId="0" applyNumberFormat="1" applyFont="1" applyFill="1" applyBorder="1" applyAlignment="1">
      <alignment horizontal="right" vertical="center"/>
    </xf>
    <xf numFmtId="0" fontId="3" fillId="0" borderId="24" xfId="0" applyFont="1" applyBorder="1" applyAlignment="1">
      <alignment vertical="center"/>
    </xf>
    <xf numFmtId="166" fontId="10" fillId="0" borderId="0" xfId="0" applyNumberFormat="1" applyFont="1" applyFill="1" applyBorder="1" applyAlignment="1" applyProtection="1">
      <alignment horizontal="right" wrapText="1"/>
    </xf>
    <xf numFmtId="0" fontId="5" fillId="2" borderId="24" xfId="0" applyFont="1" applyFill="1" applyBorder="1" applyAlignment="1">
      <alignment horizontal="left" vertical="center"/>
    </xf>
    <xf numFmtId="10" fontId="6" fillId="0" borderId="0" xfId="1" applyNumberFormat="1" applyFont="1" applyBorder="1"/>
    <xf numFmtId="0" fontId="6" fillId="0" borderId="14" xfId="0" applyFont="1" applyFill="1" applyBorder="1"/>
    <xf numFmtId="0" fontId="5" fillId="0" borderId="24" xfId="0" applyFont="1" applyFill="1" applyBorder="1" applyAlignment="1">
      <alignment horizontal="left" vertical="center"/>
    </xf>
    <xf numFmtId="0" fontId="5" fillId="0" borderId="9" xfId="0" applyFont="1" applyFill="1" applyBorder="1" applyAlignment="1">
      <alignment horizontal="right" vertical="center"/>
    </xf>
    <xf numFmtId="164" fontId="5" fillId="0" borderId="10" xfId="0" applyNumberFormat="1" applyFont="1" applyFill="1" applyBorder="1" applyAlignment="1">
      <alignment horizontal="right" vertical="center"/>
    </xf>
    <xf numFmtId="10" fontId="6" fillId="0" borderId="0" xfId="1" applyNumberFormat="1" applyFont="1" applyFill="1" applyBorder="1"/>
    <xf numFmtId="0" fontId="3" fillId="0" borderId="24" xfId="0" applyFont="1" applyFill="1" applyBorder="1" applyAlignment="1">
      <alignment horizontal="left" vertical="center"/>
    </xf>
    <xf numFmtId="0" fontId="3" fillId="0" borderId="9" xfId="0" applyFont="1" applyFill="1" applyBorder="1" applyAlignment="1">
      <alignment horizontal="left" vertical="center"/>
    </xf>
    <xf numFmtId="0" fontId="5" fillId="4" borderId="24" xfId="0" applyFont="1" applyFill="1" applyBorder="1" applyAlignment="1">
      <alignment horizontal="left" vertical="center"/>
    </xf>
    <xf numFmtId="0" fontId="5" fillId="4" borderId="9" xfId="0" applyFont="1" applyFill="1" applyBorder="1" applyAlignment="1">
      <alignment horizontal="right" vertical="center"/>
    </xf>
    <xf numFmtId="0" fontId="3" fillId="0" borderId="24" xfId="0" applyFont="1" applyFill="1" applyBorder="1" applyAlignment="1">
      <alignment vertical="center" wrapText="1"/>
    </xf>
    <xf numFmtId="10" fontId="3" fillId="0" borderId="10" xfId="0" applyNumberFormat="1" applyFont="1" applyFill="1" applyBorder="1" applyAlignment="1">
      <alignment vertical="center" wrapText="1"/>
    </xf>
    <xf numFmtId="0" fontId="5" fillId="2" borderId="26" xfId="0" applyFont="1" applyFill="1" applyBorder="1" applyAlignment="1">
      <alignment horizontal="left" vertical="center"/>
    </xf>
    <xf numFmtId="168" fontId="3" fillId="0" borderId="0" xfId="1" applyNumberFormat="1" applyFont="1" applyBorder="1"/>
    <xf numFmtId="10" fontId="6" fillId="0" borderId="0" xfId="1" applyNumberFormat="1" applyFont="1"/>
    <xf numFmtId="0" fontId="6" fillId="3" borderId="0" xfId="0" applyFont="1" applyFill="1" applyBorder="1"/>
    <xf numFmtId="0" fontId="5" fillId="2" borderId="23" xfId="0" applyFont="1" applyFill="1" applyBorder="1" applyAlignment="1">
      <alignment horizontal="center" vertical="center"/>
    </xf>
    <xf numFmtId="0" fontId="5" fillId="2" borderId="23" xfId="0" applyFont="1" applyFill="1" applyBorder="1" applyAlignment="1">
      <alignment horizontal="center" vertical="center" wrapText="1"/>
    </xf>
    <xf numFmtId="164" fontId="3" fillId="0" borderId="19" xfId="0" applyNumberFormat="1" applyFont="1" applyBorder="1" applyAlignment="1">
      <alignment vertical="center"/>
    </xf>
    <xf numFmtId="0" fontId="6" fillId="3" borderId="0" xfId="0" applyFont="1" applyFill="1" applyAlignment="1">
      <alignment horizontal="left"/>
    </xf>
    <xf numFmtId="10" fontId="6" fillId="3" borderId="0" xfId="0" applyNumberFormat="1" applyFont="1" applyFill="1"/>
    <xf numFmtId="0" fontId="11" fillId="0" borderId="0" xfId="0" applyFont="1" applyFill="1" applyBorder="1"/>
    <xf numFmtId="0" fontId="3" fillId="0" borderId="19" xfId="0" applyFont="1" applyBorder="1" applyAlignment="1">
      <alignment vertical="center"/>
    </xf>
    <xf numFmtId="0" fontId="7" fillId="0" borderId="0" xfId="0" applyFont="1" applyFill="1"/>
    <xf numFmtId="10" fontId="7" fillId="0" borderId="0" xfId="0" applyNumberFormat="1" applyFont="1" applyFill="1"/>
    <xf numFmtId="1" fontId="6" fillId="0" borderId="0" xfId="0" applyNumberFormat="1" applyFont="1"/>
    <xf numFmtId="164" fontId="5" fillId="0" borderId="0" xfId="0" applyNumberFormat="1" applyFont="1" applyFill="1" applyBorder="1" applyAlignment="1">
      <alignment horizontal="right" vertical="center"/>
    </xf>
    <xf numFmtId="0" fontId="6" fillId="0" borderId="0" xfId="0" applyFont="1" applyAlignment="1">
      <alignment vertical="top"/>
    </xf>
    <xf numFmtId="0" fontId="7" fillId="0" borderId="0" xfId="0" applyFont="1" applyBorder="1" applyAlignment="1"/>
    <xf numFmtId="0" fontId="5" fillId="2" borderId="23" xfId="0" applyFont="1" applyFill="1" applyBorder="1" applyAlignment="1">
      <alignment horizontal="left" vertical="center"/>
    </xf>
    <xf numFmtId="0" fontId="5" fillId="2" borderId="23" xfId="0" applyFont="1" applyFill="1" applyBorder="1" applyAlignment="1">
      <alignment horizontal="right" vertical="center"/>
    </xf>
    <xf numFmtId="164" fontId="5" fillId="2" borderId="23" xfId="0" applyNumberFormat="1" applyFont="1" applyFill="1" applyBorder="1" applyAlignment="1">
      <alignment horizontal="right" vertical="center"/>
    </xf>
    <xf numFmtId="0" fontId="5" fillId="4" borderId="25" xfId="0" applyFont="1" applyFill="1" applyBorder="1" applyAlignment="1">
      <alignment horizontal="center" vertical="center" wrapText="1"/>
    </xf>
    <xf numFmtId="0" fontId="3" fillId="0" borderId="27" xfId="0" applyFont="1" applyBorder="1" applyAlignment="1">
      <alignment vertical="center"/>
    </xf>
    <xf numFmtId="0" fontId="5" fillId="2" borderId="27" xfId="0" applyFont="1" applyFill="1" applyBorder="1" applyAlignment="1">
      <alignment horizontal="left" vertical="center"/>
    </xf>
    <xf numFmtId="0" fontId="5" fillId="2" borderId="28" xfId="0" applyFont="1" applyFill="1" applyBorder="1" applyAlignment="1">
      <alignment horizontal="left" vertical="center"/>
    </xf>
    <xf numFmtId="0" fontId="2" fillId="0" borderId="0" xfId="0" applyFont="1" applyFill="1" applyBorder="1"/>
    <xf numFmtId="14" fontId="2" fillId="0" borderId="0" xfId="0" applyNumberFormat="1" applyFont="1" applyFill="1" applyBorder="1"/>
    <xf numFmtId="0" fontId="0" fillId="0" borderId="0" xfId="0" applyAlignment="1"/>
    <xf numFmtId="10" fontId="0" fillId="0" borderId="0" xfId="0" applyNumberFormat="1" applyAlignment="1"/>
    <xf numFmtId="0" fontId="12" fillId="0" borderId="0" xfId="0" applyNumberFormat="1" applyFont="1" applyFill="1" applyBorder="1" applyAlignment="1" applyProtection="1">
      <alignment horizontal="left" wrapText="1"/>
    </xf>
    <xf numFmtId="166" fontId="12" fillId="0" borderId="0" xfId="0" applyNumberFormat="1" applyFont="1" applyFill="1" applyBorder="1" applyAlignment="1" applyProtection="1">
      <alignment horizontal="right" wrapText="1"/>
    </xf>
    <xf numFmtId="0" fontId="6" fillId="2" borderId="15" xfId="0" applyFont="1" applyFill="1" applyBorder="1"/>
    <xf numFmtId="10" fontId="0" fillId="0" borderId="0" xfId="0" applyNumberFormat="1" applyAlignment="1">
      <alignment horizontal="left"/>
    </xf>
    <xf numFmtId="10" fontId="0" fillId="0" borderId="0" xfId="0" applyNumberFormat="1"/>
    <xf numFmtId="0" fontId="0" fillId="0" borderId="0" xfId="0" applyAlignment="1">
      <alignment horizontal="left"/>
    </xf>
    <xf numFmtId="166" fontId="3" fillId="0" borderId="9" xfId="1" applyNumberFormat="1" applyFont="1" applyBorder="1" applyAlignment="1">
      <alignment horizontal="right"/>
    </xf>
    <xf numFmtId="166" fontId="5" fillId="4" borderId="9" xfId="0" applyNumberFormat="1" applyFont="1" applyFill="1" applyBorder="1" applyAlignment="1">
      <alignment horizontal="right"/>
    </xf>
    <xf numFmtId="166" fontId="3" fillId="0" borderId="9" xfId="0" applyNumberFormat="1" applyFont="1" applyBorder="1" applyAlignment="1">
      <alignment vertical="center"/>
    </xf>
    <xf numFmtId="166" fontId="5" fillId="2" borderId="9" xfId="0" applyNumberFormat="1" applyFont="1" applyFill="1" applyBorder="1" applyAlignment="1">
      <alignment horizontal="right" vertical="center"/>
    </xf>
    <xf numFmtId="166" fontId="5" fillId="4" borderId="9" xfId="0" applyNumberFormat="1" applyFont="1" applyFill="1" applyBorder="1" applyAlignment="1">
      <alignment vertical="center" wrapText="1"/>
    </xf>
    <xf numFmtId="0" fontId="3" fillId="0" borderId="24" xfId="0" applyFont="1" applyFill="1" applyBorder="1" applyAlignment="1" applyProtection="1">
      <alignment horizontal="left" wrapText="1"/>
    </xf>
    <xf numFmtId="0" fontId="3" fillId="0" borderId="9" xfId="0" applyFont="1" applyFill="1" applyBorder="1" applyAlignment="1" applyProtection="1">
      <alignment horizontal="left" wrapText="1"/>
    </xf>
    <xf numFmtId="10" fontId="5" fillId="4" borderId="10" xfId="0" applyNumberFormat="1" applyFont="1" applyFill="1" applyBorder="1" applyAlignment="1">
      <alignment horizontal="right" vertical="center"/>
    </xf>
    <xf numFmtId="166" fontId="5" fillId="4" borderId="10" xfId="0" applyNumberFormat="1" applyFont="1" applyFill="1" applyBorder="1" applyAlignment="1">
      <alignment vertical="center" wrapText="1"/>
    </xf>
    <xf numFmtId="166" fontId="3" fillId="0" borderId="9" xfId="1" applyNumberFormat="1" applyFont="1" applyFill="1" applyBorder="1" applyAlignment="1">
      <alignment horizontal="right"/>
    </xf>
    <xf numFmtId="0" fontId="3" fillId="0" borderId="16" xfId="0" applyFont="1" applyFill="1" applyBorder="1" applyAlignment="1" applyProtection="1">
      <alignment horizontal="left" wrapText="1"/>
    </xf>
    <xf numFmtId="0" fontId="3" fillId="0" borderId="16" xfId="0" applyFont="1" applyFill="1" applyBorder="1" applyAlignment="1" applyProtection="1">
      <alignment horizontal="left" vertical="top" wrapText="1"/>
    </xf>
    <xf numFmtId="10" fontId="3" fillId="0" borderId="16" xfId="0" applyNumberFormat="1" applyFont="1" applyFill="1" applyBorder="1" applyAlignment="1" applyProtection="1">
      <alignment horizontal="right" wrapText="1"/>
    </xf>
    <xf numFmtId="0" fontId="3" fillId="0" borderId="9" xfId="0" applyFont="1" applyFill="1" applyBorder="1" applyAlignment="1" applyProtection="1">
      <alignment horizontal="left" vertical="top" wrapText="1"/>
    </xf>
    <xf numFmtId="10" fontId="3" fillId="0" borderId="9" xfId="0" applyNumberFormat="1" applyFont="1" applyFill="1" applyBorder="1" applyAlignment="1" applyProtection="1">
      <alignment horizontal="right" wrapText="1"/>
    </xf>
    <xf numFmtId="166" fontId="3" fillId="0" borderId="9" xfId="1" applyNumberFormat="1" applyFont="1" applyBorder="1"/>
    <xf numFmtId="166" fontId="3" fillId="0" borderId="9" xfId="0" applyNumberFormat="1" applyFont="1" applyBorder="1"/>
    <xf numFmtId="0" fontId="3" fillId="0" borderId="16" xfId="0" applyFont="1" applyFill="1" applyBorder="1" applyAlignment="1" applyProtection="1">
      <alignment horizontal="left" vertical="center" wrapText="1"/>
    </xf>
    <xf numFmtId="0" fontId="3" fillId="0" borderId="9" xfId="0" applyFont="1" applyFill="1" applyBorder="1" applyAlignment="1" applyProtection="1">
      <alignment horizontal="left" vertical="center" wrapText="1"/>
    </xf>
    <xf numFmtId="10" fontId="3" fillId="0" borderId="17" xfId="0" applyNumberFormat="1" applyFont="1" applyFill="1" applyBorder="1" applyAlignment="1" applyProtection="1">
      <alignment horizontal="right" wrapText="1"/>
    </xf>
    <xf numFmtId="10" fontId="3" fillId="0" borderId="10" xfId="0" applyNumberFormat="1" applyFont="1" applyFill="1" applyBorder="1" applyAlignment="1" applyProtection="1">
      <alignment horizontal="right" wrapText="1"/>
    </xf>
    <xf numFmtId="10" fontId="3" fillId="0" borderId="16" xfId="0" applyNumberFormat="1" applyFont="1" applyFill="1" applyBorder="1" applyAlignment="1" applyProtection="1">
      <alignment horizontal="left" wrapText="1"/>
    </xf>
    <xf numFmtId="10" fontId="3" fillId="0" borderId="16" xfId="0" applyNumberFormat="1" applyFont="1" applyFill="1" applyBorder="1" applyAlignment="1" applyProtection="1">
      <alignment horizontal="left" vertical="top" wrapText="1"/>
    </xf>
    <xf numFmtId="10" fontId="3" fillId="0" borderId="9" xfId="0" applyNumberFormat="1" applyFont="1" applyFill="1" applyBorder="1" applyAlignment="1" applyProtection="1">
      <alignment horizontal="left" wrapText="1"/>
    </xf>
    <xf numFmtId="10" fontId="3" fillId="0" borderId="9" xfId="0" applyNumberFormat="1" applyFont="1" applyFill="1" applyBorder="1" applyAlignment="1" applyProtection="1">
      <alignment horizontal="left" vertical="top" wrapText="1"/>
    </xf>
    <xf numFmtId="10" fontId="5" fillId="4" borderId="9" xfId="0" applyNumberFormat="1" applyFont="1" applyFill="1" applyBorder="1" applyAlignment="1">
      <alignment horizontal="right"/>
    </xf>
    <xf numFmtId="166" fontId="3" fillId="0" borderId="9" xfId="0" applyNumberFormat="1" applyFont="1" applyFill="1" applyBorder="1" applyAlignment="1">
      <alignment horizontal="left"/>
    </xf>
    <xf numFmtId="168" fontId="6" fillId="0" borderId="0" xfId="0" applyNumberFormat="1" applyFont="1" applyAlignment="1"/>
    <xf numFmtId="166" fontId="3" fillId="0" borderId="24" xfId="0" applyNumberFormat="1" applyFont="1" applyBorder="1"/>
    <xf numFmtId="0" fontId="3" fillId="0" borderId="24" xfId="0" applyFont="1" applyBorder="1" applyAlignment="1">
      <alignment horizontal="left"/>
    </xf>
    <xf numFmtId="0" fontId="5" fillId="4" borderId="26" xfId="0" applyFont="1" applyFill="1" applyBorder="1" applyAlignment="1">
      <alignment vertical="center" wrapText="1"/>
    </xf>
    <xf numFmtId="166" fontId="3" fillId="0" borderId="10" xfId="1" applyNumberFormat="1" applyFont="1" applyBorder="1" applyAlignment="1">
      <alignment horizontal="right"/>
    </xf>
    <xf numFmtId="10" fontId="5" fillId="4" borderId="10" xfId="0" applyNumberFormat="1" applyFont="1" applyFill="1" applyBorder="1" applyAlignment="1">
      <alignment vertical="center" wrapText="1"/>
    </xf>
    <xf numFmtId="0" fontId="3" fillId="0" borderId="10" xfId="0" applyFont="1" applyBorder="1"/>
    <xf numFmtId="165" fontId="3" fillId="0" borderId="10" xfId="0" applyNumberFormat="1" applyFont="1" applyBorder="1" applyAlignment="1">
      <alignment horizontal="right"/>
    </xf>
    <xf numFmtId="10" fontId="5" fillId="4" borderId="19" xfId="0" applyNumberFormat="1" applyFont="1" applyFill="1" applyBorder="1" applyAlignment="1">
      <alignment vertical="center" wrapText="1"/>
    </xf>
    <xf numFmtId="0" fontId="3" fillId="0" borderId="23" xfId="0" applyFont="1" applyBorder="1"/>
    <xf numFmtId="0" fontId="13" fillId="2" borderId="0" xfId="0" applyFont="1" applyFill="1" applyBorder="1" applyAlignment="1">
      <alignment horizontal="left" vertical="center"/>
    </xf>
    <xf numFmtId="0" fontId="5" fillId="0" borderId="24" xfId="0" applyFont="1" applyFill="1" applyBorder="1" applyAlignment="1">
      <alignment vertical="center" wrapText="1"/>
    </xf>
    <xf numFmtId="10" fontId="3" fillId="0" borderId="10" xfId="1" applyNumberFormat="1" applyFont="1" applyBorder="1"/>
    <xf numFmtId="2" fontId="5" fillId="4" borderId="18" xfId="0" applyNumberFormat="1" applyFont="1" applyFill="1" applyBorder="1" applyAlignment="1">
      <alignment vertical="center" wrapText="1"/>
    </xf>
    <xf numFmtId="169" fontId="3" fillId="0" borderId="10" xfId="1" applyNumberFormat="1" applyFont="1" applyBorder="1" applyAlignment="1">
      <alignment horizontal="right"/>
    </xf>
    <xf numFmtId="0" fontId="5" fillId="4" borderId="25" xfId="0" applyFont="1" applyFill="1" applyBorder="1" applyAlignment="1">
      <alignment vertical="center" wrapText="1"/>
    </xf>
    <xf numFmtId="10" fontId="5" fillId="4" borderId="17" xfId="0" applyNumberFormat="1" applyFont="1" applyFill="1" applyBorder="1" applyAlignment="1">
      <alignment vertical="center" wrapText="1"/>
    </xf>
    <xf numFmtId="0" fontId="5" fillId="4" borderId="23" xfId="0" applyFont="1" applyFill="1" applyBorder="1" applyAlignment="1">
      <alignment horizontal="center" vertical="center" wrapText="1"/>
    </xf>
    <xf numFmtId="166" fontId="3" fillId="0" borderId="10" xfId="1" applyNumberFormat="1" applyFont="1" applyBorder="1"/>
    <xf numFmtId="166" fontId="3" fillId="0" borderId="9" xfId="0" applyNumberFormat="1" applyFont="1" applyFill="1" applyBorder="1" applyAlignment="1">
      <alignment horizontal="right" vertical="center"/>
    </xf>
    <xf numFmtId="10" fontId="0" fillId="0" borderId="0" xfId="0" applyNumberFormat="1" applyAlignment="1">
      <alignment horizontal="left"/>
    </xf>
    <xf numFmtId="166" fontId="12" fillId="0" borderId="0" xfId="0" applyNumberFormat="1" applyFont="1" applyFill="1" applyBorder="1" applyAlignment="1" applyProtection="1">
      <alignment horizontal="right" wrapText="1"/>
    </xf>
    <xf numFmtId="0" fontId="12" fillId="0" borderId="0" xfId="0" applyNumberFormat="1" applyFont="1" applyFill="1" applyBorder="1" applyAlignment="1" applyProtection="1">
      <alignment horizontal="left" wrapText="1"/>
    </xf>
    <xf numFmtId="10" fontId="0" fillId="0" borderId="0" xfId="0" applyNumberFormat="1"/>
    <xf numFmtId="164" fontId="3" fillId="0" borderId="24" xfId="0" applyNumberFormat="1" applyFont="1" applyBorder="1" applyAlignment="1">
      <alignment vertical="center"/>
    </xf>
    <xf numFmtId="164" fontId="3" fillId="0" borderId="9" xfId="0" applyNumberFormat="1" applyFont="1" applyFill="1" applyBorder="1" applyAlignment="1" applyProtection="1">
      <alignment horizontal="left" wrapText="1"/>
    </xf>
    <xf numFmtId="164" fontId="3" fillId="0" borderId="24" xfId="0" applyNumberFormat="1" applyFont="1" applyFill="1" applyBorder="1" applyAlignment="1" applyProtection="1">
      <alignment horizontal="left" wrapText="1"/>
    </xf>
    <xf numFmtId="167" fontId="5" fillId="0" borderId="10" xfId="0" applyNumberFormat="1" applyFont="1" applyFill="1" applyBorder="1" applyAlignment="1">
      <alignment vertical="center" wrapText="1"/>
    </xf>
    <xf numFmtId="166" fontId="3" fillId="0" borderId="16" xfId="0" applyNumberFormat="1" applyFont="1" applyFill="1" applyBorder="1" applyAlignment="1">
      <alignment horizontal="left"/>
    </xf>
    <xf numFmtId="0" fontId="2" fillId="0" borderId="0" xfId="0" applyFont="1" applyBorder="1"/>
    <xf numFmtId="10" fontId="2" fillId="0" borderId="0" xfId="0" applyNumberFormat="1" applyFont="1" applyBorder="1"/>
    <xf numFmtId="10" fontId="2" fillId="0" borderId="0" xfId="1" applyNumberFormat="1" applyFont="1" applyBorder="1" applyAlignment="1">
      <alignment horizontal="left"/>
    </xf>
    <xf numFmtId="10" fontId="2" fillId="0" borderId="9" xfId="1" applyNumberFormat="1" applyFont="1" applyBorder="1" applyAlignment="1">
      <alignment horizontal="right"/>
    </xf>
    <xf numFmtId="0" fontId="14" fillId="0" borderId="0" xfId="0" applyFont="1" applyBorder="1"/>
    <xf numFmtId="10" fontId="2" fillId="0" borderId="0" xfId="1" applyNumberFormat="1" applyFont="1"/>
    <xf numFmtId="10" fontId="2" fillId="0" borderId="9" xfId="1" applyNumberFormat="1" applyFont="1" applyFill="1" applyBorder="1" applyAlignment="1">
      <alignment horizontal="right"/>
    </xf>
    <xf numFmtId="10" fontId="2" fillId="0" borderId="0" xfId="1" applyNumberFormat="1" applyFont="1" applyFill="1" applyBorder="1" applyAlignment="1">
      <alignment horizontal="left"/>
    </xf>
    <xf numFmtId="166" fontId="15" fillId="0" borderId="0" xfId="0" applyNumberFormat="1" applyFont="1" applyFill="1" applyBorder="1" applyAlignment="1" applyProtection="1">
      <alignment horizontal="right" wrapText="1"/>
    </xf>
    <xf numFmtId="170" fontId="3" fillId="0" borderId="10" xfId="0" applyNumberFormat="1" applyFont="1" applyBorder="1" applyAlignment="1">
      <alignment vertical="center"/>
    </xf>
    <xf numFmtId="166" fontId="3" fillId="0" borderId="16" xfId="1" applyNumberFormat="1" applyFont="1" applyFill="1" applyBorder="1" applyAlignment="1">
      <alignment horizontal="right"/>
    </xf>
    <xf numFmtId="166" fontId="3" fillId="0" borderId="32" xfId="0" applyNumberFormat="1" applyFont="1" applyFill="1" applyBorder="1" applyAlignment="1">
      <alignment horizontal="left"/>
    </xf>
    <xf numFmtId="0" fontId="5" fillId="4" borderId="0" xfId="0" applyFont="1" applyFill="1" applyBorder="1" applyAlignment="1">
      <alignment vertical="center" wrapText="1"/>
    </xf>
    <xf numFmtId="166" fontId="3" fillId="0" borderId="0" xfId="0" applyNumberFormat="1" applyFont="1" applyFill="1" applyBorder="1" applyAlignment="1">
      <alignment horizontal="left"/>
    </xf>
    <xf numFmtId="0" fontId="3" fillId="0" borderId="0" xfId="0" applyFont="1" applyBorder="1" applyAlignment="1">
      <alignment horizontal="left"/>
    </xf>
    <xf numFmtId="0" fontId="5" fillId="4" borderId="33" xfId="0" applyFont="1" applyFill="1" applyBorder="1" applyAlignment="1">
      <alignment vertical="center" wrapText="1"/>
    </xf>
    <xf numFmtId="166" fontId="2" fillId="0" borderId="0" xfId="0" applyNumberFormat="1" applyFont="1"/>
    <xf numFmtId="10" fontId="14" fillId="0" borderId="0" xfId="0" applyNumberFormat="1" applyFont="1" applyBorder="1"/>
    <xf numFmtId="10" fontId="2" fillId="0" borderId="10" xfId="1" applyNumberFormat="1" applyFont="1" applyBorder="1" applyAlignment="1">
      <alignment horizontal="right"/>
    </xf>
    <xf numFmtId="0" fontId="0" fillId="0" borderId="4" xfId="0" applyBorder="1"/>
    <xf numFmtId="0" fontId="0" fillId="0" borderId="1" xfId="0" applyBorder="1"/>
    <xf numFmtId="0" fontId="0" fillId="0" borderId="2" xfId="0" applyBorder="1"/>
    <xf numFmtId="0" fontId="0" fillId="0" borderId="5" xfId="0" applyBorder="1"/>
    <xf numFmtId="0" fontId="0" fillId="0" borderId="0" xfId="0" applyBorder="1"/>
    <xf numFmtId="0" fontId="0" fillId="0" borderId="3" xfId="0" applyBorder="1"/>
    <xf numFmtId="0" fontId="16" fillId="2" borderId="34" xfId="0" applyFont="1" applyFill="1" applyBorder="1" applyAlignment="1">
      <alignment horizontal="center" vertical="center"/>
    </xf>
    <xf numFmtId="0" fontId="16" fillId="2" borderId="35" xfId="0" applyFont="1" applyFill="1" applyBorder="1" applyAlignment="1">
      <alignment horizontal="center" vertical="center" wrapText="1"/>
    </xf>
    <xf numFmtId="0" fontId="16" fillId="2" borderId="36" xfId="0" applyFont="1" applyFill="1" applyBorder="1" applyAlignment="1">
      <alignment horizontal="center" vertical="center"/>
    </xf>
    <xf numFmtId="0" fontId="18" fillId="0" borderId="27" xfId="0" applyFont="1" applyBorder="1" applyAlignment="1">
      <alignment vertical="center"/>
    </xf>
    <xf numFmtId="0" fontId="18" fillId="0" borderId="37" xfId="0" applyFont="1" applyBorder="1" applyAlignment="1">
      <alignment vertical="center"/>
    </xf>
    <xf numFmtId="164" fontId="18" fillId="0" borderId="38" xfId="0" applyNumberFormat="1" applyFont="1" applyBorder="1" applyAlignment="1">
      <alignment vertical="center"/>
    </xf>
    <xf numFmtId="0" fontId="16" fillId="2" borderId="27" xfId="0" applyFont="1" applyFill="1" applyBorder="1" applyAlignment="1">
      <alignment horizontal="left" vertical="center"/>
    </xf>
    <xf numFmtId="0" fontId="16" fillId="2" borderId="37" xfId="0" applyFont="1" applyFill="1" applyBorder="1" applyAlignment="1">
      <alignment horizontal="right" vertical="center"/>
    </xf>
    <xf numFmtId="164" fontId="16" fillId="2" borderId="38" xfId="0" applyNumberFormat="1" applyFont="1" applyFill="1" applyBorder="1" applyAlignment="1">
      <alignment horizontal="right" vertical="center"/>
    </xf>
    <xf numFmtId="0" fontId="16" fillId="2" borderId="28" xfId="0" applyFont="1" applyFill="1" applyBorder="1" applyAlignment="1">
      <alignment horizontal="left" vertical="center"/>
    </xf>
    <xf numFmtId="0" fontId="16" fillId="2" borderId="39" xfId="0" applyFont="1" applyFill="1" applyBorder="1" applyAlignment="1">
      <alignment horizontal="right" vertical="center"/>
    </xf>
    <xf numFmtId="164" fontId="16" fillId="2" borderId="40" xfId="0" applyNumberFormat="1" applyFont="1" applyFill="1" applyBorder="1" applyAlignment="1">
      <alignment horizontal="right" vertical="center"/>
    </xf>
    <xf numFmtId="0" fontId="0" fillId="2" borderId="0" xfId="0" applyFill="1" applyBorder="1"/>
    <xf numFmtId="0" fontId="0" fillId="2" borderId="3" xfId="0" applyFill="1" applyBorder="1"/>
    <xf numFmtId="0" fontId="0" fillId="0" borderId="6" xfId="0" applyBorder="1"/>
    <xf numFmtId="0" fontId="0" fillId="0" borderId="7" xfId="0" applyBorder="1"/>
    <xf numFmtId="0" fontId="0" fillId="0" borderId="8" xfId="0" applyBorder="1"/>
    <xf numFmtId="0" fontId="3" fillId="0" borderId="24" xfId="0" applyFont="1" applyBorder="1" applyAlignment="1">
      <alignment horizontal="left" vertical="center" wrapText="1"/>
    </xf>
    <xf numFmtId="2" fontId="4" fillId="2" borderId="0" xfId="1" applyNumberFormat="1" applyFont="1" applyFill="1" applyBorder="1" applyAlignment="1">
      <alignment horizontal="center" vertical="center"/>
    </xf>
    <xf numFmtId="0" fontId="14" fillId="0" borderId="0" xfId="0" applyFont="1"/>
    <xf numFmtId="14" fontId="14" fillId="0" borderId="0" xfId="0" applyNumberFormat="1" applyFont="1"/>
    <xf numFmtId="10" fontId="6" fillId="3" borderId="0" xfId="1" applyNumberFormat="1" applyFont="1" applyFill="1"/>
    <xf numFmtId="0" fontId="19" fillId="0" borderId="0" xfId="0" applyFont="1" applyBorder="1" applyAlignment="1">
      <alignment horizontal="left"/>
    </xf>
    <xf numFmtId="0" fontId="20" fillId="0" borderId="0" xfId="0" applyFont="1" applyBorder="1"/>
    <xf numFmtId="9" fontId="20" fillId="0" borderId="0" xfId="0" applyNumberFormat="1" applyFont="1" applyBorder="1"/>
    <xf numFmtId="10" fontId="0" fillId="0" borderId="0" xfId="0" applyNumberFormat="1"/>
    <xf numFmtId="10" fontId="0" fillId="0" borderId="0" xfId="0" applyNumberFormat="1" applyAlignment="1">
      <alignment horizontal="left"/>
    </xf>
    <xf numFmtId="0" fontId="18" fillId="0" borderId="0" xfId="0" applyFont="1" applyBorder="1"/>
    <xf numFmtId="0" fontId="0" fillId="0" borderId="0" xfId="0" applyAlignment="1">
      <alignment horizontal="left"/>
    </xf>
    <xf numFmtId="10" fontId="0" fillId="0" borderId="0" xfId="0" applyNumberFormat="1"/>
    <xf numFmtId="10" fontId="0" fillId="0" borderId="0" xfId="0" applyNumberFormat="1" applyAlignment="1">
      <alignment horizontal="left"/>
    </xf>
    <xf numFmtId="0" fontId="0" fillId="0" borderId="0" xfId="0" applyNumberFormat="1"/>
    <xf numFmtId="10" fontId="0" fillId="0" borderId="0" xfId="0" applyNumberFormat="1"/>
    <xf numFmtId="10" fontId="0" fillId="0" borderId="0" xfId="0" applyNumberFormat="1" applyAlignment="1">
      <alignment horizontal="left"/>
    </xf>
    <xf numFmtId="166" fontId="12" fillId="0" borderId="0" xfId="0" applyNumberFormat="1" applyFont="1" applyFill="1" applyBorder="1" applyAlignment="1" applyProtection="1">
      <alignment horizontal="right" wrapText="1"/>
    </xf>
    <xf numFmtId="0" fontId="12" fillId="0" borderId="0" xfId="0" applyNumberFormat="1" applyFont="1" applyFill="1" applyBorder="1" applyAlignment="1" applyProtection="1">
      <alignment horizontal="left" wrapText="1"/>
    </xf>
    <xf numFmtId="10" fontId="0" fillId="0" borderId="0" xfId="0" applyNumberFormat="1"/>
    <xf numFmtId="10" fontId="0" fillId="0" borderId="0" xfId="0" applyNumberFormat="1" applyAlignment="1">
      <alignment horizontal="left"/>
    </xf>
    <xf numFmtId="4" fontId="4" fillId="2" borderId="0" xfId="1" applyNumberFormat="1" applyFont="1" applyFill="1" applyBorder="1" applyAlignment="1">
      <alignment horizontal="center" vertical="center"/>
    </xf>
    <xf numFmtId="2" fontId="17" fillId="2" borderId="0" xfId="0" applyNumberFormat="1" applyFont="1" applyFill="1" applyBorder="1" applyAlignment="1">
      <alignment horizontal="center" vertical="center"/>
    </xf>
    <xf numFmtId="0" fontId="0" fillId="0" borderId="0" xfId="0" applyFont="1" applyBorder="1"/>
    <xf numFmtId="10" fontId="0" fillId="0" borderId="0" xfId="0" applyNumberFormat="1" applyFont="1" applyBorder="1"/>
    <xf numFmtId="0" fontId="9" fillId="4" borderId="0" xfId="0" applyFont="1" applyFill="1" applyBorder="1" applyAlignment="1">
      <alignment horizontal="center" vertical="center" wrapText="1"/>
    </xf>
    <xf numFmtId="0" fontId="9" fillId="4" borderId="15" xfId="0" applyFont="1" applyFill="1" applyBorder="1" applyAlignment="1">
      <alignment horizontal="center" vertical="center" wrapText="1"/>
    </xf>
    <xf numFmtId="0" fontId="4" fillId="4" borderId="0" xfId="0" applyFont="1" applyFill="1" applyBorder="1" applyAlignment="1">
      <alignment vertical="center" wrapText="1"/>
    </xf>
    <xf numFmtId="0" fontId="4" fillId="4" borderId="15" xfId="0" applyFont="1" applyFill="1" applyBorder="1" applyAlignment="1">
      <alignment vertical="center" wrapText="1"/>
    </xf>
    <xf numFmtId="0" fontId="5" fillId="0" borderId="21" xfId="0" applyFont="1" applyBorder="1" applyAlignment="1"/>
    <xf numFmtId="0" fontId="5" fillId="0" borderId="22" xfId="0" applyFont="1" applyBorder="1" applyAlignment="1"/>
    <xf numFmtId="0" fontId="6" fillId="0" borderId="11" xfId="0" applyFont="1" applyBorder="1" applyAlignment="1">
      <alignment horizontal="left" vertical="top" wrapText="1"/>
    </xf>
    <xf numFmtId="0" fontId="6" fillId="0" borderId="12" xfId="0" applyFont="1" applyBorder="1" applyAlignment="1">
      <alignment horizontal="left" vertical="top" wrapText="1"/>
    </xf>
    <xf numFmtId="0" fontId="6" fillId="0" borderId="13" xfId="0" applyFont="1" applyBorder="1" applyAlignment="1">
      <alignment horizontal="left" vertical="top" wrapText="1"/>
    </xf>
    <xf numFmtId="0" fontId="6" fillId="0" borderId="14" xfId="0" applyFont="1" applyBorder="1" applyAlignment="1">
      <alignment horizontal="left" vertical="top" wrapText="1"/>
    </xf>
    <xf numFmtId="0" fontId="6" fillId="0" borderId="0" xfId="0" applyFont="1" applyBorder="1" applyAlignment="1">
      <alignment horizontal="left" vertical="top" wrapText="1"/>
    </xf>
    <xf numFmtId="0" fontId="6" fillId="0" borderId="15" xfId="0" applyFont="1" applyBorder="1" applyAlignment="1">
      <alignment horizontal="left" vertical="top" wrapText="1"/>
    </xf>
    <xf numFmtId="0" fontId="6" fillId="0" borderId="20" xfId="0" applyFont="1" applyBorder="1" applyAlignment="1">
      <alignment horizontal="left" vertical="top" wrapText="1"/>
    </xf>
    <xf numFmtId="0" fontId="6" fillId="0" borderId="21" xfId="0" applyFont="1" applyBorder="1" applyAlignment="1">
      <alignment horizontal="left" vertical="top" wrapText="1"/>
    </xf>
    <xf numFmtId="0" fontId="6" fillId="0" borderId="22" xfId="0" applyFont="1" applyBorder="1" applyAlignment="1">
      <alignment horizontal="left" vertical="top" wrapText="1"/>
    </xf>
    <xf numFmtId="0" fontId="9" fillId="2" borderId="0" xfId="0" applyFont="1" applyFill="1" applyBorder="1" applyAlignment="1">
      <alignment horizontal="center" vertical="center"/>
    </xf>
    <xf numFmtId="0" fontId="6" fillId="0" borderId="0" xfId="0" applyFont="1" applyBorder="1" applyAlignment="1">
      <alignment horizontal="center" vertical="center"/>
    </xf>
    <xf numFmtId="2" fontId="9" fillId="4" borderId="0" xfId="0" applyNumberFormat="1" applyFont="1" applyFill="1" applyBorder="1" applyAlignment="1">
      <alignment horizontal="right" vertical="center"/>
    </xf>
    <xf numFmtId="4" fontId="9" fillId="4" borderId="0" xfId="0" applyNumberFormat="1" applyFont="1" applyFill="1" applyBorder="1" applyAlignment="1">
      <alignment horizontal="right" vertical="center"/>
    </xf>
    <xf numFmtId="0" fontId="9" fillId="4" borderId="0" xfId="0" applyFont="1" applyFill="1" applyBorder="1" applyAlignment="1">
      <alignment horizontal="right" vertical="center"/>
    </xf>
    <xf numFmtId="0" fontId="4" fillId="2" borderId="0" xfId="0" applyFont="1" applyFill="1" applyBorder="1" applyAlignment="1">
      <alignment vertical="center"/>
    </xf>
    <xf numFmtId="0" fontId="6" fillId="0" borderId="0" xfId="0" applyFont="1" applyBorder="1" applyAlignment="1">
      <alignment vertical="center"/>
    </xf>
    <xf numFmtId="0" fontId="0" fillId="0" borderId="11" xfId="0" applyBorder="1" applyAlignment="1">
      <alignment horizontal="left" vertical="top" wrapText="1"/>
    </xf>
    <xf numFmtId="0" fontId="0" fillId="0" borderId="12" xfId="0" applyBorder="1" applyAlignment="1">
      <alignment horizontal="left" vertical="top" wrapText="1"/>
    </xf>
    <xf numFmtId="0" fontId="0" fillId="0" borderId="13" xfId="0" applyBorder="1" applyAlignment="1">
      <alignment horizontal="left" vertical="top" wrapText="1"/>
    </xf>
    <xf numFmtId="0" fontId="0" fillId="0" borderId="14" xfId="0" applyBorder="1" applyAlignment="1">
      <alignment horizontal="left" vertical="top" wrapText="1"/>
    </xf>
    <xf numFmtId="0" fontId="0" fillId="0" borderId="0" xfId="0" applyBorder="1" applyAlignment="1">
      <alignment horizontal="left" vertical="top" wrapText="1"/>
    </xf>
    <xf numFmtId="0" fontId="0" fillId="0" borderId="15" xfId="0" applyBorder="1" applyAlignment="1">
      <alignment horizontal="left" vertical="top" wrapText="1"/>
    </xf>
    <xf numFmtId="0" fontId="0" fillId="0" borderId="20" xfId="0" applyBorder="1" applyAlignment="1">
      <alignment horizontal="left" vertical="top" wrapText="1"/>
    </xf>
    <xf numFmtId="0" fontId="0" fillId="0" borderId="21" xfId="0" applyBorder="1" applyAlignment="1">
      <alignment horizontal="left" vertical="top" wrapText="1"/>
    </xf>
    <xf numFmtId="0" fontId="0" fillId="0" borderId="22" xfId="0" applyBorder="1" applyAlignment="1">
      <alignment horizontal="left" vertical="top" wrapText="1"/>
    </xf>
    <xf numFmtId="0" fontId="6" fillId="0" borderId="29" xfId="0" applyFont="1" applyBorder="1" applyAlignment="1">
      <alignment horizontal="left" vertical="top" wrapText="1"/>
    </xf>
    <xf numFmtId="0" fontId="6" fillId="0" borderId="30" xfId="0" applyFont="1" applyBorder="1" applyAlignment="1">
      <alignment horizontal="left" vertical="top" wrapText="1"/>
    </xf>
    <xf numFmtId="0" fontId="6" fillId="0" borderId="31" xfId="0" applyFont="1" applyBorder="1" applyAlignment="1">
      <alignment horizontal="left" vertical="top" wrapText="1"/>
    </xf>
    <xf numFmtId="0" fontId="4" fillId="0" borderId="0" xfId="0" applyFont="1" applyFill="1" applyBorder="1" applyAlignment="1">
      <alignment vertical="center" wrapText="1"/>
    </xf>
    <xf numFmtId="0" fontId="13" fillId="2" borderId="0" xfId="0" applyFont="1" applyFill="1" applyBorder="1" applyAlignment="1">
      <alignment horizontal="center" vertical="center"/>
    </xf>
    <xf numFmtId="0" fontId="0" fillId="0" borderId="0" xfId="0" applyBorder="1" applyAlignment="1">
      <alignment horizontal="center" vertical="center"/>
    </xf>
    <xf numFmtId="0" fontId="0" fillId="0" borderId="3" xfId="0" applyBorder="1" applyAlignment="1">
      <alignment horizontal="center" vertical="center"/>
    </xf>
    <xf numFmtId="0" fontId="13" fillId="2" borderId="0" xfId="0" applyFont="1" applyFill="1" applyBorder="1" applyAlignment="1">
      <alignment horizontal="right" vertical="center"/>
    </xf>
    <xf numFmtId="0" fontId="0" fillId="0" borderId="0" xfId="0" applyBorder="1" applyAlignment="1">
      <alignment horizontal="right"/>
    </xf>
    <xf numFmtId="0" fontId="17" fillId="2" borderId="0" xfId="0" applyFont="1" applyFill="1" applyBorder="1" applyAlignment="1">
      <alignment vertical="center"/>
    </xf>
    <xf numFmtId="0" fontId="0" fillId="0" borderId="0" xfId="0" applyBorder="1" applyAlignment="1">
      <alignment vertical="center"/>
    </xf>
    <xf numFmtId="0" fontId="0" fillId="0" borderId="3" xfId="0" applyBorder="1" applyAlignment="1">
      <alignment vertical="center"/>
    </xf>
    <xf numFmtId="0" fontId="3" fillId="0" borderId="25" xfId="0" applyFont="1" applyFill="1" applyBorder="1" applyAlignment="1" applyProtection="1">
      <alignment horizontal="left" vertical="top" wrapText="1"/>
    </xf>
    <xf numFmtId="0" fontId="3" fillId="0" borderId="24" xfId="0" applyFont="1" applyFill="1" applyBorder="1" applyAlignment="1" applyProtection="1">
      <alignment horizontal="left" vertical="top" wrapText="1"/>
    </xf>
    <xf numFmtId="0" fontId="3" fillId="0" borderId="26" xfId="0" applyFont="1" applyBorder="1" applyAlignment="1">
      <alignment vertical="center"/>
    </xf>
    <xf numFmtId="10" fontId="3" fillId="0" borderId="18" xfId="0" applyNumberFormat="1" applyFont="1" applyFill="1" applyBorder="1" applyAlignment="1" applyProtection="1">
      <alignment horizontal="right" wrapText="1"/>
    </xf>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sharedStrings" Target="sharedString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theme" Target="theme/theme1.xml"/><Relationship Id="rId20" Type="http://schemas.openxmlformats.org/officeDocument/2006/relationships/worksheet" Target="worksheets/sheet20.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s>
</file>

<file path=xl/charts/_rels/chart9.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6.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7.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28.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37.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defRPr lang="en-IN"/>
            </a:pPr>
            <a:r>
              <a:rPr lang="en-US"/>
              <a:t>Asset Allocation</a:t>
            </a:r>
          </a:p>
        </c:rich>
      </c:tx>
      <c:overlay val="0"/>
    </c:title>
    <c:autoTitleDeleted val="0"/>
    <c:view3D>
      <c:rotX val="15"/>
      <c:rotY val="0"/>
      <c:rAngAx val="0"/>
    </c:view3D>
    <c:floor>
      <c:thickness val="0"/>
    </c:floor>
    <c:sideWall>
      <c:thickness val="0"/>
    </c:sideWall>
    <c:backWall>
      <c:thickness val="0"/>
    </c:backWall>
    <c:plotArea>
      <c:layout>
        <c:manualLayout>
          <c:layoutTarget val="inner"/>
          <c:xMode val="edge"/>
          <c:yMode val="edge"/>
          <c:x val="0.13492264148428221"/>
          <c:y val="0.442819115066238"/>
          <c:w val="0.80555553197359764"/>
          <c:h val="0.46296299212599396"/>
        </c:manualLayout>
      </c:layout>
      <c:pie3DChart>
        <c:varyColors val="1"/>
        <c:ser>
          <c:idx val="0"/>
          <c:order val="0"/>
          <c:dLbls>
            <c:dLbl>
              <c:idx val="0"/>
              <c:layout>
                <c:manualLayout>
                  <c:x val="0.22728572931869853"/>
                  <c:y val="-0.53787281301807532"/>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0-6920-4223-85E3-C24AB4EC7D9E}"/>
                </c:ext>
              </c:extLst>
            </c:dLbl>
            <c:dLbl>
              <c:idx val="1"/>
              <c:layout>
                <c:manualLayout>
                  <c:x val="-0.26921172912653785"/>
                  <c:y val="2.9418180611078659E-2"/>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1-6920-4223-85E3-C24AB4EC7D9E}"/>
                </c:ext>
              </c:extLst>
            </c:dLbl>
            <c:dLbl>
              <c:idx val="2"/>
              <c:layout>
                <c:manualLayout>
                  <c:x val="5.7043011982595641E-2"/>
                  <c:y val="-3.9176423724232121E-2"/>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2-6920-4223-85E3-C24AB4EC7D9E}"/>
                </c:ext>
              </c:extLst>
            </c:dLbl>
            <c:dLbl>
              <c:idx val="3"/>
              <c:layout>
                <c:manualLayout>
                  <c:x val="-0.44166411214867751"/>
                  <c:y val="0.22094031436486586"/>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3-6920-4223-85E3-C24AB4EC7D9E}"/>
                </c:ext>
              </c:extLst>
            </c:dLbl>
            <c:numFmt formatCode="0.00%" sourceLinked="0"/>
            <c:spPr>
              <a:noFill/>
              <a:ln>
                <a:noFill/>
              </a:ln>
              <a:effectLst/>
            </c:spPr>
            <c:txPr>
              <a:bodyPr/>
              <a:lstStyle/>
              <a:p>
                <a:pPr>
                  <a:defRPr lang="en-IN"/>
                </a:pPr>
                <a:endParaRPr lang="en-US"/>
              </a:p>
            </c:txPr>
            <c:dLblPos val="bestFit"/>
            <c:showLegendKey val="1"/>
            <c:showVal val="1"/>
            <c:showCatName val="1"/>
            <c:showSerName val="0"/>
            <c:showPercent val="0"/>
            <c:showBubbleSize val="0"/>
            <c:separator>
</c:separator>
            <c:showLeaderLines val="0"/>
            <c:extLst>
              <c:ext xmlns:c15="http://schemas.microsoft.com/office/drawing/2012/chart" uri="{CE6537A1-D6FC-4f65-9D91-7224C49458BB}"/>
            </c:extLst>
          </c:dLbls>
          <c:cat>
            <c:strRef>
              <c:f>'BANDHAN-USFOF'!$I$8:$I$10</c:f>
              <c:strCache>
                <c:ptCount val="3"/>
                <c:pt idx="0">
                  <c:v>International Mutual Fund Units</c:v>
                </c:pt>
                <c:pt idx="1">
                  <c:v>Net Current Asset</c:v>
                </c:pt>
                <c:pt idx="2">
                  <c:v>TRI Party Repo Total</c:v>
                </c:pt>
              </c:strCache>
            </c:strRef>
          </c:cat>
          <c:val>
            <c:numRef>
              <c:f>'BANDHAN-USFOF'!$J$8:$J$10</c:f>
              <c:numCache>
                <c:formatCode>0.00%</c:formatCode>
                <c:ptCount val="3"/>
                <c:pt idx="0">
                  <c:v>0.96999400000000002</c:v>
                </c:pt>
                <c:pt idx="1">
                  <c:v>2.0183E-2</c:v>
                </c:pt>
                <c:pt idx="2">
                  <c:v>9.8230000000000001E-3</c:v>
                </c:pt>
              </c:numCache>
            </c:numRef>
          </c:val>
          <c:extLst>
            <c:ext xmlns:c16="http://schemas.microsoft.com/office/drawing/2014/chart" uri="{C3380CC4-5D6E-409C-BE32-E72D297353CC}">
              <c16:uniqueId val="{00000004-6920-4223-85E3-C24AB4EC7D9E}"/>
            </c:ext>
          </c:extLst>
        </c:ser>
        <c:dLbls>
          <c:showLegendKey val="0"/>
          <c:showVal val="1"/>
          <c:showCatName val="0"/>
          <c:showSerName val="0"/>
          <c:showPercent val="0"/>
          <c:showBubbleSize val="0"/>
          <c:showLeaderLines val="0"/>
        </c:dLbls>
      </c:pie3DChart>
      <c:spPr>
        <a:noFill/>
        <a:ln w="25400">
          <a:noFill/>
        </a:ln>
      </c:spPr>
    </c:plotArea>
    <c:plotVisOnly val="1"/>
    <c:dispBlanksAs val="zero"/>
    <c:showDLblsOverMax val="0"/>
  </c:chart>
  <c:txPr>
    <a:bodyPr/>
    <a:lstStyle/>
    <a:p>
      <a:pPr>
        <a:defRPr sz="1200" b="1"/>
      </a:pPr>
      <a:endParaRPr lang="en-US"/>
    </a:p>
  </c:txPr>
  <c:printSettings>
    <c:headerFooter/>
    <c:pageMargins b="0.75000000000001465" l="0.70000000000000062" r="0.70000000000000062" t="0.75000000000001465" header="0.30000000000000032" footer="0.30000000000000032"/>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1.3392857142857319E-2"/>
          <c:y val="1.4492753623188409E-2"/>
          <c:w val="0.96726190476189999"/>
          <c:h val="0.70217048955837669"/>
        </c:manualLayout>
      </c:layout>
      <c:barChart>
        <c:barDir val="col"/>
        <c:grouping val="clustered"/>
        <c:varyColors val="0"/>
        <c:ser>
          <c:idx val="0"/>
          <c:order val="0"/>
          <c:tx>
            <c:strRef>
              <c:f>'BANDHAN CEF'!$X$7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3B8B-4DF9-9355-FE04E91EDE56}"/>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B8B-4DF9-9355-FE04E91EDE56}"/>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3B8B-4DF9-9355-FE04E91EDE56}"/>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B8B-4DF9-9355-FE04E91EDE56}"/>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3B8B-4DF9-9355-FE04E91EDE56}"/>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3B8B-4DF9-9355-FE04E91EDE56}"/>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3B8B-4DF9-9355-FE04E91EDE56}"/>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3B8B-4DF9-9355-FE04E91EDE56}"/>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3B8B-4DF9-9355-FE04E91EDE56}"/>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3B8B-4DF9-9355-FE04E91EDE56}"/>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3B8B-4DF9-9355-FE04E91EDE56}"/>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3B8B-4DF9-9355-FE04E91EDE56}"/>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3B8B-4DF9-9355-FE04E91EDE56}"/>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3B8B-4DF9-9355-FE04E91EDE56}"/>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3B8B-4DF9-9355-FE04E91EDE56}"/>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3B8B-4DF9-9355-FE04E91EDE56}"/>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3B8B-4DF9-9355-FE04E91EDE56}"/>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CEF'!$W$8:$W$46</c:f>
              <c:strCache>
                <c:ptCount val="38"/>
                <c:pt idx="0">
                  <c:v>Banks</c:v>
                </c:pt>
                <c:pt idx="1">
                  <c:v>Pharmaceuticals &amp; Biotechnology</c:v>
                </c:pt>
                <c:pt idx="2">
                  <c:v>Finance</c:v>
                </c:pt>
                <c:pt idx="3">
                  <c:v>Retailing</c:v>
                </c:pt>
                <c:pt idx="4">
                  <c:v>IT - Software</c:v>
                </c:pt>
                <c:pt idx="5">
                  <c:v>Financial Technology (Fintech)</c:v>
                </c:pt>
                <c:pt idx="6">
                  <c:v>Auto Components</c:v>
                </c:pt>
                <c:pt idx="7">
                  <c:v>Realty</c:v>
                </c:pt>
                <c:pt idx="8">
                  <c:v>Transport Services</c:v>
                </c:pt>
                <c:pt idx="9">
                  <c:v>Telecom - Services</c:v>
                </c:pt>
                <c:pt idx="10">
                  <c:v>Healthcare Services</c:v>
                </c:pt>
                <c:pt idx="11">
                  <c:v>Power</c:v>
                </c:pt>
                <c:pt idx="12">
                  <c:v>Beverages</c:v>
                </c:pt>
                <c:pt idx="13">
                  <c:v>Consumer Durables</c:v>
                </c:pt>
                <c:pt idx="14">
                  <c:v>Capital Markets</c:v>
                </c:pt>
                <c:pt idx="15">
                  <c:v>Diversified FMCG</c:v>
                </c:pt>
                <c:pt idx="16">
                  <c:v>Insurance</c:v>
                </c:pt>
                <c:pt idx="17">
                  <c:v>Industrial Products</c:v>
                </c:pt>
                <c:pt idx="18">
                  <c:v>Diversified</c:v>
                </c:pt>
                <c:pt idx="19">
                  <c:v>Construction</c:v>
                </c:pt>
                <c:pt idx="20">
                  <c:v>Minerals &amp; Mining</c:v>
                </c:pt>
                <c:pt idx="21">
                  <c:v>Petroleum Products</c:v>
                </c:pt>
                <c:pt idx="22">
                  <c:v>Fertilizers &amp; Agrochemicals</c:v>
                </c:pt>
                <c:pt idx="23">
                  <c:v>Textiles &amp; Apparels</c:v>
                </c:pt>
                <c:pt idx="24">
                  <c:v>Non - Ferrous Metals</c:v>
                </c:pt>
                <c:pt idx="25">
                  <c:v>Aerospace &amp; Defense</c:v>
                </c:pt>
                <c:pt idx="26">
                  <c:v>Automobiles</c:v>
                </c:pt>
                <c:pt idx="27">
                  <c:v>Chemicals &amp; Petrochemicals</c:v>
                </c:pt>
                <c:pt idx="28">
                  <c:v>Consumable Fuels</c:v>
                </c:pt>
                <c:pt idx="29">
                  <c:v>Ferrous Metals</c:v>
                </c:pt>
                <c:pt idx="30">
                  <c:v>Electrical Equipment</c:v>
                </c:pt>
                <c:pt idx="31">
                  <c:v>Entertainment</c:v>
                </c:pt>
                <c:pt idx="32">
                  <c:v>Oil</c:v>
                </c:pt>
                <c:pt idx="33">
                  <c:v>Agricultural Food &amp; other Products</c:v>
                </c:pt>
                <c:pt idx="34">
                  <c:v>Cement &amp; Cement Products</c:v>
                </c:pt>
                <c:pt idx="35">
                  <c:v>IT - Services</c:v>
                </c:pt>
                <c:pt idx="36">
                  <c:v>Transport Infrastructure</c:v>
                </c:pt>
                <c:pt idx="37">
                  <c:v>Commercial Services &amp; Supplies</c:v>
                </c:pt>
              </c:strCache>
            </c:strRef>
          </c:cat>
          <c:val>
            <c:numRef>
              <c:f>'BANDHAN CEF'!$X$8:$X$46</c:f>
              <c:numCache>
                <c:formatCode>0.00%</c:formatCode>
                <c:ptCount val="39"/>
                <c:pt idx="0">
                  <c:v>0.16542899999999999</c:v>
                </c:pt>
                <c:pt idx="1">
                  <c:v>6.9338999999999998E-2</c:v>
                </c:pt>
                <c:pt idx="2">
                  <c:v>6.2926999999999997E-2</c:v>
                </c:pt>
                <c:pt idx="3">
                  <c:v>5.5625000000000008E-2</c:v>
                </c:pt>
                <c:pt idx="4">
                  <c:v>4.8196000000000003E-2</c:v>
                </c:pt>
                <c:pt idx="5">
                  <c:v>3.7103000000000004E-2</c:v>
                </c:pt>
                <c:pt idx="6">
                  <c:v>3.6389999999999999E-2</c:v>
                </c:pt>
                <c:pt idx="7">
                  <c:v>3.5692999999999996E-2</c:v>
                </c:pt>
                <c:pt idx="8">
                  <c:v>3.3967999999999998E-2</c:v>
                </c:pt>
                <c:pt idx="9">
                  <c:v>3.2835999999999997E-2</c:v>
                </c:pt>
                <c:pt idx="10">
                  <c:v>2.6321999999999998E-2</c:v>
                </c:pt>
                <c:pt idx="11">
                  <c:v>2.6193999999999999E-2</c:v>
                </c:pt>
                <c:pt idx="12">
                  <c:v>2.5878999999999999E-2</c:v>
                </c:pt>
                <c:pt idx="13">
                  <c:v>2.3843E-2</c:v>
                </c:pt>
                <c:pt idx="14">
                  <c:v>2.3462999999999998E-2</c:v>
                </c:pt>
                <c:pt idx="15">
                  <c:v>2.3387000000000002E-2</c:v>
                </c:pt>
                <c:pt idx="16">
                  <c:v>2.1651E-2</c:v>
                </c:pt>
                <c:pt idx="17">
                  <c:v>1.6532999999999999E-2</c:v>
                </c:pt>
                <c:pt idx="18">
                  <c:v>1.6507999999999998E-2</c:v>
                </c:pt>
                <c:pt idx="19">
                  <c:v>1.5443999999999999E-2</c:v>
                </c:pt>
                <c:pt idx="20">
                  <c:v>1.3749000000000001E-2</c:v>
                </c:pt>
                <c:pt idx="21">
                  <c:v>1.2586E-2</c:v>
                </c:pt>
                <c:pt idx="22">
                  <c:v>1.0892000000000001E-2</c:v>
                </c:pt>
                <c:pt idx="23">
                  <c:v>1.0376E-2</c:v>
                </c:pt>
                <c:pt idx="24">
                  <c:v>9.666000000000001E-3</c:v>
                </c:pt>
                <c:pt idx="25">
                  <c:v>9.4400000000000005E-3</c:v>
                </c:pt>
                <c:pt idx="26">
                  <c:v>8.9359999999999995E-3</c:v>
                </c:pt>
                <c:pt idx="27">
                  <c:v>8.4349999999999998E-3</c:v>
                </c:pt>
                <c:pt idx="28">
                  <c:v>8.2170000000000003E-3</c:v>
                </c:pt>
                <c:pt idx="29">
                  <c:v>8.2089999999999993E-3</c:v>
                </c:pt>
                <c:pt idx="30">
                  <c:v>7.3559999999999997E-3</c:v>
                </c:pt>
                <c:pt idx="31">
                  <c:v>7.0330000000000002E-3</c:v>
                </c:pt>
                <c:pt idx="32">
                  <c:v>7.0210000000000003E-3</c:v>
                </c:pt>
                <c:pt idx="33">
                  <c:v>6.1219999999999998E-3</c:v>
                </c:pt>
                <c:pt idx="34">
                  <c:v>4.7629999999999999E-3</c:v>
                </c:pt>
                <c:pt idx="35">
                  <c:v>3.1589999999999999E-3</c:v>
                </c:pt>
                <c:pt idx="36">
                  <c:v>3.0730000000000002E-3</c:v>
                </c:pt>
                <c:pt idx="37">
                  <c:v>6.4899999999999995E-4</c:v>
                </c:pt>
              </c:numCache>
            </c:numRef>
          </c:val>
          <c:extLst>
            <c:ext xmlns:c16="http://schemas.microsoft.com/office/drawing/2014/chart" uri="{C3380CC4-5D6E-409C-BE32-E72D297353CC}">
              <c16:uniqueId val="{00000011-3B8B-4DF9-9355-FE04E91EDE56}"/>
            </c:ext>
          </c:extLst>
        </c:ser>
        <c:dLbls>
          <c:showLegendKey val="0"/>
          <c:showVal val="0"/>
          <c:showCatName val="0"/>
          <c:showSerName val="0"/>
          <c:showPercent val="0"/>
          <c:showBubbleSize val="0"/>
        </c:dLbls>
        <c:gapWidth val="150"/>
        <c:axId val="151665152"/>
        <c:axId val="5535936"/>
      </c:barChart>
      <c:catAx>
        <c:axId val="151665152"/>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5535936"/>
        <c:crosses val="autoZero"/>
        <c:auto val="1"/>
        <c:lblAlgn val="ctr"/>
        <c:lblOffset val="100"/>
        <c:tickLblSkip val="1"/>
        <c:noMultiLvlLbl val="0"/>
      </c:catAx>
      <c:valAx>
        <c:axId val="5535936"/>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51665152"/>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barChart>
        <c:barDir val="col"/>
        <c:grouping val="clustered"/>
        <c:varyColors val="0"/>
        <c:ser>
          <c:idx val="0"/>
          <c:order val="0"/>
          <c:tx>
            <c:strRef>
              <c:f>'BANDHAN LCF'!$X$7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26BF-43C0-9EF0-9EFD54CFC3EB}"/>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6BF-43C0-9EF0-9EFD54CFC3EB}"/>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26BF-43C0-9EF0-9EFD54CFC3EB}"/>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6BF-43C0-9EF0-9EFD54CFC3EB}"/>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26BF-43C0-9EF0-9EFD54CFC3EB}"/>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26BF-43C0-9EF0-9EFD54CFC3EB}"/>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26BF-43C0-9EF0-9EFD54CFC3EB}"/>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26BF-43C0-9EF0-9EFD54CFC3EB}"/>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26BF-43C0-9EF0-9EFD54CFC3EB}"/>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26BF-43C0-9EF0-9EFD54CFC3EB}"/>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26BF-43C0-9EF0-9EFD54CFC3EB}"/>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26BF-43C0-9EF0-9EFD54CFC3EB}"/>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26BF-43C0-9EF0-9EFD54CFC3EB}"/>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26BF-43C0-9EF0-9EFD54CFC3EB}"/>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LCF'!$W$8:$W$37</c:f>
              <c:strCache>
                <c:ptCount val="30"/>
                <c:pt idx="0">
                  <c:v>Banks</c:v>
                </c:pt>
                <c:pt idx="1">
                  <c:v>IT - Software</c:v>
                </c:pt>
                <c:pt idx="2">
                  <c:v>Petroleum Products</c:v>
                </c:pt>
                <c:pt idx="3">
                  <c:v>Pharmaceuticals &amp; Biotechnology</c:v>
                </c:pt>
                <c:pt idx="4">
                  <c:v>Power</c:v>
                </c:pt>
                <c:pt idx="5">
                  <c:v>Finance</c:v>
                </c:pt>
                <c:pt idx="6">
                  <c:v>Retailing</c:v>
                </c:pt>
                <c:pt idx="7">
                  <c:v>Automobiles</c:v>
                </c:pt>
                <c:pt idx="8">
                  <c:v>Telecom - Services</c:v>
                </c:pt>
                <c:pt idx="9">
                  <c:v>Beverages</c:v>
                </c:pt>
                <c:pt idx="10">
                  <c:v>Diversified FMCG</c:v>
                </c:pt>
                <c:pt idx="11">
                  <c:v>Cement &amp; Cement Products</c:v>
                </c:pt>
                <c:pt idx="12">
                  <c:v>Insurance</c:v>
                </c:pt>
                <c:pt idx="13">
                  <c:v>Financial Technology (Fintech)</c:v>
                </c:pt>
                <c:pt idx="14">
                  <c:v>Electrical Equipment</c:v>
                </c:pt>
                <c:pt idx="15">
                  <c:v>Construction</c:v>
                </c:pt>
                <c:pt idx="16">
                  <c:v>Realty</c:v>
                </c:pt>
                <c:pt idx="17">
                  <c:v>Consumer Durables</c:v>
                </c:pt>
                <c:pt idx="18">
                  <c:v>Ferrous Metals</c:v>
                </c:pt>
                <c:pt idx="19">
                  <c:v>Transport Services</c:v>
                </c:pt>
                <c:pt idx="20">
                  <c:v>Leisure Services</c:v>
                </c:pt>
                <c:pt idx="21">
                  <c:v>Auto Components</c:v>
                </c:pt>
                <c:pt idx="22">
                  <c:v>Healthcare Services</c:v>
                </c:pt>
                <c:pt idx="23">
                  <c:v>Diversified Metals</c:v>
                </c:pt>
                <c:pt idx="24">
                  <c:v>Capital Markets</c:v>
                </c:pt>
                <c:pt idx="25">
                  <c:v>Chemicals &amp; Petrochemicals</c:v>
                </c:pt>
                <c:pt idx="26">
                  <c:v>Aerospace &amp; Defense</c:v>
                </c:pt>
                <c:pt idx="27">
                  <c:v>Oil</c:v>
                </c:pt>
                <c:pt idx="28">
                  <c:v>Engineering Services</c:v>
                </c:pt>
                <c:pt idx="29">
                  <c:v>IT - Services</c:v>
                </c:pt>
              </c:strCache>
            </c:strRef>
          </c:cat>
          <c:val>
            <c:numRef>
              <c:f>'BANDHAN LCF'!$X$8:$X$46</c:f>
              <c:numCache>
                <c:formatCode>0.00%</c:formatCode>
                <c:ptCount val="30"/>
                <c:pt idx="0">
                  <c:v>0.24749100000000002</c:v>
                </c:pt>
                <c:pt idx="1">
                  <c:v>8.5626999999999995E-2</c:v>
                </c:pt>
                <c:pt idx="2">
                  <c:v>8.0995999999999999E-2</c:v>
                </c:pt>
                <c:pt idx="3">
                  <c:v>5.9931999999999999E-2</c:v>
                </c:pt>
                <c:pt idx="4">
                  <c:v>4.7700999999999993E-2</c:v>
                </c:pt>
                <c:pt idx="5">
                  <c:v>4.7225000000000003E-2</c:v>
                </c:pt>
                <c:pt idx="6">
                  <c:v>4.5636999999999997E-2</c:v>
                </c:pt>
                <c:pt idx="7">
                  <c:v>4.2072999999999999E-2</c:v>
                </c:pt>
                <c:pt idx="8">
                  <c:v>3.3797000000000001E-2</c:v>
                </c:pt>
                <c:pt idx="9">
                  <c:v>3.3127999999999998E-2</c:v>
                </c:pt>
                <c:pt idx="10">
                  <c:v>3.1981999999999997E-2</c:v>
                </c:pt>
                <c:pt idx="11">
                  <c:v>2.9684000000000002E-2</c:v>
                </c:pt>
                <c:pt idx="12">
                  <c:v>2.3875999999999998E-2</c:v>
                </c:pt>
                <c:pt idx="13">
                  <c:v>2.1547E-2</c:v>
                </c:pt>
                <c:pt idx="14">
                  <c:v>2.0223999999999999E-2</c:v>
                </c:pt>
                <c:pt idx="15">
                  <c:v>1.9716000000000001E-2</c:v>
                </c:pt>
                <c:pt idx="16">
                  <c:v>1.9155999999999999E-2</c:v>
                </c:pt>
                <c:pt idx="17">
                  <c:v>1.6916E-2</c:v>
                </c:pt>
                <c:pt idx="18">
                  <c:v>1.2586E-2</c:v>
                </c:pt>
                <c:pt idx="19">
                  <c:v>1.2106E-2</c:v>
                </c:pt>
                <c:pt idx="20">
                  <c:v>1.1195999999999999E-2</c:v>
                </c:pt>
                <c:pt idx="21">
                  <c:v>1.0943E-2</c:v>
                </c:pt>
                <c:pt idx="22">
                  <c:v>9.1389999999999996E-3</c:v>
                </c:pt>
                <c:pt idx="23">
                  <c:v>8.1679999999999999E-3</c:v>
                </c:pt>
                <c:pt idx="24">
                  <c:v>7.2350000000000001E-3</c:v>
                </c:pt>
                <c:pt idx="25">
                  <c:v>5.3340000000000002E-3</c:v>
                </c:pt>
                <c:pt idx="26">
                  <c:v>3.107E-3</c:v>
                </c:pt>
                <c:pt idx="27">
                  <c:v>1.9220000000000001E-3</c:v>
                </c:pt>
                <c:pt idx="28">
                  <c:v>1.237E-3</c:v>
                </c:pt>
                <c:pt idx="29">
                  <c:v>9.0600000000000001E-4</c:v>
                </c:pt>
              </c:numCache>
            </c:numRef>
          </c:val>
          <c:extLst>
            <c:ext xmlns:c16="http://schemas.microsoft.com/office/drawing/2014/chart" uri="{C3380CC4-5D6E-409C-BE32-E72D297353CC}">
              <c16:uniqueId val="{0000000E-26BF-43C0-9EF0-9EFD54CFC3EB}"/>
            </c:ext>
          </c:extLst>
        </c:ser>
        <c:dLbls>
          <c:showLegendKey val="0"/>
          <c:showVal val="0"/>
          <c:showCatName val="0"/>
          <c:showSerName val="0"/>
          <c:showPercent val="0"/>
          <c:showBubbleSize val="0"/>
        </c:dLbls>
        <c:gapWidth val="150"/>
        <c:axId val="154931200"/>
        <c:axId val="5537088"/>
      </c:barChart>
      <c:catAx>
        <c:axId val="154931200"/>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5537088"/>
        <c:crosses val="autoZero"/>
        <c:auto val="1"/>
        <c:lblAlgn val="ctr"/>
        <c:lblOffset val="100"/>
        <c:tickLblSkip val="1"/>
        <c:noMultiLvlLbl val="0"/>
      </c:catAx>
      <c:valAx>
        <c:axId val="5537088"/>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54931200"/>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2.3809523809523812E-2"/>
          <c:y val="1.6913319238900798E-2"/>
          <c:w val="0.96726190476189999"/>
          <c:h val="0.56936192172594868"/>
        </c:manualLayout>
      </c:layout>
      <c:barChart>
        <c:barDir val="col"/>
        <c:grouping val="clustered"/>
        <c:varyColors val="0"/>
        <c:ser>
          <c:idx val="0"/>
          <c:order val="0"/>
          <c:tx>
            <c:strRef>
              <c:f>'BANDHAN FEF'!$X$7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2BD1-4A17-94CA-06A0AED64B3E}"/>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BD1-4A17-94CA-06A0AED64B3E}"/>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2BD1-4A17-94CA-06A0AED64B3E}"/>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BD1-4A17-94CA-06A0AED64B3E}"/>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2BD1-4A17-94CA-06A0AED64B3E}"/>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2BD1-4A17-94CA-06A0AED64B3E}"/>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2BD1-4A17-94CA-06A0AED64B3E}"/>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2BD1-4A17-94CA-06A0AED64B3E}"/>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2BD1-4A17-94CA-06A0AED64B3E}"/>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2BD1-4A17-94CA-06A0AED64B3E}"/>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2BD1-4A17-94CA-06A0AED64B3E}"/>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FEF'!$W$8:$W$26</c:f>
              <c:strCache>
                <c:ptCount val="19"/>
                <c:pt idx="0">
                  <c:v>Banks</c:v>
                </c:pt>
                <c:pt idx="1">
                  <c:v>Realty</c:v>
                </c:pt>
                <c:pt idx="2">
                  <c:v>Finance</c:v>
                </c:pt>
                <c:pt idx="3">
                  <c:v>Pharmaceuticals &amp; Biotechnology</c:v>
                </c:pt>
                <c:pt idx="4">
                  <c:v>IT - Software</c:v>
                </c:pt>
                <c:pt idx="5">
                  <c:v>Financial Technology (Fintech)</c:v>
                </c:pt>
                <c:pt idx="6">
                  <c:v>Petroleum Products</c:v>
                </c:pt>
                <c:pt idx="7">
                  <c:v>Power</c:v>
                </c:pt>
                <c:pt idx="8">
                  <c:v>Telecom - Services</c:v>
                </c:pt>
                <c:pt idx="9">
                  <c:v>Retailing</c:v>
                </c:pt>
                <c:pt idx="10">
                  <c:v>Construction</c:v>
                </c:pt>
                <c:pt idx="11">
                  <c:v>Beverages</c:v>
                </c:pt>
                <c:pt idx="12">
                  <c:v>Diversified FMCG</c:v>
                </c:pt>
                <c:pt idx="13">
                  <c:v>Capital Markets</c:v>
                </c:pt>
                <c:pt idx="14">
                  <c:v>Diversified Metals</c:v>
                </c:pt>
                <c:pt idx="15">
                  <c:v>Automobiles</c:v>
                </c:pt>
                <c:pt idx="16">
                  <c:v>Engineering Services</c:v>
                </c:pt>
                <c:pt idx="17">
                  <c:v>Chemicals &amp; Petrochemicals</c:v>
                </c:pt>
                <c:pt idx="18">
                  <c:v>IT - Services</c:v>
                </c:pt>
              </c:strCache>
            </c:strRef>
          </c:cat>
          <c:val>
            <c:numRef>
              <c:f>'BANDHAN FEF'!$X$8:$X$26</c:f>
              <c:numCache>
                <c:formatCode>0.00%</c:formatCode>
                <c:ptCount val="19"/>
                <c:pt idx="0">
                  <c:v>0.15407299999999999</c:v>
                </c:pt>
                <c:pt idx="1">
                  <c:v>8.9210999999999999E-2</c:v>
                </c:pt>
                <c:pt idx="2">
                  <c:v>8.1934000000000007E-2</c:v>
                </c:pt>
                <c:pt idx="3">
                  <c:v>7.4914999999999995E-2</c:v>
                </c:pt>
                <c:pt idx="4">
                  <c:v>6.4158999999999994E-2</c:v>
                </c:pt>
                <c:pt idx="5">
                  <c:v>6.1963000000000004E-2</c:v>
                </c:pt>
                <c:pt idx="6">
                  <c:v>4.5148000000000001E-2</c:v>
                </c:pt>
                <c:pt idx="7">
                  <c:v>4.3812000000000004E-2</c:v>
                </c:pt>
                <c:pt idx="8">
                  <c:v>4.0164999999999999E-2</c:v>
                </c:pt>
                <c:pt idx="9">
                  <c:v>3.8117999999999999E-2</c:v>
                </c:pt>
                <c:pt idx="10">
                  <c:v>3.6206000000000002E-2</c:v>
                </c:pt>
                <c:pt idx="11">
                  <c:v>3.3557999999999998E-2</c:v>
                </c:pt>
                <c:pt idx="12">
                  <c:v>2.8965999999999999E-2</c:v>
                </c:pt>
                <c:pt idx="13">
                  <c:v>2.8185000000000002E-2</c:v>
                </c:pt>
                <c:pt idx="14">
                  <c:v>1.9011E-2</c:v>
                </c:pt>
                <c:pt idx="15">
                  <c:v>1.7073000000000001E-2</c:v>
                </c:pt>
                <c:pt idx="16">
                  <c:v>1.4368000000000001E-2</c:v>
                </c:pt>
                <c:pt idx="17">
                  <c:v>1.0815E-2</c:v>
                </c:pt>
                <c:pt idx="18">
                  <c:v>8.1080000000000006E-3</c:v>
                </c:pt>
              </c:numCache>
            </c:numRef>
          </c:val>
          <c:extLst>
            <c:ext xmlns:c16="http://schemas.microsoft.com/office/drawing/2014/chart" uri="{C3380CC4-5D6E-409C-BE32-E72D297353CC}">
              <c16:uniqueId val="{0000000B-2BD1-4A17-94CA-06A0AED64B3E}"/>
            </c:ext>
          </c:extLst>
        </c:ser>
        <c:dLbls>
          <c:showLegendKey val="0"/>
          <c:showVal val="0"/>
          <c:showCatName val="0"/>
          <c:showSerName val="0"/>
          <c:showPercent val="0"/>
          <c:showBubbleSize val="0"/>
        </c:dLbls>
        <c:gapWidth val="150"/>
        <c:axId val="154933248"/>
        <c:axId val="155010176"/>
      </c:barChart>
      <c:catAx>
        <c:axId val="154933248"/>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55010176"/>
        <c:crosses val="autoZero"/>
        <c:auto val="1"/>
        <c:lblAlgn val="ctr"/>
        <c:lblOffset val="100"/>
        <c:tickLblSkip val="1"/>
        <c:noMultiLvlLbl val="0"/>
      </c:catAx>
      <c:valAx>
        <c:axId val="155010176"/>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54933248"/>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barChart>
        <c:barDir val="col"/>
        <c:grouping val="clustered"/>
        <c:varyColors val="0"/>
        <c:ser>
          <c:idx val="0"/>
          <c:order val="0"/>
          <c:tx>
            <c:strRef>
              <c:f>'BANDHAN SVF'!$X$7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4959-4113-A828-380504E10B8A}"/>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959-4113-A828-380504E10B8A}"/>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4959-4113-A828-380504E10B8A}"/>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4959-4113-A828-380504E10B8A}"/>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4959-4113-A828-380504E10B8A}"/>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4959-4113-A828-380504E10B8A}"/>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4959-4113-A828-380504E10B8A}"/>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4959-4113-A828-380504E10B8A}"/>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4959-4113-A828-380504E10B8A}"/>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4959-4113-A828-380504E10B8A}"/>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4959-4113-A828-380504E10B8A}"/>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4959-4113-A828-380504E10B8A}"/>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4959-4113-A828-380504E10B8A}"/>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4959-4113-A828-380504E10B8A}"/>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4959-4113-A828-380504E10B8A}"/>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4959-4113-A828-380504E10B8A}"/>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4959-4113-A828-380504E10B8A}"/>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4959-4113-A828-380504E10B8A}"/>
                </c:ext>
              </c:extLst>
            </c:dLbl>
            <c:dLbl>
              <c:idx val="1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4959-4113-A828-380504E10B8A}"/>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SVF'!$W$8:$W$37</c:f>
              <c:strCache>
                <c:ptCount val="30"/>
                <c:pt idx="0">
                  <c:v>Banks</c:v>
                </c:pt>
                <c:pt idx="1">
                  <c:v>Petroleum Products</c:v>
                </c:pt>
                <c:pt idx="2">
                  <c:v>IT - Software</c:v>
                </c:pt>
                <c:pt idx="3">
                  <c:v>Pharmaceuticals &amp; Biotechnology</c:v>
                </c:pt>
                <c:pt idx="4">
                  <c:v>Insurance</c:v>
                </c:pt>
                <c:pt idx="5">
                  <c:v>Automobiles</c:v>
                </c:pt>
                <c:pt idx="6">
                  <c:v>Consumer Durables</c:v>
                </c:pt>
                <c:pt idx="7">
                  <c:v>Finance</c:v>
                </c:pt>
                <c:pt idx="8">
                  <c:v>Ferrous Metals</c:v>
                </c:pt>
                <c:pt idx="9">
                  <c:v>Construction</c:v>
                </c:pt>
                <c:pt idx="10">
                  <c:v>Auto Components</c:v>
                </c:pt>
                <c:pt idx="11">
                  <c:v>Diversified FMCG</c:v>
                </c:pt>
                <c:pt idx="12">
                  <c:v>Beverages</c:v>
                </c:pt>
                <c:pt idx="13">
                  <c:v>Food Products</c:v>
                </c:pt>
                <c:pt idx="14">
                  <c:v>Electrical Equipment</c:v>
                </c:pt>
                <c:pt idx="15">
                  <c:v>Realty</c:v>
                </c:pt>
                <c:pt idx="16">
                  <c:v>Retailing</c:v>
                </c:pt>
                <c:pt idx="17">
                  <c:v>Diversified Metals</c:v>
                </c:pt>
                <c:pt idx="18">
                  <c:v>Power</c:v>
                </c:pt>
                <c:pt idx="19">
                  <c:v>Personal Products</c:v>
                </c:pt>
                <c:pt idx="20">
                  <c:v>Oil</c:v>
                </c:pt>
                <c:pt idx="21">
                  <c:v>Cement &amp; Cement Products</c:v>
                </c:pt>
                <c:pt idx="22">
                  <c:v>Leisure Services</c:v>
                </c:pt>
                <c:pt idx="23">
                  <c:v>Transport Services</c:v>
                </c:pt>
                <c:pt idx="24">
                  <c:v>Fertilizers &amp; Agrochemicals</c:v>
                </c:pt>
                <c:pt idx="25">
                  <c:v>Minerals &amp; Mining</c:v>
                </c:pt>
                <c:pt idx="26">
                  <c:v>Commercial Services &amp; Supplies</c:v>
                </c:pt>
                <c:pt idx="27">
                  <c:v>Telecom - Equipment &amp; Accessories</c:v>
                </c:pt>
                <c:pt idx="28">
                  <c:v>Chemicals &amp; Petrochemicals</c:v>
                </c:pt>
                <c:pt idx="29">
                  <c:v>Miscellaneous</c:v>
                </c:pt>
              </c:strCache>
            </c:strRef>
          </c:cat>
          <c:val>
            <c:numRef>
              <c:f>'BANDHAN SVF'!$X$8:$X$37</c:f>
              <c:numCache>
                <c:formatCode>0.00%</c:formatCode>
                <c:ptCount val="30"/>
                <c:pt idx="0">
                  <c:v>0.22069</c:v>
                </c:pt>
                <c:pt idx="1">
                  <c:v>8.2691999999999988E-2</c:v>
                </c:pt>
                <c:pt idx="2">
                  <c:v>6.8414000000000003E-2</c:v>
                </c:pt>
                <c:pt idx="3">
                  <c:v>6.0770000000000005E-2</c:v>
                </c:pt>
                <c:pt idx="4">
                  <c:v>4.7342000000000002E-2</c:v>
                </c:pt>
                <c:pt idx="5">
                  <c:v>4.4506000000000004E-2</c:v>
                </c:pt>
                <c:pt idx="6">
                  <c:v>3.6859000000000003E-2</c:v>
                </c:pt>
                <c:pt idx="7">
                  <c:v>3.4209999999999997E-2</c:v>
                </c:pt>
                <c:pt idx="8">
                  <c:v>2.9130999999999997E-2</c:v>
                </c:pt>
                <c:pt idx="9">
                  <c:v>2.3865999999999998E-2</c:v>
                </c:pt>
                <c:pt idx="10">
                  <c:v>2.1958999999999999E-2</c:v>
                </c:pt>
                <c:pt idx="11">
                  <c:v>1.9604E-2</c:v>
                </c:pt>
                <c:pt idx="12">
                  <c:v>1.9545E-2</c:v>
                </c:pt>
                <c:pt idx="13">
                  <c:v>1.9335000000000001E-2</c:v>
                </c:pt>
                <c:pt idx="14">
                  <c:v>1.9238999999999999E-2</c:v>
                </c:pt>
                <c:pt idx="15">
                  <c:v>1.8265E-2</c:v>
                </c:pt>
                <c:pt idx="16">
                  <c:v>1.6709000000000002E-2</c:v>
                </c:pt>
                <c:pt idx="17">
                  <c:v>1.5011E-2</c:v>
                </c:pt>
                <c:pt idx="18">
                  <c:v>1.451E-2</c:v>
                </c:pt>
                <c:pt idx="19">
                  <c:v>1.2895999999999999E-2</c:v>
                </c:pt>
                <c:pt idx="20">
                  <c:v>1.2505E-2</c:v>
                </c:pt>
                <c:pt idx="21">
                  <c:v>1.2466E-2</c:v>
                </c:pt>
                <c:pt idx="22">
                  <c:v>9.4750000000000008E-3</c:v>
                </c:pt>
                <c:pt idx="23">
                  <c:v>8.9119999999999998E-3</c:v>
                </c:pt>
                <c:pt idx="24">
                  <c:v>7.7670000000000005E-3</c:v>
                </c:pt>
                <c:pt idx="25">
                  <c:v>4.9719999999999999E-3</c:v>
                </c:pt>
                <c:pt idx="26">
                  <c:v>4.62E-3</c:v>
                </c:pt>
                <c:pt idx="27">
                  <c:v>3.9579999999999997E-3</c:v>
                </c:pt>
                <c:pt idx="28">
                  <c:v>3.4659999999999999E-3</c:v>
                </c:pt>
                <c:pt idx="29">
                  <c:v>1.64E-3</c:v>
                </c:pt>
              </c:numCache>
            </c:numRef>
          </c:val>
          <c:extLst>
            <c:ext xmlns:c16="http://schemas.microsoft.com/office/drawing/2014/chart" uri="{C3380CC4-5D6E-409C-BE32-E72D297353CC}">
              <c16:uniqueId val="{00000013-4959-4113-A828-380504E10B8A}"/>
            </c:ext>
          </c:extLst>
        </c:ser>
        <c:ser>
          <c:idx val="1"/>
          <c:order val="1"/>
          <c:tx>
            <c:strRef>
              <c:f>'BANDHAN FEF'!$C$4</c:f>
              <c:strCache>
                <c:ptCount val="1"/>
                <c:pt idx="0">
                  <c:v>Portfolio as on - (30th April 2025)</c:v>
                </c:pt>
              </c:strCache>
            </c:strRef>
          </c:tx>
          <c:invertIfNegative val="0"/>
          <c:cat>
            <c:strRef>
              <c:f>'BANDHAN SVF'!$W$8:$W$37</c:f>
              <c:strCache>
                <c:ptCount val="30"/>
                <c:pt idx="0">
                  <c:v>Banks</c:v>
                </c:pt>
                <c:pt idx="1">
                  <c:v>Petroleum Products</c:v>
                </c:pt>
                <c:pt idx="2">
                  <c:v>IT - Software</c:v>
                </c:pt>
                <c:pt idx="3">
                  <c:v>Pharmaceuticals &amp; Biotechnology</c:v>
                </c:pt>
                <c:pt idx="4">
                  <c:v>Insurance</c:v>
                </c:pt>
                <c:pt idx="5">
                  <c:v>Automobiles</c:v>
                </c:pt>
                <c:pt idx="6">
                  <c:v>Consumer Durables</c:v>
                </c:pt>
                <c:pt idx="7">
                  <c:v>Finance</c:v>
                </c:pt>
                <c:pt idx="8">
                  <c:v>Ferrous Metals</c:v>
                </c:pt>
                <c:pt idx="9">
                  <c:v>Construction</c:v>
                </c:pt>
                <c:pt idx="10">
                  <c:v>Auto Components</c:v>
                </c:pt>
                <c:pt idx="11">
                  <c:v>Diversified FMCG</c:v>
                </c:pt>
                <c:pt idx="12">
                  <c:v>Beverages</c:v>
                </c:pt>
                <c:pt idx="13">
                  <c:v>Food Products</c:v>
                </c:pt>
                <c:pt idx="14">
                  <c:v>Electrical Equipment</c:v>
                </c:pt>
                <c:pt idx="15">
                  <c:v>Realty</c:v>
                </c:pt>
                <c:pt idx="16">
                  <c:v>Retailing</c:v>
                </c:pt>
                <c:pt idx="17">
                  <c:v>Diversified Metals</c:v>
                </c:pt>
                <c:pt idx="18">
                  <c:v>Power</c:v>
                </c:pt>
                <c:pt idx="19">
                  <c:v>Personal Products</c:v>
                </c:pt>
                <c:pt idx="20">
                  <c:v>Oil</c:v>
                </c:pt>
                <c:pt idx="21">
                  <c:v>Cement &amp; Cement Products</c:v>
                </c:pt>
                <c:pt idx="22">
                  <c:v>Leisure Services</c:v>
                </c:pt>
                <c:pt idx="23">
                  <c:v>Transport Services</c:v>
                </c:pt>
                <c:pt idx="24">
                  <c:v>Fertilizers &amp; Agrochemicals</c:v>
                </c:pt>
                <c:pt idx="25">
                  <c:v>Minerals &amp; Mining</c:v>
                </c:pt>
                <c:pt idx="26">
                  <c:v>Commercial Services &amp; Supplies</c:v>
                </c:pt>
                <c:pt idx="27">
                  <c:v>Telecom - Equipment &amp; Accessories</c:v>
                </c:pt>
                <c:pt idx="28">
                  <c:v>Chemicals &amp; Petrochemicals</c:v>
                </c:pt>
                <c:pt idx="29">
                  <c:v>Miscellaneous</c:v>
                </c:pt>
              </c:strCache>
            </c:strRef>
          </c:cat>
          <c:val>
            <c:numRef>
              <c:f>'BANDHAN FEF'!$C$5</c:f>
              <c:numCache>
                <c:formatCode>General</c:formatCode>
                <c:ptCount val="1"/>
                <c:pt idx="0">
                  <c:v>0</c:v>
                </c:pt>
              </c:numCache>
            </c:numRef>
          </c:val>
          <c:extLst>
            <c:ext xmlns:c16="http://schemas.microsoft.com/office/drawing/2014/chart" uri="{C3380CC4-5D6E-409C-BE32-E72D297353CC}">
              <c16:uniqueId val="{00000000-E49D-4E23-9D6F-797DB3FED60B}"/>
            </c:ext>
          </c:extLst>
        </c:ser>
        <c:dLbls>
          <c:showLegendKey val="0"/>
          <c:showVal val="0"/>
          <c:showCatName val="0"/>
          <c:showSerName val="0"/>
          <c:showPercent val="0"/>
          <c:showBubbleSize val="0"/>
        </c:dLbls>
        <c:gapWidth val="150"/>
        <c:axId val="100800512"/>
        <c:axId val="155012480"/>
      </c:barChart>
      <c:catAx>
        <c:axId val="100800512"/>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55012480"/>
        <c:crosses val="autoZero"/>
        <c:auto val="1"/>
        <c:lblAlgn val="ctr"/>
        <c:lblOffset val="100"/>
        <c:tickLblSkip val="1"/>
        <c:noMultiLvlLbl val="0"/>
      </c:catAx>
      <c:valAx>
        <c:axId val="155012480"/>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00800512"/>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barChart>
        <c:barDir val="col"/>
        <c:grouping val="clustered"/>
        <c:varyColors val="0"/>
        <c:ser>
          <c:idx val="0"/>
          <c:order val="0"/>
          <c:tx>
            <c:strRef>
              <c:f>'BANDHAN SVF'!$X$7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6348-43F2-95EE-55052BB0B216}"/>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6348-43F2-95EE-55052BB0B216}"/>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6348-43F2-95EE-55052BB0B216}"/>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6348-43F2-95EE-55052BB0B216}"/>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6348-43F2-95EE-55052BB0B216}"/>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6348-43F2-95EE-55052BB0B216}"/>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6348-43F2-95EE-55052BB0B216}"/>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6348-43F2-95EE-55052BB0B216}"/>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6348-43F2-95EE-55052BB0B216}"/>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6348-43F2-95EE-55052BB0B216}"/>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6348-43F2-95EE-55052BB0B216}"/>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6348-43F2-95EE-55052BB0B216}"/>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6348-43F2-95EE-55052BB0B216}"/>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6348-43F2-95EE-55052BB0B216}"/>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6348-43F2-95EE-55052BB0B216}"/>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6348-43F2-95EE-55052BB0B216}"/>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6348-43F2-95EE-55052BB0B216}"/>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6348-43F2-95EE-55052BB0B216}"/>
                </c:ext>
              </c:extLst>
            </c:dLbl>
            <c:dLbl>
              <c:idx val="1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6348-43F2-95EE-55052BB0B216}"/>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SVF'!$W$8:$W$35</c:f>
              <c:strCache>
                <c:ptCount val="28"/>
                <c:pt idx="0">
                  <c:v>Banks</c:v>
                </c:pt>
                <c:pt idx="1">
                  <c:v>Petroleum Products</c:v>
                </c:pt>
                <c:pt idx="2">
                  <c:v>IT - Software</c:v>
                </c:pt>
                <c:pt idx="3">
                  <c:v>Pharmaceuticals &amp; Biotechnology</c:v>
                </c:pt>
                <c:pt idx="4">
                  <c:v>Insurance</c:v>
                </c:pt>
                <c:pt idx="5">
                  <c:v>Automobiles</c:v>
                </c:pt>
                <c:pt idx="6">
                  <c:v>Consumer Durables</c:v>
                </c:pt>
                <c:pt idx="7">
                  <c:v>Finance</c:v>
                </c:pt>
                <c:pt idx="8">
                  <c:v>Ferrous Metals</c:v>
                </c:pt>
                <c:pt idx="9">
                  <c:v>Construction</c:v>
                </c:pt>
                <c:pt idx="10">
                  <c:v>Auto Components</c:v>
                </c:pt>
                <c:pt idx="11">
                  <c:v>Diversified FMCG</c:v>
                </c:pt>
                <c:pt idx="12">
                  <c:v>Beverages</c:v>
                </c:pt>
                <c:pt idx="13">
                  <c:v>Food Products</c:v>
                </c:pt>
                <c:pt idx="14">
                  <c:v>Electrical Equipment</c:v>
                </c:pt>
                <c:pt idx="15">
                  <c:v>Realty</c:v>
                </c:pt>
                <c:pt idx="16">
                  <c:v>Retailing</c:v>
                </c:pt>
                <c:pt idx="17">
                  <c:v>Diversified Metals</c:v>
                </c:pt>
                <c:pt idx="18">
                  <c:v>Power</c:v>
                </c:pt>
                <c:pt idx="19">
                  <c:v>Personal Products</c:v>
                </c:pt>
                <c:pt idx="20">
                  <c:v>Oil</c:v>
                </c:pt>
                <c:pt idx="21">
                  <c:v>Cement &amp; Cement Products</c:v>
                </c:pt>
                <c:pt idx="22">
                  <c:v>Leisure Services</c:v>
                </c:pt>
                <c:pt idx="23">
                  <c:v>Transport Services</c:v>
                </c:pt>
                <c:pt idx="24">
                  <c:v>Fertilizers &amp; Agrochemicals</c:v>
                </c:pt>
                <c:pt idx="25">
                  <c:v>Minerals &amp; Mining</c:v>
                </c:pt>
                <c:pt idx="26">
                  <c:v>Commercial Services &amp; Supplies</c:v>
                </c:pt>
                <c:pt idx="27">
                  <c:v>Telecom - Equipment &amp; Accessories</c:v>
                </c:pt>
              </c:strCache>
            </c:strRef>
          </c:cat>
          <c:val>
            <c:numRef>
              <c:f>'BANDHAN SVF'!$X$8:$X$35</c:f>
              <c:numCache>
                <c:formatCode>0.00%</c:formatCode>
                <c:ptCount val="28"/>
                <c:pt idx="0">
                  <c:v>0.22069</c:v>
                </c:pt>
                <c:pt idx="1">
                  <c:v>8.2691999999999988E-2</c:v>
                </c:pt>
                <c:pt idx="2">
                  <c:v>6.8414000000000003E-2</c:v>
                </c:pt>
                <c:pt idx="3">
                  <c:v>6.0770000000000005E-2</c:v>
                </c:pt>
                <c:pt idx="4">
                  <c:v>4.7342000000000002E-2</c:v>
                </c:pt>
                <c:pt idx="5">
                  <c:v>4.4506000000000004E-2</c:v>
                </c:pt>
                <c:pt idx="6">
                  <c:v>3.6859000000000003E-2</c:v>
                </c:pt>
                <c:pt idx="7">
                  <c:v>3.4209999999999997E-2</c:v>
                </c:pt>
                <c:pt idx="8">
                  <c:v>2.9130999999999997E-2</c:v>
                </c:pt>
                <c:pt idx="9">
                  <c:v>2.3865999999999998E-2</c:v>
                </c:pt>
                <c:pt idx="10">
                  <c:v>2.1958999999999999E-2</c:v>
                </c:pt>
                <c:pt idx="11">
                  <c:v>1.9604E-2</c:v>
                </c:pt>
                <c:pt idx="12">
                  <c:v>1.9545E-2</c:v>
                </c:pt>
                <c:pt idx="13">
                  <c:v>1.9335000000000001E-2</c:v>
                </c:pt>
                <c:pt idx="14">
                  <c:v>1.9238999999999999E-2</c:v>
                </c:pt>
                <c:pt idx="15">
                  <c:v>1.8265E-2</c:v>
                </c:pt>
                <c:pt idx="16">
                  <c:v>1.6709000000000002E-2</c:v>
                </c:pt>
                <c:pt idx="17">
                  <c:v>1.5011E-2</c:v>
                </c:pt>
                <c:pt idx="18">
                  <c:v>1.451E-2</c:v>
                </c:pt>
                <c:pt idx="19">
                  <c:v>1.2895999999999999E-2</c:v>
                </c:pt>
                <c:pt idx="20">
                  <c:v>1.2505E-2</c:v>
                </c:pt>
                <c:pt idx="21">
                  <c:v>1.2466E-2</c:v>
                </c:pt>
                <c:pt idx="22">
                  <c:v>9.4750000000000008E-3</c:v>
                </c:pt>
                <c:pt idx="23">
                  <c:v>8.9119999999999998E-3</c:v>
                </c:pt>
                <c:pt idx="24">
                  <c:v>7.7670000000000005E-3</c:v>
                </c:pt>
                <c:pt idx="25">
                  <c:v>4.9719999999999999E-3</c:v>
                </c:pt>
                <c:pt idx="26">
                  <c:v>4.62E-3</c:v>
                </c:pt>
                <c:pt idx="27">
                  <c:v>3.9579999999999997E-3</c:v>
                </c:pt>
              </c:numCache>
            </c:numRef>
          </c:val>
          <c:extLst>
            <c:ext xmlns:c16="http://schemas.microsoft.com/office/drawing/2014/chart" uri="{C3380CC4-5D6E-409C-BE32-E72D297353CC}">
              <c16:uniqueId val="{00000013-6348-43F2-95EE-55052BB0B216}"/>
            </c:ext>
          </c:extLst>
        </c:ser>
        <c:dLbls>
          <c:showLegendKey val="0"/>
          <c:showVal val="0"/>
          <c:showCatName val="0"/>
          <c:showSerName val="0"/>
          <c:showPercent val="0"/>
          <c:showBubbleSize val="0"/>
        </c:dLbls>
        <c:gapWidth val="150"/>
        <c:axId val="100800512"/>
        <c:axId val="155012480"/>
      </c:barChart>
      <c:catAx>
        <c:axId val="100800512"/>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55012480"/>
        <c:crosses val="autoZero"/>
        <c:auto val="1"/>
        <c:lblAlgn val="ctr"/>
        <c:lblOffset val="100"/>
        <c:tickLblSkip val="1"/>
        <c:noMultiLvlLbl val="0"/>
      </c:catAx>
      <c:valAx>
        <c:axId val="155012480"/>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00800512"/>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barChart>
        <c:barDir val="col"/>
        <c:grouping val="clustered"/>
        <c:varyColors val="0"/>
        <c:ser>
          <c:idx val="0"/>
          <c:order val="0"/>
          <c:tx>
            <c:strRef>
              <c:f>'BANDHAN-MCAP'!$X$7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3A67-4661-95F4-D55833095ECF}"/>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A67-4661-95F4-D55833095ECF}"/>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3A67-4661-95F4-D55833095ECF}"/>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A67-4661-95F4-D55833095ECF}"/>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3A67-4661-95F4-D55833095ECF}"/>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3A67-4661-95F4-D55833095ECF}"/>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3A67-4661-95F4-D55833095ECF}"/>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3A67-4661-95F4-D55833095ECF}"/>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3A67-4661-95F4-D55833095ECF}"/>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3A67-4661-95F4-D55833095ECF}"/>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3A67-4661-95F4-D55833095ECF}"/>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3A67-4661-95F4-D55833095ECF}"/>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3A67-4661-95F4-D55833095ECF}"/>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3A67-4661-95F4-D55833095ECF}"/>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3A67-4661-95F4-D55833095ECF}"/>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3A67-4661-95F4-D55833095ECF}"/>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3A67-4661-95F4-D55833095ECF}"/>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3A67-4661-95F4-D55833095ECF}"/>
                </c:ext>
              </c:extLst>
            </c:dLbl>
            <c:dLbl>
              <c:idx val="1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3A67-4661-95F4-D55833095ECF}"/>
                </c:ext>
              </c:extLst>
            </c:dLbl>
            <c:dLbl>
              <c:idx val="1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3-3A67-4661-95F4-D55833095ECF}"/>
                </c:ext>
              </c:extLst>
            </c:dLbl>
            <c:dLbl>
              <c:idx val="2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4-3A67-4661-95F4-D55833095ECF}"/>
                </c:ext>
              </c:extLst>
            </c:dLbl>
            <c:dLbl>
              <c:idx val="2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5-3A67-4661-95F4-D55833095ECF}"/>
                </c:ext>
              </c:extLst>
            </c:dLbl>
            <c:dLbl>
              <c:idx val="2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6-3A67-4661-95F4-D55833095ECF}"/>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'BANDHAN-MCAP'!$W$8:$W$38</c:f>
              <c:strCache>
                <c:ptCount val="31"/>
                <c:pt idx="0">
                  <c:v>Pharmaceuticals &amp; Biotechnology</c:v>
                </c:pt>
                <c:pt idx="1">
                  <c:v>Industrial Products</c:v>
                </c:pt>
                <c:pt idx="2">
                  <c:v>Consumer Durables</c:v>
                </c:pt>
                <c:pt idx="3">
                  <c:v>Electrical Equipment</c:v>
                </c:pt>
                <c:pt idx="4">
                  <c:v>IT - Software</c:v>
                </c:pt>
                <c:pt idx="5">
                  <c:v>Auto Components</c:v>
                </c:pt>
                <c:pt idx="6">
                  <c:v>Retailing</c:v>
                </c:pt>
                <c:pt idx="7">
                  <c:v>Realty</c:v>
                </c:pt>
                <c:pt idx="8">
                  <c:v>Healthcare Services</c:v>
                </c:pt>
                <c:pt idx="9">
                  <c:v>Leisure Services</c:v>
                </c:pt>
                <c:pt idx="10">
                  <c:v>Banks</c:v>
                </c:pt>
                <c:pt idx="11">
                  <c:v>Chemicals &amp; Petrochemicals</c:v>
                </c:pt>
                <c:pt idx="12">
                  <c:v>Finance</c:v>
                </c:pt>
                <c:pt idx="13">
                  <c:v>Telecom - Services</c:v>
                </c:pt>
                <c:pt idx="14">
                  <c:v>Financial Technology (Fintech)</c:v>
                </c:pt>
                <c:pt idx="15">
                  <c:v>Fertilizers &amp; Agrochemicals</c:v>
                </c:pt>
                <c:pt idx="16">
                  <c:v>Power</c:v>
                </c:pt>
                <c:pt idx="17">
                  <c:v>Cement &amp; Cement Products</c:v>
                </c:pt>
                <c:pt idx="18">
                  <c:v>Capital Markets</c:v>
                </c:pt>
                <c:pt idx="19">
                  <c:v>Automobiles</c:v>
                </c:pt>
                <c:pt idx="20">
                  <c:v>Industrial Manufacturing</c:v>
                </c:pt>
                <c:pt idx="21">
                  <c:v>IT - Services</c:v>
                </c:pt>
                <c:pt idx="22">
                  <c:v>Insurance</c:v>
                </c:pt>
                <c:pt idx="23">
                  <c:v>Beverages</c:v>
                </c:pt>
                <c:pt idx="24">
                  <c:v>Aerospace &amp; Defense</c:v>
                </c:pt>
                <c:pt idx="25">
                  <c:v>Diversified</c:v>
                </c:pt>
                <c:pt idx="26">
                  <c:v>Ferrous Metals</c:v>
                </c:pt>
                <c:pt idx="27">
                  <c:v>Household Products</c:v>
                </c:pt>
                <c:pt idx="28">
                  <c:v>Personal Products</c:v>
                </c:pt>
                <c:pt idx="29">
                  <c:v>Cigarettes &amp; Tobacco Products</c:v>
                </c:pt>
                <c:pt idx="30">
                  <c:v>Commercial Services &amp; Supplies</c:v>
                </c:pt>
              </c:strCache>
            </c:strRef>
          </c:cat>
          <c:val>
            <c:numRef>
              <c:f>'BANDHAN-MCAP'!$X$8:$X$38</c:f>
              <c:numCache>
                <c:formatCode>0.00%</c:formatCode>
                <c:ptCount val="31"/>
                <c:pt idx="0">
                  <c:v>8.0902999999999989E-2</c:v>
                </c:pt>
                <c:pt idx="1">
                  <c:v>7.9533000000000006E-2</c:v>
                </c:pt>
                <c:pt idx="2">
                  <c:v>7.3277999999999996E-2</c:v>
                </c:pt>
                <c:pt idx="3">
                  <c:v>7.2729000000000002E-2</c:v>
                </c:pt>
                <c:pt idx="4">
                  <c:v>6.089E-2</c:v>
                </c:pt>
                <c:pt idx="5">
                  <c:v>5.8036000000000004E-2</c:v>
                </c:pt>
                <c:pt idx="6">
                  <c:v>5.1282999999999995E-2</c:v>
                </c:pt>
                <c:pt idx="7">
                  <c:v>4.6171999999999998E-2</c:v>
                </c:pt>
                <c:pt idx="8">
                  <c:v>4.4447E-2</c:v>
                </c:pt>
                <c:pt idx="9">
                  <c:v>4.3676E-2</c:v>
                </c:pt>
                <c:pt idx="10">
                  <c:v>4.2583999999999997E-2</c:v>
                </c:pt>
                <c:pt idx="11">
                  <c:v>3.5782000000000001E-2</c:v>
                </c:pt>
                <c:pt idx="12">
                  <c:v>3.0643999999999998E-2</c:v>
                </c:pt>
                <c:pt idx="13">
                  <c:v>2.5325999999999998E-2</c:v>
                </c:pt>
                <c:pt idx="14">
                  <c:v>2.3473000000000001E-2</c:v>
                </c:pt>
                <c:pt idx="15">
                  <c:v>2.2919999999999999E-2</c:v>
                </c:pt>
                <c:pt idx="16">
                  <c:v>1.8068000000000001E-2</c:v>
                </c:pt>
                <c:pt idx="17">
                  <c:v>1.8013000000000001E-2</c:v>
                </c:pt>
                <c:pt idx="18">
                  <c:v>1.7668E-2</c:v>
                </c:pt>
                <c:pt idx="19">
                  <c:v>1.6480999999999999E-2</c:v>
                </c:pt>
                <c:pt idx="20">
                  <c:v>1.3563E-2</c:v>
                </c:pt>
                <c:pt idx="21">
                  <c:v>1.2507000000000001E-2</c:v>
                </c:pt>
                <c:pt idx="22">
                  <c:v>1.0684000000000001E-2</c:v>
                </c:pt>
                <c:pt idx="23">
                  <c:v>1.0429000000000001E-2</c:v>
                </c:pt>
                <c:pt idx="24">
                  <c:v>9.6480000000000003E-3</c:v>
                </c:pt>
                <c:pt idx="25">
                  <c:v>8.1919999999999996E-3</c:v>
                </c:pt>
                <c:pt idx="26">
                  <c:v>6.4869999999999997E-3</c:v>
                </c:pt>
                <c:pt idx="27">
                  <c:v>5.4819999999999999E-3</c:v>
                </c:pt>
                <c:pt idx="28">
                  <c:v>1.575E-3</c:v>
                </c:pt>
                <c:pt idx="29">
                  <c:v>1.036E-3</c:v>
                </c:pt>
                <c:pt idx="30">
                  <c:v>9.1799999999999998E-4</c:v>
                </c:pt>
              </c:numCache>
            </c:numRef>
          </c:val>
          <c:extLst>
            <c:ext xmlns:c16="http://schemas.microsoft.com/office/drawing/2014/chart" uri="{C3380CC4-5D6E-409C-BE32-E72D297353CC}">
              <c16:uniqueId val="{00000017-3A67-4661-95F4-D55833095ECF}"/>
            </c:ext>
          </c:extLst>
        </c:ser>
        <c:ser>
          <c:idx val="1"/>
          <c:order val="1"/>
          <c:tx>
            <c:strRef>
              <c:f>'BANDHAN CEF'!$C$4</c:f>
              <c:strCache>
                <c:ptCount val="1"/>
                <c:pt idx="0">
                  <c:v>Portfolio as on - (30th April 2025)</c:v>
                </c:pt>
              </c:strCache>
            </c:strRef>
          </c:tx>
          <c:invertIfNegative val="0"/>
          <c:cat>
            <c:strRef>
              <c:f>'BANDHAN-MCAP'!$W$8:$W$38</c:f>
              <c:strCache>
                <c:ptCount val="31"/>
                <c:pt idx="0">
                  <c:v>Pharmaceuticals &amp; Biotechnology</c:v>
                </c:pt>
                <c:pt idx="1">
                  <c:v>Industrial Products</c:v>
                </c:pt>
                <c:pt idx="2">
                  <c:v>Consumer Durables</c:v>
                </c:pt>
                <c:pt idx="3">
                  <c:v>Electrical Equipment</c:v>
                </c:pt>
                <c:pt idx="4">
                  <c:v>IT - Software</c:v>
                </c:pt>
                <c:pt idx="5">
                  <c:v>Auto Components</c:v>
                </c:pt>
                <c:pt idx="6">
                  <c:v>Retailing</c:v>
                </c:pt>
                <c:pt idx="7">
                  <c:v>Realty</c:v>
                </c:pt>
                <c:pt idx="8">
                  <c:v>Healthcare Services</c:v>
                </c:pt>
                <c:pt idx="9">
                  <c:v>Leisure Services</c:v>
                </c:pt>
                <c:pt idx="10">
                  <c:v>Banks</c:v>
                </c:pt>
                <c:pt idx="11">
                  <c:v>Chemicals &amp; Petrochemicals</c:v>
                </c:pt>
                <c:pt idx="12">
                  <c:v>Finance</c:v>
                </c:pt>
                <c:pt idx="13">
                  <c:v>Telecom - Services</c:v>
                </c:pt>
                <c:pt idx="14">
                  <c:v>Financial Technology (Fintech)</c:v>
                </c:pt>
                <c:pt idx="15">
                  <c:v>Fertilizers &amp; Agrochemicals</c:v>
                </c:pt>
                <c:pt idx="16">
                  <c:v>Power</c:v>
                </c:pt>
                <c:pt idx="17">
                  <c:v>Cement &amp; Cement Products</c:v>
                </c:pt>
                <c:pt idx="18">
                  <c:v>Capital Markets</c:v>
                </c:pt>
                <c:pt idx="19">
                  <c:v>Automobiles</c:v>
                </c:pt>
                <c:pt idx="20">
                  <c:v>Industrial Manufacturing</c:v>
                </c:pt>
                <c:pt idx="21">
                  <c:v>IT - Services</c:v>
                </c:pt>
                <c:pt idx="22">
                  <c:v>Insurance</c:v>
                </c:pt>
                <c:pt idx="23">
                  <c:v>Beverages</c:v>
                </c:pt>
                <c:pt idx="24">
                  <c:v>Aerospace &amp; Defense</c:v>
                </c:pt>
                <c:pt idx="25">
                  <c:v>Diversified</c:v>
                </c:pt>
                <c:pt idx="26">
                  <c:v>Ferrous Metals</c:v>
                </c:pt>
                <c:pt idx="27">
                  <c:v>Household Products</c:v>
                </c:pt>
                <c:pt idx="28">
                  <c:v>Personal Products</c:v>
                </c:pt>
                <c:pt idx="29">
                  <c:v>Cigarettes &amp; Tobacco Products</c:v>
                </c:pt>
                <c:pt idx="30">
                  <c:v>Commercial Services &amp; Supplies</c:v>
                </c:pt>
              </c:strCache>
            </c:strRef>
          </c:cat>
          <c:val>
            <c:numRef>
              <c:f>'BANDHAN CEF'!$C$5</c:f>
              <c:numCache>
                <c:formatCode>General</c:formatCode>
                <c:ptCount val="1"/>
                <c:pt idx="0">
                  <c:v>0</c:v>
                </c:pt>
              </c:numCache>
            </c:numRef>
          </c:val>
          <c:extLst>
            <c:ext xmlns:c16="http://schemas.microsoft.com/office/drawing/2014/chart" uri="{C3380CC4-5D6E-409C-BE32-E72D297353CC}">
              <c16:uniqueId val="{00000000-5A71-4669-BC73-AD2F870025E7}"/>
            </c:ext>
          </c:extLst>
        </c:ser>
        <c:ser>
          <c:idx val="2"/>
          <c:order val="2"/>
          <c:tx>
            <c:strRef>
              <c:f>'BANDHAN SVF'!$C$4</c:f>
              <c:strCache>
                <c:ptCount val="1"/>
                <c:pt idx="0">
                  <c:v>Portfolio as on - (30th April 2025)</c:v>
                </c:pt>
              </c:strCache>
            </c:strRef>
          </c:tx>
          <c:invertIfNegative val="0"/>
          <c:cat>
            <c:strRef>
              <c:f>'BANDHAN-MCAP'!$W$8:$W$38</c:f>
              <c:strCache>
                <c:ptCount val="31"/>
                <c:pt idx="0">
                  <c:v>Pharmaceuticals &amp; Biotechnology</c:v>
                </c:pt>
                <c:pt idx="1">
                  <c:v>Industrial Products</c:v>
                </c:pt>
                <c:pt idx="2">
                  <c:v>Consumer Durables</c:v>
                </c:pt>
                <c:pt idx="3">
                  <c:v>Electrical Equipment</c:v>
                </c:pt>
                <c:pt idx="4">
                  <c:v>IT - Software</c:v>
                </c:pt>
                <c:pt idx="5">
                  <c:v>Auto Components</c:v>
                </c:pt>
                <c:pt idx="6">
                  <c:v>Retailing</c:v>
                </c:pt>
                <c:pt idx="7">
                  <c:v>Realty</c:v>
                </c:pt>
                <c:pt idx="8">
                  <c:v>Healthcare Services</c:v>
                </c:pt>
                <c:pt idx="9">
                  <c:v>Leisure Services</c:v>
                </c:pt>
                <c:pt idx="10">
                  <c:v>Banks</c:v>
                </c:pt>
                <c:pt idx="11">
                  <c:v>Chemicals &amp; Petrochemicals</c:v>
                </c:pt>
                <c:pt idx="12">
                  <c:v>Finance</c:v>
                </c:pt>
                <c:pt idx="13">
                  <c:v>Telecom - Services</c:v>
                </c:pt>
                <c:pt idx="14">
                  <c:v>Financial Technology (Fintech)</c:v>
                </c:pt>
                <c:pt idx="15">
                  <c:v>Fertilizers &amp; Agrochemicals</c:v>
                </c:pt>
                <c:pt idx="16">
                  <c:v>Power</c:v>
                </c:pt>
                <c:pt idx="17">
                  <c:v>Cement &amp; Cement Products</c:v>
                </c:pt>
                <c:pt idx="18">
                  <c:v>Capital Markets</c:v>
                </c:pt>
                <c:pt idx="19">
                  <c:v>Automobiles</c:v>
                </c:pt>
                <c:pt idx="20">
                  <c:v>Industrial Manufacturing</c:v>
                </c:pt>
                <c:pt idx="21">
                  <c:v>IT - Services</c:v>
                </c:pt>
                <c:pt idx="22">
                  <c:v>Insurance</c:v>
                </c:pt>
                <c:pt idx="23">
                  <c:v>Beverages</c:v>
                </c:pt>
                <c:pt idx="24">
                  <c:v>Aerospace &amp; Defense</c:v>
                </c:pt>
                <c:pt idx="25">
                  <c:v>Diversified</c:v>
                </c:pt>
                <c:pt idx="26">
                  <c:v>Ferrous Metals</c:v>
                </c:pt>
                <c:pt idx="27">
                  <c:v>Household Products</c:v>
                </c:pt>
                <c:pt idx="28">
                  <c:v>Personal Products</c:v>
                </c:pt>
                <c:pt idx="29">
                  <c:v>Cigarettes &amp; Tobacco Products</c:v>
                </c:pt>
                <c:pt idx="30">
                  <c:v>Commercial Services &amp; Supplies</c:v>
                </c:pt>
              </c:strCache>
            </c:strRef>
          </c:cat>
          <c:val>
            <c:numRef>
              <c:f>'BANDHAN SVF'!$C$5</c:f>
              <c:numCache>
                <c:formatCode>General</c:formatCode>
                <c:ptCount val="1"/>
                <c:pt idx="0">
                  <c:v>0</c:v>
                </c:pt>
              </c:numCache>
            </c:numRef>
          </c:val>
          <c:extLst>
            <c:ext xmlns:c16="http://schemas.microsoft.com/office/drawing/2014/chart" uri="{C3380CC4-5D6E-409C-BE32-E72D297353CC}">
              <c16:uniqueId val="{00000001-5A71-4669-BC73-AD2F870025E7}"/>
            </c:ext>
          </c:extLst>
        </c:ser>
        <c:dLbls>
          <c:showLegendKey val="0"/>
          <c:showVal val="0"/>
          <c:showCatName val="0"/>
          <c:showSerName val="0"/>
          <c:showPercent val="0"/>
          <c:showBubbleSize val="0"/>
        </c:dLbls>
        <c:gapWidth val="150"/>
        <c:axId val="151665664"/>
        <c:axId val="155013632"/>
      </c:barChart>
      <c:catAx>
        <c:axId val="151665664"/>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55013632"/>
        <c:crosses val="autoZero"/>
        <c:auto val="1"/>
        <c:lblAlgn val="ctr"/>
        <c:lblOffset val="100"/>
        <c:tickLblSkip val="1"/>
        <c:noMultiLvlLbl val="0"/>
      </c:catAx>
      <c:valAx>
        <c:axId val="155013632"/>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51665664"/>
        <c:crosses val="autoZero"/>
        <c:crossBetween val="between"/>
      </c:valAx>
      <c:spPr>
        <a:noFill/>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barChart>
        <c:barDir val="col"/>
        <c:grouping val="clustered"/>
        <c:varyColors val="0"/>
        <c:ser>
          <c:idx val="0"/>
          <c:order val="0"/>
          <c:tx>
            <c:strRef>
              <c:f>'BANDHAN MCF'!$X$7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C4B6-48E9-BD50-F42B51C222FB}"/>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4B6-48E9-BD50-F42B51C222FB}"/>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C4B6-48E9-BD50-F42B51C222FB}"/>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4B6-48E9-BD50-F42B51C222FB}"/>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C4B6-48E9-BD50-F42B51C222FB}"/>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C4B6-48E9-BD50-F42B51C222FB}"/>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C4B6-48E9-BD50-F42B51C222FB}"/>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C4B6-48E9-BD50-F42B51C222FB}"/>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C4B6-48E9-BD50-F42B51C222FB}"/>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C4B6-48E9-BD50-F42B51C222FB}"/>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C4B6-48E9-BD50-F42B51C222FB}"/>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C4B6-48E9-BD50-F42B51C222FB}"/>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C4B6-48E9-BD50-F42B51C222FB}"/>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C4B6-48E9-BD50-F42B51C222FB}"/>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C4B6-48E9-BD50-F42B51C222FB}"/>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C4B6-48E9-BD50-F42B51C222FB}"/>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C4B6-48E9-BD50-F42B51C222FB}"/>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C4B6-48E9-BD50-F42B51C222FB}"/>
                </c:ext>
              </c:extLst>
            </c:dLbl>
            <c:dLbl>
              <c:idx val="1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C4B6-48E9-BD50-F42B51C222FB}"/>
                </c:ext>
              </c:extLst>
            </c:dLbl>
            <c:dLbl>
              <c:idx val="1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3-C4B6-48E9-BD50-F42B51C222FB}"/>
                </c:ext>
              </c:extLst>
            </c:dLbl>
            <c:dLbl>
              <c:idx val="2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4-C4B6-48E9-BD50-F42B51C222FB}"/>
                </c:ext>
              </c:extLst>
            </c:dLbl>
            <c:dLbl>
              <c:idx val="2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5-C4B6-48E9-BD50-F42B51C222FB}"/>
                </c:ext>
              </c:extLst>
            </c:dLbl>
            <c:dLbl>
              <c:idx val="2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6-C4B6-48E9-BD50-F42B51C222FB}"/>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MCF'!$W$8:$W$43</c:f>
              <c:strCache>
                <c:ptCount val="36"/>
                <c:pt idx="0">
                  <c:v>Banks</c:v>
                </c:pt>
                <c:pt idx="1">
                  <c:v>Pharmaceuticals &amp; Biotechnology</c:v>
                </c:pt>
                <c:pt idx="2">
                  <c:v>Finance</c:v>
                </c:pt>
                <c:pt idx="3">
                  <c:v>Petroleum Products</c:v>
                </c:pt>
                <c:pt idx="4">
                  <c:v>IT - Software</c:v>
                </c:pt>
                <c:pt idx="5">
                  <c:v>Insurance</c:v>
                </c:pt>
                <c:pt idx="6">
                  <c:v>Retailing</c:v>
                </c:pt>
                <c:pt idx="7">
                  <c:v>Auto Components</c:v>
                </c:pt>
                <c:pt idx="8">
                  <c:v>Consumer Durables</c:v>
                </c:pt>
                <c:pt idx="9">
                  <c:v>Food Products</c:v>
                </c:pt>
                <c:pt idx="10">
                  <c:v>Industrial Products</c:v>
                </c:pt>
                <c:pt idx="11">
                  <c:v>Construction</c:v>
                </c:pt>
                <c:pt idx="12">
                  <c:v>Fertilizers &amp; Agrochemicals</c:v>
                </c:pt>
                <c:pt idx="13">
                  <c:v>Realty</c:v>
                </c:pt>
                <c:pt idx="14">
                  <c:v>Automobiles</c:v>
                </c:pt>
                <c:pt idx="15">
                  <c:v>Industrial Manufacturing</c:v>
                </c:pt>
                <c:pt idx="16">
                  <c:v>Personal Products</c:v>
                </c:pt>
                <c:pt idx="17">
                  <c:v>Beverages</c:v>
                </c:pt>
                <c:pt idx="18">
                  <c:v>Leisure Services</c:v>
                </c:pt>
                <c:pt idx="19">
                  <c:v>Telecom - Services</c:v>
                </c:pt>
                <c:pt idx="20">
                  <c:v>Cement &amp; Cement Products</c:v>
                </c:pt>
                <c:pt idx="21">
                  <c:v>Commercial Services &amp; Supplies</c:v>
                </c:pt>
                <c:pt idx="22">
                  <c:v>Diversified Metals</c:v>
                </c:pt>
                <c:pt idx="23">
                  <c:v>Ferrous Metals</c:v>
                </c:pt>
                <c:pt idx="24">
                  <c:v>Electrical Equipment</c:v>
                </c:pt>
                <c:pt idx="25">
                  <c:v>Oil</c:v>
                </c:pt>
                <c:pt idx="26">
                  <c:v>Minerals &amp; Mining</c:v>
                </c:pt>
                <c:pt idx="27">
                  <c:v>Telecom - Equipment &amp; Accessories</c:v>
                </c:pt>
                <c:pt idx="28">
                  <c:v>Chemicals &amp; Petrochemicals</c:v>
                </c:pt>
                <c:pt idx="29">
                  <c:v>Diversified FMCG</c:v>
                </c:pt>
                <c:pt idx="30">
                  <c:v>Power</c:v>
                </c:pt>
                <c:pt idx="31">
                  <c:v>Healthcare Services</c:v>
                </c:pt>
                <c:pt idx="32">
                  <c:v>Gas</c:v>
                </c:pt>
                <c:pt idx="33">
                  <c:v>Diversified</c:v>
                </c:pt>
                <c:pt idx="34">
                  <c:v>IT - Services</c:v>
                </c:pt>
                <c:pt idx="35">
                  <c:v>Miscellaneous</c:v>
                </c:pt>
              </c:strCache>
            </c:strRef>
          </c:cat>
          <c:val>
            <c:numRef>
              <c:f>'BANDHAN MCF'!$X$8:$X$43</c:f>
              <c:numCache>
                <c:formatCode>0.00%</c:formatCode>
                <c:ptCount val="36"/>
                <c:pt idx="0">
                  <c:v>0.17577899999999999</c:v>
                </c:pt>
                <c:pt idx="1">
                  <c:v>8.4035000000000012E-2</c:v>
                </c:pt>
                <c:pt idx="2">
                  <c:v>6.1641999999999995E-2</c:v>
                </c:pt>
                <c:pt idx="3">
                  <c:v>5.6034E-2</c:v>
                </c:pt>
                <c:pt idx="4">
                  <c:v>4.9444000000000002E-2</c:v>
                </c:pt>
                <c:pt idx="5">
                  <c:v>4.6662999999999996E-2</c:v>
                </c:pt>
                <c:pt idx="6">
                  <c:v>3.9355000000000001E-2</c:v>
                </c:pt>
                <c:pt idx="7">
                  <c:v>3.7194000000000005E-2</c:v>
                </c:pt>
                <c:pt idx="8">
                  <c:v>3.7190999999999995E-2</c:v>
                </c:pt>
                <c:pt idx="9">
                  <c:v>2.8147999999999999E-2</c:v>
                </c:pt>
                <c:pt idx="10">
                  <c:v>2.6638000000000002E-2</c:v>
                </c:pt>
                <c:pt idx="11">
                  <c:v>2.5972000000000002E-2</c:v>
                </c:pt>
                <c:pt idx="12">
                  <c:v>2.5921000000000003E-2</c:v>
                </c:pt>
                <c:pt idx="13">
                  <c:v>2.5194999999999999E-2</c:v>
                </c:pt>
                <c:pt idx="14">
                  <c:v>2.4655E-2</c:v>
                </c:pt>
                <c:pt idx="15">
                  <c:v>1.9646E-2</c:v>
                </c:pt>
                <c:pt idx="16">
                  <c:v>1.806E-2</c:v>
                </c:pt>
                <c:pt idx="17">
                  <c:v>1.7278000000000002E-2</c:v>
                </c:pt>
                <c:pt idx="18">
                  <c:v>1.6244000000000001E-2</c:v>
                </c:pt>
                <c:pt idx="19">
                  <c:v>1.4914E-2</c:v>
                </c:pt>
                <c:pt idx="20">
                  <c:v>1.4244999999999999E-2</c:v>
                </c:pt>
                <c:pt idx="21">
                  <c:v>1.3097999999999999E-2</c:v>
                </c:pt>
                <c:pt idx="22">
                  <c:v>1.1736E-2</c:v>
                </c:pt>
                <c:pt idx="23">
                  <c:v>1.1642E-2</c:v>
                </c:pt>
                <c:pt idx="24">
                  <c:v>9.4009999999999996E-3</c:v>
                </c:pt>
                <c:pt idx="25">
                  <c:v>8.2140000000000008E-3</c:v>
                </c:pt>
                <c:pt idx="26">
                  <c:v>7.7739999999999997E-3</c:v>
                </c:pt>
                <c:pt idx="27">
                  <c:v>7.4869999999999997E-3</c:v>
                </c:pt>
                <c:pt idx="28">
                  <c:v>7.1590000000000004E-3</c:v>
                </c:pt>
                <c:pt idx="29">
                  <c:v>6.8120000000000003E-3</c:v>
                </c:pt>
                <c:pt idx="30">
                  <c:v>5.672E-3</c:v>
                </c:pt>
                <c:pt idx="31">
                  <c:v>5.581E-3</c:v>
                </c:pt>
                <c:pt idx="32">
                  <c:v>5.4409999999999997E-3</c:v>
                </c:pt>
                <c:pt idx="33">
                  <c:v>3.6129999999999999E-3</c:v>
                </c:pt>
                <c:pt idx="34">
                  <c:v>3.3249999999999998E-3</c:v>
                </c:pt>
                <c:pt idx="35">
                  <c:v>3.1029999999999999E-3</c:v>
                </c:pt>
              </c:numCache>
            </c:numRef>
          </c:val>
          <c:extLst>
            <c:ext xmlns:c16="http://schemas.microsoft.com/office/drawing/2014/chart" uri="{C3380CC4-5D6E-409C-BE32-E72D297353CC}">
              <c16:uniqueId val="{00000017-C4B6-48E9-BD50-F42B51C222FB}"/>
            </c:ext>
          </c:extLst>
        </c:ser>
        <c:ser>
          <c:idx val="1"/>
          <c:order val="1"/>
          <c:tx>
            <c:strRef>
              <c:f>'BANDHAN SVF'!$C$4</c:f>
              <c:strCache>
                <c:ptCount val="1"/>
                <c:pt idx="0">
                  <c:v>Portfolio as on - (30th April 2025)</c:v>
                </c:pt>
              </c:strCache>
            </c:strRef>
          </c:tx>
          <c:invertIfNegative val="0"/>
          <c:cat>
            <c:strRef>
              <c:f>'BANDHAN MCF'!$W$8:$W$43</c:f>
              <c:strCache>
                <c:ptCount val="36"/>
                <c:pt idx="0">
                  <c:v>Banks</c:v>
                </c:pt>
                <c:pt idx="1">
                  <c:v>Pharmaceuticals &amp; Biotechnology</c:v>
                </c:pt>
                <c:pt idx="2">
                  <c:v>Finance</c:v>
                </c:pt>
                <c:pt idx="3">
                  <c:v>Petroleum Products</c:v>
                </c:pt>
                <c:pt idx="4">
                  <c:v>IT - Software</c:v>
                </c:pt>
                <c:pt idx="5">
                  <c:v>Insurance</c:v>
                </c:pt>
                <c:pt idx="6">
                  <c:v>Retailing</c:v>
                </c:pt>
                <c:pt idx="7">
                  <c:v>Auto Components</c:v>
                </c:pt>
                <c:pt idx="8">
                  <c:v>Consumer Durables</c:v>
                </c:pt>
                <c:pt idx="9">
                  <c:v>Food Products</c:v>
                </c:pt>
                <c:pt idx="10">
                  <c:v>Industrial Products</c:v>
                </c:pt>
                <c:pt idx="11">
                  <c:v>Construction</c:v>
                </c:pt>
                <c:pt idx="12">
                  <c:v>Fertilizers &amp; Agrochemicals</c:v>
                </c:pt>
                <c:pt idx="13">
                  <c:v>Realty</c:v>
                </c:pt>
                <c:pt idx="14">
                  <c:v>Automobiles</c:v>
                </c:pt>
                <c:pt idx="15">
                  <c:v>Industrial Manufacturing</c:v>
                </c:pt>
                <c:pt idx="16">
                  <c:v>Personal Products</c:v>
                </c:pt>
                <c:pt idx="17">
                  <c:v>Beverages</c:v>
                </c:pt>
                <c:pt idx="18">
                  <c:v>Leisure Services</c:v>
                </c:pt>
                <c:pt idx="19">
                  <c:v>Telecom - Services</c:v>
                </c:pt>
                <c:pt idx="20">
                  <c:v>Cement &amp; Cement Products</c:v>
                </c:pt>
                <c:pt idx="21">
                  <c:v>Commercial Services &amp; Supplies</c:v>
                </c:pt>
                <c:pt idx="22">
                  <c:v>Diversified Metals</c:v>
                </c:pt>
                <c:pt idx="23">
                  <c:v>Ferrous Metals</c:v>
                </c:pt>
                <c:pt idx="24">
                  <c:v>Electrical Equipment</c:v>
                </c:pt>
                <c:pt idx="25">
                  <c:v>Oil</c:v>
                </c:pt>
                <c:pt idx="26">
                  <c:v>Minerals &amp; Mining</c:v>
                </c:pt>
                <c:pt idx="27">
                  <c:v>Telecom - Equipment &amp; Accessories</c:v>
                </c:pt>
                <c:pt idx="28">
                  <c:v>Chemicals &amp; Petrochemicals</c:v>
                </c:pt>
                <c:pt idx="29">
                  <c:v>Diversified FMCG</c:v>
                </c:pt>
                <c:pt idx="30">
                  <c:v>Power</c:v>
                </c:pt>
                <c:pt idx="31">
                  <c:v>Healthcare Services</c:v>
                </c:pt>
                <c:pt idx="32">
                  <c:v>Gas</c:v>
                </c:pt>
                <c:pt idx="33">
                  <c:v>Diversified</c:v>
                </c:pt>
                <c:pt idx="34">
                  <c:v>IT - Services</c:v>
                </c:pt>
                <c:pt idx="35">
                  <c:v>Miscellaneous</c:v>
                </c:pt>
              </c:strCache>
            </c:strRef>
          </c:cat>
          <c:val>
            <c:numRef>
              <c:f>'BANDHAN SVF'!$C$5</c:f>
              <c:numCache>
                <c:formatCode>General</c:formatCode>
                <c:ptCount val="1"/>
                <c:pt idx="0">
                  <c:v>0</c:v>
                </c:pt>
              </c:numCache>
            </c:numRef>
          </c:val>
          <c:extLst>
            <c:ext xmlns:c16="http://schemas.microsoft.com/office/drawing/2014/chart" uri="{C3380CC4-5D6E-409C-BE32-E72D297353CC}">
              <c16:uniqueId val="{00000000-EA90-4672-986F-AA3F4CB8C6D3}"/>
            </c:ext>
          </c:extLst>
        </c:ser>
        <c:dLbls>
          <c:showLegendKey val="0"/>
          <c:showVal val="0"/>
          <c:showCatName val="0"/>
          <c:showSerName val="0"/>
          <c:showPercent val="0"/>
          <c:showBubbleSize val="0"/>
        </c:dLbls>
        <c:gapWidth val="150"/>
        <c:axId val="151665664"/>
        <c:axId val="155013632"/>
      </c:barChart>
      <c:catAx>
        <c:axId val="151665664"/>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55013632"/>
        <c:crosses val="autoZero"/>
        <c:auto val="1"/>
        <c:lblAlgn val="ctr"/>
        <c:lblOffset val="100"/>
        <c:tickLblSkip val="1"/>
        <c:noMultiLvlLbl val="0"/>
      </c:catAx>
      <c:valAx>
        <c:axId val="155013632"/>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51665664"/>
        <c:crosses val="autoZero"/>
        <c:crossBetween val="between"/>
      </c:valAx>
      <c:spPr>
        <a:noFill/>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chemeClr val="tx1">
                <a:lumMod val="65000"/>
                <a:lumOff val="35000"/>
              </a:schemeClr>
            </a:solidFill>
            <a:ln>
              <a:noFill/>
            </a:ln>
            <a:effectLst/>
          </c:spPr>
          <c:invertIfNegative val="0"/>
          <c:dLbls>
            <c:spPr>
              <a:noFill/>
              <a:ln>
                <a:noFill/>
              </a:ln>
              <a:effectLst/>
            </c:spPr>
            <c:txPr>
              <a:bodyPr rot="0" spcFirstLastPara="1" vertOverflow="ellipsis" vert="horz" wrap="square" anchor="ctr" anchorCtr="1"/>
              <a:lstStyle/>
              <a:p>
                <a:pPr>
                  <a:defRPr sz="103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'BANDHAN FCF'!$W$8:$W$35</c:f>
              <c:strCache>
                <c:ptCount val="28"/>
                <c:pt idx="0">
                  <c:v>Banks</c:v>
                </c:pt>
                <c:pt idx="1">
                  <c:v>IT - Software</c:v>
                </c:pt>
                <c:pt idx="2">
                  <c:v>Retailing</c:v>
                </c:pt>
                <c:pt idx="3">
                  <c:v>Automobiles</c:v>
                </c:pt>
                <c:pt idx="4">
                  <c:v>Petroleum Products</c:v>
                </c:pt>
                <c:pt idx="5">
                  <c:v>Pharmaceuticals &amp; Biotechnology</c:v>
                </c:pt>
                <c:pt idx="6">
                  <c:v>Insurance</c:v>
                </c:pt>
                <c:pt idx="7">
                  <c:v>Finance</c:v>
                </c:pt>
                <c:pt idx="8">
                  <c:v>Diversified FMCG</c:v>
                </c:pt>
                <c:pt idx="9">
                  <c:v>Consumer Durables</c:v>
                </c:pt>
                <c:pt idx="10">
                  <c:v>Cement &amp; Cement Products</c:v>
                </c:pt>
                <c:pt idx="11">
                  <c:v>Telecom - Services</c:v>
                </c:pt>
                <c:pt idx="12">
                  <c:v>Electrical Equipment</c:v>
                </c:pt>
                <c:pt idx="13">
                  <c:v>Realty</c:v>
                </c:pt>
                <c:pt idx="14">
                  <c:v>Construction</c:v>
                </c:pt>
                <c:pt idx="15">
                  <c:v>Food Products</c:v>
                </c:pt>
                <c:pt idx="16">
                  <c:v>Healthcare Services</c:v>
                </c:pt>
                <c:pt idx="17">
                  <c:v>Ferrous Metals</c:v>
                </c:pt>
                <c:pt idx="18">
                  <c:v>Leisure Services</c:v>
                </c:pt>
                <c:pt idx="19">
                  <c:v>Beverages</c:v>
                </c:pt>
                <c:pt idx="20">
                  <c:v>Diversified Metals</c:v>
                </c:pt>
                <c:pt idx="21">
                  <c:v>Minerals &amp; Mining</c:v>
                </c:pt>
                <c:pt idx="22">
                  <c:v>Power</c:v>
                </c:pt>
                <c:pt idx="23">
                  <c:v>Telecom - Equipment &amp; Accessories</c:v>
                </c:pt>
                <c:pt idx="24">
                  <c:v>Industrial Products</c:v>
                </c:pt>
                <c:pt idx="25">
                  <c:v>Commercial Services &amp; Supplies</c:v>
                </c:pt>
                <c:pt idx="26">
                  <c:v>Capital Markets</c:v>
                </c:pt>
                <c:pt idx="27">
                  <c:v>Fertilizers &amp; Agrochemicals</c:v>
                </c:pt>
              </c:strCache>
            </c:strRef>
          </c:cat>
          <c:val>
            <c:numRef>
              <c:f>'BANDHAN FCF'!$X$8:$X$35</c:f>
              <c:numCache>
                <c:formatCode>0.0%</c:formatCode>
                <c:ptCount val="28"/>
                <c:pt idx="0">
                  <c:v>0.25135200000000002</c:v>
                </c:pt>
                <c:pt idx="1">
                  <c:v>8.8542999999999997E-2</c:v>
                </c:pt>
                <c:pt idx="2">
                  <c:v>7.1043999999999996E-2</c:v>
                </c:pt>
                <c:pt idx="3">
                  <c:v>6.9026999999999991E-2</c:v>
                </c:pt>
                <c:pt idx="4">
                  <c:v>6.8376000000000006E-2</c:v>
                </c:pt>
                <c:pt idx="5">
                  <c:v>4.3772000000000005E-2</c:v>
                </c:pt>
                <c:pt idx="6">
                  <c:v>3.4778000000000003E-2</c:v>
                </c:pt>
                <c:pt idx="7">
                  <c:v>3.0747999999999998E-2</c:v>
                </c:pt>
                <c:pt idx="8">
                  <c:v>2.9116999999999997E-2</c:v>
                </c:pt>
                <c:pt idx="9">
                  <c:v>2.8576000000000001E-2</c:v>
                </c:pt>
                <c:pt idx="10">
                  <c:v>2.1741999999999997E-2</c:v>
                </c:pt>
                <c:pt idx="11">
                  <c:v>1.9813000000000001E-2</c:v>
                </c:pt>
                <c:pt idx="12">
                  <c:v>1.7409999999999998E-2</c:v>
                </c:pt>
                <c:pt idx="13">
                  <c:v>1.6421999999999999E-2</c:v>
                </c:pt>
                <c:pt idx="14">
                  <c:v>1.4606000000000001E-2</c:v>
                </c:pt>
                <c:pt idx="15">
                  <c:v>1.3531E-2</c:v>
                </c:pt>
                <c:pt idx="16">
                  <c:v>1.2853E-2</c:v>
                </c:pt>
                <c:pt idx="17">
                  <c:v>1.2652E-2</c:v>
                </c:pt>
                <c:pt idx="18">
                  <c:v>1.2402E-2</c:v>
                </c:pt>
                <c:pt idx="19">
                  <c:v>1.1192000000000001E-2</c:v>
                </c:pt>
                <c:pt idx="20">
                  <c:v>1.0767000000000001E-2</c:v>
                </c:pt>
                <c:pt idx="21">
                  <c:v>9.0089999999999996E-3</c:v>
                </c:pt>
                <c:pt idx="22">
                  <c:v>8.6280000000000003E-3</c:v>
                </c:pt>
                <c:pt idx="23">
                  <c:v>8.1709999999999994E-3</c:v>
                </c:pt>
                <c:pt idx="24">
                  <c:v>7.5980000000000006E-3</c:v>
                </c:pt>
                <c:pt idx="25">
                  <c:v>4.5389999999999996E-3</c:v>
                </c:pt>
                <c:pt idx="26">
                  <c:v>2.6870000000000002E-3</c:v>
                </c:pt>
                <c:pt idx="27">
                  <c:v>1.0690000000000001E-3</c:v>
                </c:pt>
              </c:numCache>
            </c:numRef>
          </c:val>
          <c:extLst>
            <c:ext xmlns:c16="http://schemas.microsoft.com/office/drawing/2014/chart" uri="{C3380CC4-5D6E-409C-BE32-E72D297353CC}">
              <c16:uniqueId val="{00000000-5B83-4217-BB1A-BEB93662D548}"/>
            </c:ext>
          </c:extLst>
        </c:ser>
        <c:dLbls>
          <c:dLblPos val="outEnd"/>
          <c:showLegendKey val="0"/>
          <c:showVal val="1"/>
          <c:showCatName val="0"/>
          <c:showSerName val="0"/>
          <c:showPercent val="0"/>
          <c:showBubbleSize val="0"/>
        </c:dLbls>
        <c:gapWidth val="219"/>
        <c:overlap val="-27"/>
        <c:axId val="454106591"/>
        <c:axId val="777917983"/>
      </c:barChart>
      <c:catAx>
        <c:axId val="4541065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103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77917983"/>
        <c:crosses val="autoZero"/>
        <c:auto val="1"/>
        <c:lblAlgn val="ctr"/>
        <c:lblOffset val="100"/>
        <c:noMultiLvlLbl val="0"/>
      </c:catAx>
      <c:valAx>
        <c:axId val="777917983"/>
        <c:scaling>
          <c:orientation val="minMax"/>
        </c:scaling>
        <c:delete val="0"/>
        <c:axPos val="l"/>
        <c:majorGridlines>
          <c:spPr>
            <a:ln w="9525" cap="flat" cmpd="sng" algn="ctr">
              <a:noFill/>
              <a:round/>
            </a:ln>
            <a:effectLst/>
          </c:spPr>
        </c:majorGridlines>
        <c:numFmt formatCode="0.0%" sourceLinked="1"/>
        <c:majorTickMark val="none"/>
        <c:minorTickMark val="none"/>
        <c:tickLblPos val="none"/>
        <c:spPr>
          <a:noFill/>
          <a:ln>
            <a:noFill/>
          </a:ln>
          <a:effectLst/>
        </c:spPr>
        <c:txPr>
          <a:bodyPr rot="-60000000" spcFirstLastPara="1" vertOverflow="ellipsis" vert="horz" wrap="square" anchor="ctr" anchorCtr="1"/>
          <a:lstStyle/>
          <a:p>
            <a:pPr>
              <a:defRPr sz="103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45410659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sz="1030">
          <a:solidFill>
            <a:sysClr val="windowText" lastClr="000000"/>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2.3809523809523812E-2"/>
          <c:y val="1.6913319238900798E-2"/>
          <c:w val="0.96726190476189999"/>
          <c:h val="0.56936192172594868"/>
        </c:manualLayout>
      </c:layout>
      <c:barChart>
        <c:barDir val="col"/>
        <c:grouping val="clustered"/>
        <c:varyColors val="0"/>
        <c:ser>
          <c:idx val="0"/>
          <c:order val="0"/>
          <c:tx>
            <c:strRef>
              <c:f>'BANDHAN SCF'!$X$7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3453-415C-BEC6-E3D158FE4279}"/>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453-415C-BEC6-E3D158FE4279}"/>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3453-415C-BEC6-E3D158FE4279}"/>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453-415C-BEC6-E3D158FE4279}"/>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3453-415C-BEC6-E3D158FE4279}"/>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3453-415C-BEC6-E3D158FE4279}"/>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3453-415C-BEC6-E3D158FE4279}"/>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3453-415C-BEC6-E3D158FE4279}"/>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3453-415C-BEC6-E3D158FE4279}"/>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3453-415C-BEC6-E3D158FE4279}"/>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3453-415C-BEC6-E3D158FE4279}"/>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SCF'!$W$8:$W$53</c:f>
              <c:strCache>
                <c:ptCount val="46"/>
                <c:pt idx="0">
                  <c:v>Finance</c:v>
                </c:pt>
                <c:pt idx="1">
                  <c:v>Realty</c:v>
                </c:pt>
                <c:pt idx="2">
                  <c:v>Pharmaceuticals &amp; Biotechnology</c:v>
                </c:pt>
                <c:pt idx="3">
                  <c:v>Banks</c:v>
                </c:pt>
                <c:pt idx="4">
                  <c:v>Chemicals &amp; Petrochemicals</c:v>
                </c:pt>
                <c:pt idx="5">
                  <c:v>Textiles &amp; Apparels</c:v>
                </c:pt>
                <c:pt idx="6">
                  <c:v>Capital Markets</c:v>
                </c:pt>
                <c:pt idx="7">
                  <c:v>Industrial Products</c:v>
                </c:pt>
                <c:pt idx="8">
                  <c:v>Electrical Equipment</c:v>
                </c:pt>
                <c:pt idx="9">
                  <c:v>Consumer Durables</c:v>
                </c:pt>
                <c:pt idx="10">
                  <c:v>Healthcare Services</c:v>
                </c:pt>
                <c:pt idx="11">
                  <c:v>Agricultural Food &amp; other Products</c:v>
                </c:pt>
                <c:pt idx="12">
                  <c:v>Auto Components</c:v>
                </c:pt>
                <c:pt idx="13">
                  <c:v>Retailing</c:v>
                </c:pt>
                <c:pt idx="14">
                  <c:v>Commercial Services &amp; Supplies</c:v>
                </c:pt>
                <c:pt idx="15">
                  <c:v>Transport Services</c:v>
                </c:pt>
                <c:pt idx="16">
                  <c:v>Leisure Services</c:v>
                </c:pt>
                <c:pt idx="17">
                  <c:v>Construction</c:v>
                </c:pt>
                <c:pt idx="18">
                  <c:v>Industrial Manufacturing</c:v>
                </c:pt>
                <c:pt idx="19">
                  <c:v>Power</c:v>
                </c:pt>
                <c:pt idx="20">
                  <c:v>IT - Software</c:v>
                </c:pt>
                <c:pt idx="21">
                  <c:v>IT - Services</c:v>
                </c:pt>
                <c:pt idx="22">
                  <c:v>Beverages</c:v>
                </c:pt>
                <c:pt idx="23">
                  <c:v>IT - Hardware</c:v>
                </c:pt>
                <c:pt idx="24">
                  <c:v>Diversified Metals</c:v>
                </c:pt>
                <c:pt idx="25">
                  <c:v>Petroleum Products</c:v>
                </c:pt>
                <c:pt idx="26">
                  <c:v>Ferrous Metals</c:v>
                </c:pt>
                <c:pt idx="27">
                  <c:v>Food Products</c:v>
                </c:pt>
                <c:pt idx="28">
                  <c:v>Paper, Forest &amp; Jute Products</c:v>
                </c:pt>
                <c:pt idx="29">
                  <c:v>Miscellaneous</c:v>
                </c:pt>
                <c:pt idx="30">
                  <c:v>Fertilizers &amp; Agrochemicals</c:v>
                </c:pt>
                <c:pt idx="31">
                  <c:v>Diversified</c:v>
                </c:pt>
                <c:pt idx="32">
                  <c:v>Household Products</c:v>
                </c:pt>
                <c:pt idx="33">
                  <c:v>Entertainment</c:v>
                </c:pt>
                <c:pt idx="34">
                  <c:v>Aerospace &amp; Defense</c:v>
                </c:pt>
                <c:pt idx="35">
                  <c:v>Non - Ferrous Metals</c:v>
                </c:pt>
                <c:pt idx="36">
                  <c:v>Personal Products</c:v>
                </c:pt>
                <c:pt idx="37">
                  <c:v>Cement &amp; Cement Products</c:v>
                </c:pt>
                <c:pt idx="38">
                  <c:v>Gas</c:v>
                </c:pt>
                <c:pt idx="39">
                  <c:v>Other Utilities</c:v>
                </c:pt>
                <c:pt idx="40">
                  <c:v>Telecom - Equipment &amp; Accessories</c:v>
                </c:pt>
                <c:pt idx="41">
                  <c:v>Insurance</c:v>
                </c:pt>
                <c:pt idx="42">
                  <c:v>Automobiles</c:v>
                </c:pt>
                <c:pt idx="43">
                  <c:v>Minerals &amp; Mining</c:v>
                </c:pt>
                <c:pt idx="44">
                  <c:v>Healthcare Equipment &amp; Supplies</c:v>
                </c:pt>
                <c:pt idx="45">
                  <c:v>Diversified FMCG</c:v>
                </c:pt>
              </c:strCache>
            </c:strRef>
          </c:cat>
          <c:val>
            <c:numRef>
              <c:f>'BANDHAN SCF'!$X$8:$X$53</c:f>
              <c:numCache>
                <c:formatCode>0.00%</c:formatCode>
                <c:ptCount val="46"/>
                <c:pt idx="0">
                  <c:v>0.10591500000000001</c:v>
                </c:pt>
                <c:pt idx="1">
                  <c:v>8.4967000000000001E-2</c:v>
                </c:pt>
                <c:pt idx="2">
                  <c:v>8.4488000000000008E-2</c:v>
                </c:pt>
                <c:pt idx="3">
                  <c:v>6.6157000000000007E-2</c:v>
                </c:pt>
                <c:pt idx="4">
                  <c:v>4.7746999999999998E-2</c:v>
                </c:pt>
                <c:pt idx="5">
                  <c:v>4.3746E-2</c:v>
                </c:pt>
                <c:pt idx="6">
                  <c:v>4.0031999999999998E-2</c:v>
                </c:pt>
                <c:pt idx="7">
                  <c:v>3.9862999999999996E-2</c:v>
                </c:pt>
                <c:pt idx="8">
                  <c:v>3.7838000000000004E-2</c:v>
                </c:pt>
                <c:pt idx="9">
                  <c:v>3.7071000000000007E-2</c:v>
                </c:pt>
                <c:pt idx="10">
                  <c:v>3.2167999999999995E-2</c:v>
                </c:pt>
                <c:pt idx="11">
                  <c:v>2.7726000000000001E-2</c:v>
                </c:pt>
                <c:pt idx="12">
                  <c:v>2.7142999999999997E-2</c:v>
                </c:pt>
                <c:pt idx="13">
                  <c:v>1.9927999999999998E-2</c:v>
                </c:pt>
                <c:pt idx="14">
                  <c:v>1.5795000000000003E-2</c:v>
                </c:pt>
                <c:pt idx="15">
                  <c:v>1.494E-2</c:v>
                </c:pt>
                <c:pt idx="16">
                  <c:v>1.4725E-2</c:v>
                </c:pt>
                <c:pt idx="17">
                  <c:v>1.3431000000000002E-2</c:v>
                </c:pt>
                <c:pt idx="18">
                  <c:v>1.2999E-2</c:v>
                </c:pt>
                <c:pt idx="19">
                  <c:v>1.0713E-2</c:v>
                </c:pt>
                <c:pt idx="20">
                  <c:v>1.0172E-2</c:v>
                </c:pt>
                <c:pt idx="21">
                  <c:v>1.0081E-2</c:v>
                </c:pt>
                <c:pt idx="22">
                  <c:v>1.0058000000000001E-2</c:v>
                </c:pt>
                <c:pt idx="23">
                  <c:v>9.6579999999999999E-3</c:v>
                </c:pt>
                <c:pt idx="24">
                  <c:v>8.2019999999999992E-3</c:v>
                </c:pt>
                <c:pt idx="25">
                  <c:v>6.3020000000000003E-3</c:v>
                </c:pt>
                <c:pt idx="26">
                  <c:v>5.9829999999999996E-3</c:v>
                </c:pt>
                <c:pt idx="27">
                  <c:v>5.1240000000000001E-3</c:v>
                </c:pt>
                <c:pt idx="28">
                  <c:v>4.8419999999999999E-3</c:v>
                </c:pt>
                <c:pt idx="29">
                  <c:v>4.483E-3</c:v>
                </c:pt>
                <c:pt idx="30">
                  <c:v>3.431E-3</c:v>
                </c:pt>
                <c:pt idx="31">
                  <c:v>3.3019999999999998E-3</c:v>
                </c:pt>
                <c:pt idx="32">
                  <c:v>3.1259999999999999E-3</c:v>
                </c:pt>
                <c:pt idx="33">
                  <c:v>2.745E-3</c:v>
                </c:pt>
                <c:pt idx="34">
                  <c:v>2.7049999999999999E-3</c:v>
                </c:pt>
                <c:pt idx="35">
                  <c:v>2.581E-3</c:v>
                </c:pt>
                <c:pt idx="36">
                  <c:v>2.1419999999999998E-3</c:v>
                </c:pt>
                <c:pt idx="37">
                  <c:v>2.052E-3</c:v>
                </c:pt>
                <c:pt idx="38">
                  <c:v>2.006E-3</c:v>
                </c:pt>
                <c:pt idx="39">
                  <c:v>1.9880000000000002E-3</c:v>
                </c:pt>
                <c:pt idx="40">
                  <c:v>1.4369999999999999E-3</c:v>
                </c:pt>
                <c:pt idx="41">
                  <c:v>1.4300000000000001E-3</c:v>
                </c:pt>
                <c:pt idx="42">
                  <c:v>9.1799999999999998E-4</c:v>
                </c:pt>
                <c:pt idx="43">
                  <c:v>8.5700000000000001E-4</c:v>
                </c:pt>
                <c:pt idx="44">
                  <c:v>6.1499999999999999E-4</c:v>
                </c:pt>
                <c:pt idx="45">
                  <c:v>5.8500000000000002E-4</c:v>
                </c:pt>
              </c:numCache>
            </c:numRef>
          </c:val>
          <c:extLst>
            <c:ext xmlns:c16="http://schemas.microsoft.com/office/drawing/2014/chart" uri="{C3380CC4-5D6E-409C-BE32-E72D297353CC}">
              <c16:uniqueId val="{0000000B-3453-415C-BEC6-E3D158FE4279}"/>
            </c:ext>
          </c:extLst>
        </c:ser>
        <c:ser>
          <c:idx val="1"/>
          <c:order val="1"/>
          <c:tx>
            <c:strRef>
              <c:f>'BANDHAN-USFOF'!$C$4</c:f>
              <c:strCache>
                <c:ptCount val="1"/>
                <c:pt idx="0">
                  <c:v>Portfolio as on - (30th April 2025)</c:v>
                </c:pt>
              </c:strCache>
            </c:strRef>
          </c:tx>
          <c:invertIfNegative val="0"/>
          <c:cat>
            <c:strRef>
              <c:f>'BANDHAN SCF'!$W$8:$W$53</c:f>
              <c:strCache>
                <c:ptCount val="46"/>
                <c:pt idx="0">
                  <c:v>Finance</c:v>
                </c:pt>
                <c:pt idx="1">
                  <c:v>Realty</c:v>
                </c:pt>
                <c:pt idx="2">
                  <c:v>Pharmaceuticals &amp; Biotechnology</c:v>
                </c:pt>
                <c:pt idx="3">
                  <c:v>Banks</c:v>
                </c:pt>
                <c:pt idx="4">
                  <c:v>Chemicals &amp; Petrochemicals</c:v>
                </c:pt>
                <c:pt idx="5">
                  <c:v>Textiles &amp; Apparels</c:v>
                </c:pt>
                <c:pt idx="6">
                  <c:v>Capital Markets</c:v>
                </c:pt>
                <c:pt idx="7">
                  <c:v>Industrial Products</c:v>
                </c:pt>
                <c:pt idx="8">
                  <c:v>Electrical Equipment</c:v>
                </c:pt>
                <c:pt idx="9">
                  <c:v>Consumer Durables</c:v>
                </c:pt>
                <c:pt idx="10">
                  <c:v>Healthcare Services</c:v>
                </c:pt>
                <c:pt idx="11">
                  <c:v>Agricultural Food &amp; other Products</c:v>
                </c:pt>
                <c:pt idx="12">
                  <c:v>Auto Components</c:v>
                </c:pt>
                <c:pt idx="13">
                  <c:v>Retailing</c:v>
                </c:pt>
                <c:pt idx="14">
                  <c:v>Commercial Services &amp; Supplies</c:v>
                </c:pt>
                <c:pt idx="15">
                  <c:v>Transport Services</c:v>
                </c:pt>
                <c:pt idx="16">
                  <c:v>Leisure Services</c:v>
                </c:pt>
                <c:pt idx="17">
                  <c:v>Construction</c:v>
                </c:pt>
                <c:pt idx="18">
                  <c:v>Industrial Manufacturing</c:v>
                </c:pt>
                <c:pt idx="19">
                  <c:v>Power</c:v>
                </c:pt>
                <c:pt idx="20">
                  <c:v>IT - Software</c:v>
                </c:pt>
                <c:pt idx="21">
                  <c:v>IT - Services</c:v>
                </c:pt>
                <c:pt idx="22">
                  <c:v>Beverages</c:v>
                </c:pt>
                <c:pt idx="23">
                  <c:v>IT - Hardware</c:v>
                </c:pt>
                <c:pt idx="24">
                  <c:v>Diversified Metals</c:v>
                </c:pt>
                <c:pt idx="25">
                  <c:v>Petroleum Products</c:v>
                </c:pt>
                <c:pt idx="26">
                  <c:v>Ferrous Metals</c:v>
                </c:pt>
                <c:pt idx="27">
                  <c:v>Food Products</c:v>
                </c:pt>
                <c:pt idx="28">
                  <c:v>Paper, Forest &amp; Jute Products</c:v>
                </c:pt>
                <c:pt idx="29">
                  <c:v>Miscellaneous</c:v>
                </c:pt>
                <c:pt idx="30">
                  <c:v>Fertilizers &amp; Agrochemicals</c:v>
                </c:pt>
                <c:pt idx="31">
                  <c:v>Diversified</c:v>
                </c:pt>
                <c:pt idx="32">
                  <c:v>Household Products</c:v>
                </c:pt>
                <c:pt idx="33">
                  <c:v>Entertainment</c:v>
                </c:pt>
                <c:pt idx="34">
                  <c:v>Aerospace &amp; Defense</c:v>
                </c:pt>
                <c:pt idx="35">
                  <c:v>Non - Ferrous Metals</c:v>
                </c:pt>
                <c:pt idx="36">
                  <c:v>Personal Products</c:v>
                </c:pt>
                <c:pt idx="37">
                  <c:v>Cement &amp; Cement Products</c:v>
                </c:pt>
                <c:pt idx="38">
                  <c:v>Gas</c:v>
                </c:pt>
                <c:pt idx="39">
                  <c:v>Other Utilities</c:v>
                </c:pt>
                <c:pt idx="40">
                  <c:v>Telecom - Equipment &amp; Accessories</c:v>
                </c:pt>
                <c:pt idx="41">
                  <c:v>Insurance</c:v>
                </c:pt>
                <c:pt idx="42">
                  <c:v>Automobiles</c:v>
                </c:pt>
                <c:pt idx="43">
                  <c:v>Minerals &amp; Mining</c:v>
                </c:pt>
                <c:pt idx="44">
                  <c:v>Healthcare Equipment &amp; Supplies</c:v>
                </c:pt>
                <c:pt idx="45">
                  <c:v>Diversified FMCG</c:v>
                </c:pt>
              </c:strCache>
            </c:strRef>
          </c:cat>
          <c:val>
            <c:numRef>
              <c:f>'BANDHAN-USFOF'!$C$5</c:f>
              <c:numCache>
                <c:formatCode>General</c:formatCode>
                <c:ptCount val="1"/>
                <c:pt idx="0">
                  <c:v>0</c:v>
                </c:pt>
              </c:numCache>
            </c:numRef>
          </c:val>
          <c:extLst>
            <c:ext xmlns:c16="http://schemas.microsoft.com/office/drawing/2014/chart" uri="{C3380CC4-5D6E-409C-BE32-E72D297353CC}">
              <c16:uniqueId val="{00000000-9EE4-4B2F-B2FB-001A9407A2C5}"/>
            </c:ext>
          </c:extLst>
        </c:ser>
        <c:ser>
          <c:idx val="2"/>
          <c:order val="2"/>
          <c:tx>
            <c:strRef>
              <c:f>'BANDHAN FCF'!$C$4</c:f>
              <c:strCache>
                <c:ptCount val="1"/>
                <c:pt idx="0">
                  <c:v>Portfolio as on - (30th April 2025)</c:v>
                </c:pt>
              </c:strCache>
            </c:strRef>
          </c:tx>
          <c:invertIfNegative val="0"/>
          <c:cat>
            <c:strRef>
              <c:f>'BANDHAN SCF'!$W$8:$W$53</c:f>
              <c:strCache>
                <c:ptCount val="46"/>
                <c:pt idx="0">
                  <c:v>Finance</c:v>
                </c:pt>
                <c:pt idx="1">
                  <c:v>Realty</c:v>
                </c:pt>
                <c:pt idx="2">
                  <c:v>Pharmaceuticals &amp; Biotechnology</c:v>
                </c:pt>
                <c:pt idx="3">
                  <c:v>Banks</c:v>
                </c:pt>
                <c:pt idx="4">
                  <c:v>Chemicals &amp; Petrochemicals</c:v>
                </c:pt>
                <c:pt idx="5">
                  <c:v>Textiles &amp; Apparels</c:v>
                </c:pt>
                <c:pt idx="6">
                  <c:v>Capital Markets</c:v>
                </c:pt>
                <c:pt idx="7">
                  <c:v>Industrial Products</c:v>
                </c:pt>
                <c:pt idx="8">
                  <c:v>Electrical Equipment</c:v>
                </c:pt>
                <c:pt idx="9">
                  <c:v>Consumer Durables</c:v>
                </c:pt>
                <c:pt idx="10">
                  <c:v>Healthcare Services</c:v>
                </c:pt>
                <c:pt idx="11">
                  <c:v>Agricultural Food &amp; other Products</c:v>
                </c:pt>
                <c:pt idx="12">
                  <c:v>Auto Components</c:v>
                </c:pt>
                <c:pt idx="13">
                  <c:v>Retailing</c:v>
                </c:pt>
                <c:pt idx="14">
                  <c:v>Commercial Services &amp; Supplies</c:v>
                </c:pt>
                <c:pt idx="15">
                  <c:v>Transport Services</c:v>
                </c:pt>
                <c:pt idx="16">
                  <c:v>Leisure Services</c:v>
                </c:pt>
                <c:pt idx="17">
                  <c:v>Construction</c:v>
                </c:pt>
                <c:pt idx="18">
                  <c:v>Industrial Manufacturing</c:v>
                </c:pt>
                <c:pt idx="19">
                  <c:v>Power</c:v>
                </c:pt>
                <c:pt idx="20">
                  <c:v>IT - Software</c:v>
                </c:pt>
                <c:pt idx="21">
                  <c:v>IT - Services</c:v>
                </c:pt>
                <c:pt idx="22">
                  <c:v>Beverages</c:v>
                </c:pt>
                <c:pt idx="23">
                  <c:v>IT - Hardware</c:v>
                </c:pt>
                <c:pt idx="24">
                  <c:v>Diversified Metals</c:v>
                </c:pt>
                <c:pt idx="25">
                  <c:v>Petroleum Products</c:v>
                </c:pt>
                <c:pt idx="26">
                  <c:v>Ferrous Metals</c:v>
                </c:pt>
                <c:pt idx="27">
                  <c:v>Food Products</c:v>
                </c:pt>
                <c:pt idx="28">
                  <c:v>Paper, Forest &amp; Jute Products</c:v>
                </c:pt>
                <c:pt idx="29">
                  <c:v>Miscellaneous</c:v>
                </c:pt>
                <c:pt idx="30">
                  <c:v>Fertilizers &amp; Agrochemicals</c:v>
                </c:pt>
                <c:pt idx="31">
                  <c:v>Diversified</c:v>
                </c:pt>
                <c:pt idx="32">
                  <c:v>Household Products</c:v>
                </c:pt>
                <c:pt idx="33">
                  <c:v>Entertainment</c:v>
                </c:pt>
                <c:pt idx="34">
                  <c:v>Aerospace &amp; Defense</c:v>
                </c:pt>
                <c:pt idx="35">
                  <c:v>Non - Ferrous Metals</c:v>
                </c:pt>
                <c:pt idx="36">
                  <c:v>Personal Products</c:v>
                </c:pt>
                <c:pt idx="37">
                  <c:v>Cement &amp; Cement Products</c:v>
                </c:pt>
                <c:pt idx="38">
                  <c:v>Gas</c:v>
                </c:pt>
                <c:pt idx="39">
                  <c:v>Other Utilities</c:v>
                </c:pt>
                <c:pt idx="40">
                  <c:v>Telecom - Equipment &amp; Accessories</c:v>
                </c:pt>
                <c:pt idx="41">
                  <c:v>Insurance</c:v>
                </c:pt>
                <c:pt idx="42">
                  <c:v>Automobiles</c:v>
                </c:pt>
                <c:pt idx="43">
                  <c:v>Minerals &amp; Mining</c:v>
                </c:pt>
                <c:pt idx="44">
                  <c:v>Healthcare Equipment &amp; Supplies</c:v>
                </c:pt>
                <c:pt idx="45">
                  <c:v>Diversified FMCG</c:v>
                </c:pt>
              </c:strCache>
            </c:strRef>
          </c:cat>
          <c:val>
            <c:numRef>
              <c:f>'BANDHAN FCF'!$C$5</c:f>
              <c:numCache>
                <c:formatCode>General</c:formatCode>
                <c:ptCount val="1"/>
                <c:pt idx="0">
                  <c:v>0</c:v>
                </c:pt>
              </c:numCache>
            </c:numRef>
          </c:val>
          <c:extLst>
            <c:ext xmlns:c16="http://schemas.microsoft.com/office/drawing/2014/chart" uri="{C3380CC4-5D6E-409C-BE32-E72D297353CC}">
              <c16:uniqueId val="{00000001-9EE4-4B2F-B2FB-001A9407A2C5}"/>
            </c:ext>
          </c:extLst>
        </c:ser>
        <c:ser>
          <c:idx val="3"/>
          <c:order val="3"/>
          <c:tx>
            <c:strRef>
              <c:f>'BANDHAN-USFOF'!$C$4</c:f>
              <c:strCache>
                <c:ptCount val="1"/>
                <c:pt idx="0">
                  <c:v>Portfolio as on - (30th April 2025)</c:v>
                </c:pt>
              </c:strCache>
            </c:strRef>
          </c:tx>
          <c:invertIfNegative val="0"/>
          <c:cat>
            <c:strRef>
              <c:f>'BANDHAN SCF'!$W$8:$W$53</c:f>
              <c:strCache>
                <c:ptCount val="46"/>
                <c:pt idx="0">
                  <c:v>Finance</c:v>
                </c:pt>
                <c:pt idx="1">
                  <c:v>Realty</c:v>
                </c:pt>
                <c:pt idx="2">
                  <c:v>Pharmaceuticals &amp; Biotechnology</c:v>
                </c:pt>
                <c:pt idx="3">
                  <c:v>Banks</c:v>
                </c:pt>
                <c:pt idx="4">
                  <c:v>Chemicals &amp; Petrochemicals</c:v>
                </c:pt>
                <c:pt idx="5">
                  <c:v>Textiles &amp; Apparels</c:v>
                </c:pt>
                <c:pt idx="6">
                  <c:v>Capital Markets</c:v>
                </c:pt>
                <c:pt idx="7">
                  <c:v>Industrial Products</c:v>
                </c:pt>
                <c:pt idx="8">
                  <c:v>Electrical Equipment</c:v>
                </c:pt>
                <c:pt idx="9">
                  <c:v>Consumer Durables</c:v>
                </c:pt>
                <c:pt idx="10">
                  <c:v>Healthcare Services</c:v>
                </c:pt>
                <c:pt idx="11">
                  <c:v>Agricultural Food &amp; other Products</c:v>
                </c:pt>
                <c:pt idx="12">
                  <c:v>Auto Components</c:v>
                </c:pt>
                <c:pt idx="13">
                  <c:v>Retailing</c:v>
                </c:pt>
                <c:pt idx="14">
                  <c:v>Commercial Services &amp; Supplies</c:v>
                </c:pt>
                <c:pt idx="15">
                  <c:v>Transport Services</c:v>
                </c:pt>
                <c:pt idx="16">
                  <c:v>Leisure Services</c:v>
                </c:pt>
                <c:pt idx="17">
                  <c:v>Construction</c:v>
                </c:pt>
                <c:pt idx="18">
                  <c:v>Industrial Manufacturing</c:v>
                </c:pt>
                <c:pt idx="19">
                  <c:v>Power</c:v>
                </c:pt>
                <c:pt idx="20">
                  <c:v>IT - Software</c:v>
                </c:pt>
                <c:pt idx="21">
                  <c:v>IT - Services</c:v>
                </c:pt>
                <c:pt idx="22">
                  <c:v>Beverages</c:v>
                </c:pt>
                <c:pt idx="23">
                  <c:v>IT - Hardware</c:v>
                </c:pt>
                <c:pt idx="24">
                  <c:v>Diversified Metals</c:v>
                </c:pt>
                <c:pt idx="25">
                  <c:v>Petroleum Products</c:v>
                </c:pt>
                <c:pt idx="26">
                  <c:v>Ferrous Metals</c:v>
                </c:pt>
                <c:pt idx="27">
                  <c:v>Food Products</c:v>
                </c:pt>
                <c:pt idx="28">
                  <c:v>Paper, Forest &amp; Jute Products</c:v>
                </c:pt>
                <c:pt idx="29">
                  <c:v>Miscellaneous</c:v>
                </c:pt>
                <c:pt idx="30">
                  <c:v>Fertilizers &amp; Agrochemicals</c:v>
                </c:pt>
                <c:pt idx="31">
                  <c:v>Diversified</c:v>
                </c:pt>
                <c:pt idx="32">
                  <c:v>Household Products</c:v>
                </c:pt>
                <c:pt idx="33">
                  <c:v>Entertainment</c:v>
                </c:pt>
                <c:pt idx="34">
                  <c:v>Aerospace &amp; Defense</c:v>
                </c:pt>
                <c:pt idx="35">
                  <c:v>Non - Ferrous Metals</c:v>
                </c:pt>
                <c:pt idx="36">
                  <c:v>Personal Products</c:v>
                </c:pt>
                <c:pt idx="37">
                  <c:v>Cement &amp; Cement Products</c:v>
                </c:pt>
                <c:pt idx="38">
                  <c:v>Gas</c:v>
                </c:pt>
                <c:pt idx="39">
                  <c:v>Other Utilities</c:v>
                </c:pt>
                <c:pt idx="40">
                  <c:v>Telecom - Equipment &amp; Accessories</c:v>
                </c:pt>
                <c:pt idx="41">
                  <c:v>Insurance</c:v>
                </c:pt>
                <c:pt idx="42">
                  <c:v>Automobiles</c:v>
                </c:pt>
                <c:pt idx="43">
                  <c:v>Minerals &amp; Mining</c:v>
                </c:pt>
                <c:pt idx="44">
                  <c:v>Healthcare Equipment &amp; Supplies</c:v>
                </c:pt>
                <c:pt idx="45">
                  <c:v>Diversified FMCG</c:v>
                </c:pt>
              </c:strCache>
            </c:strRef>
          </c:cat>
          <c:val>
            <c:numRef>
              <c:f>'BANDHAN-USFOF'!$C$5</c:f>
              <c:numCache>
                <c:formatCode>General</c:formatCode>
                <c:ptCount val="1"/>
                <c:pt idx="0">
                  <c:v>0</c:v>
                </c:pt>
              </c:numCache>
            </c:numRef>
          </c:val>
          <c:extLst>
            <c:ext xmlns:c16="http://schemas.microsoft.com/office/drawing/2014/chart" uri="{C3380CC4-5D6E-409C-BE32-E72D297353CC}">
              <c16:uniqueId val="{00000000-3D2C-4A7B-AF7C-82A145680A12}"/>
            </c:ext>
          </c:extLst>
        </c:ser>
        <c:dLbls>
          <c:showLegendKey val="0"/>
          <c:showVal val="0"/>
          <c:showCatName val="0"/>
          <c:showSerName val="0"/>
          <c:showPercent val="0"/>
          <c:showBubbleSize val="0"/>
        </c:dLbls>
        <c:gapWidth val="150"/>
        <c:axId val="154933248"/>
        <c:axId val="155010176"/>
      </c:barChart>
      <c:catAx>
        <c:axId val="154933248"/>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55010176"/>
        <c:crosses val="autoZero"/>
        <c:auto val="1"/>
        <c:lblAlgn val="ctr"/>
        <c:lblOffset val="100"/>
        <c:tickLblSkip val="1"/>
        <c:noMultiLvlLbl val="0"/>
      </c:catAx>
      <c:valAx>
        <c:axId val="155010176"/>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54933248"/>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1.7839346574215532E-2"/>
          <c:y val="1.6913311367993896E-2"/>
          <c:w val="0.96726190476189999"/>
          <c:h val="0.71575371377546881"/>
        </c:manualLayout>
      </c:layout>
      <c:barChart>
        <c:barDir val="col"/>
        <c:grouping val="clustered"/>
        <c:varyColors val="0"/>
        <c:ser>
          <c:idx val="0"/>
          <c:order val="0"/>
          <c:tx>
            <c:strRef>
              <c:f>'BANDHAN IF'!$X$7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5418-43C6-9B13-9F9B4F46A06F}"/>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418-43C6-9B13-9F9B4F46A06F}"/>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5418-43C6-9B13-9F9B4F46A06F}"/>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5418-43C6-9B13-9F9B4F46A06F}"/>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5418-43C6-9B13-9F9B4F46A06F}"/>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5418-43C6-9B13-9F9B4F46A06F}"/>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5418-43C6-9B13-9F9B4F46A06F}"/>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5418-43C6-9B13-9F9B4F46A06F}"/>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5418-43C6-9B13-9F9B4F46A06F}"/>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5418-43C6-9B13-9F9B4F46A06F}"/>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5418-43C6-9B13-9F9B4F46A06F}"/>
                </c:ext>
              </c:extLst>
            </c:dLbl>
            <c:dLbl>
              <c:idx val="14"/>
              <c:numFmt formatCode="0.00%" sourceLinked="0"/>
              <c:spPr/>
              <c:txPr>
                <a:bodyPr/>
                <a:lstStyle/>
                <a:p>
                  <a:pPr>
                    <a:defRPr lang="en-IN"/>
                  </a:pPr>
                  <a:endParaRPr lang="en-US"/>
                </a:p>
              </c:txPr>
              <c:showLegendKey val="0"/>
              <c:showVal val="1"/>
              <c:showCatName val="0"/>
              <c:showSerName val="0"/>
              <c:showPercent val="0"/>
              <c:showBubbleSize val="0"/>
              <c:extLst>
                <c:ext xmlns:c16="http://schemas.microsoft.com/office/drawing/2014/chart" uri="{C3380CC4-5D6E-409C-BE32-E72D297353CC}">
                  <c16:uniqueId val="{00000000-A1BB-4553-A740-FB3509C9DB6B}"/>
                </c:ext>
              </c:extLst>
            </c:dLbl>
            <c:dLbl>
              <c:idx val="15"/>
              <c:numFmt formatCode="0.00%" sourceLinked="0"/>
              <c:spPr/>
              <c:txPr>
                <a:bodyPr/>
                <a:lstStyle/>
                <a:p>
                  <a:pPr>
                    <a:defRPr lang="en-IN"/>
                  </a:pPr>
                  <a:endParaRPr lang="en-US"/>
                </a:p>
              </c:txPr>
              <c:showLegendKey val="0"/>
              <c:showVal val="1"/>
              <c:showCatName val="0"/>
              <c:showSerName val="0"/>
              <c:showPercent val="0"/>
              <c:showBubbleSize val="0"/>
              <c:extLst>
                <c:ext xmlns:c16="http://schemas.microsoft.com/office/drawing/2014/chart" uri="{C3380CC4-5D6E-409C-BE32-E72D297353CC}">
                  <c16:uniqueId val="{00000001-A1BB-4553-A740-FB3509C9DB6B}"/>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IF'!$W$8:$W$29</c:f>
              <c:strCache>
                <c:ptCount val="22"/>
                <c:pt idx="0">
                  <c:v>Construction</c:v>
                </c:pt>
                <c:pt idx="1">
                  <c:v>Electrical Equipment</c:v>
                </c:pt>
                <c:pt idx="2">
                  <c:v>Power</c:v>
                </c:pt>
                <c:pt idx="3">
                  <c:v>Industrial Products</c:v>
                </c:pt>
                <c:pt idx="4">
                  <c:v>Transport Services</c:v>
                </c:pt>
                <c:pt idx="5">
                  <c:v>Telecom - Services</c:v>
                </c:pt>
                <c:pt idx="6">
                  <c:v>Auto Components</c:v>
                </c:pt>
                <c:pt idx="7">
                  <c:v>Petroleum Products</c:v>
                </c:pt>
                <c:pt idx="8">
                  <c:v>Industrial Manufacturing</c:v>
                </c:pt>
                <c:pt idx="9">
                  <c:v>Aerospace &amp; Defense</c:v>
                </c:pt>
                <c:pt idx="10">
                  <c:v>Cement &amp; Cement Products</c:v>
                </c:pt>
                <c:pt idx="11">
                  <c:v>Transport Infrastructure</c:v>
                </c:pt>
                <c:pt idx="12">
                  <c:v>Gas</c:v>
                </c:pt>
                <c:pt idx="13">
                  <c:v>Finance</c:v>
                </c:pt>
                <c:pt idx="14">
                  <c:v>Healthcare Services</c:v>
                </c:pt>
                <c:pt idx="15">
                  <c:v>Ferrous Metals</c:v>
                </c:pt>
                <c:pt idx="16">
                  <c:v>Chemicals &amp; Petrochemicals</c:v>
                </c:pt>
                <c:pt idx="17">
                  <c:v>Diversified</c:v>
                </c:pt>
                <c:pt idx="18">
                  <c:v>Diversified Metals</c:v>
                </c:pt>
                <c:pt idx="19">
                  <c:v>Consumer Durables</c:v>
                </c:pt>
                <c:pt idx="20">
                  <c:v>Minerals &amp; Mining</c:v>
                </c:pt>
                <c:pt idx="21">
                  <c:v>Leisure Services</c:v>
                </c:pt>
              </c:strCache>
            </c:strRef>
          </c:cat>
          <c:val>
            <c:numRef>
              <c:f>'BANDHAN IF'!$X$8:$X$29</c:f>
              <c:numCache>
                <c:formatCode>0.00%</c:formatCode>
                <c:ptCount val="22"/>
                <c:pt idx="0">
                  <c:v>0.20261899999999999</c:v>
                </c:pt>
                <c:pt idx="1">
                  <c:v>0.10034800000000001</c:v>
                </c:pt>
                <c:pt idx="2">
                  <c:v>9.8723000000000005E-2</c:v>
                </c:pt>
                <c:pt idx="3">
                  <c:v>8.5248999999999991E-2</c:v>
                </c:pt>
                <c:pt idx="4">
                  <c:v>5.8255999999999995E-2</c:v>
                </c:pt>
                <c:pt idx="5">
                  <c:v>5.0714000000000002E-2</c:v>
                </c:pt>
                <c:pt idx="6">
                  <c:v>4.0738000000000003E-2</c:v>
                </c:pt>
                <c:pt idx="7">
                  <c:v>4.0328999999999997E-2</c:v>
                </c:pt>
                <c:pt idx="8">
                  <c:v>3.9396E-2</c:v>
                </c:pt>
                <c:pt idx="9">
                  <c:v>3.78E-2</c:v>
                </c:pt>
                <c:pt idx="10">
                  <c:v>3.7238E-2</c:v>
                </c:pt>
                <c:pt idx="11">
                  <c:v>3.2976000000000005E-2</c:v>
                </c:pt>
                <c:pt idx="12">
                  <c:v>3.1237000000000001E-2</c:v>
                </c:pt>
                <c:pt idx="13">
                  <c:v>2.7244000000000001E-2</c:v>
                </c:pt>
                <c:pt idx="14">
                  <c:v>1.9271E-2</c:v>
                </c:pt>
                <c:pt idx="15">
                  <c:v>1.7454999999999998E-2</c:v>
                </c:pt>
                <c:pt idx="16">
                  <c:v>1.6167999999999998E-2</c:v>
                </c:pt>
                <c:pt idx="17">
                  <c:v>9.9559999999999996E-3</c:v>
                </c:pt>
                <c:pt idx="18">
                  <c:v>8.1180000000000002E-3</c:v>
                </c:pt>
                <c:pt idx="19">
                  <c:v>6.1599999999999997E-3</c:v>
                </c:pt>
                <c:pt idx="20">
                  <c:v>5.0759999999999998E-3</c:v>
                </c:pt>
                <c:pt idx="21">
                  <c:v>2.5100000000000001E-3</c:v>
                </c:pt>
              </c:numCache>
            </c:numRef>
          </c:val>
          <c:extLst>
            <c:ext xmlns:c16="http://schemas.microsoft.com/office/drawing/2014/chart" uri="{C3380CC4-5D6E-409C-BE32-E72D297353CC}">
              <c16:uniqueId val="{0000000D-5418-43C6-9B13-9F9B4F46A06F}"/>
            </c:ext>
          </c:extLst>
        </c:ser>
        <c:dLbls>
          <c:showLegendKey val="0"/>
          <c:showVal val="0"/>
          <c:showCatName val="0"/>
          <c:showSerName val="0"/>
          <c:showPercent val="0"/>
          <c:showBubbleSize val="0"/>
        </c:dLbls>
        <c:gapWidth val="150"/>
        <c:axId val="155862528"/>
        <c:axId val="155015360"/>
      </c:barChart>
      <c:catAx>
        <c:axId val="155862528"/>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55015360"/>
        <c:crosses val="autoZero"/>
        <c:auto val="1"/>
        <c:lblAlgn val="ctr"/>
        <c:lblOffset val="100"/>
        <c:tickLblSkip val="1"/>
        <c:noMultiLvlLbl val="0"/>
      </c:catAx>
      <c:valAx>
        <c:axId val="155015360"/>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55862528"/>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33" l="0.70000000000000062" r="0.70000000000000062" t="0.75000000000000533" header="0.30000000000000032" footer="0.30000000000000032"/>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1.6539414597069316E-2"/>
          <c:y val="1.8895707103645184E-2"/>
          <c:w val="0.96692117080586137"/>
          <c:h val="0.57234435549851026"/>
        </c:manualLayout>
      </c:layout>
      <c:barChart>
        <c:barDir val="col"/>
        <c:grouping val="clustered"/>
        <c:varyColors val="0"/>
        <c:ser>
          <c:idx val="0"/>
          <c:order val="0"/>
          <c:tx>
            <c:strRef>
              <c:f>'BANDHAN TLF'!$X$7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5C4A-4AF9-822B-F70F86809322}"/>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C4A-4AF9-822B-F70F86809322}"/>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5C4A-4AF9-822B-F70F86809322}"/>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5C4A-4AF9-822B-F70F86809322}"/>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5C4A-4AF9-822B-F70F86809322}"/>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5C4A-4AF9-822B-F70F86809322}"/>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5C4A-4AF9-822B-F70F86809322}"/>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5C4A-4AF9-822B-F70F86809322}"/>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5C4A-4AF9-822B-F70F86809322}"/>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5C4A-4AF9-822B-F70F86809322}"/>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5C4A-4AF9-822B-F70F86809322}"/>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5C4A-4AF9-822B-F70F86809322}"/>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5C4A-4AF9-822B-F70F86809322}"/>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5C4A-4AF9-822B-F70F86809322}"/>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5C4A-4AF9-822B-F70F86809322}"/>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5C4A-4AF9-822B-F70F86809322}"/>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5C4A-4AF9-822B-F70F86809322}"/>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5C4A-4AF9-822B-F70F86809322}"/>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TLF'!$W$8:$W$16</c:f>
              <c:strCache>
                <c:ptCount val="9"/>
                <c:pt idx="0">
                  <c:v>Automobiles</c:v>
                </c:pt>
                <c:pt idx="1">
                  <c:v>Auto Components</c:v>
                </c:pt>
                <c:pt idx="2">
                  <c:v>Transport Services</c:v>
                </c:pt>
                <c:pt idx="3">
                  <c:v>Retailing</c:v>
                </c:pt>
                <c:pt idx="4">
                  <c:v>Agricultural, Commercial &amp; Construction Vehicles</c:v>
                </c:pt>
                <c:pt idx="5">
                  <c:v>Finance</c:v>
                </c:pt>
                <c:pt idx="6">
                  <c:v>Consumer Durables</c:v>
                </c:pt>
                <c:pt idx="7">
                  <c:v>Leisure Services</c:v>
                </c:pt>
                <c:pt idx="8">
                  <c:v>Industrial Products</c:v>
                </c:pt>
              </c:strCache>
            </c:strRef>
          </c:cat>
          <c:val>
            <c:numRef>
              <c:f>'BANDHAN TLF'!$X$8:$X$16</c:f>
              <c:numCache>
                <c:formatCode>0.00%</c:formatCode>
                <c:ptCount val="9"/>
                <c:pt idx="0">
                  <c:v>0.46568999999999999</c:v>
                </c:pt>
                <c:pt idx="1">
                  <c:v>0.25949300000000003</c:v>
                </c:pt>
                <c:pt idx="2">
                  <c:v>0.112859</c:v>
                </c:pt>
                <c:pt idx="3">
                  <c:v>3.1747999999999998E-2</c:v>
                </c:pt>
                <c:pt idx="4">
                  <c:v>1.9071000000000001E-2</c:v>
                </c:pt>
                <c:pt idx="5">
                  <c:v>1.7513000000000001E-2</c:v>
                </c:pt>
                <c:pt idx="6">
                  <c:v>1.3474E-2</c:v>
                </c:pt>
                <c:pt idx="7">
                  <c:v>1.2179000000000001E-2</c:v>
                </c:pt>
                <c:pt idx="8">
                  <c:v>1.0611000000000001E-2</c:v>
                </c:pt>
              </c:numCache>
            </c:numRef>
          </c:val>
          <c:extLst>
            <c:ext xmlns:c16="http://schemas.microsoft.com/office/drawing/2014/chart" uri="{C3380CC4-5D6E-409C-BE32-E72D297353CC}">
              <c16:uniqueId val="{00000012-5C4A-4AF9-822B-F70F86809322}"/>
            </c:ext>
          </c:extLst>
        </c:ser>
        <c:dLbls>
          <c:showLegendKey val="0"/>
          <c:showVal val="0"/>
          <c:showCatName val="0"/>
          <c:showSerName val="0"/>
          <c:showPercent val="0"/>
          <c:showBubbleSize val="0"/>
        </c:dLbls>
        <c:gapWidth val="150"/>
        <c:axId val="170020352"/>
        <c:axId val="168868032"/>
      </c:barChart>
      <c:catAx>
        <c:axId val="170020352"/>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68868032"/>
        <c:crosses val="autoZero"/>
        <c:auto val="1"/>
        <c:lblAlgn val="ctr"/>
        <c:lblOffset val="100"/>
        <c:tickLblSkip val="1"/>
        <c:noMultiLvlLbl val="0"/>
      </c:catAx>
      <c:valAx>
        <c:axId val="168868032"/>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70020352"/>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44" l="0.70000000000000062" r="0.70000000000000062" t="0.75000000000000544" header="0.30000000000000032" footer="0.30000000000000032"/>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1.6539414597069316E-2"/>
          <c:y val="1.8895707103645184E-2"/>
          <c:w val="0.96692117080586137"/>
          <c:h val="0.57234435549851026"/>
        </c:manualLayout>
      </c:layout>
      <c:barChart>
        <c:barDir val="col"/>
        <c:grouping val="clustered"/>
        <c:varyColors val="0"/>
        <c:ser>
          <c:idx val="0"/>
          <c:order val="0"/>
          <c:tx>
            <c:strRef>
              <c:f>'BANDHAN FSF'!$X$7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3AE3-4EEB-B630-B9314AF5FD1C}"/>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AE3-4EEB-B630-B9314AF5FD1C}"/>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3AE3-4EEB-B630-B9314AF5FD1C}"/>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AE3-4EEB-B630-B9314AF5FD1C}"/>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3AE3-4EEB-B630-B9314AF5FD1C}"/>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3AE3-4EEB-B630-B9314AF5FD1C}"/>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3AE3-4EEB-B630-B9314AF5FD1C}"/>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3AE3-4EEB-B630-B9314AF5FD1C}"/>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3AE3-4EEB-B630-B9314AF5FD1C}"/>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3AE3-4EEB-B630-B9314AF5FD1C}"/>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3AE3-4EEB-B630-B9314AF5FD1C}"/>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3AE3-4EEB-B630-B9314AF5FD1C}"/>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3AE3-4EEB-B630-B9314AF5FD1C}"/>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3AE3-4EEB-B630-B9314AF5FD1C}"/>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3AE3-4EEB-B630-B9314AF5FD1C}"/>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3AE3-4EEB-B630-B9314AF5FD1C}"/>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3AE3-4EEB-B630-B9314AF5FD1C}"/>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3AE3-4EEB-B630-B9314AF5FD1C}"/>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FSF'!$W$8:$W$12</c:f>
              <c:strCache>
                <c:ptCount val="5"/>
                <c:pt idx="0">
                  <c:v>Banks</c:v>
                </c:pt>
                <c:pt idx="1">
                  <c:v>Finance</c:v>
                </c:pt>
                <c:pt idx="2">
                  <c:v>Insurance</c:v>
                </c:pt>
                <c:pt idx="3">
                  <c:v>Financial Technology (Fintech)</c:v>
                </c:pt>
                <c:pt idx="4">
                  <c:v>Capital Markets</c:v>
                </c:pt>
              </c:strCache>
            </c:strRef>
          </c:cat>
          <c:val>
            <c:numRef>
              <c:f>'BANDHAN FSF'!$X$8:$X$12</c:f>
              <c:numCache>
                <c:formatCode>0.00%</c:formatCode>
                <c:ptCount val="5"/>
                <c:pt idx="0">
                  <c:v>0.54197499999999987</c:v>
                </c:pt>
                <c:pt idx="1">
                  <c:v>0.25633299999999998</c:v>
                </c:pt>
                <c:pt idx="2">
                  <c:v>8.1848000000000004E-2</c:v>
                </c:pt>
                <c:pt idx="3">
                  <c:v>3.9349000000000002E-2</c:v>
                </c:pt>
                <c:pt idx="4">
                  <c:v>1.7390000000000003E-2</c:v>
                </c:pt>
              </c:numCache>
            </c:numRef>
          </c:val>
          <c:extLst>
            <c:ext xmlns:c16="http://schemas.microsoft.com/office/drawing/2014/chart" uri="{C3380CC4-5D6E-409C-BE32-E72D297353CC}">
              <c16:uniqueId val="{00000012-3AE3-4EEB-B630-B9314AF5FD1C}"/>
            </c:ext>
          </c:extLst>
        </c:ser>
        <c:ser>
          <c:idx val="1"/>
          <c:order val="1"/>
          <c:tx>
            <c:strRef>
              <c:f>'BANDHAN TLF'!$C$4</c:f>
              <c:strCache>
                <c:ptCount val="1"/>
                <c:pt idx="0">
                  <c:v>Portfolio as on - (30th April 2025)</c:v>
                </c:pt>
              </c:strCache>
            </c:strRef>
          </c:tx>
          <c:invertIfNegative val="0"/>
          <c:cat>
            <c:strRef>
              <c:f>'BANDHAN FSF'!$W$8:$W$12</c:f>
              <c:strCache>
                <c:ptCount val="5"/>
                <c:pt idx="0">
                  <c:v>Banks</c:v>
                </c:pt>
                <c:pt idx="1">
                  <c:v>Finance</c:v>
                </c:pt>
                <c:pt idx="2">
                  <c:v>Insurance</c:v>
                </c:pt>
                <c:pt idx="3">
                  <c:v>Financial Technology (Fintech)</c:v>
                </c:pt>
                <c:pt idx="4">
                  <c:v>Capital Markets</c:v>
                </c:pt>
              </c:strCache>
            </c:strRef>
          </c:cat>
          <c:val>
            <c:numRef>
              <c:f>'BANDHAN TLF'!$C$5</c:f>
              <c:numCache>
                <c:formatCode>General</c:formatCode>
                <c:ptCount val="1"/>
                <c:pt idx="0">
                  <c:v>0</c:v>
                </c:pt>
              </c:numCache>
            </c:numRef>
          </c:val>
          <c:extLst>
            <c:ext xmlns:c16="http://schemas.microsoft.com/office/drawing/2014/chart" uri="{C3380CC4-5D6E-409C-BE32-E72D297353CC}">
              <c16:uniqueId val="{00000001-6033-4E3A-B55C-8750633880BB}"/>
            </c:ext>
          </c:extLst>
        </c:ser>
        <c:dLbls>
          <c:showLegendKey val="0"/>
          <c:showVal val="0"/>
          <c:showCatName val="0"/>
          <c:showSerName val="0"/>
          <c:showPercent val="0"/>
          <c:showBubbleSize val="0"/>
        </c:dLbls>
        <c:gapWidth val="150"/>
        <c:axId val="170020352"/>
        <c:axId val="168868032"/>
      </c:barChart>
      <c:catAx>
        <c:axId val="170020352"/>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68868032"/>
        <c:crosses val="autoZero"/>
        <c:auto val="1"/>
        <c:lblAlgn val="ctr"/>
        <c:lblOffset val="100"/>
        <c:tickLblSkip val="1"/>
        <c:noMultiLvlLbl val="0"/>
      </c:catAx>
      <c:valAx>
        <c:axId val="168868032"/>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70020352"/>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44" l="0.70000000000000062" r="0.70000000000000062" t="0.75000000000000544" header="0.30000000000000032" footer="0.30000000000000032"/>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2.3809523809523812E-2"/>
          <c:y val="1.6913319238900808E-2"/>
          <c:w val="0.96726190476189999"/>
          <c:h val="0.71575371377546881"/>
        </c:manualLayout>
      </c:layout>
      <c:barChart>
        <c:barDir val="col"/>
        <c:grouping val="clustered"/>
        <c:varyColors val="0"/>
        <c:ser>
          <c:idx val="0"/>
          <c:order val="0"/>
          <c:tx>
            <c:strRef>
              <c:f>'BANDHAN INNOV'!$X$7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1944-4F14-B58A-5C02258C4E5E}"/>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944-4F14-B58A-5C02258C4E5E}"/>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1944-4F14-B58A-5C02258C4E5E}"/>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1944-4F14-B58A-5C02258C4E5E}"/>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1944-4F14-B58A-5C02258C4E5E}"/>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1944-4F14-B58A-5C02258C4E5E}"/>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1944-4F14-B58A-5C02258C4E5E}"/>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1944-4F14-B58A-5C02258C4E5E}"/>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1944-4F14-B58A-5C02258C4E5E}"/>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1944-4F14-B58A-5C02258C4E5E}"/>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1944-4F14-B58A-5C02258C4E5E}"/>
                </c:ext>
              </c:extLst>
            </c:dLbl>
            <c:dLbl>
              <c:idx val="14"/>
              <c:numFmt formatCode="0.00%" sourceLinked="0"/>
              <c:spPr/>
              <c:txPr>
                <a:bodyPr/>
                <a:lstStyle/>
                <a:p>
                  <a:pPr>
                    <a:defRPr lang="en-IN"/>
                  </a:pPr>
                  <a:endParaRPr lang="en-US"/>
                </a:p>
              </c:txPr>
              <c:showLegendKey val="0"/>
              <c:showVal val="1"/>
              <c:showCatName val="0"/>
              <c:showSerName val="0"/>
              <c:showPercent val="0"/>
              <c:showBubbleSize val="0"/>
              <c:extLst>
                <c:ext xmlns:c16="http://schemas.microsoft.com/office/drawing/2014/chart" uri="{C3380CC4-5D6E-409C-BE32-E72D297353CC}">
                  <c16:uniqueId val="{0000000B-1944-4F14-B58A-5C02258C4E5E}"/>
                </c:ext>
              </c:extLst>
            </c:dLbl>
            <c:dLbl>
              <c:idx val="15"/>
              <c:numFmt formatCode="0.00%" sourceLinked="0"/>
              <c:spPr/>
              <c:txPr>
                <a:bodyPr/>
                <a:lstStyle/>
                <a:p>
                  <a:pPr>
                    <a:defRPr lang="en-IN"/>
                  </a:pPr>
                  <a:endParaRPr lang="en-US"/>
                </a:p>
              </c:txPr>
              <c:showLegendKey val="0"/>
              <c:showVal val="1"/>
              <c:showCatName val="0"/>
              <c:showSerName val="0"/>
              <c:showPercent val="0"/>
              <c:showBubbleSize val="0"/>
              <c:extLst>
                <c:ext xmlns:c16="http://schemas.microsoft.com/office/drawing/2014/chart" uri="{C3380CC4-5D6E-409C-BE32-E72D297353CC}">
                  <c16:uniqueId val="{0000000C-1944-4F14-B58A-5C02258C4E5E}"/>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INNOV'!$W$8:$W$41</c:f>
              <c:strCache>
                <c:ptCount val="34"/>
                <c:pt idx="0">
                  <c:v>Pharmaceuticals &amp; Biotechnology</c:v>
                </c:pt>
                <c:pt idx="1">
                  <c:v>Retailing</c:v>
                </c:pt>
                <c:pt idx="2">
                  <c:v>Finance</c:v>
                </c:pt>
                <c:pt idx="3">
                  <c:v>Consumer Durables</c:v>
                </c:pt>
                <c:pt idx="4">
                  <c:v>IT - Software</c:v>
                </c:pt>
                <c:pt idx="5">
                  <c:v>IT - Services</c:v>
                </c:pt>
                <c:pt idx="6">
                  <c:v>Telecom - Services</c:v>
                </c:pt>
                <c:pt idx="7">
                  <c:v>Beverages</c:v>
                </c:pt>
                <c:pt idx="8">
                  <c:v>Healthcare Services</c:v>
                </c:pt>
                <c:pt idx="9">
                  <c:v>Financial Technology (Fintech)</c:v>
                </c:pt>
                <c:pt idx="10">
                  <c:v>Transport Services</c:v>
                </c:pt>
                <c:pt idx="11">
                  <c:v>Banks</c:v>
                </c:pt>
                <c:pt idx="12">
                  <c:v>Automobiles</c:v>
                </c:pt>
                <c:pt idx="13">
                  <c:v>Insurance</c:v>
                </c:pt>
                <c:pt idx="14">
                  <c:v>Electrical Equipment</c:v>
                </c:pt>
                <c:pt idx="15">
                  <c:v>Chemicals &amp; Petrochemicals</c:v>
                </c:pt>
                <c:pt idx="16">
                  <c:v>Realty</c:v>
                </c:pt>
                <c:pt idx="17">
                  <c:v>Auto Components</c:v>
                </c:pt>
                <c:pt idx="18">
                  <c:v>Leisure Services</c:v>
                </c:pt>
                <c:pt idx="19">
                  <c:v>Cement &amp; Cement Products</c:v>
                </c:pt>
                <c:pt idx="20">
                  <c:v>Power</c:v>
                </c:pt>
                <c:pt idx="21">
                  <c:v>Capital Markets</c:v>
                </c:pt>
                <c:pt idx="22">
                  <c:v>Industrial Manufacturing</c:v>
                </c:pt>
                <c:pt idx="23">
                  <c:v>Entertainment</c:v>
                </c:pt>
                <c:pt idx="24">
                  <c:v>Industrial Products</c:v>
                </c:pt>
                <c:pt idx="25">
                  <c:v>Petroleum Products</c:v>
                </c:pt>
                <c:pt idx="26">
                  <c:v>Diversified Metals</c:v>
                </c:pt>
                <c:pt idx="27">
                  <c:v>Commercial Services &amp; Supplies</c:v>
                </c:pt>
                <c:pt idx="28">
                  <c:v>Construction</c:v>
                </c:pt>
                <c:pt idx="29">
                  <c:v>Diversified</c:v>
                </c:pt>
                <c:pt idx="30">
                  <c:v>IT - Hardware</c:v>
                </c:pt>
                <c:pt idx="31">
                  <c:v>Telecom - Equipment &amp; Accessories</c:v>
                </c:pt>
                <c:pt idx="32">
                  <c:v>Fertilizers &amp; Agrochemicals</c:v>
                </c:pt>
                <c:pt idx="33">
                  <c:v>Aerospace &amp; Defense</c:v>
                </c:pt>
              </c:strCache>
            </c:strRef>
          </c:cat>
          <c:val>
            <c:numRef>
              <c:f>'BANDHAN INNOV'!$X$8:$X$41</c:f>
              <c:numCache>
                <c:formatCode>0.00%</c:formatCode>
                <c:ptCount val="34"/>
                <c:pt idx="0">
                  <c:v>0.11515599999999999</c:v>
                </c:pt>
                <c:pt idx="1">
                  <c:v>8.4083999999999992E-2</c:v>
                </c:pt>
                <c:pt idx="2">
                  <c:v>7.8109999999999999E-2</c:v>
                </c:pt>
                <c:pt idx="3">
                  <c:v>5.7757999999999997E-2</c:v>
                </c:pt>
                <c:pt idx="4">
                  <c:v>4.7789999999999999E-2</c:v>
                </c:pt>
                <c:pt idx="5">
                  <c:v>4.7737000000000002E-2</c:v>
                </c:pt>
                <c:pt idx="6">
                  <c:v>4.061E-2</c:v>
                </c:pt>
                <c:pt idx="7">
                  <c:v>4.0250000000000001E-2</c:v>
                </c:pt>
                <c:pt idx="8">
                  <c:v>3.9463999999999999E-2</c:v>
                </c:pt>
                <c:pt idx="9">
                  <c:v>3.9382E-2</c:v>
                </c:pt>
                <c:pt idx="10">
                  <c:v>3.8156999999999996E-2</c:v>
                </c:pt>
                <c:pt idx="11">
                  <c:v>3.5610999999999997E-2</c:v>
                </c:pt>
                <c:pt idx="12">
                  <c:v>2.8268999999999999E-2</c:v>
                </c:pt>
                <c:pt idx="13">
                  <c:v>2.5080000000000002E-2</c:v>
                </c:pt>
                <c:pt idx="14">
                  <c:v>2.1228999999999998E-2</c:v>
                </c:pt>
                <c:pt idx="15">
                  <c:v>2.1194999999999999E-2</c:v>
                </c:pt>
                <c:pt idx="16">
                  <c:v>2.0982000000000001E-2</c:v>
                </c:pt>
                <c:pt idx="17">
                  <c:v>2.0624999999999998E-2</c:v>
                </c:pt>
                <c:pt idx="18">
                  <c:v>2.0198000000000001E-2</c:v>
                </c:pt>
                <c:pt idx="19">
                  <c:v>1.9963000000000002E-2</c:v>
                </c:pt>
                <c:pt idx="20">
                  <c:v>1.8218000000000002E-2</c:v>
                </c:pt>
                <c:pt idx="21">
                  <c:v>1.7447999999999998E-2</c:v>
                </c:pt>
                <c:pt idx="22">
                  <c:v>1.6286999999999999E-2</c:v>
                </c:pt>
                <c:pt idx="23">
                  <c:v>1.4419000000000001E-2</c:v>
                </c:pt>
                <c:pt idx="24">
                  <c:v>1.3926000000000001E-2</c:v>
                </c:pt>
                <c:pt idx="25">
                  <c:v>1.034E-2</c:v>
                </c:pt>
                <c:pt idx="26">
                  <c:v>9.4669999999999997E-3</c:v>
                </c:pt>
                <c:pt idx="27">
                  <c:v>8.8190000000000004E-3</c:v>
                </c:pt>
                <c:pt idx="28">
                  <c:v>8.5400000000000007E-3</c:v>
                </c:pt>
                <c:pt idx="29">
                  <c:v>8.4869999999999998E-3</c:v>
                </c:pt>
                <c:pt idx="30">
                  <c:v>5.7679999999999997E-3</c:v>
                </c:pt>
                <c:pt idx="31">
                  <c:v>5.3740000000000003E-3</c:v>
                </c:pt>
                <c:pt idx="32">
                  <c:v>5.2180000000000004E-3</c:v>
                </c:pt>
                <c:pt idx="33">
                  <c:v>4.9750000000000003E-3</c:v>
                </c:pt>
              </c:numCache>
            </c:numRef>
          </c:val>
          <c:extLst>
            <c:ext xmlns:c16="http://schemas.microsoft.com/office/drawing/2014/chart" uri="{C3380CC4-5D6E-409C-BE32-E72D297353CC}">
              <c16:uniqueId val="{0000000D-1944-4F14-B58A-5C02258C4E5E}"/>
            </c:ext>
          </c:extLst>
        </c:ser>
        <c:dLbls>
          <c:showLegendKey val="0"/>
          <c:showVal val="0"/>
          <c:showCatName val="0"/>
          <c:showSerName val="0"/>
          <c:showPercent val="0"/>
          <c:showBubbleSize val="0"/>
        </c:dLbls>
        <c:gapWidth val="150"/>
        <c:axId val="155862528"/>
        <c:axId val="155015360"/>
      </c:barChart>
      <c:catAx>
        <c:axId val="155862528"/>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55015360"/>
        <c:crosses val="autoZero"/>
        <c:auto val="1"/>
        <c:lblAlgn val="ctr"/>
        <c:lblOffset val="100"/>
        <c:tickLblSkip val="1"/>
        <c:noMultiLvlLbl val="0"/>
      </c:catAx>
      <c:valAx>
        <c:axId val="155015360"/>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55862528"/>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33" l="0.70000000000000062" r="0.70000000000000062" t="0.75000000000000533" header="0.30000000000000032" footer="0.30000000000000032"/>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2.3809523809523812E-2"/>
          <c:y val="1.6913319238900808E-2"/>
          <c:w val="0.96726190476189999"/>
          <c:h val="0.71575371377546881"/>
        </c:manualLayout>
      </c:layout>
      <c:barChart>
        <c:barDir val="col"/>
        <c:grouping val="clustered"/>
        <c:varyColors val="0"/>
        <c:ser>
          <c:idx val="0"/>
          <c:order val="0"/>
          <c:tx>
            <c:strRef>
              <c:f>'BANDHAN BUSINESS CYCLE'!$X$7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EFAF-4F74-8226-8AE3CE8CA1F4}"/>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FAF-4F74-8226-8AE3CE8CA1F4}"/>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EFAF-4F74-8226-8AE3CE8CA1F4}"/>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FAF-4F74-8226-8AE3CE8CA1F4}"/>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EFAF-4F74-8226-8AE3CE8CA1F4}"/>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EFAF-4F74-8226-8AE3CE8CA1F4}"/>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EFAF-4F74-8226-8AE3CE8CA1F4}"/>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EFAF-4F74-8226-8AE3CE8CA1F4}"/>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EFAF-4F74-8226-8AE3CE8CA1F4}"/>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EFAF-4F74-8226-8AE3CE8CA1F4}"/>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EFAF-4F74-8226-8AE3CE8CA1F4}"/>
                </c:ext>
              </c:extLst>
            </c:dLbl>
            <c:dLbl>
              <c:idx val="14"/>
              <c:numFmt formatCode="0.00%" sourceLinked="0"/>
              <c:spPr/>
              <c:txPr>
                <a:bodyPr/>
                <a:lstStyle/>
                <a:p>
                  <a:pPr>
                    <a:defRPr lang="en-IN"/>
                  </a:pPr>
                  <a:endParaRPr lang="en-US"/>
                </a:p>
              </c:txPr>
              <c:showLegendKey val="0"/>
              <c:showVal val="1"/>
              <c:showCatName val="0"/>
              <c:showSerName val="0"/>
              <c:showPercent val="0"/>
              <c:showBubbleSize val="0"/>
              <c:extLst>
                <c:ext xmlns:c16="http://schemas.microsoft.com/office/drawing/2014/chart" uri="{C3380CC4-5D6E-409C-BE32-E72D297353CC}">
                  <c16:uniqueId val="{0000000B-EFAF-4F74-8226-8AE3CE8CA1F4}"/>
                </c:ext>
              </c:extLst>
            </c:dLbl>
            <c:dLbl>
              <c:idx val="15"/>
              <c:numFmt formatCode="0.00%" sourceLinked="0"/>
              <c:spPr/>
              <c:txPr>
                <a:bodyPr/>
                <a:lstStyle/>
                <a:p>
                  <a:pPr>
                    <a:defRPr lang="en-IN"/>
                  </a:pPr>
                  <a:endParaRPr lang="en-US"/>
                </a:p>
              </c:txPr>
              <c:showLegendKey val="0"/>
              <c:showVal val="1"/>
              <c:showCatName val="0"/>
              <c:showSerName val="0"/>
              <c:showPercent val="0"/>
              <c:showBubbleSize val="0"/>
              <c:extLst>
                <c:ext xmlns:c16="http://schemas.microsoft.com/office/drawing/2014/chart" uri="{C3380CC4-5D6E-409C-BE32-E72D297353CC}">
                  <c16:uniqueId val="{0000000C-EFAF-4F74-8226-8AE3CE8CA1F4}"/>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BUSINESS CYCLE'!$W$8:$W$42</c:f>
              <c:strCache>
                <c:ptCount val="35"/>
                <c:pt idx="0">
                  <c:v>Banks</c:v>
                </c:pt>
                <c:pt idx="1">
                  <c:v>Finance</c:v>
                </c:pt>
                <c:pt idx="2">
                  <c:v>IT - Software</c:v>
                </c:pt>
                <c:pt idx="3">
                  <c:v>Pharmaceuticals &amp; Biotechnology</c:v>
                </c:pt>
                <c:pt idx="4">
                  <c:v>Power</c:v>
                </c:pt>
                <c:pt idx="5">
                  <c:v>Construction</c:v>
                </c:pt>
                <c:pt idx="6">
                  <c:v>Fertilizers &amp; Agrochemicals</c:v>
                </c:pt>
                <c:pt idx="7">
                  <c:v>Auto Components</c:v>
                </c:pt>
                <c:pt idx="8">
                  <c:v>Retailing</c:v>
                </c:pt>
                <c:pt idx="9">
                  <c:v>Transport Infrastructure</c:v>
                </c:pt>
                <c:pt idx="10">
                  <c:v>Automobiles</c:v>
                </c:pt>
                <c:pt idx="11">
                  <c:v>Realty</c:v>
                </c:pt>
                <c:pt idx="12">
                  <c:v>Telecom - Services</c:v>
                </c:pt>
                <c:pt idx="13">
                  <c:v>Industrial Products</c:v>
                </c:pt>
                <c:pt idx="14">
                  <c:v>Petroleum Products</c:v>
                </c:pt>
                <c:pt idx="15">
                  <c:v>Healthcare Services</c:v>
                </c:pt>
                <c:pt idx="16">
                  <c:v>Financial Technology (Fintech)</c:v>
                </c:pt>
                <c:pt idx="17">
                  <c:v>Cement &amp; Cement Products</c:v>
                </c:pt>
                <c:pt idx="18">
                  <c:v>Ferrous Metals</c:v>
                </c:pt>
                <c:pt idx="19">
                  <c:v>Chemicals &amp; Petrochemicals</c:v>
                </c:pt>
                <c:pt idx="20">
                  <c:v>Transport Services</c:v>
                </c:pt>
                <c:pt idx="21">
                  <c:v>Capital Markets</c:v>
                </c:pt>
                <c:pt idx="22">
                  <c:v>Insurance</c:v>
                </c:pt>
                <c:pt idx="23">
                  <c:v>Gas</c:v>
                </c:pt>
                <c:pt idx="24">
                  <c:v>Personal Products</c:v>
                </c:pt>
                <c:pt idx="25">
                  <c:v>Aerospace &amp; Defense</c:v>
                </c:pt>
                <c:pt idx="26">
                  <c:v>Electrical Equipment</c:v>
                </c:pt>
                <c:pt idx="27">
                  <c:v>Consumer Durables</c:v>
                </c:pt>
                <c:pt idx="28">
                  <c:v>Textiles &amp; Apparels</c:v>
                </c:pt>
                <c:pt idx="29">
                  <c:v>IT - Services</c:v>
                </c:pt>
                <c:pt idx="30">
                  <c:v>Industrial Manufacturing</c:v>
                </c:pt>
                <c:pt idx="31">
                  <c:v>Diversified FMCG</c:v>
                </c:pt>
                <c:pt idx="32">
                  <c:v>Commercial Services &amp; Supplies</c:v>
                </c:pt>
                <c:pt idx="33">
                  <c:v>Beverages</c:v>
                </c:pt>
                <c:pt idx="34">
                  <c:v>Food Products</c:v>
                </c:pt>
              </c:strCache>
            </c:strRef>
          </c:cat>
          <c:val>
            <c:numRef>
              <c:f>'BANDHAN BUSINESS CYCLE'!$X$9:$X$42</c:f>
              <c:numCache>
                <c:formatCode>0.00%</c:formatCode>
                <c:ptCount val="34"/>
                <c:pt idx="0">
                  <c:v>9.5022999999999996E-2</c:v>
                </c:pt>
                <c:pt idx="1">
                  <c:v>6.7216999999999999E-2</c:v>
                </c:pt>
                <c:pt idx="2">
                  <c:v>6.6442000000000001E-2</c:v>
                </c:pt>
                <c:pt idx="3">
                  <c:v>5.8939000000000005E-2</c:v>
                </c:pt>
                <c:pt idx="4">
                  <c:v>5.3917000000000007E-2</c:v>
                </c:pt>
                <c:pt idx="5">
                  <c:v>4.4770999999999998E-2</c:v>
                </c:pt>
                <c:pt idx="6">
                  <c:v>3.0877000000000002E-2</c:v>
                </c:pt>
                <c:pt idx="7">
                  <c:v>3.0821999999999999E-2</c:v>
                </c:pt>
                <c:pt idx="8">
                  <c:v>2.6520000000000002E-2</c:v>
                </c:pt>
                <c:pt idx="9">
                  <c:v>2.4893999999999999E-2</c:v>
                </c:pt>
                <c:pt idx="10">
                  <c:v>2.2079999999999999E-2</c:v>
                </c:pt>
                <c:pt idx="11">
                  <c:v>2.1162E-2</c:v>
                </c:pt>
                <c:pt idx="12">
                  <c:v>2.0167000000000001E-2</c:v>
                </c:pt>
                <c:pt idx="13">
                  <c:v>1.9640000000000001E-2</c:v>
                </c:pt>
                <c:pt idx="14">
                  <c:v>1.9033000000000001E-2</c:v>
                </c:pt>
                <c:pt idx="15">
                  <c:v>1.7398E-2</c:v>
                </c:pt>
                <c:pt idx="16">
                  <c:v>1.6668000000000002E-2</c:v>
                </c:pt>
                <c:pt idx="17">
                  <c:v>1.4631E-2</c:v>
                </c:pt>
                <c:pt idx="18">
                  <c:v>1.4353000000000001E-2</c:v>
                </c:pt>
                <c:pt idx="19">
                  <c:v>1.3983000000000001E-2</c:v>
                </c:pt>
                <c:pt idx="20">
                  <c:v>1.3391999999999999E-2</c:v>
                </c:pt>
                <c:pt idx="21">
                  <c:v>1.1906E-2</c:v>
                </c:pt>
                <c:pt idx="22">
                  <c:v>1.1293000000000001E-2</c:v>
                </c:pt>
                <c:pt idx="23">
                  <c:v>9.5340000000000008E-3</c:v>
                </c:pt>
                <c:pt idx="24">
                  <c:v>9.2670000000000009E-3</c:v>
                </c:pt>
                <c:pt idx="25">
                  <c:v>8.7580000000000002E-3</c:v>
                </c:pt>
                <c:pt idx="26">
                  <c:v>6.483E-3</c:v>
                </c:pt>
                <c:pt idx="27">
                  <c:v>5.5050000000000003E-3</c:v>
                </c:pt>
                <c:pt idx="28">
                  <c:v>5.3619999999999996E-3</c:v>
                </c:pt>
                <c:pt idx="29">
                  <c:v>4.9690000000000003E-3</c:v>
                </c:pt>
                <c:pt idx="30">
                  <c:v>4.7930000000000004E-3</c:v>
                </c:pt>
                <c:pt idx="31">
                  <c:v>4.764E-3</c:v>
                </c:pt>
                <c:pt idx="32">
                  <c:v>4.5040000000000002E-3</c:v>
                </c:pt>
                <c:pt idx="33">
                  <c:v>3.349E-3</c:v>
                </c:pt>
              </c:numCache>
            </c:numRef>
          </c:val>
          <c:extLst>
            <c:ext xmlns:c16="http://schemas.microsoft.com/office/drawing/2014/chart" uri="{C3380CC4-5D6E-409C-BE32-E72D297353CC}">
              <c16:uniqueId val="{0000000D-EFAF-4F74-8226-8AE3CE8CA1F4}"/>
            </c:ext>
          </c:extLst>
        </c:ser>
        <c:dLbls>
          <c:showLegendKey val="0"/>
          <c:showVal val="0"/>
          <c:showCatName val="0"/>
          <c:showSerName val="0"/>
          <c:showPercent val="0"/>
          <c:showBubbleSize val="0"/>
        </c:dLbls>
        <c:gapWidth val="150"/>
        <c:axId val="155862528"/>
        <c:axId val="155015360"/>
      </c:barChart>
      <c:catAx>
        <c:axId val="155862528"/>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55015360"/>
        <c:crosses val="autoZero"/>
        <c:auto val="1"/>
        <c:lblAlgn val="ctr"/>
        <c:lblOffset val="100"/>
        <c:tickLblSkip val="1"/>
        <c:noMultiLvlLbl val="0"/>
      </c:catAx>
      <c:valAx>
        <c:axId val="155015360"/>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55862528"/>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33" l="0.70000000000000062" r="0.70000000000000062" t="0.75000000000000533" header="0.30000000000000032" footer="0.30000000000000032"/>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2.0447761194029853E-2"/>
          <c:y val="1.86251968503937E-2"/>
          <c:w val="0.9674074074074076"/>
          <c:h val="0.70582053707929593"/>
        </c:manualLayout>
      </c:layout>
      <c:barChart>
        <c:barDir val="col"/>
        <c:grouping val="clustered"/>
        <c:varyColors val="0"/>
        <c:ser>
          <c:idx val="0"/>
          <c:order val="0"/>
          <c:tx>
            <c:strRef>
              <c:f>'BANDHAN-ELSS'!$X$7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924F-4540-9025-B40643C5A880}"/>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924F-4540-9025-B40643C5A880}"/>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924F-4540-9025-B40643C5A880}"/>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924F-4540-9025-B40643C5A880}"/>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924F-4540-9025-B40643C5A880}"/>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924F-4540-9025-B40643C5A880}"/>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924F-4540-9025-B40643C5A880}"/>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924F-4540-9025-B40643C5A880}"/>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924F-4540-9025-B40643C5A880}"/>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924F-4540-9025-B40643C5A880}"/>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924F-4540-9025-B40643C5A880}"/>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924F-4540-9025-B40643C5A880}"/>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924F-4540-9025-B40643C5A880}"/>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924F-4540-9025-B40643C5A880}"/>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'BANDHAN-ELSS'!$W$8:$W$36</c:f>
              <c:strCache>
                <c:ptCount val="29"/>
                <c:pt idx="0">
                  <c:v>Banks</c:v>
                </c:pt>
                <c:pt idx="1">
                  <c:v>Petroleum Products</c:v>
                </c:pt>
                <c:pt idx="2">
                  <c:v>IT - Software</c:v>
                </c:pt>
                <c:pt idx="3">
                  <c:v>Pharmaceuticals &amp; Biotechnology</c:v>
                </c:pt>
                <c:pt idx="4">
                  <c:v>Finance</c:v>
                </c:pt>
                <c:pt idx="5">
                  <c:v>Insurance</c:v>
                </c:pt>
                <c:pt idx="6">
                  <c:v>Automobiles</c:v>
                </c:pt>
                <c:pt idx="7">
                  <c:v>Consumer Durables</c:v>
                </c:pt>
                <c:pt idx="8">
                  <c:v>Telecom - Services</c:v>
                </c:pt>
                <c:pt idx="9">
                  <c:v>Beverages</c:v>
                </c:pt>
                <c:pt idx="10">
                  <c:v>Auto Components</c:v>
                </c:pt>
                <c:pt idx="11">
                  <c:v>Food Products</c:v>
                </c:pt>
                <c:pt idx="12">
                  <c:v>Ferrous Metals</c:v>
                </c:pt>
                <c:pt idx="13">
                  <c:v>Construction</c:v>
                </c:pt>
                <c:pt idx="14">
                  <c:v>Cement &amp; Cement Products</c:v>
                </c:pt>
                <c:pt idx="15">
                  <c:v>Electrical Equipment</c:v>
                </c:pt>
                <c:pt idx="16">
                  <c:v>Retailing</c:v>
                </c:pt>
                <c:pt idx="17">
                  <c:v>Power</c:v>
                </c:pt>
                <c:pt idx="18">
                  <c:v>Diversified FMCG</c:v>
                </c:pt>
                <c:pt idx="19">
                  <c:v>Realty</c:v>
                </c:pt>
                <c:pt idx="20">
                  <c:v>Diversified Metals</c:v>
                </c:pt>
                <c:pt idx="21">
                  <c:v>Leisure Services</c:v>
                </c:pt>
                <c:pt idx="22">
                  <c:v>Fertilizers &amp; Agrochemicals</c:v>
                </c:pt>
                <c:pt idx="23">
                  <c:v>Transport Services</c:v>
                </c:pt>
                <c:pt idx="24">
                  <c:v>Oil</c:v>
                </c:pt>
                <c:pt idx="25">
                  <c:v>Telecom - Equipment &amp; Accessories</c:v>
                </c:pt>
                <c:pt idx="26">
                  <c:v>Industrial Products</c:v>
                </c:pt>
                <c:pt idx="27">
                  <c:v>Chemicals &amp; Petrochemicals</c:v>
                </c:pt>
                <c:pt idx="28">
                  <c:v>Miscellaneous</c:v>
                </c:pt>
              </c:strCache>
            </c:strRef>
          </c:cat>
          <c:val>
            <c:numRef>
              <c:f>'BANDHAN-ELSS'!$X$8:$X$36</c:f>
              <c:numCache>
                <c:formatCode>0.00%</c:formatCode>
                <c:ptCount val="29"/>
                <c:pt idx="0">
                  <c:v>0.22813100000000003</c:v>
                </c:pt>
                <c:pt idx="1">
                  <c:v>7.7233999999999997E-2</c:v>
                </c:pt>
                <c:pt idx="2">
                  <c:v>7.1619000000000002E-2</c:v>
                </c:pt>
                <c:pt idx="3">
                  <c:v>6.9667000000000007E-2</c:v>
                </c:pt>
                <c:pt idx="4">
                  <c:v>4.6026999999999998E-2</c:v>
                </c:pt>
                <c:pt idx="5">
                  <c:v>4.0313000000000002E-2</c:v>
                </c:pt>
                <c:pt idx="6">
                  <c:v>3.8086000000000002E-2</c:v>
                </c:pt>
                <c:pt idx="7">
                  <c:v>3.6540999999999997E-2</c:v>
                </c:pt>
                <c:pt idx="8">
                  <c:v>2.7394999999999999E-2</c:v>
                </c:pt>
                <c:pt idx="9">
                  <c:v>2.7192999999999998E-2</c:v>
                </c:pt>
                <c:pt idx="10">
                  <c:v>2.6172000000000001E-2</c:v>
                </c:pt>
                <c:pt idx="11">
                  <c:v>2.5057999999999997E-2</c:v>
                </c:pt>
                <c:pt idx="12">
                  <c:v>2.5031999999999999E-2</c:v>
                </c:pt>
                <c:pt idx="13">
                  <c:v>2.2019999999999998E-2</c:v>
                </c:pt>
                <c:pt idx="14">
                  <c:v>1.9814999999999999E-2</c:v>
                </c:pt>
                <c:pt idx="15">
                  <c:v>1.7498E-2</c:v>
                </c:pt>
                <c:pt idx="16">
                  <c:v>1.6969999999999999E-2</c:v>
                </c:pt>
                <c:pt idx="17">
                  <c:v>1.6286000000000002E-2</c:v>
                </c:pt>
                <c:pt idx="18">
                  <c:v>1.5640000000000001E-2</c:v>
                </c:pt>
                <c:pt idx="19">
                  <c:v>1.4605999999999999E-2</c:v>
                </c:pt>
                <c:pt idx="20">
                  <c:v>1.355E-2</c:v>
                </c:pt>
                <c:pt idx="21">
                  <c:v>1.1467E-2</c:v>
                </c:pt>
                <c:pt idx="22">
                  <c:v>1.1370999999999999E-2</c:v>
                </c:pt>
                <c:pt idx="23">
                  <c:v>8.8579999999999996E-3</c:v>
                </c:pt>
                <c:pt idx="24">
                  <c:v>7.1830000000000001E-3</c:v>
                </c:pt>
                <c:pt idx="25">
                  <c:v>6.143E-3</c:v>
                </c:pt>
                <c:pt idx="26">
                  <c:v>2.8960000000000001E-3</c:v>
                </c:pt>
                <c:pt idx="27">
                  <c:v>2.5600000000000002E-3</c:v>
                </c:pt>
                <c:pt idx="28">
                  <c:v>2.5460000000000001E-3</c:v>
                </c:pt>
              </c:numCache>
            </c:numRef>
          </c:val>
          <c:extLst>
            <c:ext xmlns:c16="http://schemas.microsoft.com/office/drawing/2014/chart" uri="{C3380CC4-5D6E-409C-BE32-E72D297353CC}">
              <c16:uniqueId val="{0000000E-924F-4540-9025-B40643C5A880}"/>
            </c:ext>
          </c:extLst>
        </c:ser>
        <c:dLbls>
          <c:showLegendKey val="0"/>
          <c:showVal val="0"/>
          <c:showCatName val="0"/>
          <c:showSerName val="0"/>
          <c:showPercent val="0"/>
          <c:showBubbleSize val="0"/>
        </c:dLbls>
        <c:gapWidth val="150"/>
        <c:axId val="155864576"/>
        <c:axId val="155951680"/>
      </c:barChart>
      <c:catAx>
        <c:axId val="155864576"/>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55951680"/>
        <c:crosses val="autoZero"/>
        <c:auto val="1"/>
        <c:lblAlgn val="ctr"/>
        <c:lblOffset val="100"/>
        <c:tickLblSkip val="1"/>
        <c:noMultiLvlLbl val="0"/>
      </c:catAx>
      <c:valAx>
        <c:axId val="155951680"/>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55864576"/>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0"/>
    <c:plotArea>
      <c:layout/>
      <c:doughnutChart>
        <c:varyColors val="1"/>
        <c:ser>
          <c:idx val="0"/>
          <c:order val="0"/>
          <c:dLbls>
            <c:dLbl>
              <c:idx val="0"/>
              <c:layout>
                <c:manualLayout>
                  <c:x val="0.14969184905698446"/>
                  <c:y val="0.16485101682433581"/>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0-B244-4EFC-B1E0-91C7B27C126D}"/>
                </c:ext>
              </c:extLst>
            </c:dLbl>
            <c:dLbl>
              <c:idx val="1"/>
              <c:layout>
                <c:manualLayout>
                  <c:x val="-0.11810624937705572"/>
                  <c:y val="-8.4506812167151321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B244-4EFC-B1E0-91C7B27C126D}"/>
                </c:ext>
              </c:extLst>
            </c:dLbl>
            <c:spPr>
              <a:noFill/>
              <a:ln>
                <a:noFill/>
              </a:ln>
              <a:effectLst/>
            </c:spPr>
            <c:txPr>
              <a:bodyPr/>
              <a:lstStyle/>
              <a:p>
                <a:pPr>
                  <a:defRPr lang="en-IN"/>
                </a:pPr>
                <a:endParaRPr lang="en-US"/>
              </a:p>
            </c:txPr>
            <c:showLegendKey val="0"/>
            <c:showVal val="0"/>
            <c:showCatName val="1"/>
            <c:showSerName val="0"/>
            <c:showPercent val="1"/>
            <c:showBubbleSize val="0"/>
            <c:showLeaderLines val="0"/>
            <c:extLst>
              <c:ext xmlns:c15="http://schemas.microsoft.com/office/drawing/2012/chart" uri="{CE6537A1-D6FC-4f65-9D91-7224C49458BB}"/>
            </c:extLst>
          </c:dLbls>
          <c:cat>
            <c:strRef>
              <c:f>'BANDHAN-AF'!$R$8:$R$9</c:f>
              <c:strCache>
                <c:ptCount val="2"/>
                <c:pt idx="0">
                  <c:v>Total Hedged Equity</c:v>
                </c:pt>
                <c:pt idx="1">
                  <c:v>Total Debt</c:v>
                </c:pt>
              </c:strCache>
            </c:strRef>
          </c:cat>
          <c:val>
            <c:numRef>
              <c:f>'BANDHAN-AF'!$S$8:$S$9</c:f>
              <c:numCache>
                <c:formatCode>0.00%</c:formatCode>
                <c:ptCount val="2"/>
                <c:pt idx="0">
                  <c:v>0.66547599999999996</c:v>
                </c:pt>
                <c:pt idx="1">
                  <c:v>0.33452400000000004</c:v>
                </c:pt>
              </c:numCache>
            </c:numRef>
          </c:val>
          <c:extLst>
            <c:ext xmlns:c16="http://schemas.microsoft.com/office/drawing/2014/chart" uri="{C3380CC4-5D6E-409C-BE32-E72D297353CC}">
              <c16:uniqueId val="{00000002-B244-4EFC-B1E0-91C7B27C126D}"/>
            </c:ext>
          </c:extLst>
        </c:ser>
        <c:dLbls>
          <c:showLegendKey val="0"/>
          <c:showVal val="0"/>
          <c:showCatName val="0"/>
          <c:showSerName val="0"/>
          <c:showPercent val="0"/>
          <c:showBubbleSize val="0"/>
          <c:showLeaderLines val="0"/>
        </c:dLbls>
        <c:firstSliceAng val="0"/>
        <c:holeSize val="50"/>
      </c:doughnutChart>
      <c:spPr>
        <a:noFill/>
        <a:ln w="25400">
          <a:noFill/>
        </a:ln>
      </c:spPr>
    </c:plotArea>
    <c:plotVisOnly val="1"/>
    <c:dispBlanksAs val="zero"/>
    <c:showDLblsOverMax val="0"/>
  </c:chart>
  <c:txPr>
    <a:bodyPr/>
    <a:lstStyle/>
    <a:p>
      <a:pPr>
        <a:defRPr sz="1200" b="1"/>
      </a:pPr>
      <a:endParaRPr lang="en-US"/>
    </a:p>
  </c:txPr>
  <c:printSettings>
    <c:headerFooter/>
    <c:pageMargins b="0.75000000000001465" l="0.70000000000000062" r="0.70000000000000062" t="0.75000000000001465" header="0.30000000000000032" footer="0.30000000000000032"/>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barChart>
        <c:barDir val="col"/>
        <c:grouping val="clustered"/>
        <c:varyColors val="0"/>
        <c:ser>
          <c:idx val="0"/>
          <c:order val="0"/>
          <c:tx>
            <c:strRef>
              <c:f>'BANDHAN BAF'!$X$7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77A7-4657-9CAC-8AA138010BEC}"/>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77A7-4657-9CAC-8AA138010BEC}"/>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77A7-4657-9CAC-8AA138010BEC}"/>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77A7-4657-9CAC-8AA138010BEC}"/>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77A7-4657-9CAC-8AA138010BEC}"/>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77A7-4657-9CAC-8AA138010BEC}"/>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77A7-4657-9CAC-8AA138010BEC}"/>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77A7-4657-9CAC-8AA138010BEC}"/>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77A7-4657-9CAC-8AA138010BEC}"/>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77A7-4657-9CAC-8AA138010BEC}"/>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77A7-4657-9CAC-8AA138010BEC}"/>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77A7-4657-9CAC-8AA138010BEC}"/>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77A7-4657-9CAC-8AA138010BEC}"/>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77A7-4657-9CAC-8AA138010BEC}"/>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77A7-4657-9CAC-8AA138010BEC}"/>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77A7-4657-9CAC-8AA138010BEC}"/>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77A7-4657-9CAC-8AA138010BEC}"/>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77A7-4657-9CAC-8AA138010BEC}"/>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BAF'!$W$8:$W$23</c:f>
              <c:strCache>
                <c:ptCount val="16"/>
                <c:pt idx="0">
                  <c:v>Banks</c:v>
                </c:pt>
                <c:pt idx="1">
                  <c:v>IT - Software</c:v>
                </c:pt>
                <c:pt idx="2">
                  <c:v>Pharmaceuticals &amp; Biotechnology</c:v>
                </c:pt>
                <c:pt idx="3">
                  <c:v>Construction</c:v>
                </c:pt>
                <c:pt idx="4">
                  <c:v>Beverages</c:v>
                </c:pt>
                <c:pt idx="5">
                  <c:v>Finance</c:v>
                </c:pt>
                <c:pt idx="6">
                  <c:v>Petroleum Products</c:v>
                </c:pt>
                <c:pt idx="7">
                  <c:v>Telecom - Services</c:v>
                </c:pt>
                <c:pt idx="8">
                  <c:v>Healthcare Services</c:v>
                </c:pt>
                <c:pt idx="9">
                  <c:v>Retailing</c:v>
                </c:pt>
                <c:pt idx="10">
                  <c:v>Automobiles</c:v>
                </c:pt>
                <c:pt idx="11">
                  <c:v>Cement &amp; Cement Products</c:v>
                </c:pt>
                <c:pt idx="12">
                  <c:v>Financial Technology (Fintech)</c:v>
                </c:pt>
                <c:pt idx="13">
                  <c:v>Transport Services</c:v>
                </c:pt>
                <c:pt idx="14">
                  <c:v>Realty</c:v>
                </c:pt>
                <c:pt idx="15">
                  <c:v>Power</c:v>
                </c:pt>
              </c:strCache>
            </c:strRef>
          </c:cat>
          <c:val>
            <c:numRef>
              <c:f>'BANDHAN BAF'!$X$8:$X$23</c:f>
              <c:numCache>
                <c:formatCode>0.00%</c:formatCode>
                <c:ptCount val="16"/>
                <c:pt idx="0">
                  <c:v>0.11539800000000001</c:v>
                </c:pt>
                <c:pt idx="1">
                  <c:v>4.6329000000000016E-2</c:v>
                </c:pt>
                <c:pt idx="2">
                  <c:v>3.7707000000000004E-2</c:v>
                </c:pt>
                <c:pt idx="3">
                  <c:v>2.3413000000000003E-2</c:v>
                </c:pt>
                <c:pt idx="4">
                  <c:v>2.2763999999999996E-2</c:v>
                </c:pt>
                <c:pt idx="5">
                  <c:v>2.2261E-2</c:v>
                </c:pt>
                <c:pt idx="6">
                  <c:v>2.1423000000000005E-2</c:v>
                </c:pt>
                <c:pt idx="7">
                  <c:v>2.0710000000000006E-2</c:v>
                </c:pt>
                <c:pt idx="8">
                  <c:v>2.026E-2</c:v>
                </c:pt>
                <c:pt idx="9">
                  <c:v>1.8162999999999999E-2</c:v>
                </c:pt>
                <c:pt idx="10">
                  <c:v>1.5914999999999992E-2</c:v>
                </c:pt>
                <c:pt idx="11">
                  <c:v>1.4891999999999999E-2</c:v>
                </c:pt>
                <c:pt idx="12">
                  <c:v>1.4553999999999999E-2</c:v>
                </c:pt>
                <c:pt idx="13">
                  <c:v>1.3926000000000001E-2</c:v>
                </c:pt>
                <c:pt idx="14">
                  <c:v>1.191E-2</c:v>
                </c:pt>
                <c:pt idx="15">
                  <c:v>1.1908999999999999E-2</c:v>
                </c:pt>
              </c:numCache>
            </c:numRef>
          </c:val>
          <c:extLst>
            <c:ext xmlns:c16="http://schemas.microsoft.com/office/drawing/2014/chart" uri="{C3380CC4-5D6E-409C-BE32-E72D297353CC}">
              <c16:uniqueId val="{00000012-77A7-4657-9CAC-8AA138010BEC}"/>
            </c:ext>
          </c:extLst>
        </c:ser>
        <c:dLbls>
          <c:showLegendKey val="0"/>
          <c:showVal val="0"/>
          <c:showCatName val="0"/>
          <c:showSerName val="0"/>
          <c:showPercent val="0"/>
          <c:showBubbleSize val="0"/>
        </c:dLbls>
        <c:gapWidth val="150"/>
        <c:axId val="167847424"/>
        <c:axId val="155954560"/>
      </c:barChart>
      <c:catAx>
        <c:axId val="167847424"/>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55954560"/>
        <c:crosses val="autoZero"/>
        <c:auto val="1"/>
        <c:lblAlgn val="ctr"/>
        <c:lblOffset val="100"/>
        <c:tickLblSkip val="1"/>
        <c:noMultiLvlLbl val="0"/>
      </c:catAx>
      <c:valAx>
        <c:axId val="155954560"/>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67847424"/>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barChart>
        <c:barDir val="col"/>
        <c:grouping val="clustered"/>
        <c:varyColors val="0"/>
        <c:ser>
          <c:idx val="0"/>
          <c:order val="0"/>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4B30-4BB8-A731-55CC10FB31C7}"/>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B30-4BB8-A731-55CC10FB31C7}"/>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4B30-4BB8-A731-55CC10FB31C7}"/>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4B30-4BB8-A731-55CC10FB31C7}"/>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4B30-4BB8-A731-55CC10FB31C7}"/>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4B30-4BB8-A731-55CC10FB31C7}"/>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4B30-4BB8-A731-55CC10FB31C7}"/>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4B30-4BB8-A731-55CC10FB31C7}"/>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4B30-4BB8-A731-55CC10FB31C7}"/>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4B30-4BB8-A731-55CC10FB31C7}"/>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4B30-4BB8-A731-55CC10FB31C7}"/>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4B30-4BB8-A731-55CC10FB31C7}"/>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4B30-4BB8-A731-55CC10FB31C7}"/>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4B30-4BB8-A731-55CC10FB31C7}"/>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4B30-4BB8-A731-55CC10FB31C7}"/>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4B30-4BB8-A731-55CC10FB31C7}"/>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4B30-4BB8-A731-55CC10FB31C7}"/>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4B30-4BB8-A731-55CC10FB31C7}"/>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#REF!</c:f>
              <c:numCache>
                <c:formatCode>General</c:formatCode>
                <c:ptCount val="1"/>
                <c:pt idx="0">
                  <c:v>1</c:v>
                </c:pt>
              </c:numCache>
            </c:numRef>
          </c:val>
          <c:extLst>
            <c:ext xmlns:c15="http://schemas.microsoft.com/office/drawing/2012/chart" uri="{02D57815-91ED-43cb-92C2-25804820EDAC}">
              <c15:filteredSeriesTitle>
                <c15:tx>
                  <c:strRef>
                    <c:extLst>
                      <c:ext uri="{02D57815-91ED-43cb-92C2-25804820EDAC}">
                        <c15:formulaRef>
                          <c15:sqref>#REF!</c15:sqref>
                        </c15:formulaRef>
                      </c:ext>
                    </c:extLst>
                    <c:strCache>
                      <c:ptCount val="1"/>
                      <c:pt idx="0">
                        <c:v>#REF!</c:v>
                      </c:pt>
                    </c:strCache>
                  </c:strRef>
                </c15:tx>
              </c15:filteredSeriesTitle>
            </c:ext>
            <c:ext xmlns:c15="http://schemas.microsoft.com/office/drawing/2012/chart" uri="{02D57815-91ED-43cb-92C2-25804820EDAC}">
              <c15:filteredCategoryTitle>
                <c15:cat>
                  <c:multiLvlStrRef>
                    <c:extLst>
                      <c:ext uri="{02D57815-91ED-43cb-92C2-25804820EDAC}">
                        <c15:formulaRef>
                          <c15:sqref>#REF!</c15:sqref>
                        </c15:formulaRef>
                      </c:ext>
                    </c:extLst>
                  </c:multiLvlStrRef>
                </c15:cat>
              </c15:filteredCategoryTitle>
            </c:ext>
            <c:ext xmlns:c16="http://schemas.microsoft.com/office/drawing/2014/chart" uri="{C3380CC4-5D6E-409C-BE32-E72D297353CC}">
              <c16:uniqueId val="{00000012-4B30-4BB8-A731-55CC10FB31C7}"/>
            </c:ext>
          </c:extLst>
        </c:ser>
        <c:dLbls>
          <c:showLegendKey val="0"/>
          <c:showVal val="0"/>
          <c:showCatName val="0"/>
          <c:showSerName val="0"/>
          <c:showPercent val="0"/>
          <c:showBubbleSize val="0"/>
        </c:dLbls>
        <c:gapWidth val="150"/>
        <c:axId val="167847424"/>
        <c:axId val="155954560"/>
      </c:barChart>
      <c:catAx>
        <c:axId val="167847424"/>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55954560"/>
        <c:crosses val="autoZero"/>
        <c:auto val="1"/>
        <c:lblAlgn val="ctr"/>
        <c:lblOffset val="100"/>
        <c:tickLblSkip val="1"/>
        <c:noMultiLvlLbl val="0"/>
      </c:catAx>
      <c:valAx>
        <c:axId val="155954560"/>
        <c:scaling>
          <c:orientation val="minMax"/>
        </c:scaling>
        <c:delete val="0"/>
        <c:axPos val="l"/>
        <c:numFmt formatCode="General" sourceLinked="1"/>
        <c:majorTickMark val="out"/>
        <c:minorTickMark val="none"/>
        <c:tickLblPos val="none"/>
        <c:spPr>
          <a:ln w="9525">
            <a:noFill/>
          </a:ln>
        </c:spPr>
        <c:txPr>
          <a:bodyPr/>
          <a:lstStyle/>
          <a:p>
            <a:pPr>
              <a:defRPr lang="en-IN"/>
            </a:pPr>
            <a:endParaRPr lang="en-US"/>
          </a:p>
        </c:txPr>
        <c:crossAx val="167847424"/>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barChart>
        <c:barDir val="col"/>
        <c:grouping val="clustered"/>
        <c:varyColors val="0"/>
        <c:ser>
          <c:idx val="0"/>
          <c:order val="0"/>
          <c:tx>
            <c:strRef>
              <c:f>'BANDHAN BAF'!$X$7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E060-4935-B1CA-438F3B61E755}"/>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060-4935-B1CA-438F3B61E755}"/>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E060-4935-B1CA-438F3B61E755}"/>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060-4935-B1CA-438F3B61E755}"/>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E060-4935-B1CA-438F3B61E755}"/>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E060-4935-B1CA-438F3B61E755}"/>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E060-4935-B1CA-438F3B61E755}"/>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E060-4935-B1CA-438F3B61E755}"/>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E060-4935-B1CA-438F3B61E755}"/>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E060-4935-B1CA-438F3B61E755}"/>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E060-4935-B1CA-438F3B61E755}"/>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E060-4935-B1CA-438F3B61E755}"/>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E060-4935-B1CA-438F3B61E755}"/>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E060-4935-B1CA-438F3B61E755}"/>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E060-4935-B1CA-438F3B61E755}"/>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E060-4935-B1CA-438F3B61E755}"/>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E060-4935-B1CA-438F3B61E755}"/>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E060-4935-B1CA-438F3B61E755}"/>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BAF'!$W$8:$W$41</c:f>
              <c:strCache>
                <c:ptCount val="34"/>
                <c:pt idx="0">
                  <c:v>Banks</c:v>
                </c:pt>
                <c:pt idx="1">
                  <c:v>IT - Software</c:v>
                </c:pt>
                <c:pt idx="2">
                  <c:v>Pharmaceuticals &amp; Biotechnology</c:v>
                </c:pt>
                <c:pt idx="3">
                  <c:v>Construction</c:v>
                </c:pt>
                <c:pt idx="4">
                  <c:v>Beverages</c:v>
                </c:pt>
                <c:pt idx="5">
                  <c:v>Finance</c:v>
                </c:pt>
                <c:pt idx="6">
                  <c:v>Petroleum Products</c:v>
                </c:pt>
                <c:pt idx="7">
                  <c:v>Telecom - Services</c:v>
                </c:pt>
                <c:pt idx="8">
                  <c:v>Healthcare Services</c:v>
                </c:pt>
                <c:pt idx="9">
                  <c:v>Retailing</c:v>
                </c:pt>
                <c:pt idx="10">
                  <c:v>Automobiles</c:v>
                </c:pt>
                <c:pt idx="11">
                  <c:v>Cement &amp; Cement Products</c:v>
                </c:pt>
                <c:pt idx="12">
                  <c:v>Financial Technology (Fintech)</c:v>
                </c:pt>
                <c:pt idx="13">
                  <c:v>Transport Services</c:v>
                </c:pt>
                <c:pt idx="14">
                  <c:v>Realty</c:v>
                </c:pt>
                <c:pt idx="15">
                  <c:v>Power</c:v>
                </c:pt>
                <c:pt idx="16">
                  <c:v>Fertilizers &amp; Agrochemicals</c:v>
                </c:pt>
                <c:pt idx="17">
                  <c:v>Diversified Metals</c:v>
                </c:pt>
                <c:pt idx="18">
                  <c:v>Consumer Durables</c:v>
                </c:pt>
                <c:pt idx="19">
                  <c:v>Capital Markets</c:v>
                </c:pt>
                <c:pt idx="20">
                  <c:v>Insurance</c:v>
                </c:pt>
                <c:pt idx="21">
                  <c:v>Chemicals &amp; Petrochemicals</c:v>
                </c:pt>
                <c:pt idx="22">
                  <c:v>Gas</c:v>
                </c:pt>
                <c:pt idx="23">
                  <c:v>Auto Components</c:v>
                </c:pt>
                <c:pt idx="24">
                  <c:v>Minerals &amp; Mining</c:v>
                </c:pt>
                <c:pt idx="25">
                  <c:v>Ferrous Metals</c:v>
                </c:pt>
                <c:pt idx="26">
                  <c:v>Leisure Services</c:v>
                </c:pt>
                <c:pt idx="27">
                  <c:v>Aerospace &amp; Defense</c:v>
                </c:pt>
                <c:pt idx="28">
                  <c:v>Diversified FMCG</c:v>
                </c:pt>
                <c:pt idx="29">
                  <c:v>Textiles &amp; Apparels</c:v>
                </c:pt>
                <c:pt idx="30">
                  <c:v>Industrial Manufacturing</c:v>
                </c:pt>
                <c:pt idx="31">
                  <c:v>Industrial Products</c:v>
                </c:pt>
                <c:pt idx="32">
                  <c:v>Entertainment</c:v>
                </c:pt>
                <c:pt idx="33">
                  <c:v>Personal Products</c:v>
                </c:pt>
              </c:strCache>
            </c:strRef>
          </c:cat>
          <c:val>
            <c:numRef>
              <c:f>'BANDHAN BAF'!$X$8:$X$41</c:f>
              <c:numCache>
                <c:formatCode>0.00%</c:formatCode>
                <c:ptCount val="34"/>
                <c:pt idx="0">
                  <c:v>0.11539800000000001</c:v>
                </c:pt>
                <c:pt idx="1">
                  <c:v>4.6329000000000016E-2</c:v>
                </c:pt>
                <c:pt idx="2">
                  <c:v>3.7707000000000004E-2</c:v>
                </c:pt>
                <c:pt idx="3">
                  <c:v>2.3413000000000003E-2</c:v>
                </c:pt>
                <c:pt idx="4">
                  <c:v>2.2763999999999996E-2</c:v>
                </c:pt>
                <c:pt idx="5">
                  <c:v>2.2261E-2</c:v>
                </c:pt>
                <c:pt idx="6">
                  <c:v>2.1423000000000005E-2</c:v>
                </c:pt>
                <c:pt idx="7">
                  <c:v>2.0710000000000006E-2</c:v>
                </c:pt>
                <c:pt idx="8">
                  <c:v>2.026E-2</c:v>
                </c:pt>
                <c:pt idx="9">
                  <c:v>1.8162999999999999E-2</c:v>
                </c:pt>
                <c:pt idx="10">
                  <c:v>1.5914999999999992E-2</c:v>
                </c:pt>
                <c:pt idx="11">
                  <c:v>1.4891999999999999E-2</c:v>
                </c:pt>
                <c:pt idx="12">
                  <c:v>1.4553999999999999E-2</c:v>
                </c:pt>
                <c:pt idx="13">
                  <c:v>1.3926000000000001E-2</c:v>
                </c:pt>
                <c:pt idx="14">
                  <c:v>1.191E-2</c:v>
                </c:pt>
                <c:pt idx="15">
                  <c:v>1.1908999999999999E-2</c:v>
                </c:pt>
                <c:pt idx="16">
                  <c:v>1.0883E-2</c:v>
                </c:pt>
                <c:pt idx="17">
                  <c:v>1.0859000000000001E-2</c:v>
                </c:pt>
                <c:pt idx="18">
                  <c:v>7.2739999999999992E-3</c:v>
                </c:pt>
                <c:pt idx="19">
                  <c:v>7.0069999999999993E-3</c:v>
                </c:pt>
                <c:pt idx="20">
                  <c:v>6.8750000000000009E-3</c:v>
                </c:pt>
                <c:pt idx="21">
                  <c:v>5.8940000000000008E-3</c:v>
                </c:pt>
                <c:pt idx="22">
                  <c:v>5.6189999999999999E-3</c:v>
                </c:pt>
                <c:pt idx="23">
                  <c:v>5.4340000000000005E-3</c:v>
                </c:pt>
                <c:pt idx="24">
                  <c:v>4.7930000000000004E-3</c:v>
                </c:pt>
                <c:pt idx="25">
                  <c:v>4.2069999999999989E-3</c:v>
                </c:pt>
                <c:pt idx="26">
                  <c:v>4.0810000000000004E-3</c:v>
                </c:pt>
                <c:pt idx="27">
                  <c:v>3.7780000000000001E-3</c:v>
                </c:pt>
                <c:pt idx="28">
                  <c:v>2.5449999999999987E-3</c:v>
                </c:pt>
                <c:pt idx="29">
                  <c:v>2.5339999999999998E-3</c:v>
                </c:pt>
                <c:pt idx="30">
                  <c:v>1.5629999999999999E-3</c:v>
                </c:pt>
                <c:pt idx="31">
                  <c:v>1.4300000000000001E-3</c:v>
                </c:pt>
                <c:pt idx="32">
                  <c:v>9.1799999999999998E-4</c:v>
                </c:pt>
                <c:pt idx="33">
                  <c:v>-2.4999999999998981E-5</c:v>
                </c:pt>
              </c:numCache>
            </c:numRef>
          </c:val>
          <c:extLst>
            <c:ext xmlns:c16="http://schemas.microsoft.com/office/drawing/2014/chart" uri="{C3380CC4-5D6E-409C-BE32-E72D297353CC}">
              <c16:uniqueId val="{00000012-E060-4935-B1CA-438F3B61E755}"/>
            </c:ext>
          </c:extLst>
        </c:ser>
        <c:dLbls>
          <c:showLegendKey val="0"/>
          <c:showVal val="0"/>
          <c:showCatName val="0"/>
          <c:showSerName val="0"/>
          <c:showPercent val="0"/>
          <c:showBubbleSize val="0"/>
        </c:dLbls>
        <c:gapWidth val="150"/>
        <c:axId val="167847424"/>
        <c:axId val="155954560"/>
      </c:barChart>
      <c:catAx>
        <c:axId val="167847424"/>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55954560"/>
        <c:crosses val="autoZero"/>
        <c:auto val="1"/>
        <c:lblAlgn val="ctr"/>
        <c:lblOffset val="100"/>
        <c:tickLblSkip val="1"/>
        <c:noMultiLvlLbl val="0"/>
      </c:catAx>
      <c:valAx>
        <c:axId val="155954560"/>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67847424"/>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defRPr lang="en-IN"/>
            </a:pPr>
            <a:r>
              <a:rPr lang="en-US"/>
              <a:t>Asset Quality of Debt portfolio</a:t>
            </a:r>
          </a:p>
        </c:rich>
      </c:tx>
      <c:overlay val="0"/>
    </c:title>
    <c:autoTitleDeleted val="0"/>
    <c:view3D>
      <c:rotX val="15"/>
      <c:rotY val="0"/>
      <c:rAngAx val="0"/>
    </c:view3D>
    <c:floor>
      <c:thickness val="0"/>
    </c:floor>
    <c:sideWall>
      <c:thickness val="0"/>
    </c:sideWall>
    <c:backWall>
      <c:thickness val="0"/>
    </c:backWall>
    <c:plotArea>
      <c:layout>
        <c:manualLayout>
          <c:layoutTarget val="inner"/>
          <c:xMode val="edge"/>
          <c:yMode val="edge"/>
          <c:x val="0.10878247873384791"/>
          <c:y val="0.30370043744531933"/>
          <c:w val="0.78272608624251272"/>
          <c:h val="0.53333319409344349"/>
        </c:manualLayout>
      </c:layout>
      <c:pie3DChart>
        <c:varyColors val="1"/>
        <c:ser>
          <c:idx val="0"/>
          <c:order val="0"/>
          <c:dLbls>
            <c:dLbl>
              <c:idx val="0"/>
              <c:layout>
                <c:manualLayout>
                  <c:x val="0.33914343096303429"/>
                  <c:y val="-0.11909274615009408"/>
                </c:manualLayout>
              </c:layout>
              <c:dLblPos val="bestFit"/>
              <c:showLegendKey val="1"/>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0B30-4210-94B1-4C182B77D55C}"/>
                </c:ext>
              </c:extLst>
            </c:dLbl>
            <c:dLbl>
              <c:idx val="1"/>
              <c:delete val="1"/>
              <c:extLst>
                <c:ext xmlns:c15="http://schemas.microsoft.com/office/drawing/2012/chart" uri="{CE6537A1-D6FC-4f65-9D91-7224C49458BB}"/>
                <c:ext xmlns:c16="http://schemas.microsoft.com/office/drawing/2014/chart" uri="{C3380CC4-5D6E-409C-BE32-E72D297353CC}">
                  <c16:uniqueId val="{00000001-0B30-4210-94B1-4C182B77D55C}"/>
                </c:ext>
              </c:extLst>
            </c:dLbl>
            <c:dLbl>
              <c:idx val="2"/>
              <c:delete val="1"/>
              <c:extLst>
                <c:ext xmlns:c15="http://schemas.microsoft.com/office/drawing/2012/chart" uri="{CE6537A1-D6FC-4f65-9D91-7224C49458BB}"/>
                <c:ext xmlns:c16="http://schemas.microsoft.com/office/drawing/2014/chart" uri="{C3380CC4-5D6E-409C-BE32-E72D297353CC}">
                  <c16:uniqueId val="{00000002-0B30-4210-94B1-4C182B77D55C}"/>
                </c:ext>
              </c:extLst>
            </c:dLbl>
            <c:numFmt formatCode="0.00%" sourceLinked="0"/>
            <c:spPr>
              <a:noFill/>
              <a:ln>
                <a:noFill/>
              </a:ln>
              <a:effectLst/>
            </c:spPr>
            <c:txPr>
              <a:bodyPr/>
              <a:lstStyle/>
              <a:p>
                <a:pPr>
                  <a:defRPr lang="en-IN"/>
                </a:pPr>
                <a:endParaRPr lang="en-US"/>
              </a:p>
            </c:txPr>
            <c:showLegendKey val="1"/>
            <c:showVal val="1"/>
            <c:showCatName val="1"/>
            <c:showSerName val="0"/>
            <c:showPercent val="0"/>
            <c:showBubbleSize val="0"/>
            <c:showLeaderLines val="0"/>
            <c:extLst>
              <c:ext xmlns:c15="http://schemas.microsoft.com/office/drawing/2012/chart" uri="{CE6537A1-D6FC-4f65-9D91-7224C49458BB}"/>
            </c:extLst>
          </c:dLbls>
          <c:cat>
            <c:strRef>
              <c:f>'BANDHAN-ESF'!$G$8:$G$10</c:f>
              <c:strCache>
                <c:ptCount val="3"/>
                <c:pt idx="0">
                  <c:v>AAA Equivalent</c:v>
                </c:pt>
                <c:pt idx="1">
                  <c:v>AA+ Equivalent</c:v>
                </c:pt>
                <c:pt idx="2">
                  <c:v>AA Equivalent</c:v>
                </c:pt>
              </c:strCache>
            </c:strRef>
          </c:cat>
          <c:val>
            <c:numRef>
              <c:f>'BANDHAN-ESF'!$I$8:$I$10</c:f>
              <c:numCache>
                <c:formatCode>0.00%</c:formatCode>
                <c:ptCount val="3"/>
                <c:pt idx="0">
                  <c:v>1</c:v>
                </c:pt>
                <c:pt idx="1">
                  <c:v>0</c:v>
                </c:pt>
                <c:pt idx="2">
                  <c:v>0</c:v>
                </c:pt>
              </c:numCache>
            </c:numRef>
          </c:val>
          <c:extLst>
            <c:ext xmlns:c16="http://schemas.microsoft.com/office/drawing/2014/chart" uri="{C3380CC4-5D6E-409C-BE32-E72D297353CC}">
              <c16:uniqueId val="{00000003-0B30-4210-94B1-4C182B77D55C}"/>
            </c:ext>
          </c:extLst>
        </c:ser>
        <c:dLbls>
          <c:showLegendKey val="0"/>
          <c:showVal val="0"/>
          <c:showCatName val="0"/>
          <c:showSerName val="0"/>
          <c:showPercent val="0"/>
          <c:showBubbleSize val="0"/>
          <c:showLeaderLines val="0"/>
        </c:dLbls>
      </c:pie3DChart>
      <c:spPr>
        <a:noFill/>
        <a:ln w="25400">
          <a:noFill/>
        </a:ln>
      </c:spPr>
    </c:plotArea>
    <c:plotVisOnly val="1"/>
    <c:dispBlanksAs val="zero"/>
    <c:showDLblsOverMax val="0"/>
  </c:chart>
  <c:txPr>
    <a:bodyPr/>
    <a:lstStyle/>
    <a:p>
      <a:pPr>
        <a:defRPr sz="1100" b="1"/>
      </a:pPr>
      <a:endParaRPr lang="en-US"/>
    </a:p>
  </c:txPr>
  <c:printSettings>
    <c:headerFooter/>
    <c:pageMargins b="0.75000000000001465" l="0.70000000000000062" r="0.70000000000000062" t="0.75000000000001465" header="0.30000000000000032" footer="0.30000000000000032"/>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defRPr lang="en-IN"/>
            </a:pPr>
            <a:r>
              <a:rPr lang="en-US"/>
              <a:t>Asset Allocation</a:t>
            </a:r>
          </a:p>
        </c:rich>
      </c:tx>
      <c:overlay val="0"/>
    </c:title>
    <c:autoTitleDeleted val="0"/>
    <c:view3D>
      <c:rotX val="15"/>
      <c:rotY val="0"/>
      <c:rAngAx val="0"/>
    </c:view3D>
    <c:floor>
      <c:thickness val="0"/>
    </c:floor>
    <c:sideWall>
      <c:thickness val="0"/>
    </c:sideWall>
    <c:backWall>
      <c:thickness val="0"/>
    </c:backWall>
    <c:plotArea>
      <c:layout>
        <c:manualLayout>
          <c:layoutTarget val="inner"/>
          <c:xMode val="edge"/>
          <c:yMode val="edge"/>
          <c:x val="4.65424911654891E-2"/>
          <c:y val="0.23778485669752167"/>
          <c:w val="0.89502608808352679"/>
          <c:h val="0.61676865851891904"/>
        </c:manualLayout>
      </c:layout>
      <c:pie3DChart>
        <c:varyColors val="1"/>
        <c:ser>
          <c:idx val="0"/>
          <c:order val="0"/>
          <c:dLbls>
            <c:dLbl>
              <c:idx val="0"/>
              <c:layout>
                <c:manualLayout>
                  <c:x val="-0.53376567103450956"/>
                  <c:y val="-0.14865143530541214"/>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C5C0-483B-9ABC-50EE8AE61501}"/>
                </c:ext>
              </c:extLst>
            </c:dLbl>
            <c:dLbl>
              <c:idx val="1"/>
              <c:layout>
                <c:manualLayout>
                  <c:x val="-9.1356663162460664E-3"/>
                  <c:y val="0.60435499733863707"/>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5C0-483B-9ABC-50EE8AE61501}"/>
                </c:ext>
              </c:extLst>
            </c:dLbl>
            <c:dLbl>
              <c:idx val="2"/>
              <c:delete val="1"/>
              <c:extLst>
                <c:ext xmlns:c15="http://schemas.microsoft.com/office/drawing/2012/chart" uri="{CE6537A1-D6FC-4f65-9D91-7224C49458BB}"/>
                <c:ext xmlns:c16="http://schemas.microsoft.com/office/drawing/2014/chart" uri="{C3380CC4-5D6E-409C-BE32-E72D297353CC}">
                  <c16:uniqueId val="{00000002-C5C0-483B-9ABC-50EE8AE61501}"/>
                </c:ext>
              </c:extLst>
            </c:dLbl>
            <c:dLbl>
              <c:idx val="3"/>
              <c:layout>
                <c:manualLayout>
                  <c:x val="-0.19003586771797137"/>
                  <c:y val="-0.19896793566166865"/>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5C0-483B-9ABC-50EE8AE61501}"/>
                </c:ext>
              </c:extLst>
            </c:dLbl>
            <c:dLbl>
              <c:idx val="4"/>
              <c:delete val="1"/>
              <c:extLst>
                <c:ext xmlns:c15="http://schemas.microsoft.com/office/drawing/2012/chart" uri="{CE6537A1-D6FC-4f65-9D91-7224C49458BB}"/>
                <c:ext xmlns:c16="http://schemas.microsoft.com/office/drawing/2014/chart" uri="{C3380CC4-5D6E-409C-BE32-E72D297353CC}">
                  <c16:uniqueId val="{00000004-C5C0-483B-9ABC-50EE8AE61501}"/>
                </c:ext>
              </c:extLst>
            </c:dLbl>
            <c:dLbl>
              <c:idx val="5"/>
              <c:layout>
                <c:manualLayout>
                  <c:x val="-0.46658931303737117"/>
                  <c:y val="0.37734590301874582"/>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5-C5C0-483B-9ABC-50EE8AE61501}"/>
                </c:ext>
              </c:extLst>
            </c:dLbl>
            <c:dLbl>
              <c:idx val="6"/>
              <c:layout>
                <c:manualLayout>
                  <c:x val="0"/>
                  <c:y val="-0.5627704584647456"/>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C244-4EA1-9E17-573AED6B6ED4}"/>
                </c:ext>
              </c:extLst>
            </c:dLbl>
            <c:dLbl>
              <c:idx val="7"/>
              <c:layout>
                <c:manualLayout>
                  <c:x val="0"/>
                  <c:y val="0.1642685194717578"/>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824A-47AC-ADB8-276FD8B80C3E}"/>
                </c:ext>
              </c:extLst>
            </c:dLbl>
            <c:dLbl>
              <c:idx val="8"/>
              <c:layout>
                <c:manualLayout>
                  <c:x val="0.25446261142201843"/>
                  <c:y val="-5.0291466960141515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B06F-4510-85FA-1EAD9CD8AC76}"/>
                </c:ext>
              </c:extLst>
            </c:dLbl>
            <c:dLbl>
              <c:idx val="9"/>
              <c:layout>
                <c:manualLayout>
                  <c:x val="-7.480135218686107E-2"/>
                  <c:y val="-7.9481032665139843E-3"/>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82EE-4A91-94DC-276B6D0816AF}"/>
                </c:ext>
              </c:extLst>
            </c:dLbl>
            <c:spPr>
              <a:noFill/>
              <a:ln>
                <a:noFill/>
              </a:ln>
              <a:effectLst/>
            </c:spPr>
            <c:txPr>
              <a:bodyPr wrap="square" lIns="38100" tIns="19050" rIns="38100" bIns="19050" anchor="ctr">
                <a:spAutoFit/>
              </a:bodyPr>
              <a:lstStyle/>
              <a:p>
                <a:pPr>
                  <a:defRPr lang="en-IN"/>
                </a:pPr>
                <a:endParaRPr lang="en-US"/>
              </a:p>
            </c:txPr>
            <c:dLblPos val="outEnd"/>
            <c:showLegendKey val="0"/>
            <c:showVal val="1"/>
            <c:showCatName val="1"/>
            <c:showSerName val="0"/>
            <c:showPercent val="0"/>
            <c:showBubbleSize val="0"/>
            <c:showLeaderLines val="1"/>
            <c:extLst>
              <c:ext xmlns:c15="http://schemas.microsoft.com/office/drawing/2012/chart" uri="{CE6537A1-D6FC-4f65-9D91-7224C49458BB}"/>
            </c:extLst>
          </c:dLbls>
          <c:cat>
            <c:strRef>
              <c:f>'BANDHAN-ESF'!$J$9:$J$18</c:f>
              <c:strCache>
                <c:ptCount val="10"/>
                <c:pt idx="0">
                  <c:v>Net Equity </c:v>
                </c:pt>
                <c:pt idx="1">
                  <c:v>Net Current Asset</c:v>
                </c:pt>
                <c:pt idx="3">
                  <c:v>Corporate Bond</c:v>
                </c:pt>
                <c:pt idx="5">
                  <c:v>Mutual Fund Units</c:v>
                </c:pt>
                <c:pt idx="6">
                  <c:v>Government Bond</c:v>
                </c:pt>
                <c:pt idx="7">
                  <c:v>Arbitrage</c:v>
                </c:pt>
                <c:pt idx="8">
                  <c:v>Equity Options</c:v>
                </c:pt>
                <c:pt idx="9">
                  <c:v>State Government Bond</c:v>
                </c:pt>
              </c:strCache>
            </c:strRef>
          </c:cat>
          <c:val>
            <c:numRef>
              <c:f>'BANDHAN-ESF'!$K$9:$K$18</c:f>
              <c:numCache>
                <c:formatCode>0.00%</c:formatCode>
                <c:ptCount val="10"/>
                <c:pt idx="0">
                  <c:v>0.115399</c:v>
                </c:pt>
                <c:pt idx="1">
                  <c:v>4.3151999999999975E-2</c:v>
                </c:pt>
                <c:pt idx="3">
                  <c:v>4.9113999999999998E-2</c:v>
                </c:pt>
                <c:pt idx="5">
                  <c:v>9.1097999999999998E-2</c:v>
                </c:pt>
                <c:pt idx="6">
                  <c:v>5.3915999999999999E-2</c:v>
                </c:pt>
                <c:pt idx="7">
                  <c:v>0.54564900000000005</c:v>
                </c:pt>
                <c:pt idx="8">
                  <c:v>1.4059999999999999E-3</c:v>
                </c:pt>
                <c:pt idx="9" formatCode="#0.00%;\(#0.00%\)">
                  <c:v>0.10026599999999999</c:v>
                </c:pt>
              </c:numCache>
            </c:numRef>
          </c:val>
          <c:extLst>
            <c:ext xmlns:c16="http://schemas.microsoft.com/office/drawing/2014/chart" uri="{C3380CC4-5D6E-409C-BE32-E72D297353CC}">
              <c16:uniqueId val="{00000008-C5C0-483B-9ABC-50EE8AE61501}"/>
            </c:ext>
          </c:extLst>
        </c:ser>
        <c:dLbls>
          <c:showLegendKey val="0"/>
          <c:showVal val="0"/>
          <c:showCatName val="0"/>
          <c:showSerName val="0"/>
          <c:showPercent val="0"/>
          <c:showBubbleSize val="0"/>
          <c:showLeaderLines val="1"/>
        </c:dLbls>
      </c:pie3DChart>
      <c:spPr>
        <a:noFill/>
        <a:ln w="25400">
          <a:noFill/>
        </a:ln>
      </c:spPr>
    </c:plotArea>
    <c:plotVisOnly val="1"/>
    <c:dispBlanksAs val="zero"/>
    <c:showDLblsOverMax val="0"/>
  </c:chart>
  <c:txPr>
    <a:bodyPr/>
    <a:lstStyle/>
    <a:p>
      <a:pPr>
        <a:defRPr sz="1100" b="1"/>
      </a:pPr>
      <a:endParaRPr lang="en-US"/>
    </a:p>
  </c:txPr>
  <c:printSettings>
    <c:headerFooter/>
    <c:pageMargins b="0.75000000000001465" l="0.70000000000000062" r="0.70000000000000062" t="0.75000000000001465" header="0.30000000000000032" footer="0.30000000000000032"/>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defRPr lang="en-IN"/>
            </a:pPr>
            <a:r>
              <a:rPr lang="en-US"/>
              <a:t>Asset Allocation</a:t>
            </a:r>
          </a:p>
        </c:rich>
      </c:tx>
      <c:overlay val="0"/>
    </c:title>
    <c:autoTitleDeleted val="0"/>
    <c:view3D>
      <c:rotX val="15"/>
      <c:rotY val="0"/>
      <c:rAngAx val="0"/>
    </c:view3D>
    <c:floor>
      <c:thickness val="0"/>
    </c:floor>
    <c:sideWall>
      <c:thickness val="0"/>
    </c:sideWall>
    <c:backWall>
      <c:thickness val="0"/>
    </c:backWall>
    <c:plotArea>
      <c:layout>
        <c:manualLayout>
          <c:layoutTarget val="inner"/>
          <c:xMode val="edge"/>
          <c:yMode val="edge"/>
          <c:x val="6.0529194996097963E-2"/>
          <c:y val="0.2256465955919264"/>
          <c:w val="0.89502608808352679"/>
          <c:h val="0.61676865851891904"/>
        </c:manualLayout>
      </c:layout>
      <c:pie3DChart>
        <c:varyColors val="1"/>
        <c:ser>
          <c:idx val="0"/>
          <c:order val="0"/>
          <c:dLbls>
            <c:dLbl>
              <c:idx val="0"/>
              <c:layout>
                <c:manualLayout>
                  <c:x val="-0.12525344176542141"/>
                  <c:y val="-7.7258389702492589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CC7-4230-8A23-CF6C59C0482A}"/>
                </c:ext>
              </c:extLst>
            </c:dLbl>
            <c:dLbl>
              <c:idx val="1"/>
              <c:layout>
                <c:manualLayout>
                  <c:x val="-9.090975612006387E-2"/>
                  <c:y val="0.1713321158657419"/>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246-4E9E-B82D-9962D5990B86}"/>
                </c:ext>
              </c:extLst>
            </c:dLbl>
            <c:dLbl>
              <c:idx val="2"/>
              <c:layout>
                <c:manualLayout>
                  <c:x val="0.16737245886230701"/>
                  <c:y val="5.4010439360849968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2-3246-4E9E-B82D-9962D5990B86}"/>
                </c:ext>
              </c:extLst>
            </c:dLbl>
            <c:dLbl>
              <c:idx val="3"/>
              <c:layout>
                <c:manualLayout>
                  <c:x val="0"/>
                  <c:y val="-0.17905516484393361"/>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246-4E9E-B82D-9962D5990B86}"/>
                </c:ext>
              </c:extLst>
            </c:dLbl>
            <c:dLbl>
              <c:idx val="4"/>
              <c:delete val="1"/>
              <c:extLst>
                <c:ext xmlns:c15="http://schemas.microsoft.com/office/drawing/2012/chart" uri="{CE6537A1-D6FC-4f65-9D91-7224C49458BB}"/>
                <c:ext xmlns:c16="http://schemas.microsoft.com/office/drawing/2014/chart" uri="{C3380CC4-5D6E-409C-BE32-E72D297353CC}">
                  <c16:uniqueId val="{00000000-6D0C-4011-87E0-AF0B55CD35FA}"/>
                </c:ext>
              </c:extLst>
            </c:dLbl>
            <c:dLbl>
              <c:idx val="5"/>
              <c:layout>
                <c:manualLayout>
                  <c:x val="-0.33659913840139449"/>
                  <c:y val="0.7323780062863976"/>
                </c:manualLayout>
              </c:layout>
              <c:showLegendKey val="0"/>
              <c:showVal val="1"/>
              <c:showCatName val="1"/>
              <c:showSerName val="0"/>
              <c:showPercent val="0"/>
              <c:showBubbleSize val="0"/>
              <c:extLst>
                <c:ext xmlns:c15="http://schemas.microsoft.com/office/drawing/2012/chart" uri="{CE6537A1-D6FC-4f65-9D91-7224C49458BB}">
                  <c15:layout>
                    <c:manualLayout>
                      <c:w val="0.27280005548437958"/>
                      <c:h val="0.20833786444607436"/>
                    </c:manualLayout>
                  </c15:layout>
                </c:ext>
                <c:ext xmlns:c16="http://schemas.microsoft.com/office/drawing/2014/chart" uri="{C3380CC4-5D6E-409C-BE32-E72D297353CC}">
                  <c16:uniqueId val="{00000000-5CC7-4230-8A23-CF6C59C0482A}"/>
                </c:ext>
              </c:extLst>
            </c:dLbl>
            <c:dLbl>
              <c:idx val="6"/>
              <c:layout>
                <c:manualLayout>
                  <c:x val="8.833787696529713E-2"/>
                  <c:y val="-3.743476859375424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3C08-4045-A79C-942BF2DC4D6D}"/>
                </c:ext>
              </c:extLst>
            </c:dLbl>
            <c:spPr>
              <a:noFill/>
              <a:ln>
                <a:noFill/>
              </a:ln>
              <a:effectLst/>
            </c:spPr>
            <c:showLegendKey val="0"/>
            <c:showVal val="1"/>
            <c:showCatName val="1"/>
            <c:showSerName val="0"/>
            <c:showPercent val="0"/>
            <c:showBubbleSize val="0"/>
            <c:showLeaderLines val="0"/>
            <c:extLst>
              <c:ext xmlns:c15="http://schemas.microsoft.com/office/drawing/2012/chart" uri="{CE6537A1-D6FC-4f65-9D91-7224C49458BB}"/>
            </c:extLst>
          </c:dLbls>
          <c:cat>
            <c:strRef>
              <c:f>'BANDHAN CHF'!$J$9:$J$14</c:f>
              <c:strCache>
                <c:ptCount val="6"/>
                <c:pt idx="0">
                  <c:v>Corporate Bond</c:v>
                </c:pt>
                <c:pt idx="1">
                  <c:v>Equity + Nifty ETF</c:v>
                </c:pt>
                <c:pt idx="2">
                  <c:v>Net Current Asset</c:v>
                </c:pt>
                <c:pt idx="3">
                  <c:v>Government Bond</c:v>
                </c:pt>
                <c:pt idx="5">
                  <c:v>Corporate Debt Market Development Fund</c:v>
                </c:pt>
              </c:strCache>
            </c:strRef>
          </c:cat>
          <c:val>
            <c:numRef>
              <c:f>'BANDHAN CHF'!$K$9:$K$14</c:f>
              <c:numCache>
                <c:formatCode>0.00%</c:formatCode>
                <c:ptCount val="6"/>
                <c:pt idx="0">
                  <c:v>0.24402499999999999</c:v>
                </c:pt>
                <c:pt idx="1">
                  <c:v>0.25162699999999999</c:v>
                </c:pt>
                <c:pt idx="2">
                  <c:v>5.2947000000000001E-2</c:v>
                </c:pt>
                <c:pt idx="3">
                  <c:v>0.44792300000000002</c:v>
                </c:pt>
                <c:pt idx="5">
                  <c:v>3.4780000000000002E-3</c:v>
                </c:pt>
              </c:numCache>
            </c:numRef>
          </c:val>
          <c:extLst>
            <c:ext xmlns:c16="http://schemas.microsoft.com/office/drawing/2014/chart" uri="{C3380CC4-5D6E-409C-BE32-E72D297353CC}">
              <c16:uniqueId val="{00000006-3246-4E9E-B82D-9962D5990B86}"/>
            </c:ext>
          </c:extLst>
        </c:ser>
        <c:dLbls>
          <c:showLegendKey val="0"/>
          <c:showVal val="0"/>
          <c:showCatName val="0"/>
          <c:showSerName val="0"/>
          <c:showPercent val="0"/>
          <c:showBubbleSize val="0"/>
          <c:showLeaderLines val="0"/>
        </c:dLbls>
      </c:pie3DChart>
      <c:spPr>
        <a:noFill/>
        <a:ln w="25400">
          <a:noFill/>
        </a:ln>
      </c:spPr>
    </c:plotArea>
    <c:plotVisOnly val="1"/>
    <c:dispBlanksAs val="zero"/>
    <c:showDLblsOverMax val="0"/>
  </c:chart>
  <c:txPr>
    <a:bodyPr/>
    <a:lstStyle/>
    <a:p>
      <a:pPr>
        <a:defRPr sz="1100" b="1"/>
      </a:pPr>
      <a:endParaRPr lang="en-US"/>
    </a:p>
  </c:txPr>
  <c:printSettings>
    <c:headerFooter/>
    <c:pageMargins b="0.75000000000001465" l="0.70000000000000062" r="0.70000000000000062" t="0.75000000000001465" header="0.30000000000000032" footer="0.30000000000000032"/>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defRPr lang="en-IN"/>
            </a:pPr>
            <a:r>
              <a:rPr lang="en-US"/>
              <a:t>Asset Quality of Debt portfolio</a:t>
            </a:r>
          </a:p>
        </c:rich>
      </c:tx>
      <c:overlay val="0"/>
    </c:title>
    <c:autoTitleDeleted val="0"/>
    <c:view3D>
      <c:rotX val="15"/>
      <c:rotY val="0"/>
      <c:rAngAx val="0"/>
    </c:view3D>
    <c:floor>
      <c:thickness val="0"/>
    </c:floor>
    <c:sideWall>
      <c:thickness val="0"/>
    </c:sideWall>
    <c:backWall>
      <c:thickness val="0"/>
    </c:backWall>
    <c:plotArea>
      <c:layout>
        <c:manualLayout>
          <c:layoutTarget val="inner"/>
          <c:xMode val="edge"/>
          <c:yMode val="edge"/>
          <c:x val="0.11281803918732473"/>
          <c:y val="0.24113796123081782"/>
          <c:w val="0.78272608624251272"/>
          <c:h val="0.53333319409344349"/>
        </c:manualLayout>
      </c:layout>
      <c:pie3DChart>
        <c:varyColors val="1"/>
        <c:ser>
          <c:idx val="0"/>
          <c:order val="0"/>
          <c:dLbls>
            <c:dLbl>
              <c:idx val="0"/>
              <c:layout>
                <c:manualLayout>
                  <c:x val="9.8592287457612435E-2"/>
                  <c:y val="-7.0693450288318027E-3"/>
                </c:manualLayout>
              </c:layout>
              <c:dLblPos val="bestFit"/>
              <c:showLegendKey val="1"/>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DDD0-4A0D-BCA6-E77632D4550F}"/>
                </c:ext>
              </c:extLst>
            </c:dLbl>
            <c:dLbl>
              <c:idx val="1"/>
              <c:layout>
                <c:manualLayout>
                  <c:x val="-0.30342522437873731"/>
                  <c:y val="7.4669222065716884E-2"/>
                </c:manualLayout>
              </c:layout>
              <c:dLblPos val="bestFit"/>
              <c:showLegendKey val="1"/>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DDD0-4A0D-BCA6-E77632D4550F}"/>
                </c:ext>
              </c:extLst>
            </c:dLbl>
            <c:dLbl>
              <c:idx val="2"/>
              <c:layout>
                <c:manualLayout>
                  <c:x val="0.40878414920360673"/>
                  <c:y val="4.81076203711693E-2"/>
                </c:manualLayout>
              </c:layout>
              <c:dLblPos val="bestFit"/>
              <c:showLegendKey val="1"/>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2-DDD0-4A0D-BCA6-E77632D4550F}"/>
                </c:ext>
              </c:extLst>
            </c:dLbl>
            <c:numFmt formatCode="0.00%" sourceLinked="0"/>
            <c:spPr>
              <a:noFill/>
              <a:ln>
                <a:noFill/>
              </a:ln>
              <a:effectLst/>
            </c:spPr>
            <c:txPr>
              <a:bodyPr/>
              <a:lstStyle/>
              <a:p>
                <a:pPr>
                  <a:defRPr lang="en-IN"/>
                </a:pPr>
                <a:endParaRPr lang="en-US"/>
              </a:p>
            </c:txPr>
            <c:showLegendKey val="1"/>
            <c:showVal val="1"/>
            <c:showCatName val="1"/>
            <c:showSerName val="0"/>
            <c:showPercent val="0"/>
            <c:showBubbleSize val="0"/>
            <c:showLeaderLines val="0"/>
            <c:extLst>
              <c:ext xmlns:c15="http://schemas.microsoft.com/office/drawing/2012/chart" uri="{CE6537A1-D6FC-4f65-9D91-7224C49458BB}"/>
            </c:extLst>
          </c:dLbls>
          <c:cat>
            <c:strRef>
              <c:f>'BANDHAN CHF'!$G$8:$G$10</c:f>
              <c:strCache>
                <c:ptCount val="3"/>
                <c:pt idx="0">
                  <c:v>AAA Equivalent</c:v>
                </c:pt>
                <c:pt idx="1">
                  <c:v>AA+ Equivalent</c:v>
                </c:pt>
                <c:pt idx="2">
                  <c:v>AA Equivalent</c:v>
                </c:pt>
              </c:strCache>
            </c:strRef>
          </c:cat>
          <c:val>
            <c:numRef>
              <c:f>'BANDHAN CHF'!$I$8:$I$10</c:f>
              <c:numCache>
                <c:formatCode>0.00%</c:formatCode>
                <c:ptCount val="3"/>
                <c:pt idx="0">
                  <c:v>0.85119299999999998</c:v>
                </c:pt>
                <c:pt idx="1">
                  <c:v>0.11417400000000001</c:v>
                </c:pt>
                <c:pt idx="2">
                  <c:v>3.4632999999999997E-2</c:v>
                </c:pt>
              </c:numCache>
            </c:numRef>
          </c:val>
          <c:extLst>
            <c:ext xmlns:c16="http://schemas.microsoft.com/office/drawing/2014/chart" uri="{C3380CC4-5D6E-409C-BE32-E72D297353CC}">
              <c16:uniqueId val="{00000003-DDD0-4A0D-BCA6-E77632D4550F}"/>
            </c:ext>
          </c:extLst>
        </c:ser>
        <c:dLbls>
          <c:showLegendKey val="0"/>
          <c:showVal val="0"/>
          <c:showCatName val="0"/>
          <c:showSerName val="0"/>
          <c:showPercent val="0"/>
          <c:showBubbleSize val="0"/>
          <c:showLeaderLines val="0"/>
        </c:dLbls>
      </c:pie3DChart>
      <c:spPr>
        <a:noFill/>
        <a:ln w="25400">
          <a:noFill/>
        </a:ln>
      </c:spPr>
    </c:plotArea>
    <c:plotVisOnly val="1"/>
    <c:dispBlanksAs val="zero"/>
    <c:showDLblsOverMax val="0"/>
  </c:chart>
  <c:txPr>
    <a:bodyPr/>
    <a:lstStyle/>
    <a:p>
      <a:pPr>
        <a:defRPr sz="1100" b="1"/>
      </a:pPr>
      <a:endParaRPr lang="en-US"/>
    </a:p>
  </c:txPr>
  <c:printSettings>
    <c:headerFooter/>
    <c:pageMargins b="0.75000000000001465" l="0.70000000000000062" r="0.70000000000000062" t="0.75000000000001465" header="0.30000000000000032" footer="0.30000000000000032"/>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defRPr lang="en-IN"/>
            </a:pPr>
            <a:r>
              <a:rPr lang="en-US"/>
              <a:t>Asset Quality of Debt portfolio</a:t>
            </a:r>
          </a:p>
        </c:rich>
      </c:tx>
      <c:overlay val="0"/>
    </c:title>
    <c:autoTitleDeleted val="0"/>
    <c:view3D>
      <c:rotX val="15"/>
      <c:rotY val="0"/>
      <c:rAngAx val="0"/>
    </c:view3D>
    <c:floor>
      <c:thickness val="0"/>
    </c:floor>
    <c:sideWall>
      <c:thickness val="0"/>
    </c:sideWall>
    <c:backWall>
      <c:thickness val="0"/>
    </c:backWall>
    <c:plotArea>
      <c:layout>
        <c:manualLayout>
          <c:layoutTarget val="inner"/>
          <c:xMode val="edge"/>
          <c:yMode val="edge"/>
          <c:x val="0.12832326532959887"/>
          <c:y val="0.18140857356445786"/>
          <c:w val="0.78272608624251272"/>
          <c:h val="0.53333319409344349"/>
        </c:manualLayout>
      </c:layout>
      <c:pie3DChart>
        <c:varyColors val="1"/>
        <c:ser>
          <c:idx val="0"/>
          <c:order val="0"/>
          <c:dLbls>
            <c:dLbl>
              <c:idx val="0"/>
              <c:layout>
                <c:manualLayout>
                  <c:x val="0.14246619810917505"/>
                  <c:y val="-1.2266826343321441E-3"/>
                </c:manualLayout>
              </c:layout>
              <c:tx>
                <c:rich>
                  <a:bodyPr/>
                  <a:lstStyle/>
                  <a:p>
                    <a:fld id="{835B31E5-0428-4C26-8EE8-6702101E8213}" type="CATEGORYNAME">
                      <a:rPr lang="en-US" baseline="0"/>
                      <a:pPr/>
                      <a:t>[CATEGORY NAME]</a:t>
                    </a:fld>
                    <a:r>
                      <a:rPr lang="en-US" baseline="0"/>
                      <a:t>, </a:t>
                    </a:r>
                    <a:fld id="{FE9075AB-FAD9-4B66-894C-3C5337361573}" type="VALUE">
                      <a:rPr lang="en-US" baseline="0"/>
                      <a:pPr/>
                      <a:t>[VALUE]</a:t>
                    </a:fld>
                    <a:endParaRPr lang="en-US" baseline="0"/>
                  </a:p>
                </c:rich>
              </c:tx>
              <c:dLblPos val="bestFit"/>
              <c:showLegendKey val="1"/>
              <c:showVal val="1"/>
              <c:showCatName val="1"/>
              <c:showSerName val="0"/>
              <c:showPercent val="0"/>
              <c:showBubbleSize val="0"/>
              <c:extLst>
                <c:ext xmlns:c15="http://schemas.microsoft.com/office/drawing/2012/chart" uri="{CE6537A1-D6FC-4f65-9D91-7224C49458BB}">
                  <c15:layout>
                    <c:manualLayout>
                      <c:w val="0.14750133042527622"/>
                      <c:h val="0.28417500857060746"/>
                    </c:manualLayout>
                  </c15:layout>
                  <c15:dlblFieldTable/>
                  <c15:showDataLabelsRange val="1"/>
                </c:ext>
                <c:ext xmlns:c16="http://schemas.microsoft.com/office/drawing/2014/chart" uri="{C3380CC4-5D6E-409C-BE32-E72D297353CC}">
                  <c16:uniqueId val="{00000000-C3CC-4BC3-8596-62760DD930D0}"/>
                </c:ext>
              </c:extLst>
            </c:dLbl>
            <c:dLbl>
              <c:idx val="1"/>
              <c:layout>
                <c:manualLayout>
                  <c:x val="-0.27134164249427845"/>
                  <c:y val="0.14567999800404183"/>
                </c:manualLayout>
              </c:layout>
              <c:tx>
                <c:rich>
                  <a:bodyPr/>
                  <a:lstStyle/>
                  <a:p>
                    <a:fld id="{24A83395-05A0-4283-B032-E48A3AA94961}" type="CATEGORYNAME">
                      <a:rPr lang="en-US"/>
                      <a:pPr/>
                      <a:t>[CATEGORY NAME]</a:t>
                    </a:fld>
                    <a:r>
                      <a:rPr lang="en-US"/>
                      <a:t> 2.94%</a:t>
                    </a:r>
                  </a:p>
                </c:rich>
              </c:tx>
              <c:showLegendKey val="0"/>
              <c:showVal val="0"/>
              <c:showCatName val="0"/>
              <c:showSerName val="0"/>
              <c:showPercent val="0"/>
              <c:showBubbleSize val="0"/>
              <c:extLst>
                <c:ext xmlns:c15="http://schemas.microsoft.com/office/drawing/2012/chart" uri="{CE6537A1-D6FC-4f65-9D91-7224C49458BB}">
                  <c15:layout>
                    <c:manualLayout>
                      <c:w val="0.144284841643783"/>
                      <c:h val="0.2317760239219285"/>
                    </c:manualLayout>
                  </c15:layout>
                  <c15:dlblFieldTable/>
                  <c15:showDataLabelsRange val="1"/>
                </c:ext>
                <c:ext xmlns:c16="http://schemas.microsoft.com/office/drawing/2014/chart" uri="{C3380CC4-5D6E-409C-BE32-E72D297353CC}">
                  <c16:uniqueId val="{00000001-C3CC-4BC3-8596-62760DD930D0}"/>
                </c:ext>
              </c:extLst>
            </c:dLbl>
            <c:dLbl>
              <c:idx val="2"/>
              <c:layout>
                <c:manualLayout>
                  <c:x val="0.36265025869870232"/>
                  <c:y val="0.17016467579078293"/>
                </c:manualLayout>
              </c:layout>
              <c:tx>
                <c:rich>
                  <a:bodyPr/>
                  <a:lstStyle/>
                  <a:p>
                    <a:pPr>
                      <a:defRPr lang="en-IN">
                        <a:solidFill>
                          <a:schemeClr val="tx1"/>
                        </a:solidFill>
                      </a:defRPr>
                    </a:pPr>
                    <a:r>
                      <a:rPr lang="en-US">
                        <a:solidFill>
                          <a:schemeClr val="tx1"/>
                        </a:solidFill>
                      </a:rPr>
                      <a:t>AA Equivalent 0.80%</a:t>
                    </a:r>
                  </a:p>
                </c:rich>
              </c:tx>
              <c:numFmt formatCode="0.00%" sourceLinked="0"/>
              <c:spPr>
                <a:noFill/>
                <a:ln>
                  <a:noFill/>
                </a:ln>
                <a:effectLst/>
              </c:spPr>
              <c:showLegendKey val="0"/>
              <c:showVal val="0"/>
              <c:showCatName val="0"/>
              <c:showSerName val="0"/>
              <c:showPercent val="0"/>
              <c:showBubbleSize val="0"/>
              <c:extLst>
                <c:ext xmlns:c15="http://schemas.microsoft.com/office/drawing/2012/chart" uri="{CE6537A1-D6FC-4f65-9D91-7224C49458BB}">
                  <c15:layout>
                    <c:manualLayout>
                      <c:w val="0.14816115082227269"/>
                      <c:h val="0.25524701368617436"/>
                    </c:manualLayout>
                  </c15:layout>
                </c:ext>
                <c:ext xmlns:c16="http://schemas.microsoft.com/office/drawing/2014/chart" uri="{C3380CC4-5D6E-409C-BE32-E72D297353CC}">
                  <c16:uniqueId val="{00000002-C3CC-4BC3-8596-62760DD930D0}"/>
                </c:ext>
              </c:extLst>
            </c:dLbl>
            <c:numFmt formatCode="0.00%" sourceLinked="0"/>
            <c:spPr>
              <a:noFill/>
              <a:ln>
                <a:noFill/>
              </a:ln>
              <a:effectLst/>
            </c:spPr>
            <c:txPr>
              <a:bodyPr/>
              <a:lstStyle/>
              <a:p>
                <a:pPr>
                  <a:defRPr lang="en-IN"/>
                </a:pPr>
                <a:endParaRPr lang="en-US"/>
              </a:p>
            </c:txPr>
            <c:showLegendKey val="1"/>
            <c:showVal val="1"/>
            <c:showCatName val="1"/>
            <c:showSerName val="0"/>
            <c:showPercent val="0"/>
            <c:showBubbleSize val="0"/>
            <c:showLeaderLines val="0"/>
            <c:extLst>
              <c:ext xmlns:c15="http://schemas.microsoft.com/office/drawing/2012/chart" uri="{CE6537A1-D6FC-4f65-9D91-7224C49458BB}">
                <c15:showDataLabelsRange val="1"/>
              </c:ext>
            </c:extLst>
          </c:dLbls>
          <c:cat>
            <c:strRef>
              <c:f>'BANDHAN-AHF'!$G$8:$G$10</c:f>
              <c:strCache>
                <c:ptCount val="3"/>
                <c:pt idx="0">
                  <c:v>AAA Equivalent</c:v>
                </c:pt>
                <c:pt idx="1">
                  <c:v>AA+ Equivalent</c:v>
                </c:pt>
                <c:pt idx="2">
                  <c:v>AA Equivalent</c:v>
                </c:pt>
              </c:strCache>
            </c:strRef>
          </c:cat>
          <c:val>
            <c:numRef>
              <c:f>'BANDHAN-AHF'!$I$8:$I$10</c:f>
              <c:numCache>
                <c:formatCode>0.00%</c:formatCode>
                <c:ptCount val="3"/>
                <c:pt idx="0">
                  <c:v>0.96646299999999996</c:v>
                </c:pt>
                <c:pt idx="1">
                  <c:v>2.6431999999999997E-2</c:v>
                </c:pt>
                <c:pt idx="2">
                  <c:v>7.1050000000000002E-3</c:v>
                </c:pt>
              </c:numCache>
            </c:numRef>
          </c:val>
          <c:extLst>
            <c:ext xmlns:c15="http://schemas.microsoft.com/office/drawing/2012/chart" uri="{02D57815-91ED-43cb-92C2-25804820EDAC}">
              <c15:datalabelsRange>
                <c15:f>('BANDHAN-AHF'!$G$10,'BANDHAN-AHF'!$I$10)</c15:f>
                <c15:dlblRangeCache>
                  <c:ptCount val="2"/>
                  <c:pt idx="0">
                    <c:v>AA Equivalent</c:v>
                  </c:pt>
                  <c:pt idx="1">
                    <c:v>0.71%</c:v>
                  </c:pt>
                </c15:dlblRangeCache>
              </c15:datalabelsRange>
            </c:ext>
            <c:ext xmlns:c16="http://schemas.microsoft.com/office/drawing/2014/chart" uri="{C3380CC4-5D6E-409C-BE32-E72D297353CC}">
              <c16:uniqueId val="{00000003-C3CC-4BC3-8596-62760DD930D0}"/>
            </c:ext>
          </c:extLst>
        </c:ser>
        <c:ser>
          <c:idx val="1"/>
          <c:order val="1"/>
          <c:cat>
            <c:strRef>
              <c:f>'BANDHAN-AHF'!$G$8:$G$10</c:f>
              <c:strCache>
                <c:ptCount val="3"/>
                <c:pt idx="0">
                  <c:v>AAA Equivalent</c:v>
                </c:pt>
                <c:pt idx="1">
                  <c:v>AA+ Equivalent</c:v>
                </c:pt>
                <c:pt idx="2">
                  <c:v>AA Equivalent</c:v>
                </c:pt>
              </c:strCache>
            </c:strRef>
          </c:cat>
          <c:val>
            <c:numRef>
              <c:f>'BANDHAN-MCAP'!$C$4</c:f>
              <c:numCache>
                <c:formatCode>General</c:formatCode>
                <c:ptCount val="1"/>
                <c:pt idx="0">
                  <c:v>0</c:v>
                </c:pt>
              </c:numCache>
            </c:numRef>
          </c:val>
          <c:extLst>
            <c:ext xmlns:c16="http://schemas.microsoft.com/office/drawing/2014/chart" uri="{C3380CC4-5D6E-409C-BE32-E72D297353CC}">
              <c16:uniqueId val="{00000000-9F85-46EC-A9F3-E41E9EB19A05}"/>
            </c:ext>
          </c:extLst>
        </c:ser>
        <c:dLbls>
          <c:showLegendKey val="0"/>
          <c:showVal val="0"/>
          <c:showCatName val="0"/>
          <c:showSerName val="0"/>
          <c:showPercent val="0"/>
          <c:showBubbleSize val="0"/>
          <c:showLeaderLines val="0"/>
        </c:dLbls>
      </c:pie3DChart>
      <c:spPr>
        <a:noFill/>
        <a:ln w="25400">
          <a:noFill/>
        </a:ln>
      </c:spPr>
    </c:plotArea>
    <c:plotVisOnly val="1"/>
    <c:dispBlanksAs val="zero"/>
    <c:showDLblsOverMax val="0"/>
  </c:chart>
  <c:txPr>
    <a:bodyPr/>
    <a:lstStyle/>
    <a:p>
      <a:pPr>
        <a:defRPr sz="1100" b="1"/>
      </a:pPr>
      <a:endParaRPr lang="en-US"/>
    </a:p>
  </c:txPr>
  <c:printSettings>
    <c:headerFooter/>
    <c:pageMargins b="0.75000000000001465" l="0.70000000000000062" r="0.70000000000000062" t="0.75000000000001465" header="0.30000000000000032" footer="0.30000000000000032"/>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title>
      <c:tx>
        <c:rich>
          <a:bodyPr rot="0" spcFirstLastPara="1" vertOverflow="ellipsis" vert="horz" wrap="square" anchor="ctr" anchorCtr="1"/>
          <a:lstStyle/>
          <a:p>
            <a:pPr>
              <a:defRPr lang="en-US" sz="1320" b="1" i="0" u="none" strike="noStrike" kern="1200" spc="0" baseline="0">
                <a:solidFill>
                  <a:schemeClr val="tx1"/>
                </a:solidFill>
                <a:latin typeface="+mn-lt"/>
                <a:ea typeface="+mn-ea"/>
                <a:cs typeface="+mn-cs"/>
              </a:defRPr>
            </a:pPr>
            <a:r>
              <a:rPr lang="en-US"/>
              <a:t>Asset Allocation</a:t>
            </a:r>
          </a:p>
        </c:rich>
      </c:tx>
      <c:overlay val="0"/>
      <c:spPr>
        <a:noFill/>
        <a:ln>
          <a:noFill/>
        </a:ln>
        <a:effectLst/>
      </c:spPr>
      <c:txPr>
        <a:bodyPr rot="0" spcFirstLastPara="1" vertOverflow="ellipsis" vert="horz" wrap="square" anchor="ctr" anchorCtr="1"/>
        <a:lstStyle/>
        <a:p>
          <a:pPr>
            <a:defRPr lang="en-US" sz="1320" b="1" i="0" u="none" strike="noStrike" kern="1200" spc="0" baseline="0">
              <a:solidFill>
                <a:schemeClr val="tx1"/>
              </a:solidFill>
              <a:latin typeface="+mn-lt"/>
              <a:ea typeface="+mn-ea"/>
              <a:cs typeface="+mn-cs"/>
            </a:defRPr>
          </a:pPr>
          <a:endParaRPr lang="en-US"/>
        </a:p>
      </c:txPr>
    </c:title>
    <c:autoTitleDeleted val="0"/>
    <c:view3D>
      <c:rotX val="20"/>
      <c:rotY val="2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spPr>
            <a:ln>
              <a:noFill/>
            </a:ln>
          </c:spPr>
          <c:dPt>
            <c:idx val="0"/>
            <c:bubble3D val="0"/>
            <c:spPr>
              <a:solidFill>
                <a:schemeClr val="dk1">
                  <a:tint val="88500"/>
                </a:schemeClr>
              </a:solidFill>
              <a:ln w="25400">
                <a:noFill/>
              </a:ln>
              <a:effectLst/>
              <a:sp3d/>
            </c:spPr>
            <c:extLst>
              <c:ext xmlns:c16="http://schemas.microsoft.com/office/drawing/2014/chart" uri="{C3380CC4-5D6E-409C-BE32-E72D297353CC}">
                <c16:uniqueId val="{00000002-5DD4-4BDC-9159-15B98E11C9E9}"/>
              </c:ext>
            </c:extLst>
          </c:dPt>
          <c:dPt>
            <c:idx val="1"/>
            <c:bubble3D val="0"/>
            <c:spPr>
              <a:solidFill>
                <a:schemeClr val="dk1">
                  <a:tint val="55000"/>
                </a:schemeClr>
              </a:solidFill>
              <a:ln w="25400">
                <a:noFill/>
              </a:ln>
              <a:effectLst/>
              <a:sp3d/>
            </c:spPr>
            <c:extLst>
              <c:ext xmlns:c16="http://schemas.microsoft.com/office/drawing/2014/chart" uri="{C3380CC4-5D6E-409C-BE32-E72D297353CC}">
                <c16:uniqueId val="{00000001-5DD4-4BDC-9159-15B98E11C9E9}"/>
              </c:ext>
            </c:extLst>
          </c:dPt>
          <c:dPt>
            <c:idx val="2"/>
            <c:bubble3D val="0"/>
            <c:spPr>
              <a:solidFill>
                <a:schemeClr val="dk1">
                  <a:tint val="75000"/>
                </a:schemeClr>
              </a:solidFill>
              <a:ln w="25400">
                <a:noFill/>
              </a:ln>
              <a:effectLst/>
              <a:sp3d/>
            </c:spPr>
            <c:extLst>
              <c:ext xmlns:c16="http://schemas.microsoft.com/office/drawing/2014/chart" uri="{C3380CC4-5D6E-409C-BE32-E72D297353CC}">
                <c16:uniqueId val="{00000003-5DD4-4BDC-9159-15B98E11C9E9}"/>
              </c:ext>
            </c:extLst>
          </c:dPt>
          <c:dPt>
            <c:idx val="3"/>
            <c:bubble3D val="0"/>
            <c:spPr>
              <a:solidFill>
                <a:schemeClr val="dk1">
                  <a:tint val="98500"/>
                </a:schemeClr>
              </a:solidFill>
              <a:ln w="25400">
                <a:noFill/>
              </a:ln>
              <a:effectLst/>
              <a:sp3d/>
            </c:spPr>
            <c:extLst>
              <c:ext xmlns:c16="http://schemas.microsoft.com/office/drawing/2014/chart" uri="{C3380CC4-5D6E-409C-BE32-E72D297353CC}">
                <c16:uniqueId val="{00000007-E3EE-4550-A924-FBB22E870FAE}"/>
              </c:ext>
            </c:extLst>
          </c:dPt>
          <c:dPt>
            <c:idx val="4"/>
            <c:bubble3D val="0"/>
            <c:spPr>
              <a:solidFill>
                <a:schemeClr val="dk1">
                  <a:tint val="30000"/>
                </a:schemeClr>
              </a:solidFill>
              <a:ln w="25400">
                <a:noFill/>
              </a:ln>
              <a:effectLst/>
              <a:sp3d/>
            </c:spPr>
            <c:extLst>
              <c:ext xmlns:c16="http://schemas.microsoft.com/office/drawing/2014/chart" uri="{C3380CC4-5D6E-409C-BE32-E72D297353CC}">
                <c16:uniqueId val="{00000004-5DD4-4BDC-9159-15B98E11C9E9}"/>
              </c:ext>
            </c:extLst>
          </c:dPt>
          <c:dPt>
            <c:idx val="5"/>
            <c:bubble3D val="0"/>
            <c:spPr>
              <a:solidFill>
                <a:schemeClr val="dk1">
                  <a:tint val="60000"/>
                </a:schemeClr>
              </a:solidFill>
              <a:ln w="25400">
                <a:noFill/>
              </a:ln>
              <a:effectLst/>
              <a:sp3d/>
            </c:spPr>
            <c:extLst>
              <c:ext xmlns:c16="http://schemas.microsoft.com/office/drawing/2014/chart" uri="{C3380CC4-5D6E-409C-BE32-E72D297353CC}">
                <c16:uniqueId val="{0000000B-744D-4822-82F8-091A8EC7716A}"/>
              </c:ext>
            </c:extLst>
          </c:dPt>
          <c:dPt>
            <c:idx val="6"/>
            <c:bubble3D val="0"/>
            <c:spPr>
              <a:solidFill>
                <a:schemeClr val="dk1">
                  <a:tint val="80000"/>
                </a:schemeClr>
              </a:solidFill>
              <a:ln w="25400">
                <a:noFill/>
              </a:ln>
              <a:effectLst/>
              <a:sp3d/>
            </c:spPr>
            <c:extLst>
              <c:ext xmlns:c16="http://schemas.microsoft.com/office/drawing/2014/chart" uri="{C3380CC4-5D6E-409C-BE32-E72D297353CC}">
                <c16:uniqueId val="{0000000D-5753-4EA8-9C5D-0888A9FF77DE}"/>
              </c:ext>
            </c:extLst>
          </c:dPt>
          <c:dLbls>
            <c:dLbl>
              <c:idx val="0"/>
              <c:layout>
                <c:manualLayout>
                  <c:x val="3.7340989185931366E-2"/>
                  <c:y val="0.71163254593175851"/>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2-5DD4-4BDC-9159-15B98E11C9E9}"/>
                </c:ext>
              </c:extLst>
            </c:dLbl>
            <c:dLbl>
              <c:idx val="1"/>
              <c:layout>
                <c:manualLayout>
                  <c:x val="0.54693716799815273"/>
                  <c:y val="-0.15686274509803935"/>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5DD4-4BDC-9159-15B98E11C9E9}"/>
                </c:ext>
              </c:extLst>
            </c:dLbl>
            <c:dLbl>
              <c:idx val="2"/>
              <c:layout>
                <c:manualLayout>
                  <c:x val="-0.15460017794719633"/>
                  <c:y val="2.6020853838582658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5DD4-4BDC-9159-15B98E11C9E9}"/>
                </c:ext>
              </c:extLst>
            </c:dLbl>
            <c:dLbl>
              <c:idx val="3"/>
              <c:layout>
                <c:manualLayout>
                  <c:x val="-0.13910846863076851"/>
                  <c:y val="-4.3388605836035203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E3EE-4550-A924-FBB22E870FAE}"/>
                </c:ext>
              </c:extLst>
            </c:dLbl>
            <c:dLbl>
              <c:idx val="4"/>
              <c:layout>
                <c:manualLayout>
                  <c:x val="0.38820850619988079"/>
                  <c:y val="-4.8499938484251971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4-5DD4-4BDC-9159-15B98E11C9E9}"/>
                </c:ext>
              </c:extLst>
            </c:dLbl>
            <c:numFmt formatCode="0.00%" sourceLinked="0"/>
            <c:spPr>
              <a:noFill/>
              <a:ln>
                <a:noFill/>
              </a:ln>
              <a:effectLst/>
            </c:spPr>
            <c:txPr>
              <a:bodyPr rot="0" spcFirstLastPara="1" vertOverflow="ellipsis" vert="horz" wrap="square" anchor="ctr" anchorCtr="1"/>
              <a:lstStyle/>
              <a:p>
                <a:pPr>
                  <a:defRPr lang="en-US" sz="11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'BANDHAN-AHF'!$J$9:$J$15</c:f>
              <c:strCache>
                <c:ptCount val="7"/>
                <c:pt idx="0">
                  <c:v>Corporate Bond</c:v>
                </c:pt>
                <c:pt idx="1">
                  <c:v>Net Equity</c:v>
                </c:pt>
                <c:pt idx="3">
                  <c:v>Net Current Asset</c:v>
                </c:pt>
                <c:pt idx="4">
                  <c:v>Government Bond</c:v>
                </c:pt>
                <c:pt idx="5">
                  <c:v>State Government Bond</c:v>
                </c:pt>
                <c:pt idx="6">
                  <c:v>Equity Options</c:v>
                </c:pt>
              </c:strCache>
            </c:strRef>
          </c:cat>
          <c:val>
            <c:numRef>
              <c:f>'BANDHAN-AHF'!$K$9:$K$15</c:f>
              <c:numCache>
                <c:formatCode>0.00%</c:formatCode>
                <c:ptCount val="7"/>
                <c:pt idx="0">
                  <c:v>8.5632999999999987E-2</c:v>
                </c:pt>
                <c:pt idx="1">
                  <c:v>0.77974500000000002</c:v>
                </c:pt>
                <c:pt idx="3">
                  <c:v>2.3256000000000002E-2</c:v>
                </c:pt>
                <c:pt idx="4">
                  <c:v>9.4117999999999993E-2</c:v>
                </c:pt>
                <c:pt idx="5">
                  <c:v>1.7183E-2</c:v>
                </c:pt>
                <c:pt idx="6">
                  <c:v>1.3200000000000001E-4</c:v>
                </c:pt>
              </c:numCache>
            </c:numRef>
          </c:val>
          <c:extLst>
            <c:ext xmlns:c16="http://schemas.microsoft.com/office/drawing/2014/chart" uri="{C3380CC4-5D6E-409C-BE32-E72D297353CC}">
              <c16:uniqueId val="{00000000-5DD4-4BDC-9159-15B98E11C9E9}"/>
            </c:ext>
          </c:extLst>
        </c:ser>
        <c:dLbls>
          <c:showLegendKey val="0"/>
          <c:showVal val="0"/>
          <c:showCatName val="1"/>
          <c:showSerName val="0"/>
          <c:showPercent val="1"/>
          <c:showBubbleSize val="0"/>
          <c:showLeaderLines val="1"/>
        </c:dLbls>
      </c:pie3D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lang="en-US" sz="1100" b="1"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barChart>
        <c:barDir val="col"/>
        <c:grouping val="clustered"/>
        <c:varyColors val="0"/>
        <c:ser>
          <c:idx val="0"/>
          <c:order val="0"/>
          <c:tx>
            <c:strRef>
              <c:f>'BANDHAN RF'!$Q$6</c:f>
              <c:strCache>
                <c:ptCount val="1"/>
                <c:pt idx="0">
                  <c:v>(%) NAV</c:v>
                </c:pt>
              </c:strCache>
            </c:strRef>
          </c:tx>
          <c:spPr>
            <a:solidFill>
              <a:schemeClr val="dk1">
                <a:tint val="885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'BANDHAN RF'!$P$7:$P$35</c:f>
              <c:strCache>
                <c:ptCount val="29"/>
                <c:pt idx="0">
                  <c:v>Banks</c:v>
                </c:pt>
                <c:pt idx="1">
                  <c:v>Telecom - Services</c:v>
                </c:pt>
                <c:pt idx="2">
                  <c:v>Automobiles</c:v>
                </c:pt>
                <c:pt idx="3">
                  <c:v>Retailing</c:v>
                </c:pt>
                <c:pt idx="4">
                  <c:v>Finance</c:v>
                </c:pt>
                <c:pt idx="5">
                  <c:v>Petroleum Products</c:v>
                </c:pt>
                <c:pt idx="6">
                  <c:v>IT - Software</c:v>
                </c:pt>
                <c:pt idx="7">
                  <c:v>Pharmaceuticals &amp; Biotechnology</c:v>
                </c:pt>
                <c:pt idx="8">
                  <c:v>Ferrous Metals</c:v>
                </c:pt>
                <c:pt idx="9">
                  <c:v>Diversified FMCG</c:v>
                </c:pt>
                <c:pt idx="10">
                  <c:v>Electrical Equipment</c:v>
                </c:pt>
                <c:pt idx="11">
                  <c:v>Insurance</c:v>
                </c:pt>
                <c:pt idx="12">
                  <c:v>Transport Services</c:v>
                </c:pt>
                <c:pt idx="13">
                  <c:v>Beverages</c:v>
                </c:pt>
                <c:pt idx="14">
                  <c:v>Auto Components</c:v>
                </c:pt>
                <c:pt idx="15">
                  <c:v>Power</c:v>
                </c:pt>
                <c:pt idx="16">
                  <c:v>Construction</c:v>
                </c:pt>
                <c:pt idx="17">
                  <c:v>Chemicals &amp; Petrochemicals</c:v>
                </c:pt>
                <c:pt idx="18">
                  <c:v>Non - Ferrous Metals</c:v>
                </c:pt>
                <c:pt idx="19">
                  <c:v>Consumable Fuels</c:v>
                </c:pt>
                <c:pt idx="20">
                  <c:v>Realty</c:v>
                </c:pt>
                <c:pt idx="21">
                  <c:v>Consumer Durables</c:v>
                </c:pt>
                <c:pt idx="22">
                  <c:v>Fertilizers &amp; Agrochemicals</c:v>
                </c:pt>
                <c:pt idx="23">
                  <c:v>Transport Infrastructure</c:v>
                </c:pt>
                <c:pt idx="24">
                  <c:v>Capital Markets</c:v>
                </c:pt>
                <c:pt idx="25">
                  <c:v>Leisure Services</c:v>
                </c:pt>
                <c:pt idx="26">
                  <c:v>Entertainment</c:v>
                </c:pt>
                <c:pt idx="27">
                  <c:v>Gas</c:v>
                </c:pt>
                <c:pt idx="28">
                  <c:v>Healthcare Services</c:v>
                </c:pt>
              </c:strCache>
            </c:strRef>
          </c:cat>
          <c:val>
            <c:numRef>
              <c:f>'BANDHAN RF'!$Q$7:$Q$35</c:f>
              <c:numCache>
                <c:formatCode>0.00%</c:formatCode>
                <c:ptCount val="29"/>
                <c:pt idx="0">
                  <c:v>9.3124999999999999E-2</c:v>
                </c:pt>
                <c:pt idx="1">
                  <c:v>5.7755000000000001E-2</c:v>
                </c:pt>
                <c:pt idx="2">
                  <c:v>3.7344000000000002E-2</c:v>
                </c:pt>
                <c:pt idx="3">
                  <c:v>3.4512000000000001E-2</c:v>
                </c:pt>
                <c:pt idx="4">
                  <c:v>3.3807000000000004E-2</c:v>
                </c:pt>
                <c:pt idx="5">
                  <c:v>3.2399999999999998E-2</c:v>
                </c:pt>
                <c:pt idx="6">
                  <c:v>2.9913000000000006E-2</c:v>
                </c:pt>
                <c:pt idx="7">
                  <c:v>2.0577000000000002E-2</c:v>
                </c:pt>
                <c:pt idx="8">
                  <c:v>2.0140000000000002E-2</c:v>
                </c:pt>
                <c:pt idx="9">
                  <c:v>1.8126E-2</c:v>
                </c:pt>
                <c:pt idx="10">
                  <c:v>1.7885999999999999E-2</c:v>
                </c:pt>
                <c:pt idx="11">
                  <c:v>1.6271000000000001E-2</c:v>
                </c:pt>
                <c:pt idx="12">
                  <c:v>1.5906E-2</c:v>
                </c:pt>
                <c:pt idx="13">
                  <c:v>1.4281E-2</c:v>
                </c:pt>
                <c:pt idx="14">
                  <c:v>1.2652999999999999E-2</c:v>
                </c:pt>
                <c:pt idx="15">
                  <c:v>1.2555999999999999E-2</c:v>
                </c:pt>
                <c:pt idx="16">
                  <c:v>1.2502999999999997E-2</c:v>
                </c:pt>
                <c:pt idx="17">
                  <c:v>1.1436E-2</c:v>
                </c:pt>
                <c:pt idx="18">
                  <c:v>9.9729999999999992E-3</c:v>
                </c:pt>
                <c:pt idx="19">
                  <c:v>9.4120000000000002E-3</c:v>
                </c:pt>
                <c:pt idx="20">
                  <c:v>8.6220000000000012E-3</c:v>
                </c:pt>
                <c:pt idx="21">
                  <c:v>7.7949999999999998E-3</c:v>
                </c:pt>
                <c:pt idx="22">
                  <c:v>5.2509999999999996E-3</c:v>
                </c:pt>
                <c:pt idx="23">
                  <c:v>4.8240000000000002E-3</c:v>
                </c:pt>
                <c:pt idx="24">
                  <c:v>3.7390000000000001E-3</c:v>
                </c:pt>
                <c:pt idx="25">
                  <c:v>3.0879999999999996E-3</c:v>
                </c:pt>
                <c:pt idx="26">
                  <c:v>1.562E-3</c:v>
                </c:pt>
                <c:pt idx="27">
                  <c:v>9.2699999999999998E-4</c:v>
                </c:pt>
                <c:pt idx="28">
                  <c:v>5.7200000000000003E-4</c:v>
                </c:pt>
              </c:numCache>
            </c:numRef>
          </c:val>
          <c:extLst>
            <c:ext xmlns:c16="http://schemas.microsoft.com/office/drawing/2014/chart" uri="{C3380CC4-5D6E-409C-BE32-E72D297353CC}">
              <c16:uniqueId val="{00000000-112B-4F5D-B612-6AF6A40D9824}"/>
            </c:ext>
          </c:extLst>
        </c:ser>
        <c:dLbls>
          <c:dLblPos val="outEnd"/>
          <c:showLegendKey val="0"/>
          <c:showVal val="1"/>
          <c:showCatName val="0"/>
          <c:showSerName val="0"/>
          <c:showPercent val="0"/>
          <c:showBubbleSize val="0"/>
        </c:dLbls>
        <c:gapWidth val="219"/>
        <c:overlap val="-27"/>
        <c:axId val="2027258384"/>
        <c:axId val="2020487280"/>
      </c:barChart>
      <c:catAx>
        <c:axId val="20272583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1200" b="0" i="0" u="none" strike="noStrike" kern="1200" baseline="0">
                <a:solidFill>
                  <a:sysClr val="windowText" lastClr="000000"/>
                </a:solidFill>
                <a:latin typeface="+mn-lt"/>
                <a:ea typeface="+mn-ea"/>
                <a:cs typeface="+mn-cs"/>
              </a:defRPr>
            </a:pPr>
            <a:endParaRPr lang="en-US"/>
          </a:p>
        </c:txPr>
        <c:crossAx val="2020487280"/>
        <c:crosses val="autoZero"/>
        <c:auto val="1"/>
        <c:lblAlgn val="ctr"/>
        <c:lblOffset val="100"/>
        <c:noMultiLvlLbl val="0"/>
      </c:catAx>
      <c:valAx>
        <c:axId val="2020487280"/>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2027258384"/>
        <c:crosses val="autoZero"/>
        <c:crossBetween val="between"/>
      </c:valAx>
      <c:spPr>
        <a:noFill/>
        <a:ln w="3175">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317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barChart>
        <c:barDir val="col"/>
        <c:grouping val="clustered"/>
        <c:varyColors val="0"/>
        <c:ser>
          <c:idx val="0"/>
          <c:order val="0"/>
          <c:tx>
            <c:strRef>
              <c:f>'BANDHAN MAF'!$Q$6</c:f>
              <c:strCache>
                <c:ptCount val="1"/>
                <c:pt idx="0">
                  <c:v>(%) NAV</c:v>
                </c:pt>
              </c:strCache>
            </c:strRef>
          </c:tx>
          <c:spPr>
            <a:solidFill>
              <a:schemeClr val="dk1">
                <a:tint val="885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'BANDHAN MAF'!$P$7:$P$45</c:f>
              <c:strCache>
                <c:ptCount val="39"/>
                <c:pt idx="0">
                  <c:v>Banks</c:v>
                </c:pt>
                <c:pt idx="1">
                  <c:v>Retailing</c:v>
                </c:pt>
                <c:pt idx="2">
                  <c:v>Finance</c:v>
                </c:pt>
                <c:pt idx="3">
                  <c:v>IT - Software</c:v>
                </c:pt>
                <c:pt idx="4">
                  <c:v>Pharmaceuticals &amp; Biotechnology</c:v>
                </c:pt>
                <c:pt idx="5">
                  <c:v>Insurance</c:v>
                </c:pt>
                <c:pt idx="6">
                  <c:v>Automobiles</c:v>
                </c:pt>
                <c:pt idx="7">
                  <c:v>Consumer Durables</c:v>
                </c:pt>
                <c:pt idx="8">
                  <c:v>Petroleum Products</c:v>
                </c:pt>
                <c:pt idx="9">
                  <c:v>Auto Components</c:v>
                </c:pt>
                <c:pt idx="10">
                  <c:v>Realty</c:v>
                </c:pt>
                <c:pt idx="11">
                  <c:v>Construction</c:v>
                </c:pt>
                <c:pt idx="12">
                  <c:v>Ferrous Metals</c:v>
                </c:pt>
                <c:pt idx="13">
                  <c:v>Diversified FMCG</c:v>
                </c:pt>
                <c:pt idx="14">
                  <c:v>Cement &amp; Cement Products</c:v>
                </c:pt>
                <c:pt idx="15">
                  <c:v>Fertilizers &amp; Agrochemicals</c:v>
                </c:pt>
                <c:pt idx="16">
                  <c:v>Personal Products</c:v>
                </c:pt>
                <c:pt idx="17">
                  <c:v>Oil</c:v>
                </c:pt>
                <c:pt idx="18">
                  <c:v>Healthcare Services</c:v>
                </c:pt>
                <c:pt idx="19">
                  <c:v>Commercial Services &amp; Supplies</c:v>
                </c:pt>
                <c:pt idx="20">
                  <c:v>Leisure Services</c:v>
                </c:pt>
                <c:pt idx="21">
                  <c:v>Telecom - Services</c:v>
                </c:pt>
                <c:pt idx="22">
                  <c:v>Food Products</c:v>
                </c:pt>
                <c:pt idx="23">
                  <c:v>Industrial Products</c:v>
                </c:pt>
                <c:pt idx="24">
                  <c:v>Capital Markets</c:v>
                </c:pt>
                <c:pt idx="25">
                  <c:v>Electrical Equipment</c:v>
                </c:pt>
                <c:pt idx="26">
                  <c:v>Beverages</c:v>
                </c:pt>
                <c:pt idx="27">
                  <c:v>Transport Services</c:v>
                </c:pt>
                <c:pt idx="28">
                  <c:v>Minerals &amp; Mining</c:v>
                </c:pt>
                <c:pt idx="29">
                  <c:v>Agricultural, Commercial &amp; Construction Vehicles</c:v>
                </c:pt>
                <c:pt idx="30">
                  <c:v>Power</c:v>
                </c:pt>
                <c:pt idx="31">
                  <c:v>Industrial Manufacturing</c:v>
                </c:pt>
                <c:pt idx="32">
                  <c:v>IT - Services</c:v>
                </c:pt>
                <c:pt idx="33">
                  <c:v>Diversified Metals</c:v>
                </c:pt>
                <c:pt idx="34">
                  <c:v>Telecom - Equipment &amp; Accessories</c:v>
                </c:pt>
                <c:pt idx="35">
                  <c:v>Gas</c:v>
                </c:pt>
                <c:pt idx="36">
                  <c:v>Textiles &amp; Apparels</c:v>
                </c:pt>
                <c:pt idx="37">
                  <c:v>Miscellaneous</c:v>
                </c:pt>
                <c:pt idx="38">
                  <c:v>Non - Ferrous Metals</c:v>
                </c:pt>
              </c:strCache>
            </c:strRef>
          </c:cat>
          <c:val>
            <c:numRef>
              <c:f>'BANDHAN MAF'!$Q$7:$Q$45</c:f>
              <c:numCache>
                <c:formatCode>0.00%</c:formatCode>
                <c:ptCount val="39"/>
                <c:pt idx="0">
                  <c:v>9.5009999999999983E-2</c:v>
                </c:pt>
                <c:pt idx="1">
                  <c:v>3.5720000000000002E-2</c:v>
                </c:pt>
                <c:pt idx="2">
                  <c:v>2.9175999999999994E-2</c:v>
                </c:pt>
                <c:pt idx="3">
                  <c:v>2.8470000000000006E-2</c:v>
                </c:pt>
                <c:pt idx="4">
                  <c:v>2.7674999999999998E-2</c:v>
                </c:pt>
                <c:pt idx="5">
                  <c:v>2.5172E-2</c:v>
                </c:pt>
                <c:pt idx="6">
                  <c:v>2.4858999999999999E-2</c:v>
                </c:pt>
                <c:pt idx="7">
                  <c:v>2.4046999999999999E-2</c:v>
                </c:pt>
                <c:pt idx="8">
                  <c:v>2.2511E-2</c:v>
                </c:pt>
                <c:pt idx="9">
                  <c:v>1.4814000000000001E-2</c:v>
                </c:pt>
                <c:pt idx="10">
                  <c:v>1.085E-2</c:v>
                </c:pt>
                <c:pt idx="11">
                  <c:v>1.0578999999999998E-2</c:v>
                </c:pt>
                <c:pt idx="12">
                  <c:v>1.0501999999999997E-2</c:v>
                </c:pt>
                <c:pt idx="13">
                  <c:v>9.670999999999999E-3</c:v>
                </c:pt>
                <c:pt idx="14">
                  <c:v>9.4149999999999998E-3</c:v>
                </c:pt>
                <c:pt idx="15">
                  <c:v>9.2899999999999996E-3</c:v>
                </c:pt>
                <c:pt idx="16">
                  <c:v>9.0849999999999993E-3</c:v>
                </c:pt>
                <c:pt idx="17">
                  <c:v>8.8179999999999994E-3</c:v>
                </c:pt>
                <c:pt idx="18">
                  <c:v>8.7329999999999994E-3</c:v>
                </c:pt>
                <c:pt idx="19">
                  <c:v>7.8609999999999999E-3</c:v>
                </c:pt>
                <c:pt idx="20">
                  <c:v>7.5810000000000001E-3</c:v>
                </c:pt>
                <c:pt idx="21">
                  <c:v>6.8690000000000001E-3</c:v>
                </c:pt>
                <c:pt idx="22">
                  <c:v>6.3819999999999997E-3</c:v>
                </c:pt>
                <c:pt idx="23">
                  <c:v>6.3239999999999998E-3</c:v>
                </c:pt>
                <c:pt idx="24">
                  <c:v>6.2399999999999999E-3</c:v>
                </c:pt>
                <c:pt idx="25">
                  <c:v>5.9360000000000003E-3</c:v>
                </c:pt>
                <c:pt idx="26">
                  <c:v>5.195E-3</c:v>
                </c:pt>
                <c:pt idx="27">
                  <c:v>4.901E-3</c:v>
                </c:pt>
                <c:pt idx="28">
                  <c:v>4.829E-3</c:v>
                </c:pt>
                <c:pt idx="29">
                  <c:v>4.8170000000000001E-3</c:v>
                </c:pt>
                <c:pt idx="30">
                  <c:v>4.6889999999999996E-3</c:v>
                </c:pt>
                <c:pt idx="31">
                  <c:v>3.6900000000000001E-3</c:v>
                </c:pt>
                <c:pt idx="32">
                  <c:v>3.4129999999999998E-3</c:v>
                </c:pt>
                <c:pt idx="33">
                  <c:v>3.3609999999999998E-3</c:v>
                </c:pt>
                <c:pt idx="34">
                  <c:v>3.1900000000000001E-3</c:v>
                </c:pt>
                <c:pt idx="35">
                  <c:v>2.9350000000000001E-3</c:v>
                </c:pt>
                <c:pt idx="36">
                  <c:v>2.712E-3</c:v>
                </c:pt>
                <c:pt idx="37">
                  <c:v>1.322E-3</c:v>
                </c:pt>
                <c:pt idx="38">
                  <c:v>-5.00000000000023E-6</c:v>
                </c:pt>
              </c:numCache>
            </c:numRef>
          </c:val>
          <c:extLst>
            <c:ext xmlns:c16="http://schemas.microsoft.com/office/drawing/2014/chart" uri="{C3380CC4-5D6E-409C-BE32-E72D297353CC}">
              <c16:uniqueId val="{00000000-D0A0-469D-A34D-7A1C3922BF1B}"/>
            </c:ext>
          </c:extLst>
        </c:ser>
        <c:ser>
          <c:idx val="1"/>
          <c:order val="1"/>
          <c:tx>
            <c:strRef>
              <c:f>'BANDHAN RF'!$C$4</c:f>
              <c:strCache>
                <c:ptCount val="1"/>
                <c:pt idx="0">
                  <c:v>Portfolio as on - (30th April 2025)</c:v>
                </c:pt>
              </c:strCache>
            </c:strRef>
          </c:tx>
          <c:spPr>
            <a:solidFill>
              <a:schemeClr val="dk1">
                <a:tint val="5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'BANDHAN MAF'!$P$7:$P$45</c:f>
              <c:strCache>
                <c:ptCount val="39"/>
                <c:pt idx="0">
                  <c:v>Banks</c:v>
                </c:pt>
                <c:pt idx="1">
                  <c:v>Retailing</c:v>
                </c:pt>
                <c:pt idx="2">
                  <c:v>Finance</c:v>
                </c:pt>
                <c:pt idx="3">
                  <c:v>IT - Software</c:v>
                </c:pt>
                <c:pt idx="4">
                  <c:v>Pharmaceuticals &amp; Biotechnology</c:v>
                </c:pt>
                <c:pt idx="5">
                  <c:v>Insurance</c:v>
                </c:pt>
                <c:pt idx="6">
                  <c:v>Automobiles</c:v>
                </c:pt>
                <c:pt idx="7">
                  <c:v>Consumer Durables</c:v>
                </c:pt>
                <c:pt idx="8">
                  <c:v>Petroleum Products</c:v>
                </c:pt>
                <c:pt idx="9">
                  <c:v>Auto Components</c:v>
                </c:pt>
                <c:pt idx="10">
                  <c:v>Realty</c:v>
                </c:pt>
                <c:pt idx="11">
                  <c:v>Construction</c:v>
                </c:pt>
                <c:pt idx="12">
                  <c:v>Ferrous Metals</c:v>
                </c:pt>
                <c:pt idx="13">
                  <c:v>Diversified FMCG</c:v>
                </c:pt>
                <c:pt idx="14">
                  <c:v>Cement &amp; Cement Products</c:v>
                </c:pt>
                <c:pt idx="15">
                  <c:v>Fertilizers &amp; Agrochemicals</c:v>
                </c:pt>
                <c:pt idx="16">
                  <c:v>Personal Products</c:v>
                </c:pt>
                <c:pt idx="17">
                  <c:v>Oil</c:v>
                </c:pt>
                <c:pt idx="18">
                  <c:v>Healthcare Services</c:v>
                </c:pt>
                <c:pt idx="19">
                  <c:v>Commercial Services &amp; Supplies</c:v>
                </c:pt>
                <c:pt idx="20">
                  <c:v>Leisure Services</c:v>
                </c:pt>
                <c:pt idx="21">
                  <c:v>Telecom - Services</c:v>
                </c:pt>
                <c:pt idx="22">
                  <c:v>Food Products</c:v>
                </c:pt>
                <c:pt idx="23">
                  <c:v>Industrial Products</c:v>
                </c:pt>
                <c:pt idx="24">
                  <c:v>Capital Markets</c:v>
                </c:pt>
                <c:pt idx="25">
                  <c:v>Electrical Equipment</c:v>
                </c:pt>
                <c:pt idx="26">
                  <c:v>Beverages</c:v>
                </c:pt>
                <c:pt idx="27">
                  <c:v>Transport Services</c:v>
                </c:pt>
                <c:pt idx="28">
                  <c:v>Minerals &amp; Mining</c:v>
                </c:pt>
                <c:pt idx="29">
                  <c:v>Agricultural, Commercial &amp; Construction Vehicles</c:v>
                </c:pt>
                <c:pt idx="30">
                  <c:v>Power</c:v>
                </c:pt>
                <c:pt idx="31">
                  <c:v>Industrial Manufacturing</c:v>
                </c:pt>
                <c:pt idx="32">
                  <c:v>IT - Services</c:v>
                </c:pt>
                <c:pt idx="33">
                  <c:v>Diversified Metals</c:v>
                </c:pt>
                <c:pt idx="34">
                  <c:v>Telecom - Equipment &amp; Accessories</c:v>
                </c:pt>
                <c:pt idx="35">
                  <c:v>Gas</c:v>
                </c:pt>
                <c:pt idx="36">
                  <c:v>Textiles &amp; Apparels</c:v>
                </c:pt>
                <c:pt idx="37">
                  <c:v>Miscellaneous</c:v>
                </c:pt>
                <c:pt idx="38">
                  <c:v>Non - Ferrous Metals</c:v>
                </c:pt>
              </c:strCache>
            </c:strRef>
          </c:cat>
          <c:val>
            <c:numRef>
              <c:f>'BANDHAN RF'!$C$5</c:f>
              <c:numCache>
                <c:formatCode>General</c:formatCode>
                <c:ptCount val="1"/>
                <c:pt idx="0">
                  <c:v>0</c:v>
                </c:pt>
              </c:numCache>
            </c:numRef>
          </c:val>
          <c:extLst>
            <c:ext xmlns:c16="http://schemas.microsoft.com/office/drawing/2014/chart" uri="{C3380CC4-5D6E-409C-BE32-E72D297353CC}">
              <c16:uniqueId val="{00000000-9047-43CC-9FD9-5391CCE8DB0D}"/>
            </c:ext>
          </c:extLst>
        </c:ser>
        <c:dLbls>
          <c:dLblPos val="outEnd"/>
          <c:showLegendKey val="0"/>
          <c:showVal val="1"/>
          <c:showCatName val="0"/>
          <c:showSerName val="0"/>
          <c:showPercent val="0"/>
          <c:showBubbleSize val="0"/>
        </c:dLbls>
        <c:gapWidth val="219"/>
        <c:overlap val="-27"/>
        <c:axId val="2027258384"/>
        <c:axId val="2020487280"/>
      </c:barChart>
      <c:catAx>
        <c:axId val="20272583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1200" b="0" i="0" u="none" strike="noStrike" kern="1200" baseline="0">
                <a:solidFill>
                  <a:sysClr val="windowText" lastClr="000000"/>
                </a:solidFill>
                <a:latin typeface="+mn-lt"/>
                <a:ea typeface="+mn-ea"/>
                <a:cs typeface="+mn-cs"/>
              </a:defRPr>
            </a:pPr>
            <a:endParaRPr lang="en-US"/>
          </a:p>
        </c:txPr>
        <c:crossAx val="2020487280"/>
        <c:crosses val="autoZero"/>
        <c:auto val="1"/>
        <c:lblAlgn val="ctr"/>
        <c:lblOffset val="100"/>
        <c:noMultiLvlLbl val="0"/>
      </c:catAx>
      <c:valAx>
        <c:axId val="2020487280"/>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2027258384"/>
        <c:crosses val="autoZero"/>
        <c:crossBetween val="between"/>
      </c:valAx>
      <c:spPr>
        <a:noFill/>
        <a:ln w="3175">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317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defRPr/>
            </a:pPr>
            <a:r>
              <a:rPr lang="en-US"/>
              <a:t>Asset Allocation</a:t>
            </a:r>
          </a:p>
        </c:rich>
      </c:tx>
      <c:layout>
        <c:manualLayout>
          <c:xMode val="edge"/>
          <c:yMode val="edge"/>
          <c:x val="0.35416424577882982"/>
          <c:y val="8.0782420445619507E-3"/>
        </c:manualLayout>
      </c:layout>
      <c:overlay val="0"/>
    </c:title>
    <c:autoTitleDeleted val="0"/>
    <c:view3D>
      <c:rotX val="15"/>
      <c:rotY val="0"/>
      <c:rAngAx val="0"/>
    </c:view3D>
    <c:floor>
      <c:thickness val="0"/>
    </c:floor>
    <c:sideWall>
      <c:thickness val="0"/>
    </c:sideWall>
    <c:backWall>
      <c:thickness val="0"/>
    </c:backWall>
    <c:plotArea>
      <c:layout>
        <c:manualLayout>
          <c:layoutTarget val="inner"/>
          <c:xMode val="edge"/>
          <c:yMode val="edge"/>
          <c:x val="0.11262736321554703"/>
          <c:y val="0.3472706210231184"/>
          <c:w val="0.80555553197359764"/>
          <c:h val="0.46296283616722667"/>
        </c:manualLayout>
      </c:layout>
      <c:pie3DChart>
        <c:varyColors val="1"/>
        <c:ser>
          <c:idx val="0"/>
          <c:order val="0"/>
          <c:dLbls>
            <c:dLbl>
              <c:idx val="0"/>
              <c:layout>
                <c:manualLayout>
                  <c:x val="2.5782271599345145E-2"/>
                  <c:y val="0.51363967563756019"/>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A78-4CF0-A0C0-E78E101FF9A9}"/>
                </c:ext>
              </c:extLst>
            </c:dLbl>
            <c:dLbl>
              <c:idx val="1"/>
              <c:layout>
                <c:manualLayout>
                  <c:x val="4.670168434956689E-2"/>
                  <c:y val="-0.46507227641320953"/>
                </c:manualLayout>
              </c:layout>
              <c:tx>
                <c:rich>
                  <a:bodyPr wrap="square" lIns="38100" tIns="19050" rIns="38100" bIns="19050" anchor="ctr">
                    <a:noAutofit/>
                  </a:bodyPr>
                  <a:lstStyle/>
                  <a:p>
                    <a:pPr>
                      <a:defRPr/>
                    </a:pPr>
                    <a:r>
                      <a:rPr lang="en-US"/>
                      <a:t>Equity,</a:t>
                    </a:r>
                    <a:r>
                      <a:rPr lang="en-US" baseline="0"/>
                      <a:t> 63.36%</a:t>
                    </a:r>
                    <a:endParaRPr lang="en-US"/>
                  </a:p>
                </c:rich>
              </c:tx>
              <c:spPr>
                <a:noFill/>
                <a:ln>
                  <a:noFill/>
                </a:ln>
                <a:effectLst/>
              </c:spPr>
              <c:showLegendKey val="0"/>
              <c:showVal val="1"/>
              <c:showCatName val="1"/>
              <c:showSerName val="0"/>
              <c:showPercent val="0"/>
              <c:showBubbleSize val="0"/>
              <c:extLst>
                <c:ext xmlns:c15="http://schemas.microsoft.com/office/drawing/2012/chart" uri="{CE6537A1-D6FC-4f65-9D91-7224C49458BB}">
                  <c15:layout>
                    <c:manualLayout>
                      <c:w val="0.20014006828006889"/>
                      <c:h val="0.13923240938166312"/>
                    </c:manualLayout>
                  </c15:layout>
                </c:ext>
                <c:ext xmlns:c16="http://schemas.microsoft.com/office/drawing/2014/chart" uri="{C3380CC4-5D6E-409C-BE32-E72D297353CC}">
                  <c16:uniqueId val="{00000000-A1E9-4B6B-AB9D-D23F0F3AB07B}"/>
                </c:ext>
              </c:extLst>
            </c:dLbl>
            <c:dLbl>
              <c:idx val="2"/>
              <c:layout>
                <c:manualLayout>
                  <c:x val="7.4293922014806266E-2"/>
                  <c:y val="-7.351845944630056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3A78-4CF0-A0C0-E78E101FF9A9}"/>
                </c:ext>
              </c:extLst>
            </c:dLbl>
            <c:spPr>
              <a:noFill/>
              <a:ln>
                <a:noFill/>
              </a:ln>
              <a:effectLst/>
            </c:spPr>
            <c:showLegendKey val="0"/>
            <c:showVal val="1"/>
            <c:showCatName val="1"/>
            <c:showSerName val="0"/>
            <c:showPercent val="0"/>
            <c:showBubbleSize val="0"/>
            <c:showLeaderLines val="0"/>
            <c:extLst>
              <c:ext xmlns:c15="http://schemas.microsoft.com/office/drawing/2012/chart" uri="{CE6537A1-D6FC-4f65-9D91-7224C49458BB}"/>
            </c:extLst>
          </c:dLbls>
          <c:cat>
            <c:strRef>
              <c:f>'BANDHAN AAF-AP'!$I$9:$I$11</c:f>
              <c:strCache>
                <c:ptCount val="3"/>
                <c:pt idx="0">
                  <c:v>Debt </c:v>
                </c:pt>
                <c:pt idx="1">
                  <c:v>Equity </c:v>
                </c:pt>
                <c:pt idx="2">
                  <c:v>Net Current Asset</c:v>
                </c:pt>
              </c:strCache>
            </c:strRef>
          </c:cat>
          <c:val>
            <c:numRef>
              <c:f>'BANDHAN AAF-AP'!$J$9:$J$11</c:f>
              <c:numCache>
                <c:formatCode>0.00%</c:formatCode>
                <c:ptCount val="3"/>
                <c:pt idx="0">
                  <c:v>0.31705299999999997</c:v>
                </c:pt>
                <c:pt idx="1">
                  <c:v>0.64575700000000003</c:v>
                </c:pt>
                <c:pt idx="2">
                  <c:v>3.7190000000000001E-2</c:v>
                </c:pt>
              </c:numCache>
            </c:numRef>
          </c:val>
          <c:extLst>
            <c:ext xmlns:c16="http://schemas.microsoft.com/office/drawing/2014/chart" uri="{C3380CC4-5D6E-409C-BE32-E72D297353CC}">
              <c16:uniqueId val="{00000005-2C11-46DC-BCEB-BABA9D7520DF}"/>
            </c:ext>
          </c:extLst>
        </c:ser>
        <c:dLbls>
          <c:showLegendKey val="0"/>
          <c:showVal val="1"/>
          <c:showCatName val="0"/>
          <c:showSerName val="0"/>
          <c:showPercent val="0"/>
          <c:showBubbleSize val="0"/>
          <c:showLeaderLines val="0"/>
        </c:dLbls>
      </c:pie3DChart>
      <c:spPr>
        <a:noFill/>
        <a:ln w="25400">
          <a:noFill/>
        </a:ln>
      </c:spPr>
    </c:plotArea>
    <c:plotVisOnly val="1"/>
    <c:dispBlanksAs val="zero"/>
    <c:showDLblsOverMax val="0"/>
  </c:chart>
  <c:txPr>
    <a:bodyPr/>
    <a:lstStyle/>
    <a:p>
      <a:pPr>
        <a:defRPr sz="1200" b="1">
          <a:solidFill>
            <a:schemeClr val="tx1"/>
          </a:solidFill>
        </a:defRPr>
      </a:pPr>
      <a:endParaRPr lang="en-US"/>
    </a:p>
  </c:txPr>
  <c:printSettings>
    <c:headerFooter/>
    <c:pageMargins b="0.75000000000001465" l="0.70000000000000062" r="0.70000000000000062" t="0.75000000000001465" header="0.30000000000000032" footer="0.30000000000000032"/>
    <c:pageSetup/>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defRPr lang="en-IN" sz="1600"/>
            </a:pPr>
            <a:r>
              <a:rPr lang="en-US" sz="1600"/>
              <a:t>Asset Allocation</a:t>
            </a:r>
          </a:p>
        </c:rich>
      </c:tx>
      <c:overlay val="0"/>
    </c:title>
    <c:autoTitleDeleted val="0"/>
    <c:view3D>
      <c:rotX val="15"/>
      <c:rotY val="0"/>
      <c:rAngAx val="0"/>
    </c:view3D>
    <c:floor>
      <c:thickness val="0"/>
    </c:floor>
    <c:sideWall>
      <c:thickness val="0"/>
    </c:sideWall>
    <c:backWall>
      <c:thickness val="0"/>
    </c:backWall>
    <c:plotArea>
      <c:layout>
        <c:manualLayout>
          <c:layoutTarget val="inner"/>
          <c:xMode val="edge"/>
          <c:yMode val="edge"/>
          <c:x val="9.3030805359856333E-2"/>
          <c:y val="0.33675900219464389"/>
          <c:w val="0.88470203243825363"/>
          <c:h val="0.57724889169815008"/>
        </c:manualLayout>
      </c:layout>
      <c:pie3DChart>
        <c:varyColors val="1"/>
        <c:ser>
          <c:idx val="0"/>
          <c:order val="0"/>
          <c:dLbls>
            <c:dLbl>
              <c:idx val="0"/>
              <c:layout>
                <c:manualLayout>
                  <c:x val="-3.2335439977897659E-2"/>
                  <c:y val="-0.3086957265542136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1064-49CC-80DF-95B9368E2F92}"/>
                </c:ext>
              </c:extLst>
            </c:dLbl>
            <c:dLbl>
              <c:idx val="1"/>
              <c:layout>
                <c:manualLayout>
                  <c:x val="1.9461942257217847E-2"/>
                  <c:y val="-0.3053945959948971"/>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064-49CC-80DF-95B9368E2F92}"/>
                </c:ext>
              </c:extLst>
            </c:dLbl>
            <c:dLbl>
              <c:idx val="2"/>
              <c:layout>
                <c:manualLayout>
                  <c:x val="7.3547278629644941E-2"/>
                  <c:y val="-6.0248840357986014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2-1064-49CC-80DF-95B9368E2F92}"/>
                </c:ext>
              </c:extLst>
            </c:dLbl>
            <c:dLbl>
              <c:idx val="3"/>
              <c:layout>
                <c:manualLayout>
                  <c:x val="-0.15939770686558916"/>
                  <c:y val="-1.3787364896686284E-2"/>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3-1064-49CC-80DF-95B9368E2F92}"/>
                </c:ext>
              </c:extLst>
            </c:dLbl>
            <c:dLbl>
              <c:idx val="4"/>
              <c:layout>
                <c:manualLayout>
                  <c:x val="4.3438665561541703E-2"/>
                  <c:y val="-4.3612567471112473E-2"/>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4-1064-49CC-80DF-95B9368E2F92}"/>
                </c:ext>
              </c:extLst>
            </c:dLbl>
            <c:numFmt formatCode="0.00%" sourceLinked="0"/>
            <c:spPr>
              <a:noFill/>
              <a:ln>
                <a:noFill/>
              </a:ln>
              <a:effectLst/>
            </c:spPr>
            <c:txPr>
              <a:bodyPr/>
              <a:lstStyle/>
              <a:p>
                <a:pPr>
                  <a:defRPr lang="en-IN" sz="1100">
                    <a:latin typeface="+mn-lt"/>
                  </a:defRPr>
                </a:pPr>
                <a:endParaRPr lang="en-US"/>
              </a:p>
            </c:txPr>
            <c:dLblPos val="bestFit"/>
            <c:showLegendKey val="1"/>
            <c:showVal val="1"/>
            <c:showCatName val="1"/>
            <c:showSerName val="0"/>
            <c:showPercent val="0"/>
            <c:showBubbleSize val="0"/>
            <c:separator>
</c:separator>
            <c:showLeaderLines val="0"/>
            <c:extLst>
              <c:ext xmlns:c15="http://schemas.microsoft.com/office/drawing/2012/chart" uri="{CE6537A1-D6FC-4f65-9D91-7224C49458BB}"/>
            </c:extLst>
          </c:dLbls>
          <c:cat>
            <c:strRef>
              <c:f>'BANDHANAAF-MP'!$I$8:$I$10</c:f>
              <c:strCache>
                <c:ptCount val="3"/>
                <c:pt idx="0">
                  <c:v>Debt </c:v>
                </c:pt>
                <c:pt idx="1">
                  <c:v>Equity </c:v>
                </c:pt>
                <c:pt idx="2">
                  <c:v>Net Current Asset</c:v>
                </c:pt>
              </c:strCache>
            </c:strRef>
          </c:cat>
          <c:val>
            <c:numRef>
              <c:f>'BANDHANAAF-MP'!$J$8:$J$10</c:f>
              <c:numCache>
                <c:formatCode>0.00%</c:formatCode>
                <c:ptCount val="3"/>
                <c:pt idx="0">
                  <c:v>0.48775799999999997</c:v>
                </c:pt>
                <c:pt idx="1">
                  <c:v>0.47427799999999998</c:v>
                </c:pt>
                <c:pt idx="2">
                  <c:v>3.7963999999999998E-2</c:v>
                </c:pt>
              </c:numCache>
            </c:numRef>
          </c:val>
          <c:extLst>
            <c:ext xmlns:c16="http://schemas.microsoft.com/office/drawing/2014/chart" uri="{C3380CC4-5D6E-409C-BE32-E72D297353CC}">
              <c16:uniqueId val="{00000005-1064-49CC-80DF-95B9368E2F92}"/>
            </c:ext>
          </c:extLst>
        </c:ser>
        <c:dLbls>
          <c:showLegendKey val="0"/>
          <c:showVal val="1"/>
          <c:showCatName val="0"/>
          <c:showSerName val="0"/>
          <c:showPercent val="0"/>
          <c:showBubbleSize val="0"/>
          <c:showLeaderLines val="0"/>
        </c:dLbls>
      </c:pie3DChart>
      <c:spPr>
        <a:noFill/>
        <a:ln w="25400">
          <a:noFill/>
        </a:ln>
      </c:spPr>
    </c:plotArea>
    <c:plotVisOnly val="1"/>
    <c:dispBlanksAs val="zero"/>
    <c:showDLblsOverMax val="0"/>
  </c:chart>
  <c:txPr>
    <a:bodyPr/>
    <a:lstStyle/>
    <a:p>
      <a:pPr>
        <a:defRPr sz="1100" b="1"/>
      </a:pPr>
      <a:endParaRPr lang="en-US"/>
    </a:p>
  </c:txPr>
  <c:printSettings>
    <c:headerFooter/>
    <c:pageMargins b="0.75000000000001465" l="0.70000000000000062" r="0.70000000000000062" t="0.75000000000001465" header="0.30000000000000032" footer="0.30000000000000032"/>
    <c:pageSetup/>
  </c:printSettings>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defRPr lang="en-IN"/>
            </a:pPr>
            <a:r>
              <a:rPr lang="en-US"/>
              <a:t>Asset Allocation</a:t>
            </a:r>
          </a:p>
        </c:rich>
      </c:tx>
      <c:overlay val="0"/>
    </c:title>
    <c:autoTitleDeleted val="0"/>
    <c:view3D>
      <c:rotX val="15"/>
      <c:rotY val="0"/>
      <c:rAngAx val="0"/>
    </c:view3D>
    <c:floor>
      <c:thickness val="0"/>
    </c:floor>
    <c:sideWall>
      <c:thickness val="0"/>
    </c:sideWall>
    <c:backWall>
      <c:thickness val="0"/>
    </c:backWall>
    <c:plotArea>
      <c:layout>
        <c:manualLayout>
          <c:layoutTarget val="inner"/>
          <c:xMode val="edge"/>
          <c:yMode val="edge"/>
          <c:x val="0.13492264148428221"/>
          <c:y val="0.442819115066238"/>
          <c:w val="0.80555553197359764"/>
          <c:h val="0.46296299212599396"/>
        </c:manualLayout>
      </c:layout>
      <c:pie3DChart>
        <c:varyColors val="1"/>
        <c:ser>
          <c:idx val="0"/>
          <c:order val="0"/>
          <c:dLbls>
            <c:dLbl>
              <c:idx val="0"/>
              <c:layout>
                <c:manualLayout>
                  <c:x val="4.6359788989188501E-2"/>
                  <c:y val="-0.10588126502681718"/>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0-1AC7-4857-974F-197C1459AF0A}"/>
                </c:ext>
              </c:extLst>
            </c:dLbl>
            <c:dLbl>
              <c:idx val="1"/>
              <c:layout>
                <c:manualLayout>
                  <c:x val="-6.0031020236357729E-2"/>
                  <c:y val="-5.5901735483758784E-2"/>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1-1AC7-4857-974F-197C1459AF0A}"/>
                </c:ext>
              </c:extLst>
            </c:dLbl>
            <c:dLbl>
              <c:idx val="2"/>
              <c:layout>
                <c:manualLayout>
                  <c:x val="5.7043011982595641E-2"/>
                  <c:y val="-3.9176423724232121E-2"/>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2-1AC7-4857-974F-197C1459AF0A}"/>
                </c:ext>
              </c:extLst>
            </c:dLbl>
            <c:dLbl>
              <c:idx val="3"/>
              <c:layout>
                <c:manualLayout>
                  <c:x val="-0.44166411214867751"/>
                  <c:y val="0.22094031436486586"/>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3-1AC7-4857-974F-197C1459AF0A}"/>
                </c:ext>
              </c:extLst>
            </c:dLbl>
            <c:numFmt formatCode="0.00%" sourceLinked="0"/>
            <c:spPr>
              <a:noFill/>
              <a:ln>
                <a:noFill/>
              </a:ln>
              <a:effectLst/>
            </c:spPr>
            <c:txPr>
              <a:bodyPr/>
              <a:lstStyle/>
              <a:p>
                <a:pPr>
                  <a:defRPr lang="en-IN"/>
                </a:pPr>
                <a:endParaRPr lang="en-US"/>
              </a:p>
            </c:txPr>
            <c:dLblPos val="bestFit"/>
            <c:showLegendKey val="1"/>
            <c:showVal val="1"/>
            <c:showCatName val="1"/>
            <c:showSerName val="0"/>
            <c:showPercent val="0"/>
            <c:showBubbleSize val="0"/>
            <c:separator>
</c:separator>
            <c:showLeaderLines val="0"/>
            <c:extLst>
              <c:ext xmlns:c15="http://schemas.microsoft.com/office/drawing/2012/chart" uri="{CE6537A1-D6FC-4f65-9D91-7224C49458BB}"/>
            </c:extLst>
          </c:dLbls>
          <c:cat>
            <c:strRef>
              <c:f>'BANDHANAAF-CP'!$I$8:$I$10</c:f>
              <c:strCache>
                <c:ptCount val="3"/>
                <c:pt idx="0">
                  <c:v>Debt </c:v>
                </c:pt>
                <c:pt idx="1">
                  <c:v>Equity </c:v>
                </c:pt>
                <c:pt idx="2">
                  <c:v>Net Current Asset</c:v>
                </c:pt>
              </c:strCache>
            </c:strRef>
          </c:cat>
          <c:val>
            <c:numRef>
              <c:f>'BANDHANAAF-CP'!$J$8:$J$10</c:f>
              <c:numCache>
                <c:formatCode>0.00%</c:formatCode>
                <c:ptCount val="3"/>
                <c:pt idx="0">
                  <c:v>0.74074200000000001</c:v>
                </c:pt>
                <c:pt idx="1">
                  <c:v>0.23987600000000001</c:v>
                </c:pt>
                <c:pt idx="2">
                  <c:v>1.9382E-2</c:v>
                </c:pt>
              </c:numCache>
            </c:numRef>
          </c:val>
          <c:extLst>
            <c:ext xmlns:c16="http://schemas.microsoft.com/office/drawing/2014/chart" uri="{C3380CC4-5D6E-409C-BE32-E72D297353CC}">
              <c16:uniqueId val="{00000004-1AC7-4857-974F-197C1459AF0A}"/>
            </c:ext>
          </c:extLst>
        </c:ser>
        <c:dLbls>
          <c:showLegendKey val="0"/>
          <c:showVal val="1"/>
          <c:showCatName val="0"/>
          <c:showSerName val="0"/>
          <c:showPercent val="0"/>
          <c:showBubbleSize val="0"/>
          <c:showLeaderLines val="0"/>
        </c:dLbls>
      </c:pie3DChart>
      <c:spPr>
        <a:noFill/>
        <a:ln w="25400">
          <a:noFill/>
        </a:ln>
      </c:spPr>
    </c:plotArea>
    <c:plotVisOnly val="1"/>
    <c:dispBlanksAs val="zero"/>
    <c:showDLblsOverMax val="0"/>
  </c:chart>
  <c:txPr>
    <a:bodyPr/>
    <a:lstStyle/>
    <a:p>
      <a:pPr>
        <a:defRPr sz="1200" b="1"/>
      </a:pPr>
      <a:endParaRPr lang="en-US"/>
    </a:p>
  </c:txPr>
  <c:printSettings>
    <c:headerFooter/>
    <c:pageMargins b="0.75000000000001465" l="0.70000000000000062" r="0.70000000000000062" t="0.75000000000001465" header="0.30000000000000032" footer="0.30000000000000032"/>
    <c:pageSetup/>
  </c:printSettings>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6991358815694075"/>
                  <c:y val="-9.8684210526315784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0-B4C0-4BFE-9FBA-C6BEB6864413}"/>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IPAFOFs'!$G$8</c:f>
              <c:strCache>
                <c:ptCount val="1"/>
                <c:pt idx="0">
                  <c:v>AAA EQUIVALENT</c:v>
                </c:pt>
              </c:strCache>
            </c:strRef>
          </c:cat>
          <c:val>
            <c:numRef>
              <c:f>'BANDHAN IPAFOFs'!$H$8</c:f>
              <c:numCache>
                <c:formatCode>0%</c:formatCode>
                <c:ptCount val="1"/>
                <c:pt idx="0">
                  <c:v>1</c:v>
                </c:pt>
              </c:numCache>
            </c:numRef>
          </c:val>
          <c:extLst>
            <c:ext xmlns:c16="http://schemas.microsoft.com/office/drawing/2014/chart" uri="{C3380CC4-5D6E-409C-BE32-E72D297353CC}">
              <c16:uniqueId val="{00000001-B4C0-4BFE-9FBA-C6BEB6864413}"/>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IPAFOFs'!$K$8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0-3E89-45F6-A226-BC712B1165A7}"/>
                </c:ext>
              </c:extLst>
            </c:dLbl>
            <c:dLbl>
              <c:idx val="1"/>
              <c:layout>
                <c:manualLayout>
                  <c:x val="0.24963681734643983"/>
                  <c:y val="-4.9224846894138233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1-3E89-45F6-A226-BC712B1165A7}"/>
                </c:ext>
              </c:extLst>
            </c:dLbl>
            <c:dLbl>
              <c:idx val="2"/>
              <c:layout>
                <c:manualLayout>
                  <c:x val="-0.36124787131801245"/>
                  <c:y val="9.7364829396325465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2-3E89-45F6-A226-BC712B1165A7}"/>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IPAFOFs'!$J$9:$J$11</c:f>
              <c:strCache>
                <c:ptCount val="3"/>
                <c:pt idx="0">
                  <c:v>Net Current Asset</c:v>
                </c:pt>
                <c:pt idx="1">
                  <c:v>TRI Party Repo</c:v>
                </c:pt>
                <c:pt idx="2">
                  <c:v>Mutual Fund Units</c:v>
                </c:pt>
              </c:strCache>
            </c:strRef>
          </c:cat>
          <c:val>
            <c:numRef>
              <c:f>'BANDHAN IPAFOFs'!$K$9:$K$11</c:f>
              <c:numCache>
                <c:formatCode>0.00%</c:formatCode>
                <c:ptCount val="3"/>
                <c:pt idx="0">
                  <c:v>-0.175151</c:v>
                </c:pt>
                <c:pt idx="1">
                  <c:v>2.4810000000000001E-3</c:v>
                </c:pt>
                <c:pt idx="2">
                  <c:v>1.1726700000000001</c:v>
                </c:pt>
              </c:numCache>
            </c:numRef>
          </c:val>
          <c:extLst>
            <c:ext xmlns:c16="http://schemas.microsoft.com/office/drawing/2014/chart" uri="{C3380CC4-5D6E-409C-BE32-E72D297353CC}">
              <c16:uniqueId val="{00000003-3E89-45F6-A226-BC712B1165A7}"/>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barChart>
        <c:barDir val="col"/>
        <c:grouping val="clustered"/>
        <c:varyColors val="0"/>
        <c:ser>
          <c:idx val="0"/>
          <c:order val="0"/>
          <c:tx>
            <c:strRef>
              <c:f>'BANDHAN-NIFTY 50 Index'!$X$7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8AD5-4584-81D7-4111D11CF0F2}"/>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AD5-4584-81D7-4111D11CF0F2}"/>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8AD5-4584-81D7-4111D11CF0F2}"/>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8AD5-4584-81D7-4111D11CF0F2}"/>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8AD5-4584-81D7-4111D11CF0F2}"/>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8AD5-4584-81D7-4111D11CF0F2}"/>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8AD5-4584-81D7-4111D11CF0F2}"/>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8AD5-4584-81D7-4111D11CF0F2}"/>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8AD5-4584-81D7-4111D11CF0F2}"/>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8AD5-4584-81D7-4111D11CF0F2}"/>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8AD5-4584-81D7-4111D11CF0F2}"/>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8AD5-4584-81D7-4111D11CF0F2}"/>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8AD5-4584-81D7-4111D11CF0F2}"/>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8AD5-4584-81D7-4111D11CF0F2}"/>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8AD5-4584-81D7-4111D11CF0F2}"/>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8AD5-4584-81D7-4111D11CF0F2}"/>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8AD5-4584-81D7-4111D11CF0F2}"/>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8AD5-4584-81D7-4111D11CF0F2}"/>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'BANDHAN-NIFTY 50 Index'!$W$8:$W$31</c:f>
              <c:strCache>
                <c:ptCount val="24"/>
                <c:pt idx="0">
                  <c:v>Banks</c:v>
                </c:pt>
                <c:pt idx="1">
                  <c:v>IT - Software</c:v>
                </c:pt>
                <c:pt idx="2">
                  <c:v>Petroleum Products</c:v>
                </c:pt>
                <c:pt idx="3">
                  <c:v>Automobiles</c:v>
                </c:pt>
                <c:pt idx="4">
                  <c:v>Diversified FMCG</c:v>
                </c:pt>
                <c:pt idx="5">
                  <c:v>Finance</c:v>
                </c:pt>
                <c:pt idx="6">
                  <c:v>Telecom - Services</c:v>
                </c:pt>
                <c:pt idx="7">
                  <c:v>Construction</c:v>
                </c:pt>
                <c:pt idx="8">
                  <c:v>Pharmaceuticals &amp; Biotechnology</c:v>
                </c:pt>
                <c:pt idx="9">
                  <c:v>Power</c:v>
                </c:pt>
                <c:pt idx="10">
                  <c:v>Retailing</c:v>
                </c:pt>
                <c:pt idx="11">
                  <c:v>Consumer Durables</c:v>
                </c:pt>
                <c:pt idx="12">
                  <c:v>Cement &amp; Cement Products</c:v>
                </c:pt>
                <c:pt idx="13">
                  <c:v>Ferrous Metals</c:v>
                </c:pt>
                <c:pt idx="14">
                  <c:v>Insurance</c:v>
                </c:pt>
                <c:pt idx="15">
                  <c:v>Aerospace &amp; Defense</c:v>
                </c:pt>
                <c:pt idx="16">
                  <c:v>Oil</c:v>
                </c:pt>
                <c:pt idx="17">
                  <c:v>Non - Ferrous Metals</c:v>
                </c:pt>
                <c:pt idx="18">
                  <c:v>Transport Infrastructure</c:v>
                </c:pt>
                <c:pt idx="19">
                  <c:v>Consumable Fuels</c:v>
                </c:pt>
                <c:pt idx="20">
                  <c:v>Food Products</c:v>
                </c:pt>
                <c:pt idx="21">
                  <c:v>Agricultural Food &amp; other Products</c:v>
                </c:pt>
                <c:pt idx="22">
                  <c:v>Healthcare Services</c:v>
                </c:pt>
                <c:pt idx="23">
                  <c:v>Metals &amp; Minerals Trading</c:v>
                </c:pt>
              </c:strCache>
            </c:strRef>
          </c:cat>
          <c:val>
            <c:numRef>
              <c:f>'BANDHAN-NIFTY 50 Index'!$X$8:$X$31</c:f>
              <c:numCache>
                <c:formatCode>0.00%</c:formatCode>
                <c:ptCount val="24"/>
                <c:pt idx="0">
                  <c:v>0.317303</c:v>
                </c:pt>
                <c:pt idx="1">
                  <c:v>0.11108800000000001</c:v>
                </c:pt>
                <c:pt idx="2">
                  <c:v>8.6470000000000005E-2</c:v>
                </c:pt>
                <c:pt idx="3">
                  <c:v>6.9952E-2</c:v>
                </c:pt>
                <c:pt idx="4">
                  <c:v>5.4885000000000003E-2</c:v>
                </c:pt>
                <c:pt idx="5">
                  <c:v>4.5680999999999999E-2</c:v>
                </c:pt>
                <c:pt idx="6">
                  <c:v>4.5435999999999997E-2</c:v>
                </c:pt>
                <c:pt idx="7">
                  <c:v>3.5626999999999999E-2</c:v>
                </c:pt>
                <c:pt idx="8">
                  <c:v>3.2425999999999996E-2</c:v>
                </c:pt>
                <c:pt idx="9">
                  <c:v>2.7929000000000002E-2</c:v>
                </c:pt>
                <c:pt idx="10">
                  <c:v>2.5115999999999999E-2</c:v>
                </c:pt>
                <c:pt idx="11">
                  <c:v>2.2629E-2</c:v>
                </c:pt>
                <c:pt idx="12">
                  <c:v>2.1846000000000001E-2</c:v>
                </c:pt>
                <c:pt idx="13">
                  <c:v>1.9396999999999998E-2</c:v>
                </c:pt>
                <c:pt idx="14">
                  <c:v>1.4421E-2</c:v>
                </c:pt>
                <c:pt idx="15">
                  <c:v>1.0219000000000001E-2</c:v>
                </c:pt>
                <c:pt idx="16">
                  <c:v>8.6250000000000007E-3</c:v>
                </c:pt>
                <c:pt idx="17">
                  <c:v>8.2150000000000001E-3</c:v>
                </c:pt>
                <c:pt idx="18">
                  <c:v>8.1550000000000008E-3</c:v>
                </c:pt>
                <c:pt idx="19">
                  <c:v>7.9500000000000005E-3</c:v>
                </c:pt>
                <c:pt idx="20">
                  <c:v>7.7780000000000002E-3</c:v>
                </c:pt>
                <c:pt idx="21">
                  <c:v>6.8960000000000002E-3</c:v>
                </c:pt>
                <c:pt idx="22">
                  <c:v>6.4029999999999998E-3</c:v>
                </c:pt>
                <c:pt idx="23">
                  <c:v>5.4450000000000002E-3</c:v>
                </c:pt>
              </c:numCache>
            </c:numRef>
          </c:val>
          <c:extLst>
            <c:ext xmlns:c16="http://schemas.microsoft.com/office/drawing/2014/chart" uri="{C3380CC4-5D6E-409C-BE32-E72D297353CC}">
              <c16:uniqueId val="{00000012-8AD5-4584-81D7-4111D11CF0F2}"/>
            </c:ext>
          </c:extLst>
        </c:ser>
        <c:dLbls>
          <c:showLegendKey val="0"/>
          <c:showVal val="0"/>
          <c:showCatName val="0"/>
          <c:showSerName val="0"/>
          <c:showPercent val="0"/>
          <c:showBubbleSize val="0"/>
        </c:dLbls>
        <c:gapWidth val="150"/>
        <c:axId val="168893440"/>
        <c:axId val="168864576"/>
      </c:barChart>
      <c:catAx>
        <c:axId val="168893440"/>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68864576"/>
        <c:crosses val="autoZero"/>
        <c:auto val="1"/>
        <c:lblAlgn val="ctr"/>
        <c:lblOffset val="100"/>
        <c:tickLblSkip val="1"/>
        <c:noMultiLvlLbl val="0"/>
      </c:catAx>
      <c:valAx>
        <c:axId val="168864576"/>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68893440"/>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barChart>
        <c:barDir val="col"/>
        <c:grouping val="clustered"/>
        <c:varyColors val="0"/>
        <c:ser>
          <c:idx val="0"/>
          <c:order val="0"/>
          <c:tx>
            <c:strRef>
              <c:f>'BANDHAN BSE SENSEX ETF'!$X$7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0B3A-4079-BA52-CC2D783DC226}"/>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0B3A-4079-BA52-CC2D783DC226}"/>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0B3A-4079-BA52-CC2D783DC226}"/>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0B3A-4079-BA52-CC2D783DC226}"/>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0B3A-4079-BA52-CC2D783DC226}"/>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0B3A-4079-BA52-CC2D783DC226}"/>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0B3A-4079-BA52-CC2D783DC226}"/>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0B3A-4079-BA52-CC2D783DC226}"/>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0B3A-4079-BA52-CC2D783DC226}"/>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0B3A-4079-BA52-CC2D783DC226}"/>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0B3A-4079-BA52-CC2D783DC226}"/>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0B3A-4079-BA52-CC2D783DC226}"/>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0B3A-4079-BA52-CC2D783DC226}"/>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0B3A-4079-BA52-CC2D783DC226}"/>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0B3A-4079-BA52-CC2D783DC226}"/>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0B3A-4079-BA52-CC2D783DC226}"/>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0B3A-4079-BA52-CC2D783DC226}"/>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0B3A-4079-BA52-CC2D783DC226}"/>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BSE SENSEX ETF'!$W$8:$W$23</c:f>
              <c:strCache>
                <c:ptCount val="16"/>
                <c:pt idx="0">
                  <c:v>Banks</c:v>
                </c:pt>
                <c:pt idx="1">
                  <c:v>IT - Software</c:v>
                </c:pt>
                <c:pt idx="2">
                  <c:v>Petroleum Products</c:v>
                </c:pt>
                <c:pt idx="3">
                  <c:v>Diversified FMCG</c:v>
                </c:pt>
                <c:pt idx="4">
                  <c:v>Automobiles</c:v>
                </c:pt>
                <c:pt idx="5">
                  <c:v>Telecom - Services</c:v>
                </c:pt>
                <c:pt idx="6">
                  <c:v>Construction</c:v>
                </c:pt>
                <c:pt idx="7">
                  <c:v>Finance</c:v>
                </c:pt>
                <c:pt idx="8">
                  <c:v>Power</c:v>
                </c:pt>
                <c:pt idx="9">
                  <c:v>Consumer Durables</c:v>
                </c:pt>
                <c:pt idx="10">
                  <c:v>Pharmaceuticals &amp; Biotechnology</c:v>
                </c:pt>
                <c:pt idx="11">
                  <c:v>Retailing</c:v>
                </c:pt>
                <c:pt idx="12">
                  <c:v>Cement &amp; Cement Products</c:v>
                </c:pt>
                <c:pt idx="13">
                  <c:v>Ferrous Metals</c:v>
                </c:pt>
                <c:pt idx="14">
                  <c:v>Transport Infrastructure</c:v>
                </c:pt>
                <c:pt idx="15">
                  <c:v>Food Products</c:v>
                </c:pt>
              </c:strCache>
            </c:strRef>
          </c:cat>
          <c:val>
            <c:numRef>
              <c:f>'BANDHAN BSE SENSEX ETF'!$X$8:$X$23</c:f>
              <c:numCache>
                <c:formatCode>0.00%</c:formatCode>
                <c:ptCount val="16"/>
                <c:pt idx="0">
                  <c:v>0.37483300000000008</c:v>
                </c:pt>
                <c:pt idx="1">
                  <c:v>0.12297399999999999</c:v>
                </c:pt>
                <c:pt idx="2">
                  <c:v>0.102399</c:v>
                </c:pt>
                <c:pt idx="3">
                  <c:v>6.4704999999999999E-2</c:v>
                </c:pt>
                <c:pt idx="4">
                  <c:v>5.9462999999999995E-2</c:v>
                </c:pt>
                <c:pt idx="5">
                  <c:v>5.3619E-2</c:v>
                </c:pt>
                <c:pt idx="6">
                  <c:v>4.1857999999999999E-2</c:v>
                </c:pt>
                <c:pt idx="7">
                  <c:v>3.5630999999999996E-2</c:v>
                </c:pt>
                <c:pt idx="8">
                  <c:v>3.3105000000000002E-2</c:v>
                </c:pt>
                <c:pt idx="9">
                  <c:v>2.6536999999999998E-2</c:v>
                </c:pt>
                <c:pt idx="10">
                  <c:v>2.1273E-2</c:v>
                </c:pt>
                <c:pt idx="11">
                  <c:v>1.7364999999999998E-2</c:v>
                </c:pt>
                <c:pt idx="12">
                  <c:v>1.4392E-2</c:v>
                </c:pt>
                <c:pt idx="13">
                  <c:v>1.2373E-2</c:v>
                </c:pt>
                <c:pt idx="14">
                  <c:v>9.6310000000000007E-3</c:v>
                </c:pt>
                <c:pt idx="15">
                  <c:v>9.2420000000000002E-3</c:v>
                </c:pt>
              </c:numCache>
            </c:numRef>
          </c:val>
          <c:extLst>
            <c:ext xmlns:c16="http://schemas.microsoft.com/office/drawing/2014/chart" uri="{C3380CC4-5D6E-409C-BE32-E72D297353CC}">
              <c16:uniqueId val="{00000012-0B3A-4079-BA52-CC2D783DC226}"/>
            </c:ext>
          </c:extLst>
        </c:ser>
        <c:dLbls>
          <c:showLegendKey val="0"/>
          <c:showVal val="0"/>
          <c:showCatName val="0"/>
          <c:showSerName val="0"/>
          <c:showPercent val="0"/>
          <c:showBubbleSize val="0"/>
        </c:dLbls>
        <c:gapWidth val="150"/>
        <c:axId val="170370560"/>
        <c:axId val="168866304"/>
      </c:barChart>
      <c:catAx>
        <c:axId val="170370560"/>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68866304"/>
        <c:crosses val="autoZero"/>
        <c:auto val="1"/>
        <c:lblAlgn val="ctr"/>
        <c:lblOffset val="100"/>
        <c:tickLblSkip val="1"/>
        <c:noMultiLvlLbl val="0"/>
      </c:catAx>
      <c:valAx>
        <c:axId val="168866304"/>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70370560"/>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44" l="0.70000000000000062" r="0.70000000000000062" t="0.75000000000000544" header="0.30000000000000032" footer="0.30000000000000032"/>
    <c:pageSetup/>
  </c:printSettings>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1.6539414597069316E-2"/>
          <c:y val="1.8895707103645184E-2"/>
          <c:w val="0.96692117080586137"/>
          <c:h val="0.57234435549851026"/>
        </c:manualLayout>
      </c:layout>
      <c:barChart>
        <c:barDir val="col"/>
        <c:grouping val="clustered"/>
        <c:varyColors val="0"/>
        <c:ser>
          <c:idx val="0"/>
          <c:order val="0"/>
          <c:tx>
            <c:strRef>
              <c:f>'BANDHAN- Nifty 50 ETF'!$X$7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A344-47EB-86E0-95B4320B4A70}"/>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A344-47EB-86E0-95B4320B4A70}"/>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A344-47EB-86E0-95B4320B4A70}"/>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A344-47EB-86E0-95B4320B4A70}"/>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A344-47EB-86E0-95B4320B4A70}"/>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A344-47EB-86E0-95B4320B4A70}"/>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A344-47EB-86E0-95B4320B4A70}"/>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A344-47EB-86E0-95B4320B4A70}"/>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A344-47EB-86E0-95B4320B4A70}"/>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A344-47EB-86E0-95B4320B4A70}"/>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A344-47EB-86E0-95B4320B4A70}"/>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A344-47EB-86E0-95B4320B4A70}"/>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A344-47EB-86E0-95B4320B4A70}"/>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A344-47EB-86E0-95B4320B4A70}"/>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A344-47EB-86E0-95B4320B4A70}"/>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A344-47EB-86E0-95B4320B4A70}"/>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A344-47EB-86E0-95B4320B4A70}"/>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A344-47EB-86E0-95B4320B4A70}"/>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Nifty 50 ETF'!$W$8:$W$31</c:f>
              <c:strCache>
                <c:ptCount val="24"/>
                <c:pt idx="0">
                  <c:v>Banks</c:v>
                </c:pt>
                <c:pt idx="1">
                  <c:v>IT - Software</c:v>
                </c:pt>
                <c:pt idx="2">
                  <c:v>Petroleum Products</c:v>
                </c:pt>
                <c:pt idx="3">
                  <c:v>Automobiles</c:v>
                </c:pt>
                <c:pt idx="4">
                  <c:v>Diversified FMCG</c:v>
                </c:pt>
                <c:pt idx="5">
                  <c:v>Finance</c:v>
                </c:pt>
                <c:pt idx="6">
                  <c:v>Telecom - Services</c:v>
                </c:pt>
                <c:pt idx="7">
                  <c:v>Construction</c:v>
                </c:pt>
                <c:pt idx="8">
                  <c:v>Pharmaceuticals &amp; Biotechnology</c:v>
                </c:pt>
                <c:pt idx="9">
                  <c:v>Power</c:v>
                </c:pt>
                <c:pt idx="10">
                  <c:v>Retailing</c:v>
                </c:pt>
                <c:pt idx="11">
                  <c:v>Consumer Durables</c:v>
                </c:pt>
                <c:pt idx="12">
                  <c:v>Cement &amp; Cement Products</c:v>
                </c:pt>
                <c:pt idx="13">
                  <c:v>Ferrous Metals</c:v>
                </c:pt>
                <c:pt idx="14">
                  <c:v>Insurance</c:v>
                </c:pt>
                <c:pt idx="15">
                  <c:v>Aerospace &amp; Defense</c:v>
                </c:pt>
                <c:pt idx="16">
                  <c:v>Oil</c:v>
                </c:pt>
                <c:pt idx="17">
                  <c:v>Non - Ferrous Metals</c:v>
                </c:pt>
                <c:pt idx="18">
                  <c:v>Transport Infrastructure</c:v>
                </c:pt>
                <c:pt idx="19">
                  <c:v>Consumable Fuels</c:v>
                </c:pt>
                <c:pt idx="20">
                  <c:v>Food Products</c:v>
                </c:pt>
                <c:pt idx="21">
                  <c:v>Agricultural Food &amp; other Products</c:v>
                </c:pt>
                <c:pt idx="22">
                  <c:v>Healthcare Services</c:v>
                </c:pt>
                <c:pt idx="23">
                  <c:v>Metals &amp; Minerals Trading</c:v>
                </c:pt>
              </c:strCache>
            </c:strRef>
          </c:cat>
          <c:val>
            <c:numRef>
              <c:f>'BANDHAN- Nifty 50 ETF'!$X$8:$X$31</c:f>
              <c:numCache>
                <c:formatCode>0.00%</c:formatCode>
                <c:ptCount val="24"/>
                <c:pt idx="0">
                  <c:v>0.31717600000000001</c:v>
                </c:pt>
                <c:pt idx="1">
                  <c:v>0.11104099999999999</c:v>
                </c:pt>
                <c:pt idx="2">
                  <c:v>8.6438000000000001E-2</c:v>
                </c:pt>
                <c:pt idx="3">
                  <c:v>6.9939000000000001E-2</c:v>
                </c:pt>
                <c:pt idx="4">
                  <c:v>5.4866999999999999E-2</c:v>
                </c:pt>
                <c:pt idx="5">
                  <c:v>4.5661999999999994E-2</c:v>
                </c:pt>
                <c:pt idx="6">
                  <c:v>4.5421999999999997E-2</c:v>
                </c:pt>
                <c:pt idx="7">
                  <c:v>3.5614E-2</c:v>
                </c:pt>
                <c:pt idx="8">
                  <c:v>3.2414999999999999E-2</c:v>
                </c:pt>
                <c:pt idx="9">
                  <c:v>2.7917000000000001E-2</c:v>
                </c:pt>
                <c:pt idx="10">
                  <c:v>2.5114000000000001E-2</c:v>
                </c:pt>
                <c:pt idx="11">
                  <c:v>2.2623000000000001E-2</c:v>
                </c:pt>
                <c:pt idx="12">
                  <c:v>2.1819999999999999E-2</c:v>
                </c:pt>
                <c:pt idx="13">
                  <c:v>1.9389E-2</c:v>
                </c:pt>
                <c:pt idx="14">
                  <c:v>1.4412000000000001E-2</c:v>
                </c:pt>
                <c:pt idx="15">
                  <c:v>1.0214000000000001E-2</c:v>
                </c:pt>
                <c:pt idx="16">
                  <c:v>8.6210000000000002E-3</c:v>
                </c:pt>
                <c:pt idx="17">
                  <c:v>8.2120000000000005E-3</c:v>
                </c:pt>
                <c:pt idx="18">
                  <c:v>8.1510000000000003E-3</c:v>
                </c:pt>
                <c:pt idx="19">
                  <c:v>7.9459999999999999E-3</c:v>
                </c:pt>
                <c:pt idx="20">
                  <c:v>7.7759999999999999E-3</c:v>
                </c:pt>
                <c:pt idx="21">
                  <c:v>6.894E-3</c:v>
                </c:pt>
                <c:pt idx="22">
                  <c:v>6.4000000000000003E-3</c:v>
                </c:pt>
                <c:pt idx="23">
                  <c:v>5.4400000000000004E-3</c:v>
                </c:pt>
              </c:numCache>
            </c:numRef>
          </c:val>
          <c:extLst>
            <c:ext xmlns:c16="http://schemas.microsoft.com/office/drawing/2014/chart" uri="{C3380CC4-5D6E-409C-BE32-E72D297353CC}">
              <c16:uniqueId val="{00000012-A344-47EB-86E0-95B4320B4A70}"/>
            </c:ext>
          </c:extLst>
        </c:ser>
        <c:ser>
          <c:idx val="1"/>
          <c:order val="1"/>
          <c:tx>
            <c:strRef>
              <c:f>'BANDHAN BSE SENSEX ETF'!$C$4</c:f>
              <c:strCache>
                <c:ptCount val="1"/>
                <c:pt idx="0">
                  <c:v>Portfolio as on - (30th April 2025)</c:v>
                </c:pt>
              </c:strCache>
            </c:strRef>
          </c:tx>
          <c:invertIfNegative val="0"/>
          <c:cat>
            <c:strRef>
              <c:f>'BANDHAN- Nifty 50 ETF'!$W$8:$W$31</c:f>
              <c:strCache>
                <c:ptCount val="24"/>
                <c:pt idx="0">
                  <c:v>Banks</c:v>
                </c:pt>
                <c:pt idx="1">
                  <c:v>IT - Software</c:v>
                </c:pt>
                <c:pt idx="2">
                  <c:v>Petroleum Products</c:v>
                </c:pt>
                <c:pt idx="3">
                  <c:v>Automobiles</c:v>
                </c:pt>
                <c:pt idx="4">
                  <c:v>Diversified FMCG</c:v>
                </c:pt>
                <c:pt idx="5">
                  <c:v>Finance</c:v>
                </c:pt>
                <c:pt idx="6">
                  <c:v>Telecom - Services</c:v>
                </c:pt>
                <c:pt idx="7">
                  <c:v>Construction</c:v>
                </c:pt>
                <c:pt idx="8">
                  <c:v>Pharmaceuticals &amp; Biotechnology</c:v>
                </c:pt>
                <c:pt idx="9">
                  <c:v>Power</c:v>
                </c:pt>
                <c:pt idx="10">
                  <c:v>Retailing</c:v>
                </c:pt>
                <c:pt idx="11">
                  <c:v>Consumer Durables</c:v>
                </c:pt>
                <c:pt idx="12">
                  <c:v>Cement &amp; Cement Products</c:v>
                </c:pt>
                <c:pt idx="13">
                  <c:v>Ferrous Metals</c:v>
                </c:pt>
                <c:pt idx="14">
                  <c:v>Insurance</c:v>
                </c:pt>
                <c:pt idx="15">
                  <c:v>Aerospace &amp; Defense</c:v>
                </c:pt>
                <c:pt idx="16">
                  <c:v>Oil</c:v>
                </c:pt>
                <c:pt idx="17">
                  <c:v>Non - Ferrous Metals</c:v>
                </c:pt>
                <c:pt idx="18">
                  <c:v>Transport Infrastructure</c:v>
                </c:pt>
                <c:pt idx="19">
                  <c:v>Consumable Fuels</c:v>
                </c:pt>
                <c:pt idx="20">
                  <c:v>Food Products</c:v>
                </c:pt>
                <c:pt idx="21">
                  <c:v>Agricultural Food &amp; other Products</c:v>
                </c:pt>
                <c:pt idx="22">
                  <c:v>Healthcare Services</c:v>
                </c:pt>
                <c:pt idx="23">
                  <c:v>Metals &amp; Minerals Trading</c:v>
                </c:pt>
              </c:strCache>
            </c:strRef>
          </c:cat>
          <c:val>
            <c:numRef>
              <c:f>'BANDHAN BSE SENSEX ETF'!$C$5</c:f>
              <c:numCache>
                <c:formatCode>General</c:formatCode>
                <c:ptCount val="1"/>
                <c:pt idx="0">
                  <c:v>0</c:v>
                </c:pt>
              </c:numCache>
            </c:numRef>
          </c:val>
          <c:extLst>
            <c:ext xmlns:c16="http://schemas.microsoft.com/office/drawing/2014/chart" uri="{C3380CC4-5D6E-409C-BE32-E72D297353CC}">
              <c16:uniqueId val="{00000000-EB25-4F93-8ECD-7FC415C9C476}"/>
            </c:ext>
          </c:extLst>
        </c:ser>
        <c:dLbls>
          <c:showLegendKey val="0"/>
          <c:showVal val="0"/>
          <c:showCatName val="0"/>
          <c:showSerName val="0"/>
          <c:showPercent val="0"/>
          <c:showBubbleSize val="0"/>
        </c:dLbls>
        <c:gapWidth val="150"/>
        <c:axId val="170020352"/>
        <c:axId val="168868032"/>
      </c:barChart>
      <c:catAx>
        <c:axId val="170020352"/>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68868032"/>
        <c:crosses val="autoZero"/>
        <c:auto val="1"/>
        <c:lblAlgn val="ctr"/>
        <c:lblOffset val="100"/>
        <c:tickLblSkip val="1"/>
        <c:noMultiLvlLbl val="0"/>
      </c:catAx>
      <c:valAx>
        <c:axId val="168868032"/>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70020352"/>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44" l="0.70000000000000062" r="0.70000000000000062" t="0.75000000000000544" header="0.30000000000000032" footer="0.30000000000000032"/>
    <c:pageSetup/>
  </c:printSettings>
</c:chartSpace>
</file>

<file path=xl/charts/chart3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2.9941768547915651E-2"/>
          <c:y val="2.7220725006571359E-2"/>
          <c:w val="0.95511996115408138"/>
          <c:h val="0.619799540891394"/>
        </c:manualLayout>
      </c:layout>
      <c:barChart>
        <c:barDir val="col"/>
        <c:grouping val="clustered"/>
        <c:varyColors val="0"/>
        <c:ser>
          <c:idx val="0"/>
          <c:order val="0"/>
          <c:tx>
            <c:strRef>
              <c:f>'BANDHAN-Nifty 100 Index'!$X$7</c:f>
              <c:strCache>
                <c:ptCount val="1"/>
                <c:pt idx="0">
                  <c:v>(%) NAV</c:v>
                </c:pt>
              </c:strCache>
            </c:strRef>
          </c:tx>
          <c:spPr>
            <a:solidFill>
              <a:schemeClr val="dk1">
                <a:tint val="88500"/>
              </a:schemeClr>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1030" b="1"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'BANDHAN-Nifty 100 Index'!$W$8:$W$41</c:f>
              <c:strCache>
                <c:ptCount val="34"/>
                <c:pt idx="0">
                  <c:v>Banks</c:v>
                </c:pt>
                <c:pt idx="1">
                  <c:v>IT - Software</c:v>
                </c:pt>
                <c:pt idx="2">
                  <c:v>Petroleum Products</c:v>
                </c:pt>
                <c:pt idx="3">
                  <c:v>Automobiles</c:v>
                </c:pt>
                <c:pt idx="4">
                  <c:v>Finance</c:v>
                </c:pt>
                <c:pt idx="5">
                  <c:v>Diversified FMCG</c:v>
                </c:pt>
                <c:pt idx="6">
                  <c:v>Telecom - Services</c:v>
                </c:pt>
                <c:pt idx="7">
                  <c:v>Power</c:v>
                </c:pt>
                <c:pt idx="8">
                  <c:v>Pharmaceuticals &amp; Biotechnology</c:v>
                </c:pt>
                <c:pt idx="9">
                  <c:v>Retailing</c:v>
                </c:pt>
                <c:pt idx="10">
                  <c:v>Construction</c:v>
                </c:pt>
                <c:pt idx="11">
                  <c:v>Cement &amp; Cement Products</c:v>
                </c:pt>
                <c:pt idx="12">
                  <c:v>Consumer Durables</c:v>
                </c:pt>
                <c:pt idx="13">
                  <c:v>Ferrous Metals</c:v>
                </c:pt>
                <c:pt idx="14">
                  <c:v>Insurance</c:v>
                </c:pt>
                <c:pt idx="15">
                  <c:v>Aerospace &amp; Defense</c:v>
                </c:pt>
                <c:pt idx="16">
                  <c:v>Food Products</c:v>
                </c:pt>
                <c:pt idx="17">
                  <c:v>Beverages</c:v>
                </c:pt>
                <c:pt idx="18">
                  <c:v>Electrical Equipment</c:v>
                </c:pt>
                <c:pt idx="19">
                  <c:v>Transport Services</c:v>
                </c:pt>
                <c:pt idx="20">
                  <c:v>Oil</c:v>
                </c:pt>
                <c:pt idx="21">
                  <c:v>Non - Ferrous Metals</c:v>
                </c:pt>
                <c:pt idx="22">
                  <c:v>Transport Infrastructure</c:v>
                </c:pt>
                <c:pt idx="23">
                  <c:v>Personal Products</c:v>
                </c:pt>
                <c:pt idx="24">
                  <c:v>Consumable Fuels</c:v>
                </c:pt>
                <c:pt idx="25">
                  <c:v>Realty</c:v>
                </c:pt>
                <c:pt idx="26">
                  <c:v>Agricultural Food &amp; other Products</c:v>
                </c:pt>
                <c:pt idx="27">
                  <c:v>Diversified Metals</c:v>
                </c:pt>
                <c:pt idx="28">
                  <c:v>Healthcare Services</c:v>
                </c:pt>
                <c:pt idx="29">
                  <c:v>Leisure Services</c:v>
                </c:pt>
                <c:pt idx="30">
                  <c:v>Auto Components</c:v>
                </c:pt>
                <c:pt idx="31">
                  <c:v>Metals &amp; Minerals Trading</c:v>
                </c:pt>
                <c:pt idx="32">
                  <c:v>Gas</c:v>
                </c:pt>
                <c:pt idx="33">
                  <c:v>Chemicals &amp; Petrochemicals</c:v>
                </c:pt>
              </c:strCache>
            </c:strRef>
          </c:cat>
          <c:val>
            <c:numRef>
              <c:f>'BANDHAN-Nifty 100 Index'!$X$8:$X$41</c:f>
              <c:numCache>
                <c:formatCode>0.00%</c:formatCode>
                <c:ptCount val="34"/>
                <c:pt idx="0">
                  <c:v>0.272032</c:v>
                </c:pt>
                <c:pt idx="1">
                  <c:v>9.5433000000000004E-2</c:v>
                </c:pt>
                <c:pt idx="2">
                  <c:v>8.0212999999999993E-2</c:v>
                </c:pt>
                <c:pt idx="3">
                  <c:v>6.4381000000000008E-2</c:v>
                </c:pt>
                <c:pt idx="4">
                  <c:v>5.7548000000000002E-2</c:v>
                </c:pt>
                <c:pt idx="5">
                  <c:v>4.5571E-2</c:v>
                </c:pt>
                <c:pt idx="6">
                  <c:v>3.7726000000000003E-2</c:v>
                </c:pt>
                <c:pt idx="7">
                  <c:v>3.7686999999999998E-2</c:v>
                </c:pt>
                <c:pt idx="8">
                  <c:v>3.7045999999999996E-2</c:v>
                </c:pt>
                <c:pt idx="9">
                  <c:v>3.0290999999999998E-2</c:v>
                </c:pt>
                <c:pt idx="10">
                  <c:v>2.9581E-2</c:v>
                </c:pt>
                <c:pt idx="11">
                  <c:v>2.3848000000000001E-2</c:v>
                </c:pt>
                <c:pt idx="12">
                  <c:v>2.1835E-2</c:v>
                </c:pt>
                <c:pt idx="13">
                  <c:v>1.8672000000000001E-2</c:v>
                </c:pt>
                <c:pt idx="14">
                  <c:v>1.8504E-2</c:v>
                </c:pt>
                <c:pt idx="15">
                  <c:v>1.4917E-2</c:v>
                </c:pt>
                <c:pt idx="16">
                  <c:v>1.1297000000000001E-2</c:v>
                </c:pt>
                <c:pt idx="17">
                  <c:v>8.7679999999999998E-3</c:v>
                </c:pt>
                <c:pt idx="18">
                  <c:v>8.7510000000000001E-3</c:v>
                </c:pt>
                <c:pt idx="19">
                  <c:v>7.7669999999999996E-3</c:v>
                </c:pt>
                <c:pt idx="20">
                  <c:v>7.1609999999999998E-3</c:v>
                </c:pt>
                <c:pt idx="21">
                  <c:v>6.8209999999999998E-3</c:v>
                </c:pt>
                <c:pt idx="22">
                  <c:v>6.7710000000000001E-3</c:v>
                </c:pt>
                <c:pt idx="23">
                  <c:v>6.7219999999999997E-3</c:v>
                </c:pt>
                <c:pt idx="24">
                  <c:v>6.6010000000000001E-3</c:v>
                </c:pt>
                <c:pt idx="25">
                  <c:v>6.0649999999999992E-3</c:v>
                </c:pt>
                <c:pt idx="26">
                  <c:v>5.7260000000000002E-3</c:v>
                </c:pt>
                <c:pt idx="27">
                  <c:v>5.365E-3</c:v>
                </c:pt>
                <c:pt idx="28">
                  <c:v>5.3169999999999997E-3</c:v>
                </c:pt>
                <c:pt idx="29">
                  <c:v>5.2170000000000003E-3</c:v>
                </c:pt>
                <c:pt idx="30">
                  <c:v>4.8869999999999999E-3</c:v>
                </c:pt>
                <c:pt idx="31">
                  <c:v>4.5209999999999998E-3</c:v>
                </c:pt>
                <c:pt idx="32">
                  <c:v>3.8470000000000002E-3</c:v>
                </c:pt>
                <c:pt idx="33">
                  <c:v>3.5230000000000001E-3</c:v>
                </c:pt>
              </c:numCache>
            </c:numRef>
          </c:val>
          <c:extLst>
            <c:ext xmlns:c16="http://schemas.microsoft.com/office/drawing/2014/chart" uri="{C3380CC4-5D6E-409C-BE32-E72D297353CC}">
              <c16:uniqueId val="{00000000-355C-4BBD-B580-6D601176AA5C}"/>
            </c:ext>
          </c:extLst>
        </c:ser>
        <c:dLbls>
          <c:showLegendKey val="0"/>
          <c:showVal val="1"/>
          <c:showCatName val="0"/>
          <c:showSerName val="0"/>
          <c:showPercent val="0"/>
          <c:showBubbleSize val="0"/>
        </c:dLbls>
        <c:gapWidth val="150"/>
        <c:overlap val="-25"/>
        <c:axId val="1093455375"/>
        <c:axId val="889905119"/>
      </c:barChart>
      <c:catAx>
        <c:axId val="10934553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103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889905119"/>
        <c:crosses val="autoZero"/>
        <c:auto val="1"/>
        <c:lblAlgn val="ctr"/>
        <c:lblOffset val="100"/>
        <c:noMultiLvlLbl val="0"/>
      </c:catAx>
      <c:valAx>
        <c:axId val="889905119"/>
        <c:scaling>
          <c:orientation val="minMax"/>
        </c:scaling>
        <c:delete val="1"/>
        <c:axPos val="l"/>
        <c:numFmt formatCode="0.00%" sourceLinked="1"/>
        <c:majorTickMark val="none"/>
        <c:minorTickMark val="none"/>
        <c:tickLblPos val="nextTo"/>
        <c:crossAx val="109345537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1.3800613264745215E-2"/>
          <c:y val="1.8895707103645184E-2"/>
          <c:w val="0.96692117080586137"/>
          <c:h val="0.57234435549851026"/>
        </c:manualLayout>
      </c:layout>
      <c:barChart>
        <c:barDir val="col"/>
        <c:grouping val="clustered"/>
        <c:varyColors val="0"/>
        <c:ser>
          <c:idx val="0"/>
          <c:order val="0"/>
          <c:tx>
            <c:strRef>
              <c:f>'BANDHAN-Nifty200 Mom30 Index'!$X$7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7CE8-4152-B88A-FC7E01B89C52}"/>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7CE8-4152-B88A-FC7E01B89C52}"/>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7CE8-4152-B88A-FC7E01B89C52}"/>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7CE8-4152-B88A-FC7E01B89C52}"/>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7CE8-4152-B88A-FC7E01B89C52}"/>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7CE8-4152-B88A-FC7E01B89C52}"/>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7CE8-4152-B88A-FC7E01B89C52}"/>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7CE8-4152-B88A-FC7E01B89C52}"/>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7CE8-4152-B88A-FC7E01B89C52}"/>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7CE8-4152-B88A-FC7E01B89C52}"/>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7CE8-4152-B88A-FC7E01B89C52}"/>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7CE8-4152-B88A-FC7E01B89C52}"/>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7CE8-4152-B88A-FC7E01B89C52}"/>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7CE8-4152-B88A-FC7E01B89C52}"/>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7CE8-4152-B88A-FC7E01B89C52}"/>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7CE8-4152-B88A-FC7E01B89C52}"/>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7CE8-4152-B88A-FC7E01B89C52}"/>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7CE8-4152-B88A-FC7E01B89C52}"/>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'BANDHAN-Nifty200 Mom30 Index'!$W$8:$W$23</c:f>
              <c:strCache>
                <c:ptCount val="16"/>
                <c:pt idx="0">
                  <c:v>IT - Software</c:v>
                </c:pt>
                <c:pt idx="1">
                  <c:v>Pharmaceuticals &amp; Biotechnology</c:v>
                </c:pt>
                <c:pt idx="2">
                  <c:v>Retailing</c:v>
                </c:pt>
                <c:pt idx="3">
                  <c:v>Consumer Durables</c:v>
                </c:pt>
                <c:pt idx="4">
                  <c:v>Telecom - Services</c:v>
                </c:pt>
                <c:pt idx="5">
                  <c:v>Automobiles</c:v>
                </c:pt>
                <c:pt idx="6">
                  <c:v>Financial Technology (Fintech)</c:v>
                </c:pt>
                <c:pt idx="7">
                  <c:v>Aerospace &amp; Defense</c:v>
                </c:pt>
                <c:pt idx="8">
                  <c:v>Leisure Services</c:v>
                </c:pt>
                <c:pt idx="9">
                  <c:v>Capital Markets</c:v>
                </c:pt>
                <c:pt idx="10">
                  <c:v>Diversified Metals</c:v>
                </c:pt>
                <c:pt idx="11">
                  <c:v>Auto Components</c:v>
                </c:pt>
                <c:pt idx="12">
                  <c:v>Beverages</c:v>
                </c:pt>
                <c:pt idx="13">
                  <c:v>Electrical Equipment</c:v>
                </c:pt>
                <c:pt idx="14">
                  <c:v>Banks</c:v>
                </c:pt>
                <c:pt idx="15">
                  <c:v>Oil</c:v>
                </c:pt>
              </c:strCache>
            </c:strRef>
          </c:cat>
          <c:val>
            <c:numRef>
              <c:f>'BANDHAN-Nifty200 Mom30 Index'!$X$8:$X$23</c:f>
              <c:numCache>
                <c:formatCode>0.00%</c:formatCode>
                <c:ptCount val="16"/>
                <c:pt idx="0">
                  <c:v>0.22576400000000002</c:v>
                </c:pt>
                <c:pt idx="1">
                  <c:v>0.14785800000000002</c:v>
                </c:pt>
                <c:pt idx="2">
                  <c:v>0.12138499999999999</c:v>
                </c:pt>
                <c:pt idx="3">
                  <c:v>8.1950999999999996E-2</c:v>
                </c:pt>
                <c:pt idx="4">
                  <c:v>6.4732999999999999E-2</c:v>
                </c:pt>
                <c:pt idx="5">
                  <c:v>5.466E-2</c:v>
                </c:pt>
                <c:pt idx="6">
                  <c:v>4.5253000000000002E-2</c:v>
                </c:pt>
                <c:pt idx="7">
                  <c:v>4.5082999999999998E-2</c:v>
                </c:pt>
                <c:pt idx="8">
                  <c:v>4.2201000000000002E-2</c:v>
                </c:pt>
                <c:pt idx="9">
                  <c:v>4.1789E-2</c:v>
                </c:pt>
                <c:pt idx="10">
                  <c:v>2.6388000000000002E-2</c:v>
                </c:pt>
                <c:pt idx="11">
                  <c:v>2.5873E-2</c:v>
                </c:pt>
                <c:pt idx="12">
                  <c:v>2.3918999999999999E-2</c:v>
                </c:pt>
                <c:pt idx="13">
                  <c:v>2.171E-2</c:v>
                </c:pt>
                <c:pt idx="14">
                  <c:v>2.1434999999999999E-2</c:v>
                </c:pt>
                <c:pt idx="15">
                  <c:v>9.9699999999999997E-3</c:v>
                </c:pt>
              </c:numCache>
            </c:numRef>
          </c:val>
          <c:extLst>
            <c:ext xmlns:c16="http://schemas.microsoft.com/office/drawing/2014/chart" uri="{C3380CC4-5D6E-409C-BE32-E72D297353CC}">
              <c16:uniqueId val="{00000012-7CE8-4152-B88A-FC7E01B89C52}"/>
            </c:ext>
          </c:extLst>
        </c:ser>
        <c:dLbls>
          <c:showLegendKey val="0"/>
          <c:showVal val="0"/>
          <c:showCatName val="0"/>
          <c:showSerName val="0"/>
          <c:showPercent val="0"/>
          <c:showBubbleSize val="0"/>
        </c:dLbls>
        <c:gapWidth val="150"/>
        <c:axId val="170020352"/>
        <c:axId val="168868032"/>
      </c:barChart>
      <c:catAx>
        <c:axId val="170020352"/>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68868032"/>
        <c:crosses val="autoZero"/>
        <c:auto val="1"/>
        <c:lblAlgn val="ctr"/>
        <c:lblOffset val="100"/>
        <c:tickLblSkip val="1"/>
        <c:noMultiLvlLbl val="0"/>
      </c:catAx>
      <c:valAx>
        <c:axId val="168868032"/>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70020352"/>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44" l="0.70000000000000062" r="0.70000000000000062" t="0.75000000000000544" header="0.30000000000000032" footer="0.30000000000000032"/>
    <c:pageSetup/>
  </c:printSettings>
</c:chartSpace>
</file>

<file path=xl/charts/chart3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1.6539414597069316E-2"/>
          <c:y val="1.8895707103645184E-2"/>
          <c:w val="0.96692117080586137"/>
          <c:h val="0.57234435549851026"/>
        </c:manualLayout>
      </c:layout>
      <c:barChart>
        <c:barDir val="col"/>
        <c:grouping val="clustered"/>
        <c:varyColors val="0"/>
        <c:ser>
          <c:idx val="0"/>
          <c:order val="0"/>
          <c:tx>
            <c:strRef>
              <c:f>'BANDHAN NIF100LV30'!$X$7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E64C-421A-984F-8F292FB1ED85}"/>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64C-421A-984F-8F292FB1ED85}"/>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E64C-421A-984F-8F292FB1ED85}"/>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64C-421A-984F-8F292FB1ED85}"/>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E64C-421A-984F-8F292FB1ED85}"/>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E64C-421A-984F-8F292FB1ED85}"/>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E64C-421A-984F-8F292FB1ED85}"/>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E64C-421A-984F-8F292FB1ED85}"/>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E64C-421A-984F-8F292FB1ED85}"/>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E64C-421A-984F-8F292FB1ED85}"/>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E64C-421A-984F-8F292FB1ED85}"/>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E64C-421A-984F-8F292FB1ED85}"/>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E64C-421A-984F-8F292FB1ED85}"/>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E64C-421A-984F-8F292FB1ED85}"/>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E64C-421A-984F-8F292FB1ED85}"/>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E64C-421A-984F-8F292FB1ED85}"/>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E64C-421A-984F-8F292FB1ED85}"/>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E64C-421A-984F-8F292FB1ED85}"/>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NIF100LV30'!$W$8:$W$24</c:f>
              <c:strCache>
                <c:ptCount val="17"/>
                <c:pt idx="0">
                  <c:v>Pharmaceuticals &amp; Biotechnology</c:v>
                </c:pt>
                <c:pt idx="1">
                  <c:v>IT - Software</c:v>
                </c:pt>
                <c:pt idx="2">
                  <c:v>Banks</c:v>
                </c:pt>
                <c:pt idx="3">
                  <c:v>Automobiles</c:v>
                </c:pt>
                <c:pt idx="4">
                  <c:v>Food Products</c:v>
                </c:pt>
                <c:pt idx="5">
                  <c:v>Diversified FMCG</c:v>
                </c:pt>
                <c:pt idx="6">
                  <c:v>Consumer Durables</c:v>
                </c:pt>
                <c:pt idx="7">
                  <c:v>Petroleum Products</c:v>
                </c:pt>
                <c:pt idx="8">
                  <c:v>Insurance</c:v>
                </c:pt>
                <c:pt idx="9">
                  <c:v>Healthcare Services</c:v>
                </c:pt>
                <c:pt idx="10">
                  <c:v>Telecom - Services</c:v>
                </c:pt>
                <c:pt idx="11">
                  <c:v>Chemicals &amp; Petrochemicals</c:v>
                </c:pt>
                <c:pt idx="12">
                  <c:v>Auto Components</c:v>
                </c:pt>
                <c:pt idx="13">
                  <c:v>Cement &amp; Cement Products</c:v>
                </c:pt>
                <c:pt idx="14">
                  <c:v>Finance</c:v>
                </c:pt>
                <c:pt idx="15">
                  <c:v>Personal Products</c:v>
                </c:pt>
                <c:pt idx="16">
                  <c:v>Construction</c:v>
                </c:pt>
              </c:strCache>
            </c:strRef>
          </c:cat>
          <c:val>
            <c:numRef>
              <c:f>'BANDHAN NIF100LV30'!$X$8:$X$24</c:f>
              <c:numCache>
                <c:formatCode>0.00%</c:formatCode>
                <c:ptCount val="17"/>
                <c:pt idx="0">
                  <c:v>0.13727</c:v>
                </c:pt>
                <c:pt idx="1">
                  <c:v>0.11614100000000001</c:v>
                </c:pt>
                <c:pt idx="2">
                  <c:v>0.108138</c:v>
                </c:pt>
                <c:pt idx="3">
                  <c:v>9.1647000000000006E-2</c:v>
                </c:pt>
                <c:pt idx="4">
                  <c:v>8.0004000000000006E-2</c:v>
                </c:pt>
                <c:pt idx="5">
                  <c:v>7.7886999999999998E-2</c:v>
                </c:pt>
                <c:pt idx="6">
                  <c:v>7.0438000000000001E-2</c:v>
                </c:pt>
                <c:pt idx="7">
                  <c:v>3.7446E-2</c:v>
                </c:pt>
                <c:pt idx="8">
                  <c:v>3.5408000000000002E-2</c:v>
                </c:pt>
                <c:pt idx="9">
                  <c:v>3.4863999999999999E-2</c:v>
                </c:pt>
                <c:pt idx="10">
                  <c:v>3.4229999999999997E-2</c:v>
                </c:pt>
                <c:pt idx="11">
                  <c:v>3.1245999999999999E-2</c:v>
                </c:pt>
                <c:pt idx="12">
                  <c:v>3.1199999999999999E-2</c:v>
                </c:pt>
                <c:pt idx="13">
                  <c:v>3.0606999999999999E-2</c:v>
                </c:pt>
                <c:pt idx="14">
                  <c:v>3.0484000000000001E-2</c:v>
                </c:pt>
                <c:pt idx="15">
                  <c:v>2.7847E-2</c:v>
                </c:pt>
                <c:pt idx="16">
                  <c:v>2.4878999999999998E-2</c:v>
                </c:pt>
              </c:numCache>
            </c:numRef>
          </c:val>
          <c:extLst>
            <c:ext xmlns:c16="http://schemas.microsoft.com/office/drawing/2014/chart" uri="{C3380CC4-5D6E-409C-BE32-E72D297353CC}">
              <c16:uniqueId val="{00000012-E64C-421A-984F-8F292FB1ED85}"/>
            </c:ext>
          </c:extLst>
        </c:ser>
        <c:dLbls>
          <c:showLegendKey val="0"/>
          <c:showVal val="0"/>
          <c:showCatName val="0"/>
          <c:showSerName val="0"/>
          <c:showPercent val="0"/>
          <c:showBubbleSize val="0"/>
        </c:dLbls>
        <c:gapWidth val="150"/>
        <c:axId val="170020352"/>
        <c:axId val="168868032"/>
      </c:barChart>
      <c:catAx>
        <c:axId val="170020352"/>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68868032"/>
        <c:crosses val="autoZero"/>
        <c:auto val="1"/>
        <c:lblAlgn val="ctr"/>
        <c:lblOffset val="100"/>
        <c:tickLblSkip val="1"/>
        <c:noMultiLvlLbl val="0"/>
      </c:catAx>
      <c:valAx>
        <c:axId val="168868032"/>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70020352"/>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44" l="0.70000000000000062" r="0.70000000000000062" t="0.75000000000000544" header="0.30000000000000032" footer="0.30000000000000032"/>
    <c:pageSetup/>
  </c:printSettings>
</c:chartSpace>
</file>

<file path=xl/charts/chart4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1.6539414597069316E-2"/>
          <c:y val="1.8895707103645184E-2"/>
          <c:w val="0.96692117080586137"/>
          <c:h val="0.57234435549851026"/>
        </c:manualLayout>
      </c:layout>
      <c:barChart>
        <c:barDir val="col"/>
        <c:grouping val="clustered"/>
        <c:varyColors val="0"/>
        <c:ser>
          <c:idx val="0"/>
          <c:order val="0"/>
          <c:tx>
            <c:strRef>
              <c:f>'BANDHAN NIFTY IT INDEX'!$X$7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B541-41C0-8C23-BD4F5F29DA25}"/>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B541-41C0-8C23-BD4F5F29DA25}"/>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B541-41C0-8C23-BD4F5F29DA25}"/>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B541-41C0-8C23-BD4F5F29DA25}"/>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B541-41C0-8C23-BD4F5F29DA25}"/>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B541-41C0-8C23-BD4F5F29DA25}"/>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B541-41C0-8C23-BD4F5F29DA25}"/>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B541-41C0-8C23-BD4F5F29DA25}"/>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B541-41C0-8C23-BD4F5F29DA25}"/>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B541-41C0-8C23-BD4F5F29DA25}"/>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B541-41C0-8C23-BD4F5F29DA25}"/>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B541-41C0-8C23-BD4F5F29DA25}"/>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B541-41C0-8C23-BD4F5F29DA25}"/>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B541-41C0-8C23-BD4F5F29DA25}"/>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B541-41C0-8C23-BD4F5F29DA25}"/>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B541-41C0-8C23-BD4F5F29DA25}"/>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B541-41C0-8C23-BD4F5F29DA25}"/>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B541-41C0-8C23-BD4F5F29DA25}"/>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NIFTY IT INDEX'!$W$8</c:f>
              <c:strCache>
                <c:ptCount val="1"/>
                <c:pt idx="0">
                  <c:v>IT - Software</c:v>
                </c:pt>
              </c:strCache>
            </c:strRef>
          </c:cat>
          <c:val>
            <c:numRef>
              <c:f>'BANDHAN NIFTY IT INDEX'!$X$8</c:f>
              <c:numCache>
                <c:formatCode>0.00%</c:formatCode>
                <c:ptCount val="1"/>
                <c:pt idx="0">
                  <c:v>0.99850899999999998</c:v>
                </c:pt>
              </c:numCache>
            </c:numRef>
          </c:val>
          <c:extLst>
            <c:ext xmlns:c16="http://schemas.microsoft.com/office/drawing/2014/chart" uri="{C3380CC4-5D6E-409C-BE32-E72D297353CC}">
              <c16:uniqueId val="{00000012-B541-41C0-8C23-BD4F5F29DA25}"/>
            </c:ext>
          </c:extLst>
        </c:ser>
        <c:dLbls>
          <c:showLegendKey val="0"/>
          <c:showVal val="0"/>
          <c:showCatName val="0"/>
          <c:showSerName val="0"/>
          <c:showPercent val="0"/>
          <c:showBubbleSize val="0"/>
        </c:dLbls>
        <c:gapWidth val="150"/>
        <c:axId val="170020352"/>
        <c:axId val="168868032"/>
      </c:barChart>
      <c:catAx>
        <c:axId val="170020352"/>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68868032"/>
        <c:crosses val="autoZero"/>
        <c:auto val="1"/>
        <c:lblAlgn val="ctr"/>
        <c:lblOffset val="100"/>
        <c:tickLblSkip val="1"/>
        <c:noMultiLvlLbl val="0"/>
      </c:catAx>
      <c:valAx>
        <c:axId val="168868032"/>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70020352"/>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44" l="0.70000000000000062" r="0.70000000000000062" t="0.75000000000000544" header="0.30000000000000032" footer="0.30000000000000032"/>
    <c:pageSetup/>
  </c:printSettings>
</c:chartSpace>
</file>

<file path=xl/charts/chart4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1.6539414597069316E-2"/>
          <c:y val="1.8895707103645184E-2"/>
          <c:w val="0.96692117080586137"/>
          <c:h val="0.57234435549851026"/>
        </c:manualLayout>
      </c:layout>
      <c:barChart>
        <c:barDir val="col"/>
        <c:grouping val="clustered"/>
        <c:varyColors val="0"/>
        <c:ser>
          <c:idx val="0"/>
          <c:order val="0"/>
          <c:tx>
            <c:strRef>
              <c:f>'Bandhan Nifty Alpha 50 Index'!$X$7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BB77-43B4-9FC3-EE6086A230E4}"/>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BB77-43B4-9FC3-EE6086A230E4}"/>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BB77-43B4-9FC3-EE6086A230E4}"/>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BB77-43B4-9FC3-EE6086A230E4}"/>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BB77-43B4-9FC3-EE6086A230E4}"/>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BB77-43B4-9FC3-EE6086A230E4}"/>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BB77-43B4-9FC3-EE6086A230E4}"/>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BB77-43B4-9FC3-EE6086A230E4}"/>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BB77-43B4-9FC3-EE6086A230E4}"/>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BB77-43B4-9FC3-EE6086A230E4}"/>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BB77-43B4-9FC3-EE6086A230E4}"/>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BB77-43B4-9FC3-EE6086A230E4}"/>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BB77-43B4-9FC3-EE6086A230E4}"/>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BB77-43B4-9FC3-EE6086A230E4}"/>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BB77-43B4-9FC3-EE6086A230E4}"/>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BB77-43B4-9FC3-EE6086A230E4}"/>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BB77-43B4-9FC3-EE6086A230E4}"/>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BB77-43B4-9FC3-EE6086A230E4}"/>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Nifty Alpha 50 Index'!$W$8:$W$31</c:f>
              <c:strCache>
                <c:ptCount val="24"/>
                <c:pt idx="0">
                  <c:v>Consumer Durables</c:v>
                </c:pt>
                <c:pt idx="1">
                  <c:v>Capital Markets</c:v>
                </c:pt>
                <c:pt idx="2">
                  <c:v>Industrial Manufacturing</c:v>
                </c:pt>
                <c:pt idx="3">
                  <c:v>Electrical Equipment</c:v>
                </c:pt>
                <c:pt idx="4">
                  <c:v>Pharmaceuticals &amp; Biotechnology</c:v>
                </c:pt>
                <c:pt idx="5">
                  <c:v>Financial Technology (Fintech)</c:v>
                </c:pt>
                <c:pt idx="6">
                  <c:v>Retailing</c:v>
                </c:pt>
                <c:pt idx="7">
                  <c:v>Finance</c:v>
                </c:pt>
                <c:pt idx="8">
                  <c:v>Telecom - Services</c:v>
                </c:pt>
                <c:pt idx="9">
                  <c:v>Commercial Services &amp; Supplies</c:v>
                </c:pt>
                <c:pt idx="10">
                  <c:v>Gas</c:v>
                </c:pt>
                <c:pt idx="11">
                  <c:v>Power</c:v>
                </c:pt>
                <c:pt idx="12">
                  <c:v>Healthcare Services</c:v>
                </c:pt>
                <c:pt idx="13">
                  <c:v>Aerospace &amp; Defense</c:v>
                </c:pt>
                <c:pt idx="14">
                  <c:v>Diversified Metals</c:v>
                </c:pt>
                <c:pt idx="15">
                  <c:v>Transport Services</c:v>
                </c:pt>
                <c:pt idx="16">
                  <c:v>Automobiles</c:v>
                </c:pt>
                <c:pt idx="17">
                  <c:v>Construction</c:v>
                </c:pt>
                <c:pt idx="18">
                  <c:v>Fertilizers &amp; Agrochemicals</c:v>
                </c:pt>
                <c:pt idx="19">
                  <c:v>Leisure Services</c:v>
                </c:pt>
                <c:pt idx="20">
                  <c:v>Non - Ferrous Metals</c:v>
                </c:pt>
                <c:pt idx="21">
                  <c:v>Realty</c:v>
                </c:pt>
                <c:pt idx="22">
                  <c:v>Chemicals &amp; Petrochemicals</c:v>
                </c:pt>
                <c:pt idx="23">
                  <c:v>IT - Software</c:v>
                </c:pt>
              </c:strCache>
            </c:strRef>
          </c:cat>
          <c:val>
            <c:numRef>
              <c:f>'Bandhan Nifty Alpha 50 Index'!$X$8:$X$31</c:f>
              <c:numCache>
                <c:formatCode>0.00%</c:formatCode>
                <c:ptCount val="24"/>
                <c:pt idx="0">
                  <c:v>0.19155700000000003</c:v>
                </c:pt>
                <c:pt idx="1">
                  <c:v>0.12329700000000002</c:v>
                </c:pt>
                <c:pt idx="2">
                  <c:v>9.8626999999999992E-2</c:v>
                </c:pt>
                <c:pt idx="3">
                  <c:v>7.1142999999999998E-2</c:v>
                </c:pt>
                <c:pt idx="4">
                  <c:v>6.9205000000000003E-2</c:v>
                </c:pt>
                <c:pt idx="5">
                  <c:v>4.9037000000000004E-2</c:v>
                </c:pt>
                <c:pt idx="6">
                  <c:v>4.7141000000000002E-2</c:v>
                </c:pt>
                <c:pt idx="7">
                  <c:v>4.3626999999999999E-2</c:v>
                </c:pt>
                <c:pt idx="8">
                  <c:v>3.8744000000000001E-2</c:v>
                </c:pt>
                <c:pt idx="9">
                  <c:v>3.1022000000000001E-2</c:v>
                </c:pt>
                <c:pt idx="10">
                  <c:v>3.0429999999999999E-2</c:v>
                </c:pt>
                <c:pt idx="11">
                  <c:v>2.8764999999999999E-2</c:v>
                </c:pt>
                <c:pt idx="12">
                  <c:v>2.3328000000000002E-2</c:v>
                </c:pt>
                <c:pt idx="13">
                  <c:v>2.0768000000000002E-2</c:v>
                </c:pt>
                <c:pt idx="14">
                  <c:v>2.0756E-2</c:v>
                </c:pt>
                <c:pt idx="15">
                  <c:v>2.0500000000000001E-2</c:v>
                </c:pt>
                <c:pt idx="16">
                  <c:v>1.8388999999999999E-2</c:v>
                </c:pt>
                <c:pt idx="17">
                  <c:v>1.7853000000000001E-2</c:v>
                </c:pt>
                <c:pt idx="18">
                  <c:v>1.7385000000000001E-2</c:v>
                </c:pt>
                <c:pt idx="19">
                  <c:v>1.7201999999999999E-2</c:v>
                </c:pt>
                <c:pt idx="20">
                  <c:v>8.2559999999999995E-3</c:v>
                </c:pt>
                <c:pt idx="21">
                  <c:v>6.2059999999999997E-3</c:v>
                </c:pt>
                <c:pt idx="22">
                  <c:v>5.8139999999999997E-3</c:v>
                </c:pt>
                <c:pt idx="23">
                  <c:v>7.7700000000000002E-4</c:v>
                </c:pt>
              </c:numCache>
            </c:numRef>
          </c:val>
          <c:extLst>
            <c:ext xmlns:c16="http://schemas.microsoft.com/office/drawing/2014/chart" uri="{C3380CC4-5D6E-409C-BE32-E72D297353CC}">
              <c16:uniqueId val="{00000012-BB77-43B4-9FC3-EE6086A230E4}"/>
            </c:ext>
          </c:extLst>
        </c:ser>
        <c:dLbls>
          <c:showLegendKey val="0"/>
          <c:showVal val="0"/>
          <c:showCatName val="0"/>
          <c:showSerName val="0"/>
          <c:showPercent val="0"/>
          <c:showBubbleSize val="0"/>
        </c:dLbls>
        <c:gapWidth val="150"/>
        <c:axId val="170020352"/>
        <c:axId val="168868032"/>
      </c:barChart>
      <c:catAx>
        <c:axId val="170020352"/>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68868032"/>
        <c:crosses val="autoZero"/>
        <c:auto val="1"/>
        <c:lblAlgn val="ctr"/>
        <c:lblOffset val="100"/>
        <c:tickLblSkip val="1"/>
        <c:noMultiLvlLbl val="0"/>
      </c:catAx>
      <c:valAx>
        <c:axId val="168868032"/>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70020352"/>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44" l="0.70000000000000062" r="0.70000000000000062" t="0.75000000000000544" header="0.30000000000000032" footer="0.30000000000000032"/>
    <c:pageSetup/>
  </c:printSettings>
</c:chartSpace>
</file>

<file path=xl/charts/chart4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1.6539414597069316E-2"/>
          <c:y val="1.8895707103645184E-2"/>
          <c:w val="0.96692117080586137"/>
          <c:h val="0.57234435549851026"/>
        </c:manualLayout>
      </c:layout>
      <c:barChart>
        <c:barDir val="col"/>
        <c:grouping val="clustered"/>
        <c:varyColors val="0"/>
        <c:ser>
          <c:idx val="0"/>
          <c:order val="0"/>
          <c:tx>
            <c:strRef>
              <c:f>'Bandhan Nifty Smallcap 250 '!$X$7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F3E2-43F0-81FD-F9BD241304A6}"/>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3E2-43F0-81FD-F9BD241304A6}"/>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F3E2-43F0-81FD-F9BD241304A6}"/>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F3E2-43F0-81FD-F9BD241304A6}"/>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F3E2-43F0-81FD-F9BD241304A6}"/>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F3E2-43F0-81FD-F9BD241304A6}"/>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F3E2-43F0-81FD-F9BD241304A6}"/>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F3E2-43F0-81FD-F9BD241304A6}"/>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F3E2-43F0-81FD-F9BD241304A6}"/>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F3E2-43F0-81FD-F9BD241304A6}"/>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F3E2-43F0-81FD-F9BD241304A6}"/>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F3E2-43F0-81FD-F9BD241304A6}"/>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F3E2-43F0-81FD-F9BD241304A6}"/>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F3E2-43F0-81FD-F9BD241304A6}"/>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F3E2-43F0-81FD-F9BD241304A6}"/>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F3E2-43F0-81FD-F9BD241304A6}"/>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F3E2-43F0-81FD-F9BD241304A6}"/>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F3E2-43F0-81FD-F9BD241304A6}"/>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Nifty Smallcap 250 '!$W$8:$W$52</c:f>
              <c:strCache>
                <c:ptCount val="45"/>
                <c:pt idx="0">
                  <c:v>Finance</c:v>
                </c:pt>
                <c:pt idx="1">
                  <c:v>Pharmaceuticals &amp; Biotechnology</c:v>
                </c:pt>
                <c:pt idx="2">
                  <c:v>Capital Markets</c:v>
                </c:pt>
                <c:pt idx="3">
                  <c:v>Industrial Products</c:v>
                </c:pt>
                <c:pt idx="4">
                  <c:v>Chemicals &amp; Petrochemicals</c:v>
                </c:pt>
                <c:pt idx="5">
                  <c:v>Consumer Durables</c:v>
                </c:pt>
                <c:pt idx="6">
                  <c:v>Healthcare Services</c:v>
                </c:pt>
                <c:pt idx="7">
                  <c:v>Construction</c:v>
                </c:pt>
                <c:pt idx="8">
                  <c:v>Auto Components</c:v>
                </c:pt>
                <c:pt idx="9">
                  <c:v>Banks</c:v>
                </c:pt>
                <c:pt idx="10">
                  <c:v>IT - Software</c:v>
                </c:pt>
                <c:pt idx="11">
                  <c:v>Leisure Services</c:v>
                </c:pt>
                <c:pt idx="12">
                  <c:v>Industrial Manufacturing</c:v>
                </c:pt>
                <c:pt idx="13">
                  <c:v>Power</c:v>
                </c:pt>
                <c:pt idx="14">
                  <c:v>Realty</c:v>
                </c:pt>
                <c:pt idx="15">
                  <c:v>Commercial Services &amp; Supplies</c:v>
                </c:pt>
                <c:pt idx="16">
                  <c:v>Transport Services</c:v>
                </c:pt>
                <c:pt idx="17">
                  <c:v>Electrical Equipment</c:v>
                </c:pt>
                <c:pt idx="18">
                  <c:v>Fertilizers &amp; Agrochemicals</c:v>
                </c:pt>
                <c:pt idx="19">
                  <c:v>Gas</c:v>
                </c:pt>
                <c:pt idx="20">
                  <c:v>IT - Services</c:v>
                </c:pt>
                <c:pt idx="21">
                  <c:v>Entertainment</c:v>
                </c:pt>
                <c:pt idx="22">
                  <c:v>Agricultural Food &amp; other Products</c:v>
                </c:pt>
                <c:pt idx="23">
                  <c:v>Retailing</c:v>
                </c:pt>
                <c:pt idx="24">
                  <c:v>Aerospace &amp; Defense</c:v>
                </c:pt>
                <c:pt idx="25">
                  <c:v>Food Products</c:v>
                </c:pt>
                <c:pt idx="26">
                  <c:v>Beverages</c:v>
                </c:pt>
                <c:pt idx="27">
                  <c:v>Textiles &amp; Apparels</c:v>
                </c:pt>
                <c:pt idx="28">
                  <c:v>Cement &amp; Cement Products</c:v>
                </c:pt>
                <c:pt idx="29">
                  <c:v>Telecom - Services</c:v>
                </c:pt>
                <c:pt idx="30">
                  <c:v>Petroleum Products</c:v>
                </c:pt>
                <c:pt idx="31">
                  <c:v>Cigarettes &amp; Tobacco Products</c:v>
                </c:pt>
                <c:pt idx="32">
                  <c:v>Agricultural, Commercial &amp; Construction Vehicles</c:v>
                </c:pt>
                <c:pt idx="33">
                  <c:v>Household Products</c:v>
                </c:pt>
                <c:pt idx="34">
                  <c:v>Paper, Forest &amp; Jute Products</c:v>
                </c:pt>
                <c:pt idx="35">
                  <c:v>Personal Products</c:v>
                </c:pt>
                <c:pt idx="36">
                  <c:v>Healthcare Equipment &amp; Supplies</c:v>
                </c:pt>
                <c:pt idx="37">
                  <c:v>Insurance</c:v>
                </c:pt>
                <c:pt idx="38">
                  <c:v>Ferrous Metals</c:v>
                </c:pt>
                <c:pt idx="39">
                  <c:v>Telecom - Equipment &amp; Accessories</c:v>
                </c:pt>
                <c:pt idx="40">
                  <c:v>Minerals &amp; Mining</c:v>
                </c:pt>
                <c:pt idx="41">
                  <c:v>Non - Ferrous Metals</c:v>
                </c:pt>
                <c:pt idx="42">
                  <c:v>Diversified</c:v>
                </c:pt>
                <c:pt idx="43">
                  <c:v>Automobiles</c:v>
                </c:pt>
                <c:pt idx="44">
                  <c:v>Transport Infrastructure</c:v>
                </c:pt>
              </c:strCache>
            </c:strRef>
          </c:cat>
          <c:val>
            <c:numRef>
              <c:f>'Bandhan Nifty Smallcap 250 '!$X$8:$X$52</c:f>
              <c:numCache>
                <c:formatCode>0.00%</c:formatCode>
                <c:ptCount val="45"/>
                <c:pt idx="0">
                  <c:v>9.9698000000000009E-2</c:v>
                </c:pt>
                <c:pt idx="1">
                  <c:v>8.4421999999999997E-2</c:v>
                </c:pt>
                <c:pt idx="2">
                  <c:v>7.9600000000000004E-2</c:v>
                </c:pt>
                <c:pt idx="3">
                  <c:v>7.0453000000000002E-2</c:v>
                </c:pt>
                <c:pt idx="4">
                  <c:v>5.5779999999999996E-2</c:v>
                </c:pt>
                <c:pt idx="5">
                  <c:v>5.1091999999999999E-2</c:v>
                </c:pt>
                <c:pt idx="6">
                  <c:v>4.0452999999999996E-2</c:v>
                </c:pt>
                <c:pt idx="7">
                  <c:v>4.0287999999999997E-2</c:v>
                </c:pt>
                <c:pt idx="8">
                  <c:v>3.8952000000000001E-2</c:v>
                </c:pt>
                <c:pt idx="9">
                  <c:v>3.2472000000000001E-2</c:v>
                </c:pt>
                <c:pt idx="10">
                  <c:v>3.0338999999999998E-2</c:v>
                </c:pt>
                <c:pt idx="11">
                  <c:v>2.8732000000000001E-2</c:v>
                </c:pt>
                <c:pt idx="12">
                  <c:v>2.5126000000000002E-2</c:v>
                </c:pt>
                <c:pt idx="13">
                  <c:v>2.0764999999999999E-2</c:v>
                </c:pt>
                <c:pt idx="14">
                  <c:v>2.0438000000000001E-2</c:v>
                </c:pt>
                <c:pt idx="15">
                  <c:v>1.9125999999999997E-2</c:v>
                </c:pt>
                <c:pt idx="16">
                  <c:v>1.7665E-2</c:v>
                </c:pt>
                <c:pt idx="17">
                  <c:v>1.7533E-2</c:v>
                </c:pt>
                <c:pt idx="18">
                  <c:v>1.6787E-2</c:v>
                </c:pt>
                <c:pt idx="19">
                  <c:v>1.6167000000000001E-2</c:v>
                </c:pt>
                <c:pt idx="20">
                  <c:v>1.5443E-2</c:v>
                </c:pt>
                <c:pt idx="21">
                  <c:v>1.3312000000000001E-2</c:v>
                </c:pt>
                <c:pt idx="22">
                  <c:v>1.2017E-2</c:v>
                </c:pt>
                <c:pt idx="23">
                  <c:v>1.1520000000000001E-2</c:v>
                </c:pt>
                <c:pt idx="24">
                  <c:v>1.1077999999999999E-2</c:v>
                </c:pt>
                <c:pt idx="25">
                  <c:v>1.1002E-2</c:v>
                </c:pt>
                <c:pt idx="26">
                  <c:v>1.0943E-2</c:v>
                </c:pt>
                <c:pt idx="27">
                  <c:v>9.4130000000000012E-3</c:v>
                </c:pt>
                <c:pt idx="28">
                  <c:v>9.0369999999999999E-3</c:v>
                </c:pt>
                <c:pt idx="29">
                  <c:v>8.1469999999999997E-3</c:v>
                </c:pt>
                <c:pt idx="30">
                  <c:v>7.1349999999999998E-3</c:v>
                </c:pt>
                <c:pt idx="31">
                  <c:v>6.2709999999999997E-3</c:v>
                </c:pt>
                <c:pt idx="32">
                  <c:v>6.1860000000000005E-3</c:v>
                </c:pt>
                <c:pt idx="33">
                  <c:v>5.7239999999999999E-3</c:v>
                </c:pt>
                <c:pt idx="34">
                  <c:v>5.7190000000000001E-3</c:v>
                </c:pt>
                <c:pt idx="35">
                  <c:v>5.6620000000000004E-3</c:v>
                </c:pt>
                <c:pt idx="36">
                  <c:v>5.5999999999999999E-3</c:v>
                </c:pt>
                <c:pt idx="37">
                  <c:v>5.1250000000000002E-3</c:v>
                </c:pt>
                <c:pt idx="38">
                  <c:v>4.6890000000000005E-3</c:v>
                </c:pt>
                <c:pt idx="39">
                  <c:v>4.5950000000000001E-3</c:v>
                </c:pt>
                <c:pt idx="40">
                  <c:v>4.3440000000000006E-3</c:v>
                </c:pt>
                <c:pt idx="41">
                  <c:v>3.9899999999999996E-3</c:v>
                </c:pt>
                <c:pt idx="42">
                  <c:v>2.8119999999999998E-3</c:v>
                </c:pt>
                <c:pt idx="43">
                  <c:v>2.7079999999999999E-3</c:v>
                </c:pt>
                <c:pt idx="44">
                  <c:v>2.0560000000000001E-3</c:v>
                </c:pt>
              </c:numCache>
            </c:numRef>
          </c:val>
          <c:extLst>
            <c:ext xmlns:c16="http://schemas.microsoft.com/office/drawing/2014/chart" uri="{C3380CC4-5D6E-409C-BE32-E72D297353CC}">
              <c16:uniqueId val="{00000012-F3E2-43F0-81FD-F9BD241304A6}"/>
            </c:ext>
          </c:extLst>
        </c:ser>
        <c:dLbls>
          <c:showLegendKey val="0"/>
          <c:showVal val="0"/>
          <c:showCatName val="0"/>
          <c:showSerName val="0"/>
          <c:showPercent val="0"/>
          <c:showBubbleSize val="0"/>
        </c:dLbls>
        <c:gapWidth val="150"/>
        <c:axId val="170020352"/>
        <c:axId val="168868032"/>
      </c:barChart>
      <c:catAx>
        <c:axId val="170020352"/>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68868032"/>
        <c:crosses val="autoZero"/>
        <c:auto val="1"/>
        <c:lblAlgn val="ctr"/>
        <c:lblOffset val="100"/>
        <c:tickLblSkip val="1"/>
        <c:noMultiLvlLbl val="0"/>
      </c:catAx>
      <c:valAx>
        <c:axId val="168868032"/>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70020352"/>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44" l="0.70000000000000062" r="0.70000000000000062" t="0.75000000000000544" header="0.30000000000000032" footer="0.30000000000000032"/>
    <c:pageSetup/>
  </c:printSettings>
</c:chartSpace>
</file>

<file path=xl/charts/chart4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1.6539414597069316E-2"/>
          <c:y val="1.8895707103645184E-2"/>
          <c:w val="0.96692117080586137"/>
          <c:h val="0.57234435549851026"/>
        </c:manualLayout>
      </c:layout>
      <c:barChart>
        <c:barDir val="col"/>
        <c:grouping val="clustered"/>
        <c:varyColors val="0"/>
        <c:ser>
          <c:idx val="0"/>
          <c:order val="0"/>
          <c:tx>
            <c:strRef>
              <c:f>'Bandhan Nifty Total Market '!$X$7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E25A-45F0-9987-5A73CFFAB818}"/>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25A-45F0-9987-5A73CFFAB818}"/>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E25A-45F0-9987-5A73CFFAB818}"/>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25A-45F0-9987-5A73CFFAB818}"/>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E25A-45F0-9987-5A73CFFAB818}"/>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E25A-45F0-9987-5A73CFFAB818}"/>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E25A-45F0-9987-5A73CFFAB818}"/>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E25A-45F0-9987-5A73CFFAB818}"/>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E25A-45F0-9987-5A73CFFAB818}"/>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E25A-45F0-9987-5A73CFFAB818}"/>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E25A-45F0-9987-5A73CFFAB818}"/>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E25A-45F0-9987-5A73CFFAB818}"/>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E25A-45F0-9987-5A73CFFAB818}"/>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E25A-45F0-9987-5A73CFFAB818}"/>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E25A-45F0-9987-5A73CFFAB818}"/>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E25A-45F0-9987-5A73CFFAB818}"/>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E25A-45F0-9987-5A73CFFAB818}"/>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E25A-45F0-9987-5A73CFFAB818}"/>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Nifty Total Market '!$W$8:$W$60</c:f>
              <c:strCache>
                <c:ptCount val="53"/>
                <c:pt idx="0">
                  <c:v>Banks</c:v>
                </c:pt>
                <c:pt idx="1">
                  <c:v>IT - Software</c:v>
                </c:pt>
                <c:pt idx="2">
                  <c:v>Finance</c:v>
                </c:pt>
                <c:pt idx="3">
                  <c:v>Petroleum Products</c:v>
                </c:pt>
                <c:pt idx="4">
                  <c:v>Pharmaceuticals &amp; Biotechnology</c:v>
                </c:pt>
                <c:pt idx="5">
                  <c:v>Automobiles</c:v>
                </c:pt>
                <c:pt idx="6">
                  <c:v>Power</c:v>
                </c:pt>
                <c:pt idx="7">
                  <c:v>Telecom - Services</c:v>
                </c:pt>
                <c:pt idx="8">
                  <c:v>Diversified FMCG</c:v>
                </c:pt>
                <c:pt idx="9">
                  <c:v>Consumer Durables</c:v>
                </c:pt>
                <c:pt idx="10">
                  <c:v>Construction</c:v>
                </c:pt>
                <c:pt idx="11">
                  <c:v>Retailing</c:v>
                </c:pt>
                <c:pt idx="12">
                  <c:v>Cement &amp; Cement Products</c:v>
                </c:pt>
                <c:pt idx="13">
                  <c:v>Auto Components</c:v>
                </c:pt>
                <c:pt idx="14">
                  <c:v>Industrial Products</c:v>
                </c:pt>
                <c:pt idx="15">
                  <c:v>Electrical Equipment</c:v>
                </c:pt>
                <c:pt idx="16">
                  <c:v>Capital Markets</c:v>
                </c:pt>
                <c:pt idx="17">
                  <c:v>Insurance</c:v>
                </c:pt>
                <c:pt idx="18">
                  <c:v>Chemicals &amp; Petrochemicals</c:v>
                </c:pt>
                <c:pt idx="19">
                  <c:v>Ferrous Metals</c:v>
                </c:pt>
                <c:pt idx="20">
                  <c:v>Healthcare Services</c:v>
                </c:pt>
                <c:pt idx="21">
                  <c:v>Aerospace &amp; Defense</c:v>
                </c:pt>
                <c:pt idx="22">
                  <c:v>Realty</c:v>
                </c:pt>
                <c:pt idx="23">
                  <c:v>Leisure Services</c:v>
                </c:pt>
                <c:pt idx="24">
                  <c:v>Food Products</c:v>
                </c:pt>
                <c:pt idx="25">
                  <c:v>Agricultural Food &amp; other Products</c:v>
                </c:pt>
                <c:pt idx="26">
                  <c:v>Beverages</c:v>
                </c:pt>
                <c:pt idx="27">
                  <c:v>Transport Services</c:v>
                </c:pt>
                <c:pt idx="28">
                  <c:v>Personal Products</c:v>
                </c:pt>
                <c:pt idx="29">
                  <c:v>Gas</c:v>
                </c:pt>
                <c:pt idx="30">
                  <c:v>Fertilizers &amp; Agrochemicals</c:v>
                </c:pt>
                <c:pt idx="31">
                  <c:v>Transport Infrastructure</c:v>
                </c:pt>
                <c:pt idx="32">
                  <c:v>Non - Ferrous Metals</c:v>
                </c:pt>
                <c:pt idx="33">
                  <c:v>Oil</c:v>
                </c:pt>
                <c:pt idx="34">
                  <c:v>Industrial Manufacturing</c:v>
                </c:pt>
                <c:pt idx="35">
                  <c:v>Consumable Fuels</c:v>
                </c:pt>
                <c:pt idx="36">
                  <c:v>Financial Technology (Fintech)</c:v>
                </c:pt>
                <c:pt idx="37">
                  <c:v>Textiles &amp; Apparels</c:v>
                </c:pt>
                <c:pt idx="38">
                  <c:v>Diversified Metals</c:v>
                </c:pt>
                <c:pt idx="39">
                  <c:v>Metals &amp; Minerals Trading</c:v>
                </c:pt>
                <c:pt idx="40">
                  <c:v>IT - Services</c:v>
                </c:pt>
                <c:pt idx="41">
                  <c:v>Agricultural, Commercial &amp; Construction Vehicles</c:v>
                </c:pt>
                <c:pt idx="42">
                  <c:v>Commercial Services &amp; Supplies</c:v>
                </c:pt>
                <c:pt idx="43">
                  <c:v>Minerals &amp; Mining</c:v>
                </c:pt>
                <c:pt idx="44">
                  <c:v>Entertainment</c:v>
                </c:pt>
                <c:pt idx="45">
                  <c:v>Diversified</c:v>
                </c:pt>
                <c:pt idx="46">
                  <c:v>Cigarettes &amp; Tobacco Products</c:v>
                </c:pt>
                <c:pt idx="47">
                  <c:v>Paper, Forest &amp; Jute Products</c:v>
                </c:pt>
                <c:pt idx="48">
                  <c:v>Telecom - Equipment &amp; Accessories</c:v>
                </c:pt>
                <c:pt idx="49">
                  <c:v>Other Utilities</c:v>
                </c:pt>
                <c:pt idx="50">
                  <c:v>Household Products</c:v>
                </c:pt>
                <c:pt idx="51">
                  <c:v>Healthcare Equipment &amp; Supplies</c:v>
                </c:pt>
                <c:pt idx="52">
                  <c:v>Miscellaneous</c:v>
                </c:pt>
              </c:strCache>
            </c:strRef>
          </c:cat>
          <c:val>
            <c:numRef>
              <c:f>'Bandhan Nifty Total Market '!$X$8:$X$60</c:f>
              <c:numCache>
                <c:formatCode>0.00%</c:formatCode>
                <c:ptCount val="53"/>
                <c:pt idx="0">
                  <c:v>0.20910599999999999</c:v>
                </c:pt>
                <c:pt idx="1">
                  <c:v>8.0636000000000013E-2</c:v>
                </c:pt>
                <c:pt idx="2">
                  <c:v>6.132499999999997E-2</c:v>
                </c:pt>
                <c:pt idx="3">
                  <c:v>5.9220999999999996E-2</c:v>
                </c:pt>
                <c:pt idx="4">
                  <c:v>4.9379000000000006E-2</c:v>
                </c:pt>
                <c:pt idx="5">
                  <c:v>4.5966999999999994E-2</c:v>
                </c:pt>
                <c:pt idx="6">
                  <c:v>3.3794000000000005E-2</c:v>
                </c:pt>
                <c:pt idx="7">
                  <c:v>3.2847999999999988E-2</c:v>
                </c:pt>
                <c:pt idx="8">
                  <c:v>3.2041E-2</c:v>
                </c:pt>
                <c:pt idx="9">
                  <c:v>3.0539999999999994E-2</c:v>
                </c:pt>
                <c:pt idx="10">
                  <c:v>2.8010999999999991E-2</c:v>
                </c:pt>
                <c:pt idx="11">
                  <c:v>2.6375000000000003E-2</c:v>
                </c:pt>
                <c:pt idx="12">
                  <c:v>2.128E-2</c:v>
                </c:pt>
                <c:pt idx="13">
                  <c:v>1.9636999999999998E-2</c:v>
                </c:pt>
                <c:pt idx="14">
                  <c:v>1.8731000000000005E-2</c:v>
                </c:pt>
                <c:pt idx="15">
                  <c:v>1.8087000000000002E-2</c:v>
                </c:pt>
                <c:pt idx="16">
                  <c:v>1.6682000000000006E-2</c:v>
                </c:pt>
                <c:pt idx="17">
                  <c:v>1.6647000000000002E-2</c:v>
                </c:pt>
                <c:pt idx="18">
                  <c:v>1.6061999999999996E-2</c:v>
                </c:pt>
                <c:pt idx="19">
                  <c:v>1.5667999999999998E-2</c:v>
                </c:pt>
                <c:pt idx="20">
                  <c:v>1.5096E-2</c:v>
                </c:pt>
                <c:pt idx="21">
                  <c:v>1.3176999999999998E-2</c:v>
                </c:pt>
                <c:pt idx="22">
                  <c:v>1.2711000000000002E-2</c:v>
                </c:pt>
                <c:pt idx="23">
                  <c:v>9.92E-3</c:v>
                </c:pt>
                <c:pt idx="24">
                  <c:v>9.781999999999999E-3</c:v>
                </c:pt>
                <c:pt idx="25">
                  <c:v>9.1789999999999997E-3</c:v>
                </c:pt>
                <c:pt idx="26">
                  <c:v>8.4340000000000005E-3</c:v>
                </c:pt>
                <c:pt idx="27">
                  <c:v>8.4169999999999991E-3</c:v>
                </c:pt>
                <c:pt idx="28">
                  <c:v>7.7039999999999999E-3</c:v>
                </c:pt>
                <c:pt idx="29">
                  <c:v>7.4719999999999995E-3</c:v>
                </c:pt>
                <c:pt idx="30">
                  <c:v>7.0410000000000013E-3</c:v>
                </c:pt>
                <c:pt idx="31">
                  <c:v>7.0339999999999995E-3</c:v>
                </c:pt>
                <c:pt idx="32">
                  <c:v>6.7659999999999994E-3</c:v>
                </c:pt>
                <c:pt idx="33">
                  <c:v>6.2230000000000002E-3</c:v>
                </c:pt>
                <c:pt idx="34">
                  <c:v>5.9459999999999999E-3</c:v>
                </c:pt>
                <c:pt idx="35">
                  <c:v>4.6410000000000002E-3</c:v>
                </c:pt>
                <c:pt idx="36">
                  <c:v>4.5560000000000002E-3</c:v>
                </c:pt>
                <c:pt idx="37">
                  <c:v>4.2579999999999996E-3</c:v>
                </c:pt>
                <c:pt idx="38">
                  <c:v>3.7729999999999999E-3</c:v>
                </c:pt>
                <c:pt idx="39">
                  <c:v>3.2689999999999998E-3</c:v>
                </c:pt>
                <c:pt idx="40">
                  <c:v>2.9819999999999998E-3</c:v>
                </c:pt>
                <c:pt idx="41">
                  <c:v>2.8580000000000003E-3</c:v>
                </c:pt>
                <c:pt idx="42">
                  <c:v>2.624E-3</c:v>
                </c:pt>
                <c:pt idx="43">
                  <c:v>2.5720000000000005E-3</c:v>
                </c:pt>
                <c:pt idx="44">
                  <c:v>1.9750000000000002E-3</c:v>
                </c:pt>
                <c:pt idx="45">
                  <c:v>1.0939999999999999E-3</c:v>
                </c:pt>
                <c:pt idx="46">
                  <c:v>6.7199999999999996E-4</c:v>
                </c:pt>
                <c:pt idx="47">
                  <c:v>6.6E-4</c:v>
                </c:pt>
                <c:pt idx="48">
                  <c:v>5.7499999999999999E-4</c:v>
                </c:pt>
                <c:pt idx="49">
                  <c:v>5.7200000000000003E-4</c:v>
                </c:pt>
                <c:pt idx="50">
                  <c:v>5.31E-4</c:v>
                </c:pt>
                <c:pt idx="51">
                  <c:v>5.22E-4</c:v>
                </c:pt>
                <c:pt idx="52">
                  <c:v>3.6999999999999998E-5</c:v>
                </c:pt>
              </c:numCache>
            </c:numRef>
          </c:val>
          <c:extLst>
            <c:ext xmlns:c16="http://schemas.microsoft.com/office/drawing/2014/chart" uri="{C3380CC4-5D6E-409C-BE32-E72D297353CC}">
              <c16:uniqueId val="{00000012-E25A-45F0-9987-5A73CFFAB818}"/>
            </c:ext>
          </c:extLst>
        </c:ser>
        <c:dLbls>
          <c:showLegendKey val="0"/>
          <c:showVal val="0"/>
          <c:showCatName val="0"/>
          <c:showSerName val="0"/>
          <c:showPercent val="0"/>
          <c:showBubbleSize val="0"/>
        </c:dLbls>
        <c:gapWidth val="150"/>
        <c:axId val="170020352"/>
        <c:axId val="168868032"/>
      </c:barChart>
      <c:catAx>
        <c:axId val="170020352"/>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68868032"/>
        <c:crosses val="autoZero"/>
        <c:auto val="1"/>
        <c:lblAlgn val="ctr"/>
        <c:lblOffset val="100"/>
        <c:tickLblSkip val="1"/>
        <c:noMultiLvlLbl val="0"/>
      </c:catAx>
      <c:valAx>
        <c:axId val="168868032"/>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70020352"/>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44" l="0.70000000000000062" r="0.70000000000000062" t="0.75000000000000544" header="0.30000000000000032" footer="0.30000000000000032"/>
    <c:pageSetup/>
  </c:printSettings>
</c:chartSpace>
</file>

<file path=xl/charts/chart4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1.6539414597069316E-2"/>
          <c:y val="1.8895707103645184E-2"/>
          <c:w val="0.96692117080586137"/>
          <c:h val="0.57234435549851026"/>
        </c:manualLayout>
      </c:layout>
      <c:barChart>
        <c:barDir val="col"/>
        <c:grouping val="clustered"/>
        <c:varyColors val="0"/>
        <c:ser>
          <c:idx val="0"/>
          <c:order val="0"/>
          <c:tx>
            <c:strRef>
              <c:f>'Bandhan Nifty Bank Index Fund'!$X$7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C63C-4E25-A21A-3873B296CF17}"/>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63C-4E25-A21A-3873B296CF17}"/>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C63C-4E25-A21A-3873B296CF17}"/>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63C-4E25-A21A-3873B296CF17}"/>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C63C-4E25-A21A-3873B296CF17}"/>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C63C-4E25-A21A-3873B296CF17}"/>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C63C-4E25-A21A-3873B296CF17}"/>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C63C-4E25-A21A-3873B296CF17}"/>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C63C-4E25-A21A-3873B296CF17}"/>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C63C-4E25-A21A-3873B296CF17}"/>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C63C-4E25-A21A-3873B296CF17}"/>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C63C-4E25-A21A-3873B296CF17}"/>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C63C-4E25-A21A-3873B296CF17}"/>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C63C-4E25-A21A-3873B296CF17}"/>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C63C-4E25-A21A-3873B296CF17}"/>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C63C-4E25-A21A-3873B296CF17}"/>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C63C-4E25-A21A-3873B296CF17}"/>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C63C-4E25-A21A-3873B296CF17}"/>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Nifty Bank Index Fund'!$W$8</c:f>
              <c:strCache>
                <c:ptCount val="1"/>
                <c:pt idx="0">
                  <c:v>Banks</c:v>
                </c:pt>
              </c:strCache>
            </c:strRef>
          </c:cat>
          <c:val>
            <c:numRef>
              <c:f>'Bandhan Nifty Bank Index Fund'!$X$8</c:f>
              <c:numCache>
                <c:formatCode>0.00%</c:formatCode>
                <c:ptCount val="1"/>
                <c:pt idx="0">
                  <c:v>1.0029919999999999</c:v>
                </c:pt>
              </c:numCache>
            </c:numRef>
          </c:val>
          <c:extLst>
            <c:ext xmlns:c16="http://schemas.microsoft.com/office/drawing/2014/chart" uri="{C3380CC4-5D6E-409C-BE32-E72D297353CC}">
              <c16:uniqueId val="{00000012-C63C-4E25-A21A-3873B296CF17}"/>
            </c:ext>
          </c:extLst>
        </c:ser>
        <c:dLbls>
          <c:showLegendKey val="0"/>
          <c:showVal val="0"/>
          <c:showCatName val="0"/>
          <c:showSerName val="0"/>
          <c:showPercent val="0"/>
          <c:showBubbleSize val="0"/>
        </c:dLbls>
        <c:gapWidth val="150"/>
        <c:axId val="170020352"/>
        <c:axId val="168868032"/>
      </c:barChart>
      <c:catAx>
        <c:axId val="170020352"/>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68868032"/>
        <c:crosses val="autoZero"/>
        <c:auto val="1"/>
        <c:lblAlgn val="ctr"/>
        <c:lblOffset val="100"/>
        <c:tickLblSkip val="1"/>
        <c:noMultiLvlLbl val="0"/>
      </c:catAx>
      <c:valAx>
        <c:axId val="168868032"/>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70020352"/>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44" l="0.70000000000000062" r="0.70000000000000062" t="0.75000000000000544" header="0.30000000000000032" footer="0.30000000000000032"/>
    <c:pageSetup/>
  </c:printSettings>
</c:chartSpace>
</file>

<file path=xl/charts/chart4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1.6539414597069316E-2"/>
          <c:y val="1.8895707103645184E-2"/>
          <c:w val="0.96692117080586137"/>
          <c:h val="0.57234435549851026"/>
        </c:manualLayout>
      </c:layout>
      <c:barChart>
        <c:barDir val="col"/>
        <c:grouping val="clustered"/>
        <c:varyColors val="0"/>
        <c:ser>
          <c:idx val="0"/>
          <c:order val="0"/>
          <c:tx>
            <c:strRef>
              <c:f>'Bandhan BSE Healthcare Index '!$X$7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A6A8-47BC-A69B-C0F4619C44B6}"/>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A6A8-47BC-A69B-C0F4619C44B6}"/>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A6A8-47BC-A69B-C0F4619C44B6}"/>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A6A8-47BC-A69B-C0F4619C44B6}"/>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A6A8-47BC-A69B-C0F4619C44B6}"/>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A6A8-47BC-A69B-C0F4619C44B6}"/>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A6A8-47BC-A69B-C0F4619C44B6}"/>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A6A8-47BC-A69B-C0F4619C44B6}"/>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A6A8-47BC-A69B-C0F4619C44B6}"/>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A6A8-47BC-A69B-C0F4619C44B6}"/>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A6A8-47BC-A69B-C0F4619C44B6}"/>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A6A8-47BC-A69B-C0F4619C44B6}"/>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A6A8-47BC-A69B-C0F4619C44B6}"/>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A6A8-47BC-A69B-C0F4619C44B6}"/>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A6A8-47BC-A69B-C0F4619C44B6}"/>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A6A8-47BC-A69B-C0F4619C44B6}"/>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A6A8-47BC-A69B-C0F4619C44B6}"/>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A6A8-47BC-A69B-C0F4619C44B6}"/>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BSE Healthcare Index '!$W$8:$W$10</c:f>
              <c:strCache>
                <c:ptCount val="3"/>
                <c:pt idx="0">
                  <c:v>Pharmaceuticals &amp; Biotechnology</c:v>
                </c:pt>
                <c:pt idx="1">
                  <c:v>Healthcare Services</c:v>
                </c:pt>
                <c:pt idx="2">
                  <c:v>Healthcare Equipment &amp; Supplies</c:v>
                </c:pt>
              </c:strCache>
            </c:strRef>
          </c:cat>
          <c:val>
            <c:numRef>
              <c:f>'Bandhan BSE Healthcare Index '!$X$8:$X$10</c:f>
              <c:numCache>
                <c:formatCode>0.00%</c:formatCode>
                <c:ptCount val="3"/>
                <c:pt idx="0">
                  <c:v>0.75543900000000042</c:v>
                </c:pt>
                <c:pt idx="1">
                  <c:v>0.23706199999999994</c:v>
                </c:pt>
                <c:pt idx="2">
                  <c:v>8.2820000000000012E-3</c:v>
                </c:pt>
              </c:numCache>
            </c:numRef>
          </c:val>
          <c:extLst>
            <c:ext xmlns:c16="http://schemas.microsoft.com/office/drawing/2014/chart" uri="{C3380CC4-5D6E-409C-BE32-E72D297353CC}">
              <c16:uniqueId val="{00000012-A6A8-47BC-A69B-C0F4619C44B6}"/>
            </c:ext>
          </c:extLst>
        </c:ser>
        <c:dLbls>
          <c:showLegendKey val="0"/>
          <c:showVal val="0"/>
          <c:showCatName val="0"/>
          <c:showSerName val="0"/>
          <c:showPercent val="0"/>
          <c:showBubbleSize val="0"/>
        </c:dLbls>
        <c:gapWidth val="150"/>
        <c:axId val="170020352"/>
        <c:axId val="168868032"/>
      </c:barChart>
      <c:catAx>
        <c:axId val="170020352"/>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68868032"/>
        <c:crosses val="autoZero"/>
        <c:auto val="1"/>
        <c:lblAlgn val="ctr"/>
        <c:lblOffset val="100"/>
        <c:tickLblSkip val="1"/>
        <c:noMultiLvlLbl val="0"/>
      </c:catAx>
      <c:valAx>
        <c:axId val="168868032"/>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70020352"/>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44" l="0.70000000000000062" r="0.70000000000000062" t="0.75000000000000544" header="0.30000000000000032" footer="0.30000000000000032"/>
    <c:pageSetup/>
  </c:printSettings>
</c:chartSpace>
</file>

<file path=xl/charts/chart4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1.6539414597069316E-2"/>
          <c:y val="1.8895707103645184E-2"/>
          <c:w val="0.96692117080586137"/>
          <c:h val="0.57234435549851026"/>
        </c:manualLayout>
      </c:layout>
      <c:barChart>
        <c:barDir val="col"/>
        <c:grouping val="clustered"/>
        <c:varyColors val="0"/>
        <c:ser>
          <c:idx val="0"/>
          <c:order val="0"/>
          <c:tx>
            <c:strRef>
              <c:f>'Bandhan Nifty Midcap 150 Index '!$X$7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5695-46E5-9AD9-0345AC1685A8}"/>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695-46E5-9AD9-0345AC1685A8}"/>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5695-46E5-9AD9-0345AC1685A8}"/>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5695-46E5-9AD9-0345AC1685A8}"/>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5695-46E5-9AD9-0345AC1685A8}"/>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5695-46E5-9AD9-0345AC1685A8}"/>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5695-46E5-9AD9-0345AC1685A8}"/>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5695-46E5-9AD9-0345AC1685A8}"/>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5695-46E5-9AD9-0345AC1685A8}"/>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5695-46E5-9AD9-0345AC1685A8}"/>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5695-46E5-9AD9-0345AC1685A8}"/>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5695-46E5-9AD9-0345AC1685A8}"/>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5695-46E5-9AD9-0345AC1685A8}"/>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5695-46E5-9AD9-0345AC1685A8}"/>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5695-46E5-9AD9-0345AC1685A8}"/>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5695-46E5-9AD9-0345AC1685A8}"/>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5695-46E5-9AD9-0345AC1685A8}"/>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5695-46E5-9AD9-0345AC1685A8}"/>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Nifty Midcap 150 Index '!$W$8:$W$46</c:f>
              <c:strCache>
                <c:ptCount val="39"/>
                <c:pt idx="0">
                  <c:v>Pharmaceuticals &amp; Biotechnology</c:v>
                </c:pt>
                <c:pt idx="1">
                  <c:v>Banks</c:v>
                </c:pt>
                <c:pt idx="2">
                  <c:v>Auto Components</c:v>
                </c:pt>
                <c:pt idx="3">
                  <c:v>IT - Software</c:v>
                </c:pt>
                <c:pt idx="4">
                  <c:v>Finance</c:v>
                </c:pt>
                <c:pt idx="5">
                  <c:v>Electrical Equipment</c:v>
                </c:pt>
                <c:pt idx="6">
                  <c:v>Capital Markets</c:v>
                </c:pt>
                <c:pt idx="7">
                  <c:v>Industrial Products</c:v>
                </c:pt>
                <c:pt idx="8">
                  <c:v>Consumer Durables</c:v>
                </c:pt>
                <c:pt idx="9">
                  <c:v>Healthcare Services</c:v>
                </c:pt>
                <c:pt idx="10">
                  <c:v>Chemicals &amp; Petrochemicals</c:v>
                </c:pt>
                <c:pt idx="11">
                  <c:v>Realty</c:v>
                </c:pt>
                <c:pt idx="12">
                  <c:v>Telecom - Services</c:v>
                </c:pt>
                <c:pt idx="13">
                  <c:v>Fertilizers &amp; Agrochemicals</c:v>
                </c:pt>
                <c:pt idx="14">
                  <c:v>Financial Technology (Fintech)</c:v>
                </c:pt>
                <c:pt idx="15">
                  <c:v>Power</c:v>
                </c:pt>
                <c:pt idx="16">
                  <c:v>Agricultural Food &amp; other Products</c:v>
                </c:pt>
                <c:pt idx="17">
                  <c:v>Gas</c:v>
                </c:pt>
                <c:pt idx="18">
                  <c:v>Insurance</c:v>
                </c:pt>
                <c:pt idx="19">
                  <c:v>Leisure Services</c:v>
                </c:pt>
                <c:pt idx="20">
                  <c:v>Cement &amp; Cement Products</c:v>
                </c:pt>
                <c:pt idx="21">
                  <c:v>Retailing</c:v>
                </c:pt>
                <c:pt idx="22">
                  <c:v>Personal Products</c:v>
                </c:pt>
                <c:pt idx="23">
                  <c:v>Agricultural, Commercial &amp; Construction Vehicles</c:v>
                </c:pt>
                <c:pt idx="24">
                  <c:v>Industrial Manufacturing</c:v>
                </c:pt>
                <c:pt idx="25">
                  <c:v>Transport Infrastructure</c:v>
                </c:pt>
                <c:pt idx="26">
                  <c:v>Textiles &amp; Apparels</c:v>
                </c:pt>
                <c:pt idx="27">
                  <c:v>Petroleum Products</c:v>
                </c:pt>
                <c:pt idx="28">
                  <c:v>Minerals &amp; Mining</c:v>
                </c:pt>
                <c:pt idx="29">
                  <c:v>Ferrous Metals</c:v>
                </c:pt>
                <c:pt idx="30">
                  <c:v>Non - Ferrous Metals</c:v>
                </c:pt>
                <c:pt idx="31">
                  <c:v>Construction</c:v>
                </c:pt>
                <c:pt idx="32">
                  <c:v>Oil</c:v>
                </c:pt>
                <c:pt idx="33">
                  <c:v>IT - Services</c:v>
                </c:pt>
                <c:pt idx="34">
                  <c:v>Transport Services</c:v>
                </c:pt>
                <c:pt idx="35">
                  <c:v>Beverages</c:v>
                </c:pt>
                <c:pt idx="36">
                  <c:v>Diversified</c:v>
                </c:pt>
                <c:pt idx="37">
                  <c:v>Aerospace &amp; Defense</c:v>
                </c:pt>
                <c:pt idx="38">
                  <c:v>Entertainment</c:v>
                </c:pt>
              </c:strCache>
            </c:strRef>
          </c:cat>
          <c:val>
            <c:numRef>
              <c:f>'Bandhan Nifty Midcap 150 Index '!$X$8:$X$46</c:f>
              <c:numCache>
                <c:formatCode>0.00%</c:formatCode>
                <c:ptCount val="39"/>
                <c:pt idx="0">
                  <c:v>7.4686000000000002E-2</c:v>
                </c:pt>
                <c:pt idx="1">
                  <c:v>7.3058999999999999E-2</c:v>
                </c:pt>
                <c:pt idx="2">
                  <c:v>6.316999999999999E-2</c:v>
                </c:pt>
                <c:pt idx="3">
                  <c:v>5.9205000000000001E-2</c:v>
                </c:pt>
                <c:pt idx="4">
                  <c:v>5.7062000000000002E-2</c:v>
                </c:pt>
                <c:pt idx="5">
                  <c:v>5.1611999999999998E-2</c:v>
                </c:pt>
                <c:pt idx="6">
                  <c:v>5.0943000000000009E-2</c:v>
                </c:pt>
                <c:pt idx="7">
                  <c:v>5.0874000000000003E-2</c:v>
                </c:pt>
                <c:pt idx="8">
                  <c:v>4.5408000000000004E-2</c:v>
                </c:pt>
                <c:pt idx="9">
                  <c:v>4.2404999999999998E-2</c:v>
                </c:pt>
                <c:pt idx="10">
                  <c:v>3.6017E-2</c:v>
                </c:pt>
                <c:pt idx="11">
                  <c:v>3.2315999999999998E-2</c:v>
                </c:pt>
                <c:pt idx="12">
                  <c:v>3.1968999999999997E-2</c:v>
                </c:pt>
                <c:pt idx="13">
                  <c:v>2.7268000000000001E-2</c:v>
                </c:pt>
                <c:pt idx="14">
                  <c:v>2.5335E-2</c:v>
                </c:pt>
                <c:pt idx="15">
                  <c:v>2.3768999999999998E-2</c:v>
                </c:pt>
                <c:pt idx="16">
                  <c:v>2.0525999999999999E-2</c:v>
                </c:pt>
                <c:pt idx="17">
                  <c:v>1.8720000000000001E-2</c:v>
                </c:pt>
                <c:pt idx="18">
                  <c:v>1.8119000000000003E-2</c:v>
                </c:pt>
                <c:pt idx="19">
                  <c:v>1.5189999999999999E-2</c:v>
                </c:pt>
                <c:pt idx="20">
                  <c:v>1.5100000000000001E-2</c:v>
                </c:pt>
                <c:pt idx="21">
                  <c:v>1.4524E-2</c:v>
                </c:pt>
                <c:pt idx="22">
                  <c:v>1.4126E-2</c:v>
                </c:pt>
                <c:pt idx="23">
                  <c:v>1.3096999999999999E-2</c:v>
                </c:pt>
                <c:pt idx="24">
                  <c:v>1.2192999999999999E-2</c:v>
                </c:pt>
                <c:pt idx="25">
                  <c:v>1.1948E-2</c:v>
                </c:pt>
                <c:pt idx="26">
                  <c:v>1.1891000000000001E-2</c:v>
                </c:pt>
                <c:pt idx="27">
                  <c:v>1.1805E-2</c:v>
                </c:pt>
                <c:pt idx="28">
                  <c:v>1.1269000000000001E-2</c:v>
                </c:pt>
                <c:pt idx="29">
                  <c:v>1.0758E-2</c:v>
                </c:pt>
                <c:pt idx="30">
                  <c:v>9.1749999999999991E-3</c:v>
                </c:pt>
                <c:pt idx="31">
                  <c:v>8.7989999999999995E-3</c:v>
                </c:pt>
                <c:pt idx="32">
                  <c:v>6.8199999999999997E-3</c:v>
                </c:pt>
                <c:pt idx="33">
                  <c:v>6.6449999999999999E-3</c:v>
                </c:pt>
                <c:pt idx="34">
                  <c:v>5.6519999999999999E-3</c:v>
                </c:pt>
                <c:pt idx="35">
                  <c:v>4.7450000000000001E-3</c:v>
                </c:pt>
                <c:pt idx="36">
                  <c:v>4.6389999999999999E-3</c:v>
                </c:pt>
                <c:pt idx="37">
                  <c:v>4.2890000000000003E-3</c:v>
                </c:pt>
                <c:pt idx="38">
                  <c:v>1.867E-3</c:v>
                </c:pt>
              </c:numCache>
            </c:numRef>
          </c:val>
          <c:extLst>
            <c:ext xmlns:c16="http://schemas.microsoft.com/office/drawing/2014/chart" uri="{C3380CC4-5D6E-409C-BE32-E72D297353CC}">
              <c16:uniqueId val="{00000012-5695-46E5-9AD9-0345AC1685A8}"/>
            </c:ext>
          </c:extLst>
        </c:ser>
        <c:dLbls>
          <c:showLegendKey val="0"/>
          <c:showVal val="0"/>
          <c:showCatName val="0"/>
          <c:showSerName val="0"/>
          <c:showPercent val="0"/>
          <c:showBubbleSize val="0"/>
        </c:dLbls>
        <c:gapWidth val="150"/>
        <c:axId val="170020352"/>
        <c:axId val="168868032"/>
      </c:barChart>
      <c:catAx>
        <c:axId val="170020352"/>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68868032"/>
        <c:crosses val="autoZero"/>
        <c:auto val="1"/>
        <c:lblAlgn val="ctr"/>
        <c:lblOffset val="100"/>
        <c:tickLblSkip val="1"/>
        <c:noMultiLvlLbl val="0"/>
      </c:catAx>
      <c:valAx>
        <c:axId val="168868032"/>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70020352"/>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44" l="0.70000000000000062" r="0.70000000000000062" t="0.75000000000000544" header="0.30000000000000032" footer="0.30000000000000032"/>
    <c:pageSetup/>
  </c:printSettings>
</c:chartSpace>
</file>

<file path=xl/charts/chart4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1.6539414597069316E-2"/>
          <c:y val="1.8895707103645184E-2"/>
          <c:w val="0.96692117080586137"/>
          <c:h val="0.57234435549851026"/>
        </c:manualLayout>
      </c:layout>
      <c:barChart>
        <c:barDir val="col"/>
        <c:grouping val="clustered"/>
        <c:varyColors val="0"/>
        <c:ser>
          <c:idx val="0"/>
          <c:order val="0"/>
          <c:tx>
            <c:strRef>
              <c:f>'Bandhan Nifty 500 Value 50 '!$X$7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AC32-4835-BF5C-389C17B41F5C}"/>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AC32-4835-BF5C-389C17B41F5C}"/>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AC32-4835-BF5C-389C17B41F5C}"/>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AC32-4835-BF5C-389C17B41F5C}"/>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AC32-4835-BF5C-389C17B41F5C}"/>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AC32-4835-BF5C-389C17B41F5C}"/>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AC32-4835-BF5C-389C17B41F5C}"/>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AC32-4835-BF5C-389C17B41F5C}"/>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AC32-4835-BF5C-389C17B41F5C}"/>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AC32-4835-BF5C-389C17B41F5C}"/>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AC32-4835-BF5C-389C17B41F5C}"/>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AC32-4835-BF5C-389C17B41F5C}"/>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AC32-4835-BF5C-389C17B41F5C}"/>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AC32-4835-BF5C-389C17B41F5C}"/>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AC32-4835-BF5C-389C17B41F5C}"/>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AC32-4835-BF5C-389C17B41F5C}"/>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AC32-4835-BF5C-389C17B41F5C}"/>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AC32-4835-BF5C-389C17B41F5C}"/>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Nifty 500 Value 50 '!$W$8:$W$26</c:f>
              <c:strCache>
                <c:ptCount val="19"/>
                <c:pt idx="0">
                  <c:v>Banks</c:v>
                </c:pt>
                <c:pt idx="1">
                  <c:v>Petroleum Products</c:v>
                </c:pt>
                <c:pt idx="2">
                  <c:v>Power</c:v>
                </c:pt>
                <c:pt idx="3">
                  <c:v>Ferrous Metals</c:v>
                </c:pt>
                <c:pt idx="4">
                  <c:v>Finance</c:v>
                </c:pt>
                <c:pt idx="5">
                  <c:v>Non - Ferrous Metals</c:v>
                </c:pt>
                <c:pt idx="6">
                  <c:v>Oil</c:v>
                </c:pt>
                <c:pt idx="7">
                  <c:v>Cement &amp; Cement Products</c:v>
                </c:pt>
                <c:pt idx="8">
                  <c:v>Consumable Fuels</c:v>
                </c:pt>
                <c:pt idx="9">
                  <c:v>Diversified Metals</c:v>
                </c:pt>
                <c:pt idx="10">
                  <c:v>Automobiles</c:v>
                </c:pt>
                <c:pt idx="11">
                  <c:v>Fertilizers &amp; Agrochemicals</c:v>
                </c:pt>
                <c:pt idx="12">
                  <c:v>Gas</c:v>
                </c:pt>
                <c:pt idx="13">
                  <c:v>Minerals &amp; Mining</c:v>
                </c:pt>
                <c:pt idx="14">
                  <c:v>Chemicals &amp; Petrochemicals</c:v>
                </c:pt>
                <c:pt idx="15">
                  <c:v>Transport Services</c:v>
                </c:pt>
                <c:pt idx="16">
                  <c:v>Food Products</c:v>
                </c:pt>
                <c:pt idx="17">
                  <c:v>Entertainment</c:v>
                </c:pt>
                <c:pt idx="18">
                  <c:v>Construction</c:v>
                </c:pt>
              </c:strCache>
            </c:strRef>
          </c:cat>
          <c:val>
            <c:numRef>
              <c:f>'Bandhan Nifty 500 Value 50 '!$X$8:$X$26</c:f>
              <c:numCache>
                <c:formatCode>0.00%</c:formatCode>
                <c:ptCount val="19"/>
                <c:pt idx="0">
                  <c:v>0.18143200000000001</c:v>
                </c:pt>
                <c:pt idx="1">
                  <c:v>0.124642</c:v>
                </c:pt>
                <c:pt idx="2">
                  <c:v>0.11414200000000001</c:v>
                </c:pt>
                <c:pt idx="3">
                  <c:v>7.2856000000000004E-2</c:v>
                </c:pt>
                <c:pt idx="4">
                  <c:v>6.5034000000000008E-2</c:v>
                </c:pt>
                <c:pt idx="5">
                  <c:v>5.9400999999999995E-2</c:v>
                </c:pt>
                <c:pt idx="6">
                  <c:v>5.7095E-2</c:v>
                </c:pt>
                <c:pt idx="7">
                  <c:v>5.6281999999999999E-2</c:v>
                </c:pt>
                <c:pt idx="8">
                  <c:v>5.0876999999999999E-2</c:v>
                </c:pt>
                <c:pt idx="9">
                  <c:v>4.6475000000000002E-2</c:v>
                </c:pt>
                <c:pt idx="10">
                  <c:v>4.4398E-2</c:v>
                </c:pt>
                <c:pt idx="11">
                  <c:v>3.6256999999999998E-2</c:v>
                </c:pt>
                <c:pt idx="12">
                  <c:v>2.2241E-2</c:v>
                </c:pt>
                <c:pt idx="13">
                  <c:v>2.1898000000000001E-2</c:v>
                </c:pt>
                <c:pt idx="14">
                  <c:v>1.4421E-2</c:v>
                </c:pt>
                <c:pt idx="15">
                  <c:v>1.1112E-2</c:v>
                </c:pt>
                <c:pt idx="16">
                  <c:v>1.0021E-2</c:v>
                </c:pt>
                <c:pt idx="17">
                  <c:v>6.4929999999999996E-3</c:v>
                </c:pt>
                <c:pt idx="18">
                  <c:v>5.7670000000000004E-3</c:v>
                </c:pt>
              </c:numCache>
            </c:numRef>
          </c:val>
          <c:extLst>
            <c:ext xmlns:c16="http://schemas.microsoft.com/office/drawing/2014/chart" uri="{C3380CC4-5D6E-409C-BE32-E72D297353CC}">
              <c16:uniqueId val="{00000012-AC32-4835-BF5C-389C17B41F5C}"/>
            </c:ext>
          </c:extLst>
        </c:ser>
        <c:dLbls>
          <c:showLegendKey val="0"/>
          <c:showVal val="0"/>
          <c:showCatName val="0"/>
          <c:showSerName val="0"/>
          <c:showPercent val="0"/>
          <c:showBubbleSize val="0"/>
        </c:dLbls>
        <c:gapWidth val="150"/>
        <c:axId val="170020352"/>
        <c:axId val="168868032"/>
      </c:barChart>
      <c:catAx>
        <c:axId val="170020352"/>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68868032"/>
        <c:crosses val="autoZero"/>
        <c:auto val="1"/>
        <c:lblAlgn val="ctr"/>
        <c:lblOffset val="100"/>
        <c:tickLblSkip val="1"/>
        <c:noMultiLvlLbl val="0"/>
      </c:catAx>
      <c:valAx>
        <c:axId val="168868032"/>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70020352"/>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44" l="0.70000000000000062" r="0.70000000000000062" t="0.75000000000000544" header="0.30000000000000032" footer="0.30000000000000032"/>
    <c:pageSetup/>
  </c:printSettings>
</c:chartSpace>
</file>

<file path=xl/charts/chart4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1.6539414597069316E-2"/>
          <c:y val="1.8895707103645184E-2"/>
          <c:w val="0.96692117080586137"/>
          <c:h val="0.57234435549851026"/>
        </c:manualLayout>
      </c:layout>
      <c:barChart>
        <c:barDir val="col"/>
        <c:grouping val="clustered"/>
        <c:varyColors val="0"/>
        <c:ser>
          <c:idx val="0"/>
          <c:order val="0"/>
          <c:tx>
            <c:strRef>
              <c:f>'Bandhan Nifty 500 Momentum 50 '!$X$7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C435-44D9-A281-7C2BD7F98154}"/>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435-44D9-A281-7C2BD7F98154}"/>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C435-44D9-A281-7C2BD7F98154}"/>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435-44D9-A281-7C2BD7F98154}"/>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C435-44D9-A281-7C2BD7F98154}"/>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C435-44D9-A281-7C2BD7F98154}"/>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C435-44D9-A281-7C2BD7F98154}"/>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C435-44D9-A281-7C2BD7F98154}"/>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C435-44D9-A281-7C2BD7F98154}"/>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C435-44D9-A281-7C2BD7F98154}"/>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C435-44D9-A281-7C2BD7F98154}"/>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C435-44D9-A281-7C2BD7F98154}"/>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C435-44D9-A281-7C2BD7F98154}"/>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C435-44D9-A281-7C2BD7F98154}"/>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C435-44D9-A281-7C2BD7F98154}"/>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C435-44D9-A281-7C2BD7F98154}"/>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C435-44D9-A281-7C2BD7F98154}"/>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C435-44D9-A281-7C2BD7F98154}"/>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Nifty 500 Momentum 50 '!$W$8:$W$32</c:f>
              <c:strCache>
                <c:ptCount val="25"/>
                <c:pt idx="0">
                  <c:v>IT - Software</c:v>
                </c:pt>
                <c:pt idx="1">
                  <c:v>Pharmaceuticals &amp; Biotechnology</c:v>
                </c:pt>
                <c:pt idx="2">
                  <c:v>Retailing</c:v>
                </c:pt>
                <c:pt idx="3">
                  <c:v>Capital Markets</c:v>
                </c:pt>
                <c:pt idx="4">
                  <c:v>Consumer Durables</c:v>
                </c:pt>
                <c:pt idx="5">
                  <c:v>Automobiles</c:v>
                </c:pt>
                <c:pt idx="6">
                  <c:v>Leisure Services</c:v>
                </c:pt>
                <c:pt idx="7">
                  <c:v>Beverages</c:v>
                </c:pt>
                <c:pt idx="8">
                  <c:v>Financial Technology (Fintech)</c:v>
                </c:pt>
                <c:pt idx="9">
                  <c:v>Electrical Equipment</c:v>
                </c:pt>
                <c:pt idx="10">
                  <c:v>Healthcare Services</c:v>
                </c:pt>
                <c:pt idx="11">
                  <c:v>Industrial Manufacturing</c:v>
                </c:pt>
                <c:pt idx="12">
                  <c:v>Chemicals &amp; Petrochemicals</c:v>
                </c:pt>
                <c:pt idx="13">
                  <c:v>Fertilizers &amp; Agrochemicals</c:v>
                </c:pt>
                <c:pt idx="14">
                  <c:v>Oil</c:v>
                </c:pt>
                <c:pt idx="15">
                  <c:v>Finance</c:v>
                </c:pt>
                <c:pt idx="16">
                  <c:v>Minerals &amp; Mining</c:v>
                </c:pt>
                <c:pt idx="17">
                  <c:v>Commercial Services &amp; Supplies</c:v>
                </c:pt>
                <c:pt idx="18">
                  <c:v>Non - Ferrous Metals</c:v>
                </c:pt>
                <c:pt idx="19">
                  <c:v>Cigarettes &amp; Tobacco Products</c:v>
                </c:pt>
                <c:pt idx="20">
                  <c:v>Healthcare Equipment &amp; Supplies</c:v>
                </c:pt>
                <c:pt idx="21">
                  <c:v>Construction</c:v>
                </c:pt>
                <c:pt idx="22">
                  <c:v>Realty</c:v>
                </c:pt>
                <c:pt idx="23">
                  <c:v>Cement &amp; Cement Products</c:v>
                </c:pt>
                <c:pt idx="24">
                  <c:v>IT - Services</c:v>
                </c:pt>
              </c:strCache>
            </c:strRef>
          </c:cat>
          <c:val>
            <c:numRef>
              <c:f>'Bandhan Nifty 500 Momentum 50 '!$X$8:$X$32</c:f>
              <c:numCache>
                <c:formatCode>0.00%</c:formatCode>
                <c:ptCount val="25"/>
                <c:pt idx="0">
                  <c:v>0.151286</c:v>
                </c:pt>
                <c:pt idx="1">
                  <c:v>0.14381500000000003</c:v>
                </c:pt>
                <c:pt idx="2">
                  <c:v>0.12872500000000001</c:v>
                </c:pt>
                <c:pt idx="3">
                  <c:v>0.10436700000000002</c:v>
                </c:pt>
                <c:pt idx="4">
                  <c:v>9.5863999999999991E-2</c:v>
                </c:pt>
                <c:pt idx="5">
                  <c:v>5.5676999999999997E-2</c:v>
                </c:pt>
                <c:pt idx="6">
                  <c:v>4.9527000000000002E-2</c:v>
                </c:pt>
                <c:pt idx="7">
                  <c:v>4.0932999999999997E-2</c:v>
                </c:pt>
                <c:pt idx="8">
                  <c:v>3.7269999999999998E-2</c:v>
                </c:pt>
                <c:pt idx="9">
                  <c:v>3.3674000000000003E-2</c:v>
                </c:pt>
                <c:pt idx="10">
                  <c:v>2.3355000000000001E-2</c:v>
                </c:pt>
                <c:pt idx="11">
                  <c:v>2.1224E-2</c:v>
                </c:pt>
                <c:pt idx="12">
                  <c:v>1.9224000000000002E-2</c:v>
                </c:pt>
                <c:pt idx="13">
                  <c:v>1.5528999999999999E-2</c:v>
                </c:pt>
                <c:pt idx="14">
                  <c:v>1.1771999999999999E-2</c:v>
                </c:pt>
                <c:pt idx="15">
                  <c:v>1.1254999999999999E-2</c:v>
                </c:pt>
                <c:pt idx="16">
                  <c:v>1.0076999999999999E-2</c:v>
                </c:pt>
                <c:pt idx="17">
                  <c:v>9.0060000000000001E-3</c:v>
                </c:pt>
                <c:pt idx="18">
                  <c:v>8.4840000000000002E-3</c:v>
                </c:pt>
                <c:pt idx="19">
                  <c:v>7.208E-3</c:v>
                </c:pt>
                <c:pt idx="20">
                  <c:v>6.1240000000000001E-3</c:v>
                </c:pt>
                <c:pt idx="21">
                  <c:v>5.4010000000000004E-3</c:v>
                </c:pt>
                <c:pt idx="22">
                  <c:v>5.1279999999999997E-3</c:v>
                </c:pt>
                <c:pt idx="23">
                  <c:v>2.4020000000000001E-3</c:v>
                </c:pt>
                <c:pt idx="24">
                  <c:v>1.6559999999999999E-3</c:v>
                </c:pt>
              </c:numCache>
            </c:numRef>
          </c:val>
          <c:extLst>
            <c:ext xmlns:c16="http://schemas.microsoft.com/office/drawing/2014/chart" uri="{C3380CC4-5D6E-409C-BE32-E72D297353CC}">
              <c16:uniqueId val="{00000012-C435-44D9-A281-7C2BD7F98154}"/>
            </c:ext>
          </c:extLst>
        </c:ser>
        <c:dLbls>
          <c:showLegendKey val="0"/>
          <c:showVal val="0"/>
          <c:showCatName val="0"/>
          <c:showSerName val="0"/>
          <c:showPercent val="0"/>
          <c:showBubbleSize val="0"/>
        </c:dLbls>
        <c:gapWidth val="150"/>
        <c:axId val="170020352"/>
        <c:axId val="168868032"/>
      </c:barChart>
      <c:catAx>
        <c:axId val="170020352"/>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68868032"/>
        <c:crosses val="autoZero"/>
        <c:auto val="1"/>
        <c:lblAlgn val="ctr"/>
        <c:lblOffset val="100"/>
        <c:tickLblSkip val="1"/>
        <c:noMultiLvlLbl val="0"/>
      </c:catAx>
      <c:valAx>
        <c:axId val="168868032"/>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70020352"/>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44" l="0.70000000000000062" r="0.70000000000000062" t="0.75000000000000544" header="0.30000000000000032" footer="0.30000000000000032"/>
    <c:pageSetup/>
  </c:printSettings>
</c:chartSpace>
</file>

<file path=xl/charts/chart4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1.6539414597069316E-2"/>
          <c:y val="1.8895707103645184E-2"/>
          <c:w val="0.96692117080586137"/>
          <c:h val="0.57234435549851026"/>
        </c:manualLayout>
      </c:layout>
      <c:barChart>
        <c:barDir val="col"/>
        <c:grouping val="clustered"/>
        <c:varyColors val="0"/>
        <c:ser>
          <c:idx val="0"/>
          <c:order val="0"/>
          <c:tx>
            <c:strRef>
              <c:f>'Bandhan Nifty 200 Quality 30 '!$X$7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A058-4E85-88A8-676766BB0752}"/>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A058-4E85-88A8-676766BB0752}"/>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A058-4E85-88A8-676766BB0752}"/>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A058-4E85-88A8-676766BB0752}"/>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A058-4E85-88A8-676766BB0752}"/>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A058-4E85-88A8-676766BB0752}"/>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A058-4E85-88A8-676766BB0752}"/>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A058-4E85-88A8-676766BB0752}"/>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A058-4E85-88A8-676766BB0752}"/>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A058-4E85-88A8-676766BB0752}"/>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A058-4E85-88A8-676766BB0752}"/>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A058-4E85-88A8-676766BB0752}"/>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A058-4E85-88A8-676766BB0752}"/>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A058-4E85-88A8-676766BB0752}"/>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A058-4E85-88A8-676766BB0752}"/>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A058-4E85-88A8-676766BB0752}"/>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A058-4E85-88A8-676766BB0752}"/>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A058-4E85-88A8-676766BB0752}"/>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Nifty 200 Quality 30 '!$W$8:$W$23</c:f>
              <c:strCache>
                <c:ptCount val="16"/>
                <c:pt idx="0">
                  <c:v>IT - Software</c:v>
                </c:pt>
                <c:pt idx="1">
                  <c:v>Food Products</c:v>
                </c:pt>
                <c:pt idx="2">
                  <c:v>Diversified FMCG</c:v>
                </c:pt>
                <c:pt idx="3">
                  <c:v>Aerospace &amp; Defense</c:v>
                </c:pt>
                <c:pt idx="4">
                  <c:v>Consumer Durables</c:v>
                </c:pt>
                <c:pt idx="5">
                  <c:v>Automobiles</c:v>
                </c:pt>
                <c:pt idx="6">
                  <c:v>Personal Products</c:v>
                </c:pt>
                <c:pt idx="7">
                  <c:v>Consumable Fuels</c:v>
                </c:pt>
                <c:pt idx="8">
                  <c:v>Industrial Products</c:v>
                </c:pt>
                <c:pt idx="9">
                  <c:v>Petroleum Products</c:v>
                </c:pt>
                <c:pt idx="10">
                  <c:v>Agricultural Food &amp; other Products</c:v>
                </c:pt>
                <c:pt idx="11">
                  <c:v>Capital Markets</c:v>
                </c:pt>
                <c:pt idx="12">
                  <c:v>Chemicals &amp; Petrochemicals</c:v>
                </c:pt>
                <c:pt idx="13">
                  <c:v>Textiles &amp; Apparels</c:v>
                </c:pt>
                <c:pt idx="14">
                  <c:v>Leisure Services</c:v>
                </c:pt>
                <c:pt idx="15">
                  <c:v>Gas</c:v>
                </c:pt>
              </c:strCache>
            </c:strRef>
          </c:cat>
          <c:val>
            <c:numRef>
              <c:f>'Bandhan Nifty 200 Quality 30 '!$X$8:$X$23</c:f>
              <c:numCache>
                <c:formatCode>0.00%</c:formatCode>
                <c:ptCount val="16"/>
                <c:pt idx="0">
                  <c:v>0.23358399999999999</c:v>
                </c:pt>
                <c:pt idx="1">
                  <c:v>0.10897899999999999</c:v>
                </c:pt>
                <c:pt idx="2">
                  <c:v>0.10034</c:v>
                </c:pt>
                <c:pt idx="3">
                  <c:v>8.2973999999999992E-2</c:v>
                </c:pt>
                <c:pt idx="4">
                  <c:v>6.9735000000000005E-2</c:v>
                </c:pt>
                <c:pt idx="5">
                  <c:v>6.4016999999999991E-2</c:v>
                </c:pt>
                <c:pt idx="6">
                  <c:v>6.3097E-2</c:v>
                </c:pt>
                <c:pt idx="7">
                  <c:v>5.1508999999999999E-2</c:v>
                </c:pt>
                <c:pt idx="8">
                  <c:v>4.2348999999999998E-2</c:v>
                </c:pt>
                <c:pt idx="9">
                  <c:v>3.2941999999999999E-2</c:v>
                </c:pt>
                <c:pt idx="10">
                  <c:v>3.1611E-2</c:v>
                </c:pt>
                <c:pt idx="11">
                  <c:v>2.9305000000000001E-2</c:v>
                </c:pt>
                <c:pt idx="12">
                  <c:v>2.7543999999999999E-2</c:v>
                </c:pt>
                <c:pt idx="13">
                  <c:v>2.6155000000000001E-2</c:v>
                </c:pt>
                <c:pt idx="14">
                  <c:v>2.4445999999999999E-2</c:v>
                </c:pt>
                <c:pt idx="15">
                  <c:v>1.3462999999999999E-2</c:v>
                </c:pt>
              </c:numCache>
            </c:numRef>
          </c:val>
          <c:extLst>
            <c:ext xmlns:c16="http://schemas.microsoft.com/office/drawing/2014/chart" uri="{C3380CC4-5D6E-409C-BE32-E72D297353CC}">
              <c16:uniqueId val="{00000012-A058-4E85-88A8-676766BB0752}"/>
            </c:ext>
          </c:extLst>
        </c:ser>
        <c:dLbls>
          <c:showLegendKey val="0"/>
          <c:showVal val="0"/>
          <c:showCatName val="0"/>
          <c:showSerName val="0"/>
          <c:showPercent val="0"/>
          <c:showBubbleSize val="0"/>
        </c:dLbls>
        <c:gapWidth val="150"/>
        <c:axId val="170020352"/>
        <c:axId val="168868032"/>
      </c:barChart>
      <c:catAx>
        <c:axId val="170020352"/>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68868032"/>
        <c:crosses val="autoZero"/>
        <c:auto val="1"/>
        <c:lblAlgn val="ctr"/>
        <c:lblOffset val="100"/>
        <c:tickLblSkip val="1"/>
        <c:noMultiLvlLbl val="0"/>
      </c:catAx>
      <c:valAx>
        <c:axId val="168868032"/>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70020352"/>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44" l="0.70000000000000062" r="0.70000000000000062" t="0.75000000000000544" header="0.30000000000000032" footer="0.30000000000000032"/>
    <c:pageSetup/>
  </c:printSettings>
</c:chartSpace>
</file>

<file path=xl/charts/chart5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1.6539414597069316E-2"/>
          <c:y val="1.8895707103645184E-2"/>
          <c:w val="0.96692117080586137"/>
          <c:h val="0.57234435549851026"/>
        </c:manualLayout>
      </c:layout>
      <c:barChart>
        <c:barDir val="col"/>
        <c:grouping val="clustered"/>
        <c:varyColors val="0"/>
        <c:ser>
          <c:idx val="0"/>
          <c:order val="0"/>
          <c:tx>
            <c:strRef>
              <c:f>'Bandhan Nifty Alpha Low Vol 30'!$X$7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3C77-4278-8837-43FF5128439C}"/>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C77-4278-8837-43FF5128439C}"/>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3C77-4278-8837-43FF5128439C}"/>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C77-4278-8837-43FF5128439C}"/>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3C77-4278-8837-43FF5128439C}"/>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3C77-4278-8837-43FF5128439C}"/>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3C77-4278-8837-43FF5128439C}"/>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3C77-4278-8837-43FF5128439C}"/>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3C77-4278-8837-43FF5128439C}"/>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3C77-4278-8837-43FF5128439C}"/>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3C77-4278-8837-43FF5128439C}"/>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3C77-4278-8837-43FF5128439C}"/>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3C77-4278-8837-43FF5128439C}"/>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3C77-4278-8837-43FF5128439C}"/>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3C77-4278-8837-43FF5128439C}"/>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3C77-4278-8837-43FF5128439C}"/>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3C77-4278-8837-43FF5128439C}"/>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3C77-4278-8837-43FF5128439C}"/>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Nifty Alpha Low Vol 30'!$W$8:$W$25</c:f>
              <c:strCache>
                <c:ptCount val="18"/>
                <c:pt idx="0">
                  <c:v>Pharmaceuticals &amp; Biotechnology</c:v>
                </c:pt>
                <c:pt idx="1">
                  <c:v>IT - Software</c:v>
                </c:pt>
                <c:pt idx="2">
                  <c:v>Banks</c:v>
                </c:pt>
                <c:pt idx="3">
                  <c:v>Cement &amp; Cement Products</c:v>
                </c:pt>
                <c:pt idx="4">
                  <c:v>Automobiles</c:v>
                </c:pt>
                <c:pt idx="5">
                  <c:v>Auto Components</c:v>
                </c:pt>
                <c:pt idx="6">
                  <c:v>Telecom - Services</c:v>
                </c:pt>
                <c:pt idx="7">
                  <c:v>Chemicals &amp; Petrochemicals</c:v>
                </c:pt>
                <c:pt idx="8">
                  <c:v>Beverages</c:v>
                </c:pt>
                <c:pt idx="9">
                  <c:v>Food Products</c:v>
                </c:pt>
                <c:pt idx="10">
                  <c:v>Diversified FMCG</c:v>
                </c:pt>
                <c:pt idx="11">
                  <c:v>Healthcare Services</c:v>
                </c:pt>
                <c:pt idx="12">
                  <c:v>Insurance</c:v>
                </c:pt>
                <c:pt idx="13">
                  <c:v>Consumer Durables</c:v>
                </c:pt>
                <c:pt idx="14">
                  <c:v>Personal Products</c:v>
                </c:pt>
                <c:pt idx="15">
                  <c:v>Electrical Equipment</c:v>
                </c:pt>
                <c:pt idx="16">
                  <c:v>Retailing</c:v>
                </c:pt>
                <c:pt idx="17">
                  <c:v>Industrial Products</c:v>
                </c:pt>
              </c:strCache>
            </c:strRef>
          </c:cat>
          <c:val>
            <c:numRef>
              <c:f>'Bandhan Nifty Alpha Low Vol 30'!$X$8:$X$25</c:f>
              <c:numCache>
                <c:formatCode>0.00%</c:formatCode>
                <c:ptCount val="18"/>
                <c:pt idx="0">
                  <c:v>0.22089300000000001</c:v>
                </c:pt>
                <c:pt idx="1">
                  <c:v>0.11670700000000001</c:v>
                </c:pt>
                <c:pt idx="2">
                  <c:v>6.9017999999999996E-2</c:v>
                </c:pt>
                <c:pt idx="3">
                  <c:v>6.7627999999999994E-2</c:v>
                </c:pt>
                <c:pt idx="4">
                  <c:v>5.8041999999999996E-2</c:v>
                </c:pt>
                <c:pt idx="5">
                  <c:v>5.5389000000000001E-2</c:v>
                </c:pt>
                <c:pt idx="6">
                  <c:v>5.1324000000000002E-2</c:v>
                </c:pt>
                <c:pt idx="7">
                  <c:v>3.9495000000000002E-2</c:v>
                </c:pt>
                <c:pt idx="8">
                  <c:v>3.9156999999999997E-2</c:v>
                </c:pt>
                <c:pt idx="9">
                  <c:v>3.7477000000000003E-2</c:v>
                </c:pt>
                <c:pt idx="10">
                  <c:v>3.5178000000000001E-2</c:v>
                </c:pt>
                <c:pt idx="11">
                  <c:v>3.4806999999999998E-2</c:v>
                </c:pt>
                <c:pt idx="12">
                  <c:v>3.3745999999999998E-2</c:v>
                </c:pt>
                <c:pt idx="13">
                  <c:v>3.1479E-2</c:v>
                </c:pt>
                <c:pt idx="14">
                  <c:v>3.1040000000000002E-2</c:v>
                </c:pt>
                <c:pt idx="15">
                  <c:v>2.8456000000000002E-2</c:v>
                </c:pt>
                <c:pt idx="16">
                  <c:v>2.6887000000000001E-2</c:v>
                </c:pt>
                <c:pt idx="17">
                  <c:v>2.5253000000000001E-2</c:v>
                </c:pt>
              </c:numCache>
            </c:numRef>
          </c:val>
          <c:extLst>
            <c:ext xmlns:c16="http://schemas.microsoft.com/office/drawing/2014/chart" uri="{C3380CC4-5D6E-409C-BE32-E72D297353CC}">
              <c16:uniqueId val="{00000012-3C77-4278-8837-43FF5128439C}"/>
            </c:ext>
          </c:extLst>
        </c:ser>
        <c:dLbls>
          <c:showLegendKey val="0"/>
          <c:showVal val="0"/>
          <c:showCatName val="0"/>
          <c:showSerName val="0"/>
          <c:showPercent val="0"/>
          <c:showBubbleSize val="0"/>
        </c:dLbls>
        <c:gapWidth val="150"/>
        <c:axId val="170020352"/>
        <c:axId val="168868032"/>
      </c:barChart>
      <c:catAx>
        <c:axId val="170020352"/>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68868032"/>
        <c:crosses val="autoZero"/>
        <c:auto val="1"/>
        <c:lblAlgn val="ctr"/>
        <c:lblOffset val="100"/>
        <c:tickLblSkip val="1"/>
        <c:noMultiLvlLbl val="0"/>
      </c:catAx>
      <c:valAx>
        <c:axId val="168868032"/>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70020352"/>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44" l="0.70000000000000062" r="0.70000000000000062" t="0.75000000000000544" header="0.30000000000000032" footer="0.30000000000000032"/>
    <c:pageSetup/>
  </c:printSettings>
</c:chartSpace>
</file>

<file path=xl/charts/chart5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1.6539414597069316E-2"/>
          <c:y val="1.8895707103645184E-2"/>
          <c:w val="0.96692117080586137"/>
          <c:h val="0.57234435549851026"/>
        </c:manualLayout>
      </c:layout>
      <c:barChart>
        <c:barDir val="col"/>
        <c:grouping val="clustered"/>
        <c:varyColors val="0"/>
        <c:ser>
          <c:idx val="0"/>
          <c:order val="0"/>
          <c:tx>
            <c:strRef>
              <c:f>'Bandhan Nifty Next 50 Index'!$X$7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8C6C-4E54-8358-237E10A952B2}"/>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C6C-4E54-8358-237E10A952B2}"/>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8C6C-4E54-8358-237E10A952B2}"/>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8C6C-4E54-8358-237E10A952B2}"/>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8C6C-4E54-8358-237E10A952B2}"/>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8C6C-4E54-8358-237E10A952B2}"/>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8C6C-4E54-8358-237E10A952B2}"/>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8C6C-4E54-8358-237E10A952B2}"/>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8C6C-4E54-8358-237E10A952B2}"/>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8C6C-4E54-8358-237E10A952B2}"/>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8C6C-4E54-8358-237E10A952B2}"/>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8C6C-4E54-8358-237E10A952B2}"/>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8C6C-4E54-8358-237E10A952B2}"/>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8C6C-4E54-8358-237E10A952B2}"/>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8C6C-4E54-8358-237E10A952B2}"/>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8C6C-4E54-8358-237E10A952B2}"/>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8C6C-4E54-8358-237E10A952B2}"/>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8C6C-4E54-8358-237E10A952B2}"/>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Nifty Next 50 Index'!$W$8:$W$31</c:f>
              <c:strCache>
                <c:ptCount val="24"/>
                <c:pt idx="0">
                  <c:v>Finance</c:v>
                </c:pt>
                <c:pt idx="1">
                  <c:v>Power</c:v>
                </c:pt>
                <c:pt idx="2">
                  <c:v>Pharmaceuticals &amp; Biotechnology</c:v>
                </c:pt>
                <c:pt idx="3">
                  <c:v>Retailing</c:v>
                </c:pt>
                <c:pt idx="4">
                  <c:v>Beverages</c:v>
                </c:pt>
                <c:pt idx="5">
                  <c:v>Electrical Equipment</c:v>
                </c:pt>
                <c:pt idx="6">
                  <c:v>Banks</c:v>
                </c:pt>
                <c:pt idx="7">
                  <c:v>Petroleum Products</c:v>
                </c:pt>
                <c:pt idx="8">
                  <c:v>Transport Services</c:v>
                </c:pt>
                <c:pt idx="9">
                  <c:v>Personal Products</c:v>
                </c:pt>
                <c:pt idx="10">
                  <c:v>Insurance</c:v>
                </c:pt>
                <c:pt idx="11">
                  <c:v>Aerospace &amp; Defense</c:v>
                </c:pt>
                <c:pt idx="12">
                  <c:v>Automobiles</c:v>
                </c:pt>
                <c:pt idx="13">
                  <c:v>Realty</c:v>
                </c:pt>
                <c:pt idx="14">
                  <c:v>Cement &amp; Cement Products</c:v>
                </c:pt>
                <c:pt idx="15">
                  <c:v>Diversified Metals</c:v>
                </c:pt>
                <c:pt idx="16">
                  <c:v>Leisure Services</c:v>
                </c:pt>
                <c:pt idx="17">
                  <c:v>Auto Components</c:v>
                </c:pt>
                <c:pt idx="18">
                  <c:v>Food Products</c:v>
                </c:pt>
                <c:pt idx="19">
                  <c:v>Gas</c:v>
                </c:pt>
                <c:pt idx="20">
                  <c:v>Chemicals &amp; Petrochemicals</c:v>
                </c:pt>
                <c:pt idx="21">
                  <c:v>IT - Software</c:v>
                </c:pt>
                <c:pt idx="22">
                  <c:v>Consumer Durables</c:v>
                </c:pt>
                <c:pt idx="23">
                  <c:v>Ferrous Metals</c:v>
                </c:pt>
              </c:strCache>
            </c:strRef>
          </c:cat>
          <c:val>
            <c:numRef>
              <c:f>'Bandhan Nifty Next 50 Index'!$X$8:$X$31</c:f>
              <c:numCache>
                <c:formatCode>0.00%</c:formatCode>
                <c:ptCount val="24"/>
                <c:pt idx="0">
                  <c:v>0.11491699999999999</c:v>
                </c:pt>
                <c:pt idx="1">
                  <c:v>8.4958000000000006E-2</c:v>
                </c:pt>
                <c:pt idx="2">
                  <c:v>5.9317999999999996E-2</c:v>
                </c:pt>
                <c:pt idx="3">
                  <c:v>5.5316999999999998E-2</c:v>
                </c:pt>
                <c:pt idx="4">
                  <c:v>5.1389000000000004E-2</c:v>
                </c:pt>
                <c:pt idx="5">
                  <c:v>5.1059999999999994E-2</c:v>
                </c:pt>
                <c:pt idx="6">
                  <c:v>5.0250999999999997E-2</c:v>
                </c:pt>
                <c:pt idx="7">
                  <c:v>4.9332000000000001E-2</c:v>
                </c:pt>
                <c:pt idx="8">
                  <c:v>4.5534999999999999E-2</c:v>
                </c:pt>
                <c:pt idx="9">
                  <c:v>3.9399999999999998E-2</c:v>
                </c:pt>
                <c:pt idx="10">
                  <c:v>3.8280000000000002E-2</c:v>
                </c:pt>
                <c:pt idx="11">
                  <c:v>3.7698000000000002E-2</c:v>
                </c:pt>
                <c:pt idx="12">
                  <c:v>3.6899000000000001E-2</c:v>
                </c:pt>
                <c:pt idx="13">
                  <c:v>3.5536999999999999E-2</c:v>
                </c:pt>
                <c:pt idx="14">
                  <c:v>3.3434999999999999E-2</c:v>
                </c:pt>
                <c:pt idx="15">
                  <c:v>3.1440999999999997E-2</c:v>
                </c:pt>
                <c:pt idx="16">
                  <c:v>3.0575000000000001E-2</c:v>
                </c:pt>
                <c:pt idx="17">
                  <c:v>2.8756000000000004E-2</c:v>
                </c:pt>
                <c:pt idx="18">
                  <c:v>2.8368000000000001E-2</c:v>
                </c:pt>
                <c:pt idx="19">
                  <c:v>2.2547000000000001E-2</c:v>
                </c:pt>
                <c:pt idx="20">
                  <c:v>2.0643999999999999E-2</c:v>
                </c:pt>
                <c:pt idx="21">
                  <c:v>1.8731000000000001E-2</c:v>
                </c:pt>
                <c:pt idx="22">
                  <c:v>1.7849E-2</c:v>
                </c:pt>
                <c:pt idx="23">
                  <c:v>1.5041000000000001E-2</c:v>
                </c:pt>
              </c:numCache>
            </c:numRef>
          </c:val>
          <c:extLst>
            <c:ext xmlns:c16="http://schemas.microsoft.com/office/drawing/2014/chart" uri="{C3380CC4-5D6E-409C-BE32-E72D297353CC}">
              <c16:uniqueId val="{00000012-8C6C-4E54-8358-237E10A952B2}"/>
            </c:ext>
          </c:extLst>
        </c:ser>
        <c:dLbls>
          <c:showLegendKey val="0"/>
          <c:showVal val="0"/>
          <c:showCatName val="0"/>
          <c:showSerName val="0"/>
          <c:showPercent val="0"/>
          <c:showBubbleSize val="0"/>
        </c:dLbls>
        <c:gapWidth val="150"/>
        <c:axId val="170020352"/>
        <c:axId val="168868032"/>
      </c:barChart>
      <c:catAx>
        <c:axId val="170020352"/>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68868032"/>
        <c:crosses val="autoZero"/>
        <c:auto val="1"/>
        <c:lblAlgn val="ctr"/>
        <c:lblOffset val="100"/>
        <c:tickLblSkip val="1"/>
        <c:noMultiLvlLbl val="0"/>
      </c:catAx>
      <c:valAx>
        <c:axId val="168868032"/>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70020352"/>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44" l="0.70000000000000062" r="0.70000000000000062" t="0.75000000000000544" header="0.30000000000000032" footer="0.30000000000000032"/>
    <c:pageSetup/>
  </c:printSettings>
</c:chartSpace>
</file>

<file path=xl/charts/chart5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defRPr lang="en-IN"/>
            </a:pPr>
            <a:r>
              <a:rPr lang="en-US"/>
              <a:t>Asset Allocation</a:t>
            </a:r>
          </a:p>
        </c:rich>
      </c:tx>
      <c:overlay val="0"/>
    </c:title>
    <c:autoTitleDeleted val="0"/>
    <c:view3D>
      <c:rotX val="15"/>
      <c:rotY val="0"/>
      <c:rAngAx val="0"/>
    </c:view3D>
    <c:floor>
      <c:thickness val="0"/>
    </c:floor>
    <c:sideWall>
      <c:thickness val="0"/>
    </c:sideWall>
    <c:backWall>
      <c:thickness val="0"/>
    </c:backWall>
    <c:plotArea>
      <c:layout>
        <c:manualLayout>
          <c:layoutTarget val="inner"/>
          <c:xMode val="edge"/>
          <c:yMode val="edge"/>
          <c:x val="0.13492264148428221"/>
          <c:y val="0.442819115066238"/>
          <c:w val="0.80555553197359764"/>
          <c:h val="0.46296299212599396"/>
        </c:manualLayout>
      </c:layout>
      <c:pie3DChart>
        <c:varyColors val="1"/>
        <c:ser>
          <c:idx val="0"/>
          <c:order val="0"/>
          <c:dLbls>
            <c:dLbl>
              <c:idx val="0"/>
              <c:layout>
                <c:manualLayout>
                  <c:x val="0.22728572931869853"/>
                  <c:y val="-0.53787281301807532"/>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0-FF81-4F21-8062-3EB142498B63}"/>
                </c:ext>
              </c:extLst>
            </c:dLbl>
            <c:dLbl>
              <c:idx val="1"/>
              <c:layout>
                <c:manualLayout>
                  <c:x val="-0.26921172912653785"/>
                  <c:y val="2.9418180611078659E-2"/>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1-FF81-4F21-8062-3EB142498B63}"/>
                </c:ext>
              </c:extLst>
            </c:dLbl>
            <c:dLbl>
              <c:idx val="2"/>
              <c:layout>
                <c:manualLayout>
                  <c:x val="5.7043011982595641E-2"/>
                  <c:y val="-3.9176423724232121E-2"/>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2-FF81-4F21-8062-3EB142498B63}"/>
                </c:ext>
              </c:extLst>
            </c:dLbl>
            <c:dLbl>
              <c:idx val="3"/>
              <c:layout>
                <c:manualLayout>
                  <c:x val="-0.44166411214867751"/>
                  <c:y val="0.22094031436486586"/>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3-FF81-4F21-8062-3EB142498B63}"/>
                </c:ext>
              </c:extLst>
            </c:dLbl>
            <c:numFmt formatCode="0.00%" sourceLinked="0"/>
            <c:spPr>
              <a:noFill/>
              <a:ln>
                <a:noFill/>
              </a:ln>
              <a:effectLst/>
            </c:spPr>
            <c:txPr>
              <a:bodyPr/>
              <a:lstStyle/>
              <a:p>
                <a:pPr>
                  <a:defRPr lang="en-IN"/>
                </a:pPr>
                <a:endParaRPr lang="en-US"/>
              </a:p>
            </c:txPr>
            <c:dLblPos val="bestFit"/>
            <c:showLegendKey val="1"/>
            <c:showVal val="1"/>
            <c:showCatName val="1"/>
            <c:showSerName val="0"/>
            <c:showPercent val="0"/>
            <c:showBubbleSize val="0"/>
            <c:separator>
</c:separator>
            <c:showLeaderLines val="0"/>
            <c:extLst>
              <c:ext xmlns:c15="http://schemas.microsoft.com/office/drawing/2012/chart" uri="{CE6537A1-D6FC-4f65-9D91-7224C49458BB}"/>
            </c:extLst>
          </c:dLbls>
          <c:cat>
            <c:strRef>
              <c:f>'BANDHAN US TB 0-1yr FOF'!$I$8:$I$10</c:f>
              <c:strCache>
                <c:ptCount val="3"/>
                <c:pt idx="0">
                  <c:v>International Mutual Fund Units</c:v>
                </c:pt>
                <c:pt idx="1">
                  <c:v>Net Current Asset</c:v>
                </c:pt>
                <c:pt idx="2">
                  <c:v>TRI Party Repo Total</c:v>
                </c:pt>
              </c:strCache>
            </c:strRef>
          </c:cat>
          <c:val>
            <c:numRef>
              <c:f>'BANDHAN US TB 0-1yr FOF'!$J$8:$J$10</c:f>
              <c:numCache>
                <c:formatCode>0.00%</c:formatCode>
                <c:ptCount val="3"/>
                <c:pt idx="0">
                  <c:v>0.99165499999999995</c:v>
                </c:pt>
                <c:pt idx="1">
                  <c:v>3.4880000000000002E-3</c:v>
                </c:pt>
                <c:pt idx="2">
                  <c:v>4.8570000000000002E-3</c:v>
                </c:pt>
              </c:numCache>
            </c:numRef>
          </c:val>
          <c:extLst>
            <c:ext xmlns:c16="http://schemas.microsoft.com/office/drawing/2014/chart" uri="{C3380CC4-5D6E-409C-BE32-E72D297353CC}">
              <c16:uniqueId val="{00000004-FF81-4F21-8062-3EB142498B63}"/>
            </c:ext>
          </c:extLst>
        </c:ser>
        <c:dLbls>
          <c:showLegendKey val="0"/>
          <c:showVal val="1"/>
          <c:showCatName val="0"/>
          <c:showSerName val="0"/>
          <c:showPercent val="0"/>
          <c:showBubbleSize val="0"/>
          <c:showLeaderLines val="0"/>
        </c:dLbls>
      </c:pie3DChart>
      <c:spPr>
        <a:noFill/>
        <a:ln w="25400">
          <a:noFill/>
        </a:ln>
      </c:spPr>
    </c:plotArea>
    <c:plotVisOnly val="1"/>
    <c:dispBlanksAs val="zero"/>
    <c:showDLblsOverMax val="0"/>
  </c:chart>
  <c:txPr>
    <a:bodyPr/>
    <a:lstStyle/>
    <a:p>
      <a:pPr>
        <a:defRPr sz="1200" b="1"/>
      </a:pPr>
      <a:endParaRPr lang="en-US"/>
    </a:p>
  </c:txPr>
  <c:printSettings>
    <c:headerFooter/>
    <c:pageMargins b="0.75000000000001465" l="0.70000000000000062" r="0.70000000000000062" t="0.75000000000001465" header="0.30000000000000032" footer="0.30000000000000032"/>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3.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4.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5.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7.xml"/></Relationships>
</file>

<file path=xl/drawings/_rels/drawing7.xml.rels><?xml version="1.0" encoding="UTF-8" standalone="yes"?>
<Relationships xmlns="http://schemas.openxmlformats.org/package/2006/relationships"><Relationship Id="rId1" Type="http://schemas.openxmlformats.org/officeDocument/2006/relationships/chart" Target="../charts/chart8.xml"/></Relationships>
</file>

<file path=xl/drawings/_rels/drawing8.xml.rels><?xml version="1.0" encoding="UTF-8" standalone="yes"?>
<Relationships xmlns="http://schemas.openxmlformats.org/package/2006/relationships"><Relationship Id="rId1" Type="http://schemas.openxmlformats.org/officeDocument/2006/relationships/chart" Target="../charts/chart9.xml"/></Relationships>
</file>

<file path=xl/drawings/_rels/drawing9.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12.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13.xml.rels><?xml version="1.0" encoding="UTF-8" standalone="yes"?>
<Relationships xmlns="http://schemas.openxmlformats.org/package/2006/relationships"><Relationship Id="rId1" Type="http://schemas.openxmlformats.org/officeDocument/2006/relationships/chart" Target="../charts/chart14.xml"/></Relationships>
</file>

<file path=xl/drawings/_rels/drawing14.xml.rels><?xml version="1.0" encoding="UTF-8" standalone="yes"?>
<Relationships xmlns="http://schemas.openxmlformats.org/package/2006/relationships"><Relationship Id="rId1" Type="http://schemas.openxmlformats.org/officeDocument/2006/relationships/chart" Target="../charts/chart15.xml"/></Relationships>
</file>

<file path=xl/drawings/_rels/drawing15.xml.rels><?xml version="1.0" encoding="UTF-8" standalone="yes"?>
<Relationships xmlns="http://schemas.openxmlformats.org/package/2006/relationships"><Relationship Id="rId1" Type="http://schemas.openxmlformats.org/officeDocument/2006/relationships/chart" Target="../charts/chart16.xml"/></Relationships>
</file>

<file path=xl/drawings/_rels/drawing16.xml.rels><?xml version="1.0" encoding="UTF-8" standalone="yes"?>
<Relationships xmlns="http://schemas.openxmlformats.org/package/2006/relationships"><Relationship Id="rId1" Type="http://schemas.openxmlformats.org/officeDocument/2006/relationships/chart" Target="../charts/chart17.xml"/></Relationships>
</file>

<file path=xl/drawings/_rels/drawing17.xml.rels><?xml version="1.0" encoding="UTF-8" standalone="yes"?>
<Relationships xmlns="http://schemas.openxmlformats.org/package/2006/relationships"><Relationship Id="rId3" Type="http://schemas.openxmlformats.org/officeDocument/2006/relationships/chart" Target="../charts/chart20.xml"/><Relationship Id="rId2" Type="http://schemas.openxmlformats.org/officeDocument/2006/relationships/chart" Target="../charts/chart19.xml"/><Relationship Id="rId1" Type="http://schemas.openxmlformats.org/officeDocument/2006/relationships/chart" Target="../charts/chart18.xml"/></Relationships>
</file>

<file path=xl/drawings/_rels/drawing18.xml.rels><?xml version="1.0" encoding="UTF-8" standalone="yes"?>
<Relationships xmlns="http://schemas.openxmlformats.org/package/2006/relationships"><Relationship Id="rId2" Type="http://schemas.openxmlformats.org/officeDocument/2006/relationships/chart" Target="../charts/chart22.xml"/><Relationship Id="rId1" Type="http://schemas.openxmlformats.org/officeDocument/2006/relationships/chart" Target="../charts/chart21.xml"/></Relationships>
</file>

<file path=xl/drawings/_rels/drawing19.xml.rels><?xml version="1.0" encoding="UTF-8" standalone="yes"?>
<Relationships xmlns="http://schemas.openxmlformats.org/package/2006/relationships"><Relationship Id="rId2" Type="http://schemas.openxmlformats.org/officeDocument/2006/relationships/chart" Target="../charts/chart24.xml"/><Relationship Id="rId1" Type="http://schemas.openxmlformats.org/officeDocument/2006/relationships/chart" Target="../charts/chart23.xml"/></Relationships>
</file>

<file path=xl/drawings/_rels/drawing20.xml.rels><?xml version="1.0" encoding="UTF-8" standalone="yes"?>
<Relationships xmlns="http://schemas.openxmlformats.org/package/2006/relationships"><Relationship Id="rId2" Type="http://schemas.openxmlformats.org/officeDocument/2006/relationships/chart" Target="../charts/chart26.xml"/><Relationship Id="rId1" Type="http://schemas.openxmlformats.org/officeDocument/2006/relationships/chart" Target="../charts/chart25.xml"/></Relationships>
</file>

<file path=xl/drawings/_rels/drawing21.xml.rels><?xml version="1.0" encoding="UTF-8" standalone="yes"?>
<Relationships xmlns="http://schemas.openxmlformats.org/package/2006/relationships"><Relationship Id="rId1" Type="http://schemas.openxmlformats.org/officeDocument/2006/relationships/chart" Target="../charts/chart27.xml"/></Relationships>
</file>

<file path=xl/drawings/_rels/drawing22.xml.rels><?xml version="1.0" encoding="UTF-8" standalone="yes"?>
<Relationships xmlns="http://schemas.openxmlformats.org/package/2006/relationships"><Relationship Id="rId1" Type="http://schemas.openxmlformats.org/officeDocument/2006/relationships/chart" Target="../charts/chart28.xml"/></Relationships>
</file>

<file path=xl/drawings/_rels/drawing23.xml.rels><?xml version="1.0" encoding="UTF-8" standalone="yes"?>
<Relationships xmlns="http://schemas.openxmlformats.org/package/2006/relationships"><Relationship Id="rId1" Type="http://schemas.openxmlformats.org/officeDocument/2006/relationships/chart" Target="../charts/chart29.xml"/></Relationships>
</file>

<file path=xl/drawings/_rels/drawing24.xml.rels><?xml version="1.0" encoding="UTF-8" standalone="yes"?>
<Relationships xmlns="http://schemas.openxmlformats.org/package/2006/relationships"><Relationship Id="rId1" Type="http://schemas.openxmlformats.org/officeDocument/2006/relationships/chart" Target="../charts/chart30.xml"/></Relationships>
</file>

<file path=xl/drawings/_rels/drawing25.xml.rels><?xml version="1.0" encoding="UTF-8" standalone="yes"?>
<Relationships xmlns="http://schemas.openxmlformats.org/package/2006/relationships"><Relationship Id="rId1" Type="http://schemas.openxmlformats.org/officeDocument/2006/relationships/chart" Target="../charts/chart31.xml"/></Relationships>
</file>

<file path=xl/drawings/_rels/drawing26.xml.rels><?xml version="1.0" encoding="UTF-8" standalone="yes"?>
<Relationships xmlns="http://schemas.openxmlformats.org/package/2006/relationships"><Relationship Id="rId2" Type="http://schemas.openxmlformats.org/officeDocument/2006/relationships/chart" Target="../charts/chart33.xml"/><Relationship Id="rId1" Type="http://schemas.openxmlformats.org/officeDocument/2006/relationships/chart" Target="../charts/chart32.xml"/></Relationships>
</file>

<file path=xl/drawings/_rels/drawing27.xml.rels><?xml version="1.0" encoding="UTF-8" standalone="yes"?>
<Relationships xmlns="http://schemas.openxmlformats.org/package/2006/relationships"><Relationship Id="rId1" Type="http://schemas.openxmlformats.org/officeDocument/2006/relationships/chart" Target="../charts/chart34.xml"/></Relationships>
</file>

<file path=xl/drawings/_rels/drawing28.xml.rels><?xml version="1.0" encoding="UTF-8" standalone="yes"?>
<Relationships xmlns="http://schemas.openxmlformats.org/package/2006/relationships"><Relationship Id="rId1" Type="http://schemas.openxmlformats.org/officeDocument/2006/relationships/chart" Target="../charts/chart35.xml"/></Relationships>
</file>

<file path=xl/drawings/_rels/drawing29.xml.rels><?xml version="1.0" encoding="UTF-8" standalone="yes"?>
<Relationships xmlns="http://schemas.openxmlformats.org/package/2006/relationships"><Relationship Id="rId1" Type="http://schemas.openxmlformats.org/officeDocument/2006/relationships/chart" Target="../charts/chart36.xml"/></Relationships>
</file>

<file path=xl/drawings/_rels/drawing30.xml.rels><?xml version="1.0" encoding="UTF-8" standalone="yes"?>
<Relationships xmlns="http://schemas.openxmlformats.org/package/2006/relationships"><Relationship Id="rId1" Type="http://schemas.openxmlformats.org/officeDocument/2006/relationships/chart" Target="../charts/chart37.xml"/></Relationships>
</file>

<file path=xl/drawings/_rels/drawing31.xml.rels><?xml version="1.0" encoding="UTF-8" standalone="yes"?>
<Relationships xmlns="http://schemas.openxmlformats.org/package/2006/relationships"><Relationship Id="rId1" Type="http://schemas.openxmlformats.org/officeDocument/2006/relationships/chart" Target="../charts/chart38.xml"/></Relationships>
</file>

<file path=xl/drawings/_rels/drawing32.xml.rels><?xml version="1.0" encoding="UTF-8" standalone="yes"?>
<Relationships xmlns="http://schemas.openxmlformats.org/package/2006/relationships"><Relationship Id="rId1" Type="http://schemas.openxmlformats.org/officeDocument/2006/relationships/chart" Target="../charts/chart39.xml"/></Relationships>
</file>

<file path=xl/drawings/_rels/drawing33.xml.rels><?xml version="1.0" encoding="UTF-8" standalone="yes"?>
<Relationships xmlns="http://schemas.openxmlformats.org/package/2006/relationships"><Relationship Id="rId1" Type="http://schemas.openxmlformats.org/officeDocument/2006/relationships/chart" Target="../charts/chart40.xml"/></Relationships>
</file>

<file path=xl/drawings/_rels/drawing34.xml.rels><?xml version="1.0" encoding="UTF-8" standalone="yes"?>
<Relationships xmlns="http://schemas.openxmlformats.org/package/2006/relationships"><Relationship Id="rId1" Type="http://schemas.openxmlformats.org/officeDocument/2006/relationships/chart" Target="../charts/chart41.xml"/></Relationships>
</file>

<file path=xl/drawings/_rels/drawing35.xml.rels><?xml version="1.0" encoding="UTF-8" standalone="yes"?>
<Relationships xmlns="http://schemas.openxmlformats.org/package/2006/relationships"><Relationship Id="rId1" Type="http://schemas.openxmlformats.org/officeDocument/2006/relationships/chart" Target="../charts/chart42.xml"/></Relationships>
</file>

<file path=xl/drawings/_rels/drawing36.xml.rels><?xml version="1.0" encoding="UTF-8" standalone="yes"?>
<Relationships xmlns="http://schemas.openxmlformats.org/package/2006/relationships"><Relationship Id="rId1" Type="http://schemas.openxmlformats.org/officeDocument/2006/relationships/chart" Target="../charts/chart43.xml"/></Relationships>
</file>

<file path=xl/drawings/_rels/drawing37.xml.rels><?xml version="1.0" encoding="UTF-8" standalone="yes"?>
<Relationships xmlns="http://schemas.openxmlformats.org/package/2006/relationships"><Relationship Id="rId1" Type="http://schemas.openxmlformats.org/officeDocument/2006/relationships/chart" Target="../charts/chart44.xml"/></Relationships>
</file>

<file path=xl/drawings/_rels/drawing38.xml.rels><?xml version="1.0" encoding="UTF-8" standalone="yes"?>
<Relationships xmlns="http://schemas.openxmlformats.org/package/2006/relationships"><Relationship Id="rId1" Type="http://schemas.openxmlformats.org/officeDocument/2006/relationships/chart" Target="../charts/chart45.xml"/></Relationships>
</file>

<file path=xl/drawings/_rels/drawing39.xml.rels><?xml version="1.0" encoding="UTF-8" standalone="yes"?>
<Relationships xmlns="http://schemas.openxmlformats.org/package/2006/relationships"><Relationship Id="rId1" Type="http://schemas.openxmlformats.org/officeDocument/2006/relationships/chart" Target="../charts/chart46.xml"/></Relationships>
</file>

<file path=xl/drawings/_rels/drawing40.xml.rels><?xml version="1.0" encoding="UTF-8" standalone="yes"?>
<Relationships xmlns="http://schemas.openxmlformats.org/package/2006/relationships"><Relationship Id="rId1" Type="http://schemas.openxmlformats.org/officeDocument/2006/relationships/chart" Target="../charts/chart47.xml"/></Relationships>
</file>

<file path=xl/drawings/_rels/drawing41.xml.rels><?xml version="1.0" encoding="UTF-8" standalone="yes"?>
<Relationships xmlns="http://schemas.openxmlformats.org/package/2006/relationships"><Relationship Id="rId1" Type="http://schemas.openxmlformats.org/officeDocument/2006/relationships/chart" Target="../charts/chart48.xml"/></Relationships>
</file>

<file path=xl/drawings/_rels/drawing42.xml.rels><?xml version="1.0" encoding="UTF-8" standalone="yes"?>
<Relationships xmlns="http://schemas.openxmlformats.org/package/2006/relationships"><Relationship Id="rId1" Type="http://schemas.openxmlformats.org/officeDocument/2006/relationships/chart" Target="../charts/chart49.xml"/></Relationships>
</file>

<file path=xl/drawings/_rels/drawing43.xml.rels><?xml version="1.0" encoding="UTF-8" standalone="yes"?>
<Relationships xmlns="http://schemas.openxmlformats.org/package/2006/relationships"><Relationship Id="rId1" Type="http://schemas.openxmlformats.org/officeDocument/2006/relationships/chart" Target="../charts/chart50.xml"/></Relationships>
</file>

<file path=xl/drawings/_rels/drawing44.xml.rels><?xml version="1.0" encoding="UTF-8" standalone="yes"?>
<Relationships xmlns="http://schemas.openxmlformats.org/package/2006/relationships"><Relationship Id="rId1" Type="http://schemas.openxmlformats.org/officeDocument/2006/relationships/chart" Target="../charts/chart51.xml"/></Relationships>
</file>

<file path=xl/drawings/_rels/drawing45.xml.rels><?xml version="1.0" encoding="UTF-8" standalone="yes"?>
<Relationships xmlns="http://schemas.openxmlformats.org/package/2006/relationships"><Relationship Id="rId1" Type="http://schemas.openxmlformats.org/officeDocument/2006/relationships/chart" Target="../charts/chart52.xml"/></Relationships>
</file>

<file path=xl/drawings/drawing1.xml><?xml version="1.0" encoding="utf-8"?>
<xdr:wsDr xmlns:xdr="http://schemas.openxmlformats.org/drawingml/2006/spreadsheetDrawing" xmlns:a="http://schemas.openxmlformats.org/drawingml/2006/main">
  <xdr:twoCellAnchor>
    <xdr:from>
      <xdr:col>5</xdr:col>
      <xdr:colOff>314325</xdr:colOff>
      <xdr:row>7</xdr:row>
      <xdr:rowOff>34925</xdr:rowOff>
    </xdr:from>
    <xdr:to>
      <xdr:col>12</xdr:col>
      <xdr:colOff>342900</xdr:colOff>
      <xdr:row>20</xdr:row>
      <xdr:rowOff>25401</xdr:rowOff>
    </xdr:to>
    <xdr:graphicFrame macro="">
      <xdr:nvGraphicFramePr>
        <xdr:cNvPr id="2" name="Chart 2">
          <a:extLst>
            <a:ext uri="{FF2B5EF4-FFF2-40B4-BE49-F238E27FC236}">
              <a16:creationId xmlns:a16="http://schemas.microsoft.com/office/drawing/2014/main" id="{FE130700-828C-4786-BAE9-CB93ADFBB5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50800</xdr:colOff>
      <xdr:row>3</xdr:row>
      <xdr:rowOff>190500</xdr:rowOff>
    </xdr:from>
    <xdr:to>
      <xdr:col>19</xdr:col>
      <xdr:colOff>546100</xdr:colOff>
      <xdr:row>36</xdr:row>
      <xdr:rowOff>50800</xdr:rowOff>
    </xdr:to>
    <xdr:graphicFrame macro="">
      <xdr:nvGraphicFramePr>
        <xdr:cNvPr id="2" name="Chart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5</xdr:col>
      <xdr:colOff>127000</xdr:colOff>
      <xdr:row>5</xdr:row>
      <xdr:rowOff>0</xdr:rowOff>
    </xdr:from>
    <xdr:to>
      <xdr:col>19</xdr:col>
      <xdr:colOff>50800</xdr:colOff>
      <xdr:row>36</xdr:row>
      <xdr:rowOff>0</xdr:rowOff>
    </xdr:to>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5</xdr:col>
      <xdr:colOff>127000</xdr:colOff>
      <xdr:row>5</xdr:row>
      <xdr:rowOff>0</xdr:rowOff>
    </xdr:from>
    <xdr:to>
      <xdr:col>19</xdr:col>
      <xdr:colOff>63500</xdr:colOff>
      <xdr:row>34</xdr:row>
      <xdr:rowOff>38100</xdr:rowOff>
    </xdr:to>
    <xdr:graphicFrame macro="">
      <xdr:nvGraphicFramePr>
        <xdr:cNvPr id="2" name="Chart 1">
          <a:extLst>
            <a:ext uri="{FF2B5EF4-FFF2-40B4-BE49-F238E27FC236}">
              <a16:creationId xmlns:a16="http://schemas.microsoft.com/office/drawing/2014/main" i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5</xdr:col>
      <xdr:colOff>127000</xdr:colOff>
      <xdr:row>4</xdr:row>
      <xdr:rowOff>0</xdr:rowOff>
    </xdr:from>
    <xdr:to>
      <xdr:col>19</xdr:col>
      <xdr:colOff>38100</xdr:colOff>
      <xdr:row>29</xdr:row>
      <xdr:rowOff>76200</xdr:rowOff>
    </xdr:to>
    <xdr:graphicFrame macro="">
      <xdr:nvGraphicFramePr>
        <xdr:cNvPr id="2" name="Chart 1">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48</xdr:row>
      <xdr:rowOff>0</xdr:rowOff>
    </xdr:from>
    <xdr:to>
      <xdr:col>7</xdr:col>
      <xdr:colOff>482600</xdr:colOff>
      <xdr:row>74</xdr:row>
      <xdr:rowOff>165100</xdr:rowOff>
    </xdr:to>
    <xdr:graphicFrame macro="">
      <xdr:nvGraphicFramePr>
        <xdr:cNvPr id="3" name="Chart 2">
          <a:extLst>
            <a:ext uri="{FF2B5EF4-FFF2-40B4-BE49-F238E27FC236}">
              <a16:creationId xmlns:a16="http://schemas.microsoft.com/office/drawing/2014/main" id="{3838D6F8-35AA-4B9C-AFC2-2F166500BA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5</xdr:col>
      <xdr:colOff>127000</xdr:colOff>
      <xdr:row>4</xdr:row>
      <xdr:rowOff>0</xdr:rowOff>
    </xdr:from>
    <xdr:to>
      <xdr:col>19</xdr:col>
      <xdr:colOff>12700</xdr:colOff>
      <xdr:row>29</xdr:row>
      <xdr:rowOff>177800</xdr:rowOff>
    </xdr:to>
    <xdr:graphicFrame macro="">
      <xdr:nvGraphicFramePr>
        <xdr:cNvPr id="2" name="Chart 1">
          <a:extLst>
            <a:ext uri="{FF2B5EF4-FFF2-40B4-BE49-F238E27FC236}">
              <a16:creationId xmlns:a16="http://schemas.microsoft.com/office/drawing/2014/main" id="{56F64C45-14D1-4A5A-8BE5-E1A694093D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5</xdr:col>
      <xdr:colOff>127000</xdr:colOff>
      <xdr:row>4</xdr:row>
      <xdr:rowOff>0</xdr:rowOff>
    </xdr:from>
    <xdr:to>
      <xdr:col>19</xdr:col>
      <xdr:colOff>12700</xdr:colOff>
      <xdr:row>29</xdr:row>
      <xdr:rowOff>177800</xdr:rowOff>
    </xdr:to>
    <xdr:graphicFrame macro="">
      <xdr:nvGraphicFramePr>
        <xdr:cNvPr id="2" name="Chart 1">
          <a:extLst>
            <a:ext uri="{FF2B5EF4-FFF2-40B4-BE49-F238E27FC236}">
              <a16:creationId xmlns:a16="http://schemas.microsoft.com/office/drawing/2014/main" id="{7B40CC96-D89B-4840-B536-1549691228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5</xdr:col>
      <xdr:colOff>375044</xdr:colOff>
      <xdr:row>3</xdr:row>
      <xdr:rowOff>119063</xdr:rowOff>
    </xdr:from>
    <xdr:to>
      <xdr:col>19</xdr:col>
      <xdr:colOff>35718</xdr:colOff>
      <xdr:row>28</xdr:row>
      <xdr:rowOff>59531</xdr:rowOff>
    </xdr:to>
    <xdr:graphicFrame macro="">
      <xdr:nvGraphicFramePr>
        <xdr:cNvPr id="3" name="Chart 2">
          <a:extLst>
            <a:ext uri="{FF2B5EF4-FFF2-40B4-BE49-F238E27FC236}">
              <a16:creationId xmlns:a16="http://schemas.microsoft.com/office/drawing/2014/main" id="{50E1B150-F27A-4034-8E17-6F37B4E2054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5</xdr:col>
      <xdr:colOff>127000</xdr:colOff>
      <xdr:row>5</xdr:row>
      <xdr:rowOff>0</xdr:rowOff>
    </xdr:from>
    <xdr:to>
      <xdr:col>19</xdr:col>
      <xdr:colOff>368300</xdr:colOff>
      <xdr:row>34</xdr:row>
      <xdr:rowOff>38100</xdr:rowOff>
    </xdr:to>
    <xdr:graphicFrame macro="">
      <xdr:nvGraphicFramePr>
        <xdr:cNvPr id="2" name="Chart 1">
          <a:extLst>
            <a:ext uri="{FF2B5EF4-FFF2-40B4-BE49-F238E27FC236}">
              <a16:creationId xmlns:a16="http://schemas.microsoft.com/office/drawing/2014/main" id="{00000000-0008-0000-05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5</xdr:col>
      <xdr:colOff>127000</xdr:colOff>
      <xdr:row>5</xdr:row>
      <xdr:rowOff>114300</xdr:rowOff>
    </xdr:from>
    <xdr:to>
      <xdr:col>19</xdr:col>
      <xdr:colOff>50800</xdr:colOff>
      <xdr:row>32</xdr:row>
      <xdr:rowOff>101600</xdr:rowOff>
    </xdr:to>
    <xdr:graphicFrame macro="">
      <xdr:nvGraphicFramePr>
        <xdr:cNvPr id="2" name="Chart 1">
          <a:extLst>
            <a:ext uri="{FF2B5EF4-FFF2-40B4-BE49-F238E27FC236}">
              <a16:creationId xmlns:a16="http://schemas.microsoft.com/office/drawing/2014/main" id="{00000000-0008-0000-06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5</xdr:col>
      <xdr:colOff>127000</xdr:colOff>
      <xdr:row>4</xdr:row>
      <xdr:rowOff>0</xdr:rowOff>
    </xdr:from>
    <xdr:to>
      <xdr:col>20</xdr:col>
      <xdr:colOff>259772</xdr:colOff>
      <xdr:row>35</xdr:row>
      <xdr:rowOff>0</xdr:rowOff>
    </xdr:to>
    <xdr:graphicFrame macro="">
      <xdr:nvGraphicFramePr>
        <xdr:cNvPr id="2" name="Chart 1">
          <a:extLst>
            <a:ext uri="{FF2B5EF4-FFF2-40B4-BE49-F238E27FC236}">
              <a16:creationId xmlns:a16="http://schemas.microsoft.com/office/drawing/2014/main" id="{7A9863E6-06DB-49B6-991A-3977610624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5</xdr:col>
      <xdr:colOff>127000</xdr:colOff>
      <xdr:row>4</xdr:row>
      <xdr:rowOff>0</xdr:rowOff>
    </xdr:from>
    <xdr:to>
      <xdr:col>20</xdr:col>
      <xdr:colOff>259772</xdr:colOff>
      <xdr:row>35</xdr:row>
      <xdr:rowOff>0</xdr:rowOff>
    </xdr:to>
    <xdr:graphicFrame macro="">
      <xdr:nvGraphicFramePr>
        <xdr:cNvPr id="2" name="Chart 1">
          <a:extLst>
            <a:ext uri="{FF2B5EF4-FFF2-40B4-BE49-F238E27FC236}">
              <a16:creationId xmlns:a16="http://schemas.microsoft.com/office/drawing/2014/main" id="{EE15DF80-649D-45FC-BDD7-CBA7B3F77C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3.xml><?xml version="1.0" encoding="utf-8"?>
<xdr:wsDr xmlns:xdr="http://schemas.openxmlformats.org/drawingml/2006/spreadsheetDrawing" xmlns:a="http://schemas.openxmlformats.org/drawingml/2006/main">
  <xdr:twoCellAnchor>
    <xdr:from>
      <xdr:col>5</xdr:col>
      <xdr:colOff>127000</xdr:colOff>
      <xdr:row>5</xdr:row>
      <xdr:rowOff>114300</xdr:rowOff>
    </xdr:from>
    <xdr:to>
      <xdr:col>19</xdr:col>
      <xdr:colOff>50800</xdr:colOff>
      <xdr:row>32</xdr:row>
      <xdr:rowOff>101600</xdr:rowOff>
    </xdr:to>
    <xdr:graphicFrame macro="">
      <xdr:nvGraphicFramePr>
        <xdr:cNvPr id="2" name="Chart 1">
          <a:extLst>
            <a:ext uri="{FF2B5EF4-FFF2-40B4-BE49-F238E27FC236}">
              <a16:creationId xmlns:a16="http://schemas.microsoft.com/office/drawing/2014/main" id="{BCC7D8AE-3F1E-45C3-9D5E-7D654B9527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4.xml><?xml version="1.0" encoding="utf-8"?>
<xdr:wsDr xmlns:xdr="http://schemas.openxmlformats.org/drawingml/2006/spreadsheetDrawing" xmlns:a="http://schemas.openxmlformats.org/drawingml/2006/main">
  <xdr:twoCellAnchor>
    <xdr:from>
      <xdr:col>5</xdr:col>
      <xdr:colOff>127000</xdr:colOff>
      <xdr:row>5</xdr:row>
      <xdr:rowOff>114300</xdr:rowOff>
    </xdr:from>
    <xdr:to>
      <xdr:col>19</xdr:col>
      <xdr:colOff>50800</xdr:colOff>
      <xdr:row>32</xdr:row>
      <xdr:rowOff>101600</xdr:rowOff>
    </xdr:to>
    <xdr:graphicFrame macro="">
      <xdr:nvGraphicFramePr>
        <xdr:cNvPr id="2" name="Chart 1">
          <a:extLst>
            <a:ext uri="{FF2B5EF4-FFF2-40B4-BE49-F238E27FC236}">
              <a16:creationId xmlns:a16="http://schemas.microsoft.com/office/drawing/2014/main" id="{B37B953D-80DE-4B48-80FD-846EA1ED7F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5.xml><?xml version="1.0" encoding="utf-8"?>
<xdr:wsDr xmlns:xdr="http://schemas.openxmlformats.org/drawingml/2006/spreadsheetDrawing" xmlns:a="http://schemas.openxmlformats.org/drawingml/2006/main">
  <xdr:twoCellAnchor>
    <xdr:from>
      <xdr:col>5</xdr:col>
      <xdr:colOff>127000</xdr:colOff>
      <xdr:row>4</xdr:row>
      <xdr:rowOff>0</xdr:rowOff>
    </xdr:from>
    <xdr:to>
      <xdr:col>19</xdr:col>
      <xdr:colOff>38100</xdr:colOff>
      <xdr:row>35</xdr:row>
      <xdr:rowOff>177800</xdr:rowOff>
    </xdr:to>
    <xdr:graphicFrame macro="">
      <xdr:nvGraphicFramePr>
        <xdr:cNvPr id="2" name="Chart 1">
          <a:extLst>
            <a:ext uri="{FF2B5EF4-FFF2-40B4-BE49-F238E27FC236}">
              <a16:creationId xmlns:a16="http://schemas.microsoft.com/office/drawing/2014/main" id="{00000000-0008-0000-07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6.xml><?xml version="1.0" encoding="utf-8"?>
<xdr:wsDr xmlns:xdr="http://schemas.openxmlformats.org/drawingml/2006/spreadsheetDrawing" xmlns:a="http://schemas.openxmlformats.org/drawingml/2006/main">
  <xdr:twoCellAnchor>
    <xdr:from>
      <xdr:col>7</xdr:col>
      <xdr:colOff>533400</xdr:colOff>
      <xdr:row>6</xdr:row>
      <xdr:rowOff>57150</xdr:rowOff>
    </xdr:from>
    <xdr:to>
      <xdr:col>16</xdr:col>
      <xdr:colOff>158750</xdr:colOff>
      <xdr:row>18</xdr:row>
      <xdr:rowOff>152400</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7.xml><?xml version="1.0" encoding="utf-8"?>
<xdr:wsDr xmlns:xdr="http://schemas.openxmlformats.org/drawingml/2006/spreadsheetDrawing" xmlns:a="http://schemas.openxmlformats.org/drawingml/2006/main">
  <xdr:twoCellAnchor>
    <xdr:from>
      <xdr:col>5</xdr:col>
      <xdr:colOff>204573</xdr:colOff>
      <xdr:row>5</xdr:row>
      <xdr:rowOff>130518</xdr:rowOff>
    </xdr:from>
    <xdr:to>
      <xdr:col>18</xdr:col>
      <xdr:colOff>592095</xdr:colOff>
      <xdr:row>28</xdr:row>
      <xdr:rowOff>90101</xdr:rowOff>
    </xdr:to>
    <xdr:graphicFrame macro="">
      <xdr:nvGraphicFramePr>
        <xdr:cNvPr id="2" name="Chart 1">
          <a:extLst>
            <a:ext uri="{FF2B5EF4-FFF2-40B4-BE49-F238E27FC236}">
              <a16:creationId xmlns:a16="http://schemas.microsoft.com/office/drawing/2014/main" id="{00000000-0008-0000-09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204573</xdr:colOff>
      <xdr:row>5</xdr:row>
      <xdr:rowOff>130518</xdr:rowOff>
    </xdr:from>
    <xdr:to>
      <xdr:col>18</xdr:col>
      <xdr:colOff>592095</xdr:colOff>
      <xdr:row>28</xdr:row>
      <xdr:rowOff>90101</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204573</xdr:colOff>
      <xdr:row>5</xdr:row>
      <xdr:rowOff>130518</xdr:rowOff>
    </xdr:from>
    <xdr:to>
      <xdr:col>18</xdr:col>
      <xdr:colOff>592095</xdr:colOff>
      <xdr:row>28</xdr:row>
      <xdr:rowOff>90101</xdr:rowOff>
    </xdr:to>
    <xdr:graphicFrame macro="">
      <xdr:nvGraphicFramePr>
        <xdr:cNvPr id="4" name="Chart 3">
          <a:extLst>
            <a:ext uri="{FF2B5EF4-FFF2-40B4-BE49-F238E27FC236}">
              <a16:creationId xmlns:a16="http://schemas.microsoft.com/office/drawing/2014/main" id="{00000000-0008-0000-09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8.xml><?xml version="1.0" encoding="utf-8"?>
<xdr:wsDr xmlns:xdr="http://schemas.openxmlformats.org/drawingml/2006/spreadsheetDrawing" xmlns:a="http://schemas.openxmlformats.org/drawingml/2006/main">
  <xdr:twoCellAnchor>
    <xdr:from>
      <xdr:col>6</xdr:col>
      <xdr:colOff>78957</xdr:colOff>
      <xdr:row>7</xdr:row>
      <xdr:rowOff>42441</xdr:rowOff>
    </xdr:from>
    <xdr:to>
      <xdr:col>13</xdr:col>
      <xdr:colOff>767932</xdr:colOff>
      <xdr:row>17</xdr:row>
      <xdr:rowOff>178592</xdr:rowOff>
    </xdr:to>
    <xdr:graphicFrame macro="">
      <xdr:nvGraphicFramePr>
        <xdr:cNvPr id="2" name="Chart 1">
          <a:extLst>
            <a:ext uri="{FF2B5EF4-FFF2-40B4-BE49-F238E27FC236}">
              <a16:creationId xmlns:a16="http://schemas.microsoft.com/office/drawing/2014/main" id="{00000000-0008-0000-0A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524433</xdr:colOff>
      <xdr:row>23</xdr:row>
      <xdr:rowOff>66581</xdr:rowOff>
    </xdr:from>
    <xdr:to>
      <xdr:col>13</xdr:col>
      <xdr:colOff>615155</xdr:colOff>
      <xdr:row>39</xdr:row>
      <xdr:rowOff>47625</xdr:rowOff>
    </xdr:to>
    <xdr:graphicFrame macro="">
      <xdr:nvGraphicFramePr>
        <xdr:cNvPr id="3" name="Chart 2">
          <a:extLst>
            <a:ext uri="{FF2B5EF4-FFF2-40B4-BE49-F238E27FC236}">
              <a16:creationId xmlns:a16="http://schemas.microsoft.com/office/drawing/2014/main" id="{00000000-0008-0000-0A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9.xml><?xml version="1.0" encoding="utf-8"?>
<xdr:wsDr xmlns:xdr="http://schemas.openxmlformats.org/drawingml/2006/spreadsheetDrawing" xmlns:a="http://schemas.openxmlformats.org/drawingml/2006/main">
  <xdr:twoCellAnchor>
    <xdr:from>
      <xdr:col>6</xdr:col>
      <xdr:colOff>33382</xdr:colOff>
      <xdr:row>23</xdr:row>
      <xdr:rowOff>90487</xdr:rowOff>
    </xdr:from>
    <xdr:to>
      <xdr:col>13</xdr:col>
      <xdr:colOff>735805</xdr:colOff>
      <xdr:row>41</xdr:row>
      <xdr:rowOff>47625</xdr:rowOff>
    </xdr:to>
    <xdr:graphicFrame macro="">
      <xdr:nvGraphicFramePr>
        <xdr:cNvPr id="3" name="Chart 2">
          <a:extLst>
            <a:ext uri="{FF2B5EF4-FFF2-40B4-BE49-F238E27FC236}">
              <a16:creationId xmlns:a16="http://schemas.microsoft.com/office/drawing/2014/main" id="{00000000-0008-0000-0C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83337</xdr:colOff>
      <xdr:row>7</xdr:row>
      <xdr:rowOff>23815</xdr:rowOff>
    </xdr:from>
    <xdr:to>
      <xdr:col>13</xdr:col>
      <xdr:colOff>764888</xdr:colOff>
      <xdr:row>18</xdr:row>
      <xdr:rowOff>83346</xdr:rowOff>
    </xdr:to>
    <xdr:graphicFrame macro="">
      <xdr:nvGraphicFramePr>
        <xdr:cNvPr id="4" name="Chart 3">
          <a:extLst>
            <a:ext uri="{FF2B5EF4-FFF2-40B4-BE49-F238E27FC236}">
              <a16:creationId xmlns:a16="http://schemas.microsoft.com/office/drawing/2014/main" id="{00000000-0008-0000-0C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0.xml><?xml version="1.0" encoding="utf-8"?>
<xdr:wsDr xmlns:xdr="http://schemas.openxmlformats.org/drawingml/2006/spreadsheetDrawing" xmlns:a="http://schemas.openxmlformats.org/drawingml/2006/main">
  <xdr:twoCellAnchor>
    <xdr:from>
      <xdr:col>6</xdr:col>
      <xdr:colOff>19697</xdr:colOff>
      <xdr:row>7</xdr:row>
      <xdr:rowOff>6997</xdr:rowOff>
    </xdr:from>
    <xdr:to>
      <xdr:col>14</xdr:col>
      <xdr:colOff>12700</xdr:colOff>
      <xdr:row>18</xdr:row>
      <xdr:rowOff>50471</xdr:rowOff>
    </xdr:to>
    <xdr:graphicFrame macro="">
      <xdr:nvGraphicFramePr>
        <xdr:cNvPr id="2" name="Chart 1">
          <a:extLst>
            <a:ext uri="{FF2B5EF4-FFF2-40B4-BE49-F238E27FC236}">
              <a16:creationId xmlns:a16="http://schemas.microsoft.com/office/drawing/2014/main" id="{00000000-0008-0000-0B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12700</xdr:colOff>
      <xdr:row>23</xdr:row>
      <xdr:rowOff>139700</xdr:rowOff>
    </xdr:from>
    <xdr:to>
      <xdr:col>13</xdr:col>
      <xdr:colOff>596899</xdr:colOff>
      <xdr:row>40</xdr:row>
      <xdr:rowOff>114300</xdr:rowOff>
    </xdr:to>
    <xdr:graphicFrame macro="">
      <xdr:nvGraphicFramePr>
        <xdr:cNvPr id="5" name="Chart 4">
          <a:extLst>
            <a:ext uri="{FF2B5EF4-FFF2-40B4-BE49-F238E27FC236}">
              <a16:creationId xmlns:a16="http://schemas.microsoft.com/office/drawing/2014/main" id="{B1E3CD50-8312-4E93-BA7C-91B96435CAF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1.xml><?xml version="1.0" encoding="utf-8"?>
<xdr:wsDr xmlns:xdr="http://schemas.openxmlformats.org/drawingml/2006/spreadsheetDrawing" xmlns:a="http://schemas.openxmlformats.org/drawingml/2006/main">
  <xdr:twoCellAnchor>
    <xdr:from>
      <xdr:col>5</xdr:col>
      <xdr:colOff>381000</xdr:colOff>
      <xdr:row>6</xdr:row>
      <xdr:rowOff>25400</xdr:rowOff>
    </xdr:from>
    <xdr:to>
      <xdr:col>13</xdr:col>
      <xdr:colOff>520700</xdr:colOff>
      <xdr:row>27</xdr:row>
      <xdr:rowOff>0</xdr:rowOff>
    </xdr:to>
    <xdr:graphicFrame macro="">
      <xdr:nvGraphicFramePr>
        <xdr:cNvPr id="6" name="Chart 5">
          <a:extLst>
            <a:ext uri="{FF2B5EF4-FFF2-40B4-BE49-F238E27FC236}">
              <a16:creationId xmlns:a16="http://schemas.microsoft.com/office/drawing/2014/main" id="{597C43AE-B9BB-4155-A7D0-720DBD0580C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2.xml><?xml version="1.0" encoding="utf-8"?>
<xdr:wsDr xmlns:xdr="http://schemas.openxmlformats.org/drawingml/2006/spreadsheetDrawing" xmlns:a="http://schemas.openxmlformats.org/drawingml/2006/main">
  <xdr:twoCellAnchor>
    <xdr:from>
      <xdr:col>5</xdr:col>
      <xdr:colOff>381000</xdr:colOff>
      <xdr:row>6</xdr:row>
      <xdr:rowOff>25400</xdr:rowOff>
    </xdr:from>
    <xdr:to>
      <xdr:col>13</xdr:col>
      <xdr:colOff>520700</xdr:colOff>
      <xdr:row>27</xdr:row>
      <xdr:rowOff>0</xdr:rowOff>
    </xdr:to>
    <xdr:graphicFrame macro="">
      <xdr:nvGraphicFramePr>
        <xdr:cNvPr id="2" name="Chart 1">
          <a:extLst>
            <a:ext uri="{FF2B5EF4-FFF2-40B4-BE49-F238E27FC236}">
              <a16:creationId xmlns:a16="http://schemas.microsoft.com/office/drawing/2014/main" id="{FA22A961-CCDF-49A6-A4E6-A25E0267B3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3.xml><?xml version="1.0" encoding="utf-8"?>
<xdr:wsDr xmlns:xdr="http://schemas.openxmlformats.org/drawingml/2006/spreadsheetDrawing" xmlns:a="http://schemas.openxmlformats.org/drawingml/2006/main">
  <xdr:twoCellAnchor>
    <xdr:from>
      <xdr:col>5</xdr:col>
      <xdr:colOff>60324</xdr:colOff>
      <xdr:row>7</xdr:row>
      <xdr:rowOff>44450</xdr:rowOff>
    </xdr:from>
    <xdr:to>
      <xdr:col>12</xdr:col>
      <xdr:colOff>63500</xdr:colOff>
      <xdr:row>22</xdr:row>
      <xdr:rowOff>63500</xdr:rowOff>
    </xdr:to>
    <xdr:graphicFrame macro="">
      <xdr:nvGraphicFramePr>
        <xdr:cNvPr id="2" name="Chart 2">
          <a:extLst>
            <a:ext uri="{FF2B5EF4-FFF2-40B4-BE49-F238E27FC236}">
              <a16:creationId xmlns:a16="http://schemas.microsoft.com/office/drawing/2014/main" id="{00000000-0008-0000-0D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4.xml><?xml version="1.0" encoding="utf-8"?>
<xdr:wsDr xmlns:xdr="http://schemas.openxmlformats.org/drawingml/2006/spreadsheetDrawing" xmlns:a="http://schemas.openxmlformats.org/drawingml/2006/main">
  <xdr:twoCellAnchor>
    <xdr:from>
      <xdr:col>5</xdr:col>
      <xdr:colOff>0</xdr:colOff>
      <xdr:row>7</xdr:row>
      <xdr:rowOff>28576</xdr:rowOff>
    </xdr:from>
    <xdr:to>
      <xdr:col>12</xdr:col>
      <xdr:colOff>355600</xdr:colOff>
      <xdr:row>23</xdr:row>
      <xdr:rowOff>165100</xdr:rowOff>
    </xdr:to>
    <xdr:graphicFrame macro="">
      <xdr:nvGraphicFramePr>
        <xdr:cNvPr id="2" name="Chart 2">
          <a:extLst>
            <a:ext uri="{FF2B5EF4-FFF2-40B4-BE49-F238E27FC236}">
              <a16:creationId xmlns:a16="http://schemas.microsoft.com/office/drawing/2014/main" id="{00000000-0008-0000-0E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5.xml><?xml version="1.0" encoding="utf-8"?>
<xdr:wsDr xmlns:xdr="http://schemas.openxmlformats.org/drawingml/2006/spreadsheetDrawing" xmlns:a="http://schemas.openxmlformats.org/drawingml/2006/main">
  <xdr:twoCellAnchor>
    <xdr:from>
      <xdr:col>5</xdr:col>
      <xdr:colOff>98425</xdr:colOff>
      <xdr:row>7</xdr:row>
      <xdr:rowOff>22225</xdr:rowOff>
    </xdr:from>
    <xdr:to>
      <xdr:col>12</xdr:col>
      <xdr:colOff>127000</xdr:colOff>
      <xdr:row>20</xdr:row>
      <xdr:rowOff>12701</xdr:rowOff>
    </xdr:to>
    <xdr:graphicFrame macro="">
      <xdr:nvGraphicFramePr>
        <xdr:cNvPr id="2" name="Chart 2">
          <a:extLst>
            <a:ext uri="{FF2B5EF4-FFF2-40B4-BE49-F238E27FC236}">
              <a16:creationId xmlns:a16="http://schemas.microsoft.com/office/drawing/2014/main" id="{00000000-0008-0000-0F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6.xml><?xml version="1.0" encoding="utf-8"?>
<xdr:wsDr xmlns:xdr="http://schemas.openxmlformats.org/drawingml/2006/spreadsheetDrawing" xmlns:a="http://schemas.openxmlformats.org/drawingml/2006/main">
  <xdr:twoCellAnchor>
    <xdr:from>
      <xdr:col>6</xdr:col>
      <xdr:colOff>50800</xdr:colOff>
      <xdr:row>7</xdr:row>
      <xdr:rowOff>12701</xdr:rowOff>
    </xdr:from>
    <xdr:to>
      <xdr:col>13</xdr:col>
      <xdr:colOff>596900</xdr:colOff>
      <xdr:row>22</xdr:row>
      <xdr:rowOff>12701</xdr:rowOff>
    </xdr:to>
    <xdr:graphicFrame macro="">
      <xdr:nvGraphicFramePr>
        <xdr:cNvPr id="2" name="Chart 1">
          <a:extLst>
            <a:ext uri="{FF2B5EF4-FFF2-40B4-BE49-F238E27FC236}">
              <a16:creationId xmlns:a16="http://schemas.microsoft.com/office/drawing/2014/main" id="{45DB0891-FCBC-45B7-9858-655CF627CF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90B893A6-20AF-4F80-86B2-A7FDAA1161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7.xml><?xml version="1.0" encoding="utf-8"?>
<xdr:wsDr xmlns:xdr="http://schemas.openxmlformats.org/drawingml/2006/spreadsheetDrawing" xmlns:a="http://schemas.openxmlformats.org/drawingml/2006/main">
  <xdr:twoCellAnchor>
    <xdr:from>
      <xdr:col>5</xdr:col>
      <xdr:colOff>139700</xdr:colOff>
      <xdr:row>4</xdr:row>
      <xdr:rowOff>139700</xdr:rowOff>
    </xdr:from>
    <xdr:to>
      <xdr:col>19</xdr:col>
      <xdr:colOff>76200</xdr:colOff>
      <xdr:row>29</xdr:row>
      <xdr:rowOff>114300</xdr:rowOff>
    </xdr:to>
    <xdr:graphicFrame macro="">
      <xdr:nvGraphicFramePr>
        <xdr:cNvPr id="2" name="Chart 1">
          <a:extLst>
            <a:ext uri="{FF2B5EF4-FFF2-40B4-BE49-F238E27FC236}">
              <a16:creationId xmlns:a16="http://schemas.microsoft.com/office/drawing/2014/main" id="{00000000-0008-0000-1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8.xml><?xml version="1.0" encoding="utf-8"?>
<xdr:wsDr xmlns:xdr="http://schemas.openxmlformats.org/drawingml/2006/spreadsheetDrawing" xmlns:a="http://schemas.openxmlformats.org/drawingml/2006/main">
  <xdr:twoCellAnchor>
    <xdr:from>
      <xdr:col>5</xdr:col>
      <xdr:colOff>127000</xdr:colOff>
      <xdr:row>4</xdr:row>
      <xdr:rowOff>0</xdr:rowOff>
    </xdr:from>
    <xdr:to>
      <xdr:col>19</xdr:col>
      <xdr:colOff>0</xdr:colOff>
      <xdr:row>35</xdr:row>
      <xdr:rowOff>0</xdr:rowOff>
    </xdr:to>
    <xdr:graphicFrame macro="">
      <xdr:nvGraphicFramePr>
        <xdr:cNvPr id="2" name="Chart 1">
          <a:extLst>
            <a:ext uri="{FF2B5EF4-FFF2-40B4-BE49-F238E27FC236}">
              <a16:creationId xmlns:a16="http://schemas.microsoft.com/office/drawing/2014/main" id="{00000000-0008-0000-11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9.xml><?xml version="1.0" encoding="utf-8"?>
<xdr:wsDr xmlns:xdr="http://schemas.openxmlformats.org/drawingml/2006/spreadsheetDrawing" xmlns:a="http://schemas.openxmlformats.org/drawingml/2006/main">
  <xdr:twoCellAnchor>
    <xdr:from>
      <xdr:col>5</xdr:col>
      <xdr:colOff>127000</xdr:colOff>
      <xdr:row>4</xdr:row>
      <xdr:rowOff>0</xdr:rowOff>
    </xdr:from>
    <xdr:to>
      <xdr:col>19</xdr:col>
      <xdr:colOff>38100</xdr:colOff>
      <xdr:row>35</xdr:row>
      <xdr:rowOff>0</xdr:rowOff>
    </xdr:to>
    <xdr:graphicFrame macro="">
      <xdr:nvGraphicFramePr>
        <xdr:cNvPr id="2" name="Chart 1">
          <a:extLst>
            <a:ext uri="{FF2B5EF4-FFF2-40B4-BE49-F238E27FC236}">
              <a16:creationId xmlns:a16="http://schemas.microsoft.com/office/drawing/2014/main" id="{00000000-0008-0000-12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0.xml><?xml version="1.0" encoding="utf-8"?>
<xdr:wsDr xmlns:xdr="http://schemas.openxmlformats.org/drawingml/2006/spreadsheetDrawing" xmlns:a="http://schemas.openxmlformats.org/drawingml/2006/main">
  <xdr:twoCellAnchor>
    <xdr:from>
      <xdr:col>5</xdr:col>
      <xdr:colOff>173182</xdr:colOff>
      <xdr:row>4</xdr:row>
      <xdr:rowOff>63334</xdr:rowOff>
    </xdr:from>
    <xdr:to>
      <xdr:col>20</xdr:col>
      <xdr:colOff>383475</xdr:colOff>
      <xdr:row>30</xdr:row>
      <xdr:rowOff>74219</xdr:rowOff>
    </xdr:to>
    <xdr:graphicFrame macro="">
      <xdr:nvGraphicFramePr>
        <xdr:cNvPr id="4" name="Chart 3">
          <a:extLst>
            <a:ext uri="{FF2B5EF4-FFF2-40B4-BE49-F238E27FC236}">
              <a16:creationId xmlns:a16="http://schemas.microsoft.com/office/drawing/2014/main" id="{D1B1988B-ED8B-4FC3-992C-0176E8BA20A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1.xml><?xml version="1.0" encoding="utf-8"?>
<xdr:wsDr xmlns:xdr="http://schemas.openxmlformats.org/drawingml/2006/spreadsheetDrawing" xmlns:a="http://schemas.openxmlformats.org/drawingml/2006/main">
  <xdr:twoCellAnchor>
    <xdr:from>
      <xdr:col>5</xdr:col>
      <xdr:colOff>127000</xdr:colOff>
      <xdr:row>4</xdr:row>
      <xdr:rowOff>0</xdr:rowOff>
    </xdr:from>
    <xdr:to>
      <xdr:col>20</xdr:col>
      <xdr:colOff>259772</xdr:colOff>
      <xdr:row>35</xdr:row>
      <xdr:rowOff>0</xdr:rowOff>
    </xdr:to>
    <xdr:graphicFrame macro="">
      <xdr:nvGraphicFramePr>
        <xdr:cNvPr id="2" name="Chart 1">
          <a:extLst>
            <a:ext uri="{FF2B5EF4-FFF2-40B4-BE49-F238E27FC236}">
              <a16:creationId xmlns:a16="http://schemas.microsoft.com/office/drawing/2014/main" id="{50589203-DB43-44CA-9FC6-68599CB16D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2.xml><?xml version="1.0" encoding="utf-8"?>
<xdr:wsDr xmlns:xdr="http://schemas.openxmlformats.org/drawingml/2006/spreadsheetDrawing" xmlns:a="http://schemas.openxmlformats.org/drawingml/2006/main">
  <xdr:twoCellAnchor>
    <xdr:from>
      <xdr:col>5</xdr:col>
      <xdr:colOff>127000</xdr:colOff>
      <xdr:row>4</xdr:row>
      <xdr:rowOff>0</xdr:rowOff>
    </xdr:from>
    <xdr:to>
      <xdr:col>20</xdr:col>
      <xdr:colOff>259772</xdr:colOff>
      <xdr:row>35</xdr:row>
      <xdr:rowOff>0</xdr:rowOff>
    </xdr:to>
    <xdr:graphicFrame macro="">
      <xdr:nvGraphicFramePr>
        <xdr:cNvPr id="2" name="Chart 1">
          <a:extLst>
            <a:ext uri="{FF2B5EF4-FFF2-40B4-BE49-F238E27FC236}">
              <a16:creationId xmlns:a16="http://schemas.microsoft.com/office/drawing/2014/main" id="{EB3BD7C3-F13A-4097-8AEC-AAEFF6F3D6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3.xml><?xml version="1.0" encoding="utf-8"?>
<xdr:wsDr xmlns:xdr="http://schemas.openxmlformats.org/drawingml/2006/spreadsheetDrawing" xmlns:a="http://schemas.openxmlformats.org/drawingml/2006/main">
  <xdr:twoCellAnchor>
    <xdr:from>
      <xdr:col>5</xdr:col>
      <xdr:colOff>127000</xdr:colOff>
      <xdr:row>4</xdr:row>
      <xdr:rowOff>0</xdr:rowOff>
    </xdr:from>
    <xdr:to>
      <xdr:col>20</xdr:col>
      <xdr:colOff>259772</xdr:colOff>
      <xdr:row>35</xdr:row>
      <xdr:rowOff>0</xdr:rowOff>
    </xdr:to>
    <xdr:graphicFrame macro="">
      <xdr:nvGraphicFramePr>
        <xdr:cNvPr id="2" name="Chart 1">
          <a:extLst>
            <a:ext uri="{FF2B5EF4-FFF2-40B4-BE49-F238E27FC236}">
              <a16:creationId xmlns:a16="http://schemas.microsoft.com/office/drawing/2014/main" id="{6E0825F0-B5A8-4220-A155-5B5E83D04D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4.xml><?xml version="1.0" encoding="utf-8"?>
<xdr:wsDr xmlns:xdr="http://schemas.openxmlformats.org/drawingml/2006/spreadsheetDrawing" xmlns:a="http://schemas.openxmlformats.org/drawingml/2006/main">
  <xdr:twoCellAnchor>
    <xdr:from>
      <xdr:col>5</xdr:col>
      <xdr:colOff>127000</xdr:colOff>
      <xdr:row>4</xdr:row>
      <xdr:rowOff>0</xdr:rowOff>
    </xdr:from>
    <xdr:to>
      <xdr:col>20</xdr:col>
      <xdr:colOff>259772</xdr:colOff>
      <xdr:row>35</xdr:row>
      <xdr:rowOff>0</xdr:rowOff>
    </xdr:to>
    <xdr:graphicFrame macro="">
      <xdr:nvGraphicFramePr>
        <xdr:cNvPr id="2" name="Chart 1">
          <a:extLst>
            <a:ext uri="{FF2B5EF4-FFF2-40B4-BE49-F238E27FC236}">
              <a16:creationId xmlns:a16="http://schemas.microsoft.com/office/drawing/2014/main" id="{921E1EE8-FF04-4EE5-96AD-2CF6A1D1BA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5.xml><?xml version="1.0" encoding="utf-8"?>
<xdr:wsDr xmlns:xdr="http://schemas.openxmlformats.org/drawingml/2006/spreadsheetDrawing" xmlns:a="http://schemas.openxmlformats.org/drawingml/2006/main">
  <xdr:twoCellAnchor>
    <xdr:from>
      <xdr:col>5</xdr:col>
      <xdr:colOff>127000</xdr:colOff>
      <xdr:row>4</xdr:row>
      <xdr:rowOff>0</xdr:rowOff>
    </xdr:from>
    <xdr:to>
      <xdr:col>20</xdr:col>
      <xdr:colOff>259772</xdr:colOff>
      <xdr:row>35</xdr:row>
      <xdr:rowOff>0</xdr:rowOff>
    </xdr:to>
    <xdr:graphicFrame macro="">
      <xdr:nvGraphicFramePr>
        <xdr:cNvPr id="2" name="Chart 1">
          <a:extLst>
            <a:ext uri="{FF2B5EF4-FFF2-40B4-BE49-F238E27FC236}">
              <a16:creationId xmlns:a16="http://schemas.microsoft.com/office/drawing/2014/main" id="{94CD5C2E-E150-476D-933E-24AC5F859E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6.xml><?xml version="1.0" encoding="utf-8"?>
<xdr:wsDr xmlns:xdr="http://schemas.openxmlformats.org/drawingml/2006/spreadsheetDrawing" xmlns:a="http://schemas.openxmlformats.org/drawingml/2006/main">
  <xdr:twoCellAnchor>
    <xdr:from>
      <xdr:col>5</xdr:col>
      <xdr:colOff>127000</xdr:colOff>
      <xdr:row>4</xdr:row>
      <xdr:rowOff>0</xdr:rowOff>
    </xdr:from>
    <xdr:to>
      <xdr:col>20</xdr:col>
      <xdr:colOff>259772</xdr:colOff>
      <xdr:row>35</xdr:row>
      <xdr:rowOff>0</xdr:rowOff>
    </xdr:to>
    <xdr:graphicFrame macro="">
      <xdr:nvGraphicFramePr>
        <xdr:cNvPr id="2" name="Chart 1">
          <a:extLst>
            <a:ext uri="{FF2B5EF4-FFF2-40B4-BE49-F238E27FC236}">
              <a16:creationId xmlns:a16="http://schemas.microsoft.com/office/drawing/2014/main" id="{A2551D5F-9553-4BBD-8F64-6947273FD1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7.xml><?xml version="1.0" encoding="utf-8"?>
<xdr:wsDr xmlns:xdr="http://schemas.openxmlformats.org/drawingml/2006/spreadsheetDrawing" xmlns:a="http://schemas.openxmlformats.org/drawingml/2006/main">
  <xdr:twoCellAnchor>
    <xdr:from>
      <xdr:col>5</xdr:col>
      <xdr:colOff>127000</xdr:colOff>
      <xdr:row>4</xdr:row>
      <xdr:rowOff>0</xdr:rowOff>
    </xdr:from>
    <xdr:to>
      <xdr:col>20</xdr:col>
      <xdr:colOff>259772</xdr:colOff>
      <xdr:row>35</xdr:row>
      <xdr:rowOff>0</xdr:rowOff>
    </xdr:to>
    <xdr:graphicFrame macro="">
      <xdr:nvGraphicFramePr>
        <xdr:cNvPr id="2" name="Chart 1">
          <a:extLst>
            <a:ext uri="{FF2B5EF4-FFF2-40B4-BE49-F238E27FC236}">
              <a16:creationId xmlns:a16="http://schemas.microsoft.com/office/drawing/2014/main" id="{19C7A1BE-3BA3-44D2-AEB0-D440EF48AC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8.xml><?xml version="1.0" encoding="utf-8"?>
<xdr:wsDr xmlns:xdr="http://schemas.openxmlformats.org/drawingml/2006/spreadsheetDrawing" xmlns:a="http://schemas.openxmlformats.org/drawingml/2006/main">
  <xdr:twoCellAnchor>
    <xdr:from>
      <xdr:col>5</xdr:col>
      <xdr:colOff>127000</xdr:colOff>
      <xdr:row>4</xdr:row>
      <xdr:rowOff>0</xdr:rowOff>
    </xdr:from>
    <xdr:to>
      <xdr:col>20</xdr:col>
      <xdr:colOff>259772</xdr:colOff>
      <xdr:row>35</xdr:row>
      <xdr:rowOff>0</xdr:rowOff>
    </xdr:to>
    <xdr:graphicFrame macro="">
      <xdr:nvGraphicFramePr>
        <xdr:cNvPr id="2" name="Chart 1">
          <a:extLst>
            <a:ext uri="{FF2B5EF4-FFF2-40B4-BE49-F238E27FC236}">
              <a16:creationId xmlns:a16="http://schemas.microsoft.com/office/drawing/2014/main" id="{9174975A-5C03-4A9F-AEF7-53DA3550E7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9.xml><?xml version="1.0" encoding="utf-8"?>
<xdr:wsDr xmlns:xdr="http://schemas.openxmlformats.org/drawingml/2006/spreadsheetDrawing" xmlns:a="http://schemas.openxmlformats.org/drawingml/2006/main">
  <xdr:twoCellAnchor>
    <xdr:from>
      <xdr:col>5</xdr:col>
      <xdr:colOff>127000</xdr:colOff>
      <xdr:row>4</xdr:row>
      <xdr:rowOff>0</xdr:rowOff>
    </xdr:from>
    <xdr:to>
      <xdr:col>20</xdr:col>
      <xdr:colOff>259772</xdr:colOff>
      <xdr:row>35</xdr:row>
      <xdr:rowOff>0</xdr:rowOff>
    </xdr:to>
    <xdr:graphicFrame macro="">
      <xdr:nvGraphicFramePr>
        <xdr:cNvPr id="2" name="Chart 1">
          <a:extLst>
            <a:ext uri="{FF2B5EF4-FFF2-40B4-BE49-F238E27FC236}">
              <a16:creationId xmlns:a16="http://schemas.microsoft.com/office/drawing/2014/main" id="{9632FD06-0844-4A9F-BD98-06041CA208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0.xml><?xml version="1.0" encoding="utf-8"?>
<xdr:wsDr xmlns:xdr="http://schemas.openxmlformats.org/drawingml/2006/spreadsheetDrawing" xmlns:a="http://schemas.openxmlformats.org/drawingml/2006/main">
  <xdr:twoCellAnchor>
    <xdr:from>
      <xdr:col>5</xdr:col>
      <xdr:colOff>127000</xdr:colOff>
      <xdr:row>4</xdr:row>
      <xdr:rowOff>0</xdr:rowOff>
    </xdr:from>
    <xdr:to>
      <xdr:col>20</xdr:col>
      <xdr:colOff>259772</xdr:colOff>
      <xdr:row>35</xdr:row>
      <xdr:rowOff>0</xdr:rowOff>
    </xdr:to>
    <xdr:graphicFrame macro="">
      <xdr:nvGraphicFramePr>
        <xdr:cNvPr id="2" name="Chart 1">
          <a:extLst>
            <a:ext uri="{FF2B5EF4-FFF2-40B4-BE49-F238E27FC236}">
              <a16:creationId xmlns:a16="http://schemas.microsoft.com/office/drawing/2014/main" id="{6E1EB4C9-6566-4E83-92C4-EF35A3A0BC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1.xml><?xml version="1.0" encoding="utf-8"?>
<xdr:wsDr xmlns:xdr="http://schemas.openxmlformats.org/drawingml/2006/spreadsheetDrawing" xmlns:a="http://schemas.openxmlformats.org/drawingml/2006/main">
  <xdr:twoCellAnchor>
    <xdr:from>
      <xdr:col>5</xdr:col>
      <xdr:colOff>127000</xdr:colOff>
      <xdr:row>4</xdr:row>
      <xdr:rowOff>0</xdr:rowOff>
    </xdr:from>
    <xdr:to>
      <xdr:col>20</xdr:col>
      <xdr:colOff>259772</xdr:colOff>
      <xdr:row>35</xdr:row>
      <xdr:rowOff>0</xdr:rowOff>
    </xdr:to>
    <xdr:graphicFrame macro="">
      <xdr:nvGraphicFramePr>
        <xdr:cNvPr id="2" name="Chart 1">
          <a:extLst>
            <a:ext uri="{FF2B5EF4-FFF2-40B4-BE49-F238E27FC236}">
              <a16:creationId xmlns:a16="http://schemas.microsoft.com/office/drawing/2014/main" id="{CFBEC7B2-B05A-4BD2-9CC0-D64AED0549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2.xml><?xml version="1.0" encoding="utf-8"?>
<xdr:wsDr xmlns:xdr="http://schemas.openxmlformats.org/drawingml/2006/spreadsheetDrawing" xmlns:a="http://schemas.openxmlformats.org/drawingml/2006/main">
  <xdr:twoCellAnchor>
    <xdr:from>
      <xdr:col>5</xdr:col>
      <xdr:colOff>127000</xdr:colOff>
      <xdr:row>4</xdr:row>
      <xdr:rowOff>0</xdr:rowOff>
    </xdr:from>
    <xdr:to>
      <xdr:col>20</xdr:col>
      <xdr:colOff>259772</xdr:colOff>
      <xdr:row>35</xdr:row>
      <xdr:rowOff>0</xdr:rowOff>
    </xdr:to>
    <xdr:graphicFrame macro="">
      <xdr:nvGraphicFramePr>
        <xdr:cNvPr id="2" name="Chart 1">
          <a:extLst>
            <a:ext uri="{FF2B5EF4-FFF2-40B4-BE49-F238E27FC236}">
              <a16:creationId xmlns:a16="http://schemas.microsoft.com/office/drawing/2014/main" id="{2CD59CF4-95F9-4155-B6F9-66C7736B03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3.xml><?xml version="1.0" encoding="utf-8"?>
<xdr:wsDr xmlns:xdr="http://schemas.openxmlformats.org/drawingml/2006/spreadsheetDrawing" xmlns:a="http://schemas.openxmlformats.org/drawingml/2006/main">
  <xdr:twoCellAnchor>
    <xdr:from>
      <xdr:col>5</xdr:col>
      <xdr:colOff>127000</xdr:colOff>
      <xdr:row>4</xdr:row>
      <xdr:rowOff>0</xdr:rowOff>
    </xdr:from>
    <xdr:to>
      <xdr:col>20</xdr:col>
      <xdr:colOff>259772</xdr:colOff>
      <xdr:row>35</xdr:row>
      <xdr:rowOff>0</xdr:rowOff>
    </xdr:to>
    <xdr:graphicFrame macro="">
      <xdr:nvGraphicFramePr>
        <xdr:cNvPr id="2" name="Chart 1">
          <a:extLst>
            <a:ext uri="{FF2B5EF4-FFF2-40B4-BE49-F238E27FC236}">
              <a16:creationId xmlns:a16="http://schemas.microsoft.com/office/drawing/2014/main" id="{3BFD3804-135E-416E-8448-CD4B34EFEF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4.xml><?xml version="1.0" encoding="utf-8"?>
<xdr:wsDr xmlns:xdr="http://schemas.openxmlformats.org/drawingml/2006/spreadsheetDrawing" xmlns:a="http://schemas.openxmlformats.org/drawingml/2006/main">
  <xdr:twoCellAnchor>
    <xdr:from>
      <xdr:col>5</xdr:col>
      <xdr:colOff>127000</xdr:colOff>
      <xdr:row>4</xdr:row>
      <xdr:rowOff>0</xdr:rowOff>
    </xdr:from>
    <xdr:to>
      <xdr:col>20</xdr:col>
      <xdr:colOff>259772</xdr:colOff>
      <xdr:row>35</xdr:row>
      <xdr:rowOff>0</xdr:rowOff>
    </xdr:to>
    <xdr:graphicFrame macro="">
      <xdr:nvGraphicFramePr>
        <xdr:cNvPr id="2" name="Chart 1">
          <a:extLst>
            <a:ext uri="{FF2B5EF4-FFF2-40B4-BE49-F238E27FC236}">
              <a16:creationId xmlns:a16="http://schemas.microsoft.com/office/drawing/2014/main" id="{C18C1043-8CD0-4099-8389-B5488191AF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5.xml><?xml version="1.0" encoding="utf-8"?>
<xdr:wsDr xmlns:xdr="http://schemas.openxmlformats.org/drawingml/2006/spreadsheetDrawing" xmlns:a="http://schemas.openxmlformats.org/drawingml/2006/main">
  <xdr:twoCellAnchor>
    <xdr:from>
      <xdr:col>4</xdr:col>
      <xdr:colOff>555625</xdr:colOff>
      <xdr:row>7</xdr:row>
      <xdr:rowOff>34925</xdr:rowOff>
    </xdr:from>
    <xdr:to>
      <xdr:col>11</xdr:col>
      <xdr:colOff>584200</xdr:colOff>
      <xdr:row>20</xdr:row>
      <xdr:rowOff>25401</xdr:rowOff>
    </xdr:to>
    <xdr:graphicFrame macro="">
      <xdr:nvGraphicFramePr>
        <xdr:cNvPr id="2" name="Chart 2">
          <a:extLst>
            <a:ext uri="{FF2B5EF4-FFF2-40B4-BE49-F238E27FC236}">
              <a16:creationId xmlns:a16="http://schemas.microsoft.com/office/drawing/2014/main" id="{6D92B242-E9A4-4274-AB6B-8D0E689CA9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0.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1.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2.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3.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4.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5.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16.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17.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18.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19.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20.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printerSettings" Target="../printerSettings/printerSettings21.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25.xml"/><Relationship Id="rId1" Type="http://schemas.openxmlformats.org/officeDocument/2006/relationships/printerSettings" Target="../printerSettings/printerSettings22.bin"/></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27.xml"/><Relationship Id="rId1" Type="http://schemas.openxmlformats.org/officeDocument/2006/relationships/printerSettings" Target="../printerSettings/printerSettings23.bin"/></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_rels/sheet45.xml.rels><?xml version="1.0" encoding="UTF-8" standalone="yes"?>
<Relationships xmlns="http://schemas.openxmlformats.org/package/2006/relationships"><Relationship Id="rId2" Type="http://schemas.openxmlformats.org/officeDocument/2006/relationships/drawing" Target="../drawings/drawing45.xml"/><Relationship Id="rId1" Type="http://schemas.openxmlformats.org/officeDocument/2006/relationships/printerSettings" Target="../printerSettings/printerSettings2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8">
    <tabColor rgb="FFE5E3E3"/>
    <pageSetUpPr fitToPage="1"/>
  </sheetPr>
  <dimension ref="B1:X691"/>
  <sheetViews>
    <sheetView showGridLines="0" zoomScale="75" zoomScaleNormal="75" workbookViewId="0"/>
  </sheetViews>
  <sheetFormatPr defaultColWidth="9.1796875" defaultRowHeight="15.5" x14ac:dyDescent="0.35"/>
  <cols>
    <col min="1" max="1" width="2.81640625" style="3" customWidth="1"/>
    <col min="2" max="2" width="3.81640625" style="3" customWidth="1"/>
    <col min="3" max="3" width="59.1796875" style="3" bestFit="1" customWidth="1"/>
    <col min="4" max="4" width="15.453125" style="3" bestFit="1" customWidth="1"/>
    <col min="5" max="5" width="9.1796875" style="3"/>
    <col min="6" max="6" width="10.7265625" style="3" customWidth="1"/>
    <col min="7" max="7" width="10.54296875" style="3" bestFit="1" customWidth="1"/>
    <col min="8" max="9" width="9.1796875" style="3"/>
    <col min="10" max="11" width="16.453125" style="3" customWidth="1"/>
    <col min="12" max="18" width="9.1796875" style="3"/>
    <col min="19" max="19" width="9.81640625" style="3" customWidth="1"/>
    <col min="20" max="21" width="9.26953125" style="3" bestFit="1" customWidth="1"/>
    <col min="22" max="16384" width="9.1796875" style="3"/>
  </cols>
  <sheetData>
    <row r="1" spans="2:24" ht="16" thickBot="1" x14ac:dyDescent="0.4"/>
    <row r="2" spans="2:24" x14ac:dyDescent="0.35">
      <c r="B2" s="91"/>
      <c r="C2" s="42"/>
      <c r="D2" s="42"/>
      <c r="E2" s="42"/>
      <c r="F2" s="42"/>
      <c r="G2" s="42"/>
      <c r="H2" s="42"/>
      <c r="I2" s="42"/>
      <c r="J2" s="42"/>
      <c r="K2" s="42"/>
      <c r="L2" s="42"/>
      <c r="M2" s="92"/>
    </row>
    <row r="3" spans="2:24" ht="20.25" customHeight="1" x14ac:dyDescent="0.35">
      <c r="B3" s="93"/>
      <c r="C3" s="297" t="s">
        <v>149</v>
      </c>
      <c r="D3" s="297"/>
      <c r="E3" s="297"/>
      <c r="F3" s="297"/>
      <c r="G3" s="297"/>
      <c r="H3" s="297"/>
      <c r="I3" s="297"/>
      <c r="J3" s="297"/>
      <c r="K3" s="297"/>
      <c r="L3" s="297"/>
      <c r="M3" s="298"/>
    </row>
    <row r="4" spans="2:24" x14ac:dyDescent="0.35">
      <c r="B4" s="93"/>
      <c r="C4" s="67" t="s">
        <v>434</v>
      </c>
      <c r="D4" s="29"/>
      <c r="E4" s="29"/>
      <c r="F4" s="5"/>
      <c r="G4" s="5"/>
      <c r="H4" s="5"/>
      <c r="I4" s="5"/>
      <c r="J4" s="5"/>
      <c r="K4" s="5"/>
      <c r="L4" s="5"/>
      <c r="M4" s="20"/>
    </row>
    <row r="5" spans="2:24" ht="20.25" customHeight="1" x14ac:dyDescent="0.35">
      <c r="B5" s="93"/>
      <c r="C5" s="211" t="s">
        <v>435</v>
      </c>
      <c r="D5" s="94" t="s">
        <v>391</v>
      </c>
      <c r="E5" s="19"/>
      <c r="F5" s="5"/>
      <c r="G5" s="5"/>
      <c r="H5" s="5"/>
      <c r="I5" s="5"/>
      <c r="J5" s="5"/>
      <c r="K5" s="5"/>
      <c r="L5" s="5"/>
      <c r="M5" s="20"/>
    </row>
    <row r="6" spans="2:24" x14ac:dyDescent="0.35">
      <c r="B6" s="93"/>
      <c r="C6" s="5"/>
      <c r="D6" s="5"/>
      <c r="E6" s="5"/>
      <c r="F6" s="5"/>
      <c r="G6" s="5"/>
      <c r="H6" s="5"/>
      <c r="I6" s="5"/>
      <c r="J6" s="5"/>
      <c r="K6" s="5"/>
      <c r="L6" s="5"/>
      <c r="M6" s="20"/>
    </row>
    <row r="7" spans="2:24" x14ac:dyDescent="0.35">
      <c r="B7" s="93"/>
      <c r="C7" s="160" t="s">
        <v>43</v>
      </c>
      <c r="D7" s="95" t="s">
        <v>45</v>
      </c>
      <c r="E7" s="5"/>
      <c r="F7" s="299" t="s">
        <v>50</v>
      </c>
      <c r="G7" s="299"/>
      <c r="H7" s="299"/>
      <c r="I7" s="299"/>
      <c r="J7" s="299"/>
      <c r="K7" s="299"/>
      <c r="L7" s="299"/>
      <c r="M7" s="300"/>
    </row>
    <row r="8" spans="2:24" ht="31" x14ac:dyDescent="0.35">
      <c r="B8" s="93"/>
      <c r="C8" s="59" t="s">
        <v>89</v>
      </c>
      <c r="D8" s="174">
        <v>0.96999400000000002</v>
      </c>
      <c r="E8" s="5"/>
      <c r="F8" s="5"/>
      <c r="G8" s="31"/>
      <c r="H8" s="5"/>
      <c r="I8" s="5" t="s">
        <v>90</v>
      </c>
      <c r="J8" s="47">
        <f>D9</f>
        <v>0.96999400000000002</v>
      </c>
      <c r="K8" s="5"/>
      <c r="L8" s="5"/>
      <c r="M8" s="20"/>
      <c r="S8" s="49"/>
      <c r="W8" s="3" t="s">
        <v>3</v>
      </c>
      <c r="X8" s="3">
        <v>0.25058799999999998</v>
      </c>
    </row>
    <row r="9" spans="2:24" x14ac:dyDescent="0.35">
      <c r="B9" s="93"/>
      <c r="C9" s="60" t="s">
        <v>90</v>
      </c>
      <c r="D9" s="175">
        <v>0.96999400000000002</v>
      </c>
      <c r="E9" s="5"/>
      <c r="F9" s="5"/>
      <c r="G9" s="5"/>
      <c r="H9" s="5"/>
      <c r="I9" s="5" t="s">
        <v>20</v>
      </c>
      <c r="J9" s="47">
        <f>D13</f>
        <v>2.0183E-2</v>
      </c>
      <c r="K9" s="5"/>
      <c r="L9" s="5"/>
      <c r="M9" s="20"/>
      <c r="S9" s="49"/>
      <c r="W9" s="3" t="s">
        <v>9</v>
      </c>
      <c r="X9" s="3">
        <v>6.1296999999999997E-2</v>
      </c>
    </row>
    <row r="10" spans="2:24" x14ac:dyDescent="0.35">
      <c r="B10" s="93"/>
      <c r="C10" s="161" t="s">
        <v>99</v>
      </c>
      <c r="D10" s="176">
        <v>9.8230000000000001E-3</v>
      </c>
      <c r="E10" s="5"/>
      <c r="F10" s="5"/>
      <c r="G10" s="5"/>
      <c r="I10" s="3" t="s">
        <v>100</v>
      </c>
      <c r="J10" s="47">
        <f>D11</f>
        <v>9.8230000000000001E-3</v>
      </c>
      <c r="K10" s="5"/>
      <c r="L10" s="5"/>
      <c r="M10" s="20"/>
      <c r="S10" s="49"/>
      <c r="W10" s="3" t="s">
        <v>10</v>
      </c>
      <c r="X10" s="3">
        <v>3.0130999999999998E-2</v>
      </c>
    </row>
    <row r="11" spans="2:24" x14ac:dyDescent="0.35">
      <c r="B11" s="93"/>
      <c r="C11" s="162" t="s">
        <v>100</v>
      </c>
      <c r="D11" s="177">
        <v>9.8230000000000001E-3</v>
      </c>
      <c r="E11" s="5"/>
      <c r="F11" s="5"/>
      <c r="G11" s="5"/>
      <c r="J11" s="5"/>
      <c r="K11" s="5"/>
      <c r="L11" s="5"/>
      <c r="M11" s="20"/>
      <c r="S11" s="49"/>
      <c r="W11" s="3" t="s">
        <v>7</v>
      </c>
      <c r="X11" s="3">
        <v>2.7299E-2</v>
      </c>
    </row>
    <row r="12" spans="2:24" x14ac:dyDescent="0.35">
      <c r="B12" s="93"/>
      <c r="C12" s="161"/>
      <c r="D12" s="83"/>
      <c r="E12" s="5"/>
      <c r="F12" s="5"/>
      <c r="G12" s="5"/>
      <c r="J12" s="5"/>
      <c r="K12" s="5"/>
      <c r="L12" s="5"/>
      <c r="M12" s="20"/>
      <c r="S12" s="49"/>
      <c r="W12" s="3" t="s">
        <v>26</v>
      </c>
      <c r="X12" s="3">
        <v>2.5925E-2</v>
      </c>
    </row>
    <row r="13" spans="2:24" x14ac:dyDescent="0.35">
      <c r="B13" s="93"/>
      <c r="C13" s="162" t="s">
        <v>20</v>
      </c>
      <c r="D13" s="177">
        <v>2.0183E-2</v>
      </c>
      <c r="E13" s="5"/>
      <c r="F13" s="5"/>
      <c r="G13" s="5"/>
      <c r="J13" s="5"/>
      <c r="K13" s="5"/>
      <c r="L13" s="5"/>
      <c r="M13" s="20"/>
      <c r="S13" s="49"/>
      <c r="W13" s="3" t="s">
        <v>8</v>
      </c>
      <c r="X13" s="3">
        <v>2.3822000000000003E-2</v>
      </c>
    </row>
    <row r="14" spans="2:24" x14ac:dyDescent="0.35">
      <c r="B14" s="93"/>
      <c r="C14" s="161"/>
      <c r="D14" s="83"/>
      <c r="E14" s="5"/>
      <c r="F14" s="5"/>
      <c r="G14" s="5"/>
      <c r="H14" s="5"/>
      <c r="I14" s="5"/>
      <c r="J14" s="5"/>
      <c r="K14" s="5"/>
      <c r="L14" s="5"/>
      <c r="M14" s="20"/>
      <c r="S14" s="49"/>
      <c r="W14" s="3" t="s">
        <v>25</v>
      </c>
      <c r="X14" s="3">
        <v>2.3753E-2</v>
      </c>
    </row>
    <row r="15" spans="2:24" x14ac:dyDescent="0.35">
      <c r="B15" s="93"/>
      <c r="C15" s="163" t="s">
        <v>21</v>
      </c>
      <c r="D15" s="84">
        <f>D13+D11+D9</f>
        <v>1</v>
      </c>
      <c r="E15" s="5"/>
      <c r="F15" s="5"/>
      <c r="G15" s="5"/>
      <c r="H15" s="5"/>
      <c r="I15" s="5"/>
      <c r="J15" s="5"/>
      <c r="K15" s="5"/>
      <c r="L15" s="5"/>
      <c r="M15" s="20"/>
      <c r="S15" s="49"/>
      <c r="W15" s="3" t="s">
        <v>17</v>
      </c>
      <c r="X15" s="3">
        <v>1.8620999999999999E-2</v>
      </c>
    </row>
    <row r="16" spans="2:24" x14ac:dyDescent="0.35">
      <c r="B16" s="93"/>
      <c r="E16" s="5"/>
      <c r="F16" s="5"/>
      <c r="G16" s="5"/>
      <c r="H16" s="5"/>
      <c r="I16" s="5"/>
      <c r="J16" s="5"/>
      <c r="K16" s="5"/>
      <c r="L16" s="5"/>
      <c r="M16" s="20"/>
      <c r="S16" s="49"/>
      <c r="W16" s="3" t="s">
        <v>27</v>
      </c>
      <c r="X16" s="3">
        <v>1.7219000000000002E-2</v>
      </c>
    </row>
    <row r="17" spans="2:24" x14ac:dyDescent="0.35">
      <c r="B17" s="93"/>
      <c r="C17" s="35"/>
      <c r="D17" s="36"/>
      <c r="E17" s="5"/>
      <c r="F17" s="5"/>
      <c r="G17" s="5"/>
      <c r="H17" s="5"/>
      <c r="I17" s="5"/>
      <c r="J17" s="5"/>
      <c r="K17" s="5"/>
      <c r="L17" s="5"/>
      <c r="M17" s="20"/>
      <c r="S17" s="49"/>
      <c r="W17" s="3" t="s">
        <v>12</v>
      </c>
      <c r="X17" s="3">
        <v>1.6056000000000001E-2</v>
      </c>
    </row>
    <row r="18" spans="2:24" x14ac:dyDescent="0.35">
      <c r="B18" s="93"/>
      <c r="C18" s="41"/>
      <c r="D18" s="41"/>
      <c r="E18" s="5"/>
      <c r="F18" s="5"/>
      <c r="G18" s="5"/>
      <c r="H18" s="5"/>
      <c r="I18" s="5"/>
      <c r="J18" s="5"/>
      <c r="K18" s="5"/>
      <c r="L18" s="5"/>
      <c r="M18" s="20"/>
      <c r="S18" s="49"/>
      <c r="W18" s="3" t="s">
        <v>6</v>
      </c>
      <c r="X18" s="3">
        <v>1.41E-2</v>
      </c>
    </row>
    <row r="19" spans="2:24" x14ac:dyDescent="0.35">
      <c r="B19" s="93"/>
      <c r="C19" s="35"/>
      <c r="D19" s="37"/>
      <c r="E19" s="5"/>
      <c r="F19" s="5"/>
      <c r="G19" s="5"/>
      <c r="H19" s="5"/>
      <c r="I19" s="5"/>
      <c r="J19" s="5"/>
      <c r="K19" s="5"/>
      <c r="L19" s="5"/>
      <c r="M19" s="20"/>
      <c r="S19" s="49"/>
      <c r="W19" s="3" t="s">
        <v>14</v>
      </c>
      <c r="X19" s="3">
        <v>1.1167E-2</v>
      </c>
    </row>
    <row r="20" spans="2:24" x14ac:dyDescent="0.35">
      <c r="B20" s="93"/>
      <c r="E20" s="5"/>
      <c r="F20" s="5"/>
      <c r="G20" s="5"/>
      <c r="H20" s="5"/>
      <c r="I20" s="5"/>
      <c r="J20" s="5"/>
      <c r="K20" s="5"/>
      <c r="L20" s="5"/>
      <c r="M20" s="20"/>
      <c r="S20" s="49"/>
      <c r="W20" s="3" t="s">
        <v>11</v>
      </c>
      <c r="X20" s="3">
        <v>1.1159000000000001E-2</v>
      </c>
    </row>
    <row r="21" spans="2:24" x14ac:dyDescent="0.35">
      <c r="B21" s="93"/>
      <c r="E21" s="5"/>
      <c r="F21" s="5"/>
      <c r="G21" s="5"/>
      <c r="H21" s="5"/>
      <c r="I21" s="5"/>
      <c r="J21" s="5"/>
      <c r="K21" s="5"/>
      <c r="L21" s="5"/>
      <c r="M21" s="20"/>
      <c r="S21" s="49"/>
      <c r="W21" s="3" t="s">
        <v>18</v>
      </c>
      <c r="X21" s="3">
        <v>1.0543E-2</v>
      </c>
    </row>
    <row r="22" spans="2:24" ht="16" thickBot="1" x14ac:dyDescent="0.4">
      <c r="B22" s="96"/>
      <c r="C22" s="301"/>
      <c r="D22" s="301"/>
      <c r="E22" s="301"/>
      <c r="F22" s="301"/>
      <c r="G22" s="301"/>
      <c r="H22" s="301"/>
      <c r="I22" s="301"/>
      <c r="J22" s="301"/>
      <c r="K22" s="301"/>
      <c r="L22" s="301"/>
      <c r="M22" s="302"/>
      <c r="S22" s="49"/>
    </row>
    <row r="23" spans="2:24" ht="16" thickBot="1" x14ac:dyDescent="0.4">
      <c r="S23" s="49"/>
    </row>
    <row r="24" spans="2:24" ht="15" customHeight="1" x14ac:dyDescent="0.35">
      <c r="B24" s="303" t="s">
        <v>179</v>
      </c>
      <c r="C24" s="304"/>
      <c r="D24" s="304"/>
      <c r="E24" s="304"/>
      <c r="F24" s="304"/>
      <c r="G24" s="304"/>
      <c r="H24" s="304"/>
      <c r="I24" s="304"/>
      <c r="J24" s="304"/>
      <c r="K24" s="304"/>
      <c r="L24" s="304"/>
      <c r="M24" s="304"/>
      <c r="N24" s="305"/>
      <c r="S24" s="49"/>
    </row>
    <row r="25" spans="2:24" ht="15.75" customHeight="1" x14ac:dyDescent="0.35">
      <c r="B25" s="306"/>
      <c r="C25" s="307"/>
      <c r="D25" s="307"/>
      <c r="E25" s="307"/>
      <c r="F25" s="307"/>
      <c r="G25" s="307"/>
      <c r="H25" s="307"/>
      <c r="I25" s="307"/>
      <c r="J25" s="307"/>
      <c r="K25" s="307"/>
      <c r="L25" s="307"/>
      <c r="M25" s="307"/>
      <c r="N25" s="308"/>
      <c r="S25" s="49"/>
    </row>
    <row r="26" spans="2:24" ht="15.75" customHeight="1" x14ac:dyDescent="0.35">
      <c r="B26" s="306"/>
      <c r="C26" s="307"/>
      <c r="D26" s="307"/>
      <c r="E26" s="307"/>
      <c r="F26" s="307"/>
      <c r="G26" s="307"/>
      <c r="H26" s="307"/>
      <c r="I26" s="307"/>
      <c r="J26" s="307"/>
      <c r="K26" s="307"/>
      <c r="L26" s="307"/>
      <c r="M26" s="307"/>
      <c r="N26" s="308"/>
      <c r="S26" s="49"/>
    </row>
    <row r="27" spans="2:24" ht="15.75" customHeight="1" x14ac:dyDescent="0.35">
      <c r="B27" s="306"/>
      <c r="C27" s="307"/>
      <c r="D27" s="307"/>
      <c r="E27" s="307"/>
      <c r="F27" s="307"/>
      <c r="G27" s="307"/>
      <c r="H27" s="307"/>
      <c r="I27" s="307"/>
      <c r="J27" s="307"/>
      <c r="K27" s="307"/>
      <c r="L27" s="307"/>
      <c r="M27" s="307"/>
      <c r="N27" s="308"/>
      <c r="S27" s="49"/>
    </row>
    <row r="28" spans="2:24" ht="15.75" customHeight="1" x14ac:dyDescent="0.35">
      <c r="B28" s="306"/>
      <c r="C28" s="307"/>
      <c r="D28" s="307"/>
      <c r="E28" s="307"/>
      <c r="F28" s="307"/>
      <c r="G28" s="307"/>
      <c r="H28" s="307"/>
      <c r="I28" s="307"/>
      <c r="J28" s="307"/>
      <c r="K28" s="307"/>
      <c r="L28" s="307"/>
      <c r="M28" s="307"/>
      <c r="N28" s="308"/>
      <c r="S28" s="49"/>
    </row>
    <row r="29" spans="2:24" ht="15.75" customHeight="1" x14ac:dyDescent="0.35">
      <c r="B29" s="306"/>
      <c r="C29" s="307"/>
      <c r="D29" s="307"/>
      <c r="E29" s="307"/>
      <c r="F29" s="307"/>
      <c r="G29" s="307"/>
      <c r="H29" s="307"/>
      <c r="I29" s="307"/>
      <c r="J29" s="307"/>
      <c r="K29" s="307"/>
      <c r="L29" s="307"/>
      <c r="M29" s="307"/>
      <c r="N29" s="308"/>
      <c r="S29" s="49"/>
    </row>
    <row r="30" spans="2:24" ht="28.5" customHeight="1" thickBot="1" x14ac:dyDescent="0.4">
      <c r="B30" s="309"/>
      <c r="C30" s="310"/>
      <c r="D30" s="310"/>
      <c r="E30" s="310"/>
      <c r="F30" s="310"/>
      <c r="G30" s="310"/>
      <c r="H30" s="310"/>
      <c r="I30" s="310"/>
      <c r="J30" s="310"/>
      <c r="K30" s="310"/>
      <c r="L30" s="310"/>
      <c r="M30" s="310"/>
      <c r="N30" s="311"/>
      <c r="S30" s="49"/>
    </row>
    <row r="31" spans="2:24" ht="16" thickBot="1" x14ac:dyDescent="0.4">
      <c r="S31" s="49"/>
    </row>
    <row r="32" spans="2:24" x14ac:dyDescent="0.35">
      <c r="B32" s="303" t="s">
        <v>91</v>
      </c>
      <c r="C32" s="304"/>
      <c r="D32" s="304"/>
      <c r="E32" s="304"/>
      <c r="F32" s="304"/>
      <c r="G32" s="304"/>
      <c r="H32" s="304"/>
      <c r="I32" s="304"/>
      <c r="J32" s="304"/>
      <c r="K32" s="304"/>
      <c r="L32" s="304"/>
      <c r="M32" s="304"/>
      <c r="N32" s="305"/>
      <c r="S32" s="49"/>
    </row>
    <row r="33" spans="2:19" x14ac:dyDescent="0.35">
      <c r="B33" s="306"/>
      <c r="C33" s="307"/>
      <c r="D33" s="307"/>
      <c r="E33" s="307"/>
      <c r="F33" s="307"/>
      <c r="G33" s="307"/>
      <c r="H33" s="307"/>
      <c r="I33" s="307"/>
      <c r="J33" s="307"/>
      <c r="K33" s="307"/>
      <c r="L33" s="307"/>
      <c r="M33" s="307"/>
      <c r="N33" s="308"/>
      <c r="S33" s="49"/>
    </row>
    <row r="34" spans="2:19" x14ac:dyDescent="0.35">
      <c r="B34" s="306"/>
      <c r="C34" s="307"/>
      <c r="D34" s="307"/>
      <c r="E34" s="307"/>
      <c r="F34" s="307"/>
      <c r="G34" s="307"/>
      <c r="H34" s="307"/>
      <c r="I34" s="307"/>
      <c r="J34" s="307"/>
      <c r="K34" s="307"/>
      <c r="L34" s="307"/>
      <c r="M34" s="307"/>
      <c r="N34" s="308"/>
      <c r="S34" s="49"/>
    </row>
    <row r="35" spans="2:19" x14ac:dyDescent="0.35">
      <c r="B35" s="306"/>
      <c r="C35" s="307"/>
      <c r="D35" s="307"/>
      <c r="E35" s="307"/>
      <c r="F35" s="307"/>
      <c r="G35" s="307"/>
      <c r="H35" s="307"/>
      <c r="I35" s="307"/>
      <c r="J35" s="307"/>
      <c r="K35" s="307"/>
      <c r="L35" s="307"/>
      <c r="M35" s="307"/>
      <c r="N35" s="308"/>
      <c r="S35" s="49"/>
    </row>
    <row r="36" spans="2:19" x14ac:dyDescent="0.35">
      <c r="B36" s="306"/>
      <c r="C36" s="307"/>
      <c r="D36" s="307"/>
      <c r="E36" s="307"/>
      <c r="F36" s="307"/>
      <c r="G36" s="307"/>
      <c r="H36" s="307"/>
      <c r="I36" s="307"/>
      <c r="J36" s="307"/>
      <c r="K36" s="307"/>
      <c r="L36" s="307"/>
      <c r="M36" s="307"/>
      <c r="N36" s="308"/>
      <c r="S36" s="49"/>
    </row>
    <row r="37" spans="2:19" x14ac:dyDescent="0.35">
      <c r="B37" s="306"/>
      <c r="C37" s="307"/>
      <c r="D37" s="307"/>
      <c r="E37" s="307"/>
      <c r="F37" s="307"/>
      <c r="G37" s="307"/>
      <c r="H37" s="307"/>
      <c r="I37" s="307"/>
      <c r="J37" s="307"/>
      <c r="K37" s="307"/>
      <c r="L37" s="307"/>
      <c r="M37" s="307"/>
      <c r="N37" s="308"/>
      <c r="S37" s="49"/>
    </row>
    <row r="38" spans="2:19" ht="16" thickBot="1" x14ac:dyDescent="0.4">
      <c r="B38" s="309"/>
      <c r="C38" s="310"/>
      <c r="D38" s="310"/>
      <c r="E38" s="310"/>
      <c r="F38" s="310"/>
      <c r="G38" s="310"/>
      <c r="H38" s="310"/>
      <c r="I38" s="310"/>
      <c r="J38" s="310"/>
      <c r="K38" s="310"/>
      <c r="L38" s="310"/>
      <c r="M38" s="310"/>
      <c r="N38" s="311"/>
      <c r="S38" s="49"/>
    </row>
    <row r="39" spans="2:19" x14ac:dyDescent="0.35">
      <c r="S39" s="49"/>
    </row>
    <row r="40" spans="2:19" x14ac:dyDescent="0.35">
      <c r="S40" s="49"/>
    </row>
    <row r="41" spans="2:19" x14ac:dyDescent="0.35">
      <c r="S41" s="49"/>
    </row>
    <row r="42" spans="2:19" x14ac:dyDescent="0.35">
      <c r="S42" s="49"/>
    </row>
    <row r="43" spans="2:19" x14ac:dyDescent="0.35">
      <c r="S43" s="49"/>
    </row>
    <row r="44" spans="2:19" x14ac:dyDescent="0.35">
      <c r="S44" s="49"/>
    </row>
    <row r="45" spans="2:19" x14ac:dyDescent="0.35">
      <c r="S45" s="49"/>
    </row>
    <row r="46" spans="2:19" x14ac:dyDescent="0.35">
      <c r="S46" s="49"/>
    </row>
    <row r="47" spans="2:19" x14ac:dyDescent="0.35">
      <c r="S47" s="49"/>
    </row>
    <row r="48" spans="2:19" x14ac:dyDescent="0.35">
      <c r="S48" s="49"/>
    </row>
    <row r="49" spans="19:19" x14ac:dyDescent="0.35">
      <c r="S49" s="49"/>
    </row>
    <row r="50" spans="19:19" x14ac:dyDescent="0.35">
      <c r="S50" s="49"/>
    </row>
    <row r="51" spans="19:19" x14ac:dyDescent="0.35">
      <c r="S51" s="49"/>
    </row>
    <row r="52" spans="19:19" x14ac:dyDescent="0.35">
      <c r="S52" s="49"/>
    </row>
    <row r="53" spans="19:19" x14ac:dyDescent="0.35">
      <c r="S53" s="49"/>
    </row>
    <row r="54" spans="19:19" x14ac:dyDescent="0.35">
      <c r="S54" s="49"/>
    </row>
    <row r="55" spans="19:19" x14ac:dyDescent="0.35">
      <c r="S55" s="49"/>
    </row>
    <row r="56" spans="19:19" x14ac:dyDescent="0.35">
      <c r="S56" s="49"/>
    </row>
    <row r="57" spans="19:19" x14ac:dyDescent="0.35">
      <c r="S57" s="49"/>
    </row>
    <row r="58" spans="19:19" x14ac:dyDescent="0.35">
      <c r="S58" s="49"/>
    </row>
    <row r="59" spans="19:19" x14ac:dyDescent="0.35">
      <c r="S59" s="49"/>
    </row>
    <row r="60" spans="19:19" x14ac:dyDescent="0.35">
      <c r="S60" s="49"/>
    </row>
    <row r="61" spans="19:19" x14ac:dyDescent="0.35">
      <c r="S61" s="49"/>
    </row>
    <row r="62" spans="19:19" x14ac:dyDescent="0.35">
      <c r="S62" s="49"/>
    </row>
    <row r="63" spans="19:19" x14ac:dyDescent="0.35">
      <c r="S63" s="49"/>
    </row>
    <row r="64" spans="19:19" x14ac:dyDescent="0.35">
      <c r="S64" s="49"/>
    </row>
    <row r="65" spans="19:19" x14ac:dyDescent="0.35">
      <c r="S65" s="49"/>
    </row>
    <row r="66" spans="19:19" x14ac:dyDescent="0.35">
      <c r="S66" s="49"/>
    </row>
    <row r="67" spans="19:19" x14ac:dyDescent="0.35">
      <c r="S67" s="49"/>
    </row>
    <row r="68" spans="19:19" x14ac:dyDescent="0.35">
      <c r="S68" s="49"/>
    </row>
    <row r="69" spans="19:19" x14ac:dyDescent="0.35">
      <c r="S69" s="49"/>
    </row>
    <row r="70" spans="19:19" x14ac:dyDescent="0.35">
      <c r="S70" s="49"/>
    </row>
    <row r="71" spans="19:19" x14ac:dyDescent="0.35">
      <c r="S71" s="49"/>
    </row>
    <row r="72" spans="19:19" x14ac:dyDescent="0.35">
      <c r="S72" s="49"/>
    </row>
    <row r="73" spans="19:19" x14ac:dyDescent="0.35">
      <c r="S73" s="49"/>
    </row>
    <row r="74" spans="19:19" x14ac:dyDescent="0.35">
      <c r="S74" s="49"/>
    </row>
    <row r="75" spans="19:19" x14ac:dyDescent="0.35">
      <c r="S75" s="49"/>
    </row>
    <row r="76" spans="19:19" x14ac:dyDescent="0.35">
      <c r="S76" s="49"/>
    </row>
    <row r="77" spans="19:19" x14ac:dyDescent="0.35">
      <c r="S77" s="49"/>
    </row>
    <row r="78" spans="19:19" x14ac:dyDescent="0.35">
      <c r="S78" s="49"/>
    </row>
    <row r="79" spans="19:19" x14ac:dyDescent="0.35">
      <c r="S79" s="49"/>
    </row>
    <row r="80" spans="19:19" x14ac:dyDescent="0.35">
      <c r="S80" s="49"/>
    </row>
    <row r="81" spans="19:19" x14ac:dyDescent="0.35">
      <c r="S81" s="49"/>
    </row>
    <row r="82" spans="19:19" x14ac:dyDescent="0.35">
      <c r="S82" s="49"/>
    </row>
    <row r="83" spans="19:19" x14ac:dyDescent="0.35">
      <c r="S83" s="49"/>
    </row>
    <row r="84" spans="19:19" x14ac:dyDescent="0.35">
      <c r="S84" s="49"/>
    </row>
    <row r="85" spans="19:19" x14ac:dyDescent="0.35">
      <c r="S85" s="49"/>
    </row>
    <row r="86" spans="19:19" x14ac:dyDescent="0.35">
      <c r="S86" s="49"/>
    </row>
    <row r="87" spans="19:19" x14ac:dyDescent="0.35">
      <c r="S87" s="49"/>
    </row>
    <row r="88" spans="19:19" x14ac:dyDescent="0.35">
      <c r="S88" s="49"/>
    </row>
    <row r="89" spans="19:19" x14ac:dyDescent="0.35">
      <c r="S89" s="49"/>
    </row>
    <row r="90" spans="19:19" x14ac:dyDescent="0.35">
      <c r="S90" s="49"/>
    </row>
    <row r="91" spans="19:19" x14ac:dyDescent="0.35">
      <c r="S91" s="49"/>
    </row>
    <row r="92" spans="19:19" x14ac:dyDescent="0.35">
      <c r="S92" s="49"/>
    </row>
    <row r="93" spans="19:19" x14ac:dyDescent="0.35">
      <c r="S93" s="49"/>
    </row>
    <row r="94" spans="19:19" x14ac:dyDescent="0.35">
      <c r="S94" s="49"/>
    </row>
    <row r="95" spans="19:19" x14ac:dyDescent="0.35">
      <c r="S95" s="49"/>
    </row>
    <row r="96" spans="19:19" x14ac:dyDescent="0.35">
      <c r="S96" s="49"/>
    </row>
    <row r="97" spans="19:19" x14ac:dyDescent="0.35">
      <c r="S97" s="49"/>
    </row>
    <row r="98" spans="19:19" x14ac:dyDescent="0.35">
      <c r="S98" s="49"/>
    </row>
    <row r="99" spans="19:19" x14ac:dyDescent="0.35">
      <c r="S99" s="49"/>
    </row>
    <row r="100" spans="19:19" x14ac:dyDescent="0.35">
      <c r="S100" s="49"/>
    </row>
    <row r="101" spans="19:19" x14ac:dyDescent="0.35">
      <c r="S101" s="49"/>
    </row>
    <row r="102" spans="19:19" x14ac:dyDescent="0.35">
      <c r="S102" s="49"/>
    </row>
    <row r="103" spans="19:19" x14ac:dyDescent="0.35">
      <c r="S103" s="49"/>
    </row>
    <row r="104" spans="19:19" x14ac:dyDescent="0.35">
      <c r="S104" s="49"/>
    </row>
    <row r="105" spans="19:19" x14ac:dyDescent="0.35">
      <c r="S105" s="49"/>
    </row>
    <row r="106" spans="19:19" x14ac:dyDescent="0.35">
      <c r="S106" s="49"/>
    </row>
    <row r="107" spans="19:19" x14ac:dyDescent="0.35">
      <c r="S107" s="49"/>
    </row>
    <row r="108" spans="19:19" x14ac:dyDescent="0.35">
      <c r="S108" s="49"/>
    </row>
    <row r="109" spans="19:19" x14ac:dyDescent="0.35">
      <c r="S109" s="49"/>
    </row>
    <row r="110" spans="19:19" x14ac:dyDescent="0.35">
      <c r="S110" s="49"/>
    </row>
    <row r="111" spans="19:19" x14ac:dyDescent="0.35">
      <c r="S111" s="49"/>
    </row>
    <row r="112" spans="19:19" x14ac:dyDescent="0.35">
      <c r="S112" s="49"/>
    </row>
    <row r="113" spans="19:19" x14ac:dyDescent="0.35">
      <c r="S113" s="49"/>
    </row>
    <row r="114" spans="19:19" x14ac:dyDescent="0.35">
      <c r="S114" s="49"/>
    </row>
    <row r="115" spans="19:19" x14ac:dyDescent="0.35">
      <c r="S115" s="49"/>
    </row>
    <row r="116" spans="19:19" x14ac:dyDescent="0.35">
      <c r="S116" s="49"/>
    </row>
    <row r="117" spans="19:19" x14ac:dyDescent="0.35">
      <c r="S117" s="49"/>
    </row>
    <row r="118" spans="19:19" x14ac:dyDescent="0.35">
      <c r="S118" s="49"/>
    </row>
    <row r="119" spans="19:19" x14ac:dyDescent="0.35">
      <c r="S119" s="49"/>
    </row>
    <row r="120" spans="19:19" x14ac:dyDescent="0.35">
      <c r="S120" s="49"/>
    </row>
    <row r="121" spans="19:19" x14ac:dyDescent="0.35">
      <c r="S121" s="49"/>
    </row>
    <row r="122" spans="19:19" x14ac:dyDescent="0.35">
      <c r="S122" s="49"/>
    </row>
    <row r="123" spans="19:19" x14ac:dyDescent="0.35">
      <c r="S123" s="49"/>
    </row>
    <row r="124" spans="19:19" x14ac:dyDescent="0.35">
      <c r="S124" s="49"/>
    </row>
    <row r="125" spans="19:19" x14ac:dyDescent="0.35">
      <c r="S125" s="49"/>
    </row>
    <row r="126" spans="19:19" x14ac:dyDescent="0.35">
      <c r="S126" s="49"/>
    </row>
    <row r="127" spans="19:19" x14ac:dyDescent="0.35">
      <c r="S127" s="49"/>
    </row>
    <row r="128" spans="19:19" x14ac:dyDescent="0.35">
      <c r="S128" s="49"/>
    </row>
    <row r="129" spans="19:19" x14ac:dyDescent="0.35">
      <c r="S129" s="49"/>
    </row>
    <row r="130" spans="19:19" x14ac:dyDescent="0.35">
      <c r="S130" s="49"/>
    </row>
    <row r="131" spans="19:19" x14ac:dyDescent="0.35">
      <c r="S131" s="49"/>
    </row>
    <row r="132" spans="19:19" x14ac:dyDescent="0.35">
      <c r="S132" s="49"/>
    </row>
    <row r="133" spans="19:19" x14ac:dyDescent="0.35">
      <c r="S133" s="49"/>
    </row>
    <row r="134" spans="19:19" x14ac:dyDescent="0.35">
      <c r="S134" s="49"/>
    </row>
    <row r="135" spans="19:19" x14ac:dyDescent="0.35">
      <c r="S135" s="49"/>
    </row>
    <row r="136" spans="19:19" x14ac:dyDescent="0.35">
      <c r="S136" s="49"/>
    </row>
    <row r="137" spans="19:19" x14ac:dyDescent="0.35">
      <c r="S137" s="49"/>
    </row>
    <row r="138" spans="19:19" x14ac:dyDescent="0.35">
      <c r="S138" s="49"/>
    </row>
    <row r="139" spans="19:19" x14ac:dyDescent="0.35">
      <c r="S139" s="49"/>
    </row>
    <row r="140" spans="19:19" x14ac:dyDescent="0.35">
      <c r="S140" s="49"/>
    </row>
    <row r="141" spans="19:19" x14ac:dyDescent="0.35">
      <c r="S141" s="49"/>
    </row>
    <row r="142" spans="19:19" x14ac:dyDescent="0.35">
      <c r="S142" s="49"/>
    </row>
    <row r="143" spans="19:19" x14ac:dyDescent="0.35">
      <c r="S143" s="49"/>
    </row>
    <row r="144" spans="19:19" x14ac:dyDescent="0.35">
      <c r="S144" s="49"/>
    </row>
    <row r="145" spans="19:19" x14ac:dyDescent="0.35">
      <c r="S145" s="49"/>
    </row>
    <row r="146" spans="19:19" x14ac:dyDescent="0.35">
      <c r="S146" s="49"/>
    </row>
    <row r="147" spans="19:19" x14ac:dyDescent="0.35">
      <c r="S147" s="49"/>
    </row>
    <row r="148" spans="19:19" x14ac:dyDescent="0.35">
      <c r="S148" s="49"/>
    </row>
    <row r="149" spans="19:19" x14ac:dyDescent="0.35">
      <c r="S149" s="49"/>
    </row>
    <row r="150" spans="19:19" x14ac:dyDescent="0.35">
      <c r="S150" s="49"/>
    </row>
    <row r="151" spans="19:19" x14ac:dyDescent="0.35">
      <c r="S151" s="49"/>
    </row>
    <row r="152" spans="19:19" x14ac:dyDescent="0.35">
      <c r="S152" s="49"/>
    </row>
    <row r="153" spans="19:19" x14ac:dyDescent="0.35">
      <c r="S153" s="49"/>
    </row>
    <row r="154" spans="19:19" x14ac:dyDescent="0.35">
      <c r="S154" s="49"/>
    </row>
    <row r="155" spans="19:19" x14ac:dyDescent="0.35">
      <c r="S155" s="49"/>
    </row>
    <row r="156" spans="19:19" x14ac:dyDescent="0.35">
      <c r="S156" s="49"/>
    </row>
    <row r="157" spans="19:19" x14ac:dyDescent="0.35">
      <c r="S157" s="49"/>
    </row>
    <row r="158" spans="19:19" x14ac:dyDescent="0.35">
      <c r="S158" s="49"/>
    </row>
    <row r="159" spans="19:19" x14ac:dyDescent="0.35">
      <c r="S159" s="49"/>
    </row>
    <row r="160" spans="19:19" x14ac:dyDescent="0.35">
      <c r="S160" s="49"/>
    </row>
    <row r="161" spans="19:19" x14ac:dyDescent="0.35">
      <c r="S161" s="49"/>
    </row>
    <row r="162" spans="19:19" x14ac:dyDescent="0.35">
      <c r="S162" s="49"/>
    </row>
    <row r="163" spans="19:19" x14ac:dyDescent="0.35">
      <c r="S163" s="49"/>
    </row>
    <row r="164" spans="19:19" x14ac:dyDescent="0.35">
      <c r="S164" s="49"/>
    </row>
    <row r="165" spans="19:19" x14ac:dyDescent="0.35">
      <c r="S165" s="49"/>
    </row>
    <row r="166" spans="19:19" x14ac:dyDescent="0.35">
      <c r="S166" s="49"/>
    </row>
    <row r="167" spans="19:19" x14ac:dyDescent="0.35">
      <c r="S167" s="49"/>
    </row>
    <row r="168" spans="19:19" x14ac:dyDescent="0.35">
      <c r="S168" s="49"/>
    </row>
    <row r="169" spans="19:19" x14ac:dyDescent="0.35">
      <c r="S169" s="49"/>
    </row>
    <row r="170" spans="19:19" x14ac:dyDescent="0.35">
      <c r="S170" s="49"/>
    </row>
    <row r="171" spans="19:19" x14ac:dyDescent="0.35">
      <c r="S171" s="49"/>
    </row>
    <row r="172" spans="19:19" x14ac:dyDescent="0.35">
      <c r="S172" s="49"/>
    </row>
    <row r="173" spans="19:19" x14ac:dyDescent="0.35">
      <c r="S173" s="49"/>
    </row>
    <row r="174" spans="19:19" x14ac:dyDescent="0.35">
      <c r="S174" s="49"/>
    </row>
    <row r="175" spans="19:19" x14ac:dyDescent="0.35">
      <c r="S175" s="49"/>
    </row>
    <row r="176" spans="19:19" x14ac:dyDescent="0.35">
      <c r="S176" s="49"/>
    </row>
    <row r="177" spans="19:19" x14ac:dyDescent="0.35">
      <c r="S177" s="49"/>
    </row>
    <row r="178" spans="19:19" x14ac:dyDescent="0.35">
      <c r="S178" s="49"/>
    </row>
    <row r="179" spans="19:19" x14ac:dyDescent="0.35">
      <c r="S179" s="49"/>
    </row>
    <row r="180" spans="19:19" x14ac:dyDescent="0.35">
      <c r="S180" s="49"/>
    </row>
    <row r="181" spans="19:19" x14ac:dyDescent="0.35">
      <c r="S181" s="49"/>
    </row>
    <row r="182" spans="19:19" x14ac:dyDescent="0.35">
      <c r="S182" s="49"/>
    </row>
    <row r="183" spans="19:19" x14ac:dyDescent="0.35">
      <c r="S183" s="49"/>
    </row>
    <row r="184" spans="19:19" x14ac:dyDescent="0.35">
      <c r="S184" s="49"/>
    </row>
    <row r="185" spans="19:19" x14ac:dyDescent="0.35">
      <c r="S185" s="49"/>
    </row>
    <row r="186" spans="19:19" x14ac:dyDescent="0.35">
      <c r="S186" s="49"/>
    </row>
    <row r="187" spans="19:19" x14ac:dyDescent="0.35">
      <c r="S187" s="49"/>
    </row>
    <row r="188" spans="19:19" x14ac:dyDescent="0.35">
      <c r="S188" s="49"/>
    </row>
    <row r="189" spans="19:19" x14ac:dyDescent="0.35">
      <c r="S189" s="49"/>
    </row>
    <row r="190" spans="19:19" x14ac:dyDescent="0.35">
      <c r="S190" s="49"/>
    </row>
    <row r="191" spans="19:19" x14ac:dyDescent="0.35">
      <c r="S191" s="49"/>
    </row>
    <row r="192" spans="19:19" x14ac:dyDescent="0.35">
      <c r="S192" s="49"/>
    </row>
    <row r="193" spans="19:19" x14ac:dyDescent="0.35">
      <c r="S193" s="49"/>
    </row>
    <row r="194" spans="19:19" x14ac:dyDescent="0.35">
      <c r="S194" s="49"/>
    </row>
    <row r="195" spans="19:19" x14ac:dyDescent="0.35">
      <c r="S195" s="49"/>
    </row>
    <row r="196" spans="19:19" x14ac:dyDescent="0.35">
      <c r="S196" s="49"/>
    </row>
    <row r="197" spans="19:19" x14ac:dyDescent="0.35">
      <c r="S197" s="49"/>
    </row>
    <row r="198" spans="19:19" x14ac:dyDescent="0.35">
      <c r="S198" s="49"/>
    </row>
    <row r="199" spans="19:19" x14ac:dyDescent="0.35">
      <c r="S199" s="49"/>
    </row>
    <row r="200" spans="19:19" x14ac:dyDescent="0.35">
      <c r="S200" s="49"/>
    </row>
    <row r="201" spans="19:19" x14ac:dyDescent="0.35">
      <c r="S201" s="49"/>
    </row>
    <row r="202" spans="19:19" x14ac:dyDescent="0.35">
      <c r="S202" s="49"/>
    </row>
    <row r="203" spans="19:19" x14ac:dyDescent="0.35">
      <c r="S203" s="49"/>
    </row>
    <row r="204" spans="19:19" x14ac:dyDescent="0.35">
      <c r="S204" s="49"/>
    </row>
    <row r="205" spans="19:19" x14ac:dyDescent="0.35">
      <c r="S205" s="49"/>
    </row>
    <row r="206" spans="19:19" x14ac:dyDescent="0.35">
      <c r="S206" s="49"/>
    </row>
    <row r="207" spans="19:19" x14ac:dyDescent="0.35">
      <c r="S207" s="49"/>
    </row>
    <row r="208" spans="19:19" x14ac:dyDescent="0.35">
      <c r="S208" s="49"/>
    </row>
    <row r="209" spans="19:19" x14ac:dyDescent="0.35">
      <c r="S209" s="49"/>
    </row>
    <row r="210" spans="19:19" x14ac:dyDescent="0.35">
      <c r="S210" s="49"/>
    </row>
    <row r="211" spans="19:19" x14ac:dyDescent="0.35">
      <c r="S211" s="49"/>
    </row>
    <row r="212" spans="19:19" x14ac:dyDescent="0.35">
      <c r="S212" s="49"/>
    </row>
    <row r="213" spans="19:19" x14ac:dyDescent="0.35">
      <c r="S213" s="49"/>
    </row>
    <row r="214" spans="19:19" x14ac:dyDescent="0.35">
      <c r="S214" s="49"/>
    </row>
    <row r="215" spans="19:19" x14ac:dyDescent="0.35">
      <c r="S215" s="49"/>
    </row>
    <row r="216" spans="19:19" x14ac:dyDescent="0.35">
      <c r="S216" s="49"/>
    </row>
    <row r="217" spans="19:19" x14ac:dyDescent="0.35">
      <c r="S217" s="49"/>
    </row>
    <row r="218" spans="19:19" x14ac:dyDescent="0.35">
      <c r="S218" s="49"/>
    </row>
    <row r="219" spans="19:19" x14ac:dyDescent="0.35">
      <c r="S219" s="49"/>
    </row>
    <row r="220" spans="19:19" x14ac:dyDescent="0.35">
      <c r="S220" s="49"/>
    </row>
    <row r="221" spans="19:19" x14ac:dyDescent="0.35">
      <c r="S221" s="49"/>
    </row>
    <row r="222" spans="19:19" x14ac:dyDescent="0.35">
      <c r="S222" s="49"/>
    </row>
    <row r="223" spans="19:19" x14ac:dyDescent="0.35">
      <c r="S223" s="49"/>
    </row>
    <row r="224" spans="19:19" x14ac:dyDescent="0.35">
      <c r="S224" s="49"/>
    </row>
    <row r="225" spans="19:19" x14ac:dyDescent="0.35">
      <c r="S225" s="49"/>
    </row>
    <row r="226" spans="19:19" x14ac:dyDescent="0.35">
      <c r="S226" s="49"/>
    </row>
    <row r="227" spans="19:19" x14ac:dyDescent="0.35">
      <c r="S227" s="49"/>
    </row>
    <row r="228" spans="19:19" x14ac:dyDescent="0.35">
      <c r="S228" s="49"/>
    </row>
    <row r="229" spans="19:19" x14ac:dyDescent="0.35">
      <c r="S229" s="49"/>
    </row>
    <row r="230" spans="19:19" x14ac:dyDescent="0.35">
      <c r="S230" s="49"/>
    </row>
    <row r="231" spans="19:19" x14ac:dyDescent="0.35">
      <c r="S231" s="49"/>
    </row>
    <row r="232" spans="19:19" x14ac:dyDescent="0.35">
      <c r="S232" s="49"/>
    </row>
    <row r="233" spans="19:19" x14ac:dyDescent="0.35">
      <c r="S233" s="49"/>
    </row>
    <row r="234" spans="19:19" x14ac:dyDescent="0.35">
      <c r="S234" s="49"/>
    </row>
    <row r="235" spans="19:19" x14ac:dyDescent="0.35">
      <c r="S235" s="49"/>
    </row>
    <row r="236" spans="19:19" x14ac:dyDescent="0.35">
      <c r="S236" s="49"/>
    </row>
    <row r="237" spans="19:19" x14ac:dyDescent="0.35">
      <c r="S237" s="49"/>
    </row>
    <row r="238" spans="19:19" x14ac:dyDescent="0.35">
      <c r="S238" s="49"/>
    </row>
    <row r="239" spans="19:19" x14ac:dyDescent="0.35">
      <c r="S239" s="49"/>
    </row>
    <row r="240" spans="19:19" x14ac:dyDescent="0.35">
      <c r="S240" s="49"/>
    </row>
    <row r="241" spans="19:19" x14ac:dyDescent="0.35">
      <c r="S241" s="49"/>
    </row>
    <row r="242" spans="19:19" x14ac:dyDescent="0.35">
      <c r="S242" s="49"/>
    </row>
    <row r="243" spans="19:19" x14ac:dyDescent="0.35">
      <c r="S243" s="49"/>
    </row>
    <row r="244" spans="19:19" x14ac:dyDescent="0.35">
      <c r="S244" s="49"/>
    </row>
    <row r="245" spans="19:19" x14ac:dyDescent="0.35">
      <c r="S245" s="49"/>
    </row>
    <row r="246" spans="19:19" x14ac:dyDescent="0.35">
      <c r="S246" s="49"/>
    </row>
    <row r="247" spans="19:19" x14ac:dyDescent="0.35">
      <c r="S247" s="49"/>
    </row>
    <row r="248" spans="19:19" x14ac:dyDescent="0.35">
      <c r="S248" s="49"/>
    </row>
    <row r="249" spans="19:19" x14ac:dyDescent="0.35">
      <c r="S249" s="49"/>
    </row>
    <row r="250" spans="19:19" x14ac:dyDescent="0.35">
      <c r="S250" s="49"/>
    </row>
    <row r="251" spans="19:19" x14ac:dyDescent="0.35">
      <c r="S251" s="49"/>
    </row>
    <row r="252" spans="19:19" x14ac:dyDescent="0.35">
      <c r="S252" s="49"/>
    </row>
    <row r="253" spans="19:19" x14ac:dyDescent="0.35">
      <c r="S253" s="49"/>
    </row>
    <row r="254" spans="19:19" x14ac:dyDescent="0.35">
      <c r="S254" s="49"/>
    </row>
    <row r="255" spans="19:19" x14ac:dyDescent="0.35">
      <c r="S255" s="49"/>
    </row>
    <row r="256" spans="19:19" x14ac:dyDescent="0.35">
      <c r="S256" s="49"/>
    </row>
    <row r="257" spans="19:19" x14ac:dyDescent="0.35">
      <c r="S257" s="49"/>
    </row>
    <row r="258" spans="19:19" x14ac:dyDescent="0.35">
      <c r="S258" s="49"/>
    </row>
    <row r="259" spans="19:19" x14ac:dyDescent="0.35">
      <c r="S259" s="49"/>
    </row>
    <row r="260" spans="19:19" x14ac:dyDescent="0.35">
      <c r="S260" s="49"/>
    </row>
    <row r="261" spans="19:19" x14ac:dyDescent="0.35">
      <c r="S261" s="49"/>
    </row>
    <row r="262" spans="19:19" x14ac:dyDescent="0.35">
      <c r="S262" s="49"/>
    </row>
    <row r="263" spans="19:19" x14ac:dyDescent="0.35">
      <c r="S263" s="49"/>
    </row>
    <row r="264" spans="19:19" x14ac:dyDescent="0.35">
      <c r="S264" s="49"/>
    </row>
    <row r="265" spans="19:19" x14ac:dyDescent="0.35">
      <c r="S265" s="49"/>
    </row>
    <row r="266" spans="19:19" x14ac:dyDescent="0.35">
      <c r="S266" s="49"/>
    </row>
    <row r="267" spans="19:19" x14ac:dyDescent="0.35">
      <c r="S267" s="49"/>
    </row>
    <row r="268" spans="19:19" x14ac:dyDescent="0.35">
      <c r="S268" s="49"/>
    </row>
    <row r="269" spans="19:19" x14ac:dyDescent="0.35">
      <c r="S269" s="49"/>
    </row>
    <row r="270" spans="19:19" x14ac:dyDescent="0.35">
      <c r="S270" s="49"/>
    </row>
    <row r="271" spans="19:19" x14ac:dyDescent="0.35">
      <c r="S271" s="49"/>
    </row>
    <row r="272" spans="19:19" x14ac:dyDescent="0.35">
      <c r="S272" s="49"/>
    </row>
    <row r="273" spans="19:19" x14ac:dyDescent="0.35">
      <c r="S273" s="49"/>
    </row>
    <row r="274" spans="19:19" x14ac:dyDescent="0.35">
      <c r="S274" s="49"/>
    </row>
    <row r="275" spans="19:19" x14ac:dyDescent="0.35">
      <c r="S275" s="49"/>
    </row>
    <row r="276" spans="19:19" x14ac:dyDescent="0.35">
      <c r="S276" s="49"/>
    </row>
    <row r="277" spans="19:19" x14ac:dyDescent="0.35">
      <c r="S277" s="49"/>
    </row>
    <row r="278" spans="19:19" x14ac:dyDescent="0.35">
      <c r="S278" s="49"/>
    </row>
    <row r="279" spans="19:19" x14ac:dyDescent="0.35">
      <c r="S279" s="49"/>
    </row>
    <row r="280" spans="19:19" x14ac:dyDescent="0.35">
      <c r="S280" s="49"/>
    </row>
    <row r="281" spans="19:19" x14ac:dyDescent="0.35">
      <c r="S281" s="49"/>
    </row>
    <row r="282" spans="19:19" x14ac:dyDescent="0.35">
      <c r="S282" s="49"/>
    </row>
    <row r="283" spans="19:19" x14ac:dyDescent="0.35">
      <c r="S283" s="49"/>
    </row>
    <row r="284" spans="19:19" x14ac:dyDescent="0.35">
      <c r="S284" s="49"/>
    </row>
    <row r="285" spans="19:19" x14ac:dyDescent="0.35">
      <c r="S285" s="49"/>
    </row>
    <row r="286" spans="19:19" x14ac:dyDescent="0.35">
      <c r="S286" s="49"/>
    </row>
    <row r="287" spans="19:19" x14ac:dyDescent="0.35">
      <c r="S287" s="49"/>
    </row>
    <row r="288" spans="19:19" x14ac:dyDescent="0.35">
      <c r="S288" s="49"/>
    </row>
    <row r="289" spans="19:19" x14ac:dyDescent="0.35">
      <c r="S289" s="49"/>
    </row>
    <row r="290" spans="19:19" x14ac:dyDescent="0.35">
      <c r="S290" s="49"/>
    </row>
    <row r="291" spans="19:19" x14ac:dyDescent="0.35">
      <c r="S291" s="49"/>
    </row>
    <row r="292" spans="19:19" x14ac:dyDescent="0.35">
      <c r="S292" s="49"/>
    </row>
    <row r="293" spans="19:19" x14ac:dyDescent="0.35">
      <c r="S293" s="49"/>
    </row>
    <row r="294" spans="19:19" x14ac:dyDescent="0.35">
      <c r="S294" s="49"/>
    </row>
    <row r="295" spans="19:19" x14ac:dyDescent="0.35">
      <c r="S295" s="49"/>
    </row>
    <row r="296" spans="19:19" x14ac:dyDescent="0.35">
      <c r="S296" s="49"/>
    </row>
    <row r="297" spans="19:19" x14ac:dyDescent="0.35">
      <c r="S297" s="49"/>
    </row>
    <row r="298" spans="19:19" x14ac:dyDescent="0.35">
      <c r="S298" s="49"/>
    </row>
    <row r="299" spans="19:19" x14ac:dyDescent="0.35">
      <c r="S299" s="49"/>
    </row>
    <row r="300" spans="19:19" x14ac:dyDescent="0.35">
      <c r="S300" s="49"/>
    </row>
    <row r="301" spans="19:19" x14ac:dyDescent="0.35">
      <c r="S301" s="49"/>
    </row>
    <row r="302" spans="19:19" x14ac:dyDescent="0.35">
      <c r="S302" s="49"/>
    </row>
    <row r="303" spans="19:19" x14ac:dyDescent="0.35">
      <c r="S303" s="49"/>
    </row>
    <row r="304" spans="19:19" x14ac:dyDescent="0.35">
      <c r="S304" s="49"/>
    </row>
    <row r="305" spans="19:19" x14ac:dyDescent="0.35">
      <c r="S305" s="49"/>
    </row>
    <row r="306" spans="19:19" x14ac:dyDescent="0.35">
      <c r="S306" s="49"/>
    </row>
    <row r="307" spans="19:19" x14ac:dyDescent="0.35">
      <c r="S307" s="49"/>
    </row>
    <row r="308" spans="19:19" x14ac:dyDescent="0.35">
      <c r="S308" s="49"/>
    </row>
    <row r="309" spans="19:19" x14ac:dyDescent="0.35">
      <c r="S309" s="49"/>
    </row>
    <row r="310" spans="19:19" x14ac:dyDescent="0.35">
      <c r="S310" s="49"/>
    </row>
    <row r="311" spans="19:19" x14ac:dyDescent="0.35">
      <c r="S311" s="49"/>
    </row>
    <row r="312" spans="19:19" x14ac:dyDescent="0.35">
      <c r="S312" s="49"/>
    </row>
    <row r="313" spans="19:19" x14ac:dyDescent="0.35">
      <c r="S313" s="49"/>
    </row>
    <row r="314" spans="19:19" x14ac:dyDescent="0.35">
      <c r="S314" s="49"/>
    </row>
    <row r="315" spans="19:19" x14ac:dyDescent="0.35">
      <c r="S315" s="49"/>
    </row>
    <row r="316" spans="19:19" x14ac:dyDescent="0.35">
      <c r="S316" s="49"/>
    </row>
    <row r="317" spans="19:19" x14ac:dyDescent="0.35">
      <c r="S317" s="49"/>
    </row>
    <row r="318" spans="19:19" x14ac:dyDescent="0.35">
      <c r="S318" s="49"/>
    </row>
    <row r="319" spans="19:19" x14ac:dyDescent="0.35">
      <c r="S319" s="49"/>
    </row>
    <row r="320" spans="19:19" x14ac:dyDescent="0.35">
      <c r="S320" s="49"/>
    </row>
    <row r="321" spans="19:19" x14ac:dyDescent="0.35">
      <c r="S321" s="49"/>
    </row>
    <row r="322" spans="19:19" x14ac:dyDescent="0.35">
      <c r="S322" s="49"/>
    </row>
    <row r="323" spans="19:19" x14ac:dyDescent="0.35">
      <c r="S323" s="49"/>
    </row>
    <row r="324" spans="19:19" x14ac:dyDescent="0.35">
      <c r="S324" s="49"/>
    </row>
    <row r="325" spans="19:19" x14ac:dyDescent="0.35">
      <c r="S325" s="49"/>
    </row>
    <row r="326" spans="19:19" x14ac:dyDescent="0.35">
      <c r="S326" s="49"/>
    </row>
    <row r="327" spans="19:19" x14ac:dyDescent="0.35">
      <c r="S327" s="49"/>
    </row>
    <row r="328" spans="19:19" x14ac:dyDescent="0.35">
      <c r="S328" s="49"/>
    </row>
    <row r="329" spans="19:19" x14ac:dyDescent="0.35">
      <c r="S329" s="49"/>
    </row>
    <row r="330" spans="19:19" x14ac:dyDescent="0.35">
      <c r="S330" s="49"/>
    </row>
    <row r="331" spans="19:19" x14ac:dyDescent="0.35">
      <c r="S331" s="49"/>
    </row>
    <row r="332" spans="19:19" x14ac:dyDescent="0.35">
      <c r="S332" s="49"/>
    </row>
    <row r="333" spans="19:19" x14ac:dyDescent="0.35">
      <c r="S333" s="49"/>
    </row>
    <row r="334" spans="19:19" x14ac:dyDescent="0.35">
      <c r="S334" s="49"/>
    </row>
    <row r="335" spans="19:19" x14ac:dyDescent="0.35">
      <c r="S335" s="49"/>
    </row>
    <row r="336" spans="19:19" x14ac:dyDescent="0.35">
      <c r="S336" s="49"/>
    </row>
    <row r="337" spans="19:19" x14ac:dyDescent="0.35">
      <c r="S337" s="49"/>
    </row>
    <row r="338" spans="19:19" x14ac:dyDescent="0.35">
      <c r="S338" s="49"/>
    </row>
    <row r="339" spans="19:19" x14ac:dyDescent="0.35">
      <c r="S339" s="49"/>
    </row>
    <row r="340" spans="19:19" x14ac:dyDescent="0.35">
      <c r="S340" s="49"/>
    </row>
    <row r="341" spans="19:19" x14ac:dyDescent="0.35">
      <c r="S341" s="49"/>
    </row>
    <row r="342" spans="19:19" x14ac:dyDescent="0.35">
      <c r="S342" s="49"/>
    </row>
    <row r="343" spans="19:19" x14ac:dyDescent="0.35">
      <c r="S343" s="49"/>
    </row>
    <row r="344" spans="19:19" x14ac:dyDescent="0.35">
      <c r="S344" s="49"/>
    </row>
    <row r="345" spans="19:19" x14ac:dyDescent="0.35">
      <c r="S345" s="49"/>
    </row>
    <row r="346" spans="19:19" x14ac:dyDescent="0.35">
      <c r="S346" s="49"/>
    </row>
    <row r="347" spans="19:19" x14ac:dyDescent="0.35">
      <c r="S347" s="49"/>
    </row>
    <row r="348" spans="19:19" x14ac:dyDescent="0.35">
      <c r="S348" s="49"/>
    </row>
    <row r="349" spans="19:19" x14ac:dyDescent="0.35">
      <c r="S349" s="49"/>
    </row>
    <row r="350" spans="19:19" x14ac:dyDescent="0.35">
      <c r="S350" s="49"/>
    </row>
    <row r="351" spans="19:19" x14ac:dyDescent="0.35">
      <c r="S351" s="49"/>
    </row>
    <row r="352" spans="19:19" x14ac:dyDescent="0.35">
      <c r="S352" s="49"/>
    </row>
    <row r="353" spans="19:19" x14ac:dyDescent="0.35">
      <c r="S353" s="49"/>
    </row>
    <row r="354" spans="19:19" x14ac:dyDescent="0.35">
      <c r="S354" s="49"/>
    </row>
    <row r="355" spans="19:19" x14ac:dyDescent="0.35">
      <c r="S355" s="49"/>
    </row>
    <row r="356" spans="19:19" x14ac:dyDescent="0.35">
      <c r="S356" s="49"/>
    </row>
    <row r="357" spans="19:19" x14ac:dyDescent="0.35">
      <c r="S357" s="49"/>
    </row>
    <row r="358" spans="19:19" x14ac:dyDescent="0.35">
      <c r="S358" s="49"/>
    </row>
    <row r="359" spans="19:19" x14ac:dyDescent="0.35">
      <c r="S359" s="49"/>
    </row>
    <row r="360" spans="19:19" x14ac:dyDescent="0.35">
      <c r="S360" s="49"/>
    </row>
    <row r="361" spans="19:19" x14ac:dyDescent="0.35">
      <c r="S361" s="49"/>
    </row>
    <row r="362" spans="19:19" x14ac:dyDescent="0.35">
      <c r="S362" s="49"/>
    </row>
    <row r="363" spans="19:19" x14ac:dyDescent="0.35">
      <c r="S363" s="49"/>
    </row>
    <row r="364" spans="19:19" x14ac:dyDescent="0.35">
      <c r="S364" s="49"/>
    </row>
    <row r="365" spans="19:19" x14ac:dyDescent="0.35">
      <c r="S365" s="49"/>
    </row>
    <row r="366" spans="19:19" x14ac:dyDescent="0.35">
      <c r="S366" s="49"/>
    </row>
    <row r="367" spans="19:19" x14ac:dyDescent="0.35">
      <c r="S367" s="49"/>
    </row>
    <row r="368" spans="19:19" x14ac:dyDescent="0.35">
      <c r="S368" s="49"/>
    </row>
    <row r="369" spans="19:19" x14ac:dyDescent="0.35">
      <c r="S369" s="49"/>
    </row>
    <row r="370" spans="19:19" x14ac:dyDescent="0.35">
      <c r="S370" s="49"/>
    </row>
    <row r="371" spans="19:19" x14ac:dyDescent="0.35">
      <c r="S371" s="49"/>
    </row>
    <row r="372" spans="19:19" x14ac:dyDescent="0.35">
      <c r="S372" s="49"/>
    </row>
    <row r="373" spans="19:19" x14ac:dyDescent="0.35">
      <c r="S373" s="49"/>
    </row>
    <row r="374" spans="19:19" x14ac:dyDescent="0.35">
      <c r="S374" s="49"/>
    </row>
    <row r="375" spans="19:19" x14ac:dyDescent="0.35">
      <c r="S375" s="49"/>
    </row>
    <row r="376" spans="19:19" x14ac:dyDescent="0.35">
      <c r="S376" s="49"/>
    </row>
    <row r="377" spans="19:19" x14ac:dyDescent="0.35">
      <c r="S377" s="49"/>
    </row>
    <row r="378" spans="19:19" x14ac:dyDescent="0.35">
      <c r="S378" s="49"/>
    </row>
    <row r="379" spans="19:19" x14ac:dyDescent="0.35">
      <c r="S379" s="49"/>
    </row>
    <row r="380" spans="19:19" x14ac:dyDescent="0.35">
      <c r="S380" s="49"/>
    </row>
    <row r="381" spans="19:19" x14ac:dyDescent="0.35">
      <c r="S381" s="49"/>
    </row>
    <row r="382" spans="19:19" x14ac:dyDescent="0.35">
      <c r="S382" s="49"/>
    </row>
    <row r="383" spans="19:19" x14ac:dyDescent="0.35">
      <c r="S383" s="49"/>
    </row>
    <row r="384" spans="19:19" x14ac:dyDescent="0.35">
      <c r="S384" s="49"/>
    </row>
    <row r="385" spans="19:19" x14ac:dyDescent="0.35">
      <c r="S385" s="49"/>
    </row>
    <row r="386" spans="19:19" x14ac:dyDescent="0.35">
      <c r="S386" s="49"/>
    </row>
    <row r="387" spans="19:19" x14ac:dyDescent="0.35">
      <c r="S387" s="49"/>
    </row>
    <row r="388" spans="19:19" x14ac:dyDescent="0.35">
      <c r="S388" s="49"/>
    </row>
    <row r="389" spans="19:19" x14ac:dyDescent="0.35">
      <c r="S389" s="49"/>
    </row>
    <row r="390" spans="19:19" x14ac:dyDescent="0.35">
      <c r="S390" s="49"/>
    </row>
    <row r="391" spans="19:19" x14ac:dyDescent="0.35">
      <c r="S391" s="49"/>
    </row>
    <row r="392" spans="19:19" x14ac:dyDescent="0.35">
      <c r="S392" s="49"/>
    </row>
    <row r="393" spans="19:19" x14ac:dyDescent="0.35">
      <c r="S393" s="49"/>
    </row>
    <row r="394" spans="19:19" x14ac:dyDescent="0.35">
      <c r="S394" s="49"/>
    </row>
    <row r="395" spans="19:19" x14ac:dyDescent="0.35">
      <c r="S395" s="49"/>
    </row>
    <row r="396" spans="19:19" x14ac:dyDescent="0.35">
      <c r="S396" s="49"/>
    </row>
    <row r="397" spans="19:19" x14ac:dyDescent="0.35">
      <c r="S397" s="49"/>
    </row>
    <row r="398" spans="19:19" x14ac:dyDescent="0.35">
      <c r="S398" s="49"/>
    </row>
    <row r="399" spans="19:19" x14ac:dyDescent="0.35">
      <c r="S399" s="49"/>
    </row>
    <row r="400" spans="19:19" x14ac:dyDescent="0.35">
      <c r="S400" s="49"/>
    </row>
    <row r="401" spans="19:19" x14ac:dyDescent="0.35">
      <c r="S401" s="49"/>
    </row>
    <row r="402" spans="19:19" x14ac:dyDescent="0.35">
      <c r="S402" s="49"/>
    </row>
    <row r="403" spans="19:19" x14ac:dyDescent="0.35">
      <c r="S403" s="49"/>
    </row>
    <row r="404" spans="19:19" x14ac:dyDescent="0.35">
      <c r="S404" s="49"/>
    </row>
    <row r="405" spans="19:19" x14ac:dyDescent="0.35">
      <c r="S405" s="49"/>
    </row>
    <row r="406" spans="19:19" x14ac:dyDescent="0.35">
      <c r="S406" s="49"/>
    </row>
    <row r="407" spans="19:19" x14ac:dyDescent="0.35">
      <c r="S407" s="49"/>
    </row>
    <row r="408" spans="19:19" x14ac:dyDescent="0.35">
      <c r="S408" s="49"/>
    </row>
    <row r="409" spans="19:19" x14ac:dyDescent="0.35">
      <c r="S409" s="49"/>
    </row>
    <row r="410" spans="19:19" x14ac:dyDescent="0.35">
      <c r="S410" s="49"/>
    </row>
    <row r="411" spans="19:19" x14ac:dyDescent="0.35">
      <c r="S411" s="49"/>
    </row>
    <row r="412" spans="19:19" x14ac:dyDescent="0.35">
      <c r="S412" s="49"/>
    </row>
    <row r="413" spans="19:19" x14ac:dyDescent="0.35">
      <c r="S413" s="49"/>
    </row>
    <row r="414" spans="19:19" x14ac:dyDescent="0.35">
      <c r="S414" s="49"/>
    </row>
    <row r="415" spans="19:19" x14ac:dyDescent="0.35">
      <c r="S415" s="49"/>
    </row>
    <row r="416" spans="19:19" x14ac:dyDescent="0.35">
      <c r="S416" s="49"/>
    </row>
    <row r="417" spans="19:19" x14ac:dyDescent="0.35">
      <c r="S417" s="49"/>
    </row>
    <row r="418" spans="19:19" x14ac:dyDescent="0.35">
      <c r="S418" s="49"/>
    </row>
    <row r="419" spans="19:19" x14ac:dyDescent="0.35">
      <c r="S419" s="49"/>
    </row>
    <row r="420" spans="19:19" x14ac:dyDescent="0.35">
      <c r="S420" s="49"/>
    </row>
    <row r="421" spans="19:19" x14ac:dyDescent="0.35">
      <c r="S421" s="49"/>
    </row>
    <row r="422" spans="19:19" x14ac:dyDescent="0.35">
      <c r="S422" s="49"/>
    </row>
    <row r="423" spans="19:19" x14ac:dyDescent="0.35">
      <c r="S423" s="49"/>
    </row>
    <row r="424" spans="19:19" x14ac:dyDescent="0.35">
      <c r="S424" s="49"/>
    </row>
    <row r="425" spans="19:19" x14ac:dyDescent="0.35">
      <c r="S425" s="49"/>
    </row>
    <row r="426" spans="19:19" x14ac:dyDescent="0.35">
      <c r="S426" s="49"/>
    </row>
    <row r="427" spans="19:19" x14ac:dyDescent="0.35">
      <c r="S427" s="49"/>
    </row>
    <row r="428" spans="19:19" x14ac:dyDescent="0.35">
      <c r="S428" s="49"/>
    </row>
    <row r="429" spans="19:19" x14ac:dyDescent="0.35">
      <c r="S429" s="49"/>
    </row>
    <row r="430" spans="19:19" x14ac:dyDescent="0.35">
      <c r="S430" s="49"/>
    </row>
    <row r="431" spans="19:19" x14ac:dyDescent="0.35">
      <c r="S431" s="49"/>
    </row>
    <row r="432" spans="19:19" x14ac:dyDescent="0.35">
      <c r="S432" s="49"/>
    </row>
    <row r="433" spans="19:19" x14ac:dyDescent="0.35">
      <c r="S433" s="49"/>
    </row>
    <row r="434" spans="19:19" x14ac:dyDescent="0.35">
      <c r="S434" s="49"/>
    </row>
    <row r="435" spans="19:19" x14ac:dyDescent="0.35">
      <c r="S435" s="49"/>
    </row>
    <row r="436" spans="19:19" x14ac:dyDescent="0.35">
      <c r="S436" s="49"/>
    </row>
    <row r="437" spans="19:19" x14ac:dyDescent="0.35">
      <c r="S437" s="49"/>
    </row>
    <row r="438" spans="19:19" x14ac:dyDescent="0.35">
      <c r="S438" s="49"/>
    </row>
    <row r="439" spans="19:19" x14ac:dyDescent="0.35">
      <c r="S439" s="49"/>
    </row>
    <row r="440" spans="19:19" x14ac:dyDescent="0.35">
      <c r="S440" s="49"/>
    </row>
    <row r="441" spans="19:19" x14ac:dyDescent="0.35">
      <c r="S441" s="49"/>
    </row>
    <row r="442" spans="19:19" x14ac:dyDescent="0.35">
      <c r="S442" s="49"/>
    </row>
    <row r="443" spans="19:19" x14ac:dyDescent="0.35">
      <c r="S443" s="49"/>
    </row>
    <row r="444" spans="19:19" x14ac:dyDescent="0.35">
      <c r="S444" s="49"/>
    </row>
    <row r="445" spans="19:19" x14ac:dyDescent="0.35">
      <c r="S445" s="49"/>
    </row>
    <row r="446" spans="19:19" x14ac:dyDescent="0.35">
      <c r="S446" s="49"/>
    </row>
    <row r="447" spans="19:19" x14ac:dyDescent="0.35">
      <c r="S447" s="49"/>
    </row>
    <row r="448" spans="19:19" x14ac:dyDescent="0.35">
      <c r="S448" s="49"/>
    </row>
    <row r="449" spans="19:19" x14ac:dyDescent="0.35">
      <c r="S449" s="49"/>
    </row>
    <row r="450" spans="19:19" x14ac:dyDescent="0.35">
      <c r="S450" s="49"/>
    </row>
    <row r="451" spans="19:19" x14ac:dyDescent="0.35">
      <c r="S451" s="49"/>
    </row>
    <row r="452" spans="19:19" x14ac:dyDescent="0.35">
      <c r="S452" s="49"/>
    </row>
    <row r="453" spans="19:19" x14ac:dyDescent="0.35">
      <c r="S453" s="49"/>
    </row>
    <row r="454" spans="19:19" x14ac:dyDescent="0.35">
      <c r="S454" s="49"/>
    </row>
    <row r="455" spans="19:19" x14ac:dyDescent="0.35">
      <c r="S455" s="49"/>
    </row>
    <row r="456" spans="19:19" x14ac:dyDescent="0.35">
      <c r="S456" s="49"/>
    </row>
    <row r="457" spans="19:19" x14ac:dyDescent="0.35">
      <c r="S457" s="49"/>
    </row>
    <row r="458" spans="19:19" x14ac:dyDescent="0.35">
      <c r="S458" s="49"/>
    </row>
    <row r="459" spans="19:19" x14ac:dyDescent="0.35">
      <c r="S459" s="49"/>
    </row>
    <row r="460" spans="19:19" x14ac:dyDescent="0.35">
      <c r="S460" s="49"/>
    </row>
    <row r="461" spans="19:19" x14ac:dyDescent="0.35">
      <c r="S461" s="49"/>
    </row>
    <row r="462" spans="19:19" x14ac:dyDescent="0.35">
      <c r="S462" s="49"/>
    </row>
    <row r="463" spans="19:19" x14ac:dyDescent="0.35">
      <c r="S463" s="49"/>
    </row>
    <row r="464" spans="19:19" x14ac:dyDescent="0.35">
      <c r="S464" s="49"/>
    </row>
    <row r="465" spans="19:19" x14ac:dyDescent="0.35">
      <c r="S465" s="49"/>
    </row>
    <row r="466" spans="19:19" x14ac:dyDescent="0.35">
      <c r="S466" s="49"/>
    </row>
    <row r="467" spans="19:19" x14ac:dyDescent="0.35">
      <c r="S467" s="49"/>
    </row>
    <row r="468" spans="19:19" x14ac:dyDescent="0.35">
      <c r="S468" s="49"/>
    </row>
    <row r="469" spans="19:19" x14ac:dyDescent="0.35">
      <c r="S469" s="49"/>
    </row>
    <row r="470" spans="19:19" x14ac:dyDescent="0.35">
      <c r="S470" s="49"/>
    </row>
    <row r="471" spans="19:19" x14ac:dyDescent="0.35">
      <c r="S471" s="49"/>
    </row>
    <row r="472" spans="19:19" x14ac:dyDescent="0.35">
      <c r="S472" s="49"/>
    </row>
    <row r="473" spans="19:19" x14ac:dyDescent="0.35">
      <c r="S473" s="49"/>
    </row>
    <row r="474" spans="19:19" x14ac:dyDescent="0.35">
      <c r="S474" s="49"/>
    </row>
    <row r="475" spans="19:19" x14ac:dyDescent="0.35">
      <c r="S475" s="49"/>
    </row>
    <row r="476" spans="19:19" x14ac:dyDescent="0.35">
      <c r="S476" s="49"/>
    </row>
    <row r="477" spans="19:19" x14ac:dyDescent="0.35">
      <c r="S477" s="49"/>
    </row>
    <row r="478" spans="19:19" x14ac:dyDescent="0.35">
      <c r="S478" s="49"/>
    </row>
    <row r="479" spans="19:19" x14ac:dyDescent="0.35">
      <c r="S479" s="49"/>
    </row>
    <row r="480" spans="19:19" x14ac:dyDescent="0.35">
      <c r="S480" s="49"/>
    </row>
    <row r="481" spans="19:19" x14ac:dyDescent="0.35">
      <c r="S481" s="49"/>
    </row>
    <row r="482" spans="19:19" x14ac:dyDescent="0.35">
      <c r="S482" s="49"/>
    </row>
    <row r="483" spans="19:19" x14ac:dyDescent="0.35">
      <c r="S483" s="49"/>
    </row>
    <row r="484" spans="19:19" x14ac:dyDescent="0.35">
      <c r="S484" s="49"/>
    </row>
    <row r="485" spans="19:19" x14ac:dyDescent="0.35">
      <c r="S485" s="49"/>
    </row>
    <row r="486" spans="19:19" x14ac:dyDescent="0.35">
      <c r="S486" s="49"/>
    </row>
    <row r="487" spans="19:19" x14ac:dyDescent="0.35">
      <c r="S487" s="49"/>
    </row>
    <row r="488" spans="19:19" x14ac:dyDescent="0.35">
      <c r="S488" s="49"/>
    </row>
    <row r="489" spans="19:19" x14ac:dyDescent="0.35">
      <c r="S489" s="49"/>
    </row>
    <row r="490" spans="19:19" x14ac:dyDescent="0.35">
      <c r="S490" s="49"/>
    </row>
    <row r="491" spans="19:19" x14ac:dyDescent="0.35">
      <c r="S491" s="49"/>
    </row>
    <row r="492" spans="19:19" x14ac:dyDescent="0.35">
      <c r="S492" s="49"/>
    </row>
    <row r="493" spans="19:19" x14ac:dyDescent="0.35">
      <c r="S493" s="49"/>
    </row>
    <row r="494" spans="19:19" x14ac:dyDescent="0.35">
      <c r="S494" s="49"/>
    </row>
    <row r="495" spans="19:19" x14ac:dyDescent="0.35">
      <c r="S495" s="49"/>
    </row>
    <row r="496" spans="19:19" x14ac:dyDescent="0.35">
      <c r="S496" s="49"/>
    </row>
    <row r="497" spans="19:19" x14ac:dyDescent="0.35">
      <c r="S497" s="49"/>
    </row>
    <row r="498" spans="19:19" x14ac:dyDescent="0.35">
      <c r="S498" s="49"/>
    </row>
    <row r="499" spans="19:19" x14ac:dyDescent="0.35">
      <c r="S499" s="49"/>
    </row>
    <row r="500" spans="19:19" x14ac:dyDescent="0.35">
      <c r="S500" s="49"/>
    </row>
    <row r="501" spans="19:19" x14ac:dyDescent="0.35">
      <c r="S501" s="49"/>
    </row>
    <row r="502" spans="19:19" x14ac:dyDescent="0.35">
      <c r="S502" s="49"/>
    </row>
    <row r="503" spans="19:19" x14ac:dyDescent="0.35">
      <c r="S503" s="49"/>
    </row>
    <row r="504" spans="19:19" x14ac:dyDescent="0.35">
      <c r="S504" s="49"/>
    </row>
    <row r="505" spans="19:19" x14ac:dyDescent="0.35">
      <c r="S505" s="49"/>
    </row>
    <row r="506" spans="19:19" x14ac:dyDescent="0.35">
      <c r="S506" s="49"/>
    </row>
    <row r="507" spans="19:19" x14ac:dyDescent="0.35">
      <c r="S507" s="49"/>
    </row>
    <row r="508" spans="19:19" x14ac:dyDescent="0.35">
      <c r="S508" s="49"/>
    </row>
    <row r="509" spans="19:19" x14ac:dyDescent="0.35">
      <c r="S509" s="49"/>
    </row>
    <row r="510" spans="19:19" x14ac:dyDescent="0.35">
      <c r="S510" s="49"/>
    </row>
    <row r="511" spans="19:19" x14ac:dyDescent="0.35">
      <c r="S511" s="49"/>
    </row>
    <row r="512" spans="19:19" x14ac:dyDescent="0.35">
      <c r="S512" s="49"/>
    </row>
    <row r="513" spans="19:19" x14ac:dyDescent="0.35">
      <c r="S513" s="49"/>
    </row>
    <row r="514" spans="19:19" x14ac:dyDescent="0.35">
      <c r="S514" s="49"/>
    </row>
    <row r="515" spans="19:19" x14ac:dyDescent="0.35">
      <c r="S515" s="49"/>
    </row>
    <row r="516" spans="19:19" x14ac:dyDescent="0.35">
      <c r="S516" s="49"/>
    </row>
    <row r="517" spans="19:19" x14ac:dyDescent="0.35">
      <c r="S517" s="49"/>
    </row>
    <row r="518" spans="19:19" x14ac:dyDescent="0.35">
      <c r="S518" s="49"/>
    </row>
    <row r="519" spans="19:19" x14ac:dyDescent="0.35">
      <c r="S519" s="49"/>
    </row>
    <row r="520" spans="19:19" x14ac:dyDescent="0.35">
      <c r="S520" s="49"/>
    </row>
    <row r="521" spans="19:19" x14ac:dyDescent="0.35">
      <c r="S521" s="49"/>
    </row>
    <row r="522" spans="19:19" x14ac:dyDescent="0.35">
      <c r="S522" s="49"/>
    </row>
    <row r="523" spans="19:19" x14ac:dyDescent="0.35">
      <c r="S523" s="49"/>
    </row>
    <row r="524" spans="19:19" x14ac:dyDescent="0.35">
      <c r="S524" s="49"/>
    </row>
    <row r="525" spans="19:19" x14ac:dyDescent="0.35">
      <c r="S525" s="49"/>
    </row>
    <row r="526" spans="19:19" x14ac:dyDescent="0.35">
      <c r="S526" s="49"/>
    </row>
    <row r="527" spans="19:19" x14ac:dyDescent="0.35">
      <c r="S527" s="49"/>
    </row>
    <row r="528" spans="19:19" x14ac:dyDescent="0.35">
      <c r="S528" s="49"/>
    </row>
    <row r="529" spans="19:19" x14ac:dyDescent="0.35">
      <c r="S529" s="49"/>
    </row>
    <row r="530" spans="19:19" x14ac:dyDescent="0.35">
      <c r="S530" s="49"/>
    </row>
    <row r="531" spans="19:19" x14ac:dyDescent="0.35">
      <c r="S531" s="49"/>
    </row>
    <row r="532" spans="19:19" x14ac:dyDescent="0.35">
      <c r="S532" s="49"/>
    </row>
    <row r="533" spans="19:19" x14ac:dyDescent="0.35">
      <c r="S533" s="49"/>
    </row>
    <row r="534" spans="19:19" x14ac:dyDescent="0.35">
      <c r="S534" s="49"/>
    </row>
    <row r="535" spans="19:19" x14ac:dyDescent="0.35">
      <c r="S535" s="49"/>
    </row>
    <row r="536" spans="19:19" x14ac:dyDescent="0.35">
      <c r="S536" s="49"/>
    </row>
    <row r="537" spans="19:19" x14ac:dyDescent="0.35">
      <c r="S537" s="49"/>
    </row>
    <row r="538" spans="19:19" x14ac:dyDescent="0.35">
      <c r="S538" s="49"/>
    </row>
    <row r="539" spans="19:19" x14ac:dyDescent="0.35">
      <c r="S539" s="49"/>
    </row>
    <row r="540" spans="19:19" x14ac:dyDescent="0.35">
      <c r="S540" s="49"/>
    </row>
    <row r="541" spans="19:19" x14ac:dyDescent="0.35">
      <c r="S541" s="49"/>
    </row>
    <row r="542" spans="19:19" x14ac:dyDescent="0.35">
      <c r="S542" s="49"/>
    </row>
    <row r="543" spans="19:19" x14ac:dyDescent="0.35">
      <c r="S543" s="49"/>
    </row>
    <row r="544" spans="19:19" x14ac:dyDescent="0.35">
      <c r="S544" s="49"/>
    </row>
    <row r="545" spans="19:19" x14ac:dyDescent="0.35">
      <c r="S545" s="49"/>
    </row>
    <row r="546" spans="19:19" x14ac:dyDescent="0.35">
      <c r="S546" s="49"/>
    </row>
    <row r="547" spans="19:19" x14ac:dyDescent="0.35">
      <c r="S547" s="49"/>
    </row>
    <row r="548" spans="19:19" x14ac:dyDescent="0.35">
      <c r="S548" s="49"/>
    </row>
    <row r="549" spans="19:19" x14ac:dyDescent="0.35">
      <c r="S549" s="49"/>
    </row>
    <row r="550" spans="19:19" x14ac:dyDescent="0.35">
      <c r="S550" s="49"/>
    </row>
    <row r="551" spans="19:19" x14ac:dyDescent="0.35">
      <c r="S551" s="49"/>
    </row>
    <row r="552" spans="19:19" x14ac:dyDescent="0.35">
      <c r="S552" s="49"/>
    </row>
    <row r="553" spans="19:19" x14ac:dyDescent="0.35">
      <c r="S553" s="49"/>
    </row>
    <row r="554" spans="19:19" x14ac:dyDescent="0.35">
      <c r="S554" s="49"/>
    </row>
    <row r="555" spans="19:19" x14ac:dyDescent="0.35">
      <c r="S555" s="49"/>
    </row>
    <row r="556" spans="19:19" x14ac:dyDescent="0.35">
      <c r="S556" s="49"/>
    </row>
    <row r="557" spans="19:19" x14ac:dyDescent="0.35">
      <c r="S557" s="49"/>
    </row>
    <row r="558" spans="19:19" x14ac:dyDescent="0.35">
      <c r="S558" s="49"/>
    </row>
    <row r="559" spans="19:19" x14ac:dyDescent="0.35">
      <c r="S559" s="49"/>
    </row>
    <row r="560" spans="19:19" x14ac:dyDescent="0.35">
      <c r="S560" s="49"/>
    </row>
    <row r="561" spans="19:19" x14ac:dyDescent="0.35">
      <c r="S561" s="49"/>
    </row>
    <row r="562" spans="19:19" x14ac:dyDescent="0.35">
      <c r="S562" s="49"/>
    </row>
    <row r="563" spans="19:19" x14ac:dyDescent="0.35">
      <c r="S563" s="49"/>
    </row>
    <row r="564" spans="19:19" x14ac:dyDescent="0.35">
      <c r="S564" s="49"/>
    </row>
    <row r="565" spans="19:19" x14ac:dyDescent="0.35">
      <c r="S565" s="49"/>
    </row>
    <row r="566" spans="19:19" x14ac:dyDescent="0.35">
      <c r="S566" s="49"/>
    </row>
    <row r="567" spans="19:19" x14ac:dyDescent="0.35">
      <c r="S567" s="49"/>
    </row>
    <row r="568" spans="19:19" x14ac:dyDescent="0.35">
      <c r="S568" s="49"/>
    </row>
    <row r="569" spans="19:19" x14ac:dyDescent="0.35">
      <c r="S569" s="49"/>
    </row>
    <row r="570" spans="19:19" x14ac:dyDescent="0.35">
      <c r="S570" s="49"/>
    </row>
    <row r="571" spans="19:19" x14ac:dyDescent="0.35">
      <c r="S571" s="49"/>
    </row>
    <row r="572" spans="19:19" x14ac:dyDescent="0.35">
      <c r="S572" s="49"/>
    </row>
    <row r="573" spans="19:19" x14ac:dyDescent="0.35">
      <c r="S573" s="49"/>
    </row>
    <row r="574" spans="19:19" x14ac:dyDescent="0.35">
      <c r="S574" s="49"/>
    </row>
    <row r="575" spans="19:19" x14ac:dyDescent="0.35">
      <c r="S575" s="49"/>
    </row>
    <row r="576" spans="19:19" x14ac:dyDescent="0.35">
      <c r="S576" s="49"/>
    </row>
    <row r="577" spans="19:19" x14ac:dyDescent="0.35">
      <c r="S577" s="49"/>
    </row>
    <row r="578" spans="19:19" x14ac:dyDescent="0.35">
      <c r="S578" s="49"/>
    </row>
    <row r="579" spans="19:19" x14ac:dyDescent="0.35">
      <c r="S579" s="49"/>
    </row>
    <row r="580" spans="19:19" x14ac:dyDescent="0.35">
      <c r="S580" s="49"/>
    </row>
    <row r="581" spans="19:19" x14ac:dyDescent="0.35">
      <c r="S581" s="49"/>
    </row>
    <row r="582" spans="19:19" x14ac:dyDescent="0.35">
      <c r="S582" s="49"/>
    </row>
    <row r="583" spans="19:19" x14ac:dyDescent="0.35">
      <c r="S583" s="49"/>
    </row>
    <row r="584" spans="19:19" x14ac:dyDescent="0.35">
      <c r="S584" s="49"/>
    </row>
    <row r="585" spans="19:19" x14ac:dyDescent="0.35">
      <c r="S585" s="49"/>
    </row>
    <row r="586" spans="19:19" x14ac:dyDescent="0.35">
      <c r="S586" s="49"/>
    </row>
    <row r="587" spans="19:19" x14ac:dyDescent="0.35">
      <c r="S587" s="49"/>
    </row>
    <row r="588" spans="19:19" x14ac:dyDescent="0.35">
      <c r="S588" s="49"/>
    </row>
    <row r="589" spans="19:19" x14ac:dyDescent="0.35">
      <c r="S589" s="49"/>
    </row>
    <row r="590" spans="19:19" x14ac:dyDescent="0.35">
      <c r="S590" s="49"/>
    </row>
    <row r="591" spans="19:19" x14ac:dyDescent="0.35">
      <c r="S591" s="49"/>
    </row>
    <row r="592" spans="19:19" x14ac:dyDescent="0.35">
      <c r="S592" s="49"/>
    </row>
    <row r="593" spans="19:19" x14ac:dyDescent="0.35">
      <c r="S593" s="49"/>
    </row>
    <row r="594" spans="19:19" x14ac:dyDescent="0.35">
      <c r="S594" s="49"/>
    </row>
    <row r="595" spans="19:19" x14ac:dyDescent="0.35">
      <c r="S595" s="49"/>
    </row>
    <row r="596" spans="19:19" x14ac:dyDescent="0.35">
      <c r="S596" s="49"/>
    </row>
    <row r="597" spans="19:19" x14ac:dyDescent="0.35">
      <c r="S597" s="49"/>
    </row>
    <row r="598" spans="19:19" x14ac:dyDescent="0.35">
      <c r="S598" s="49"/>
    </row>
    <row r="599" spans="19:19" x14ac:dyDescent="0.35">
      <c r="S599" s="49"/>
    </row>
    <row r="600" spans="19:19" x14ac:dyDescent="0.35">
      <c r="S600" s="49"/>
    </row>
    <row r="601" spans="19:19" x14ac:dyDescent="0.35">
      <c r="S601" s="49"/>
    </row>
    <row r="602" spans="19:19" x14ac:dyDescent="0.35">
      <c r="S602" s="49"/>
    </row>
    <row r="603" spans="19:19" x14ac:dyDescent="0.35">
      <c r="S603" s="49"/>
    </row>
    <row r="604" spans="19:19" x14ac:dyDescent="0.35">
      <c r="S604" s="49"/>
    </row>
    <row r="605" spans="19:19" x14ac:dyDescent="0.35">
      <c r="S605" s="49"/>
    </row>
    <row r="606" spans="19:19" x14ac:dyDescent="0.35">
      <c r="S606" s="49"/>
    </row>
    <row r="607" spans="19:19" x14ac:dyDescent="0.35">
      <c r="S607" s="49"/>
    </row>
    <row r="608" spans="19:19" x14ac:dyDescent="0.35">
      <c r="S608" s="49"/>
    </row>
    <row r="609" spans="19:19" x14ac:dyDescent="0.35">
      <c r="S609" s="49"/>
    </row>
    <row r="610" spans="19:19" x14ac:dyDescent="0.35">
      <c r="S610" s="49"/>
    </row>
    <row r="611" spans="19:19" x14ac:dyDescent="0.35">
      <c r="S611" s="49"/>
    </row>
    <row r="612" spans="19:19" x14ac:dyDescent="0.35">
      <c r="S612" s="49"/>
    </row>
    <row r="613" spans="19:19" x14ac:dyDescent="0.35">
      <c r="S613" s="49"/>
    </row>
    <row r="614" spans="19:19" x14ac:dyDescent="0.35">
      <c r="S614" s="49"/>
    </row>
    <row r="615" spans="19:19" x14ac:dyDescent="0.35">
      <c r="S615" s="49"/>
    </row>
    <row r="616" spans="19:19" x14ac:dyDescent="0.35">
      <c r="S616" s="49"/>
    </row>
    <row r="617" spans="19:19" x14ac:dyDescent="0.35">
      <c r="S617" s="49"/>
    </row>
    <row r="618" spans="19:19" x14ac:dyDescent="0.35">
      <c r="S618" s="49"/>
    </row>
    <row r="619" spans="19:19" x14ac:dyDescent="0.35">
      <c r="S619" s="49"/>
    </row>
    <row r="620" spans="19:19" x14ac:dyDescent="0.35">
      <c r="S620" s="49"/>
    </row>
    <row r="621" spans="19:19" x14ac:dyDescent="0.35">
      <c r="S621" s="49"/>
    </row>
    <row r="622" spans="19:19" x14ac:dyDescent="0.35">
      <c r="S622" s="49"/>
    </row>
    <row r="623" spans="19:19" x14ac:dyDescent="0.35">
      <c r="S623" s="49"/>
    </row>
    <row r="624" spans="19:19" x14ac:dyDescent="0.35">
      <c r="S624" s="49"/>
    </row>
    <row r="625" spans="19:19" x14ac:dyDescent="0.35">
      <c r="S625" s="49"/>
    </row>
    <row r="626" spans="19:19" x14ac:dyDescent="0.35">
      <c r="S626" s="49"/>
    </row>
    <row r="627" spans="19:19" x14ac:dyDescent="0.35">
      <c r="S627" s="49"/>
    </row>
    <row r="628" spans="19:19" x14ac:dyDescent="0.35">
      <c r="S628" s="49"/>
    </row>
    <row r="629" spans="19:19" x14ac:dyDescent="0.35">
      <c r="S629" s="49"/>
    </row>
    <row r="630" spans="19:19" x14ac:dyDescent="0.35">
      <c r="S630" s="49"/>
    </row>
    <row r="631" spans="19:19" x14ac:dyDescent="0.35">
      <c r="S631" s="49"/>
    </row>
    <row r="632" spans="19:19" x14ac:dyDescent="0.35">
      <c r="S632" s="49"/>
    </row>
    <row r="633" spans="19:19" x14ac:dyDescent="0.35">
      <c r="S633" s="49"/>
    </row>
    <row r="634" spans="19:19" x14ac:dyDescent="0.35">
      <c r="S634" s="49"/>
    </row>
    <row r="635" spans="19:19" x14ac:dyDescent="0.35">
      <c r="S635" s="49"/>
    </row>
    <row r="636" spans="19:19" x14ac:dyDescent="0.35">
      <c r="S636" s="49"/>
    </row>
    <row r="637" spans="19:19" x14ac:dyDescent="0.35">
      <c r="S637" s="49"/>
    </row>
    <row r="638" spans="19:19" x14ac:dyDescent="0.35">
      <c r="S638" s="49"/>
    </row>
    <row r="639" spans="19:19" x14ac:dyDescent="0.35">
      <c r="S639" s="49"/>
    </row>
    <row r="640" spans="19:19" x14ac:dyDescent="0.35">
      <c r="S640" s="49"/>
    </row>
    <row r="641" spans="19:19" x14ac:dyDescent="0.35">
      <c r="S641" s="49"/>
    </row>
    <row r="642" spans="19:19" x14ac:dyDescent="0.35">
      <c r="S642" s="49"/>
    </row>
    <row r="643" spans="19:19" x14ac:dyDescent="0.35">
      <c r="S643" s="49"/>
    </row>
    <row r="644" spans="19:19" x14ac:dyDescent="0.35">
      <c r="S644" s="49"/>
    </row>
    <row r="645" spans="19:19" x14ac:dyDescent="0.35">
      <c r="S645" s="49"/>
    </row>
    <row r="646" spans="19:19" x14ac:dyDescent="0.35">
      <c r="S646" s="49"/>
    </row>
    <row r="647" spans="19:19" x14ac:dyDescent="0.35">
      <c r="S647" s="49"/>
    </row>
    <row r="648" spans="19:19" x14ac:dyDescent="0.35">
      <c r="S648" s="49"/>
    </row>
    <row r="649" spans="19:19" x14ac:dyDescent="0.35">
      <c r="S649" s="49"/>
    </row>
    <row r="650" spans="19:19" x14ac:dyDescent="0.35">
      <c r="S650" s="49"/>
    </row>
    <row r="651" spans="19:19" x14ac:dyDescent="0.35">
      <c r="S651" s="49"/>
    </row>
    <row r="652" spans="19:19" x14ac:dyDescent="0.35">
      <c r="S652" s="49"/>
    </row>
    <row r="653" spans="19:19" x14ac:dyDescent="0.35">
      <c r="S653" s="49"/>
    </row>
    <row r="654" spans="19:19" x14ac:dyDescent="0.35">
      <c r="S654" s="49"/>
    </row>
    <row r="655" spans="19:19" x14ac:dyDescent="0.35">
      <c r="S655" s="49"/>
    </row>
    <row r="656" spans="19:19" x14ac:dyDescent="0.35">
      <c r="S656" s="49"/>
    </row>
    <row r="657" spans="19:19" x14ac:dyDescent="0.35">
      <c r="S657" s="49"/>
    </row>
    <row r="658" spans="19:19" x14ac:dyDescent="0.35">
      <c r="S658" s="49"/>
    </row>
    <row r="659" spans="19:19" x14ac:dyDescent="0.35">
      <c r="S659" s="49"/>
    </row>
    <row r="660" spans="19:19" x14ac:dyDescent="0.35">
      <c r="S660" s="49"/>
    </row>
    <row r="661" spans="19:19" x14ac:dyDescent="0.35">
      <c r="S661" s="49"/>
    </row>
    <row r="662" spans="19:19" x14ac:dyDescent="0.35">
      <c r="S662" s="49"/>
    </row>
    <row r="663" spans="19:19" x14ac:dyDescent="0.35">
      <c r="S663" s="49"/>
    </row>
    <row r="664" spans="19:19" x14ac:dyDescent="0.35">
      <c r="S664" s="49"/>
    </row>
    <row r="665" spans="19:19" x14ac:dyDescent="0.35">
      <c r="S665" s="49"/>
    </row>
    <row r="666" spans="19:19" x14ac:dyDescent="0.35">
      <c r="S666" s="49"/>
    </row>
    <row r="667" spans="19:19" x14ac:dyDescent="0.35">
      <c r="S667" s="49"/>
    </row>
    <row r="668" spans="19:19" x14ac:dyDescent="0.35">
      <c r="S668" s="49"/>
    </row>
    <row r="669" spans="19:19" x14ac:dyDescent="0.35">
      <c r="S669" s="49"/>
    </row>
    <row r="670" spans="19:19" x14ac:dyDescent="0.35">
      <c r="S670" s="49"/>
    </row>
    <row r="671" spans="19:19" x14ac:dyDescent="0.35">
      <c r="S671" s="49"/>
    </row>
    <row r="672" spans="19:19" x14ac:dyDescent="0.35">
      <c r="S672" s="49"/>
    </row>
    <row r="673" spans="19:19" x14ac:dyDescent="0.35">
      <c r="S673" s="49"/>
    </row>
    <row r="674" spans="19:19" x14ac:dyDescent="0.35">
      <c r="S674" s="49"/>
    </row>
    <row r="675" spans="19:19" x14ac:dyDescent="0.35">
      <c r="S675" s="49"/>
    </row>
    <row r="676" spans="19:19" x14ac:dyDescent="0.35">
      <c r="S676" s="49"/>
    </row>
    <row r="677" spans="19:19" x14ac:dyDescent="0.35">
      <c r="S677" s="49"/>
    </row>
    <row r="678" spans="19:19" x14ac:dyDescent="0.35">
      <c r="S678" s="49"/>
    </row>
    <row r="679" spans="19:19" x14ac:dyDescent="0.35">
      <c r="S679" s="49"/>
    </row>
    <row r="680" spans="19:19" x14ac:dyDescent="0.35">
      <c r="S680" s="49"/>
    </row>
    <row r="681" spans="19:19" x14ac:dyDescent="0.35">
      <c r="S681" s="49"/>
    </row>
    <row r="682" spans="19:19" x14ac:dyDescent="0.35">
      <c r="S682" s="49"/>
    </row>
    <row r="683" spans="19:19" x14ac:dyDescent="0.35">
      <c r="S683" s="49"/>
    </row>
    <row r="684" spans="19:19" x14ac:dyDescent="0.35">
      <c r="S684" s="49"/>
    </row>
    <row r="685" spans="19:19" x14ac:dyDescent="0.35">
      <c r="S685" s="49"/>
    </row>
    <row r="686" spans="19:19" x14ac:dyDescent="0.35">
      <c r="S686" s="49"/>
    </row>
    <row r="687" spans="19:19" x14ac:dyDescent="0.35">
      <c r="S687" s="49"/>
    </row>
    <row r="688" spans="19:19" x14ac:dyDescent="0.35">
      <c r="S688" s="49"/>
    </row>
    <row r="689" spans="19:19" x14ac:dyDescent="0.35">
      <c r="S689" s="49"/>
    </row>
    <row r="690" spans="19:19" x14ac:dyDescent="0.35">
      <c r="S690" s="49"/>
    </row>
    <row r="691" spans="19:19" x14ac:dyDescent="0.35">
      <c r="S691" s="49"/>
    </row>
  </sheetData>
  <mergeCells count="5">
    <mergeCell ref="C3:M3"/>
    <mergeCell ref="F7:M7"/>
    <mergeCell ref="C22:M22"/>
    <mergeCell ref="B24:N30"/>
    <mergeCell ref="B32:N38"/>
  </mergeCells>
  <pageMargins left="0.7" right="0.7" top="0.75" bottom="0.75" header="0.3" footer="0.3"/>
  <pageSetup paperSize="9" scale="10"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dimension ref="A1:AA83"/>
  <sheetViews>
    <sheetView showGridLines="0" zoomScale="75" zoomScaleNormal="75" workbookViewId="0"/>
  </sheetViews>
  <sheetFormatPr defaultColWidth="9.1796875" defaultRowHeight="14.5" x14ac:dyDescent="0.35"/>
  <cols>
    <col min="1" max="1" width="2.81640625" style="19" customWidth="1"/>
    <col min="2" max="2" width="3.81640625" style="19" customWidth="1"/>
    <col min="3" max="3" width="59.1796875" style="19" bestFit="1" customWidth="1"/>
    <col min="4" max="4" width="31.81640625" style="19" customWidth="1"/>
    <col min="5" max="5" width="10.453125" style="19" bestFit="1" customWidth="1"/>
    <col min="6" max="18" width="9.1796875" style="19"/>
    <col min="19" max="19" width="9.81640625" style="19" customWidth="1"/>
    <col min="20" max="20" width="9.1796875" style="19"/>
    <col min="21" max="22" width="9.1796875" style="39"/>
    <col min="23" max="23" width="46.453125" style="39" bestFit="1" customWidth="1"/>
    <col min="24" max="27" width="9.1796875" style="39"/>
    <col min="28" max="16384" width="9.1796875" style="19"/>
  </cols>
  <sheetData>
    <row r="1" spans="1:24" ht="15.75" customHeight="1" thickBot="1" x14ac:dyDescent="0.4">
      <c r="A1" s="3"/>
    </row>
    <row r="2" spans="1:24" ht="15" customHeight="1" x14ac:dyDescent="0.35">
      <c r="B2" s="63"/>
      <c r="C2" s="28"/>
      <c r="D2" s="28"/>
      <c r="E2" s="28"/>
      <c r="F2" s="28"/>
      <c r="G2" s="28"/>
      <c r="H2" s="28"/>
      <c r="I2" s="28"/>
      <c r="J2" s="28"/>
      <c r="K2" s="28"/>
      <c r="L2" s="28"/>
      <c r="M2" s="28"/>
      <c r="N2" s="28"/>
      <c r="O2" s="28"/>
      <c r="P2" s="28"/>
      <c r="Q2" s="28"/>
      <c r="R2" s="28"/>
      <c r="S2" s="28"/>
      <c r="T2" s="24"/>
    </row>
    <row r="3" spans="1:24" ht="20.25" customHeight="1" x14ac:dyDescent="0.35">
      <c r="B3" s="64"/>
      <c r="C3" s="312" t="s">
        <v>169</v>
      </c>
      <c r="D3" s="313"/>
      <c r="E3" s="313"/>
      <c r="F3" s="313"/>
      <c r="G3" s="313"/>
      <c r="H3" s="313"/>
      <c r="I3" s="313"/>
      <c r="J3" s="313"/>
      <c r="K3" s="313"/>
      <c r="L3" s="313"/>
      <c r="M3" s="313"/>
      <c r="N3" s="313"/>
      <c r="O3" s="313"/>
      <c r="P3" s="313"/>
      <c r="Q3" s="313"/>
      <c r="R3" s="313"/>
      <c r="S3" s="313"/>
      <c r="T3" s="25"/>
    </row>
    <row r="4" spans="1:24" ht="15.75" customHeight="1" x14ac:dyDescent="0.35">
      <c r="B4" s="64"/>
      <c r="C4" s="67" t="s">
        <v>434</v>
      </c>
      <c r="D4" s="143"/>
      <c r="E4" s="156"/>
      <c r="F4" s="156"/>
      <c r="G4" s="156"/>
      <c r="H4" s="156"/>
      <c r="I4" s="156"/>
      <c r="J4" s="156"/>
      <c r="K4" s="29"/>
      <c r="L4" s="29"/>
      <c r="M4" s="29"/>
      <c r="N4" s="29"/>
      <c r="O4" s="29"/>
      <c r="P4" s="29"/>
      <c r="Q4" s="29"/>
      <c r="R4" s="29"/>
      <c r="S4" s="29"/>
      <c r="T4" s="25"/>
    </row>
    <row r="5" spans="1:24" ht="18" customHeight="1" x14ac:dyDescent="0.35">
      <c r="B5" s="64"/>
      <c r="C5" s="211" t="s">
        <v>435</v>
      </c>
      <c r="D5" s="314" t="s">
        <v>392</v>
      </c>
      <c r="E5" s="314"/>
      <c r="F5" s="29"/>
      <c r="G5" s="29"/>
      <c r="H5" s="51"/>
      <c r="I5" s="51"/>
      <c r="J5" s="51"/>
      <c r="K5" s="51"/>
      <c r="L5" s="51"/>
      <c r="M5" s="51"/>
      <c r="N5" s="51"/>
      <c r="O5" s="51"/>
      <c r="P5" s="51"/>
      <c r="Q5" s="51"/>
      <c r="R5" s="51"/>
      <c r="S5" s="51"/>
      <c r="T5" s="52"/>
    </row>
    <row r="6" spans="1:24" ht="15" customHeight="1" x14ac:dyDescent="0.35">
      <c r="B6" s="64"/>
      <c r="C6" s="29"/>
      <c r="D6" s="29"/>
      <c r="E6" s="29"/>
      <c r="F6" s="29"/>
      <c r="G6" s="29"/>
      <c r="H6" s="51"/>
      <c r="I6" s="51"/>
      <c r="J6" s="51"/>
      <c r="K6" s="51"/>
      <c r="L6" s="51"/>
      <c r="M6" s="51"/>
      <c r="N6" s="51"/>
      <c r="O6" s="51"/>
      <c r="P6" s="51"/>
      <c r="Q6" s="51"/>
      <c r="R6" s="51"/>
      <c r="S6" s="51"/>
      <c r="T6" s="52"/>
    </row>
    <row r="7" spans="1:24" ht="32.25" customHeight="1" x14ac:dyDescent="0.35">
      <c r="B7" s="64"/>
      <c r="C7" s="144" t="s">
        <v>0</v>
      </c>
      <c r="D7" s="145" t="s">
        <v>1</v>
      </c>
      <c r="E7" s="144" t="s">
        <v>2</v>
      </c>
      <c r="F7" s="29"/>
      <c r="G7" s="29"/>
      <c r="H7" s="29"/>
      <c r="I7" s="29"/>
      <c r="J7" s="29"/>
      <c r="K7" s="29"/>
      <c r="L7" s="29"/>
      <c r="M7" s="29"/>
      <c r="N7" s="29"/>
      <c r="O7" s="29"/>
      <c r="P7" s="29"/>
      <c r="Q7" s="29"/>
      <c r="R7" s="29"/>
      <c r="S7" s="29"/>
      <c r="T7" s="25"/>
      <c r="W7" s="39" t="s">
        <v>22</v>
      </c>
      <c r="X7" s="39" t="s">
        <v>2</v>
      </c>
    </row>
    <row r="8" spans="1:24" ht="15" customHeight="1" x14ac:dyDescent="0.35">
      <c r="B8" s="64"/>
      <c r="C8" s="192" t="s">
        <v>29</v>
      </c>
      <c r="D8" s="187" t="s">
        <v>3</v>
      </c>
      <c r="E8" s="188">
        <v>5.3360999999999999E-2</v>
      </c>
      <c r="F8" s="128"/>
      <c r="G8" s="29"/>
      <c r="H8" s="29"/>
      <c r="I8" s="29"/>
      <c r="J8" s="29"/>
      <c r="K8" s="29"/>
      <c r="L8" s="29"/>
      <c r="M8" s="29"/>
      <c r="N8" s="29"/>
      <c r="O8" s="29"/>
      <c r="P8" s="29"/>
      <c r="Q8" s="29"/>
      <c r="R8" s="29"/>
      <c r="S8" s="29"/>
      <c r="T8" s="25"/>
      <c r="W8" s="292" t="s">
        <v>3</v>
      </c>
      <c r="X8" s="291">
        <v>0.16542899999999999</v>
      </c>
    </row>
    <row r="9" spans="1:24" ht="15.75" customHeight="1" x14ac:dyDescent="0.35">
      <c r="B9" s="64"/>
      <c r="C9" s="192" t="s">
        <v>32</v>
      </c>
      <c r="D9" s="187" t="s">
        <v>3</v>
      </c>
      <c r="E9" s="188">
        <v>3.8263999999999999E-2</v>
      </c>
      <c r="F9" s="128"/>
      <c r="G9" s="29"/>
      <c r="H9" s="29"/>
      <c r="I9" s="29"/>
      <c r="J9" s="29"/>
      <c r="K9" s="29"/>
      <c r="L9" s="29"/>
      <c r="M9" s="29"/>
      <c r="N9" s="29"/>
      <c r="O9" s="29"/>
      <c r="P9" s="29"/>
      <c r="Q9" s="29"/>
      <c r="R9" s="29"/>
      <c r="S9" s="29"/>
      <c r="T9" s="25"/>
      <c r="W9" s="292" t="s">
        <v>109</v>
      </c>
      <c r="X9" s="291">
        <v>6.9338999999999998E-2</v>
      </c>
    </row>
    <row r="10" spans="1:24" ht="15" customHeight="1" x14ac:dyDescent="0.35">
      <c r="B10" s="64"/>
      <c r="C10" s="192" t="s">
        <v>262</v>
      </c>
      <c r="D10" s="187" t="s">
        <v>181</v>
      </c>
      <c r="E10" s="188">
        <v>2.5361000000000002E-2</v>
      </c>
      <c r="F10" s="128"/>
      <c r="G10" s="29"/>
      <c r="H10" s="29"/>
      <c r="I10" s="29"/>
      <c r="J10" s="29"/>
      <c r="K10" s="29"/>
      <c r="L10" s="29"/>
      <c r="M10" s="29"/>
      <c r="N10" s="29"/>
      <c r="O10" s="29"/>
      <c r="P10" s="29"/>
      <c r="Q10" s="29"/>
      <c r="R10" s="29"/>
      <c r="S10" s="29"/>
      <c r="T10" s="25"/>
      <c r="W10" s="292" t="s">
        <v>4</v>
      </c>
      <c r="X10" s="291">
        <v>6.2926999999999997E-2</v>
      </c>
    </row>
    <row r="11" spans="1:24" ht="15" customHeight="1" x14ac:dyDescent="0.35">
      <c r="B11" s="64"/>
      <c r="C11" s="192" t="s">
        <v>242</v>
      </c>
      <c r="D11" s="187" t="s">
        <v>4</v>
      </c>
      <c r="E11" s="188">
        <v>2.4409E-2</v>
      </c>
      <c r="F11" s="128"/>
      <c r="G11" s="29"/>
      <c r="H11" s="29"/>
      <c r="I11" s="29"/>
      <c r="J11" s="29"/>
      <c r="K11" s="29"/>
      <c r="L11" s="29"/>
      <c r="M11" s="29"/>
      <c r="N11" s="29"/>
      <c r="O11" s="29"/>
      <c r="P11" s="29"/>
      <c r="Q11" s="29"/>
      <c r="R11" s="29"/>
      <c r="S11" s="29"/>
      <c r="T11" s="25"/>
      <c r="W11" s="292" t="s">
        <v>26</v>
      </c>
      <c r="X11" s="291">
        <v>5.5625000000000008E-2</v>
      </c>
    </row>
    <row r="12" spans="1:24" ht="15" customHeight="1" x14ac:dyDescent="0.35">
      <c r="B12" s="64"/>
      <c r="C12" s="192" t="s">
        <v>30</v>
      </c>
      <c r="D12" s="187" t="s">
        <v>115</v>
      </c>
      <c r="E12" s="188">
        <v>2.3387000000000002E-2</v>
      </c>
      <c r="F12" s="128"/>
      <c r="G12" s="29"/>
      <c r="H12" s="29"/>
      <c r="I12" s="29"/>
      <c r="J12" s="29"/>
      <c r="K12" s="29"/>
      <c r="L12" s="29"/>
      <c r="M12" s="29"/>
      <c r="N12" s="29"/>
      <c r="O12" s="29"/>
      <c r="P12" s="29"/>
      <c r="Q12" s="29"/>
      <c r="R12" s="29"/>
      <c r="S12" s="29"/>
      <c r="T12" s="25"/>
      <c r="W12" s="292" t="s">
        <v>105</v>
      </c>
      <c r="X12" s="291">
        <v>4.8196000000000003E-2</v>
      </c>
    </row>
    <row r="13" spans="1:24" ht="15" customHeight="1" x14ac:dyDescent="0.35">
      <c r="B13" s="64"/>
      <c r="C13" s="192" t="s">
        <v>36</v>
      </c>
      <c r="D13" s="187" t="s">
        <v>3</v>
      </c>
      <c r="E13" s="188">
        <v>2.0875999999999999E-2</v>
      </c>
      <c r="F13" s="128"/>
      <c r="G13" s="29"/>
      <c r="H13" s="29"/>
      <c r="I13" s="29"/>
      <c r="J13" s="29"/>
      <c r="K13" s="29"/>
      <c r="L13" s="29"/>
      <c r="M13" s="29"/>
      <c r="N13" s="29"/>
      <c r="O13" s="29"/>
      <c r="P13" s="29"/>
      <c r="Q13" s="29"/>
      <c r="R13" s="29"/>
      <c r="S13" s="29"/>
      <c r="T13" s="25"/>
      <c r="W13" s="292" t="s">
        <v>181</v>
      </c>
      <c r="X13" s="291">
        <v>3.7103000000000004E-2</v>
      </c>
    </row>
    <row r="14" spans="1:24" ht="15" customHeight="1" x14ac:dyDescent="0.35">
      <c r="B14" s="64"/>
      <c r="C14" s="192" t="s">
        <v>70</v>
      </c>
      <c r="D14" s="187" t="s">
        <v>12</v>
      </c>
      <c r="E14" s="188">
        <v>1.9595999999999999E-2</v>
      </c>
      <c r="F14" s="128"/>
      <c r="G14" s="29"/>
      <c r="H14" s="29"/>
      <c r="I14" s="29"/>
      <c r="J14" s="29"/>
      <c r="K14" s="29"/>
      <c r="L14" s="29"/>
      <c r="M14" s="29"/>
      <c r="N14" s="29"/>
      <c r="O14" s="29"/>
      <c r="P14" s="29"/>
      <c r="Q14" s="29"/>
      <c r="R14" s="29"/>
      <c r="S14" s="29"/>
      <c r="T14" s="25"/>
      <c r="W14" s="292" t="s">
        <v>108</v>
      </c>
      <c r="X14" s="291">
        <v>3.6389999999999999E-2</v>
      </c>
    </row>
    <row r="15" spans="1:24" ht="15.5" x14ac:dyDescent="0.35">
      <c r="B15" s="64"/>
      <c r="C15" s="192" t="s">
        <v>281</v>
      </c>
      <c r="D15" s="187" t="s">
        <v>75</v>
      </c>
      <c r="E15" s="188">
        <v>1.7839000000000001E-2</v>
      </c>
      <c r="F15" s="128"/>
      <c r="G15" s="29"/>
      <c r="H15" s="29"/>
      <c r="I15" s="29"/>
      <c r="J15" s="29"/>
      <c r="K15" s="29"/>
      <c r="L15" s="29"/>
      <c r="M15" s="29"/>
      <c r="N15" s="29"/>
      <c r="O15" s="29"/>
      <c r="P15" s="29"/>
      <c r="Q15" s="29"/>
      <c r="R15" s="29"/>
      <c r="S15" s="29"/>
      <c r="T15" s="25"/>
      <c r="W15" s="292" t="s">
        <v>111</v>
      </c>
      <c r="X15" s="291">
        <v>3.5692999999999996E-2</v>
      </c>
    </row>
    <row r="16" spans="1:24" ht="15" customHeight="1" x14ac:dyDescent="0.35">
      <c r="B16" s="64"/>
      <c r="C16" s="192" t="s">
        <v>28</v>
      </c>
      <c r="D16" s="187" t="s">
        <v>105</v>
      </c>
      <c r="E16" s="188">
        <v>1.7757999999999999E-2</v>
      </c>
      <c r="F16" s="128"/>
      <c r="G16" s="29"/>
      <c r="H16" s="29"/>
      <c r="I16" s="29"/>
      <c r="J16" s="29"/>
      <c r="K16" s="29"/>
      <c r="L16" s="29"/>
      <c r="M16" s="29"/>
      <c r="N16" s="29"/>
      <c r="O16" s="29"/>
      <c r="P16" s="29"/>
      <c r="Q16" s="29"/>
      <c r="R16" s="29"/>
      <c r="S16" s="29"/>
      <c r="T16" s="25"/>
      <c r="W16" s="292" t="s">
        <v>122</v>
      </c>
      <c r="X16" s="291">
        <v>3.3967999999999998E-2</v>
      </c>
    </row>
    <row r="17" spans="2:24" ht="15.5" x14ac:dyDescent="0.35">
      <c r="B17" s="64"/>
      <c r="C17" s="192" t="s">
        <v>143</v>
      </c>
      <c r="D17" s="187" t="s">
        <v>122</v>
      </c>
      <c r="E17" s="188">
        <v>1.6855999999999999E-2</v>
      </c>
      <c r="F17" s="128"/>
      <c r="G17" s="29"/>
      <c r="H17" s="29"/>
      <c r="I17" s="29"/>
      <c r="J17" s="29"/>
      <c r="K17" s="29"/>
      <c r="L17" s="29"/>
      <c r="M17" s="29"/>
      <c r="N17" s="29"/>
      <c r="O17" s="29"/>
      <c r="P17" s="29"/>
      <c r="Q17" s="29"/>
      <c r="R17" s="29"/>
      <c r="S17" s="29"/>
      <c r="T17" s="25"/>
      <c r="W17" s="292" t="s">
        <v>12</v>
      </c>
      <c r="X17" s="291">
        <v>3.2835999999999997E-2</v>
      </c>
    </row>
    <row r="18" spans="2:24" ht="15.5" x14ac:dyDescent="0.35">
      <c r="B18" s="64"/>
      <c r="C18" s="192" t="s">
        <v>377</v>
      </c>
      <c r="D18" s="187" t="s">
        <v>121</v>
      </c>
      <c r="E18" s="188">
        <v>1.6507999999999998E-2</v>
      </c>
      <c r="F18" s="128"/>
      <c r="G18" s="29"/>
      <c r="H18" s="29"/>
      <c r="I18" s="29"/>
      <c r="J18" s="29"/>
      <c r="K18" s="29"/>
      <c r="L18" s="29"/>
      <c r="M18" s="29"/>
      <c r="N18" s="29"/>
      <c r="O18" s="29"/>
      <c r="P18" s="29"/>
      <c r="Q18" s="29"/>
      <c r="R18" s="29"/>
      <c r="S18" s="29"/>
      <c r="T18" s="25"/>
      <c r="W18" s="292" t="s">
        <v>75</v>
      </c>
      <c r="X18" s="291">
        <v>2.6321999999999998E-2</v>
      </c>
    </row>
    <row r="19" spans="2:24" ht="15.5" x14ac:dyDescent="0.35">
      <c r="B19" s="64"/>
      <c r="C19" s="192" t="s">
        <v>191</v>
      </c>
      <c r="D19" s="187" t="s">
        <v>104</v>
      </c>
      <c r="E19" s="188">
        <v>1.5918999999999999E-2</v>
      </c>
      <c r="F19" s="128"/>
      <c r="G19" s="29"/>
      <c r="H19" s="29"/>
      <c r="I19" s="29"/>
      <c r="J19" s="29"/>
      <c r="K19" s="29"/>
      <c r="L19" s="29"/>
      <c r="M19" s="29"/>
      <c r="N19" s="29"/>
      <c r="O19" s="29"/>
      <c r="P19" s="29"/>
      <c r="Q19" s="29"/>
      <c r="R19" s="29"/>
      <c r="S19" s="29"/>
      <c r="T19" s="25"/>
      <c r="W19" s="292" t="s">
        <v>10</v>
      </c>
      <c r="X19" s="291">
        <v>2.6193999999999999E-2</v>
      </c>
    </row>
    <row r="20" spans="2:24" ht="15" customHeight="1" x14ac:dyDescent="0.35">
      <c r="B20" s="64"/>
      <c r="C20" s="192" t="s">
        <v>33</v>
      </c>
      <c r="D20" s="187" t="s">
        <v>105</v>
      </c>
      <c r="E20" s="188">
        <v>1.5481999999999999E-2</v>
      </c>
      <c r="F20" s="128"/>
      <c r="G20" s="29"/>
      <c r="H20" s="29"/>
      <c r="I20" s="29"/>
      <c r="J20" s="29"/>
      <c r="K20" s="29"/>
      <c r="L20" s="29"/>
      <c r="M20" s="29"/>
      <c r="N20" s="29"/>
      <c r="O20" s="29"/>
      <c r="P20" s="29"/>
      <c r="Q20" s="29"/>
      <c r="R20" s="29"/>
      <c r="S20" s="29"/>
      <c r="T20" s="25"/>
      <c r="W20" s="292" t="s">
        <v>104</v>
      </c>
      <c r="X20" s="291">
        <v>2.5878999999999999E-2</v>
      </c>
    </row>
    <row r="21" spans="2:24" ht="17.25" customHeight="1" x14ac:dyDescent="0.35">
      <c r="B21" s="64"/>
      <c r="C21" s="192" t="s">
        <v>299</v>
      </c>
      <c r="D21" s="187" t="s">
        <v>26</v>
      </c>
      <c r="E21" s="188">
        <v>1.5152000000000001E-2</v>
      </c>
      <c r="F21" s="128"/>
      <c r="G21" s="29"/>
      <c r="H21" s="29"/>
      <c r="I21" s="29"/>
      <c r="J21" s="29"/>
      <c r="K21" s="29"/>
      <c r="L21" s="29"/>
      <c r="M21" s="29"/>
      <c r="N21" s="29"/>
      <c r="O21" s="29"/>
      <c r="P21" s="29"/>
      <c r="Q21" s="29"/>
      <c r="R21" s="29"/>
      <c r="S21" s="29"/>
      <c r="T21" s="25"/>
      <c r="W21" s="292" t="s">
        <v>16</v>
      </c>
      <c r="X21" s="291">
        <v>2.3843E-2</v>
      </c>
    </row>
    <row r="22" spans="2:24" ht="15" customHeight="1" x14ac:dyDescent="0.35">
      <c r="B22" s="64"/>
      <c r="C22" s="192" t="s">
        <v>133</v>
      </c>
      <c r="D22" s="187" t="s">
        <v>3</v>
      </c>
      <c r="E22" s="188">
        <v>1.4907E-2</v>
      </c>
      <c r="F22" s="128"/>
      <c r="G22" s="29"/>
      <c r="H22" s="29"/>
      <c r="I22" s="29"/>
      <c r="J22" s="29"/>
      <c r="K22" s="29"/>
      <c r="L22" s="29"/>
      <c r="M22" s="29"/>
      <c r="N22" s="29"/>
      <c r="O22" s="29"/>
      <c r="P22" s="29"/>
      <c r="Q22" s="29"/>
      <c r="R22" s="29"/>
      <c r="S22" s="29"/>
      <c r="T22" s="25"/>
      <c r="W22" s="292" t="s">
        <v>83</v>
      </c>
      <c r="X22" s="291">
        <v>2.3462999999999998E-2</v>
      </c>
    </row>
    <row r="23" spans="2:24" ht="15" customHeight="1" x14ac:dyDescent="0.35">
      <c r="B23" s="64"/>
      <c r="C23" s="82"/>
      <c r="D23" s="82"/>
      <c r="E23" s="83"/>
      <c r="F23" s="128"/>
      <c r="G23" s="29"/>
      <c r="H23" s="29"/>
      <c r="I23" s="29"/>
      <c r="J23" s="29"/>
      <c r="K23" s="29"/>
      <c r="L23" s="29"/>
      <c r="M23" s="29"/>
      <c r="N23" s="29"/>
      <c r="O23" s="29"/>
      <c r="P23" s="29"/>
      <c r="Q23" s="29"/>
      <c r="R23" s="29"/>
      <c r="S23" s="29"/>
      <c r="T23" s="25"/>
      <c r="W23" s="292" t="s">
        <v>115</v>
      </c>
      <c r="X23" s="291">
        <v>2.3387000000000002E-2</v>
      </c>
    </row>
    <row r="24" spans="2:24" ht="15" customHeight="1" x14ac:dyDescent="0.35">
      <c r="B24" s="64"/>
      <c r="C24" s="157" t="s">
        <v>55</v>
      </c>
      <c r="D24" s="158"/>
      <c r="E24" s="159">
        <f>SUM(E8:E22)</f>
        <v>0.335675</v>
      </c>
      <c r="F24" s="29"/>
      <c r="G24" s="29"/>
      <c r="H24" s="29"/>
      <c r="I24" s="29"/>
      <c r="J24" s="29"/>
      <c r="K24" s="29"/>
      <c r="L24" s="29"/>
      <c r="M24" s="29"/>
      <c r="N24" s="29"/>
      <c r="O24" s="29"/>
      <c r="P24" s="29"/>
      <c r="Q24" s="29"/>
      <c r="R24" s="29"/>
      <c r="S24" s="29"/>
      <c r="T24" s="25"/>
      <c r="W24" s="292" t="s">
        <v>84</v>
      </c>
      <c r="X24" s="291">
        <v>2.1651E-2</v>
      </c>
    </row>
    <row r="25" spans="2:24" ht="15" customHeight="1" x14ac:dyDescent="0.35">
      <c r="B25" s="64"/>
      <c r="C25" s="29"/>
      <c r="D25" s="29"/>
      <c r="E25" s="29"/>
      <c r="F25" s="29"/>
      <c r="G25" s="29"/>
      <c r="H25" s="29"/>
      <c r="I25" s="29"/>
      <c r="J25" s="29"/>
      <c r="K25" s="29"/>
      <c r="L25" s="29"/>
      <c r="M25" s="29"/>
      <c r="N25" s="29"/>
      <c r="O25" s="29"/>
      <c r="P25" s="29"/>
      <c r="Q25" s="29"/>
      <c r="R25" s="29"/>
      <c r="S25" s="29"/>
      <c r="T25" s="25"/>
      <c r="W25" s="292" t="s">
        <v>24</v>
      </c>
      <c r="X25" s="291">
        <v>1.6532999999999999E-2</v>
      </c>
    </row>
    <row r="26" spans="2:24" ht="15" customHeight="1" x14ac:dyDescent="0.35">
      <c r="B26" s="64"/>
      <c r="C26" s="29"/>
      <c r="D26" s="29"/>
      <c r="E26" s="29"/>
      <c r="F26" s="29"/>
      <c r="G26" s="29"/>
      <c r="H26" s="29"/>
      <c r="I26" s="29"/>
      <c r="J26" s="29"/>
      <c r="K26" s="29"/>
      <c r="L26" s="29"/>
      <c r="M26" s="29"/>
      <c r="N26" s="29"/>
      <c r="O26" s="29"/>
      <c r="P26" s="29"/>
      <c r="Q26" s="29"/>
      <c r="R26" s="29"/>
      <c r="S26" s="29"/>
      <c r="T26" s="25"/>
      <c r="W26" s="292" t="s">
        <v>121</v>
      </c>
      <c r="X26" s="291">
        <v>1.6507999999999998E-2</v>
      </c>
    </row>
    <row r="27" spans="2:24" ht="15" customHeight="1" x14ac:dyDescent="0.35">
      <c r="B27" s="64"/>
      <c r="C27" s="29"/>
      <c r="D27" s="29"/>
      <c r="E27" s="29"/>
      <c r="F27" s="29"/>
      <c r="G27" s="29"/>
      <c r="H27" s="29"/>
      <c r="I27" s="29"/>
      <c r="J27" s="29"/>
      <c r="K27" s="29"/>
      <c r="L27" s="29"/>
      <c r="M27" s="29"/>
      <c r="N27" s="29"/>
      <c r="O27" s="29"/>
      <c r="P27" s="29"/>
      <c r="Q27" s="29"/>
      <c r="R27" s="29"/>
      <c r="S27" s="29"/>
      <c r="T27" s="25"/>
      <c r="W27" s="292" t="s">
        <v>23</v>
      </c>
      <c r="X27" s="291">
        <v>1.5443999999999999E-2</v>
      </c>
    </row>
    <row r="28" spans="2:24" ht="15" customHeight="1" x14ac:dyDescent="0.35">
      <c r="B28" s="64"/>
      <c r="C28" s="29"/>
      <c r="D28" s="29"/>
      <c r="E28" s="29"/>
      <c r="F28" s="29"/>
      <c r="G28" s="29"/>
      <c r="H28" s="29"/>
      <c r="I28" s="29"/>
      <c r="J28" s="29"/>
      <c r="K28" s="29"/>
      <c r="L28" s="29"/>
      <c r="M28" s="29"/>
      <c r="N28" s="29"/>
      <c r="O28" s="29"/>
      <c r="P28" s="29"/>
      <c r="Q28" s="29"/>
      <c r="R28" s="29"/>
      <c r="S28" s="29"/>
      <c r="T28" s="25"/>
      <c r="W28" s="292" t="s">
        <v>144</v>
      </c>
      <c r="X28" s="291">
        <v>1.3749000000000001E-2</v>
      </c>
    </row>
    <row r="29" spans="2:24" ht="15" customHeight="1" x14ac:dyDescent="0.35">
      <c r="B29" s="64"/>
      <c r="C29" s="29"/>
      <c r="D29" s="29"/>
      <c r="E29" s="29"/>
      <c r="F29" s="29"/>
      <c r="G29" s="29"/>
      <c r="H29" s="29"/>
      <c r="I29" s="29"/>
      <c r="J29" s="29"/>
      <c r="K29" s="29"/>
      <c r="L29" s="29"/>
      <c r="M29" s="29"/>
      <c r="N29" s="29"/>
      <c r="O29" s="29"/>
      <c r="P29" s="29"/>
      <c r="Q29" s="29"/>
      <c r="R29" s="29"/>
      <c r="S29" s="29"/>
      <c r="T29" s="25"/>
      <c r="W29" s="292" t="s">
        <v>6</v>
      </c>
      <c r="X29" s="291">
        <v>1.2586E-2</v>
      </c>
    </row>
    <row r="30" spans="2:24" ht="15" customHeight="1" x14ac:dyDescent="0.35">
      <c r="B30" s="64"/>
      <c r="C30" s="29"/>
      <c r="D30" s="29"/>
      <c r="E30" s="29"/>
      <c r="F30" s="29"/>
      <c r="G30" s="29"/>
      <c r="H30" s="29"/>
      <c r="I30" s="29"/>
      <c r="J30" s="29"/>
      <c r="K30" s="29"/>
      <c r="L30" s="29"/>
      <c r="M30" s="29"/>
      <c r="N30" s="29"/>
      <c r="O30" s="29"/>
      <c r="P30" s="29"/>
      <c r="Q30" s="29"/>
      <c r="R30" s="29"/>
      <c r="S30" s="29"/>
      <c r="T30" s="25"/>
      <c r="W30" s="292" t="s">
        <v>116</v>
      </c>
      <c r="X30" s="291">
        <v>1.0892000000000001E-2</v>
      </c>
    </row>
    <row r="31" spans="2:24" ht="15" customHeight="1" x14ac:dyDescent="0.35">
      <c r="B31" s="64"/>
      <c r="C31" s="29"/>
      <c r="D31" s="29"/>
      <c r="E31" s="29"/>
      <c r="F31" s="29"/>
      <c r="G31" s="29"/>
      <c r="H31" s="29"/>
      <c r="I31" s="29"/>
      <c r="J31" s="29"/>
      <c r="K31" s="29"/>
      <c r="L31" s="29"/>
      <c r="M31" s="29"/>
      <c r="N31" s="29"/>
      <c r="O31" s="29"/>
      <c r="P31" s="29"/>
      <c r="Q31" s="29"/>
      <c r="R31" s="29"/>
      <c r="S31" s="29"/>
      <c r="T31" s="25"/>
      <c r="W31" s="292" t="s">
        <v>120</v>
      </c>
      <c r="X31" s="291">
        <v>1.0376E-2</v>
      </c>
    </row>
    <row r="32" spans="2:24" ht="15" customHeight="1" x14ac:dyDescent="0.35">
      <c r="B32" s="64"/>
      <c r="C32" s="29"/>
      <c r="D32" s="29"/>
      <c r="E32" s="29"/>
      <c r="F32" s="29"/>
      <c r="G32" s="29"/>
      <c r="H32" s="29"/>
      <c r="I32" s="29"/>
      <c r="J32" s="29"/>
      <c r="K32" s="29"/>
      <c r="L32" s="29"/>
      <c r="M32" s="29"/>
      <c r="N32" s="29"/>
      <c r="O32" s="29"/>
      <c r="P32" s="29"/>
      <c r="Q32" s="29"/>
      <c r="R32" s="29"/>
      <c r="S32" s="29"/>
      <c r="T32" s="25"/>
      <c r="W32" s="292" t="s">
        <v>15</v>
      </c>
      <c r="X32" s="291">
        <v>9.666000000000001E-3</v>
      </c>
    </row>
    <row r="33" spans="2:24" ht="15" customHeight="1" x14ac:dyDescent="0.35">
      <c r="B33" s="64"/>
      <c r="C33" s="29"/>
      <c r="D33" s="29"/>
      <c r="E33" s="29"/>
      <c r="F33" s="29"/>
      <c r="G33" s="29"/>
      <c r="H33" s="29"/>
      <c r="I33" s="29"/>
      <c r="J33" s="29"/>
      <c r="K33" s="29"/>
      <c r="L33" s="29"/>
      <c r="M33" s="29"/>
      <c r="N33" s="29"/>
      <c r="O33" s="29"/>
      <c r="P33" s="29"/>
      <c r="Q33" s="29"/>
      <c r="R33" s="29"/>
      <c r="S33" s="29"/>
      <c r="T33" s="25"/>
      <c r="W33" s="292" t="s">
        <v>85</v>
      </c>
      <c r="X33" s="291">
        <v>9.4400000000000005E-3</v>
      </c>
    </row>
    <row r="34" spans="2:24" ht="15" customHeight="1" x14ac:dyDescent="0.35">
      <c r="B34" s="64"/>
      <c r="C34" s="29"/>
      <c r="D34" s="29"/>
      <c r="E34" s="29"/>
      <c r="F34" s="29"/>
      <c r="G34" s="29"/>
      <c r="H34" s="29"/>
      <c r="I34" s="29"/>
      <c r="J34" s="29"/>
      <c r="K34" s="29"/>
      <c r="L34" s="29"/>
      <c r="M34" s="29"/>
      <c r="N34" s="29"/>
      <c r="O34" s="29"/>
      <c r="P34" s="29"/>
      <c r="Q34" s="29"/>
      <c r="R34" s="29"/>
      <c r="S34" s="29"/>
      <c r="T34" s="25"/>
      <c r="W34" s="292" t="s">
        <v>110</v>
      </c>
      <c r="X34" s="291">
        <v>8.9359999999999995E-3</v>
      </c>
    </row>
    <row r="35" spans="2:24" ht="15" customHeight="1" x14ac:dyDescent="0.35">
      <c r="B35" s="64"/>
      <c r="C35" s="29"/>
      <c r="D35" s="29"/>
      <c r="E35" s="29"/>
      <c r="F35" s="29"/>
      <c r="G35" s="29"/>
      <c r="H35" s="29"/>
      <c r="I35" s="29"/>
      <c r="J35" s="29"/>
      <c r="K35" s="29"/>
      <c r="L35" s="29"/>
      <c r="M35" s="29"/>
      <c r="N35" s="29"/>
      <c r="O35" s="29"/>
      <c r="P35" s="29"/>
      <c r="Q35" s="29"/>
      <c r="R35" s="29"/>
      <c r="S35" s="29"/>
      <c r="T35" s="25"/>
      <c r="W35" s="292" t="s">
        <v>114</v>
      </c>
      <c r="X35" s="291">
        <v>8.4349999999999998E-3</v>
      </c>
    </row>
    <row r="36" spans="2:24" ht="15" customHeight="1" x14ac:dyDescent="0.35">
      <c r="B36" s="64"/>
      <c r="C36" s="29"/>
      <c r="D36" s="29"/>
      <c r="E36" s="29"/>
      <c r="F36" s="29"/>
      <c r="G36" s="29"/>
      <c r="H36" s="29"/>
      <c r="I36" s="29"/>
      <c r="J36" s="29"/>
      <c r="K36" s="29"/>
      <c r="L36" s="29"/>
      <c r="M36" s="29"/>
      <c r="N36" s="29"/>
      <c r="O36" s="29"/>
      <c r="P36" s="29"/>
      <c r="Q36" s="29"/>
      <c r="R36" s="29"/>
      <c r="S36" s="29"/>
      <c r="T36" s="25"/>
      <c r="W36" s="292" t="s">
        <v>129</v>
      </c>
      <c r="X36" s="291">
        <v>8.2170000000000003E-3</v>
      </c>
    </row>
    <row r="37" spans="2:24" ht="15" customHeight="1" x14ac:dyDescent="0.35">
      <c r="B37" s="64"/>
      <c r="C37" s="29"/>
      <c r="D37" s="29"/>
      <c r="E37" s="29"/>
      <c r="F37" s="29"/>
      <c r="G37" s="29"/>
      <c r="H37" s="29"/>
      <c r="I37" s="29"/>
      <c r="J37" s="29"/>
      <c r="K37" s="29"/>
      <c r="L37" s="29"/>
      <c r="M37" s="29"/>
      <c r="N37" s="29"/>
      <c r="O37" s="29"/>
      <c r="P37" s="29"/>
      <c r="Q37" s="29"/>
      <c r="R37" s="29"/>
      <c r="S37" s="29"/>
      <c r="T37" s="25"/>
      <c r="W37" s="292" t="s">
        <v>11</v>
      </c>
      <c r="X37" s="291">
        <v>8.2089999999999993E-3</v>
      </c>
    </row>
    <row r="38" spans="2:24" ht="15" customHeight="1" thickBot="1" x14ac:dyDescent="0.4">
      <c r="B38" s="76"/>
      <c r="C38" s="30"/>
      <c r="D38" s="30"/>
      <c r="E38" s="30"/>
      <c r="F38" s="30"/>
      <c r="G38" s="30"/>
      <c r="H38" s="30"/>
      <c r="I38" s="30"/>
      <c r="J38" s="30"/>
      <c r="K38" s="30"/>
      <c r="L38" s="30"/>
      <c r="M38" s="30"/>
      <c r="N38" s="30"/>
      <c r="O38" s="30"/>
      <c r="P38" s="30"/>
      <c r="Q38" s="30"/>
      <c r="R38" s="30"/>
      <c r="S38" s="30"/>
      <c r="T38" s="26"/>
      <c r="W38" s="292" t="s">
        <v>117</v>
      </c>
      <c r="X38" s="291">
        <v>7.3559999999999997E-3</v>
      </c>
    </row>
    <row r="39" spans="2:24" ht="15" customHeight="1" x14ac:dyDescent="0.35">
      <c r="B39" s="29"/>
      <c r="C39" s="29"/>
      <c r="D39" s="29"/>
      <c r="E39" s="29"/>
      <c r="F39" s="29"/>
      <c r="G39" s="29"/>
      <c r="H39" s="29"/>
      <c r="I39" s="29"/>
      <c r="J39" s="29"/>
      <c r="K39" s="29"/>
      <c r="L39" s="29"/>
      <c r="M39" s="29"/>
      <c r="N39" s="29"/>
      <c r="O39" s="29"/>
      <c r="P39" s="29"/>
      <c r="Q39" s="29"/>
      <c r="R39" s="29"/>
      <c r="S39" s="29"/>
      <c r="T39" s="29"/>
      <c r="W39" s="292" t="s">
        <v>93</v>
      </c>
      <c r="X39" s="291">
        <v>7.0330000000000002E-3</v>
      </c>
    </row>
    <row r="40" spans="2:24" ht="15" customHeight="1" x14ac:dyDescent="0.35">
      <c r="B40" s="29"/>
      <c r="C40" s="29"/>
      <c r="D40" s="29"/>
      <c r="E40" s="29"/>
      <c r="F40" s="29"/>
      <c r="G40" s="29"/>
      <c r="H40" s="29"/>
      <c r="I40" s="29"/>
      <c r="J40" s="29"/>
      <c r="K40" s="29"/>
      <c r="L40" s="29"/>
      <c r="M40" s="29"/>
      <c r="N40" s="29"/>
      <c r="O40" s="29"/>
      <c r="P40" s="29"/>
      <c r="Q40" s="29"/>
      <c r="R40" s="29"/>
      <c r="S40" s="29"/>
      <c r="T40" s="29"/>
      <c r="W40" s="292" t="s">
        <v>13</v>
      </c>
      <c r="X40" s="291">
        <v>7.0210000000000003E-3</v>
      </c>
    </row>
    <row r="41" spans="2:24" ht="15" customHeight="1" thickBot="1" x14ac:dyDescent="0.4">
      <c r="B41" s="29"/>
      <c r="C41" s="29"/>
      <c r="D41" s="29"/>
      <c r="E41" s="29"/>
      <c r="F41" s="29"/>
      <c r="G41" s="29"/>
      <c r="H41" s="29"/>
      <c r="I41" s="29"/>
      <c r="J41" s="29"/>
      <c r="K41" s="29"/>
      <c r="L41" s="29"/>
      <c r="M41" s="29"/>
      <c r="N41" s="29"/>
      <c r="O41" s="29"/>
      <c r="P41" s="29"/>
      <c r="Q41" s="29"/>
      <c r="R41" s="29"/>
      <c r="S41" s="29"/>
      <c r="T41" s="29"/>
      <c r="W41" s="292" t="s">
        <v>113</v>
      </c>
      <c r="X41" s="291">
        <v>6.1219999999999998E-3</v>
      </c>
    </row>
    <row r="42" spans="2:24" ht="15" customHeight="1" x14ac:dyDescent="0.35">
      <c r="B42" s="303" t="s">
        <v>179</v>
      </c>
      <c r="C42" s="304"/>
      <c r="D42" s="304"/>
      <c r="E42" s="304"/>
      <c r="F42" s="304"/>
      <c r="G42" s="304"/>
      <c r="H42" s="304"/>
      <c r="I42" s="304"/>
      <c r="J42" s="304"/>
      <c r="K42" s="304"/>
      <c r="L42" s="304"/>
      <c r="M42" s="304"/>
      <c r="N42" s="304"/>
      <c r="O42" s="304"/>
      <c r="P42" s="304"/>
      <c r="Q42" s="304"/>
      <c r="R42" s="305"/>
      <c r="T42" s="29"/>
      <c r="W42" s="292" t="s">
        <v>81</v>
      </c>
      <c r="X42" s="291">
        <v>4.7629999999999999E-3</v>
      </c>
    </row>
    <row r="43" spans="2:24" ht="15" customHeight="1" x14ac:dyDescent="0.35">
      <c r="B43" s="306"/>
      <c r="C43" s="307"/>
      <c r="D43" s="307"/>
      <c r="E43" s="307"/>
      <c r="F43" s="307"/>
      <c r="G43" s="307"/>
      <c r="H43" s="307"/>
      <c r="I43" s="307"/>
      <c r="J43" s="307"/>
      <c r="K43" s="307"/>
      <c r="L43" s="307"/>
      <c r="M43" s="307"/>
      <c r="N43" s="307"/>
      <c r="O43" s="307"/>
      <c r="P43" s="307"/>
      <c r="Q43" s="307"/>
      <c r="R43" s="308"/>
      <c r="T43" s="29"/>
      <c r="W43" s="292" t="s">
        <v>112</v>
      </c>
      <c r="X43" s="291">
        <v>3.1589999999999999E-3</v>
      </c>
    </row>
    <row r="44" spans="2:24" ht="15" customHeight="1" x14ac:dyDescent="0.35">
      <c r="B44" s="306"/>
      <c r="C44" s="307"/>
      <c r="D44" s="307"/>
      <c r="E44" s="307"/>
      <c r="F44" s="307"/>
      <c r="G44" s="307"/>
      <c r="H44" s="307"/>
      <c r="I44" s="307"/>
      <c r="J44" s="307"/>
      <c r="K44" s="307"/>
      <c r="L44" s="307"/>
      <c r="M44" s="307"/>
      <c r="N44" s="307"/>
      <c r="O44" s="307"/>
      <c r="P44" s="307"/>
      <c r="Q44" s="307"/>
      <c r="R44" s="308"/>
      <c r="T44" s="29"/>
      <c r="W44" s="292" t="s">
        <v>128</v>
      </c>
      <c r="X44" s="291">
        <v>3.0730000000000002E-3</v>
      </c>
    </row>
    <row r="45" spans="2:24" ht="15" customHeight="1" x14ac:dyDescent="0.35">
      <c r="B45" s="306"/>
      <c r="C45" s="307"/>
      <c r="D45" s="307"/>
      <c r="E45" s="307"/>
      <c r="F45" s="307"/>
      <c r="G45" s="307"/>
      <c r="H45" s="307"/>
      <c r="I45" s="307"/>
      <c r="J45" s="307"/>
      <c r="K45" s="307"/>
      <c r="L45" s="307"/>
      <c r="M45" s="307"/>
      <c r="N45" s="307"/>
      <c r="O45" s="307"/>
      <c r="P45" s="307"/>
      <c r="Q45" s="307"/>
      <c r="R45" s="308"/>
      <c r="T45" s="29"/>
      <c r="W45" s="292" t="s">
        <v>124</v>
      </c>
      <c r="X45" s="291">
        <v>6.4899999999999995E-4</v>
      </c>
    </row>
    <row r="46" spans="2:24" ht="15" customHeight="1" x14ac:dyDescent="0.35">
      <c r="B46" s="306"/>
      <c r="C46" s="307"/>
      <c r="D46" s="307"/>
      <c r="E46" s="307"/>
      <c r="F46" s="307"/>
      <c r="G46" s="307"/>
      <c r="H46" s="307"/>
      <c r="I46" s="307"/>
      <c r="J46" s="307"/>
      <c r="K46" s="307"/>
      <c r="L46" s="307"/>
      <c r="M46" s="307"/>
      <c r="N46" s="307"/>
      <c r="O46" s="307"/>
      <c r="P46" s="307"/>
      <c r="Q46" s="307"/>
      <c r="R46" s="308"/>
      <c r="T46" s="29"/>
      <c r="W46" s="292"/>
      <c r="X46" s="291"/>
    </row>
    <row r="47" spans="2:24" ht="15" customHeight="1" x14ac:dyDescent="0.35">
      <c r="B47" s="306"/>
      <c r="C47" s="307"/>
      <c r="D47" s="307"/>
      <c r="E47" s="307"/>
      <c r="F47" s="307"/>
      <c r="G47" s="307"/>
      <c r="H47" s="307"/>
      <c r="I47" s="307"/>
      <c r="J47" s="307"/>
      <c r="K47" s="307"/>
      <c r="L47" s="307"/>
      <c r="M47" s="307"/>
      <c r="N47" s="307"/>
      <c r="O47" s="307"/>
      <c r="P47" s="307"/>
      <c r="Q47" s="307"/>
      <c r="R47" s="308"/>
      <c r="T47" s="29"/>
      <c r="W47" s="221"/>
      <c r="X47" s="224"/>
    </row>
    <row r="48" spans="2:24" ht="15" customHeight="1" thickBot="1" x14ac:dyDescent="0.4">
      <c r="B48" s="309"/>
      <c r="C48" s="310"/>
      <c r="D48" s="310"/>
      <c r="E48" s="310"/>
      <c r="F48" s="310"/>
      <c r="G48" s="310"/>
      <c r="H48" s="310"/>
      <c r="I48" s="310"/>
      <c r="J48" s="310"/>
      <c r="K48" s="310"/>
      <c r="L48" s="310"/>
      <c r="M48" s="310"/>
      <c r="N48" s="310"/>
      <c r="O48" s="310"/>
      <c r="P48" s="310"/>
      <c r="Q48" s="310"/>
      <c r="R48" s="311"/>
      <c r="T48" s="29"/>
      <c r="X48" s="224"/>
    </row>
    <row r="49" spans="2:20" ht="15.75" customHeight="1" x14ac:dyDescent="0.35">
      <c r="B49" s="29"/>
      <c r="C49" s="29"/>
      <c r="D49" s="29"/>
      <c r="E49" s="29"/>
      <c r="F49" s="29"/>
      <c r="G49" s="29"/>
      <c r="H49" s="29"/>
      <c r="I49" s="29"/>
      <c r="J49" s="29"/>
      <c r="K49" s="29"/>
      <c r="L49" s="29"/>
      <c r="M49" s="29"/>
      <c r="N49" s="29"/>
      <c r="O49" s="29"/>
      <c r="P49" s="29"/>
      <c r="Q49" s="29"/>
      <c r="R49" s="29"/>
      <c r="S49" s="29"/>
      <c r="T49" s="29"/>
    </row>
    <row r="50" spans="2:20" ht="15" customHeight="1" x14ac:dyDescent="0.35">
      <c r="B50" s="29"/>
      <c r="C50" s="29"/>
      <c r="D50" s="29"/>
      <c r="E50" s="29"/>
      <c r="F50" s="29"/>
      <c r="G50" s="29"/>
      <c r="H50" s="29"/>
      <c r="I50" s="29"/>
      <c r="J50" s="29"/>
      <c r="K50" s="29"/>
      <c r="L50" s="29"/>
      <c r="M50" s="29"/>
      <c r="N50" s="29"/>
      <c r="O50" s="29"/>
      <c r="P50" s="29"/>
      <c r="Q50" s="29"/>
      <c r="R50" s="29"/>
      <c r="S50" s="29"/>
      <c r="T50" s="29"/>
    </row>
    <row r="51" spans="2:20" ht="15.75" customHeight="1" x14ac:dyDescent="0.35">
      <c r="B51" s="29"/>
      <c r="C51" s="29"/>
      <c r="D51" s="29"/>
      <c r="E51" s="29"/>
      <c r="F51" s="29"/>
      <c r="G51" s="29"/>
      <c r="H51" s="29"/>
      <c r="I51" s="29"/>
      <c r="J51" s="29"/>
      <c r="K51" s="29"/>
      <c r="L51" s="29"/>
      <c r="M51" s="29"/>
      <c r="N51" s="29"/>
      <c r="O51" s="29"/>
      <c r="P51" s="29"/>
      <c r="Q51" s="29"/>
      <c r="R51" s="29"/>
      <c r="S51" s="29"/>
      <c r="T51" s="29"/>
    </row>
    <row r="52" spans="2:20" ht="15" customHeight="1" x14ac:dyDescent="0.35">
      <c r="B52" s="29"/>
      <c r="C52" s="29"/>
      <c r="D52" s="29"/>
      <c r="E52" s="29"/>
      <c r="F52" s="29"/>
      <c r="G52" s="29"/>
      <c r="H52" s="29"/>
      <c r="I52" s="29"/>
      <c r="J52" s="29"/>
      <c r="K52" s="29"/>
      <c r="L52" s="29"/>
      <c r="M52" s="29"/>
      <c r="N52" s="29"/>
      <c r="O52" s="29"/>
      <c r="P52" s="29"/>
      <c r="Q52" s="29"/>
      <c r="R52" s="29"/>
      <c r="S52" s="29"/>
      <c r="T52" s="29"/>
    </row>
    <row r="53" spans="2:20" ht="15" customHeight="1" x14ac:dyDescent="0.35">
      <c r="B53" s="29"/>
      <c r="C53" s="29"/>
      <c r="D53" s="29"/>
      <c r="E53" s="29"/>
      <c r="F53" s="29"/>
      <c r="G53" s="29"/>
      <c r="H53" s="29"/>
      <c r="I53" s="29"/>
      <c r="J53" s="29"/>
      <c r="K53" s="29"/>
      <c r="L53" s="29"/>
      <c r="M53" s="29"/>
      <c r="N53" s="29"/>
      <c r="O53" s="29"/>
      <c r="P53" s="29"/>
      <c r="Q53" s="29"/>
      <c r="R53" s="29"/>
      <c r="S53" s="29"/>
      <c r="T53" s="29"/>
    </row>
    <row r="54" spans="2:20" ht="15" customHeight="1" x14ac:dyDescent="0.35">
      <c r="B54" s="29"/>
      <c r="C54" s="29"/>
      <c r="D54" s="29"/>
      <c r="E54" s="29"/>
      <c r="F54" s="29"/>
      <c r="G54" s="29"/>
      <c r="H54" s="29"/>
      <c r="I54" s="29"/>
      <c r="J54" s="29"/>
      <c r="K54" s="29"/>
      <c r="L54" s="29"/>
      <c r="M54" s="29"/>
      <c r="N54" s="29"/>
      <c r="O54" s="29"/>
      <c r="P54" s="29"/>
      <c r="Q54" s="29"/>
      <c r="R54" s="29"/>
      <c r="S54" s="29"/>
      <c r="T54" s="29"/>
    </row>
    <row r="55" spans="2:20" ht="15" customHeight="1" x14ac:dyDescent="0.35">
      <c r="B55" s="29"/>
      <c r="C55" s="29"/>
      <c r="D55" s="29"/>
      <c r="E55" s="29"/>
      <c r="F55" s="29"/>
      <c r="G55" s="29"/>
      <c r="H55" s="29"/>
      <c r="I55" s="29"/>
      <c r="J55" s="29"/>
      <c r="K55" s="29"/>
      <c r="L55" s="29"/>
      <c r="M55" s="29"/>
      <c r="N55" s="29"/>
      <c r="O55" s="29"/>
      <c r="P55" s="29"/>
      <c r="Q55" s="29"/>
      <c r="R55" s="29"/>
      <c r="S55" s="29"/>
      <c r="T55" s="29"/>
    </row>
    <row r="56" spans="2:20" ht="15" customHeight="1" x14ac:dyDescent="0.35">
      <c r="B56" s="29"/>
      <c r="C56" s="29"/>
      <c r="D56" s="29"/>
      <c r="E56" s="29"/>
      <c r="F56" s="29"/>
      <c r="G56" s="29"/>
      <c r="H56" s="29"/>
      <c r="I56" s="29"/>
      <c r="J56" s="29"/>
      <c r="K56" s="29"/>
      <c r="L56" s="29"/>
      <c r="M56" s="29"/>
      <c r="N56" s="29"/>
      <c r="O56" s="29"/>
      <c r="P56" s="29"/>
      <c r="Q56" s="29"/>
      <c r="R56" s="29"/>
      <c r="S56" s="29"/>
      <c r="T56" s="29"/>
    </row>
    <row r="57" spans="2:20" ht="15" customHeight="1" x14ac:dyDescent="0.35"/>
    <row r="58" spans="2:20" ht="15" customHeight="1" x14ac:dyDescent="0.35"/>
    <row r="59" spans="2:20" ht="15" customHeight="1" x14ac:dyDescent="0.35"/>
    <row r="60" spans="2:20" ht="15" customHeight="1" x14ac:dyDescent="0.35"/>
    <row r="61" spans="2:20" ht="15" customHeight="1" x14ac:dyDescent="0.35"/>
    <row r="62" spans="2:20" ht="15" customHeight="1" x14ac:dyDescent="0.35"/>
    <row r="63" spans="2:20" ht="15" customHeight="1" x14ac:dyDescent="0.35"/>
    <row r="64" spans="2:20" ht="15" customHeight="1" x14ac:dyDescent="0.35"/>
    <row r="65" ht="15" customHeight="1" x14ac:dyDescent="0.35"/>
    <row r="66" ht="15" customHeight="1" x14ac:dyDescent="0.35"/>
    <row r="67" ht="15" customHeight="1" x14ac:dyDescent="0.35"/>
    <row r="68" ht="15" customHeight="1" x14ac:dyDescent="0.35"/>
    <row r="69" ht="15" customHeight="1" x14ac:dyDescent="0.35"/>
    <row r="70" ht="15" customHeight="1" x14ac:dyDescent="0.35"/>
    <row r="71" ht="15" customHeight="1" x14ac:dyDescent="0.35"/>
    <row r="72" ht="15" customHeight="1" x14ac:dyDescent="0.35"/>
    <row r="73" ht="15" customHeight="1" x14ac:dyDescent="0.35"/>
    <row r="74" ht="15" customHeight="1" x14ac:dyDescent="0.35"/>
    <row r="75" ht="15" customHeight="1" x14ac:dyDescent="0.35"/>
    <row r="76" ht="15" customHeight="1" x14ac:dyDescent="0.35"/>
    <row r="77" ht="15" customHeight="1" x14ac:dyDescent="0.35"/>
    <row r="78" ht="15" customHeight="1" x14ac:dyDescent="0.35"/>
    <row r="79" ht="15" customHeight="1" x14ac:dyDescent="0.35"/>
    <row r="80" ht="15" customHeight="1" x14ac:dyDescent="0.35"/>
    <row r="81" ht="15" customHeight="1" x14ac:dyDescent="0.35"/>
    <row r="82" ht="15" customHeight="1" x14ac:dyDescent="0.35"/>
    <row r="83" ht="15" customHeight="1" x14ac:dyDescent="0.35"/>
  </sheetData>
  <sortState ref="W9:X30">
    <sortCondition descending="1" ref="X9:X30"/>
  </sortState>
  <mergeCells count="3">
    <mergeCell ref="C3:S3"/>
    <mergeCell ref="D5:E5"/>
    <mergeCell ref="B42:R48"/>
  </mergeCells>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dimension ref="A1:X74"/>
  <sheetViews>
    <sheetView showGridLines="0" zoomScale="75" zoomScaleNormal="75" workbookViewId="0"/>
  </sheetViews>
  <sheetFormatPr defaultColWidth="9.1796875" defaultRowHeight="14.5" x14ac:dyDescent="0.35"/>
  <cols>
    <col min="1" max="1" width="2.81640625" style="19" customWidth="1"/>
    <col min="2" max="2" width="3.81640625" style="19" customWidth="1"/>
    <col min="3" max="3" width="59.1796875" style="19" bestFit="1" customWidth="1"/>
    <col min="4" max="4" width="33" style="19" customWidth="1"/>
    <col min="5" max="5" width="10.453125" style="19" bestFit="1" customWidth="1"/>
    <col min="6" max="18" width="9.1796875" style="19"/>
    <col min="19" max="19" width="9.81640625" style="19" customWidth="1"/>
    <col min="20" max="22" width="9.1796875" style="19"/>
    <col min="23" max="23" width="46.453125" style="19" bestFit="1" customWidth="1"/>
    <col min="24" max="16384" width="9.1796875" style="19"/>
  </cols>
  <sheetData>
    <row r="1" spans="1:24" ht="15.75" customHeight="1" thickBot="1" x14ac:dyDescent="0.4">
      <c r="A1" s="3"/>
    </row>
    <row r="2" spans="1:24" ht="15" customHeight="1" x14ac:dyDescent="0.35">
      <c r="B2" s="63"/>
      <c r="C2" s="28"/>
      <c r="D2" s="28"/>
      <c r="E2" s="28"/>
      <c r="F2" s="28"/>
      <c r="G2" s="28"/>
      <c r="H2" s="28"/>
      <c r="I2" s="28"/>
      <c r="J2" s="28"/>
      <c r="K2" s="28"/>
      <c r="L2" s="28"/>
      <c r="M2" s="28"/>
      <c r="N2" s="28"/>
      <c r="O2" s="28"/>
      <c r="P2" s="28"/>
      <c r="Q2" s="28"/>
      <c r="R2" s="28"/>
      <c r="S2" s="28"/>
      <c r="T2" s="24"/>
    </row>
    <row r="3" spans="1:24" ht="20.25" customHeight="1" x14ac:dyDescent="0.35">
      <c r="B3" s="64"/>
      <c r="C3" s="312" t="s">
        <v>168</v>
      </c>
      <c r="D3" s="313"/>
      <c r="E3" s="313"/>
      <c r="F3" s="313"/>
      <c r="G3" s="313"/>
      <c r="H3" s="313"/>
      <c r="I3" s="313"/>
      <c r="J3" s="313"/>
      <c r="K3" s="313"/>
      <c r="L3" s="313"/>
      <c r="M3" s="313"/>
      <c r="N3" s="313"/>
      <c r="O3" s="313"/>
      <c r="P3" s="313"/>
      <c r="Q3" s="313"/>
      <c r="R3" s="313"/>
      <c r="S3" s="313"/>
      <c r="T3" s="25"/>
    </row>
    <row r="4" spans="1:24" ht="15.75" customHeight="1" x14ac:dyDescent="0.35">
      <c r="B4" s="64"/>
      <c r="C4" s="67" t="s">
        <v>434</v>
      </c>
      <c r="D4" s="143"/>
      <c r="E4" s="29"/>
      <c r="F4" s="29"/>
      <c r="G4" s="29"/>
      <c r="H4" s="29"/>
      <c r="I4" s="29"/>
      <c r="J4" s="29"/>
      <c r="K4" s="29"/>
      <c r="L4" s="29"/>
      <c r="M4" s="29"/>
      <c r="N4" s="29"/>
      <c r="O4" s="29"/>
      <c r="P4" s="29"/>
      <c r="Q4" s="29"/>
      <c r="R4" s="29"/>
      <c r="S4" s="29"/>
      <c r="T4" s="25"/>
    </row>
    <row r="5" spans="1:24" ht="18" customHeight="1" x14ac:dyDescent="0.35">
      <c r="B5" s="64"/>
      <c r="C5" s="211" t="s">
        <v>435</v>
      </c>
      <c r="D5" s="314" t="s">
        <v>393</v>
      </c>
      <c r="E5" s="314"/>
      <c r="F5" s="29"/>
      <c r="G5" s="51"/>
      <c r="H5" s="51"/>
      <c r="I5" s="51"/>
      <c r="J5" s="51"/>
      <c r="K5" s="51"/>
      <c r="L5" s="51"/>
      <c r="M5" s="51"/>
      <c r="N5" s="51"/>
      <c r="O5" s="51"/>
      <c r="P5" s="51"/>
      <c r="Q5" s="51"/>
      <c r="R5" s="51"/>
      <c r="S5" s="51"/>
      <c r="T5" s="25"/>
    </row>
    <row r="6" spans="1:24" ht="15" customHeight="1" x14ac:dyDescent="0.35">
      <c r="B6" s="64"/>
      <c r="C6" s="29"/>
      <c r="D6" s="29"/>
      <c r="E6" s="29"/>
      <c r="F6" s="29"/>
      <c r="G6" s="51"/>
      <c r="H6" s="51"/>
      <c r="I6" s="51"/>
      <c r="J6" s="51"/>
      <c r="K6" s="51"/>
      <c r="L6" s="51"/>
      <c r="M6" s="51"/>
      <c r="N6" s="51"/>
      <c r="O6" s="51"/>
      <c r="P6" s="51"/>
      <c r="Q6" s="51"/>
      <c r="R6" s="51"/>
      <c r="S6" s="51"/>
      <c r="T6" s="25"/>
    </row>
    <row r="7" spans="1:24" ht="32.25" customHeight="1" x14ac:dyDescent="0.35">
      <c r="B7" s="64"/>
      <c r="C7" s="68" t="s">
        <v>0</v>
      </c>
      <c r="D7" s="69" t="s">
        <v>1</v>
      </c>
      <c r="E7" s="70" t="s">
        <v>2</v>
      </c>
      <c r="F7" s="29"/>
      <c r="G7" s="29"/>
      <c r="H7" s="29"/>
      <c r="I7" s="29"/>
      <c r="J7" s="29"/>
      <c r="K7" s="29"/>
      <c r="L7" s="29"/>
      <c r="M7" s="29"/>
      <c r="N7" s="29"/>
      <c r="O7" s="29"/>
      <c r="P7" s="29"/>
      <c r="Q7" s="29"/>
      <c r="R7" s="29"/>
      <c r="S7" s="29"/>
      <c r="T7" s="25"/>
      <c r="W7" s="39" t="s">
        <v>22</v>
      </c>
      <c r="X7" s="39" t="s">
        <v>2</v>
      </c>
    </row>
    <row r="8" spans="1:24" ht="15" customHeight="1" x14ac:dyDescent="0.35">
      <c r="B8" s="64"/>
      <c r="C8" s="191" t="s">
        <v>29</v>
      </c>
      <c r="D8" s="185" t="s">
        <v>3</v>
      </c>
      <c r="E8" s="186">
        <v>9.5590999999999995E-2</v>
      </c>
      <c r="F8" s="29"/>
      <c r="G8" s="29"/>
      <c r="H8" s="29"/>
      <c r="I8" s="29"/>
      <c r="J8" s="29"/>
      <c r="K8" s="29"/>
      <c r="L8" s="29"/>
      <c r="M8" s="29"/>
      <c r="N8" s="29"/>
      <c r="O8" s="29"/>
      <c r="P8" s="29"/>
      <c r="Q8" s="29"/>
      <c r="R8" s="29"/>
      <c r="S8" s="29"/>
      <c r="T8" s="25"/>
      <c r="W8" s="166" t="s">
        <v>3</v>
      </c>
      <c r="X8" s="167">
        <v>0.24749100000000002</v>
      </c>
    </row>
    <row r="9" spans="1:24" ht="15.75" customHeight="1" x14ac:dyDescent="0.35">
      <c r="B9" s="64"/>
      <c r="C9" s="192" t="s">
        <v>32</v>
      </c>
      <c r="D9" s="187" t="s">
        <v>3</v>
      </c>
      <c r="E9" s="188">
        <v>9.4334000000000001E-2</v>
      </c>
      <c r="F9" s="29"/>
      <c r="G9" s="29"/>
      <c r="H9" s="29"/>
      <c r="I9" s="29"/>
      <c r="J9" s="29"/>
      <c r="K9" s="29"/>
      <c r="L9" s="29"/>
      <c r="M9" s="29"/>
      <c r="N9" s="29"/>
      <c r="O9" s="29"/>
      <c r="P9" s="29"/>
      <c r="Q9" s="29"/>
      <c r="R9" s="29"/>
      <c r="S9" s="29"/>
      <c r="T9" s="25"/>
      <c r="W9" s="166" t="s">
        <v>105</v>
      </c>
      <c r="X9" s="167">
        <v>8.5626999999999995E-2</v>
      </c>
    </row>
    <row r="10" spans="1:24" ht="15" customHeight="1" x14ac:dyDescent="0.35">
      <c r="B10" s="64"/>
      <c r="C10" s="192" t="s">
        <v>31</v>
      </c>
      <c r="D10" s="187" t="s">
        <v>6</v>
      </c>
      <c r="E10" s="188">
        <v>8.0995999999999999E-2</v>
      </c>
      <c r="F10" s="29"/>
      <c r="G10" s="29"/>
      <c r="H10" s="29"/>
      <c r="I10" s="29"/>
      <c r="J10" s="29"/>
      <c r="K10" s="29"/>
      <c r="L10" s="29"/>
      <c r="M10" s="29"/>
      <c r="N10" s="29"/>
      <c r="O10" s="29"/>
      <c r="P10" s="29"/>
      <c r="Q10" s="29"/>
      <c r="R10" s="29"/>
      <c r="S10" s="29"/>
      <c r="T10" s="25"/>
      <c r="W10" s="166" t="s">
        <v>6</v>
      </c>
      <c r="X10" s="167">
        <v>8.0995999999999999E-2</v>
      </c>
    </row>
    <row r="11" spans="1:24" ht="15" customHeight="1" x14ac:dyDescent="0.35">
      <c r="B11" s="64"/>
      <c r="C11" s="192" t="s">
        <v>33</v>
      </c>
      <c r="D11" s="187" t="s">
        <v>105</v>
      </c>
      <c r="E11" s="188">
        <v>4.3646999999999998E-2</v>
      </c>
      <c r="F11" s="29"/>
      <c r="G11" s="29"/>
      <c r="H11" s="29"/>
      <c r="I11" s="29"/>
      <c r="J11" s="29"/>
      <c r="K11" s="29"/>
      <c r="L11" s="29"/>
      <c r="M11" s="29"/>
      <c r="N11" s="29"/>
      <c r="O11" s="29"/>
      <c r="P11" s="29"/>
      <c r="Q11" s="29"/>
      <c r="R11" s="29"/>
      <c r="S11" s="29"/>
      <c r="T11" s="25"/>
      <c r="W11" s="166" t="s">
        <v>109</v>
      </c>
      <c r="X11" s="167">
        <v>5.9931999999999999E-2</v>
      </c>
    </row>
    <row r="12" spans="1:24" ht="15" customHeight="1" x14ac:dyDescent="0.35">
      <c r="B12" s="64"/>
      <c r="C12" s="192" t="s">
        <v>62</v>
      </c>
      <c r="D12" s="187" t="s">
        <v>10</v>
      </c>
      <c r="E12" s="188">
        <v>3.5298999999999997E-2</v>
      </c>
      <c r="F12" s="29"/>
      <c r="G12" s="29"/>
      <c r="H12" s="29"/>
      <c r="I12" s="29"/>
      <c r="J12" s="29"/>
      <c r="K12" s="29"/>
      <c r="L12" s="29"/>
      <c r="M12" s="29"/>
      <c r="N12" s="29"/>
      <c r="O12" s="29"/>
      <c r="P12" s="29"/>
      <c r="Q12" s="29"/>
      <c r="R12" s="29"/>
      <c r="S12" s="29"/>
      <c r="T12" s="25"/>
      <c r="W12" s="166" t="s">
        <v>10</v>
      </c>
      <c r="X12" s="167">
        <v>4.7700999999999993E-2</v>
      </c>
    </row>
    <row r="13" spans="1:24" ht="15" customHeight="1" x14ac:dyDescent="0.35">
      <c r="B13" s="64"/>
      <c r="C13" s="192" t="s">
        <v>36</v>
      </c>
      <c r="D13" s="187" t="s">
        <v>3</v>
      </c>
      <c r="E13" s="188">
        <v>3.4865E-2</v>
      </c>
      <c r="F13" s="29"/>
      <c r="G13" s="29"/>
      <c r="H13" s="29"/>
      <c r="I13" s="29"/>
      <c r="J13" s="29"/>
      <c r="K13" s="29"/>
      <c r="L13" s="29"/>
      <c r="M13" s="29"/>
      <c r="N13" s="29"/>
      <c r="O13" s="29"/>
      <c r="P13" s="29"/>
      <c r="Q13" s="29"/>
      <c r="R13" s="29"/>
      <c r="S13" s="29"/>
      <c r="T13" s="25"/>
      <c r="W13" s="166" t="s">
        <v>4</v>
      </c>
      <c r="X13" s="167">
        <v>4.7225000000000003E-2</v>
      </c>
    </row>
    <row r="14" spans="1:24" ht="15" customHeight="1" x14ac:dyDescent="0.35">
      <c r="B14" s="64"/>
      <c r="C14" s="192" t="s">
        <v>70</v>
      </c>
      <c r="D14" s="187" t="s">
        <v>12</v>
      </c>
      <c r="E14" s="188">
        <v>3.3797000000000001E-2</v>
      </c>
      <c r="F14" s="29"/>
      <c r="G14" s="29"/>
      <c r="H14" s="29"/>
      <c r="I14" s="29"/>
      <c r="J14" s="29"/>
      <c r="K14" s="29"/>
      <c r="L14" s="29"/>
      <c r="M14" s="29"/>
      <c r="N14" s="29"/>
      <c r="O14" s="29"/>
      <c r="P14" s="29"/>
      <c r="Q14" s="29"/>
      <c r="R14" s="29"/>
      <c r="S14" s="29"/>
      <c r="T14" s="25"/>
      <c r="W14" s="166" t="s">
        <v>26</v>
      </c>
      <c r="X14" s="167">
        <v>4.5636999999999997E-2</v>
      </c>
    </row>
    <row r="15" spans="1:24" ht="15" customHeight="1" x14ac:dyDescent="0.35">
      <c r="B15" s="64"/>
      <c r="C15" s="192" t="s">
        <v>191</v>
      </c>
      <c r="D15" s="187" t="s">
        <v>104</v>
      </c>
      <c r="E15" s="188">
        <v>3.3127999999999998E-2</v>
      </c>
      <c r="F15" s="29"/>
      <c r="G15" s="29"/>
      <c r="H15" s="29"/>
      <c r="I15" s="29"/>
      <c r="J15" s="29"/>
      <c r="K15" s="29"/>
      <c r="L15" s="29"/>
      <c r="M15" s="29"/>
      <c r="N15" s="29"/>
      <c r="O15" s="29"/>
      <c r="P15" s="29"/>
      <c r="Q15" s="29"/>
      <c r="R15" s="29"/>
      <c r="S15" s="29"/>
      <c r="T15" s="25"/>
      <c r="W15" s="166" t="s">
        <v>110</v>
      </c>
      <c r="X15" s="167">
        <v>4.2072999999999999E-2</v>
      </c>
    </row>
    <row r="16" spans="1:24" ht="15" customHeight="1" x14ac:dyDescent="0.35">
      <c r="B16" s="64"/>
      <c r="C16" s="192" t="s">
        <v>30</v>
      </c>
      <c r="D16" s="187" t="s">
        <v>115</v>
      </c>
      <c r="E16" s="188">
        <v>3.1981999999999997E-2</v>
      </c>
      <c r="F16" s="29"/>
      <c r="G16" s="29"/>
      <c r="H16" s="29"/>
      <c r="I16" s="29"/>
      <c r="J16" s="29"/>
      <c r="K16" s="29"/>
      <c r="L16" s="29"/>
      <c r="M16" s="29"/>
      <c r="N16" s="29"/>
      <c r="O16" s="29"/>
      <c r="P16" s="29"/>
      <c r="Q16" s="29"/>
      <c r="R16" s="29"/>
      <c r="S16" s="29"/>
      <c r="T16" s="25"/>
      <c r="W16" s="166" t="s">
        <v>12</v>
      </c>
      <c r="X16" s="167">
        <v>3.3797000000000001E-2</v>
      </c>
    </row>
    <row r="17" spans="2:24" ht="15" customHeight="1" x14ac:dyDescent="0.35">
      <c r="B17" s="64"/>
      <c r="C17" s="192" t="s">
        <v>118</v>
      </c>
      <c r="D17" s="187" t="s">
        <v>110</v>
      </c>
      <c r="E17" s="188">
        <v>3.0328000000000001E-2</v>
      </c>
      <c r="F17" s="29"/>
      <c r="G17" s="29"/>
      <c r="H17" s="29"/>
      <c r="I17" s="29"/>
      <c r="J17" s="29"/>
      <c r="K17" s="29"/>
      <c r="L17" s="29"/>
      <c r="M17" s="29"/>
      <c r="N17" s="29"/>
      <c r="O17" s="29"/>
      <c r="P17" s="29"/>
      <c r="Q17" s="29"/>
      <c r="R17" s="29"/>
      <c r="S17" s="29"/>
      <c r="T17" s="25"/>
      <c r="W17" s="166" t="s">
        <v>104</v>
      </c>
      <c r="X17" s="167">
        <v>3.3127999999999998E-2</v>
      </c>
    </row>
    <row r="18" spans="2:24" ht="15" customHeight="1" x14ac:dyDescent="0.35">
      <c r="B18" s="64"/>
      <c r="C18" s="192" t="s">
        <v>245</v>
      </c>
      <c r="D18" s="187" t="s">
        <v>109</v>
      </c>
      <c r="E18" s="188">
        <v>2.7576E-2</v>
      </c>
      <c r="F18" s="29"/>
      <c r="G18" s="29"/>
      <c r="H18" s="29"/>
      <c r="I18" s="29"/>
      <c r="J18" s="29"/>
      <c r="K18" s="29"/>
      <c r="L18" s="29"/>
      <c r="M18" s="29"/>
      <c r="N18" s="29"/>
      <c r="O18" s="29"/>
      <c r="P18" s="29"/>
      <c r="Q18" s="29"/>
      <c r="R18" s="29"/>
      <c r="S18" s="29"/>
      <c r="T18" s="25"/>
      <c r="W18" s="166" t="s">
        <v>115</v>
      </c>
      <c r="X18" s="167">
        <v>3.1981999999999997E-2</v>
      </c>
    </row>
    <row r="19" spans="2:24" ht="15" customHeight="1" x14ac:dyDescent="0.35">
      <c r="B19" s="64"/>
      <c r="C19" s="192" t="s">
        <v>28</v>
      </c>
      <c r="D19" s="187" t="s">
        <v>105</v>
      </c>
      <c r="E19" s="188">
        <v>2.6873999999999999E-2</v>
      </c>
      <c r="F19" s="29"/>
      <c r="G19" s="29"/>
      <c r="H19" s="29"/>
      <c r="I19" s="29"/>
      <c r="J19" s="29"/>
      <c r="K19" s="29"/>
      <c r="L19" s="29"/>
      <c r="M19" s="29"/>
      <c r="N19" s="29"/>
      <c r="O19" s="29"/>
      <c r="P19" s="29"/>
      <c r="Q19" s="29"/>
      <c r="R19" s="29"/>
      <c r="S19" s="29"/>
      <c r="T19" s="25"/>
      <c r="W19" s="166" t="s">
        <v>81</v>
      </c>
      <c r="X19" s="167">
        <v>2.9684000000000002E-2</v>
      </c>
    </row>
    <row r="20" spans="2:24" ht="15" customHeight="1" x14ac:dyDescent="0.35">
      <c r="B20" s="64"/>
      <c r="C20" s="192" t="s">
        <v>242</v>
      </c>
      <c r="D20" s="187" t="s">
        <v>4</v>
      </c>
      <c r="E20" s="188">
        <v>2.5229000000000001E-2</v>
      </c>
      <c r="F20" s="29"/>
      <c r="G20" s="29"/>
      <c r="H20" s="29"/>
      <c r="I20" s="29"/>
      <c r="J20" s="29"/>
      <c r="K20" s="29"/>
      <c r="L20" s="29"/>
      <c r="M20" s="29"/>
      <c r="N20" s="29"/>
      <c r="O20" s="29"/>
      <c r="P20" s="29"/>
      <c r="Q20" s="29"/>
      <c r="R20" s="29"/>
      <c r="S20" s="29"/>
      <c r="T20" s="25"/>
      <c r="W20" s="166" t="s">
        <v>84</v>
      </c>
      <c r="X20" s="167">
        <v>2.3875999999999998E-2</v>
      </c>
    </row>
    <row r="21" spans="2:24" ht="15" customHeight="1" x14ac:dyDescent="0.35">
      <c r="B21" s="64"/>
      <c r="C21" s="192" t="s">
        <v>378</v>
      </c>
      <c r="D21" s="187" t="s">
        <v>26</v>
      </c>
      <c r="E21" s="188">
        <v>2.4563999999999999E-2</v>
      </c>
      <c r="F21" s="29"/>
      <c r="G21" s="29"/>
      <c r="H21" s="29"/>
      <c r="I21" s="29"/>
      <c r="J21" s="29"/>
      <c r="K21" s="29"/>
      <c r="L21" s="29"/>
      <c r="M21" s="29"/>
      <c r="N21" s="29"/>
      <c r="O21" s="29"/>
      <c r="P21" s="29"/>
      <c r="Q21" s="29"/>
      <c r="R21" s="29"/>
      <c r="S21" s="29"/>
      <c r="T21" s="25"/>
      <c r="W21" s="166" t="s">
        <v>181</v>
      </c>
      <c r="X21" s="167">
        <v>2.1547E-2</v>
      </c>
    </row>
    <row r="22" spans="2:24" ht="15" customHeight="1" x14ac:dyDescent="0.35">
      <c r="B22" s="64"/>
      <c r="C22" s="192" t="s">
        <v>77</v>
      </c>
      <c r="D22" s="187" t="s">
        <v>3</v>
      </c>
      <c r="E22" s="188">
        <v>2.2700999999999999E-2</v>
      </c>
      <c r="F22" s="29"/>
      <c r="G22" s="29"/>
      <c r="H22" s="29"/>
      <c r="I22" s="29"/>
      <c r="J22" s="29"/>
      <c r="K22" s="29"/>
      <c r="L22" s="29"/>
      <c r="M22" s="29"/>
      <c r="N22" s="29"/>
      <c r="O22" s="29"/>
      <c r="P22" s="29"/>
      <c r="Q22" s="29"/>
      <c r="R22" s="29"/>
      <c r="S22" s="29"/>
      <c r="T22" s="25"/>
      <c r="W22" s="166" t="s">
        <v>117</v>
      </c>
      <c r="X22" s="167">
        <v>2.0223999999999999E-2</v>
      </c>
    </row>
    <row r="23" spans="2:24" ht="15" customHeight="1" x14ac:dyDescent="0.35">
      <c r="B23" s="64"/>
      <c r="C23" s="71"/>
      <c r="D23" s="71"/>
      <c r="E23" s="72"/>
      <c r="F23" s="29"/>
      <c r="G23" s="29"/>
      <c r="H23" s="29"/>
      <c r="I23" s="29"/>
      <c r="J23" s="29"/>
      <c r="K23" s="29"/>
      <c r="L23" s="29"/>
      <c r="M23" s="29"/>
      <c r="N23" s="29"/>
      <c r="O23" s="29"/>
      <c r="P23" s="29"/>
      <c r="Q23" s="29"/>
      <c r="R23" s="29"/>
      <c r="S23" s="29"/>
      <c r="T23" s="25"/>
      <c r="W23" s="166" t="s">
        <v>23</v>
      </c>
      <c r="X23" s="167">
        <v>1.9716000000000001E-2</v>
      </c>
    </row>
    <row r="24" spans="2:24" ht="15" customHeight="1" x14ac:dyDescent="0.35">
      <c r="B24" s="64"/>
      <c r="C24" s="73" t="s">
        <v>55</v>
      </c>
      <c r="D24" s="74"/>
      <c r="E24" s="75">
        <f>SUM(E8:E23)</f>
        <v>0.64091100000000012</v>
      </c>
      <c r="F24" s="29"/>
      <c r="G24" s="29"/>
      <c r="H24" s="29"/>
      <c r="I24" s="29"/>
      <c r="J24" s="29"/>
      <c r="K24" s="29"/>
      <c r="L24" s="29"/>
      <c r="M24" s="29"/>
      <c r="N24" s="29"/>
      <c r="O24" s="29"/>
      <c r="P24" s="29"/>
      <c r="Q24" s="29"/>
      <c r="R24" s="29"/>
      <c r="S24" s="29"/>
      <c r="T24" s="25"/>
      <c r="W24" s="166" t="s">
        <v>111</v>
      </c>
      <c r="X24" s="167">
        <v>1.9155999999999999E-2</v>
      </c>
    </row>
    <row r="25" spans="2:24" ht="15" customHeight="1" x14ac:dyDescent="0.35">
      <c r="B25" s="64"/>
      <c r="C25" s="29"/>
      <c r="D25" s="29"/>
      <c r="E25" s="29"/>
      <c r="F25" s="29"/>
      <c r="G25" s="29"/>
      <c r="H25" s="29"/>
      <c r="I25" s="29"/>
      <c r="J25" s="29"/>
      <c r="K25" s="29"/>
      <c r="L25" s="29"/>
      <c r="M25" s="29"/>
      <c r="N25" s="29"/>
      <c r="O25" s="29"/>
      <c r="P25" s="29"/>
      <c r="Q25" s="29"/>
      <c r="R25" s="29"/>
      <c r="S25" s="29"/>
      <c r="T25" s="25"/>
      <c r="W25" s="166" t="s">
        <v>16</v>
      </c>
      <c r="X25" s="167">
        <v>1.6916E-2</v>
      </c>
    </row>
    <row r="26" spans="2:24" ht="15" customHeight="1" x14ac:dyDescent="0.35">
      <c r="B26" s="64"/>
      <c r="C26" s="29"/>
      <c r="D26" s="29"/>
      <c r="E26" s="29"/>
      <c r="F26" s="29"/>
      <c r="G26" s="29"/>
      <c r="H26" s="29"/>
      <c r="I26" s="29"/>
      <c r="J26" s="29"/>
      <c r="K26" s="29"/>
      <c r="L26" s="29"/>
      <c r="M26" s="29"/>
      <c r="N26" s="29"/>
      <c r="O26" s="29"/>
      <c r="P26" s="29"/>
      <c r="Q26" s="29"/>
      <c r="R26" s="29"/>
      <c r="S26" s="29"/>
      <c r="T26" s="25"/>
      <c r="W26" s="166" t="s">
        <v>11</v>
      </c>
      <c r="X26" s="167">
        <v>1.2586E-2</v>
      </c>
    </row>
    <row r="27" spans="2:24" ht="15" customHeight="1" x14ac:dyDescent="0.35">
      <c r="B27" s="64"/>
      <c r="C27" s="29"/>
      <c r="D27" s="29"/>
      <c r="E27" s="29"/>
      <c r="F27" s="29"/>
      <c r="G27" s="29"/>
      <c r="H27" s="29"/>
      <c r="I27" s="29"/>
      <c r="J27" s="29"/>
      <c r="K27" s="29"/>
      <c r="L27" s="29"/>
      <c r="M27" s="29"/>
      <c r="N27" s="29"/>
      <c r="O27" s="29"/>
      <c r="P27" s="29"/>
      <c r="Q27" s="29"/>
      <c r="R27" s="29"/>
      <c r="S27" s="29"/>
      <c r="T27" s="25"/>
      <c r="W27" s="166" t="s">
        <v>122</v>
      </c>
      <c r="X27" s="167">
        <v>1.2106E-2</v>
      </c>
    </row>
    <row r="28" spans="2:24" ht="15" customHeight="1" x14ac:dyDescent="0.35">
      <c r="B28" s="64"/>
      <c r="C28" s="29"/>
      <c r="D28" s="29"/>
      <c r="E28" s="29"/>
      <c r="F28" s="29"/>
      <c r="G28" s="29"/>
      <c r="H28" s="29"/>
      <c r="I28" s="29"/>
      <c r="J28" s="29"/>
      <c r="K28" s="29"/>
      <c r="L28" s="29"/>
      <c r="M28" s="29"/>
      <c r="N28" s="29"/>
      <c r="O28" s="29"/>
      <c r="P28" s="29"/>
      <c r="Q28" s="29"/>
      <c r="R28" s="29"/>
      <c r="S28" s="29"/>
      <c r="T28" s="25"/>
      <c r="W28" s="166" t="s">
        <v>82</v>
      </c>
      <c r="X28" s="167">
        <v>1.1195999999999999E-2</v>
      </c>
    </row>
    <row r="29" spans="2:24" ht="15" customHeight="1" x14ac:dyDescent="0.35">
      <c r="B29" s="64"/>
      <c r="C29" s="29"/>
      <c r="D29" s="29"/>
      <c r="E29" s="29"/>
      <c r="F29" s="29"/>
      <c r="G29" s="29"/>
      <c r="H29" s="29"/>
      <c r="I29" s="29"/>
      <c r="J29" s="29"/>
      <c r="K29" s="29"/>
      <c r="L29" s="29"/>
      <c r="M29" s="29"/>
      <c r="N29" s="29"/>
      <c r="O29" s="29"/>
      <c r="P29" s="29"/>
      <c r="Q29" s="29"/>
      <c r="R29" s="29"/>
      <c r="S29" s="29"/>
      <c r="T29" s="25"/>
      <c r="W29" s="166" t="s">
        <v>108</v>
      </c>
      <c r="X29" s="167">
        <v>1.0943E-2</v>
      </c>
    </row>
    <row r="30" spans="2:24" ht="15" customHeight="1" x14ac:dyDescent="0.35">
      <c r="B30" s="64"/>
      <c r="C30" s="29"/>
      <c r="D30" s="29"/>
      <c r="E30" s="29"/>
      <c r="F30" s="29"/>
      <c r="G30" s="29"/>
      <c r="H30" s="29"/>
      <c r="I30" s="29"/>
      <c r="J30" s="29"/>
      <c r="K30" s="29"/>
      <c r="L30" s="29"/>
      <c r="M30" s="29"/>
      <c r="N30" s="29"/>
      <c r="O30" s="29"/>
      <c r="P30" s="29"/>
      <c r="Q30" s="29"/>
      <c r="R30" s="29"/>
      <c r="S30" s="29"/>
      <c r="T30" s="25"/>
      <c r="W30" s="166" t="s">
        <v>75</v>
      </c>
      <c r="X30" s="167">
        <v>9.1389999999999996E-3</v>
      </c>
    </row>
    <row r="31" spans="2:24" ht="15" customHeight="1" x14ac:dyDescent="0.35">
      <c r="B31" s="64"/>
      <c r="C31" s="29"/>
      <c r="D31" s="29"/>
      <c r="E31" s="29"/>
      <c r="F31" s="29"/>
      <c r="G31" s="29"/>
      <c r="H31" s="29"/>
      <c r="I31" s="29"/>
      <c r="J31" s="29"/>
      <c r="K31" s="29"/>
      <c r="L31" s="29"/>
      <c r="M31" s="29"/>
      <c r="N31" s="29"/>
      <c r="O31" s="29"/>
      <c r="P31" s="29"/>
      <c r="Q31" s="29"/>
      <c r="R31" s="29"/>
      <c r="S31" s="29"/>
      <c r="T31" s="25"/>
      <c r="W31" s="166" t="s">
        <v>131</v>
      </c>
      <c r="X31" s="167">
        <v>8.1679999999999999E-3</v>
      </c>
    </row>
    <row r="32" spans="2:24" ht="15" customHeight="1" x14ac:dyDescent="0.35">
      <c r="B32" s="64"/>
      <c r="C32" s="29"/>
      <c r="D32" s="29"/>
      <c r="E32" s="29"/>
      <c r="F32" s="29"/>
      <c r="G32" s="29"/>
      <c r="H32" s="29"/>
      <c r="I32" s="29"/>
      <c r="J32" s="29"/>
      <c r="K32" s="29"/>
      <c r="L32" s="29"/>
      <c r="M32" s="29"/>
      <c r="N32" s="29"/>
      <c r="O32" s="29"/>
      <c r="P32" s="29"/>
      <c r="Q32" s="29"/>
      <c r="R32" s="29"/>
      <c r="S32" s="29"/>
      <c r="T32" s="25"/>
      <c r="W32" s="166" t="s">
        <v>83</v>
      </c>
      <c r="X32" s="167">
        <v>7.2350000000000001E-3</v>
      </c>
    </row>
    <row r="33" spans="2:24" ht="15" customHeight="1" x14ac:dyDescent="0.35">
      <c r="B33" s="64"/>
      <c r="C33" s="29"/>
      <c r="D33" s="29"/>
      <c r="E33" s="29"/>
      <c r="F33" s="29"/>
      <c r="G33" s="29"/>
      <c r="H33" s="29"/>
      <c r="I33" s="29"/>
      <c r="J33" s="29"/>
      <c r="K33" s="29"/>
      <c r="L33" s="29"/>
      <c r="M33" s="29"/>
      <c r="N33" s="29"/>
      <c r="O33" s="29"/>
      <c r="P33" s="29"/>
      <c r="Q33" s="29"/>
      <c r="R33" s="29"/>
      <c r="S33" s="29"/>
      <c r="T33" s="25"/>
      <c r="W33" s="166" t="s">
        <v>114</v>
      </c>
      <c r="X33" s="167">
        <v>5.3340000000000002E-3</v>
      </c>
    </row>
    <row r="34" spans="2:24" ht="15" customHeight="1" x14ac:dyDescent="0.35">
      <c r="B34" s="64"/>
      <c r="C34" s="29"/>
      <c r="D34" s="29"/>
      <c r="E34" s="29"/>
      <c r="F34" s="29"/>
      <c r="G34" s="29"/>
      <c r="H34" s="29"/>
      <c r="I34" s="29"/>
      <c r="J34" s="29"/>
      <c r="K34" s="29"/>
      <c r="L34" s="29"/>
      <c r="M34" s="29"/>
      <c r="N34" s="29"/>
      <c r="O34" s="29"/>
      <c r="P34" s="29"/>
      <c r="Q34" s="29"/>
      <c r="R34" s="29"/>
      <c r="S34" s="29"/>
      <c r="T34" s="25"/>
      <c r="W34" s="166" t="s">
        <v>85</v>
      </c>
      <c r="X34" s="167">
        <v>3.107E-3</v>
      </c>
    </row>
    <row r="35" spans="2:24" ht="15" customHeight="1" x14ac:dyDescent="0.35">
      <c r="B35" s="64"/>
      <c r="C35" s="29"/>
      <c r="D35" s="29"/>
      <c r="E35" s="29"/>
      <c r="F35" s="29"/>
      <c r="G35" s="29"/>
      <c r="H35" s="29"/>
      <c r="I35" s="29"/>
      <c r="J35" s="29"/>
      <c r="K35" s="29"/>
      <c r="L35" s="29"/>
      <c r="M35" s="29"/>
      <c r="N35" s="29"/>
      <c r="O35" s="29"/>
      <c r="P35" s="29"/>
      <c r="Q35" s="29"/>
      <c r="R35" s="29"/>
      <c r="S35" s="29"/>
      <c r="T35" s="25"/>
      <c r="W35" s="166" t="s">
        <v>13</v>
      </c>
      <c r="X35" s="167">
        <v>1.9220000000000001E-3</v>
      </c>
    </row>
    <row r="36" spans="2:24" ht="15" customHeight="1" x14ac:dyDescent="0.35">
      <c r="B36" s="64"/>
      <c r="C36" s="29"/>
      <c r="D36" s="29"/>
      <c r="E36" s="29"/>
      <c r="F36" s="29"/>
      <c r="G36" s="29"/>
      <c r="H36" s="29"/>
      <c r="I36" s="29"/>
      <c r="J36" s="29"/>
      <c r="K36" s="29"/>
      <c r="L36" s="29"/>
      <c r="M36" s="29"/>
      <c r="N36" s="29"/>
      <c r="O36" s="29"/>
      <c r="P36" s="29"/>
      <c r="Q36" s="29"/>
      <c r="R36" s="29"/>
      <c r="S36" s="29"/>
      <c r="T36" s="25"/>
      <c r="W36" s="166" t="s">
        <v>226</v>
      </c>
      <c r="X36" s="167">
        <v>1.237E-3</v>
      </c>
    </row>
    <row r="37" spans="2:24" ht="15" customHeight="1" x14ac:dyDescent="0.35">
      <c r="B37" s="64"/>
      <c r="C37" s="29"/>
      <c r="D37" s="29"/>
      <c r="E37" s="29"/>
      <c r="F37" s="29"/>
      <c r="G37" s="29"/>
      <c r="H37" s="29"/>
      <c r="I37" s="29"/>
      <c r="J37" s="29"/>
      <c r="K37" s="29"/>
      <c r="L37" s="29"/>
      <c r="M37" s="29"/>
      <c r="N37" s="29"/>
      <c r="O37" s="29"/>
      <c r="P37" s="29"/>
      <c r="Q37" s="29"/>
      <c r="R37" s="29"/>
      <c r="S37" s="29"/>
      <c r="T37" s="25"/>
      <c r="W37" s="166" t="s">
        <v>112</v>
      </c>
      <c r="X37" s="167">
        <v>9.0600000000000001E-4</v>
      </c>
    </row>
    <row r="38" spans="2:24" ht="15" hidden="1" customHeight="1" x14ac:dyDescent="0.35">
      <c r="B38" s="64"/>
      <c r="C38" s="29"/>
      <c r="D38" s="29"/>
      <c r="E38" s="29"/>
      <c r="F38" s="29"/>
      <c r="G38" s="29"/>
      <c r="H38" s="29"/>
      <c r="I38" s="29"/>
      <c r="J38" s="29"/>
      <c r="K38" s="29"/>
      <c r="L38" s="29"/>
      <c r="M38" s="29"/>
      <c r="N38" s="29"/>
      <c r="O38" s="29"/>
      <c r="P38" s="29"/>
      <c r="Q38" s="29"/>
      <c r="R38" s="29"/>
      <c r="S38" s="29"/>
      <c r="T38" s="25"/>
    </row>
    <row r="39" spans="2:24" ht="15" hidden="1" customHeight="1" x14ac:dyDescent="0.35">
      <c r="B39" s="64"/>
      <c r="C39" s="29"/>
      <c r="D39" s="29"/>
      <c r="E39" s="29"/>
      <c r="F39" s="29"/>
      <c r="G39" s="29"/>
      <c r="H39" s="29"/>
      <c r="I39" s="29"/>
      <c r="J39" s="29"/>
      <c r="K39" s="29"/>
      <c r="L39" s="29"/>
      <c r="M39" s="29"/>
      <c r="N39" s="29"/>
      <c r="O39" s="29"/>
      <c r="P39" s="29"/>
      <c r="Q39" s="29"/>
      <c r="R39" s="29"/>
      <c r="S39" s="29"/>
      <c r="T39" s="25"/>
    </row>
    <row r="40" spans="2:24" ht="15" hidden="1" customHeight="1" x14ac:dyDescent="0.35">
      <c r="B40" s="64"/>
      <c r="C40" s="29"/>
      <c r="D40" s="29"/>
      <c r="E40" s="29"/>
      <c r="F40" s="29"/>
      <c r="G40" s="29"/>
      <c r="H40" s="29"/>
      <c r="I40" s="29"/>
      <c r="J40" s="29"/>
      <c r="K40" s="29"/>
      <c r="L40" s="29"/>
      <c r="M40" s="29"/>
      <c r="N40" s="29"/>
      <c r="O40" s="29"/>
      <c r="P40" s="29"/>
      <c r="Q40" s="29"/>
      <c r="R40" s="29"/>
      <c r="S40" s="29"/>
      <c r="T40" s="25"/>
    </row>
    <row r="41" spans="2:24" ht="15" hidden="1" customHeight="1" x14ac:dyDescent="0.35">
      <c r="B41" s="64"/>
      <c r="C41" s="29"/>
      <c r="D41" s="29"/>
      <c r="E41" s="29"/>
      <c r="F41" s="29"/>
      <c r="G41" s="29"/>
      <c r="H41" s="29"/>
      <c r="I41" s="29"/>
      <c r="J41" s="29"/>
      <c r="K41" s="29"/>
      <c r="L41" s="29"/>
      <c r="M41" s="29"/>
      <c r="N41" s="29"/>
      <c r="O41" s="29"/>
      <c r="P41" s="29"/>
      <c r="Q41" s="29"/>
      <c r="R41" s="29"/>
      <c r="S41" s="29"/>
      <c r="T41" s="25"/>
    </row>
    <row r="42" spans="2:24" ht="15" hidden="1" customHeight="1" x14ac:dyDescent="0.35">
      <c r="B42" s="64"/>
      <c r="C42" s="29"/>
      <c r="D42" s="29"/>
      <c r="E42" s="29"/>
      <c r="F42" s="29"/>
      <c r="G42" s="29"/>
      <c r="H42" s="29"/>
      <c r="I42" s="29"/>
      <c r="J42" s="29"/>
      <c r="K42" s="29"/>
      <c r="L42" s="29"/>
      <c r="M42" s="29"/>
      <c r="N42" s="29"/>
      <c r="O42" s="29"/>
      <c r="P42" s="29"/>
      <c r="Q42" s="29"/>
      <c r="R42" s="29"/>
      <c r="S42" s="29"/>
      <c r="T42" s="25"/>
    </row>
    <row r="43" spans="2:24" ht="15" hidden="1" customHeight="1" x14ac:dyDescent="0.35">
      <c r="B43" s="64"/>
      <c r="C43" s="29"/>
      <c r="D43" s="29"/>
      <c r="E43" s="29"/>
      <c r="F43" s="29"/>
      <c r="G43" s="29"/>
      <c r="H43" s="29"/>
      <c r="I43" s="29"/>
      <c r="J43" s="29"/>
      <c r="K43" s="29"/>
      <c r="L43" s="29"/>
      <c r="M43" s="29"/>
      <c r="N43" s="29"/>
      <c r="O43" s="29"/>
      <c r="P43" s="29"/>
      <c r="Q43" s="29"/>
      <c r="R43" s="29"/>
      <c r="S43" s="29"/>
      <c r="T43" s="25"/>
    </row>
    <row r="44" spans="2:24" ht="15" hidden="1" customHeight="1" x14ac:dyDescent="0.35">
      <c r="B44" s="64"/>
      <c r="C44" s="29"/>
      <c r="D44" s="29"/>
      <c r="E44" s="29"/>
      <c r="F44" s="29"/>
      <c r="G44" s="29"/>
      <c r="H44" s="29"/>
      <c r="I44" s="29"/>
      <c r="J44" s="29"/>
      <c r="K44" s="29"/>
      <c r="L44" s="29"/>
      <c r="M44" s="29"/>
      <c r="N44" s="29"/>
      <c r="O44" s="29"/>
      <c r="P44" s="29"/>
      <c r="Q44" s="29"/>
      <c r="R44" s="29"/>
      <c r="S44" s="29"/>
      <c r="T44" s="25"/>
    </row>
    <row r="45" spans="2:24" ht="15" hidden="1" customHeight="1" x14ac:dyDescent="0.35">
      <c r="B45" s="64"/>
      <c r="C45" s="29"/>
      <c r="D45" s="29"/>
      <c r="E45" s="29"/>
      <c r="F45" s="29"/>
      <c r="G45" s="29"/>
      <c r="H45" s="29"/>
      <c r="I45" s="29"/>
      <c r="J45" s="29"/>
      <c r="K45" s="29"/>
      <c r="L45" s="29"/>
      <c r="M45" s="29"/>
      <c r="N45" s="29"/>
      <c r="O45" s="29"/>
      <c r="P45" s="29"/>
      <c r="Q45" s="29"/>
      <c r="R45" s="29"/>
      <c r="S45" s="29"/>
      <c r="T45" s="25"/>
    </row>
    <row r="46" spans="2:24" ht="15" hidden="1" customHeight="1" x14ac:dyDescent="0.35">
      <c r="B46" s="64"/>
      <c r="C46" s="29"/>
      <c r="D46" s="29"/>
      <c r="E46" s="29"/>
      <c r="F46" s="29"/>
      <c r="G46" s="29"/>
      <c r="H46" s="29"/>
      <c r="I46" s="29"/>
      <c r="J46" s="29"/>
      <c r="K46" s="29"/>
      <c r="L46" s="29"/>
      <c r="M46" s="29"/>
      <c r="N46" s="29"/>
      <c r="O46" s="29"/>
      <c r="P46" s="29"/>
      <c r="Q46" s="29"/>
      <c r="R46" s="29"/>
      <c r="S46" s="29"/>
      <c r="T46" s="25"/>
    </row>
    <row r="47" spans="2:24" ht="15" customHeight="1" thickBot="1" x14ac:dyDescent="0.4">
      <c r="B47" s="76"/>
      <c r="C47" s="30"/>
      <c r="D47" s="30"/>
      <c r="E47" s="30"/>
      <c r="F47" s="30"/>
      <c r="G47" s="30"/>
      <c r="H47" s="30"/>
      <c r="I47" s="30"/>
      <c r="J47" s="30"/>
      <c r="K47" s="30"/>
      <c r="L47" s="30"/>
      <c r="M47" s="30"/>
      <c r="N47" s="30"/>
      <c r="O47" s="30"/>
      <c r="P47" s="30"/>
      <c r="Q47" s="30"/>
      <c r="R47" s="30"/>
      <c r="S47" s="30"/>
      <c r="T47" s="26"/>
    </row>
    <row r="48" spans="2:24" ht="15" customHeight="1" thickBot="1" x14ac:dyDescent="0.4"/>
    <row r="49" spans="2:18" ht="15" customHeight="1" x14ac:dyDescent="0.35">
      <c r="B49" s="303" t="s">
        <v>179</v>
      </c>
      <c r="C49" s="304"/>
      <c r="D49" s="304"/>
      <c r="E49" s="304"/>
      <c r="F49" s="304"/>
      <c r="G49" s="304"/>
      <c r="H49" s="304"/>
      <c r="I49" s="304"/>
      <c r="J49" s="304"/>
      <c r="K49" s="304"/>
      <c r="L49" s="304"/>
      <c r="M49" s="304"/>
      <c r="N49" s="304"/>
      <c r="O49" s="304"/>
      <c r="P49" s="304"/>
      <c r="Q49" s="304"/>
      <c r="R49" s="305"/>
    </row>
    <row r="50" spans="2:18" ht="15" customHeight="1" x14ac:dyDescent="0.35">
      <c r="B50" s="306"/>
      <c r="C50" s="307"/>
      <c r="D50" s="307"/>
      <c r="E50" s="307"/>
      <c r="F50" s="307"/>
      <c r="G50" s="307"/>
      <c r="H50" s="307"/>
      <c r="I50" s="307"/>
      <c r="J50" s="307"/>
      <c r="K50" s="307"/>
      <c r="L50" s="307"/>
      <c r="M50" s="307"/>
      <c r="N50" s="307"/>
      <c r="O50" s="307"/>
      <c r="P50" s="307"/>
      <c r="Q50" s="307"/>
      <c r="R50" s="308"/>
    </row>
    <row r="51" spans="2:18" ht="15" customHeight="1" x14ac:dyDescent="0.35">
      <c r="B51" s="306"/>
      <c r="C51" s="307"/>
      <c r="D51" s="307"/>
      <c r="E51" s="307"/>
      <c r="F51" s="307"/>
      <c r="G51" s="307"/>
      <c r="H51" s="307"/>
      <c r="I51" s="307"/>
      <c r="J51" s="307"/>
      <c r="K51" s="307"/>
      <c r="L51" s="307"/>
      <c r="M51" s="307"/>
      <c r="N51" s="307"/>
      <c r="O51" s="307"/>
      <c r="P51" s="307"/>
      <c r="Q51" s="307"/>
      <c r="R51" s="308"/>
    </row>
    <row r="52" spans="2:18" ht="15" customHeight="1" x14ac:dyDescent="0.35">
      <c r="B52" s="306"/>
      <c r="C52" s="307"/>
      <c r="D52" s="307"/>
      <c r="E52" s="307"/>
      <c r="F52" s="307"/>
      <c r="G52" s="307"/>
      <c r="H52" s="307"/>
      <c r="I52" s="307"/>
      <c r="J52" s="307"/>
      <c r="K52" s="307"/>
      <c r="L52" s="307"/>
      <c r="M52" s="307"/>
      <c r="N52" s="307"/>
      <c r="O52" s="307"/>
      <c r="P52" s="307"/>
      <c r="Q52" s="307"/>
      <c r="R52" s="308"/>
    </row>
    <row r="53" spans="2:18" ht="15" customHeight="1" x14ac:dyDescent="0.35">
      <c r="B53" s="306"/>
      <c r="C53" s="307"/>
      <c r="D53" s="307"/>
      <c r="E53" s="307"/>
      <c r="F53" s="307"/>
      <c r="G53" s="307"/>
      <c r="H53" s="307"/>
      <c r="I53" s="307"/>
      <c r="J53" s="307"/>
      <c r="K53" s="307"/>
      <c r="L53" s="307"/>
      <c r="M53" s="307"/>
      <c r="N53" s="307"/>
      <c r="O53" s="307"/>
      <c r="P53" s="307"/>
      <c r="Q53" s="307"/>
      <c r="R53" s="308"/>
    </row>
    <row r="54" spans="2:18" ht="15" customHeight="1" x14ac:dyDescent="0.35">
      <c r="B54" s="306"/>
      <c r="C54" s="307"/>
      <c r="D54" s="307"/>
      <c r="E54" s="307"/>
      <c r="F54" s="307"/>
      <c r="G54" s="307"/>
      <c r="H54" s="307"/>
      <c r="I54" s="307"/>
      <c r="J54" s="307"/>
      <c r="K54" s="307"/>
      <c r="L54" s="307"/>
      <c r="M54" s="307"/>
      <c r="N54" s="307"/>
      <c r="O54" s="307"/>
      <c r="P54" s="307"/>
      <c r="Q54" s="307"/>
      <c r="R54" s="308"/>
    </row>
    <row r="55" spans="2:18" ht="15" customHeight="1" thickBot="1" x14ac:dyDescent="0.4">
      <c r="B55" s="309"/>
      <c r="C55" s="310"/>
      <c r="D55" s="310"/>
      <c r="E55" s="310"/>
      <c r="F55" s="310"/>
      <c r="G55" s="310"/>
      <c r="H55" s="310"/>
      <c r="I55" s="310"/>
      <c r="J55" s="310"/>
      <c r="K55" s="310"/>
      <c r="L55" s="310"/>
      <c r="M55" s="310"/>
      <c r="N55" s="310"/>
      <c r="O55" s="310"/>
      <c r="P55" s="310"/>
      <c r="Q55" s="310"/>
      <c r="R55" s="311"/>
    </row>
    <row r="56" spans="2:18" ht="15" customHeight="1" x14ac:dyDescent="0.35"/>
    <row r="57" spans="2:18" ht="15" customHeight="1" x14ac:dyDescent="0.35"/>
    <row r="58" spans="2:18" ht="15" customHeight="1" x14ac:dyDescent="0.35"/>
    <row r="59" spans="2:18" ht="15" customHeight="1" x14ac:dyDescent="0.35"/>
    <row r="60" spans="2:18" ht="15" customHeight="1" x14ac:dyDescent="0.35"/>
    <row r="61" spans="2:18" ht="15" customHeight="1" x14ac:dyDescent="0.35"/>
    <row r="62" spans="2:18" ht="15" customHeight="1" x14ac:dyDescent="0.35"/>
    <row r="63" spans="2:18" ht="15" customHeight="1" x14ac:dyDescent="0.35"/>
    <row r="64" spans="2:18" ht="15" customHeight="1" x14ac:dyDescent="0.35"/>
    <row r="65" ht="15" customHeight="1" x14ac:dyDescent="0.35"/>
    <row r="66" ht="15" customHeight="1" x14ac:dyDescent="0.35"/>
    <row r="67" ht="15" customHeight="1" x14ac:dyDescent="0.35"/>
    <row r="68" ht="15" customHeight="1" x14ac:dyDescent="0.35"/>
    <row r="69" ht="15" customHeight="1" x14ac:dyDescent="0.35"/>
    <row r="70" ht="15" customHeight="1" x14ac:dyDescent="0.35"/>
    <row r="71" ht="15" customHeight="1" x14ac:dyDescent="0.35"/>
    <row r="72" ht="15" customHeight="1" x14ac:dyDescent="0.35"/>
    <row r="73" ht="15" customHeight="1" x14ac:dyDescent="0.35"/>
    <row r="74" ht="15" customHeight="1" x14ac:dyDescent="0.35"/>
  </sheetData>
  <sortState ref="W9:X21">
    <sortCondition descending="1" ref="X9:X21"/>
  </sortState>
  <mergeCells count="3">
    <mergeCell ref="C3:S3"/>
    <mergeCell ref="D5:E5"/>
    <mergeCell ref="B49:R55"/>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dimension ref="A1:Y66"/>
  <sheetViews>
    <sheetView showGridLines="0" zoomScale="75" zoomScaleNormal="75" workbookViewId="0"/>
  </sheetViews>
  <sheetFormatPr defaultColWidth="9.1796875" defaultRowHeight="14.5" x14ac:dyDescent="0.35"/>
  <cols>
    <col min="1" max="1" width="2.81640625" style="19" customWidth="1"/>
    <col min="2" max="2" width="3.81640625" style="19" customWidth="1"/>
    <col min="3" max="3" width="59.1796875" style="19" bestFit="1" customWidth="1"/>
    <col min="4" max="4" width="33.81640625" style="19" bestFit="1" customWidth="1"/>
    <col min="5" max="5" width="10.453125" style="19" bestFit="1" customWidth="1"/>
    <col min="6" max="18" width="9.1796875" style="19"/>
    <col min="19" max="19" width="9.81640625" style="19" customWidth="1"/>
    <col min="20" max="20" width="9.1796875" style="19"/>
    <col min="21" max="21" width="9.1796875" style="39"/>
    <col min="22" max="22" width="11" style="39" customWidth="1"/>
    <col min="23" max="23" width="46.453125" style="39" bestFit="1" customWidth="1"/>
    <col min="24" max="25" width="9.1796875" style="39"/>
    <col min="26" max="16384" width="9.1796875" style="19"/>
  </cols>
  <sheetData>
    <row r="1" spans="1:24" ht="15.75" customHeight="1" thickBot="1" x14ac:dyDescent="0.4">
      <c r="A1" s="3"/>
    </row>
    <row r="2" spans="1:24" ht="15" customHeight="1" x14ac:dyDescent="0.35">
      <c r="B2" s="77"/>
      <c r="C2" s="78"/>
      <c r="D2" s="78"/>
      <c r="E2" s="78"/>
      <c r="F2" s="78"/>
      <c r="G2" s="78"/>
      <c r="H2" s="78"/>
      <c r="I2" s="78"/>
      <c r="J2" s="78"/>
      <c r="K2" s="78"/>
      <c r="L2" s="78"/>
      <c r="M2" s="78"/>
      <c r="N2" s="78"/>
      <c r="O2" s="78"/>
      <c r="P2" s="78"/>
      <c r="Q2" s="78"/>
      <c r="R2" s="78"/>
      <c r="S2" s="78"/>
      <c r="T2" s="21"/>
    </row>
    <row r="3" spans="1:24" ht="20.25" customHeight="1" x14ac:dyDescent="0.35">
      <c r="B3" s="79"/>
      <c r="C3" s="312" t="s">
        <v>167</v>
      </c>
      <c r="D3" s="313"/>
      <c r="E3" s="313"/>
      <c r="F3" s="313"/>
      <c r="G3" s="313"/>
      <c r="H3" s="313"/>
      <c r="I3" s="313"/>
      <c r="J3" s="313"/>
      <c r="K3" s="313"/>
      <c r="L3" s="313"/>
      <c r="M3" s="313"/>
      <c r="N3" s="313"/>
      <c r="O3" s="313"/>
      <c r="P3" s="313"/>
      <c r="Q3" s="313"/>
      <c r="R3" s="313"/>
      <c r="S3" s="313"/>
      <c r="T3" s="22"/>
    </row>
    <row r="4" spans="1:24" ht="15.75" customHeight="1" x14ac:dyDescent="0.35">
      <c r="B4" s="79"/>
      <c r="C4" s="67" t="s">
        <v>434</v>
      </c>
      <c r="D4" s="29"/>
      <c r="E4" s="29"/>
      <c r="F4" s="29"/>
      <c r="G4" s="29"/>
      <c r="H4" s="29"/>
      <c r="I4" s="29"/>
      <c r="J4" s="29"/>
      <c r="K4" s="29"/>
      <c r="L4" s="29"/>
      <c r="M4" s="29"/>
      <c r="N4" s="29"/>
      <c r="O4" s="29"/>
      <c r="P4" s="29"/>
      <c r="Q4" s="29"/>
      <c r="R4" s="29"/>
      <c r="S4" s="29"/>
      <c r="T4" s="22"/>
    </row>
    <row r="5" spans="1:24" ht="18" customHeight="1" x14ac:dyDescent="0.35">
      <c r="B5" s="79"/>
      <c r="C5" s="211" t="s">
        <v>435</v>
      </c>
      <c r="D5" s="314" t="s">
        <v>394</v>
      </c>
      <c r="E5" s="314"/>
      <c r="F5" s="29"/>
      <c r="G5" s="149"/>
      <c r="H5" s="29"/>
      <c r="I5" s="29"/>
      <c r="J5" s="29"/>
      <c r="K5" s="29"/>
      <c r="L5" s="29"/>
      <c r="M5" s="29"/>
      <c r="N5" s="29"/>
      <c r="O5" s="29"/>
      <c r="P5" s="29"/>
      <c r="Q5" s="29"/>
      <c r="R5" s="29"/>
      <c r="S5" s="29"/>
      <c r="T5" s="22"/>
    </row>
    <row r="6" spans="1:24" ht="15" customHeight="1" x14ac:dyDescent="0.35">
      <c r="B6" s="79"/>
      <c r="C6" s="29"/>
      <c r="D6" s="29"/>
      <c r="E6" s="29"/>
      <c r="F6" s="29"/>
      <c r="G6" s="29"/>
      <c r="H6" s="29"/>
      <c r="I6" s="29"/>
      <c r="J6" s="29"/>
      <c r="K6" s="29"/>
      <c r="L6" s="29"/>
      <c r="M6" s="29"/>
      <c r="N6" s="29"/>
      <c r="O6" s="29"/>
      <c r="P6" s="29"/>
      <c r="Q6" s="29"/>
      <c r="R6" s="29"/>
      <c r="S6" s="29"/>
      <c r="T6" s="22"/>
    </row>
    <row r="7" spans="1:24" ht="32.25" customHeight="1" x14ac:dyDescent="0.35">
      <c r="B7" s="79"/>
      <c r="C7" s="68" t="s">
        <v>0</v>
      </c>
      <c r="D7" s="69" t="s">
        <v>1</v>
      </c>
      <c r="E7" s="70" t="s">
        <v>2</v>
      </c>
      <c r="F7" s="29"/>
      <c r="G7" s="29"/>
      <c r="H7" s="29"/>
      <c r="I7" s="29"/>
      <c r="J7" s="29"/>
      <c r="K7" s="29"/>
      <c r="L7" s="29"/>
      <c r="M7" s="29"/>
      <c r="N7" s="29"/>
      <c r="O7" s="29"/>
      <c r="P7" s="29"/>
      <c r="Q7" s="29"/>
      <c r="R7" s="29"/>
      <c r="S7" s="29"/>
      <c r="T7" s="22"/>
      <c r="W7" s="39" t="s">
        <v>22</v>
      </c>
      <c r="X7" s="148" t="s">
        <v>2</v>
      </c>
    </row>
    <row r="8" spans="1:24" ht="15" customHeight="1" x14ac:dyDescent="0.35">
      <c r="B8" s="79"/>
      <c r="C8" s="184" t="s">
        <v>29</v>
      </c>
      <c r="D8" s="185" t="s">
        <v>3</v>
      </c>
      <c r="E8" s="186">
        <v>7.4354000000000003E-2</v>
      </c>
      <c r="F8" s="29"/>
      <c r="G8" s="29"/>
      <c r="H8" s="29"/>
      <c r="I8" s="29"/>
      <c r="J8" s="29"/>
      <c r="K8" s="29"/>
      <c r="L8" s="29"/>
      <c r="M8" s="29"/>
      <c r="N8" s="29"/>
      <c r="O8" s="29"/>
      <c r="P8" s="29"/>
      <c r="Q8" s="29"/>
      <c r="R8" s="29"/>
      <c r="S8" s="29"/>
      <c r="T8" s="22"/>
      <c r="W8" s="166" t="s">
        <v>3</v>
      </c>
      <c r="X8" s="167">
        <v>0.15407299999999999</v>
      </c>
    </row>
    <row r="9" spans="1:24" ht="15.75" customHeight="1" x14ac:dyDescent="0.35">
      <c r="B9" s="79"/>
      <c r="C9" s="180" t="s">
        <v>32</v>
      </c>
      <c r="D9" s="187" t="s">
        <v>3</v>
      </c>
      <c r="E9" s="188">
        <v>6.4883999999999997E-2</v>
      </c>
      <c r="F9" s="29"/>
      <c r="G9" s="29"/>
      <c r="H9" s="29"/>
      <c r="I9" s="29"/>
      <c r="J9" s="29"/>
      <c r="K9" s="29"/>
      <c r="L9" s="29"/>
      <c r="M9" s="29"/>
      <c r="N9" s="29"/>
      <c r="O9" s="29"/>
      <c r="P9" s="29"/>
      <c r="Q9" s="29"/>
      <c r="R9" s="29"/>
      <c r="S9" s="29"/>
      <c r="T9" s="22"/>
      <c r="W9" s="166" t="s">
        <v>111</v>
      </c>
      <c r="X9" s="167">
        <v>8.9210999999999999E-2</v>
      </c>
    </row>
    <row r="10" spans="1:24" ht="15" customHeight="1" x14ac:dyDescent="0.35">
      <c r="B10" s="79"/>
      <c r="C10" s="180" t="s">
        <v>209</v>
      </c>
      <c r="D10" s="187" t="s">
        <v>111</v>
      </c>
      <c r="E10" s="188">
        <v>6.1114000000000002E-2</v>
      </c>
      <c r="F10" s="29"/>
      <c r="G10" s="29"/>
      <c r="H10" s="29"/>
      <c r="I10" s="29"/>
      <c r="J10" s="29"/>
      <c r="K10" s="29"/>
      <c r="L10" s="29"/>
      <c r="M10" s="29"/>
      <c r="N10" s="29"/>
      <c r="O10" s="29"/>
      <c r="P10" s="29"/>
      <c r="Q10" s="29"/>
      <c r="R10" s="29"/>
      <c r="S10" s="29"/>
      <c r="T10" s="22"/>
      <c r="W10" s="166" t="s">
        <v>4</v>
      </c>
      <c r="X10" s="167">
        <v>8.1934000000000007E-2</v>
      </c>
    </row>
    <row r="11" spans="1:24" ht="15" customHeight="1" x14ac:dyDescent="0.35">
      <c r="B11" s="79"/>
      <c r="C11" s="180" t="s">
        <v>74</v>
      </c>
      <c r="D11" s="187" t="s">
        <v>4</v>
      </c>
      <c r="E11" s="188">
        <v>4.5877000000000001E-2</v>
      </c>
      <c r="F11" s="29"/>
      <c r="G11" s="29"/>
      <c r="H11" s="29"/>
      <c r="I11" s="29"/>
      <c r="J11" s="29"/>
      <c r="K11" s="29"/>
      <c r="L11" s="29"/>
      <c r="M11" s="29"/>
      <c r="N11" s="29"/>
      <c r="O11" s="29"/>
      <c r="P11" s="29"/>
      <c r="Q11" s="29"/>
      <c r="R11" s="29"/>
      <c r="S11" s="29"/>
      <c r="T11" s="22"/>
      <c r="W11" s="166" t="s">
        <v>109</v>
      </c>
      <c r="X11" s="167">
        <v>7.4914999999999995E-2</v>
      </c>
    </row>
    <row r="12" spans="1:24" ht="15" customHeight="1" x14ac:dyDescent="0.35">
      <c r="B12" s="79"/>
      <c r="C12" s="180" t="s">
        <v>31</v>
      </c>
      <c r="D12" s="187" t="s">
        <v>6</v>
      </c>
      <c r="E12" s="188">
        <v>4.5148000000000001E-2</v>
      </c>
      <c r="F12" s="29"/>
      <c r="G12" s="29"/>
      <c r="H12" s="29"/>
      <c r="I12" s="29"/>
      <c r="J12" s="29"/>
      <c r="K12" s="29"/>
      <c r="L12" s="29"/>
      <c r="M12" s="29"/>
      <c r="N12" s="29"/>
      <c r="O12" s="29"/>
      <c r="P12" s="29"/>
      <c r="Q12" s="29"/>
      <c r="R12" s="29"/>
      <c r="S12" s="29"/>
      <c r="T12" s="22"/>
      <c r="W12" s="166" t="s">
        <v>105</v>
      </c>
      <c r="X12" s="167">
        <v>6.4158999999999994E-2</v>
      </c>
    </row>
    <row r="13" spans="1:24" ht="15" customHeight="1" x14ac:dyDescent="0.35">
      <c r="B13" s="79"/>
      <c r="C13" s="180" t="s">
        <v>70</v>
      </c>
      <c r="D13" s="187" t="s">
        <v>12</v>
      </c>
      <c r="E13" s="188">
        <v>4.0164999999999999E-2</v>
      </c>
      <c r="F13" s="29"/>
      <c r="G13" s="29"/>
      <c r="H13" s="29"/>
      <c r="I13" s="29"/>
      <c r="J13" s="29"/>
      <c r="K13" s="29"/>
      <c r="L13" s="29"/>
      <c r="M13" s="29"/>
      <c r="N13" s="29"/>
      <c r="O13" s="29"/>
      <c r="P13" s="29"/>
      <c r="Q13" s="29"/>
      <c r="R13" s="29"/>
      <c r="S13" s="29"/>
      <c r="T13" s="22"/>
      <c r="W13" s="166" t="s">
        <v>181</v>
      </c>
      <c r="X13" s="167">
        <v>6.1963000000000004E-2</v>
      </c>
    </row>
    <row r="14" spans="1:24" ht="15" customHeight="1" x14ac:dyDescent="0.35">
      <c r="B14" s="79"/>
      <c r="C14" s="180" t="s">
        <v>262</v>
      </c>
      <c r="D14" s="187" t="s">
        <v>181</v>
      </c>
      <c r="E14" s="188">
        <v>3.9236E-2</v>
      </c>
      <c r="F14" s="29"/>
      <c r="G14" s="29"/>
      <c r="H14" s="29"/>
      <c r="I14" s="29"/>
      <c r="J14" s="29"/>
      <c r="K14" s="29"/>
      <c r="L14" s="29"/>
      <c r="M14" s="29"/>
      <c r="N14" s="29"/>
      <c r="O14" s="29"/>
      <c r="P14" s="29"/>
      <c r="Q14" s="29"/>
      <c r="R14" s="29"/>
      <c r="S14" s="29"/>
      <c r="T14" s="22"/>
      <c r="W14" s="166" t="s">
        <v>6</v>
      </c>
      <c r="X14" s="167">
        <v>4.5148000000000001E-2</v>
      </c>
    </row>
    <row r="15" spans="1:24" ht="15" customHeight="1" x14ac:dyDescent="0.35">
      <c r="B15" s="79"/>
      <c r="C15" s="180" t="s">
        <v>28</v>
      </c>
      <c r="D15" s="187" t="s">
        <v>105</v>
      </c>
      <c r="E15" s="188">
        <v>3.7442999999999997E-2</v>
      </c>
      <c r="F15" s="29"/>
      <c r="G15" s="29"/>
      <c r="H15" s="29"/>
      <c r="I15" s="29"/>
      <c r="J15" s="29"/>
      <c r="K15" s="29"/>
      <c r="L15" s="29"/>
      <c r="M15" s="29"/>
      <c r="N15" s="29"/>
      <c r="O15" s="29"/>
      <c r="P15" s="29"/>
      <c r="Q15" s="29"/>
      <c r="R15" s="29"/>
      <c r="S15" s="29"/>
      <c r="T15" s="22"/>
      <c r="W15" s="166" t="s">
        <v>10</v>
      </c>
      <c r="X15" s="167">
        <v>4.3812000000000004E-2</v>
      </c>
    </row>
    <row r="16" spans="1:24" ht="15" customHeight="1" x14ac:dyDescent="0.35">
      <c r="B16" s="79"/>
      <c r="C16" s="180" t="s">
        <v>34</v>
      </c>
      <c r="D16" s="187" t="s">
        <v>23</v>
      </c>
      <c r="E16" s="188">
        <v>3.6206000000000002E-2</v>
      </c>
      <c r="F16" s="29"/>
      <c r="G16" s="29"/>
      <c r="H16" s="29"/>
      <c r="I16" s="29"/>
      <c r="J16" s="29"/>
      <c r="K16" s="29"/>
      <c r="L16" s="29"/>
      <c r="M16" s="29"/>
      <c r="N16" s="29"/>
      <c r="O16" s="29"/>
      <c r="P16" s="29"/>
      <c r="Q16" s="29"/>
      <c r="R16" s="29"/>
      <c r="S16" s="29"/>
      <c r="T16" s="22"/>
      <c r="W16" s="166" t="s">
        <v>12</v>
      </c>
      <c r="X16" s="167">
        <v>4.0164999999999999E-2</v>
      </c>
    </row>
    <row r="17" spans="2:24" ht="15" customHeight="1" x14ac:dyDescent="0.35">
      <c r="B17" s="79"/>
      <c r="C17" s="180" t="s">
        <v>205</v>
      </c>
      <c r="D17" s="187" t="s">
        <v>109</v>
      </c>
      <c r="E17" s="188">
        <v>3.4840999999999997E-2</v>
      </c>
      <c r="F17" s="29"/>
      <c r="G17" s="29"/>
      <c r="H17" s="29"/>
      <c r="I17" s="29"/>
      <c r="J17" s="29"/>
      <c r="K17" s="29"/>
      <c r="L17" s="29"/>
      <c r="M17" s="29"/>
      <c r="N17" s="29"/>
      <c r="O17" s="29"/>
      <c r="P17" s="29"/>
      <c r="Q17" s="29"/>
      <c r="R17" s="29"/>
      <c r="S17" s="29"/>
      <c r="T17" s="22"/>
      <c r="W17" s="166" t="s">
        <v>26</v>
      </c>
      <c r="X17" s="167">
        <v>3.8117999999999999E-2</v>
      </c>
    </row>
    <row r="18" spans="2:24" ht="15" customHeight="1" x14ac:dyDescent="0.35">
      <c r="B18" s="79"/>
      <c r="C18" s="180" t="s">
        <v>191</v>
      </c>
      <c r="D18" s="187" t="s">
        <v>104</v>
      </c>
      <c r="E18" s="188">
        <v>3.3557999999999998E-2</v>
      </c>
      <c r="F18" s="29"/>
      <c r="G18" s="29"/>
      <c r="H18" s="29"/>
      <c r="I18" s="29"/>
      <c r="J18" s="29"/>
      <c r="K18" s="29"/>
      <c r="L18" s="29"/>
      <c r="M18" s="29"/>
      <c r="N18" s="29"/>
      <c r="O18" s="29"/>
      <c r="P18" s="29"/>
      <c r="Q18" s="29"/>
      <c r="R18" s="29"/>
      <c r="S18" s="29"/>
      <c r="T18" s="22"/>
      <c r="W18" s="166" t="s">
        <v>23</v>
      </c>
      <c r="X18" s="167">
        <v>3.6206000000000002E-2</v>
      </c>
    </row>
    <row r="19" spans="2:24" ht="15" customHeight="1" x14ac:dyDescent="0.35">
      <c r="B19" s="79"/>
      <c r="C19" s="180" t="s">
        <v>62</v>
      </c>
      <c r="D19" s="187" t="s">
        <v>10</v>
      </c>
      <c r="E19" s="188">
        <v>3.1053000000000001E-2</v>
      </c>
      <c r="F19" s="29"/>
      <c r="G19" s="29"/>
      <c r="H19" s="29"/>
      <c r="I19" s="29"/>
      <c r="J19" s="29"/>
      <c r="K19" s="29"/>
      <c r="L19" s="29"/>
      <c r="M19" s="29"/>
      <c r="N19" s="29"/>
      <c r="O19" s="29"/>
      <c r="P19" s="29"/>
      <c r="Q19" s="29"/>
      <c r="R19" s="29"/>
      <c r="S19" s="29"/>
      <c r="T19" s="22"/>
      <c r="W19" s="166" t="s">
        <v>104</v>
      </c>
      <c r="X19" s="167">
        <v>3.3557999999999998E-2</v>
      </c>
    </row>
    <row r="20" spans="2:24" ht="15" customHeight="1" x14ac:dyDescent="0.35">
      <c r="B20" s="79"/>
      <c r="C20" s="180" t="s">
        <v>30</v>
      </c>
      <c r="D20" s="187" t="s">
        <v>115</v>
      </c>
      <c r="E20" s="188">
        <v>2.8965999999999999E-2</v>
      </c>
      <c r="F20" s="29"/>
      <c r="G20" s="29"/>
      <c r="H20" s="29"/>
      <c r="I20" s="29"/>
      <c r="J20" s="29"/>
      <c r="K20" s="29"/>
      <c r="L20" s="29"/>
      <c r="M20" s="29"/>
      <c r="N20" s="29"/>
      <c r="O20" s="29"/>
      <c r="P20" s="29"/>
      <c r="Q20" s="29"/>
      <c r="R20" s="29"/>
      <c r="S20" s="29"/>
      <c r="T20" s="22"/>
      <c r="W20" s="166" t="s">
        <v>115</v>
      </c>
      <c r="X20" s="167">
        <v>2.8965999999999999E-2</v>
      </c>
    </row>
    <row r="21" spans="2:24" ht="15" customHeight="1" x14ac:dyDescent="0.35">
      <c r="B21" s="79"/>
      <c r="C21" s="180" t="s">
        <v>363</v>
      </c>
      <c r="D21" s="187" t="s">
        <v>83</v>
      </c>
      <c r="E21" s="188">
        <v>2.8185000000000002E-2</v>
      </c>
      <c r="F21" s="29"/>
      <c r="G21" s="29"/>
      <c r="H21" s="29"/>
      <c r="I21" s="29"/>
      <c r="J21" s="29"/>
      <c r="K21" s="29"/>
      <c r="L21" s="29"/>
      <c r="M21" s="29"/>
      <c r="N21" s="29"/>
      <c r="O21" s="29"/>
      <c r="P21" s="29"/>
      <c r="Q21" s="29"/>
      <c r="R21" s="29"/>
      <c r="S21" s="29"/>
      <c r="T21" s="22"/>
      <c r="W21" s="166" t="s">
        <v>83</v>
      </c>
      <c r="X21" s="167">
        <v>2.8185000000000002E-2</v>
      </c>
    </row>
    <row r="22" spans="2:24" ht="15" customHeight="1" x14ac:dyDescent="0.35">
      <c r="B22" s="79"/>
      <c r="C22" s="180" t="s">
        <v>379</v>
      </c>
      <c r="D22" s="187" t="s">
        <v>111</v>
      </c>
      <c r="E22" s="188">
        <v>2.8097E-2</v>
      </c>
      <c r="F22" s="29"/>
      <c r="G22" s="29"/>
      <c r="H22" s="29"/>
      <c r="I22" s="29"/>
      <c r="J22" s="29"/>
      <c r="K22" s="29"/>
      <c r="L22" s="29"/>
      <c r="M22" s="29"/>
      <c r="N22" s="29"/>
      <c r="O22" s="29"/>
      <c r="P22" s="29"/>
      <c r="Q22" s="29"/>
      <c r="R22" s="29"/>
      <c r="S22" s="29"/>
      <c r="T22" s="22"/>
      <c r="W22" s="166" t="s">
        <v>131</v>
      </c>
      <c r="X22" s="167">
        <v>1.9011E-2</v>
      </c>
    </row>
    <row r="23" spans="2:24" ht="15" customHeight="1" x14ac:dyDescent="0.35">
      <c r="B23" s="79"/>
      <c r="C23" s="71"/>
      <c r="D23" s="150"/>
      <c r="E23" s="72"/>
      <c r="F23" s="29"/>
      <c r="G23" s="29"/>
      <c r="H23" s="29"/>
      <c r="I23" s="29"/>
      <c r="J23" s="29"/>
      <c r="K23" s="29"/>
      <c r="L23" s="29"/>
      <c r="M23" s="29"/>
      <c r="N23" s="29"/>
      <c r="O23" s="29"/>
      <c r="P23" s="29"/>
      <c r="Q23" s="29"/>
      <c r="R23" s="29"/>
      <c r="S23" s="29"/>
      <c r="T23" s="22"/>
      <c r="W23" s="166" t="s">
        <v>110</v>
      </c>
      <c r="X23" s="167">
        <v>1.7073000000000001E-2</v>
      </c>
    </row>
    <row r="24" spans="2:24" ht="15" customHeight="1" x14ac:dyDescent="0.35">
      <c r="B24" s="79"/>
      <c r="C24" s="73" t="s">
        <v>55</v>
      </c>
      <c r="D24" s="74"/>
      <c r="E24" s="75">
        <f>SUM(E8:E22)</f>
        <v>0.6291270000000001</v>
      </c>
      <c r="F24" s="29"/>
      <c r="G24" s="29"/>
      <c r="H24" s="29"/>
      <c r="I24" s="29"/>
      <c r="J24" s="29"/>
      <c r="K24" s="29"/>
      <c r="L24" s="29"/>
      <c r="M24" s="29"/>
      <c r="N24" s="29"/>
      <c r="O24" s="29"/>
      <c r="P24" s="29"/>
      <c r="Q24" s="29"/>
      <c r="R24" s="29"/>
      <c r="S24" s="29"/>
      <c r="T24" s="22"/>
      <c r="W24" s="166" t="s">
        <v>226</v>
      </c>
      <c r="X24" s="167">
        <v>1.4368000000000001E-2</v>
      </c>
    </row>
    <row r="25" spans="2:24" ht="15" customHeight="1" x14ac:dyDescent="0.35">
      <c r="B25" s="79"/>
      <c r="F25" s="29"/>
      <c r="G25" s="29"/>
      <c r="H25" s="29"/>
      <c r="I25" s="29"/>
      <c r="J25" s="29"/>
      <c r="K25" s="29"/>
      <c r="L25" s="29"/>
      <c r="M25" s="29"/>
      <c r="N25" s="29"/>
      <c r="O25" s="29"/>
      <c r="P25" s="29"/>
      <c r="Q25" s="29"/>
      <c r="R25" s="29"/>
      <c r="S25" s="29"/>
      <c r="T25" s="22"/>
      <c r="W25" s="166" t="s">
        <v>114</v>
      </c>
      <c r="X25" s="167">
        <v>1.0815E-2</v>
      </c>
    </row>
    <row r="26" spans="2:24" ht="15" customHeight="1" x14ac:dyDescent="0.35">
      <c r="B26" s="79"/>
      <c r="F26" s="29"/>
      <c r="G26" s="29"/>
      <c r="H26" s="29"/>
      <c r="I26" s="29"/>
      <c r="J26" s="29"/>
      <c r="K26" s="29"/>
      <c r="L26" s="29"/>
      <c r="M26" s="29"/>
      <c r="N26" s="29"/>
      <c r="O26" s="29"/>
      <c r="P26" s="29"/>
      <c r="Q26" s="29"/>
      <c r="R26" s="29"/>
      <c r="S26" s="29"/>
      <c r="T26" s="22"/>
      <c r="W26" s="166" t="s">
        <v>112</v>
      </c>
      <c r="X26" s="167">
        <v>8.1080000000000006E-3</v>
      </c>
    </row>
    <row r="27" spans="2:24" ht="15" customHeight="1" x14ac:dyDescent="0.35">
      <c r="B27" s="79"/>
      <c r="F27" s="29"/>
      <c r="G27" s="29"/>
      <c r="H27" s="29"/>
      <c r="I27" s="29"/>
      <c r="J27" s="29"/>
      <c r="K27" s="29"/>
      <c r="L27" s="29"/>
      <c r="M27" s="29"/>
      <c r="N27" s="29"/>
      <c r="O27" s="29"/>
      <c r="P27" s="29"/>
      <c r="Q27" s="29"/>
      <c r="R27" s="29"/>
      <c r="S27" s="29"/>
      <c r="T27" s="22"/>
      <c r="W27" s="166"/>
      <c r="X27" s="167"/>
    </row>
    <row r="28" spans="2:24" ht="15" customHeight="1" x14ac:dyDescent="0.35">
      <c r="B28" s="79"/>
      <c r="F28" s="29"/>
      <c r="G28" s="29"/>
      <c r="H28" s="29"/>
      <c r="I28" s="29"/>
      <c r="J28" s="29"/>
      <c r="K28" s="29"/>
      <c r="L28" s="29"/>
      <c r="M28" s="29"/>
      <c r="N28" s="29"/>
      <c r="O28" s="29"/>
      <c r="P28" s="29"/>
      <c r="Q28" s="29"/>
      <c r="R28" s="29"/>
      <c r="S28" s="29"/>
      <c r="T28" s="22"/>
      <c r="W28" s="166"/>
      <c r="X28" s="167"/>
    </row>
    <row r="29" spans="2:24" ht="15" customHeight="1" x14ac:dyDescent="0.35">
      <c r="B29" s="79"/>
      <c r="F29" s="29"/>
      <c r="G29" s="29"/>
      <c r="H29" s="29"/>
      <c r="I29" s="29"/>
      <c r="J29" s="29"/>
      <c r="K29" s="29"/>
      <c r="L29" s="29"/>
      <c r="M29" s="29"/>
      <c r="N29" s="29"/>
      <c r="O29" s="29"/>
      <c r="P29" s="29"/>
      <c r="Q29" s="29"/>
      <c r="R29" s="29"/>
      <c r="S29" s="29"/>
      <c r="T29" s="22"/>
      <c r="W29" s="166"/>
      <c r="X29" s="167"/>
    </row>
    <row r="30" spans="2:24" ht="15" customHeight="1" x14ac:dyDescent="0.35">
      <c r="B30" s="79"/>
      <c r="F30" s="29"/>
      <c r="G30" s="29"/>
      <c r="H30" s="29"/>
      <c r="I30" s="29"/>
      <c r="J30" s="29"/>
      <c r="K30" s="29"/>
      <c r="L30" s="29"/>
      <c r="M30" s="29"/>
      <c r="N30" s="29"/>
      <c r="O30" s="29"/>
      <c r="P30" s="29"/>
      <c r="Q30" s="29"/>
      <c r="R30" s="29"/>
      <c r="S30" s="29"/>
      <c r="T30" s="22"/>
    </row>
    <row r="31" spans="2:24" ht="15" customHeight="1" x14ac:dyDescent="0.35">
      <c r="B31" s="79"/>
      <c r="F31" s="29"/>
      <c r="G31" s="29"/>
      <c r="H31" s="29"/>
      <c r="I31" s="29"/>
      <c r="J31" s="29"/>
      <c r="K31" s="29"/>
      <c r="L31" s="29"/>
      <c r="M31" s="29"/>
      <c r="N31" s="29"/>
      <c r="O31" s="29"/>
      <c r="P31" s="29"/>
      <c r="Q31" s="29"/>
      <c r="R31" s="29"/>
      <c r="S31" s="29"/>
      <c r="T31" s="22"/>
    </row>
    <row r="32" spans="2:24" ht="15" customHeight="1" x14ac:dyDescent="0.35">
      <c r="B32" s="79"/>
      <c r="F32" s="29"/>
      <c r="G32" s="29"/>
      <c r="H32" s="29"/>
      <c r="I32" s="29"/>
      <c r="J32" s="29"/>
      <c r="K32" s="29"/>
      <c r="L32" s="29"/>
      <c r="M32" s="29"/>
      <c r="N32" s="29"/>
      <c r="O32" s="29"/>
      <c r="P32" s="29"/>
      <c r="Q32" s="29"/>
      <c r="R32" s="29"/>
      <c r="S32" s="29"/>
      <c r="T32" s="22"/>
    </row>
    <row r="33" spans="2:20" ht="15.75" customHeight="1" x14ac:dyDescent="0.35">
      <c r="B33" s="79"/>
      <c r="F33" s="29"/>
      <c r="G33" s="29"/>
      <c r="H33" s="29"/>
      <c r="I33" s="29"/>
      <c r="J33" s="29"/>
      <c r="K33" s="29"/>
      <c r="L33" s="29"/>
      <c r="M33" s="29"/>
      <c r="N33" s="29"/>
      <c r="O33" s="29"/>
      <c r="P33" s="29"/>
      <c r="Q33" s="29"/>
      <c r="R33" s="29"/>
      <c r="S33" s="29"/>
      <c r="T33" s="22"/>
    </row>
    <row r="34" spans="2:20" ht="15.75" customHeight="1" x14ac:dyDescent="0.35">
      <c r="B34" s="79"/>
      <c r="F34" s="29"/>
      <c r="G34" s="29"/>
      <c r="H34" s="29"/>
      <c r="I34" s="29"/>
      <c r="J34" s="29"/>
      <c r="K34" s="29"/>
      <c r="L34" s="29"/>
      <c r="M34" s="29"/>
      <c r="N34" s="29"/>
      <c r="O34" s="29"/>
      <c r="P34" s="29"/>
      <c r="Q34" s="29"/>
      <c r="R34" s="29"/>
      <c r="S34" s="29"/>
      <c r="T34" s="22"/>
    </row>
    <row r="35" spans="2:20" ht="15.75" customHeight="1" x14ac:dyDescent="0.35">
      <c r="B35" s="79"/>
      <c r="F35" s="29"/>
      <c r="G35" s="29"/>
      <c r="H35" s="29"/>
      <c r="I35" s="29"/>
      <c r="J35" s="29"/>
      <c r="K35" s="29"/>
      <c r="L35" s="29"/>
      <c r="M35" s="29"/>
      <c r="N35" s="29"/>
      <c r="O35" s="29"/>
      <c r="P35" s="29"/>
      <c r="Q35" s="29"/>
      <c r="R35" s="29"/>
      <c r="S35" s="29"/>
      <c r="T35" s="22"/>
    </row>
    <row r="36" spans="2:20" ht="15" customHeight="1" thickBot="1" x14ac:dyDescent="0.4">
      <c r="B36" s="80"/>
      <c r="C36" s="81"/>
      <c r="D36" s="81"/>
      <c r="E36" s="81"/>
      <c r="F36" s="81"/>
      <c r="G36" s="81"/>
      <c r="H36" s="81"/>
      <c r="I36" s="81"/>
      <c r="J36" s="81"/>
      <c r="K36" s="81"/>
      <c r="L36" s="81"/>
      <c r="M36" s="81"/>
      <c r="N36" s="81"/>
      <c r="O36" s="81"/>
      <c r="P36" s="81"/>
      <c r="Q36" s="81"/>
      <c r="R36" s="81"/>
      <c r="S36" s="81"/>
      <c r="T36" s="23"/>
    </row>
    <row r="37" spans="2:20" ht="15" customHeight="1" thickBot="1" x14ac:dyDescent="0.4"/>
    <row r="38" spans="2:20" ht="15" customHeight="1" x14ac:dyDescent="0.35">
      <c r="B38" s="303" t="s">
        <v>179</v>
      </c>
      <c r="C38" s="304"/>
      <c r="D38" s="304"/>
      <c r="E38" s="304"/>
      <c r="F38" s="304"/>
      <c r="G38" s="304"/>
      <c r="H38" s="304"/>
      <c r="I38" s="304"/>
      <c r="J38" s="304"/>
      <c r="K38" s="304"/>
      <c r="L38" s="304"/>
      <c r="M38" s="304"/>
      <c r="N38" s="304"/>
      <c r="O38" s="304"/>
      <c r="P38" s="304"/>
      <c r="Q38" s="304"/>
      <c r="R38" s="305"/>
    </row>
    <row r="39" spans="2:20" ht="15" customHeight="1" x14ac:dyDescent="0.35">
      <c r="B39" s="306"/>
      <c r="C39" s="307"/>
      <c r="D39" s="307"/>
      <c r="E39" s="307"/>
      <c r="F39" s="307"/>
      <c r="G39" s="307"/>
      <c r="H39" s="307"/>
      <c r="I39" s="307"/>
      <c r="J39" s="307"/>
      <c r="K39" s="307"/>
      <c r="L39" s="307"/>
      <c r="M39" s="307"/>
      <c r="N39" s="307"/>
      <c r="O39" s="307"/>
      <c r="P39" s="307"/>
      <c r="Q39" s="307"/>
      <c r="R39" s="308"/>
    </row>
    <row r="40" spans="2:20" ht="15" customHeight="1" x14ac:dyDescent="0.35">
      <c r="B40" s="306"/>
      <c r="C40" s="307"/>
      <c r="D40" s="307"/>
      <c r="E40" s="307"/>
      <c r="F40" s="307"/>
      <c r="G40" s="307"/>
      <c r="H40" s="307"/>
      <c r="I40" s="307"/>
      <c r="J40" s="307"/>
      <c r="K40" s="307"/>
      <c r="L40" s="307"/>
      <c r="M40" s="307"/>
      <c r="N40" s="307"/>
      <c r="O40" s="307"/>
      <c r="P40" s="307"/>
      <c r="Q40" s="307"/>
      <c r="R40" s="308"/>
    </row>
    <row r="41" spans="2:20" ht="15" customHeight="1" x14ac:dyDescent="0.35">
      <c r="B41" s="306"/>
      <c r="C41" s="307"/>
      <c r="D41" s="307"/>
      <c r="E41" s="307"/>
      <c r="F41" s="307"/>
      <c r="G41" s="307"/>
      <c r="H41" s="307"/>
      <c r="I41" s="307"/>
      <c r="J41" s="307"/>
      <c r="K41" s="307"/>
      <c r="L41" s="307"/>
      <c r="M41" s="307"/>
      <c r="N41" s="307"/>
      <c r="O41" s="307"/>
      <c r="P41" s="307"/>
      <c r="Q41" s="307"/>
      <c r="R41" s="308"/>
    </row>
    <row r="42" spans="2:20" ht="15" customHeight="1" x14ac:dyDescent="0.35">
      <c r="B42" s="306"/>
      <c r="C42" s="307"/>
      <c r="D42" s="307"/>
      <c r="E42" s="307"/>
      <c r="F42" s="307"/>
      <c r="G42" s="307"/>
      <c r="H42" s="307"/>
      <c r="I42" s="307"/>
      <c r="J42" s="307"/>
      <c r="K42" s="307"/>
      <c r="L42" s="307"/>
      <c r="M42" s="307"/>
      <c r="N42" s="307"/>
      <c r="O42" s="307"/>
      <c r="P42" s="307"/>
      <c r="Q42" s="307"/>
      <c r="R42" s="308"/>
    </row>
    <row r="43" spans="2:20" ht="15" customHeight="1" x14ac:dyDescent="0.35">
      <c r="B43" s="306"/>
      <c r="C43" s="307"/>
      <c r="D43" s="307"/>
      <c r="E43" s="307"/>
      <c r="F43" s="307"/>
      <c r="G43" s="307"/>
      <c r="H43" s="307"/>
      <c r="I43" s="307"/>
      <c r="J43" s="307"/>
      <c r="K43" s="307"/>
      <c r="L43" s="307"/>
      <c r="M43" s="307"/>
      <c r="N43" s="307"/>
      <c r="O43" s="307"/>
      <c r="P43" s="307"/>
      <c r="Q43" s="307"/>
      <c r="R43" s="308"/>
    </row>
    <row r="44" spans="2:20" ht="15" customHeight="1" thickBot="1" x14ac:dyDescent="0.4">
      <c r="B44" s="309"/>
      <c r="C44" s="310"/>
      <c r="D44" s="310"/>
      <c r="E44" s="310"/>
      <c r="F44" s="310"/>
      <c r="G44" s="310"/>
      <c r="H44" s="310"/>
      <c r="I44" s="310"/>
      <c r="J44" s="310"/>
      <c r="K44" s="310"/>
      <c r="L44" s="310"/>
      <c r="M44" s="310"/>
      <c r="N44" s="310"/>
      <c r="O44" s="310"/>
      <c r="P44" s="310"/>
      <c r="Q44" s="310"/>
      <c r="R44" s="311"/>
    </row>
    <row r="45" spans="2:20" ht="15" customHeight="1" x14ac:dyDescent="0.35"/>
    <row r="46" spans="2:20" ht="15" customHeight="1" x14ac:dyDescent="0.35"/>
    <row r="47" spans="2:20" ht="15" customHeight="1" x14ac:dyDescent="0.35"/>
    <row r="48" spans="2:20" ht="15" customHeight="1" x14ac:dyDescent="0.35"/>
    <row r="49" ht="15" customHeight="1" x14ac:dyDescent="0.35"/>
    <row r="50" ht="15" customHeight="1" x14ac:dyDescent="0.35"/>
    <row r="51" ht="15" customHeight="1" x14ac:dyDescent="0.35"/>
    <row r="52" ht="15" customHeight="1" x14ac:dyDescent="0.35"/>
    <row r="53" ht="15" customHeight="1" x14ac:dyDescent="0.35"/>
    <row r="54" ht="15" customHeight="1" x14ac:dyDescent="0.35"/>
    <row r="55" ht="15" customHeight="1" x14ac:dyDescent="0.35"/>
    <row r="56" ht="15" customHeight="1" x14ac:dyDescent="0.35"/>
    <row r="57" ht="15" customHeight="1" x14ac:dyDescent="0.35"/>
    <row r="58" ht="15" customHeight="1" x14ac:dyDescent="0.35"/>
    <row r="59" ht="15" customHeight="1" x14ac:dyDescent="0.35"/>
    <row r="60" ht="15" customHeight="1" x14ac:dyDescent="0.35"/>
    <row r="61" ht="15" customHeight="1" x14ac:dyDescent="0.35"/>
    <row r="62" ht="15" customHeight="1" x14ac:dyDescent="0.35"/>
    <row r="63" ht="15" customHeight="1" x14ac:dyDescent="0.35"/>
    <row r="64" ht="15" customHeight="1" x14ac:dyDescent="0.35"/>
    <row r="65" ht="15" customHeight="1" x14ac:dyDescent="0.35"/>
    <row r="66" ht="15" customHeight="1" x14ac:dyDescent="0.35"/>
  </sheetData>
  <sortState ref="C8:E22">
    <sortCondition descending="1" ref="E8"/>
  </sortState>
  <mergeCells count="3">
    <mergeCell ref="C3:S3"/>
    <mergeCell ref="D5:E5"/>
    <mergeCell ref="B38:R44"/>
  </mergeCells>
  <pageMargins left="0.7" right="0.7" top="0.75" bottom="0.75" header="0.3" footer="0.3"/>
  <pageSetup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6"/>
  <dimension ref="A1:AK60"/>
  <sheetViews>
    <sheetView showGridLines="0" zoomScale="75" zoomScaleNormal="75" workbookViewId="0"/>
  </sheetViews>
  <sheetFormatPr defaultColWidth="9.1796875" defaultRowHeight="14.5" x14ac:dyDescent="0.35"/>
  <cols>
    <col min="1" max="1" width="2.81640625" style="19" customWidth="1"/>
    <col min="2" max="2" width="3.81640625" style="19" customWidth="1"/>
    <col min="3" max="3" width="59.1796875" style="19" customWidth="1"/>
    <col min="4" max="4" width="32.1796875" style="19" customWidth="1"/>
    <col min="5" max="5" width="10.453125" style="19" bestFit="1" customWidth="1"/>
    <col min="6" max="18" width="9.1796875" style="19"/>
    <col min="19" max="19" width="9.81640625" style="19" customWidth="1"/>
    <col min="20" max="20" width="9.1796875" style="19"/>
    <col min="21" max="22" width="9.1796875" style="39"/>
    <col min="23" max="23" width="46.453125" style="39" bestFit="1" customWidth="1"/>
    <col min="24" max="24" width="8.453125" style="39" customWidth="1"/>
    <col min="25" max="27" width="9.1796875" style="39"/>
    <col min="28" max="16384" width="9.1796875" style="19"/>
  </cols>
  <sheetData>
    <row r="1" spans="1:37" ht="15.75" customHeight="1" thickBot="1" x14ac:dyDescent="0.4">
      <c r="A1" s="3"/>
    </row>
    <row r="2" spans="1:37" ht="15" customHeight="1" x14ac:dyDescent="0.35">
      <c r="B2" s="77"/>
      <c r="C2" s="78"/>
      <c r="D2" s="78"/>
      <c r="E2" s="78"/>
      <c r="F2" s="78"/>
      <c r="G2" s="78"/>
      <c r="H2" s="78"/>
      <c r="I2" s="78"/>
      <c r="J2" s="78"/>
      <c r="K2" s="78"/>
      <c r="L2" s="78"/>
      <c r="M2" s="78"/>
      <c r="N2" s="78"/>
      <c r="O2" s="78"/>
      <c r="P2" s="78"/>
      <c r="Q2" s="78"/>
      <c r="R2" s="78"/>
      <c r="S2" s="78"/>
      <c r="T2" s="21"/>
    </row>
    <row r="3" spans="1:37" ht="20.25" customHeight="1" x14ac:dyDescent="0.35">
      <c r="B3" s="79"/>
      <c r="C3" s="312" t="s">
        <v>166</v>
      </c>
      <c r="D3" s="313"/>
      <c r="E3" s="313"/>
      <c r="F3" s="313"/>
      <c r="G3" s="313"/>
      <c r="H3" s="313"/>
      <c r="I3" s="313"/>
      <c r="J3" s="313"/>
      <c r="K3" s="313"/>
      <c r="L3" s="313"/>
      <c r="M3" s="313"/>
      <c r="N3" s="313"/>
      <c r="O3" s="313"/>
      <c r="P3" s="313"/>
      <c r="Q3" s="313"/>
      <c r="R3" s="313"/>
      <c r="S3" s="313"/>
      <c r="T3" s="22"/>
    </row>
    <row r="4" spans="1:37" ht="15.75" customHeight="1" x14ac:dyDescent="0.35">
      <c r="B4" s="79"/>
      <c r="C4" s="67" t="s">
        <v>434</v>
      </c>
      <c r="D4" s="29"/>
      <c r="E4" s="29"/>
      <c r="F4" s="29"/>
      <c r="G4" s="29"/>
      <c r="H4" s="29"/>
      <c r="I4" s="29"/>
      <c r="J4" s="29"/>
      <c r="K4" s="29"/>
      <c r="L4" s="29"/>
      <c r="M4" s="29"/>
      <c r="N4" s="29"/>
      <c r="O4" s="29"/>
      <c r="P4" s="29"/>
      <c r="Q4" s="29"/>
      <c r="R4" s="29"/>
      <c r="S4" s="29"/>
      <c r="T4" s="22"/>
    </row>
    <row r="5" spans="1:37" ht="18" customHeight="1" x14ac:dyDescent="0.35">
      <c r="B5" s="79"/>
      <c r="C5" s="211" t="s">
        <v>435</v>
      </c>
      <c r="D5" s="315" t="s">
        <v>395</v>
      </c>
      <c r="E5" s="316"/>
      <c r="F5" s="29"/>
      <c r="G5" s="29"/>
      <c r="H5" s="29"/>
      <c r="I5" s="29"/>
      <c r="J5" s="29"/>
      <c r="K5" s="29"/>
      <c r="L5" s="29"/>
      <c r="M5" s="29"/>
      <c r="N5" s="29"/>
      <c r="O5" s="29"/>
      <c r="P5" s="29"/>
      <c r="Q5" s="29"/>
      <c r="R5" s="29"/>
      <c r="S5" s="29"/>
      <c r="T5" s="22"/>
    </row>
    <row r="6" spans="1:37" ht="15" customHeight="1" x14ac:dyDescent="0.35">
      <c r="B6" s="79"/>
      <c r="C6" s="29"/>
      <c r="D6" s="29"/>
      <c r="E6" s="29"/>
      <c r="F6" s="29"/>
      <c r="G6" s="29"/>
      <c r="H6" s="29"/>
      <c r="I6" s="29"/>
      <c r="J6" s="29"/>
      <c r="K6" s="29"/>
      <c r="L6" s="29"/>
      <c r="M6" s="29"/>
      <c r="N6" s="29"/>
      <c r="O6" s="29"/>
      <c r="P6" s="29"/>
      <c r="Q6" s="29"/>
      <c r="R6" s="29"/>
      <c r="S6" s="29"/>
      <c r="T6" s="22"/>
      <c r="AK6" s="39"/>
    </row>
    <row r="7" spans="1:37" ht="32.25" customHeight="1" x14ac:dyDescent="0.35">
      <c r="B7" s="79"/>
      <c r="C7" s="68" t="s">
        <v>0</v>
      </c>
      <c r="D7" s="69" t="s">
        <v>1</v>
      </c>
      <c r="E7" s="70" t="s">
        <v>2</v>
      </c>
      <c r="F7" s="29"/>
      <c r="G7" s="29"/>
      <c r="H7" s="29"/>
      <c r="I7" s="29"/>
      <c r="J7" s="29"/>
      <c r="K7" s="29"/>
      <c r="L7" s="29"/>
      <c r="M7" s="29"/>
      <c r="N7" s="29"/>
      <c r="O7" s="29"/>
      <c r="P7" s="29"/>
      <c r="Q7" s="29"/>
      <c r="R7" s="29"/>
      <c r="S7" s="29"/>
      <c r="T7" s="22"/>
      <c r="W7" s="39" t="s">
        <v>22</v>
      </c>
      <c r="X7" s="39" t="s">
        <v>2</v>
      </c>
    </row>
    <row r="8" spans="1:37" ht="15" customHeight="1" x14ac:dyDescent="0.35">
      <c r="B8" s="79"/>
      <c r="C8" s="184" t="s">
        <v>29</v>
      </c>
      <c r="D8" s="185" t="s">
        <v>3</v>
      </c>
      <c r="E8" s="186">
        <v>8.0750000000000002E-2</v>
      </c>
      <c r="F8" s="29"/>
      <c r="G8" s="29"/>
      <c r="H8" s="29"/>
      <c r="I8" s="29"/>
      <c r="J8" s="29"/>
      <c r="K8" s="29"/>
      <c r="L8" s="29"/>
      <c r="M8" s="29"/>
      <c r="N8" s="29"/>
      <c r="O8" s="29"/>
      <c r="P8" s="29"/>
      <c r="Q8" s="29"/>
      <c r="R8" s="29"/>
      <c r="S8" s="29"/>
      <c r="T8" s="22"/>
      <c r="W8" s="173" t="s">
        <v>3</v>
      </c>
      <c r="X8" s="224">
        <v>0.22069</v>
      </c>
    </row>
    <row r="9" spans="1:37" ht="15.75" customHeight="1" x14ac:dyDescent="0.35">
      <c r="B9" s="79"/>
      <c r="C9" s="180" t="s">
        <v>31</v>
      </c>
      <c r="D9" s="187" t="s">
        <v>6</v>
      </c>
      <c r="E9" s="188">
        <v>7.1874999999999994E-2</v>
      </c>
      <c r="F9" s="29"/>
      <c r="G9" s="29"/>
      <c r="H9" s="29"/>
      <c r="I9" s="29"/>
      <c r="J9" s="29"/>
      <c r="K9" s="29"/>
      <c r="L9" s="29"/>
      <c r="M9" s="29"/>
      <c r="N9" s="29"/>
      <c r="O9" s="29"/>
      <c r="P9" s="29"/>
      <c r="Q9" s="29"/>
      <c r="R9" s="29"/>
      <c r="S9" s="29"/>
      <c r="T9" s="22"/>
      <c r="W9" s="173" t="s">
        <v>6</v>
      </c>
      <c r="X9" s="224">
        <v>8.2691999999999988E-2</v>
      </c>
    </row>
    <row r="10" spans="1:37" ht="15" customHeight="1" x14ac:dyDescent="0.35">
      <c r="B10" s="79"/>
      <c r="C10" s="180" t="s">
        <v>36</v>
      </c>
      <c r="D10" s="187" t="s">
        <v>3</v>
      </c>
      <c r="E10" s="188">
        <v>5.6982999999999999E-2</v>
      </c>
      <c r="F10" s="29"/>
      <c r="G10" s="29"/>
      <c r="H10" s="29"/>
      <c r="I10" s="29"/>
      <c r="J10" s="29"/>
      <c r="K10" s="29"/>
      <c r="L10" s="29"/>
      <c r="M10" s="29"/>
      <c r="N10" s="29"/>
      <c r="O10" s="29"/>
      <c r="P10" s="29"/>
      <c r="Q10" s="29"/>
      <c r="R10" s="29"/>
      <c r="S10" s="29"/>
      <c r="T10" s="22"/>
      <c r="W10" s="173" t="s">
        <v>105</v>
      </c>
      <c r="X10" s="224">
        <v>6.8414000000000003E-2</v>
      </c>
    </row>
    <row r="11" spans="1:37" ht="15" customHeight="1" x14ac:dyDescent="0.35">
      <c r="B11" s="79"/>
      <c r="C11" s="180" t="s">
        <v>32</v>
      </c>
      <c r="D11" s="187" t="s">
        <v>3</v>
      </c>
      <c r="E11" s="188">
        <v>3.6499999999999998E-2</v>
      </c>
      <c r="F11" s="29"/>
      <c r="G11" s="29"/>
      <c r="H11" s="29"/>
      <c r="I11" s="29"/>
      <c r="J11" s="29"/>
      <c r="K11" s="29"/>
      <c r="L11" s="29"/>
      <c r="M11" s="29"/>
      <c r="N11" s="29"/>
      <c r="O11" s="29"/>
      <c r="P11" s="29"/>
      <c r="Q11" s="29"/>
      <c r="R11" s="29"/>
      <c r="S11" s="29"/>
      <c r="T11" s="22"/>
      <c r="W11" s="173" t="s">
        <v>109</v>
      </c>
      <c r="X11" s="224">
        <v>6.0770000000000005E-2</v>
      </c>
    </row>
    <row r="12" spans="1:37" ht="15" customHeight="1" x14ac:dyDescent="0.35">
      <c r="B12" s="79"/>
      <c r="C12" s="180" t="s">
        <v>33</v>
      </c>
      <c r="D12" s="187" t="s">
        <v>105</v>
      </c>
      <c r="E12" s="188">
        <v>3.1801999999999997E-2</v>
      </c>
      <c r="F12" s="29"/>
      <c r="G12" s="29"/>
      <c r="H12" s="29"/>
      <c r="I12" s="29"/>
      <c r="J12" s="29"/>
      <c r="K12" s="29"/>
      <c r="L12" s="29"/>
      <c r="M12" s="29"/>
      <c r="N12" s="29"/>
      <c r="O12" s="29"/>
      <c r="P12" s="29"/>
      <c r="Q12" s="29"/>
      <c r="R12" s="29"/>
      <c r="S12" s="29"/>
      <c r="T12" s="22"/>
      <c r="W12" s="173" t="s">
        <v>84</v>
      </c>
      <c r="X12" s="224">
        <v>4.7342000000000002E-2</v>
      </c>
    </row>
    <row r="13" spans="1:37" ht="15.75" customHeight="1" x14ac:dyDescent="0.35">
      <c r="B13" s="79"/>
      <c r="C13" s="180" t="s">
        <v>35</v>
      </c>
      <c r="D13" s="187" t="s">
        <v>3</v>
      </c>
      <c r="E13" s="188">
        <v>2.8804E-2</v>
      </c>
      <c r="F13" s="29"/>
      <c r="G13" s="29"/>
      <c r="H13" s="29"/>
      <c r="I13" s="29"/>
      <c r="J13" s="29"/>
      <c r="K13" s="29"/>
      <c r="L13" s="29"/>
      <c r="M13" s="29"/>
      <c r="N13" s="29"/>
      <c r="O13" s="29"/>
      <c r="P13" s="29"/>
      <c r="Q13" s="29"/>
      <c r="R13" s="29"/>
      <c r="S13" s="29"/>
      <c r="T13" s="22"/>
      <c r="W13" s="173" t="s">
        <v>110</v>
      </c>
      <c r="X13" s="224">
        <v>4.4506000000000004E-2</v>
      </c>
    </row>
    <row r="14" spans="1:37" ht="15" customHeight="1" x14ac:dyDescent="0.35">
      <c r="B14" s="79"/>
      <c r="C14" s="180" t="s">
        <v>28</v>
      </c>
      <c r="D14" s="187" t="s">
        <v>105</v>
      </c>
      <c r="E14" s="188">
        <v>2.3022000000000001E-2</v>
      </c>
      <c r="F14" s="29"/>
      <c r="G14" s="29"/>
      <c r="H14" s="29"/>
      <c r="I14" s="29"/>
      <c r="J14" s="29"/>
      <c r="K14" s="29"/>
      <c r="L14" s="29"/>
      <c r="M14" s="29"/>
      <c r="N14" s="29"/>
      <c r="O14" s="29"/>
      <c r="P14" s="29"/>
      <c r="Q14" s="29"/>
      <c r="R14" s="29"/>
      <c r="S14" s="29"/>
      <c r="T14" s="22"/>
      <c r="W14" s="173" t="s">
        <v>16</v>
      </c>
      <c r="X14" s="224">
        <v>3.6859000000000003E-2</v>
      </c>
    </row>
    <row r="15" spans="1:37" ht="15" customHeight="1" x14ac:dyDescent="0.35">
      <c r="B15" s="79"/>
      <c r="C15" s="180" t="s">
        <v>73</v>
      </c>
      <c r="D15" s="187" t="s">
        <v>11</v>
      </c>
      <c r="E15" s="188">
        <v>2.2908999999999999E-2</v>
      </c>
      <c r="F15" s="29"/>
      <c r="G15" s="29"/>
      <c r="H15" s="29"/>
      <c r="I15" s="29"/>
      <c r="J15" s="29"/>
      <c r="K15" s="29"/>
      <c r="L15" s="29"/>
      <c r="M15" s="29"/>
      <c r="N15" s="29"/>
      <c r="O15" s="29"/>
      <c r="P15" s="29"/>
      <c r="Q15" s="29"/>
      <c r="R15" s="29"/>
      <c r="S15" s="29"/>
      <c r="T15" s="22"/>
      <c r="W15" s="173" t="s">
        <v>4</v>
      </c>
      <c r="X15" s="224">
        <v>3.4209999999999997E-2</v>
      </c>
    </row>
    <row r="16" spans="1:37" ht="15" customHeight="1" x14ac:dyDescent="0.35">
      <c r="B16" s="79"/>
      <c r="C16" s="180" t="s">
        <v>362</v>
      </c>
      <c r="D16" s="187" t="s">
        <v>84</v>
      </c>
      <c r="E16" s="188">
        <v>1.9782999999999999E-2</v>
      </c>
      <c r="F16" s="29"/>
      <c r="G16" s="29"/>
      <c r="H16" s="29"/>
      <c r="I16" s="29"/>
      <c r="J16" s="29"/>
      <c r="K16" s="29"/>
      <c r="L16" s="29"/>
      <c r="M16" s="29"/>
      <c r="N16" s="29"/>
      <c r="O16" s="29"/>
      <c r="P16" s="29"/>
      <c r="Q16" s="29"/>
      <c r="R16" s="29"/>
      <c r="S16" s="29"/>
      <c r="T16" s="22"/>
      <c r="W16" s="173" t="s">
        <v>11</v>
      </c>
      <c r="X16" s="224">
        <v>2.9130999999999997E-2</v>
      </c>
    </row>
    <row r="17" spans="2:24" ht="15" customHeight="1" x14ac:dyDescent="0.35">
      <c r="B17" s="79"/>
      <c r="C17" s="180" t="s">
        <v>30</v>
      </c>
      <c r="D17" s="187" t="s">
        <v>115</v>
      </c>
      <c r="E17" s="188">
        <v>1.9604E-2</v>
      </c>
      <c r="F17" s="29"/>
      <c r="G17" s="29"/>
      <c r="H17" s="29"/>
      <c r="I17" s="29"/>
      <c r="J17" s="29"/>
      <c r="K17" s="29"/>
      <c r="L17" s="29"/>
      <c r="M17" s="29"/>
      <c r="N17" s="29"/>
      <c r="O17" s="29"/>
      <c r="P17" s="29"/>
      <c r="Q17" s="29"/>
      <c r="R17" s="29"/>
      <c r="S17" s="29"/>
      <c r="T17" s="22"/>
      <c r="W17" s="173" t="s">
        <v>23</v>
      </c>
      <c r="X17" s="224">
        <v>2.3865999999999998E-2</v>
      </c>
    </row>
    <row r="18" spans="2:24" ht="15" customHeight="1" x14ac:dyDescent="0.35">
      <c r="B18" s="79"/>
      <c r="C18" s="180" t="s">
        <v>142</v>
      </c>
      <c r="D18" s="187" t="s">
        <v>110</v>
      </c>
      <c r="E18" s="188">
        <v>1.958E-2</v>
      </c>
      <c r="F18" s="29"/>
      <c r="G18" s="29"/>
      <c r="H18" s="29"/>
      <c r="I18" s="29"/>
      <c r="J18" s="29"/>
      <c r="K18" s="29"/>
      <c r="L18" s="29"/>
      <c r="M18" s="29"/>
      <c r="N18" s="29"/>
      <c r="O18" s="29"/>
      <c r="P18" s="29"/>
      <c r="Q18" s="29"/>
      <c r="R18" s="29"/>
      <c r="S18" s="29"/>
      <c r="T18" s="22"/>
      <c r="W18" s="173" t="s">
        <v>108</v>
      </c>
      <c r="X18" s="224">
        <v>2.1958999999999999E-2</v>
      </c>
    </row>
    <row r="19" spans="2:24" ht="15" customHeight="1" x14ac:dyDescent="0.35">
      <c r="B19" s="79"/>
      <c r="C19" s="180" t="s">
        <v>239</v>
      </c>
      <c r="D19" s="187" t="s">
        <v>106</v>
      </c>
      <c r="E19" s="188">
        <v>1.9335000000000001E-2</v>
      </c>
      <c r="F19" s="29"/>
      <c r="G19" s="29"/>
      <c r="H19" s="29"/>
      <c r="I19" s="29"/>
      <c r="J19" s="29"/>
      <c r="K19" s="29"/>
      <c r="L19" s="29"/>
      <c r="M19" s="29"/>
      <c r="N19" s="29"/>
      <c r="O19" s="29"/>
      <c r="P19" s="29"/>
      <c r="Q19" s="29"/>
      <c r="R19" s="29"/>
      <c r="S19" s="29"/>
      <c r="T19" s="22"/>
      <c r="W19" s="173" t="s">
        <v>115</v>
      </c>
      <c r="X19" s="224">
        <v>1.9604E-2</v>
      </c>
    </row>
    <row r="20" spans="2:24" ht="15" customHeight="1" x14ac:dyDescent="0.35">
      <c r="B20" s="79"/>
      <c r="C20" s="180" t="s">
        <v>96</v>
      </c>
      <c r="D20" s="187" t="s">
        <v>117</v>
      </c>
      <c r="E20" s="188">
        <v>1.9238999999999999E-2</v>
      </c>
      <c r="F20" s="29"/>
      <c r="G20" s="29"/>
      <c r="H20" s="29"/>
      <c r="I20" s="29"/>
      <c r="J20" s="29"/>
      <c r="K20" s="29"/>
      <c r="L20" s="29"/>
      <c r="M20" s="29"/>
      <c r="N20" s="29"/>
      <c r="O20" s="29"/>
      <c r="P20" s="29"/>
      <c r="Q20" s="29"/>
      <c r="R20" s="29"/>
      <c r="S20" s="29"/>
      <c r="T20" s="22"/>
      <c r="W20" s="173" t="s">
        <v>104</v>
      </c>
      <c r="X20" s="224">
        <v>1.9545E-2</v>
      </c>
    </row>
    <row r="21" spans="2:24" ht="15" customHeight="1" x14ac:dyDescent="0.35">
      <c r="B21" s="79"/>
      <c r="C21" s="180" t="s">
        <v>323</v>
      </c>
      <c r="D21" s="187" t="s">
        <v>84</v>
      </c>
      <c r="E21" s="188">
        <v>1.9199000000000001E-2</v>
      </c>
      <c r="F21" s="29"/>
      <c r="G21" s="29"/>
      <c r="H21" s="29"/>
      <c r="I21" s="29"/>
      <c r="J21" s="29"/>
      <c r="K21" s="29"/>
      <c r="L21" s="29"/>
      <c r="M21" s="29"/>
      <c r="N21" s="29"/>
      <c r="O21" s="29"/>
      <c r="P21" s="29"/>
      <c r="Q21" s="29"/>
      <c r="R21" s="29"/>
      <c r="S21" s="29"/>
      <c r="T21" s="22"/>
      <c r="W21" s="173" t="s">
        <v>106</v>
      </c>
      <c r="X21" s="224">
        <v>1.9335000000000001E-2</v>
      </c>
    </row>
    <row r="22" spans="2:24" ht="15" customHeight="1" x14ac:dyDescent="0.35">
      <c r="B22" s="79"/>
      <c r="C22" s="180" t="s">
        <v>94</v>
      </c>
      <c r="D22" s="187" t="s">
        <v>110</v>
      </c>
      <c r="E22" s="188">
        <v>1.8811000000000001E-2</v>
      </c>
      <c r="F22" s="29"/>
      <c r="G22" s="29"/>
      <c r="H22" s="29"/>
      <c r="I22" s="29"/>
      <c r="J22" s="29"/>
      <c r="K22" s="29"/>
      <c r="L22" s="29"/>
      <c r="M22" s="29"/>
      <c r="N22" s="29"/>
      <c r="O22" s="29"/>
      <c r="P22" s="29"/>
      <c r="Q22" s="29"/>
      <c r="R22" s="29"/>
      <c r="S22" s="29"/>
      <c r="T22" s="22"/>
      <c r="W22" s="173" t="s">
        <v>117</v>
      </c>
      <c r="X22" s="224">
        <v>1.9238999999999999E-2</v>
      </c>
    </row>
    <row r="23" spans="2:24" ht="15" customHeight="1" x14ac:dyDescent="0.35">
      <c r="B23" s="79"/>
      <c r="C23" s="82"/>
      <c r="D23" s="82"/>
      <c r="E23" s="83"/>
      <c r="F23" s="29"/>
      <c r="G23" s="29"/>
      <c r="H23" s="29"/>
      <c r="I23" s="29"/>
      <c r="J23" s="29"/>
      <c r="K23" s="29"/>
      <c r="L23" s="29"/>
      <c r="M23" s="29"/>
      <c r="N23" s="29"/>
      <c r="O23" s="29"/>
      <c r="P23" s="29"/>
      <c r="Q23" s="29"/>
      <c r="R23" s="29"/>
      <c r="S23" s="29"/>
      <c r="T23" s="22"/>
      <c r="W23" s="173" t="s">
        <v>111</v>
      </c>
      <c r="X23" s="224">
        <v>1.8265E-2</v>
      </c>
    </row>
    <row r="24" spans="2:24" ht="15" customHeight="1" x14ac:dyDescent="0.35">
      <c r="B24" s="79"/>
      <c r="C24" s="73" t="s">
        <v>55</v>
      </c>
      <c r="D24" s="74"/>
      <c r="E24" s="84">
        <f>SUM(E8:E22)</f>
        <v>0.48819600000000002</v>
      </c>
      <c r="F24" s="29"/>
      <c r="G24" s="29"/>
      <c r="H24" s="29"/>
      <c r="I24" s="29"/>
      <c r="J24" s="29"/>
      <c r="K24" s="29"/>
      <c r="L24" s="29"/>
      <c r="M24" s="29"/>
      <c r="N24" s="29"/>
      <c r="O24" s="29"/>
      <c r="P24" s="29"/>
      <c r="Q24" s="29"/>
      <c r="R24" s="29"/>
      <c r="S24" s="29"/>
      <c r="T24" s="22"/>
      <c r="W24" s="173" t="s">
        <v>26</v>
      </c>
      <c r="X24" s="224">
        <v>1.6709000000000002E-2</v>
      </c>
    </row>
    <row r="25" spans="2:24" ht="15" customHeight="1" x14ac:dyDescent="0.35">
      <c r="B25" s="79"/>
      <c r="C25" s="51"/>
      <c r="D25" s="51"/>
      <c r="E25" s="51"/>
      <c r="F25" s="29"/>
      <c r="G25" s="29"/>
      <c r="H25" s="29"/>
      <c r="I25" s="29"/>
      <c r="J25" s="29"/>
      <c r="K25" s="29"/>
      <c r="L25" s="29"/>
      <c r="M25" s="29"/>
      <c r="N25" s="29"/>
      <c r="O25" s="29"/>
      <c r="P25" s="29"/>
      <c r="Q25" s="29"/>
      <c r="R25" s="29"/>
      <c r="S25" s="29"/>
      <c r="T25" s="22"/>
      <c r="W25" s="173" t="s">
        <v>131</v>
      </c>
      <c r="X25" s="224">
        <v>1.5011E-2</v>
      </c>
    </row>
    <row r="26" spans="2:24" ht="15" customHeight="1" x14ac:dyDescent="0.35">
      <c r="B26" s="79"/>
      <c r="C26" s="85"/>
      <c r="D26" s="88"/>
      <c r="E26" s="154"/>
      <c r="F26" s="29"/>
      <c r="G26" s="29"/>
      <c r="H26" s="29"/>
      <c r="I26" s="29"/>
      <c r="J26" s="29"/>
      <c r="K26" s="29"/>
      <c r="L26" s="29"/>
      <c r="M26" s="29"/>
      <c r="N26" s="29"/>
      <c r="O26" s="29"/>
      <c r="P26" s="29"/>
      <c r="Q26" s="29"/>
      <c r="R26" s="29"/>
      <c r="S26" s="29"/>
      <c r="T26" s="22"/>
      <c r="W26" s="173" t="s">
        <v>10</v>
      </c>
      <c r="X26" s="224">
        <v>1.451E-2</v>
      </c>
    </row>
    <row r="27" spans="2:24" ht="15" customHeight="1" x14ac:dyDescent="0.35">
      <c r="B27" s="79"/>
      <c r="F27" s="29"/>
      <c r="G27" s="29"/>
      <c r="H27" s="29"/>
      <c r="I27" s="29"/>
      <c r="J27" s="29"/>
      <c r="K27" s="29"/>
      <c r="L27" s="29"/>
      <c r="M27" s="29"/>
      <c r="N27" s="29"/>
      <c r="O27" s="29"/>
      <c r="P27" s="29"/>
      <c r="Q27" s="29"/>
      <c r="R27" s="29"/>
      <c r="S27" s="29"/>
      <c r="T27" s="22"/>
      <c r="W27" s="173" t="s">
        <v>119</v>
      </c>
      <c r="X27" s="224">
        <v>1.2895999999999999E-2</v>
      </c>
    </row>
    <row r="28" spans="2:24" ht="15" customHeight="1" x14ac:dyDescent="0.35">
      <c r="B28" s="79"/>
      <c r="F28" s="29"/>
      <c r="G28" s="29"/>
      <c r="H28" s="29"/>
      <c r="I28" s="29"/>
      <c r="J28" s="29"/>
      <c r="K28" s="29"/>
      <c r="L28" s="29"/>
      <c r="M28" s="29"/>
      <c r="N28" s="29"/>
      <c r="O28" s="29"/>
      <c r="P28" s="29"/>
      <c r="Q28" s="29"/>
      <c r="R28" s="29"/>
      <c r="S28" s="29"/>
      <c r="T28" s="22"/>
      <c r="W28" s="173" t="s">
        <v>13</v>
      </c>
      <c r="X28" s="224">
        <v>1.2505E-2</v>
      </c>
    </row>
    <row r="29" spans="2:24" ht="15" customHeight="1" x14ac:dyDescent="0.35">
      <c r="B29" s="79"/>
      <c r="F29" s="29"/>
      <c r="G29" s="29"/>
      <c r="H29" s="29"/>
      <c r="I29" s="29"/>
      <c r="J29" s="29"/>
      <c r="K29" s="29"/>
      <c r="L29" s="29"/>
      <c r="M29" s="29"/>
      <c r="N29" s="29"/>
      <c r="O29" s="29"/>
      <c r="P29" s="29"/>
      <c r="Q29" s="29"/>
      <c r="R29" s="29"/>
      <c r="S29" s="29"/>
      <c r="T29" s="22"/>
      <c r="W29" s="173" t="s">
        <v>81</v>
      </c>
      <c r="X29" s="224">
        <v>1.2466E-2</v>
      </c>
    </row>
    <row r="30" spans="2:24" ht="15" customHeight="1" x14ac:dyDescent="0.35">
      <c r="B30" s="79"/>
      <c r="F30" s="29"/>
      <c r="G30" s="29"/>
      <c r="H30" s="29"/>
      <c r="I30" s="29"/>
      <c r="J30" s="29"/>
      <c r="K30" s="29"/>
      <c r="L30" s="29"/>
      <c r="M30" s="29"/>
      <c r="N30" s="29"/>
      <c r="O30" s="29"/>
      <c r="P30" s="29"/>
      <c r="Q30" s="29"/>
      <c r="R30" s="29"/>
      <c r="S30" s="29"/>
      <c r="T30" s="22"/>
      <c r="W30" s="173" t="s">
        <v>82</v>
      </c>
      <c r="X30" s="224">
        <v>9.4750000000000008E-3</v>
      </c>
    </row>
    <row r="31" spans="2:24" ht="15" customHeight="1" x14ac:dyDescent="0.35">
      <c r="B31" s="79"/>
      <c r="F31" s="29"/>
      <c r="G31" s="29"/>
      <c r="H31" s="29"/>
      <c r="I31" s="29"/>
      <c r="J31" s="29"/>
      <c r="K31" s="29"/>
      <c r="L31" s="29"/>
      <c r="M31" s="29"/>
      <c r="N31" s="29"/>
      <c r="O31" s="29"/>
      <c r="P31" s="29"/>
      <c r="Q31" s="29"/>
      <c r="R31" s="29"/>
      <c r="S31" s="29"/>
      <c r="T31" s="22"/>
      <c r="W31" s="173" t="s">
        <v>122</v>
      </c>
      <c r="X31" s="224">
        <v>8.9119999999999998E-3</v>
      </c>
    </row>
    <row r="32" spans="2:24" ht="15" customHeight="1" x14ac:dyDescent="0.35">
      <c r="B32" s="79"/>
      <c r="F32" s="29"/>
      <c r="G32" s="29"/>
      <c r="H32" s="29"/>
      <c r="I32" s="29"/>
      <c r="J32" s="29"/>
      <c r="K32" s="29"/>
      <c r="L32" s="29"/>
      <c r="M32" s="29"/>
      <c r="N32" s="29"/>
      <c r="O32" s="29"/>
      <c r="P32" s="29"/>
      <c r="Q32" s="29"/>
      <c r="R32" s="29"/>
      <c r="S32" s="29"/>
      <c r="T32" s="22"/>
      <c r="W32" s="173" t="s">
        <v>116</v>
      </c>
      <c r="X32" s="224">
        <v>7.7670000000000005E-3</v>
      </c>
    </row>
    <row r="33" spans="2:24" ht="15" customHeight="1" thickBot="1" x14ac:dyDescent="0.4">
      <c r="B33" s="80"/>
      <c r="C33" s="81"/>
      <c r="D33" s="81"/>
      <c r="E33" s="81"/>
      <c r="F33" s="81"/>
      <c r="G33" s="81"/>
      <c r="H33" s="81"/>
      <c r="I33" s="81"/>
      <c r="J33" s="81"/>
      <c r="K33" s="81"/>
      <c r="L33" s="81"/>
      <c r="M33" s="81"/>
      <c r="N33" s="81"/>
      <c r="O33" s="81"/>
      <c r="P33" s="81"/>
      <c r="Q33" s="81"/>
      <c r="R33" s="81"/>
      <c r="S33" s="81"/>
      <c r="T33" s="23"/>
      <c r="W33" s="173" t="s">
        <v>144</v>
      </c>
      <c r="X33" s="224">
        <v>4.9719999999999999E-3</v>
      </c>
    </row>
    <row r="34" spans="2:24" ht="15" customHeight="1" thickBot="1" x14ac:dyDescent="0.4">
      <c r="W34" s="173" t="s">
        <v>124</v>
      </c>
      <c r="X34" s="224">
        <v>4.62E-3</v>
      </c>
    </row>
    <row r="35" spans="2:24" ht="15" customHeight="1" x14ac:dyDescent="0.35">
      <c r="B35" s="303" t="s">
        <v>179</v>
      </c>
      <c r="C35" s="304"/>
      <c r="D35" s="304"/>
      <c r="E35" s="304"/>
      <c r="F35" s="304"/>
      <c r="G35" s="304"/>
      <c r="H35" s="304"/>
      <c r="I35" s="304"/>
      <c r="J35" s="304"/>
      <c r="K35" s="304"/>
      <c r="L35" s="304"/>
      <c r="M35" s="304"/>
      <c r="N35" s="304"/>
      <c r="O35" s="304"/>
      <c r="P35" s="304"/>
      <c r="Q35" s="304"/>
      <c r="R35" s="305"/>
      <c r="W35" s="173" t="s">
        <v>321</v>
      </c>
      <c r="X35" s="224">
        <v>3.9579999999999997E-3</v>
      </c>
    </row>
    <row r="36" spans="2:24" ht="15" customHeight="1" x14ac:dyDescent="0.35">
      <c r="B36" s="306"/>
      <c r="C36" s="307"/>
      <c r="D36" s="307"/>
      <c r="E36" s="307"/>
      <c r="F36" s="307"/>
      <c r="G36" s="307"/>
      <c r="H36" s="307"/>
      <c r="I36" s="307"/>
      <c r="J36" s="307"/>
      <c r="K36" s="307"/>
      <c r="L36" s="307"/>
      <c r="M36" s="307"/>
      <c r="N36" s="307"/>
      <c r="O36" s="307"/>
      <c r="P36" s="307"/>
      <c r="Q36" s="307"/>
      <c r="R36" s="308"/>
      <c r="W36" s="173" t="s">
        <v>114</v>
      </c>
      <c r="X36" s="224">
        <v>3.4659999999999999E-3</v>
      </c>
    </row>
    <row r="37" spans="2:24" ht="15" customHeight="1" x14ac:dyDescent="0.35">
      <c r="B37" s="306"/>
      <c r="C37" s="307"/>
      <c r="D37" s="307"/>
      <c r="E37" s="307"/>
      <c r="F37" s="307"/>
      <c r="G37" s="307"/>
      <c r="H37" s="307"/>
      <c r="I37" s="307"/>
      <c r="J37" s="307"/>
      <c r="K37" s="307"/>
      <c r="L37" s="307"/>
      <c r="M37" s="307"/>
      <c r="N37" s="307"/>
      <c r="O37" s="307"/>
      <c r="P37" s="307"/>
      <c r="Q37" s="307"/>
      <c r="R37" s="308"/>
      <c r="W37" s="173" t="s">
        <v>380</v>
      </c>
      <c r="X37" s="224">
        <v>1.64E-3</v>
      </c>
    </row>
    <row r="38" spans="2:24" ht="15" customHeight="1" x14ac:dyDescent="0.35">
      <c r="B38" s="306"/>
      <c r="C38" s="307"/>
      <c r="D38" s="307"/>
      <c r="E38" s="307"/>
      <c r="F38" s="307"/>
      <c r="G38" s="307"/>
      <c r="H38" s="307"/>
      <c r="I38" s="307"/>
      <c r="J38" s="307"/>
      <c r="K38" s="307"/>
      <c r="L38" s="307"/>
      <c r="M38" s="307"/>
      <c r="N38" s="307"/>
      <c r="O38" s="307"/>
      <c r="P38" s="307"/>
      <c r="Q38" s="307"/>
      <c r="R38" s="308"/>
      <c r="W38" s="173"/>
      <c r="X38" s="224"/>
    </row>
    <row r="39" spans="2:24" ht="15" customHeight="1" x14ac:dyDescent="0.35">
      <c r="B39" s="306"/>
      <c r="C39" s="307"/>
      <c r="D39" s="307"/>
      <c r="E39" s="307"/>
      <c r="F39" s="307"/>
      <c r="G39" s="307"/>
      <c r="H39" s="307"/>
      <c r="I39" s="307"/>
      <c r="J39" s="307"/>
      <c r="K39" s="307"/>
      <c r="L39" s="307"/>
      <c r="M39" s="307"/>
      <c r="N39" s="307"/>
      <c r="O39" s="307"/>
      <c r="P39" s="307"/>
      <c r="Q39" s="307"/>
      <c r="R39" s="308"/>
      <c r="W39" s="173"/>
      <c r="X39" s="224"/>
    </row>
    <row r="40" spans="2:24" ht="15" customHeight="1" x14ac:dyDescent="0.35">
      <c r="B40" s="306"/>
      <c r="C40" s="307"/>
      <c r="D40" s="307"/>
      <c r="E40" s="307"/>
      <c r="F40" s="307"/>
      <c r="G40" s="307"/>
      <c r="H40" s="307"/>
      <c r="I40" s="307"/>
      <c r="J40" s="307"/>
      <c r="K40" s="307"/>
      <c r="L40" s="307"/>
      <c r="M40" s="307"/>
      <c r="N40" s="307"/>
      <c r="O40" s="307"/>
      <c r="P40" s="307"/>
      <c r="Q40" s="307"/>
      <c r="R40" s="308"/>
    </row>
    <row r="41" spans="2:24" ht="15" customHeight="1" thickBot="1" x14ac:dyDescent="0.4">
      <c r="B41" s="309"/>
      <c r="C41" s="310"/>
      <c r="D41" s="310"/>
      <c r="E41" s="310"/>
      <c r="F41" s="310"/>
      <c r="G41" s="310"/>
      <c r="H41" s="310"/>
      <c r="I41" s="310"/>
      <c r="J41" s="310"/>
      <c r="K41" s="310"/>
      <c r="L41" s="310"/>
      <c r="M41" s="310"/>
      <c r="N41" s="310"/>
      <c r="O41" s="310"/>
      <c r="P41" s="310"/>
      <c r="Q41" s="310"/>
      <c r="R41" s="311"/>
    </row>
    <row r="42" spans="2:24" ht="15" customHeight="1" x14ac:dyDescent="0.35"/>
    <row r="43" spans="2:24" ht="15" customHeight="1" x14ac:dyDescent="0.35"/>
    <row r="44" spans="2:24" ht="15" customHeight="1" x14ac:dyDescent="0.35"/>
    <row r="45" spans="2:24" ht="15" customHeight="1" x14ac:dyDescent="0.35"/>
    <row r="46" spans="2:24" ht="15" customHeight="1" x14ac:dyDescent="0.35"/>
    <row r="47" spans="2:24" ht="15" customHeight="1" x14ac:dyDescent="0.35"/>
    <row r="48" spans="2:24" ht="15" customHeight="1" x14ac:dyDescent="0.35">
      <c r="D48" s="155"/>
    </row>
    <row r="49" ht="15" customHeight="1" x14ac:dyDescent="0.35"/>
    <row r="50" ht="15" customHeight="1" x14ac:dyDescent="0.35"/>
    <row r="51" ht="15" customHeight="1" x14ac:dyDescent="0.35"/>
    <row r="52" ht="15" customHeight="1" x14ac:dyDescent="0.35"/>
    <row r="53" ht="15" customHeight="1" x14ac:dyDescent="0.35"/>
    <row r="54" ht="15" customHeight="1" x14ac:dyDescent="0.35"/>
    <row r="55" ht="15" customHeight="1" x14ac:dyDescent="0.35"/>
    <row r="56" ht="15" customHeight="1" x14ac:dyDescent="0.35"/>
    <row r="57" ht="15" customHeight="1" x14ac:dyDescent="0.35"/>
    <row r="58" ht="15" customHeight="1" x14ac:dyDescent="0.35"/>
    <row r="59" ht="15" customHeight="1" x14ac:dyDescent="0.35"/>
    <row r="60" ht="15" customHeight="1" x14ac:dyDescent="0.35"/>
  </sheetData>
  <sortState ref="W9:X31">
    <sortCondition descending="1" ref="X9:X31"/>
  </sortState>
  <mergeCells count="3">
    <mergeCell ref="C3:S3"/>
    <mergeCell ref="D5:E5"/>
    <mergeCell ref="B35:R41"/>
  </mergeCells>
  <pageMargins left="0.7" right="0.7" top="0.75" bottom="0.75" header="0.3" footer="0.3"/>
  <pageSetup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80AEE1-1126-4BFA-AB3E-5A2E5C6F8CE8}">
  <sheetPr codeName="Sheet11"/>
  <dimension ref="A1:AA59"/>
  <sheetViews>
    <sheetView showGridLines="0" zoomScale="75" zoomScaleNormal="75" workbookViewId="0"/>
  </sheetViews>
  <sheetFormatPr defaultColWidth="9.1796875" defaultRowHeight="14.5" x14ac:dyDescent="0.35"/>
  <cols>
    <col min="1" max="1" width="2.81640625" style="19" customWidth="1"/>
    <col min="2" max="2" width="3.81640625" style="19" customWidth="1"/>
    <col min="3" max="3" width="59.1796875" style="19" bestFit="1" customWidth="1"/>
    <col min="4" max="4" width="33.81640625" style="19" bestFit="1" customWidth="1"/>
    <col min="5" max="5" width="15.1796875" style="19" customWidth="1"/>
    <col min="6" max="6" width="12.7265625" style="19" bestFit="1" customWidth="1"/>
    <col min="7" max="8" width="9.1796875" style="19"/>
    <col min="9" max="9" width="11.81640625" style="19" customWidth="1"/>
    <col min="10" max="18" width="9.1796875" style="19"/>
    <col min="19" max="19" width="9.81640625" style="19" customWidth="1"/>
    <col min="20" max="16384" width="9.1796875" style="19"/>
  </cols>
  <sheetData>
    <row r="1" spans="1:27" ht="15.75" customHeight="1" thickBot="1" x14ac:dyDescent="0.4">
      <c r="A1" s="3"/>
    </row>
    <row r="2" spans="1:27" ht="15" customHeight="1" x14ac:dyDescent="0.35">
      <c r="B2" s="77"/>
      <c r="C2" s="78"/>
      <c r="D2" s="78"/>
      <c r="E2" s="78"/>
      <c r="F2" s="78"/>
      <c r="G2" s="78"/>
      <c r="H2" s="78"/>
      <c r="I2" s="78"/>
      <c r="J2" s="78"/>
      <c r="K2" s="78"/>
      <c r="L2" s="78"/>
      <c r="M2" s="78"/>
      <c r="N2" s="78"/>
      <c r="O2" s="78"/>
      <c r="P2" s="78"/>
      <c r="Q2" s="78"/>
      <c r="R2" s="78"/>
      <c r="S2" s="78"/>
      <c r="T2" s="21"/>
    </row>
    <row r="3" spans="1:27" ht="20.25" customHeight="1" x14ac:dyDescent="0.35">
      <c r="B3" s="79"/>
      <c r="C3" s="312" t="s">
        <v>165</v>
      </c>
      <c r="D3" s="313"/>
      <c r="E3" s="313"/>
      <c r="F3" s="313"/>
      <c r="G3" s="313"/>
      <c r="H3" s="313"/>
      <c r="I3" s="313"/>
      <c r="J3" s="313"/>
      <c r="K3" s="313"/>
      <c r="L3" s="313"/>
      <c r="M3" s="313"/>
      <c r="N3" s="313"/>
      <c r="O3" s="313"/>
      <c r="P3" s="313"/>
      <c r="Q3" s="313"/>
      <c r="R3" s="313"/>
      <c r="S3" s="313"/>
      <c r="T3" s="22"/>
      <c r="V3" s="40"/>
      <c r="W3" s="40"/>
      <c r="X3" s="40"/>
      <c r="Y3" s="40"/>
      <c r="Z3" s="40"/>
      <c r="AA3" s="40"/>
    </row>
    <row r="4" spans="1:27" ht="15.75" customHeight="1" x14ac:dyDescent="0.35">
      <c r="B4" s="79"/>
      <c r="C4" s="67" t="s">
        <v>434</v>
      </c>
      <c r="D4" s="29"/>
      <c r="E4" s="29"/>
      <c r="F4" s="29"/>
      <c r="G4" s="29"/>
      <c r="H4" s="29"/>
      <c r="I4" s="29"/>
      <c r="J4" s="29"/>
      <c r="K4" s="29"/>
      <c r="L4" s="29"/>
      <c r="M4" s="29"/>
      <c r="N4" s="29"/>
      <c r="O4" s="29"/>
      <c r="P4" s="29"/>
      <c r="Q4" s="29"/>
      <c r="R4" s="29"/>
      <c r="S4" s="29"/>
      <c r="T4" s="22"/>
      <c r="V4" s="40"/>
      <c r="W4" s="40"/>
      <c r="X4" s="40"/>
      <c r="Y4" s="40"/>
      <c r="Z4" s="40"/>
      <c r="AA4" s="40"/>
    </row>
    <row r="5" spans="1:27" ht="18" customHeight="1" x14ac:dyDescent="0.35">
      <c r="B5" s="79"/>
      <c r="C5" s="211" t="s">
        <v>435</v>
      </c>
      <c r="D5" s="314" t="s">
        <v>396</v>
      </c>
      <c r="E5" s="314"/>
      <c r="F5" s="29"/>
      <c r="G5" s="29"/>
      <c r="H5" s="29"/>
      <c r="I5" s="29"/>
      <c r="J5" s="29"/>
      <c r="K5" s="29"/>
      <c r="L5" s="29"/>
      <c r="M5" s="29"/>
      <c r="N5" s="29"/>
      <c r="O5" s="29"/>
      <c r="P5" s="29"/>
      <c r="Q5" s="29"/>
      <c r="R5" s="29"/>
      <c r="S5" s="29"/>
      <c r="T5" s="22"/>
      <c r="V5" s="151"/>
      <c r="W5" s="151"/>
      <c r="X5" s="151"/>
      <c r="Y5" s="151"/>
      <c r="Z5" s="40"/>
      <c r="AA5" s="40"/>
    </row>
    <row r="6" spans="1:27" ht="15" customHeight="1" x14ac:dyDescent="0.35">
      <c r="B6" s="79"/>
      <c r="C6" s="29"/>
      <c r="D6" s="29"/>
      <c r="E6" s="29"/>
      <c r="F6" s="29"/>
      <c r="G6" s="29"/>
      <c r="H6" s="29"/>
      <c r="I6" s="29"/>
      <c r="J6" s="29"/>
      <c r="K6" s="29"/>
      <c r="L6" s="29"/>
      <c r="M6" s="29"/>
      <c r="N6" s="29"/>
      <c r="O6" s="29"/>
      <c r="P6" s="29"/>
      <c r="Q6" s="29"/>
      <c r="R6" s="29"/>
      <c r="S6" s="29"/>
      <c r="T6" s="22"/>
      <c r="V6" s="151"/>
      <c r="W6" s="151"/>
      <c r="X6" s="151"/>
      <c r="Y6" s="151"/>
      <c r="Z6" s="40"/>
      <c r="AA6" s="40"/>
    </row>
    <row r="7" spans="1:27" ht="32.25" customHeight="1" x14ac:dyDescent="0.35">
      <c r="B7" s="79"/>
      <c r="C7" s="68" t="s">
        <v>0</v>
      </c>
      <c r="D7" s="69" t="s">
        <v>1</v>
      </c>
      <c r="E7" s="70" t="s">
        <v>2</v>
      </c>
      <c r="F7" s="29"/>
      <c r="G7" s="29"/>
      <c r="H7" s="29"/>
      <c r="I7" s="29"/>
      <c r="J7" s="29"/>
      <c r="K7" s="29"/>
      <c r="L7" s="29"/>
      <c r="M7" s="29"/>
      <c r="N7" s="29"/>
      <c r="O7" s="29"/>
      <c r="P7" s="29"/>
      <c r="Q7" s="29"/>
      <c r="R7" s="29"/>
      <c r="S7" s="29"/>
      <c r="T7" s="22"/>
      <c r="V7" s="151"/>
      <c r="W7" s="151" t="s">
        <v>22</v>
      </c>
      <c r="X7" s="152" t="s">
        <v>2</v>
      </c>
      <c r="Y7" s="151"/>
      <c r="Z7" s="40"/>
      <c r="AA7" s="40"/>
    </row>
    <row r="8" spans="1:27" ht="15" customHeight="1" x14ac:dyDescent="0.35">
      <c r="B8" s="79"/>
      <c r="C8" s="195" t="s">
        <v>183</v>
      </c>
      <c r="D8" s="196" t="s">
        <v>105</v>
      </c>
      <c r="E8" s="193">
        <v>3.0675999999999998E-2</v>
      </c>
      <c r="F8" s="29"/>
      <c r="G8" s="29"/>
      <c r="H8" s="29"/>
      <c r="I8" s="29"/>
      <c r="J8" s="29"/>
      <c r="K8" s="29"/>
      <c r="L8" s="29"/>
      <c r="M8" s="29"/>
      <c r="N8" s="29"/>
      <c r="O8" s="29"/>
      <c r="P8" s="29"/>
      <c r="Q8" s="29"/>
      <c r="R8" s="29"/>
      <c r="S8" s="29"/>
      <c r="T8" s="22"/>
      <c r="V8" s="151"/>
      <c r="W8" s="173" t="s">
        <v>109</v>
      </c>
      <c r="X8" s="224">
        <v>8.0902999999999989E-2</v>
      </c>
      <c r="Y8" s="151"/>
      <c r="Z8" s="40"/>
      <c r="AA8" s="40"/>
    </row>
    <row r="9" spans="1:27" ht="15.75" customHeight="1" x14ac:dyDescent="0.35">
      <c r="B9" s="79"/>
      <c r="C9" s="197" t="s">
        <v>136</v>
      </c>
      <c r="D9" s="198" t="s">
        <v>26</v>
      </c>
      <c r="E9" s="194">
        <v>3.0321000000000001E-2</v>
      </c>
      <c r="F9" s="29"/>
      <c r="G9" s="29"/>
      <c r="H9" s="29"/>
      <c r="I9" s="29"/>
      <c r="J9" s="29"/>
      <c r="K9" s="29"/>
      <c r="L9" s="29"/>
      <c r="M9" s="29"/>
      <c r="N9" s="29"/>
      <c r="O9" s="29"/>
      <c r="P9" s="29"/>
      <c r="Q9" s="29"/>
      <c r="R9" s="29"/>
      <c r="S9" s="29"/>
      <c r="T9" s="22"/>
      <c r="V9" s="151"/>
      <c r="W9" s="173" t="s">
        <v>24</v>
      </c>
      <c r="X9" s="224">
        <v>7.9533000000000006E-2</v>
      </c>
      <c r="Y9" s="151"/>
      <c r="Z9" s="40"/>
      <c r="AA9" s="40"/>
    </row>
    <row r="10" spans="1:27" ht="15" customHeight="1" x14ac:dyDescent="0.35">
      <c r="B10" s="79"/>
      <c r="C10" s="197" t="s">
        <v>229</v>
      </c>
      <c r="D10" s="198" t="s">
        <v>16</v>
      </c>
      <c r="E10" s="194">
        <v>2.9760000000000002E-2</v>
      </c>
      <c r="F10" s="29"/>
      <c r="G10" s="29"/>
      <c r="H10" s="29"/>
      <c r="I10" s="29"/>
      <c r="J10" s="29"/>
      <c r="K10" s="29"/>
      <c r="L10" s="29"/>
      <c r="M10" s="29"/>
      <c r="N10" s="29"/>
      <c r="O10" s="29"/>
      <c r="P10" s="29"/>
      <c r="Q10" s="29"/>
      <c r="R10" s="29"/>
      <c r="S10" s="29"/>
      <c r="T10" s="22"/>
      <c r="V10" s="151"/>
      <c r="W10" s="173" t="s">
        <v>16</v>
      </c>
      <c r="X10" s="224">
        <v>7.3277999999999996E-2</v>
      </c>
      <c r="Y10" s="151"/>
      <c r="Z10" s="40"/>
      <c r="AA10" s="40"/>
    </row>
    <row r="11" spans="1:27" ht="15" customHeight="1" x14ac:dyDescent="0.35">
      <c r="B11" s="79"/>
      <c r="C11" s="197" t="s">
        <v>209</v>
      </c>
      <c r="D11" s="198" t="s">
        <v>111</v>
      </c>
      <c r="E11" s="194">
        <v>2.9520999999999999E-2</v>
      </c>
      <c r="F11" s="29"/>
      <c r="G11" s="29"/>
      <c r="H11" s="29"/>
      <c r="I11" s="29"/>
      <c r="J11" s="29"/>
      <c r="K11" s="29"/>
      <c r="L11" s="29"/>
      <c r="M11" s="29"/>
      <c r="N11" s="29"/>
      <c r="O11" s="29"/>
      <c r="P11" s="29"/>
      <c r="Q11" s="29"/>
      <c r="R11" s="29"/>
      <c r="S11" s="29"/>
      <c r="T11" s="22"/>
      <c r="V11" s="151"/>
      <c r="W11" s="173" t="s">
        <v>117</v>
      </c>
      <c r="X11" s="224">
        <v>7.2729000000000002E-2</v>
      </c>
      <c r="Y11" s="151"/>
      <c r="Z11" s="40"/>
      <c r="AA11" s="40"/>
    </row>
    <row r="12" spans="1:27" ht="15" customHeight="1" x14ac:dyDescent="0.35">
      <c r="B12" s="79"/>
      <c r="C12" s="197" t="s">
        <v>92</v>
      </c>
      <c r="D12" s="198" t="s">
        <v>82</v>
      </c>
      <c r="E12" s="194">
        <v>2.8570999999999999E-2</v>
      </c>
      <c r="F12" s="29"/>
      <c r="G12" s="29"/>
      <c r="H12" s="29"/>
      <c r="I12" s="29"/>
      <c r="J12" s="29"/>
      <c r="K12" s="29"/>
      <c r="L12" s="29"/>
      <c r="M12" s="29"/>
      <c r="N12" s="29"/>
      <c r="O12" s="29"/>
      <c r="P12" s="29"/>
      <c r="Q12" s="29"/>
      <c r="R12" s="29"/>
      <c r="S12" s="29"/>
      <c r="T12" s="22"/>
      <c r="V12" s="151"/>
      <c r="W12" s="173" t="s">
        <v>105</v>
      </c>
      <c r="X12" s="224">
        <v>6.089E-2</v>
      </c>
      <c r="Y12" s="151"/>
      <c r="Z12" s="40"/>
      <c r="AA12" s="40"/>
    </row>
    <row r="13" spans="1:27" ht="15" customHeight="1" x14ac:dyDescent="0.35">
      <c r="B13" s="79"/>
      <c r="C13" s="197" t="s">
        <v>217</v>
      </c>
      <c r="D13" s="198" t="s">
        <v>181</v>
      </c>
      <c r="E13" s="194">
        <v>2.3473000000000001E-2</v>
      </c>
      <c r="F13" s="29"/>
      <c r="G13" s="29"/>
      <c r="H13" s="29"/>
      <c r="I13" s="29"/>
      <c r="J13" s="29"/>
      <c r="K13" s="29"/>
      <c r="L13" s="29"/>
      <c r="M13" s="29"/>
      <c r="N13" s="29"/>
      <c r="O13" s="29"/>
      <c r="P13" s="29"/>
      <c r="Q13" s="29"/>
      <c r="R13" s="29"/>
      <c r="S13" s="29"/>
      <c r="T13" s="22"/>
      <c r="V13" s="151"/>
      <c r="W13" s="173" t="s">
        <v>108</v>
      </c>
      <c r="X13" s="224">
        <v>5.8036000000000004E-2</v>
      </c>
      <c r="Y13" s="151"/>
      <c r="Z13" s="40"/>
      <c r="AA13" s="40"/>
    </row>
    <row r="14" spans="1:27" ht="15" customHeight="1" x14ac:dyDescent="0.35">
      <c r="B14" s="79"/>
      <c r="C14" s="197" t="s">
        <v>293</v>
      </c>
      <c r="D14" s="198" t="s">
        <v>116</v>
      </c>
      <c r="E14" s="194">
        <v>2.2919999999999999E-2</v>
      </c>
      <c r="F14" s="29"/>
      <c r="G14" s="29"/>
      <c r="H14" s="29"/>
      <c r="I14" s="29"/>
      <c r="J14" s="29"/>
      <c r="K14" s="29"/>
      <c r="L14" s="29"/>
      <c r="M14" s="29"/>
      <c r="N14" s="29"/>
      <c r="O14" s="29"/>
      <c r="P14" s="29"/>
      <c r="Q14" s="29"/>
      <c r="R14" s="29"/>
      <c r="S14" s="29"/>
      <c r="T14" s="22"/>
      <c r="V14" s="151"/>
      <c r="W14" s="173" t="s">
        <v>26</v>
      </c>
      <c r="X14" s="224">
        <v>5.1282999999999995E-2</v>
      </c>
      <c r="Y14" s="151"/>
      <c r="Z14" s="40"/>
      <c r="AA14" s="40"/>
    </row>
    <row r="15" spans="1:27" ht="15.75" customHeight="1" x14ac:dyDescent="0.35">
      <c r="B15" s="79"/>
      <c r="C15" s="197" t="s">
        <v>286</v>
      </c>
      <c r="D15" s="198" t="s">
        <v>75</v>
      </c>
      <c r="E15" s="194">
        <v>2.1971000000000001E-2</v>
      </c>
      <c r="F15" s="29"/>
      <c r="G15" s="29"/>
      <c r="H15" s="29"/>
      <c r="I15" s="29"/>
      <c r="J15" s="29"/>
      <c r="K15" s="29"/>
      <c r="L15" s="29"/>
      <c r="M15" s="29"/>
      <c r="N15" s="29"/>
      <c r="O15" s="29"/>
      <c r="P15" s="29"/>
      <c r="Q15" s="29"/>
      <c r="R15" s="29"/>
      <c r="S15" s="29"/>
      <c r="T15" s="22"/>
      <c r="V15" s="151"/>
      <c r="W15" s="173" t="s">
        <v>111</v>
      </c>
      <c r="X15" s="224">
        <v>4.6171999999999998E-2</v>
      </c>
      <c r="Y15" s="151"/>
      <c r="Z15" s="40"/>
      <c r="AA15" s="40"/>
    </row>
    <row r="16" spans="1:27" ht="15" customHeight="1" x14ac:dyDescent="0.35">
      <c r="B16" s="79"/>
      <c r="C16" s="197" t="s">
        <v>96</v>
      </c>
      <c r="D16" s="198" t="s">
        <v>117</v>
      </c>
      <c r="E16" s="194">
        <v>2.1096E-2</v>
      </c>
      <c r="F16" s="29"/>
      <c r="G16" s="29"/>
      <c r="H16" s="29"/>
      <c r="I16" s="29"/>
      <c r="J16" s="29"/>
      <c r="K16" s="29"/>
      <c r="L16" s="29"/>
      <c r="M16" s="29"/>
      <c r="N16" s="29"/>
      <c r="O16" s="29"/>
      <c r="P16" s="29"/>
      <c r="Q16" s="29"/>
      <c r="R16" s="29"/>
      <c r="S16" s="29"/>
      <c r="T16" s="22"/>
      <c r="V16" s="151"/>
      <c r="W16" s="173" t="s">
        <v>75</v>
      </c>
      <c r="X16" s="224">
        <v>4.4447E-2</v>
      </c>
      <c r="Y16" s="151"/>
      <c r="Z16" s="40"/>
      <c r="AA16" s="40"/>
    </row>
    <row r="17" spans="2:27" ht="15.75" customHeight="1" x14ac:dyDescent="0.35">
      <c r="B17" s="79"/>
      <c r="C17" s="197" t="s">
        <v>364</v>
      </c>
      <c r="D17" s="198" t="s">
        <v>114</v>
      </c>
      <c r="E17" s="194">
        <v>2.0433E-2</v>
      </c>
      <c r="F17" s="29"/>
      <c r="G17" s="29"/>
      <c r="H17" s="29"/>
      <c r="I17" s="29"/>
      <c r="J17" s="29"/>
      <c r="K17" s="29"/>
      <c r="L17" s="29"/>
      <c r="M17" s="29"/>
      <c r="N17" s="29"/>
      <c r="O17" s="29"/>
      <c r="P17" s="29"/>
      <c r="Q17" s="29"/>
      <c r="R17" s="29"/>
      <c r="S17" s="29"/>
      <c r="T17" s="22"/>
      <c r="V17" s="151"/>
      <c r="W17" s="173" t="s">
        <v>82</v>
      </c>
      <c r="X17" s="224">
        <v>4.3676E-2</v>
      </c>
      <c r="Y17" s="151"/>
      <c r="Z17" s="40"/>
      <c r="AA17" s="40"/>
    </row>
    <row r="18" spans="2:27" ht="15.5" x14ac:dyDescent="0.35">
      <c r="B18" s="79"/>
      <c r="C18" s="197" t="s">
        <v>256</v>
      </c>
      <c r="D18" s="198" t="s">
        <v>3</v>
      </c>
      <c r="E18" s="194">
        <v>2.0216999999999999E-2</v>
      </c>
      <c r="F18" s="29"/>
      <c r="G18" s="29"/>
      <c r="H18" s="29"/>
      <c r="I18" s="29"/>
      <c r="J18" s="29"/>
      <c r="K18" s="29"/>
      <c r="L18" s="29"/>
      <c r="M18" s="29"/>
      <c r="N18" s="29"/>
      <c r="O18" s="29"/>
      <c r="P18" s="29"/>
      <c r="Q18" s="29"/>
      <c r="R18" s="29"/>
      <c r="S18" s="29"/>
      <c r="T18" s="22"/>
      <c r="V18" s="151"/>
      <c r="W18" s="173" t="s">
        <v>3</v>
      </c>
      <c r="X18" s="224">
        <v>4.2583999999999997E-2</v>
      </c>
      <c r="Y18" s="151"/>
      <c r="Z18" s="40"/>
      <c r="AA18" s="40"/>
    </row>
    <row r="19" spans="2:27" ht="15.75" customHeight="1" x14ac:dyDescent="0.35">
      <c r="B19" s="79"/>
      <c r="C19" s="197" t="s">
        <v>134</v>
      </c>
      <c r="D19" s="198" t="s">
        <v>108</v>
      </c>
      <c r="E19" s="194">
        <v>1.9854E-2</v>
      </c>
      <c r="F19" s="29"/>
      <c r="G19" s="29"/>
      <c r="H19" s="29"/>
      <c r="I19" s="29"/>
      <c r="J19" s="29"/>
      <c r="K19" s="29"/>
      <c r="L19" s="29"/>
      <c r="M19" s="29"/>
      <c r="N19" s="29"/>
      <c r="O19" s="29"/>
      <c r="P19" s="29"/>
      <c r="Q19" s="29"/>
      <c r="R19" s="29"/>
      <c r="S19" s="29"/>
      <c r="T19" s="22"/>
      <c r="V19" s="151"/>
      <c r="W19" s="173" t="s">
        <v>114</v>
      </c>
      <c r="X19" s="224">
        <v>3.5782000000000001E-2</v>
      </c>
      <c r="Y19" s="151"/>
      <c r="Z19" s="40"/>
      <c r="AA19" s="40"/>
    </row>
    <row r="20" spans="2:27" ht="15" customHeight="1" x14ac:dyDescent="0.35">
      <c r="B20" s="79"/>
      <c r="C20" s="197" t="s">
        <v>381</v>
      </c>
      <c r="D20" s="198" t="s">
        <v>12</v>
      </c>
      <c r="E20" s="194">
        <v>1.8304999999999998E-2</v>
      </c>
      <c r="F20" s="29"/>
      <c r="G20" s="29"/>
      <c r="H20" s="29"/>
      <c r="I20" s="29"/>
      <c r="J20" s="29"/>
      <c r="K20" s="29"/>
      <c r="L20" s="29"/>
      <c r="M20" s="29"/>
      <c r="N20" s="29"/>
      <c r="O20" s="29"/>
      <c r="P20" s="29"/>
      <c r="Q20" s="29"/>
      <c r="R20" s="29"/>
      <c r="S20" s="29"/>
      <c r="T20" s="22"/>
      <c r="V20" s="151"/>
      <c r="W20" s="173" t="s">
        <v>4</v>
      </c>
      <c r="X20" s="224">
        <v>3.0643999999999998E-2</v>
      </c>
      <c r="Y20" s="151"/>
      <c r="Z20" s="40"/>
      <c r="AA20" s="40"/>
    </row>
    <row r="21" spans="2:27" ht="15" customHeight="1" x14ac:dyDescent="0.35">
      <c r="B21" s="79"/>
      <c r="C21" s="197" t="s">
        <v>71</v>
      </c>
      <c r="D21" s="198" t="s">
        <v>10</v>
      </c>
      <c r="E21" s="194">
        <v>1.8068000000000001E-2</v>
      </c>
      <c r="F21" s="29"/>
      <c r="G21" s="29"/>
      <c r="H21" s="29"/>
      <c r="I21" s="29"/>
      <c r="J21" s="29"/>
      <c r="K21" s="29"/>
      <c r="L21" s="29"/>
      <c r="M21" s="29"/>
      <c r="N21" s="29"/>
      <c r="O21" s="29"/>
      <c r="P21" s="29"/>
      <c r="Q21" s="29"/>
      <c r="R21" s="29"/>
      <c r="S21" s="29"/>
      <c r="T21" s="22"/>
      <c r="V21" s="151"/>
      <c r="W21" s="173" t="s">
        <v>12</v>
      </c>
      <c r="X21" s="224">
        <v>2.5325999999999998E-2</v>
      </c>
      <c r="Y21" s="151"/>
      <c r="Z21" s="40"/>
      <c r="AA21" s="40"/>
    </row>
    <row r="22" spans="2:27" ht="15" customHeight="1" x14ac:dyDescent="0.35">
      <c r="B22" s="79"/>
      <c r="C22" s="197" t="s">
        <v>365</v>
      </c>
      <c r="D22" s="198" t="s">
        <v>81</v>
      </c>
      <c r="E22" s="194">
        <v>1.8013000000000001E-2</v>
      </c>
      <c r="F22" s="29"/>
      <c r="G22" s="29"/>
      <c r="H22" s="29"/>
      <c r="I22" s="29"/>
      <c r="J22" s="29"/>
      <c r="K22" s="29"/>
      <c r="L22" s="29"/>
      <c r="M22" s="29"/>
      <c r="N22" s="29"/>
      <c r="O22" s="29"/>
      <c r="P22" s="29"/>
      <c r="Q22" s="29"/>
      <c r="R22" s="29"/>
      <c r="S22" s="29"/>
      <c r="T22" s="22"/>
      <c r="V22" s="151"/>
      <c r="W22" s="173" t="s">
        <v>181</v>
      </c>
      <c r="X22" s="224">
        <v>2.3473000000000001E-2</v>
      </c>
      <c r="Y22" s="151"/>
      <c r="Z22" s="40"/>
      <c r="AA22" s="40"/>
    </row>
    <row r="23" spans="2:27" ht="15" customHeight="1" x14ac:dyDescent="0.35">
      <c r="B23" s="79"/>
      <c r="C23" s="15"/>
      <c r="D23" s="16"/>
      <c r="E23" s="18"/>
      <c r="F23" s="29"/>
      <c r="G23" s="29"/>
      <c r="H23" s="29"/>
      <c r="I23" s="29"/>
      <c r="J23" s="29"/>
      <c r="K23" s="29"/>
      <c r="L23" s="29"/>
      <c r="M23" s="29"/>
      <c r="N23" s="29"/>
      <c r="O23" s="29"/>
      <c r="P23" s="29"/>
      <c r="Q23" s="29"/>
      <c r="R23" s="29"/>
      <c r="S23" s="29"/>
      <c r="T23" s="22"/>
      <c r="V23" s="151"/>
      <c r="W23" s="173" t="s">
        <v>116</v>
      </c>
      <c r="X23" s="224">
        <v>2.2919999999999999E-2</v>
      </c>
      <c r="Y23" s="151"/>
      <c r="Z23" s="40"/>
      <c r="AA23" s="40"/>
    </row>
    <row r="24" spans="2:27" ht="15" customHeight="1" x14ac:dyDescent="0.35">
      <c r="B24" s="79"/>
      <c r="C24" s="73" t="s">
        <v>55</v>
      </c>
      <c r="D24" s="74"/>
      <c r="E24" s="75">
        <f>SUM(E8:E23)</f>
        <v>0.35319899999999999</v>
      </c>
      <c r="F24" s="29"/>
      <c r="G24" s="29"/>
      <c r="H24" s="29"/>
      <c r="I24" s="29"/>
      <c r="J24" s="29"/>
      <c r="K24" s="29"/>
      <c r="L24" s="29"/>
      <c r="M24" s="29"/>
      <c r="N24" s="29"/>
      <c r="O24" s="29"/>
      <c r="P24" s="29"/>
      <c r="Q24" s="29"/>
      <c r="R24" s="29"/>
      <c r="S24" s="29"/>
      <c r="T24" s="22"/>
      <c r="V24" s="151"/>
      <c r="W24" s="173" t="s">
        <v>10</v>
      </c>
      <c r="X24" s="224">
        <v>1.8068000000000001E-2</v>
      </c>
      <c r="Y24" s="151"/>
      <c r="Z24" s="40"/>
      <c r="AA24" s="40"/>
    </row>
    <row r="25" spans="2:27" ht="15" customHeight="1" x14ac:dyDescent="0.35">
      <c r="B25" s="79"/>
      <c r="F25" s="29"/>
      <c r="G25" s="29"/>
      <c r="H25" s="29"/>
      <c r="I25" s="29"/>
      <c r="J25" s="29"/>
      <c r="K25" s="29"/>
      <c r="L25" s="29"/>
      <c r="M25" s="29"/>
      <c r="N25" s="29"/>
      <c r="O25" s="29"/>
      <c r="P25" s="29"/>
      <c r="Q25" s="29"/>
      <c r="R25" s="29"/>
      <c r="S25" s="29"/>
      <c r="T25" s="22"/>
      <c r="V25" s="151"/>
      <c r="W25" s="173" t="s">
        <v>81</v>
      </c>
      <c r="X25" s="224">
        <v>1.8013000000000001E-2</v>
      </c>
      <c r="Y25" s="151"/>
      <c r="Z25" s="40"/>
      <c r="AA25" s="40"/>
    </row>
    <row r="26" spans="2:27" ht="15" customHeight="1" x14ac:dyDescent="0.35">
      <c r="B26" s="79"/>
      <c r="F26" s="29"/>
      <c r="G26" s="29"/>
      <c r="H26" s="29"/>
      <c r="I26" s="29"/>
      <c r="J26" s="29"/>
      <c r="K26" s="29"/>
      <c r="L26" s="29"/>
      <c r="M26" s="29"/>
      <c r="N26" s="29"/>
      <c r="O26" s="29"/>
      <c r="P26" s="29"/>
      <c r="Q26" s="29"/>
      <c r="R26" s="29"/>
      <c r="S26" s="29"/>
      <c r="T26" s="22"/>
      <c r="V26" s="151"/>
      <c r="W26" s="173" t="s">
        <v>83</v>
      </c>
      <c r="X26" s="224">
        <v>1.7668E-2</v>
      </c>
      <c r="Y26" s="151"/>
      <c r="Z26" s="40"/>
      <c r="AA26" s="40"/>
    </row>
    <row r="27" spans="2:27" ht="15" customHeight="1" x14ac:dyDescent="0.35">
      <c r="B27" s="79"/>
      <c r="F27" s="29"/>
      <c r="G27" s="29"/>
      <c r="H27" s="29"/>
      <c r="I27" s="29"/>
      <c r="J27" s="29"/>
      <c r="K27" s="29"/>
      <c r="L27" s="29"/>
      <c r="M27" s="29"/>
      <c r="N27" s="29"/>
      <c r="O27" s="29"/>
      <c r="P27" s="29"/>
      <c r="Q27" s="29"/>
      <c r="R27" s="29"/>
      <c r="S27" s="29"/>
      <c r="T27" s="22"/>
      <c r="V27" s="151"/>
      <c r="W27" s="173" t="s">
        <v>110</v>
      </c>
      <c r="X27" s="224">
        <v>1.6480999999999999E-2</v>
      </c>
      <c r="Y27" s="151"/>
      <c r="Z27" s="40"/>
      <c r="AA27" s="40"/>
    </row>
    <row r="28" spans="2:27" ht="15" customHeight="1" x14ac:dyDescent="0.35">
      <c r="B28" s="79"/>
      <c r="F28" s="29"/>
      <c r="G28" s="29"/>
      <c r="H28" s="29"/>
      <c r="I28" s="29"/>
      <c r="J28" s="29"/>
      <c r="K28" s="29"/>
      <c r="L28" s="29"/>
      <c r="M28" s="29"/>
      <c r="N28" s="29"/>
      <c r="O28" s="29"/>
      <c r="P28" s="29"/>
      <c r="Q28" s="29"/>
      <c r="R28" s="29"/>
      <c r="S28" s="29"/>
      <c r="T28" s="22"/>
      <c r="V28" s="151"/>
      <c r="W28" s="173" t="s">
        <v>135</v>
      </c>
      <c r="X28" s="224">
        <v>1.3563E-2</v>
      </c>
      <c r="Y28" s="151"/>
      <c r="Z28" s="40"/>
      <c r="AA28" s="40"/>
    </row>
    <row r="29" spans="2:27" ht="15" customHeight="1" x14ac:dyDescent="0.35">
      <c r="B29" s="79"/>
      <c r="F29" s="29"/>
      <c r="G29" s="29"/>
      <c r="H29" s="29"/>
      <c r="I29" s="29"/>
      <c r="J29" s="29"/>
      <c r="K29" s="29"/>
      <c r="L29" s="29"/>
      <c r="M29" s="29"/>
      <c r="N29" s="29"/>
      <c r="O29" s="29"/>
      <c r="P29" s="29"/>
      <c r="Q29" s="29"/>
      <c r="R29" s="29"/>
      <c r="S29" s="29"/>
      <c r="T29" s="22"/>
      <c r="V29" s="151"/>
      <c r="W29" s="173" t="s">
        <v>112</v>
      </c>
      <c r="X29" s="224">
        <v>1.2507000000000001E-2</v>
      </c>
      <c r="Y29" s="151"/>
      <c r="Z29" s="40"/>
      <c r="AA29" s="40"/>
    </row>
    <row r="30" spans="2:27" ht="15" customHeight="1" x14ac:dyDescent="0.35">
      <c r="B30" s="79"/>
      <c r="F30" s="29"/>
      <c r="G30" s="29"/>
      <c r="H30" s="29"/>
      <c r="I30" s="29"/>
      <c r="J30" s="29"/>
      <c r="K30" s="29"/>
      <c r="L30" s="29"/>
      <c r="M30" s="29"/>
      <c r="N30" s="29"/>
      <c r="O30" s="29"/>
      <c r="P30" s="29"/>
      <c r="Q30" s="29"/>
      <c r="R30" s="29"/>
      <c r="S30" s="29"/>
      <c r="T30" s="22"/>
      <c r="V30" s="151"/>
      <c r="W30" s="173" t="s">
        <v>84</v>
      </c>
      <c r="X30" s="224">
        <v>1.0684000000000001E-2</v>
      </c>
      <c r="Y30" s="151"/>
      <c r="Z30" s="40"/>
      <c r="AA30" s="40"/>
    </row>
    <row r="31" spans="2:27" ht="15" customHeight="1" x14ac:dyDescent="0.35">
      <c r="B31" s="79"/>
      <c r="F31" s="29"/>
      <c r="G31" s="29"/>
      <c r="H31" s="29"/>
      <c r="I31" s="29"/>
      <c r="J31" s="29"/>
      <c r="K31" s="29"/>
      <c r="L31" s="29"/>
      <c r="M31" s="29"/>
      <c r="N31" s="29"/>
      <c r="O31" s="29"/>
      <c r="P31" s="29"/>
      <c r="Q31" s="29"/>
      <c r="R31" s="29"/>
      <c r="S31" s="29"/>
      <c r="T31" s="22"/>
      <c r="V31" s="151"/>
      <c r="W31" s="173" t="s">
        <v>104</v>
      </c>
      <c r="X31" s="224">
        <v>1.0429000000000001E-2</v>
      </c>
      <c r="Y31" s="151"/>
      <c r="Z31" s="40"/>
      <c r="AA31" s="40"/>
    </row>
    <row r="32" spans="2:27" ht="15" customHeight="1" thickBot="1" x14ac:dyDescent="0.4">
      <c r="B32" s="80"/>
      <c r="C32" s="81"/>
      <c r="D32" s="81"/>
      <c r="E32" s="81"/>
      <c r="F32" s="81"/>
      <c r="G32" s="81"/>
      <c r="H32" s="81"/>
      <c r="I32" s="81"/>
      <c r="J32" s="81"/>
      <c r="K32" s="81"/>
      <c r="L32" s="81"/>
      <c r="M32" s="81"/>
      <c r="N32" s="81"/>
      <c r="O32" s="81"/>
      <c r="P32" s="81"/>
      <c r="Q32" s="81"/>
      <c r="R32" s="81"/>
      <c r="S32" s="81"/>
      <c r="T32" s="23"/>
      <c r="W32" s="173" t="s">
        <v>85</v>
      </c>
      <c r="X32" s="224">
        <v>9.6480000000000003E-3</v>
      </c>
    </row>
    <row r="33" spans="2:24" ht="15" customHeight="1" thickBot="1" x14ac:dyDescent="0.4">
      <c r="W33" s="173" t="s">
        <v>121</v>
      </c>
      <c r="X33" s="224">
        <v>8.1919999999999996E-3</v>
      </c>
    </row>
    <row r="34" spans="2:24" ht="15" customHeight="1" x14ac:dyDescent="0.35">
      <c r="B34" s="303" t="s">
        <v>179</v>
      </c>
      <c r="C34" s="304"/>
      <c r="D34" s="304"/>
      <c r="E34" s="304"/>
      <c r="F34" s="304"/>
      <c r="G34" s="304"/>
      <c r="H34" s="304"/>
      <c r="I34" s="304"/>
      <c r="J34" s="304"/>
      <c r="K34" s="304"/>
      <c r="L34" s="304"/>
      <c r="M34" s="304"/>
      <c r="N34" s="304"/>
      <c r="O34" s="304"/>
      <c r="P34" s="304"/>
      <c r="Q34" s="304"/>
      <c r="R34" s="305"/>
      <c r="W34" s="173" t="s">
        <v>11</v>
      </c>
      <c r="X34" s="224">
        <v>6.4869999999999997E-3</v>
      </c>
    </row>
    <row r="35" spans="2:24" ht="15" customHeight="1" x14ac:dyDescent="0.35">
      <c r="B35" s="306"/>
      <c r="C35" s="307"/>
      <c r="D35" s="307"/>
      <c r="E35" s="307"/>
      <c r="F35" s="307"/>
      <c r="G35" s="307"/>
      <c r="H35" s="307"/>
      <c r="I35" s="307"/>
      <c r="J35" s="307"/>
      <c r="K35" s="307"/>
      <c r="L35" s="307"/>
      <c r="M35" s="307"/>
      <c r="N35" s="307"/>
      <c r="O35" s="307"/>
      <c r="P35" s="307"/>
      <c r="Q35" s="307"/>
      <c r="R35" s="308"/>
      <c r="W35" s="173" t="s">
        <v>182</v>
      </c>
      <c r="X35" s="224">
        <v>5.4819999999999999E-3</v>
      </c>
    </row>
    <row r="36" spans="2:24" ht="15" customHeight="1" x14ac:dyDescent="0.35">
      <c r="B36" s="306"/>
      <c r="C36" s="307"/>
      <c r="D36" s="307"/>
      <c r="E36" s="307"/>
      <c r="F36" s="307"/>
      <c r="G36" s="307"/>
      <c r="H36" s="307"/>
      <c r="I36" s="307"/>
      <c r="J36" s="307"/>
      <c r="K36" s="307"/>
      <c r="L36" s="307"/>
      <c r="M36" s="307"/>
      <c r="N36" s="307"/>
      <c r="O36" s="307"/>
      <c r="P36" s="307"/>
      <c r="Q36" s="307"/>
      <c r="R36" s="308"/>
      <c r="W36" s="173" t="s">
        <v>119</v>
      </c>
      <c r="X36" s="224">
        <v>1.575E-3</v>
      </c>
    </row>
    <row r="37" spans="2:24" ht="15" customHeight="1" x14ac:dyDescent="0.35">
      <c r="B37" s="306"/>
      <c r="C37" s="307"/>
      <c r="D37" s="307"/>
      <c r="E37" s="307"/>
      <c r="F37" s="307"/>
      <c r="G37" s="307"/>
      <c r="H37" s="307"/>
      <c r="I37" s="307"/>
      <c r="J37" s="307"/>
      <c r="K37" s="307"/>
      <c r="L37" s="307"/>
      <c r="M37" s="307"/>
      <c r="N37" s="307"/>
      <c r="O37" s="307"/>
      <c r="P37" s="307"/>
      <c r="Q37" s="307"/>
      <c r="R37" s="308"/>
      <c r="W37" s="173" t="s">
        <v>126</v>
      </c>
      <c r="X37" s="224">
        <v>1.036E-3</v>
      </c>
    </row>
    <row r="38" spans="2:24" ht="15" customHeight="1" x14ac:dyDescent="0.35">
      <c r="B38" s="306"/>
      <c r="C38" s="307"/>
      <c r="D38" s="307"/>
      <c r="E38" s="307"/>
      <c r="F38" s="307"/>
      <c r="G38" s="307"/>
      <c r="H38" s="307"/>
      <c r="I38" s="307"/>
      <c r="J38" s="307"/>
      <c r="K38" s="307"/>
      <c r="L38" s="307"/>
      <c r="M38" s="307"/>
      <c r="N38" s="307"/>
      <c r="O38" s="307"/>
      <c r="P38" s="307"/>
      <c r="Q38" s="307"/>
      <c r="R38" s="308"/>
      <c r="W38" s="173" t="s">
        <v>124</v>
      </c>
      <c r="X38" s="224">
        <v>9.1799999999999998E-4</v>
      </c>
    </row>
    <row r="39" spans="2:24" ht="15" customHeight="1" x14ac:dyDescent="0.35">
      <c r="B39" s="306"/>
      <c r="C39" s="307"/>
      <c r="D39" s="307"/>
      <c r="E39" s="307"/>
      <c r="F39" s="307"/>
      <c r="G39" s="307"/>
      <c r="H39" s="307"/>
      <c r="I39" s="307"/>
      <c r="J39" s="307"/>
      <c r="K39" s="307"/>
      <c r="L39" s="307"/>
      <c r="M39" s="307"/>
      <c r="N39" s="307"/>
      <c r="O39" s="307"/>
      <c r="P39" s="307"/>
      <c r="Q39" s="307"/>
      <c r="R39" s="308"/>
      <c r="W39" s="173" t="s">
        <v>106</v>
      </c>
      <c r="X39" s="224">
        <v>5.3799999999999996E-4</v>
      </c>
    </row>
    <row r="40" spans="2:24" ht="21.75" customHeight="1" thickBot="1" x14ac:dyDescent="0.4">
      <c r="B40" s="309"/>
      <c r="C40" s="310"/>
      <c r="D40" s="310"/>
      <c r="E40" s="310"/>
      <c r="F40" s="310"/>
      <c r="G40" s="310"/>
      <c r="H40" s="310"/>
      <c r="I40" s="310"/>
      <c r="J40" s="310"/>
      <c r="K40" s="310"/>
      <c r="L40" s="310"/>
      <c r="M40" s="310"/>
      <c r="N40" s="310"/>
      <c r="O40" s="310"/>
      <c r="P40" s="310"/>
      <c r="Q40" s="310"/>
      <c r="R40" s="311"/>
      <c r="X40" s="172"/>
    </row>
    <row r="41" spans="2:24" ht="15" customHeight="1" x14ac:dyDescent="0.35">
      <c r="X41" s="172"/>
    </row>
    <row r="42" spans="2:24" ht="15" customHeight="1" x14ac:dyDescent="0.35"/>
    <row r="43" spans="2:24" ht="15" customHeight="1" x14ac:dyDescent="0.35"/>
    <row r="44" spans="2:24" ht="15" customHeight="1" x14ac:dyDescent="0.35"/>
    <row r="45" spans="2:24" ht="15" customHeight="1" x14ac:dyDescent="0.35"/>
    <row r="46" spans="2:24" ht="15" customHeight="1" x14ac:dyDescent="0.35"/>
    <row r="47" spans="2:24" ht="15" customHeight="1" x14ac:dyDescent="0.35"/>
    <row r="48" spans="2:24" ht="15" customHeight="1" x14ac:dyDescent="0.35"/>
    <row r="49" ht="15" customHeight="1" x14ac:dyDescent="0.35"/>
    <row r="50" ht="15" customHeight="1" x14ac:dyDescent="0.35"/>
    <row r="51" ht="15" customHeight="1" x14ac:dyDescent="0.35"/>
    <row r="52" ht="15" customHeight="1" x14ac:dyDescent="0.35"/>
    <row r="53" ht="15" customHeight="1" x14ac:dyDescent="0.35"/>
    <row r="54" ht="15" customHeight="1" x14ac:dyDescent="0.35"/>
    <row r="55" ht="15" customHeight="1" x14ac:dyDescent="0.35"/>
    <row r="56" ht="15" customHeight="1" x14ac:dyDescent="0.35"/>
    <row r="57" ht="15" customHeight="1" x14ac:dyDescent="0.35"/>
    <row r="58" ht="15" customHeight="1" x14ac:dyDescent="0.35"/>
    <row r="59" ht="15" customHeight="1" x14ac:dyDescent="0.35"/>
  </sheetData>
  <sortState ref="W8:X32">
    <sortCondition descending="1" ref="X8"/>
  </sortState>
  <mergeCells count="3">
    <mergeCell ref="C3:S3"/>
    <mergeCell ref="D5:E5"/>
    <mergeCell ref="B34:R40"/>
  </mergeCells>
  <pageMargins left="0.7" right="0.7" top="0.75" bottom="0.75" header="0.3" footer="0.3"/>
  <pageSetup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F6B477-56BE-4CB1-BB56-08C344910A32}">
  <sheetPr codeName="Sheet20"/>
  <dimension ref="A1:AA65"/>
  <sheetViews>
    <sheetView showGridLines="0" zoomScale="75" zoomScaleNormal="75" workbookViewId="0"/>
  </sheetViews>
  <sheetFormatPr defaultColWidth="9.1796875" defaultRowHeight="14.5" x14ac:dyDescent="0.35"/>
  <cols>
    <col min="1" max="1" width="2.81640625" style="19" customWidth="1"/>
    <col min="2" max="2" width="3.81640625" style="19" customWidth="1"/>
    <col min="3" max="3" width="59.1796875" style="19" bestFit="1" customWidth="1"/>
    <col min="4" max="4" width="33.81640625" style="19" bestFit="1" customWidth="1"/>
    <col min="5" max="5" width="15.1796875" style="19" customWidth="1"/>
    <col min="6" max="6" width="12.7265625" style="19" bestFit="1" customWidth="1"/>
    <col min="7" max="8" width="9.1796875" style="19"/>
    <col min="9" max="9" width="11.81640625" style="19" customWidth="1"/>
    <col min="10" max="18" width="9.1796875" style="19"/>
    <col min="19" max="19" width="9.81640625" style="19" customWidth="1"/>
    <col min="20" max="22" width="9.1796875" style="19"/>
    <col min="23" max="23" width="32.81640625" style="19" bestFit="1" customWidth="1"/>
    <col min="24" max="16384" width="9.1796875" style="19"/>
  </cols>
  <sheetData>
    <row r="1" spans="1:27" ht="15.75" customHeight="1" thickBot="1" x14ac:dyDescent="0.4">
      <c r="A1" s="3"/>
    </row>
    <row r="2" spans="1:27" ht="15" customHeight="1" x14ac:dyDescent="0.35">
      <c r="B2" s="77"/>
      <c r="C2" s="78"/>
      <c r="D2" s="78"/>
      <c r="E2" s="78"/>
      <c r="F2" s="78"/>
      <c r="G2" s="78"/>
      <c r="H2" s="78"/>
      <c r="I2" s="78"/>
      <c r="J2" s="78"/>
      <c r="K2" s="78"/>
      <c r="L2" s="78"/>
      <c r="M2" s="78"/>
      <c r="N2" s="78"/>
      <c r="O2" s="78"/>
      <c r="P2" s="78"/>
      <c r="Q2" s="78"/>
      <c r="R2" s="78"/>
      <c r="S2" s="78"/>
      <c r="T2" s="21"/>
    </row>
    <row r="3" spans="1:27" ht="20.25" customHeight="1" x14ac:dyDescent="0.35">
      <c r="B3" s="79"/>
      <c r="C3" s="312" t="s">
        <v>164</v>
      </c>
      <c r="D3" s="313"/>
      <c r="E3" s="313"/>
      <c r="F3" s="313"/>
      <c r="G3" s="313"/>
      <c r="H3" s="313"/>
      <c r="I3" s="313"/>
      <c r="J3" s="313"/>
      <c r="K3" s="313"/>
      <c r="L3" s="313"/>
      <c r="M3" s="313"/>
      <c r="N3" s="313"/>
      <c r="O3" s="313"/>
      <c r="P3" s="313"/>
      <c r="Q3" s="313"/>
      <c r="R3" s="313"/>
      <c r="S3" s="313"/>
      <c r="T3" s="22"/>
      <c r="V3" s="40"/>
      <c r="W3" s="40"/>
      <c r="X3" s="40"/>
      <c r="Y3" s="40"/>
      <c r="Z3" s="40"/>
      <c r="AA3" s="40"/>
    </row>
    <row r="4" spans="1:27" ht="15.75" customHeight="1" x14ac:dyDescent="0.35">
      <c r="B4" s="79"/>
      <c r="C4" s="67" t="s">
        <v>434</v>
      </c>
      <c r="D4" s="29"/>
      <c r="E4" s="29"/>
      <c r="F4" s="29"/>
      <c r="G4" s="29"/>
      <c r="H4" s="29"/>
      <c r="I4" s="29"/>
      <c r="J4" s="29"/>
      <c r="K4" s="29"/>
      <c r="L4" s="29"/>
      <c r="M4" s="29"/>
      <c r="N4" s="29"/>
      <c r="O4" s="29"/>
      <c r="P4" s="29"/>
      <c r="Q4" s="29"/>
      <c r="R4" s="29"/>
      <c r="S4" s="29"/>
      <c r="T4" s="22"/>
      <c r="V4" s="40"/>
      <c r="W4" s="40"/>
      <c r="X4" s="40"/>
      <c r="Y4" s="40"/>
      <c r="Z4" s="40"/>
      <c r="AA4" s="40"/>
    </row>
    <row r="5" spans="1:27" ht="18" customHeight="1" x14ac:dyDescent="0.35">
      <c r="B5" s="79"/>
      <c r="C5" s="211" t="s">
        <v>435</v>
      </c>
      <c r="D5" s="314" t="s">
        <v>397</v>
      </c>
      <c r="E5" s="314"/>
      <c r="F5" s="29"/>
      <c r="G5" s="29"/>
      <c r="H5" s="29"/>
      <c r="I5" s="29"/>
      <c r="J5" s="29"/>
      <c r="K5" s="29"/>
      <c r="L5" s="29"/>
      <c r="M5" s="29"/>
      <c r="N5" s="29"/>
      <c r="O5" s="29"/>
      <c r="P5" s="29"/>
      <c r="Q5" s="29"/>
      <c r="R5" s="29"/>
      <c r="S5" s="29"/>
      <c r="T5" s="22"/>
      <c r="V5" s="151"/>
      <c r="W5" s="151"/>
      <c r="X5" s="151"/>
      <c r="Y5" s="151"/>
      <c r="Z5" s="40"/>
      <c r="AA5" s="40"/>
    </row>
    <row r="6" spans="1:27" ht="15" customHeight="1" x14ac:dyDescent="0.35">
      <c r="B6" s="79"/>
      <c r="C6" s="29"/>
      <c r="D6" s="29"/>
      <c r="E6" s="29"/>
      <c r="F6" s="29"/>
      <c r="G6" s="29"/>
      <c r="H6" s="29"/>
      <c r="I6" s="29"/>
      <c r="J6" s="29"/>
      <c r="K6" s="29"/>
      <c r="L6" s="29"/>
      <c r="M6" s="29"/>
      <c r="N6" s="29"/>
      <c r="O6" s="29"/>
      <c r="P6" s="29"/>
      <c r="Q6" s="29"/>
      <c r="R6" s="29"/>
      <c r="S6" s="29"/>
      <c r="T6" s="22"/>
      <c r="V6" s="151"/>
      <c r="W6" s="151"/>
      <c r="X6" s="151"/>
      <c r="Y6" s="151"/>
      <c r="Z6" s="40"/>
      <c r="AA6" s="40"/>
    </row>
    <row r="7" spans="1:27" ht="32.25" customHeight="1" x14ac:dyDescent="0.35">
      <c r="B7" s="79"/>
      <c r="C7" s="68" t="s">
        <v>0</v>
      </c>
      <c r="D7" s="69" t="s">
        <v>1</v>
      </c>
      <c r="E7" s="70" t="s">
        <v>2</v>
      </c>
      <c r="F7" s="29"/>
      <c r="G7" s="29"/>
      <c r="H7" s="29"/>
      <c r="I7" s="29"/>
      <c r="J7" s="29"/>
      <c r="K7" s="29"/>
      <c r="L7" s="29"/>
      <c r="M7" s="29"/>
      <c r="N7" s="29"/>
      <c r="O7" s="29"/>
      <c r="P7" s="29"/>
      <c r="Q7" s="29"/>
      <c r="R7" s="29"/>
      <c r="S7" s="29"/>
      <c r="T7" s="22"/>
      <c r="V7" s="151"/>
      <c r="W7" s="151" t="s">
        <v>22</v>
      </c>
      <c r="X7" s="152" t="s">
        <v>2</v>
      </c>
      <c r="Y7" s="151"/>
      <c r="Z7" s="40"/>
      <c r="AA7" s="40"/>
    </row>
    <row r="8" spans="1:27" ht="15" customHeight="1" x14ac:dyDescent="0.35">
      <c r="B8" s="79"/>
      <c r="C8" s="195" t="s">
        <v>29</v>
      </c>
      <c r="D8" s="196" t="s">
        <v>3</v>
      </c>
      <c r="E8" s="193">
        <v>6.1207999999999999E-2</v>
      </c>
      <c r="F8" s="29"/>
      <c r="G8" s="29"/>
      <c r="H8" s="29"/>
      <c r="I8" s="29"/>
      <c r="J8" s="29"/>
      <c r="K8" s="29"/>
      <c r="L8" s="29"/>
      <c r="M8" s="29"/>
      <c r="N8" s="29"/>
      <c r="O8" s="29"/>
      <c r="P8" s="29"/>
      <c r="Q8" s="29"/>
      <c r="R8" s="29"/>
      <c r="S8" s="29"/>
      <c r="T8" s="22"/>
      <c r="V8" s="151"/>
      <c r="W8" s="173" t="s">
        <v>3</v>
      </c>
      <c r="X8" s="224">
        <v>0.17577899999999999</v>
      </c>
      <c r="Y8" s="151"/>
      <c r="Z8" s="40"/>
      <c r="AA8" s="40"/>
    </row>
    <row r="9" spans="1:27" ht="15.75" customHeight="1" x14ac:dyDescent="0.35">
      <c r="B9" s="79"/>
      <c r="C9" s="197" t="s">
        <v>31</v>
      </c>
      <c r="D9" s="198" t="s">
        <v>6</v>
      </c>
      <c r="E9" s="194">
        <v>4.4673999999999998E-2</v>
      </c>
      <c r="F9" s="29"/>
      <c r="G9" s="29"/>
      <c r="H9" s="29"/>
      <c r="I9" s="29"/>
      <c r="J9" s="29"/>
      <c r="K9" s="29"/>
      <c r="L9" s="29"/>
      <c r="M9" s="29"/>
      <c r="N9" s="29"/>
      <c r="O9" s="29"/>
      <c r="P9" s="29"/>
      <c r="Q9" s="29"/>
      <c r="R9" s="29"/>
      <c r="S9" s="29"/>
      <c r="T9" s="22"/>
      <c r="V9" s="151"/>
      <c r="W9" s="173" t="s">
        <v>109</v>
      </c>
      <c r="X9" s="224">
        <v>8.4035000000000012E-2</v>
      </c>
      <c r="Y9" s="151"/>
      <c r="Z9" s="40"/>
      <c r="AA9" s="40"/>
    </row>
    <row r="10" spans="1:27" ht="15" customHeight="1" x14ac:dyDescent="0.35">
      <c r="B10" s="79"/>
      <c r="C10" s="197" t="s">
        <v>36</v>
      </c>
      <c r="D10" s="198" t="s">
        <v>3</v>
      </c>
      <c r="E10" s="194">
        <v>3.0806E-2</v>
      </c>
      <c r="F10" s="29"/>
      <c r="G10" s="29"/>
      <c r="H10" s="29"/>
      <c r="I10" s="29"/>
      <c r="J10" s="29"/>
      <c r="K10" s="29"/>
      <c r="L10" s="29"/>
      <c r="M10" s="29"/>
      <c r="N10" s="29"/>
      <c r="O10" s="29"/>
      <c r="P10" s="29"/>
      <c r="Q10" s="29"/>
      <c r="R10" s="29"/>
      <c r="S10" s="29"/>
      <c r="T10" s="22"/>
      <c r="V10" s="151"/>
      <c r="W10" s="173" t="s">
        <v>4</v>
      </c>
      <c r="X10" s="224">
        <v>6.1641999999999995E-2</v>
      </c>
      <c r="Y10" s="151"/>
      <c r="Z10" s="40"/>
      <c r="AA10" s="40"/>
    </row>
    <row r="11" spans="1:27" ht="15" customHeight="1" x14ac:dyDescent="0.35">
      <c r="B11" s="79"/>
      <c r="C11" s="197" t="s">
        <v>32</v>
      </c>
      <c r="D11" s="198" t="s">
        <v>3</v>
      </c>
      <c r="E11" s="194">
        <v>2.8537E-2</v>
      </c>
      <c r="F11" s="29"/>
      <c r="G11" s="29"/>
      <c r="H11" s="29"/>
      <c r="I11" s="29"/>
      <c r="J11" s="29"/>
      <c r="K11" s="29"/>
      <c r="L11" s="29"/>
      <c r="M11" s="29"/>
      <c r="N11" s="29"/>
      <c r="O11" s="29"/>
      <c r="P11" s="29"/>
      <c r="Q11" s="29"/>
      <c r="R11" s="29"/>
      <c r="S11" s="29"/>
      <c r="T11" s="22"/>
      <c r="V11" s="151"/>
      <c r="W11" s="173" t="s">
        <v>6</v>
      </c>
      <c r="X11" s="224">
        <v>5.6034E-2</v>
      </c>
      <c r="Y11" s="151"/>
      <c r="Z11" s="40"/>
      <c r="AA11" s="40"/>
    </row>
    <row r="12" spans="1:27" ht="15" customHeight="1" x14ac:dyDescent="0.35">
      <c r="B12" s="79"/>
      <c r="C12" s="197" t="s">
        <v>35</v>
      </c>
      <c r="D12" s="198" t="s">
        <v>3</v>
      </c>
      <c r="E12" s="194">
        <v>2.4285999999999999E-2</v>
      </c>
      <c r="F12" s="29"/>
      <c r="G12" s="29"/>
      <c r="H12" s="29"/>
      <c r="I12" s="29"/>
      <c r="J12" s="29"/>
      <c r="K12" s="29"/>
      <c r="L12" s="29"/>
      <c r="M12" s="29"/>
      <c r="N12" s="29"/>
      <c r="O12" s="29"/>
      <c r="P12" s="29"/>
      <c r="Q12" s="29"/>
      <c r="R12" s="29"/>
      <c r="S12" s="29"/>
      <c r="T12" s="22"/>
      <c r="V12" s="151"/>
      <c r="W12" s="173" t="s">
        <v>105</v>
      </c>
      <c r="X12" s="224">
        <v>4.9444000000000002E-2</v>
      </c>
      <c r="Y12" s="151"/>
      <c r="Z12" s="40"/>
      <c r="AA12" s="40"/>
    </row>
    <row r="13" spans="1:27" ht="15" customHeight="1" x14ac:dyDescent="0.35">
      <c r="B13" s="79"/>
      <c r="C13" s="197" t="s">
        <v>33</v>
      </c>
      <c r="D13" s="198" t="s">
        <v>105</v>
      </c>
      <c r="E13" s="194">
        <v>2.0719999999999999E-2</v>
      </c>
      <c r="F13" s="29"/>
      <c r="G13" s="29"/>
      <c r="H13" s="29"/>
      <c r="I13" s="29"/>
      <c r="J13" s="29"/>
      <c r="K13" s="29"/>
      <c r="L13" s="29"/>
      <c r="M13" s="29"/>
      <c r="N13" s="29"/>
      <c r="O13" s="29"/>
      <c r="P13" s="29"/>
      <c r="Q13" s="29"/>
      <c r="R13" s="29"/>
      <c r="S13" s="29"/>
      <c r="T13" s="22"/>
      <c r="V13" s="151"/>
      <c r="W13" s="173" t="s">
        <v>84</v>
      </c>
      <c r="X13" s="224">
        <v>4.6662999999999996E-2</v>
      </c>
      <c r="Y13" s="151"/>
      <c r="Z13" s="40"/>
      <c r="AA13" s="40"/>
    </row>
    <row r="14" spans="1:27" ht="15" customHeight="1" x14ac:dyDescent="0.35">
      <c r="B14" s="79"/>
      <c r="C14" s="197" t="s">
        <v>28</v>
      </c>
      <c r="D14" s="198" t="s">
        <v>105</v>
      </c>
      <c r="E14" s="194">
        <v>1.9498999999999999E-2</v>
      </c>
      <c r="F14" s="29"/>
      <c r="G14" s="29"/>
      <c r="H14" s="29"/>
      <c r="I14" s="29"/>
      <c r="J14" s="29"/>
      <c r="K14" s="29"/>
      <c r="L14" s="29"/>
      <c r="M14" s="29"/>
      <c r="N14" s="29"/>
      <c r="O14" s="29"/>
      <c r="P14" s="29"/>
      <c r="Q14" s="29"/>
      <c r="R14" s="29"/>
      <c r="S14" s="29"/>
      <c r="T14" s="22"/>
      <c r="V14" s="151"/>
      <c r="W14" s="173" t="s">
        <v>26</v>
      </c>
      <c r="X14" s="224">
        <v>3.9355000000000001E-2</v>
      </c>
      <c r="Y14" s="151"/>
      <c r="Z14" s="40"/>
      <c r="AA14" s="40"/>
    </row>
    <row r="15" spans="1:27" ht="15.75" customHeight="1" x14ac:dyDescent="0.35">
      <c r="B15" s="79"/>
      <c r="C15" s="197" t="s">
        <v>231</v>
      </c>
      <c r="D15" s="198" t="s">
        <v>26</v>
      </c>
      <c r="E15" s="194">
        <v>1.8419000000000001E-2</v>
      </c>
      <c r="F15" s="29"/>
      <c r="G15" s="29"/>
      <c r="H15" s="29"/>
      <c r="I15" s="29"/>
      <c r="J15" s="29"/>
      <c r="K15" s="29"/>
      <c r="L15" s="29"/>
      <c r="M15" s="29"/>
      <c r="N15" s="29"/>
      <c r="O15" s="29"/>
      <c r="P15" s="29"/>
      <c r="Q15" s="29"/>
      <c r="R15" s="29"/>
      <c r="S15" s="29"/>
      <c r="T15" s="22"/>
      <c r="V15" s="151"/>
      <c r="W15" s="173" t="s">
        <v>108</v>
      </c>
      <c r="X15" s="224">
        <v>3.7194000000000005E-2</v>
      </c>
      <c r="Y15" s="151"/>
      <c r="Z15" s="40"/>
      <c r="AA15" s="40"/>
    </row>
    <row r="16" spans="1:27" ht="15" customHeight="1" x14ac:dyDescent="0.35">
      <c r="B16" s="79"/>
      <c r="C16" s="197" t="s">
        <v>336</v>
      </c>
      <c r="D16" s="198" t="s">
        <v>84</v>
      </c>
      <c r="E16" s="194">
        <v>1.8268E-2</v>
      </c>
      <c r="F16" s="29"/>
      <c r="G16" s="29"/>
      <c r="H16" s="29"/>
      <c r="I16" s="29"/>
      <c r="J16" s="29"/>
      <c r="K16" s="29"/>
      <c r="L16" s="29"/>
      <c r="M16" s="29"/>
      <c r="N16" s="29"/>
      <c r="O16" s="29"/>
      <c r="P16" s="29"/>
      <c r="Q16" s="29"/>
      <c r="R16" s="29"/>
      <c r="S16" s="29"/>
      <c r="T16" s="22"/>
      <c r="V16" s="151"/>
      <c r="W16" s="173" t="s">
        <v>16</v>
      </c>
      <c r="X16" s="224">
        <v>3.7190999999999995E-2</v>
      </c>
      <c r="Y16" s="151"/>
      <c r="Z16" s="40"/>
      <c r="AA16" s="40"/>
    </row>
    <row r="17" spans="2:27" ht="15.75" customHeight="1" x14ac:dyDescent="0.35">
      <c r="B17" s="79"/>
      <c r="C17" s="197" t="s">
        <v>238</v>
      </c>
      <c r="D17" s="198" t="s">
        <v>104</v>
      </c>
      <c r="E17" s="194">
        <v>1.7278000000000002E-2</v>
      </c>
      <c r="F17" s="29"/>
      <c r="G17" s="29"/>
      <c r="H17" s="29"/>
      <c r="I17" s="29"/>
      <c r="J17" s="29"/>
      <c r="K17" s="29"/>
      <c r="L17" s="29"/>
      <c r="M17" s="29"/>
      <c r="N17" s="29"/>
      <c r="O17" s="29"/>
      <c r="P17" s="29"/>
      <c r="Q17" s="29"/>
      <c r="R17" s="29"/>
      <c r="S17" s="29"/>
      <c r="T17" s="22"/>
      <c r="V17" s="151"/>
      <c r="W17" s="173" t="s">
        <v>106</v>
      </c>
      <c r="X17" s="224">
        <v>2.8147999999999999E-2</v>
      </c>
      <c r="Y17" s="151"/>
      <c r="Z17" s="40"/>
      <c r="AA17" s="40"/>
    </row>
    <row r="18" spans="2:27" ht="15.5" x14ac:dyDescent="0.35">
      <c r="B18" s="79"/>
      <c r="C18" s="197" t="s">
        <v>299</v>
      </c>
      <c r="D18" s="198" t="s">
        <v>26</v>
      </c>
      <c r="E18" s="194">
        <v>1.6798E-2</v>
      </c>
      <c r="F18" s="29"/>
      <c r="G18" s="29"/>
      <c r="H18" s="29"/>
      <c r="I18" s="29"/>
      <c r="J18" s="29"/>
      <c r="K18" s="29"/>
      <c r="L18" s="29"/>
      <c r="M18" s="29"/>
      <c r="N18" s="29"/>
      <c r="O18" s="29"/>
      <c r="P18" s="29"/>
      <c r="Q18" s="29"/>
      <c r="R18" s="29"/>
      <c r="S18" s="29"/>
      <c r="T18" s="22"/>
      <c r="V18" s="151"/>
      <c r="W18" s="173" t="s">
        <v>24</v>
      </c>
      <c r="X18" s="224">
        <v>2.6638000000000002E-2</v>
      </c>
      <c r="Y18" s="151"/>
      <c r="Z18" s="40"/>
      <c r="AA18" s="40"/>
    </row>
    <row r="19" spans="2:27" ht="15.75" customHeight="1" x14ac:dyDescent="0.35">
      <c r="B19" s="79"/>
      <c r="C19" s="197" t="s">
        <v>366</v>
      </c>
      <c r="D19" s="198" t="s">
        <v>4</v>
      </c>
      <c r="E19" s="194">
        <v>1.5758999999999999E-2</v>
      </c>
      <c r="F19" s="29"/>
      <c r="G19" s="29"/>
      <c r="H19" s="29"/>
      <c r="I19" s="29"/>
      <c r="J19" s="29"/>
      <c r="K19" s="29"/>
      <c r="L19" s="29"/>
      <c r="M19" s="29"/>
      <c r="N19" s="29"/>
      <c r="O19" s="29"/>
      <c r="P19" s="29"/>
      <c r="Q19" s="29"/>
      <c r="R19" s="29"/>
      <c r="S19" s="29"/>
      <c r="T19" s="22"/>
      <c r="V19" s="151"/>
      <c r="W19" s="173" t="s">
        <v>23</v>
      </c>
      <c r="X19" s="224">
        <v>2.5972000000000002E-2</v>
      </c>
      <c r="Y19" s="151"/>
      <c r="Z19" s="40"/>
      <c r="AA19" s="40"/>
    </row>
    <row r="20" spans="2:27" ht="15" customHeight="1" x14ac:dyDescent="0.35">
      <c r="B20" s="79"/>
      <c r="C20" s="197" t="s">
        <v>239</v>
      </c>
      <c r="D20" s="198" t="s">
        <v>106</v>
      </c>
      <c r="E20" s="194">
        <v>1.5730999999999998E-2</v>
      </c>
      <c r="F20" s="29"/>
      <c r="G20" s="29"/>
      <c r="H20" s="29"/>
      <c r="I20" s="29"/>
      <c r="J20" s="29"/>
      <c r="K20" s="29"/>
      <c r="L20" s="29"/>
      <c r="M20" s="29"/>
      <c r="N20" s="29"/>
      <c r="O20" s="29"/>
      <c r="P20" s="29"/>
      <c r="Q20" s="29"/>
      <c r="R20" s="29"/>
      <c r="S20" s="29"/>
      <c r="T20" s="22"/>
      <c r="V20" s="151"/>
      <c r="W20" s="173" t="s">
        <v>116</v>
      </c>
      <c r="X20" s="224">
        <v>2.5921000000000003E-2</v>
      </c>
      <c r="Y20" s="151"/>
      <c r="Z20" s="40"/>
      <c r="AA20" s="40"/>
    </row>
    <row r="21" spans="2:27" ht="15" customHeight="1" x14ac:dyDescent="0.35">
      <c r="B21" s="79"/>
      <c r="C21" s="197" t="s">
        <v>346</v>
      </c>
      <c r="D21" s="198" t="s">
        <v>109</v>
      </c>
      <c r="E21" s="194">
        <v>1.5440000000000001E-2</v>
      </c>
      <c r="F21" s="29"/>
      <c r="G21" s="29"/>
      <c r="H21" s="29"/>
      <c r="I21" s="29"/>
      <c r="J21" s="29"/>
      <c r="K21" s="29"/>
      <c r="L21" s="29"/>
      <c r="M21" s="29"/>
      <c r="N21" s="29"/>
      <c r="O21" s="29"/>
      <c r="P21" s="29"/>
      <c r="Q21" s="29"/>
      <c r="R21" s="29"/>
      <c r="S21" s="29"/>
      <c r="T21" s="22"/>
      <c r="V21" s="151"/>
      <c r="W21" s="173" t="s">
        <v>111</v>
      </c>
      <c r="X21" s="224">
        <v>2.5194999999999999E-2</v>
      </c>
      <c r="Y21" s="151"/>
      <c r="Z21" s="40"/>
      <c r="AA21" s="40"/>
    </row>
    <row r="22" spans="2:27" ht="15" customHeight="1" x14ac:dyDescent="0.35">
      <c r="B22" s="79"/>
      <c r="C22" s="197" t="s">
        <v>323</v>
      </c>
      <c r="D22" s="198" t="s">
        <v>84</v>
      </c>
      <c r="E22" s="194">
        <v>1.5010000000000001E-2</v>
      </c>
      <c r="F22" s="29"/>
      <c r="G22" s="29"/>
      <c r="H22" s="29"/>
      <c r="I22" s="29"/>
      <c r="J22" s="29"/>
      <c r="K22" s="29"/>
      <c r="L22" s="29"/>
      <c r="M22" s="29"/>
      <c r="N22" s="29"/>
      <c r="O22" s="29"/>
      <c r="P22" s="29"/>
      <c r="Q22" s="29"/>
      <c r="R22" s="29"/>
      <c r="S22" s="29"/>
      <c r="T22" s="22"/>
      <c r="V22" s="151"/>
      <c r="W22" s="173" t="s">
        <v>110</v>
      </c>
      <c r="X22" s="224">
        <v>2.4655E-2</v>
      </c>
      <c r="Y22" s="151"/>
      <c r="Z22" s="40"/>
      <c r="AA22" s="40"/>
    </row>
    <row r="23" spans="2:27" ht="15" customHeight="1" x14ac:dyDescent="0.35">
      <c r="B23" s="79"/>
      <c r="C23" s="71"/>
      <c r="D23" s="71"/>
      <c r="E23" s="146"/>
      <c r="F23" s="29"/>
      <c r="G23" s="29"/>
      <c r="H23" s="29"/>
      <c r="I23" s="29"/>
      <c r="J23" s="29"/>
      <c r="K23" s="29"/>
      <c r="L23" s="29"/>
      <c r="M23" s="29"/>
      <c r="N23" s="29"/>
      <c r="O23" s="29"/>
      <c r="P23" s="29"/>
      <c r="Q23" s="29"/>
      <c r="R23" s="29"/>
      <c r="S23" s="29"/>
      <c r="T23" s="22"/>
      <c r="V23" s="151"/>
      <c r="W23" s="173" t="s">
        <v>135</v>
      </c>
      <c r="X23" s="224">
        <v>1.9646E-2</v>
      </c>
      <c r="Y23" s="151"/>
      <c r="Z23" s="40"/>
      <c r="AA23" s="40"/>
    </row>
    <row r="24" spans="2:27" ht="15" customHeight="1" x14ac:dyDescent="0.35">
      <c r="B24" s="79"/>
      <c r="C24" s="73" t="s">
        <v>55</v>
      </c>
      <c r="D24" s="74"/>
      <c r="E24" s="75">
        <f>SUM(E8:E22)</f>
        <v>0.36243300000000001</v>
      </c>
      <c r="F24" s="29"/>
      <c r="G24" s="29"/>
      <c r="H24" s="29"/>
      <c r="I24" s="29"/>
      <c r="J24" s="29"/>
      <c r="K24" s="29"/>
      <c r="L24" s="29"/>
      <c r="M24" s="29"/>
      <c r="N24" s="29"/>
      <c r="O24" s="29"/>
      <c r="P24" s="29"/>
      <c r="Q24" s="29"/>
      <c r="R24" s="29"/>
      <c r="S24" s="29"/>
      <c r="T24" s="22"/>
      <c r="V24" s="151"/>
      <c r="W24" s="173" t="s">
        <v>119</v>
      </c>
      <c r="X24" s="224">
        <v>1.806E-2</v>
      </c>
      <c r="Y24" s="151"/>
      <c r="Z24" s="40"/>
      <c r="AA24" s="40"/>
    </row>
    <row r="25" spans="2:27" ht="15" customHeight="1" x14ac:dyDescent="0.35">
      <c r="B25" s="79"/>
      <c r="F25" s="29"/>
      <c r="G25" s="29"/>
      <c r="H25" s="29"/>
      <c r="I25" s="29"/>
      <c r="J25" s="29"/>
      <c r="K25" s="29"/>
      <c r="L25" s="29"/>
      <c r="M25" s="29"/>
      <c r="N25" s="29"/>
      <c r="O25" s="29"/>
      <c r="P25" s="29"/>
      <c r="Q25" s="29"/>
      <c r="R25" s="29"/>
      <c r="S25" s="29"/>
      <c r="T25" s="22"/>
      <c r="V25" s="151"/>
      <c r="W25" s="173" t="s">
        <v>104</v>
      </c>
      <c r="X25" s="224">
        <v>1.7278000000000002E-2</v>
      </c>
      <c r="Y25" s="151"/>
      <c r="Z25" s="40"/>
      <c r="AA25" s="40"/>
    </row>
    <row r="26" spans="2:27" ht="15" customHeight="1" x14ac:dyDescent="0.35">
      <c r="B26" s="79"/>
      <c r="F26" s="29"/>
      <c r="G26" s="29"/>
      <c r="H26" s="29"/>
      <c r="I26" s="29"/>
      <c r="J26" s="29"/>
      <c r="K26" s="29"/>
      <c r="L26" s="29"/>
      <c r="M26" s="29"/>
      <c r="N26" s="29"/>
      <c r="O26" s="29"/>
      <c r="P26" s="29"/>
      <c r="Q26" s="29"/>
      <c r="R26" s="29"/>
      <c r="S26" s="29"/>
      <c r="T26" s="22"/>
      <c r="V26" s="151"/>
      <c r="W26" s="173" t="s">
        <v>82</v>
      </c>
      <c r="X26" s="224">
        <v>1.6244000000000001E-2</v>
      </c>
      <c r="Y26" s="151"/>
      <c r="Z26" s="40"/>
      <c r="AA26" s="40"/>
    </row>
    <row r="27" spans="2:27" ht="15" customHeight="1" x14ac:dyDescent="0.35">
      <c r="B27" s="79"/>
      <c r="D27" s="153"/>
      <c r="F27" s="29"/>
      <c r="G27" s="29"/>
      <c r="H27" s="29"/>
      <c r="I27" s="29"/>
      <c r="J27" s="29"/>
      <c r="K27" s="29"/>
      <c r="L27" s="29"/>
      <c r="M27" s="29"/>
      <c r="N27" s="29"/>
      <c r="O27" s="29"/>
      <c r="P27" s="29"/>
      <c r="Q27" s="29"/>
      <c r="R27" s="29"/>
      <c r="S27" s="29"/>
      <c r="T27" s="22"/>
      <c r="V27" s="151"/>
      <c r="W27" s="173" t="s">
        <v>12</v>
      </c>
      <c r="X27" s="224">
        <v>1.4914E-2</v>
      </c>
      <c r="Y27" s="151"/>
      <c r="Z27" s="40"/>
      <c r="AA27" s="40"/>
    </row>
    <row r="28" spans="2:27" ht="15" customHeight="1" x14ac:dyDescent="0.35">
      <c r="B28" s="79"/>
      <c r="F28" s="29"/>
      <c r="G28" s="29"/>
      <c r="H28" s="29"/>
      <c r="I28" s="29"/>
      <c r="J28" s="29"/>
      <c r="K28" s="29"/>
      <c r="L28" s="29"/>
      <c r="M28" s="29"/>
      <c r="N28" s="29"/>
      <c r="O28" s="29"/>
      <c r="P28" s="29"/>
      <c r="Q28" s="29"/>
      <c r="R28" s="29"/>
      <c r="S28" s="29"/>
      <c r="T28" s="22"/>
      <c r="V28" s="151"/>
      <c r="W28" s="173" t="s">
        <v>81</v>
      </c>
      <c r="X28" s="224">
        <v>1.4244999999999999E-2</v>
      </c>
      <c r="Y28" s="151"/>
      <c r="Z28" s="40"/>
      <c r="AA28" s="40"/>
    </row>
    <row r="29" spans="2:27" ht="15" customHeight="1" x14ac:dyDescent="0.35">
      <c r="B29" s="79"/>
      <c r="F29" s="29"/>
      <c r="G29" s="29"/>
      <c r="H29" s="29"/>
      <c r="I29" s="29"/>
      <c r="J29" s="29"/>
      <c r="K29" s="29"/>
      <c r="L29" s="29"/>
      <c r="M29" s="29"/>
      <c r="N29" s="29"/>
      <c r="O29" s="29"/>
      <c r="P29" s="29"/>
      <c r="Q29" s="29"/>
      <c r="R29" s="29"/>
      <c r="S29" s="29"/>
      <c r="T29" s="22"/>
      <c r="V29" s="151"/>
      <c r="W29" s="173" t="s">
        <v>124</v>
      </c>
      <c r="X29" s="224">
        <v>1.3097999999999999E-2</v>
      </c>
      <c r="Y29" s="151"/>
      <c r="Z29" s="40"/>
      <c r="AA29" s="40"/>
    </row>
    <row r="30" spans="2:27" ht="15" customHeight="1" x14ac:dyDescent="0.35">
      <c r="B30" s="79"/>
      <c r="F30" s="29"/>
      <c r="G30" s="29"/>
      <c r="H30" s="29"/>
      <c r="I30" s="29"/>
      <c r="J30" s="29"/>
      <c r="K30" s="29"/>
      <c r="L30" s="29"/>
      <c r="M30" s="29"/>
      <c r="N30" s="29"/>
      <c r="O30" s="29"/>
      <c r="P30" s="29"/>
      <c r="Q30" s="29"/>
      <c r="R30" s="29"/>
      <c r="S30" s="29"/>
      <c r="T30" s="22"/>
      <c r="V30" s="151"/>
      <c r="W30" s="173" t="s">
        <v>131</v>
      </c>
      <c r="X30" s="224">
        <v>1.1736E-2</v>
      </c>
      <c r="Y30" s="151"/>
      <c r="Z30" s="40"/>
      <c r="AA30" s="40"/>
    </row>
    <row r="31" spans="2:27" ht="15" customHeight="1" x14ac:dyDescent="0.35">
      <c r="B31" s="79"/>
      <c r="F31" s="29"/>
      <c r="G31" s="29"/>
      <c r="H31" s="29"/>
      <c r="I31" s="29"/>
      <c r="J31" s="29"/>
      <c r="K31" s="29"/>
      <c r="L31" s="29"/>
      <c r="M31" s="29"/>
      <c r="N31" s="29"/>
      <c r="O31" s="29"/>
      <c r="P31" s="29"/>
      <c r="Q31" s="29"/>
      <c r="R31" s="29"/>
      <c r="S31" s="29"/>
      <c r="T31" s="22"/>
      <c r="V31" s="151"/>
      <c r="W31" s="173" t="s">
        <v>11</v>
      </c>
      <c r="X31" s="224">
        <v>1.1642E-2</v>
      </c>
      <c r="Y31" s="151"/>
      <c r="Z31" s="40"/>
      <c r="AA31" s="40"/>
    </row>
    <row r="32" spans="2:27" ht="15" customHeight="1" x14ac:dyDescent="0.35">
      <c r="B32" s="79"/>
      <c r="F32" s="29"/>
      <c r="G32" s="29"/>
      <c r="H32" s="29"/>
      <c r="I32" s="29"/>
      <c r="J32" s="29"/>
      <c r="K32" s="29"/>
      <c r="L32" s="29"/>
      <c r="M32" s="29"/>
      <c r="N32" s="29"/>
      <c r="O32" s="29"/>
      <c r="P32" s="29"/>
      <c r="Q32" s="29"/>
      <c r="R32" s="29"/>
      <c r="S32" s="29"/>
      <c r="T32" s="22"/>
      <c r="V32" s="151"/>
      <c r="W32" s="173" t="s">
        <v>117</v>
      </c>
      <c r="X32" s="224">
        <v>9.4009999999999996E-3</v>
      </c>
      <c r="Y32" s="151"/>
      <c r="Z32" s="40"/>
      <c r="AA32" s="40"/>
    </row>
    <row r="33" spans="2:27" ht="15" customHeight="1" x14ac:dyDescent="0.35">
      <c r="B33" s="79"/>
      <c r="F33" s="29"/>
      <c r="G33" s="29"/>
      <c r="H33" s="29"/>
      <c r="I33" s="29"/>
      <c r="J33" s="29"/>
      <c r="K33" s="29"/>
      <c r="L33" s="29"/>
      <c r="M33" s="29"/>
      <c r="N33" s="29"/>
      <c r="O33" s="29"/>
      <c r="P33" s="29"/>
      <c r="Q33" s="29"/>
      <c r="R33" s="29"/>
      <c r="S33" s="29"/>
      <c r="T33" s="22"/>
      <c r="V33" s="151"/>
      <c r="W33" s="173" t="s">
        <v>13</v>
      </c>
      <c r="X33" s="224">
        <v>8.2140000000000008E-3</v>
      </c>
      <c r="Y33" s="151"/>
      <c r="Z33" s="40"/>
      <c r="AA33" s="40"/>
    </row>
    <row r="34" spans="2:27" ht="15" customHeight="1" x14ac:dyDescent="0.35">
      <c r="B34" s="79"/>
      <c r="F34" s="29"/>
      <c r="G34" s="29"/>
      <c r="H34" s="29"/>
      <c r="I34" s="29"/>
      <c r="J34" s="29"/>
      <c r="K34" s="29"/>
      <c r="L34" s="29"/>
      <c r="M34" s="29"/>
      <c r="N34" s="29"/>
      <c r="O34" s="29"/>
      <c r="P34" s="29"/>
      <c r="Q34" s="29"/>
      <c r="R34" s="29"/>
      <c r="S34" s="29"/>
      <c r="T34" s="22"/>
      <c r="V34" s="151"/>
      <c r="W34" s="173" t="s">
        <v>144</v>
      </c>
      <c r="X34" s="224">
        <v>7.7739999999999997E-3</v>
      </c>
      <c r="Y34" s="151"/>
      <c r="Z34" s="40"/>
      <c r="AA34" s="40"/>
    </row>
    <row r="35" spans="2:27" ht="15" customHeight="1" x14ac:dyDescent="0.35">
      <c r="B35" s="79"/>
      <c r="F35" s="29"/>
      <c r="G35" s="29"/>
      <c r="H35" s="29"/>
      <c r="I35" s="29"/>
      <c r="J35" s="29"/>
      <c r="K35" s="29"/>
      <c r="L35" s="29"/>
      <c r="M35" s="29"/>
      <c r="N35" s="29"/>
      <c r="O35" s="29"/>
      <c r="P35" s="29"/>
      <c r="Q35" s="29"/>
      <c r="R35" s="29"/>
      <c r="S35" s="29"/>
      <c r="T35" s="22"/>
      <c r="V35" s="151"/>
      <c r="W35" s="173" t="s">
        <v>321</v>
      </c>
      <c r="X35" s="224">
        <v>7.4869999999999997E-3</v>
      </c>
      <c r="Y35" s="151"/>
      <c r="Z35" s="40"/>
      <c r="AA35" s="40"/>
    </row>
    <row r="36" spans="2:27" ht="15" customHeight="1" x14ac:dyDescent="0.35">
      <c r="B36" s="79"/>
      <c r="F36" s="29"/>
      <c r="G36" s="29"/>
      <c r="H36" s="29"/>
      <c r="I36" s="29"/>
      <c r="J36" s="29"/>
      <c r="K36" s="29"/>
      <c r="L36" s="29"/>
      <c r="M36" s="29"/>
      <c r="N36" s="29"/>
      <c r="O36" s="29"/>
      <c r="P36" s="29"/>
      <c r="Q36" s="29"/>
      <c r="R36" s="29"/>
      <c r="S36" s="29"/>
      <c r="T36" s="22"/>
      <c r="V36" s="151"/>
      <c r="W36" s="173" t="s">
        <v>114</v>
      </c>
      <c r="X36" s="224">
        <v>7.1590000000000004E-3</v>
      </c>
      <c r="Y36" s="151"/>
      <c r="Z36" s="40"/>
      <c r="AA36" s="40"/>
    </row>
    <row r="37" spans="2:27" ht="15" customHeight="1" x14ac:dyDescent="0.35">
      <c r="B37" s="79"/>
      <c r="C37" s="29"/>
      <c r="D37" s="29"/>
      <c r="E37" s="29"/>
      <c r="F37" s="29"/>
      <c r="G37" s="29"/>
      <c r="H37" s="29"/>
      <c r="I37" s="29"/>
      <c r="J37" s="29"/>
      <c r="K37" s="29"/>
      <c r="L37" s="29"/>
      <c r="M37" s="29"/>
      <c r="N37" s="29"/>
      <c r="O37" s="29"/>
      <c r="P37" s="29"/>
      <c r="Q37" s="29"/>
      <c r="R37" s="29"/>
      <c r="S37" s="29"/>
      <c r="T37" s="22"/>
      <c r="W37" s="173" t="s">
        <v>115</v>
      </c>
      <c r="X37" s="224">
        <v>6.8120000000000003E-3</v>
      </c>
    </row>
    <row r="38" spans="2:27" ht="15" customHeight="1" thickBot="1" x14ac:dyDescent="0.4">
      <c r="B38" s="80"/>
      <c r="C38" s="81"/>
      <c r="D38" s="81"/>
      <c r="E38" s="81"/>
      <c r="F38" s="81"/>
      <c r="G38" s="81"/>
      <c r="H38" s="81"/>
      <c r="I38" s="81"/>
      <c r="J38" s="81"/>
      <c r="K38" s="81"/>
      <c r="L38" s="81"/>
      <c r="M38" s="81"/>
      <c r="N38" s="81"/>
      <c r="O38" s="81"/>
      <c r="P38" s="81"/>
      <c r="Q38" s="81"/>
      <c r="R38" s="81"/>
      <c r="S38" s="81"/>
      <c r="T38" s="23"/>
      <c r="W38" s="173" t="s">
        <v>10</v>
      </c>
      <c r="X38" s="224">
        <v>5.672E-3</v>
      </c>
    </row>
    <row r="39" spans="2:27" ht="15" customHeight="1" thickBot="1" x14ac:dyDescent="0.4">
      <c r="W39" s="173" t="s">
        <v>75</v>
      </c>
      <c r="X39" s="224">
        <v>5.581E-3</v>
      </c>
    </row>
    <row r="40" spans="2:27" ht="15" customHeight="1" x14ac:dyDescent="0.35">
      <c r="B40" s="303" t="s">
        <v>179</v>
      </c>
      <c r="C40" s="304"/>
      <c r="D40" s="304"/>
      <c r="E40" s="304"/>
      <c r="F40" s="304"/>
      <c r="G40" s="304"/>
      <c r="H40" s="304"/>
      <c r="I40" s="304"/>
      <c r="J40" s="304"/>
      <c r="K40" s="304"/>
      <c r="L40" s="304"/>
      <c r="M40" s="304"/>
      <c r="N40" s="304"/>
      <c r="O40" s="304"/>
      <c r="P40" s="304"/>
      <c r="Q40" s="304"/>
      <c r="R40" s="305"/>
      <c r="W40" s="19" t="s">
        <v>25</v>
      </c>
      <c r="X40" s="224">
        <v>5.4409999999999997E-3</v>
      </c>
    </row>
    <row r="41" spans="2:27" ht="15" customHeight="1" x14ac:dyDescent="0.35">
      <c r="B41" s="306"/>
      <c r="C41" s="307"/>
      <c r="D41" s="307"/>
      <c r="E41" s="307"/>
      <c r="F41" s="307"/>
      <c r="G41" s="307"/>
      <c r="H41" s="307"/>
      <c r="I41" s="307"/>
      <c r="J41" s="307"/>
      <c r="K41" s="307"/>
      <c r="L41" s="307"/>
      <c r="M41" s="307"/>
      <c r="N41" s="307"/>
      <c r="O41" s="307"/>
      <c r="P41" s="307"/>
      <c r="Q41" s="307"/>
      <c r="R41" s="308"/>
      <c r="W41" s="19" t="s">
        <v>121</v>
      </c>
      <c r="X41" s="224">
        <v>3.6129999999999999E-3</v>
      </c>
    </row>
    <row r="42" spans="2:27" ht="15" customHeight="1" x14ac:dyDescent="0.35">
      <c r="B42" s="306"/>
      <c r="C42" s="307"/>
      <c r="D42" s="307"/>
      <c r="E42" s="307"/>
      <c r="F42" s="307"/>
      <c r="G42" s="307"/>
      <c r="H42" s="307"/>
      <c r="I42" s="307"/>
      <c r="J42" s="307"/>
      <c r="K42" s="307"/>
      <c r="L42" s="307"/>
      <c r="M42" s="307"/>
      <c r="N42" s="307"/>
      <c r="O42" s="307"/>
      <c r="P42" s="307"/>
      <c r="Q42" s="307"/>
      <c r="R42" s="308"/>
      <c r="W42" s="19" t="s">
        <v>112</v>
      </c>
      <c r="X42" s="224">
        <v>3.3249999999999998E-3</v>
      </c>
    </row>
    <row r="43" spans="2:27" ht="15" customHeight="1" x14ac:dyDescent="0.35">
      <c r="B43" s="306"/>
      <c r="C43" s="307"/>
      <c r="D43" s="307"/>
      <c r="E43" s="307"/>
      <c r="F43" s="307"/>
      <c r="G43" s="307"/>
      <c r="H43" s="307"/>
      <c r="I43" s="307"/>
      <c r="J43" s="307"/>
      <c r="K43" s="307"/>
      <c r="L43" s="307"/>
      <c r="M43" s="307"/>
      <c r="N43" s="307"/>
      <c r="O43" s="307"/>
      <c r="P43" s="307"/>
      <c r="Q43" s="307"/>
      <c r="R43" s="308"/>
      <c r="W43" s="19" t="s">
        <v>380</v>
      </c>
      <c r="X43" s="224">
        <v>3.1029999999999999E-3</v>
      </c>
    </row>
    <row r="44" spans="2:27" ht="15" customHeight="1" x14ac:dyDescent="0.35">
      <c r="B44" s="306"/>
      <c r="C44" s="307"/>
      <c r="D44" s="307"/>
      <c r="E44" s="307"/>
      <c r="F44" s="307"/>
      <c r="G44" s="307"/>
      <c r="H44" s="307"/>
      <c r="I44" s="307"/>
      <c r="J44" s="307"/>
      <c r="K44" s="307"/>
      <c r="L44" s="307"/>
      <c r="M44" s="307"/>
      <c r="N44" s="307"/>
      <c r="O44" s="307"/>
      <c r="P44" s="307"/>
      <c r="Q44" s="307"/>
      <c r="R44" s="308"/>
      <c r="X44" s="224"/>
    </row>
    <row r="45" spans="2:27" ht="15" customHeight="1" x14ac:dyDescent="0.35">
      <c r="B45" s="306"/>
      <c r="C45" s="307"/>
      <c r="D45" s="307"/>
      <c r="E45" s="307"/>
      <c r="F45" s="307"/>
      <c r="G45" s="307"/>
      <c r="H45" s="307"/>
      <c r="I45" s="307"/>
      <c r="J45" s="307"/>
      <c r="K45" s="307"/>
      <c r="L45" s="307"/>
      <c r="M45" s="307"/>
      <c r="N45" s="307"/>
      <c r="O45" s="307"/>
      <c r="P45" s="307"/>
      <c r="Q45" s="307"/>
      <c r="R45" s="308"/>
      <c r="X45" s="224"/>
    </row>
    <row r="46" spans="2:27" ht="21.75" customHeight="1" thickBot="1" x14ac:dyDescent="0.4">
      <c r="B46" s="309"/>
      <c r="C46" s="310"/>
      <c r="D46" s="310"/>
      <c r="E46" s="310"/>
      <c r="F46" s="310"/>
      <c r="G46" s="310"/>
      <c r="H46" s="310"/>
      <c r="I46" s="310"/>
      <c r="J46" s="310"/>
      <c r="K46" s="310"/>
      <c r="L46" s="310"/>
      <c r="M46" s="310"/>
      <c r="N46" s="310"/>
      <c r="O46" s="310"/>
      <c r="P46" s="310"/>
      <c r="Q46" s="310"/>
      <c r="R46" s="311"/>
    </row>
    <row r="47" spans="2:27" ht="15" customHeight="1" x14ac:dyDescent="0.35"/>
    <row r="48" spans="2:27" ht="15" customHeight="1" x14ac:dyDescent="0.35"/>
    <row r="49" ht="15" customHeight="1" x14ac:dyDescent="0.35"/>
    <row r="50" ht="15" customHeight="1" x14ac:dyDescent="0.35"/>
    <row r="51" ht="15" customHeight="1" x14ac:dyDescent="0.35"/>
    <row r="52" ht="15" customHeight="1" x14ac:dyDescent="0.35"/>
    <row r="53" ht="15" customHeight="1" x14ac:dyDescent="0.35"/>
    <row r="54" ht="15" customHeight="1" x14ac:dyDescent="0.35"/>
    <row r="55" ht="15" customHeight="1" x14ac:dyDescent="0.35"/>
    <row r="56" ht="15" customHeight="1" x14ac:dyDescent="0.35"/>
    <row r="57" ht="15" customHeight="1" x14ac:dyDescent="0.35"/>
    <row r="58" ht="15" customHeight="1" x14ac:dyDescent="0.35"/>
    <row r="59" ht="15" customHeight="1" x14ac:dyDescent="0.35"/>
    <row r="60" ht="15" customHeight="1" x14ac:dyDescent="0.35"/>
    <row r="61" ht="15" customHeight="1" x14ac:dyDescent="0.35"/>
    <row r="62" ht="15" customHeight="1" x14ac:dyDescent="0.35"/>
    <row r="63" ht="15" customHeight="1" x14ac:dyDescent="0.35"/>
    <row r="64" ht="15" customHeight="1" x14ac:dyDescent="0.35"/>
    <row r="65" ht="15" customHeight="1" x14ac:dyDescent="0.35"/>
  </sheetData>
  <mergeCells count="3">
    <mergeCell ref="C3:S3"/>
    <mergeCell ref="D5:E5"/>
    <mergeCell ref="B40:R46"/>
  </mergeCells>
  <pageMargins left="0.7" right="0.7" top="0.75" bottom="0.75" header="0.3" footer="0.3"/>
  <pageSetup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5"/>
  <dimension ref="A1:AA59"/>
  <sheetViews>
    <sheetView showGridLines="0" zoomScale="80" zoomScaleNormal="80" workbookViewId="0">
      <selection activeCell="A20" sqref="A20"/>
    </sheetView>
  </sheetViews>
  <sheetFormatPr defaultColWidth="9.1796875" defaultRowHeight="14.5" x14ac:dyDescent="0.35"/>
  <cols>
    <col min="1" max="1" width="2.81640625" style="19" customWidth="1"/>
    <col min="2" max="2" width="3.81640625" style="19" customWidth="1"/>
    <col min="3" max="3" width="59.1796875" style="19" bestFit="1" customWidth="1"/>
    <col min="4" max="4" width="33.81640625" style="19" bestFit="1" customWidth="1"/>
    <col min="5" max="5" width="15.1796875" style="19" customWidth="1"/>
    <col min="6" max="8" width="9.1796875" style="19"/>
    <col min="9" max="9" width="11.81640625" style="19" customWidth="1"/>
    <col min="10" max="18" width="9.1796875" style="19"/>
    <col min="19" max="19" width="9.81640625" style="19" customWidth="1"/>
    <col min="20" max="16384" width="9.1796875" style="19"/>
  </cols>
  <sheetData>
    <row r="1" spans="1:27" ht="15.75" customHeight="1" thickBot="1" x14ac:dyDescent="0.4">
      <c r="A1" s="3"/>
    </row>
    <row r="2" spans="1:27" ht="15" customHeight="1" x14ac:dyDescent="0.35">
      <c r="B2" s="77"/>
      <c r="C2" s="78"/>
      <c r="D2" s="78"/>
      <c r="E2" s="78"/>
      <c r="F2" s="78"/>
      <c r="G2" s="78"/>
      <c r="H2" s="78"/>
      <c r="I2" s="78"/>
      <c r="J2" s="78"/>
      <c r="K2" s="78"/>
      <c r="L2" s="78"/>
      <c r="M2" s="78"/>
      <c r="N2" s="78"/>
      <c r="O2" s="78"/>
      <c r="P2" s="78"/>
      <c r="Q2" s="78"/>
      <c r="R2" s="78"/>
      <c r="S2" s="78"/>
      <c r="T2" s="21"/>
    </row>
    <row r="3" spans="1:27" ht="20.25" customHeight="1" x14ac:dyDescent="0.35">
      <c r="B3" s="79"/>
      <c r="C3" s="312" t="s">
        <v>163</v>
      </c>
      <c r="D3" s="312"/>
      <c r="E3" s="312"/>
      <c r="F3" s="312"/>
      <c r="G3" s="312"/>
      <c r="H3" s="312"/>
      <c r="I3" s="312"/>
      <c r="J3" s="312"/>
      <c r="K3" s="312"/>
      <c r="L3" s="312"/>
      <c r="M3" s="312"/>
      <c r="N3" s="312"/>
      <c r="O3" s="312"/>
      <c r="P3" s="312"/>
      <c r="Q3" s="312"/>
      <c r="R3" s="312"/>
      <c r="S3" s="312"/>
      <c r="T3" s="22"/>
      <c r="V3" s="40"/>
      <c r="W3" s="40"/>
      <c r="X3" s="40"/>
      <c r="Y3" s="40"/>
      <c r="Z3" s="40"/>
      <c r="AA3" s="40"/>
    </row>
    <row r="4" spans="1:27" ht="15.75" customHeight="1" x14ac:dyDescent="0.35">
      <c r="B4" s="79"/>
      <c r="C4" s="67" t="s">
        <v>434</v>
      </c>
      <c r="D4" s="29"/>
      <c r="E4" s="29"/>
      <c r="F4" s="29"/>
      <c r="G4" s="29"/>
      <c r="H4" s="29"/>
      <c r="I4" s="29"/>
      <c r="J4" s="29"/>
      <c r="K4" s="29"/>
      <c r="L4" s="29"/>
      <c r="M4" s="29"/>
      <c r="N4" s="29"/>
      <c r="O4" s="29"/>
      <c r="P4" s="29"/>
      <c r="Q4" s="29"/>
      <c r="R4" s="29"/>
      <c r="S4" s="29"/>
      <c r="T4" s="22"/>
      <c r="V4" s="40"/>
      <c r="W4" s="40"/>
      <c r="X4" s="40"/>
      <c r="Y4" s="40"/>
      <c r="Z4" s="40"/>
      <c r="AA4" s="40"/>
    </row>
    <row r="5" spans="1:27" ht="18" customHeight="1" x14ac:dyDescent="0.35">
      <c r="B5" s="79"/>
      <c r="C5" s="211" t="s">
        <v>435</v>
      </c>
      <c r="D5" s="314" t="s">
        <v>398</v>
      </c>
      <c r="E5" s="314"/>
      <c r="F5" s="29"/>
      <c r="G5" s="29"/>
      <c r="H5" s="29"/>
      <c r="I5" s="29"/>
      <c r="J5" s="29"/>
      <c r="K5" s="29"/>
      <c r="L5" s="29"/>
      <c r="M5" s="29"/>
      <c r="N5" s="29"/>
      <c r="O5" s="29"/>
      <c r="P5" s="29"/>
      <c r="Q5" s="29"/>
      <c r="R5" s="29"/>
      <c r="S5" s="29"/>
      <c r="T5" s="22"/>
      <c r="V5" s="151"/>
      <c r="W5" s="151"/>
      <c r="X5" s="151"/>
      <c r="Y5" s="151"/>
      <c r="Z5" s="40"/>
      <c r="AA5" s="40"/>
    </row>
    <row r="6" spans="1:27" ht="15" customHeight="1" x14ac:dyDescent="0.35">
      <c r="B6" s="79"/>
      <c r="C6" s="29"/>
      <c r="D6" s="29"/>
      <c r="E6" s="29"/>
      <c r="F6" s="29"/>
      <c r="G6" s="29"/>
      <c r="H6" s="29"/>
      <c r="I6" s="29"/>
      <c r="J6" s="29"/>
      <c r="K6" s="29"/>
      <c r="L6" s="29"/>
      <c r="M6" s="29"/>
      <c r="N6" s="29"/>
      <c r="O6" s="29"/>
      <c r="P6" s="29"/>
      <c r="Q6" s="29"/>
      <c r="R6" s="29"/>
      <c r="S6" s="29"/>
      <c r="T6" s="22"/>
      <c r="V6" s="151"/>
      <c r="W6" s="151"/>
      <c r="X6" s="151"/>
      <c r="Y6" s="151"/>
      <c r="Z6" s="40"/>
      <c r="AA6" s="40"/>
    </row>
    <row r="7" spans="1:27" ht="32.25" customHeight="1" x14ac:dyDescent="0.35">
      <c r="B7" s="79"/>
      <c r="C7" s="68" t="s">
        <v>0</v>
      </c>
      <c r="D7" s="69" t="s">
        <v>1</v>
      </c>
      <c r="E7" s="70" t="s">
        <v>2</v>
      </c>
      <c r="F7" s="29"/>
      <c r="G7" s="29"/>
      <c r="H7" s="29"/>
      <c r="I7" s="29"/>
      <c r="J7" s="29"/>
      <c r="K7" s="29"/>
      <c r="L7" s="29"/>
      <c r="M7" s="29"/>
      <c r="N7" s="29"/>
      <c r="O7" s="29"/>
      <c r="P7" s="29"/>
      <c r="Q7" s="29"/>
      <c r="R7" s="29"/>
      <c r="S7" s="29"/>
      <c r="T7" s="22"/>
      <c r="V7" s="151"/>
      <c r="W7" s="151" t="s">
        <v>22</v>
      </c>
      <c r="X7" s="152" t="s">
        <v>2</v>
      </c>
      <c r="Y7" s="151"/>
      <c r="Z7" s="40"/>
      <c r="AA7" s="40"/>
    </row>
    <row r="8" spans="1:27" ht="15" customHeight="1" x14ac:dyDescent="0.35">
      <c r="B8" s="79"/>
      <c r="C8" s="184" t="s">
        <v>29</v>
      </c>
      <c r="D8" s="340" t="s">
        <v>3</v>
      </c>
      <c r="E8" s="186">
        <v>8.5808999999999996E-2</v>
      </c>
      <c r="F8" s="29"/>
      <c r="G8" s="29"/>
      <c r="H8" s="29"/>
      <c r="I8" s="29"/>
      <c r="J8" s="29"/>
      <c r="K8" s="29"/>
      <c r="L8" s="29"/>
      <c r="M8" s="29"/>
      <c r="N8" s="29"/>
      <c r="O8" s="29"/>
      <c r="P8" s="29"/>
      <c r="Q8" s="29"/>
      <c r="R8" s="29"/>
      <c r="S8" s="29"/>
      <c r="T8" s="22"/>
      <c r="V8" s="151"/>
      <c r="W8" s="61" t="s">
        <v>3</v>
      </c>
      <c r="X8" s="201">
        <v>0.25135200000000002</v>
      </c>
      <c r="Y8" s="151"/>
      <c r="Z8" s="40"/>
      <c r="AA8" s="40"/>
    </row>
    <row r="9" spans="1:27" ht="15.75" customHeight="1" x14ac:dyDescent="0.35">
      <c r="B9" s="79"/>
      <c r="C9" s="180" t="s">
        <v>32</v>
      </c>
      <c r="D9" s="341" t="s">
        <v>3</v>
      </c>
      <c r="E9" s="188">
        <v>8.2583000000000004E-2</v>
      </c>
      <c r="F9" s="29"/>
      <c r="G9" s="29"/>
      <c r="H9" s="29"/>
      <c r="I9" s="29"/>
      <c r="J9" s="29"/>
      <c r="K9" s="29"/>
      <c r="L9" s="29"/>
      <c r="M9" s="29"/>
      <c r="N9" s="29"/>
      <c r="O9" s="29"/>
      <c r="P9" s="29"/>
      <c r="Q9" s="29"/>
      <c r="R9" s="29"/>
      <c r="S9" s="29"/>
      <c r="T9" s="22"/>
      <c r="V9" s="151"/>
      <c r="W9" s="61" t="s">
        <v>105</v>
      </c>
      <c r="X9" s="201">
        <v>8.8542999999999997E-2</v>
      </c>
      <c r="Y9" s="151"/>
      <c r="Z9" s="40"/>
      <c r="AA9" s="40"/>
    </row>
    <row r="10" spans="1:27" ht="15" customHeight="1" x14ac:dyDescent="0.35">
      <c r="B10" s="79"/>
      <c r="C10" s="180" t="s">
        <v>31</v>
      </c>
      <c r="D10" s="341" t="s">
        <v>6</v>
      </c>
      <c r="E10" s="188">
        <v>7.0458000000000007E-2</v>
      </c>
      <c r="F10" s="29"/>
      <c r="G10" s="29"/>
      <c r="H10" s="29"/>
      <c r="I10" s="29"/>
      <c r="J10" s="29"/>
      <c r="K10" s="29"/>
      <c r="L10" s="29"/>
      <c r="M10" s="29"/>
      <c r="N10" s="29"/>
      <c r="O10" s="29"/>
      <c r="P10" s="29"/>
      <c r="Q10" s="29"/>
      <c r="R10" s="29"/>
      <c r="S10" s="29"/>
      <c r="T10" s="22"/>
      <c r="V10" s="151"/>
      <c r="W10" s="61" t="s">
        <v>26</v>
      </c>
      <c r="X10" s="201">
        <v>7.1043999999999996E-2</v>
      </c>
      <c r="Y10" s="151"/>
      <c r="Z10" s="40"/>
      <c r="AA10" s="40"/>
    </row>
    <row r="11" spans="1:27" ht="15" customHeight="1" x14ac:dyDescent="0.35">
      <c r="B11" s="79"/>
      <c r="C11" s="180" t="s">
        <v>33</v>
      </c>
      <c r="D11" s="341" t="s">
        <v>105</v>
      </c>
      <c r="E11" s="188">
        <v>4.437E-2</v>
      </c>
      <c r="F11" s="29"/>
      <c r="G11" s="29"/>
      <c r="H11" s="29"/>
      <c r="I11" s="29"/>
      <c r="J11" s="29"/>
      <c r="K11" s="29"/>
      <c r="L11" s="29"/>
      <c r="M11" s="29"/>
      <c r="N11" s="29"/>
      <c r="O11" s="29"/>
      <c r="P11" s="29"/>
      <c r="Q11" s="29"/>
      <c r="R11" s="29"/>
      <c r="S11" s="29"/>
      <c r="T11" s="22"/>
      <c r="V11" s="151"/>
      <c r="W11" s="61" t="s">
        <v>110</v>
      </c>
      <c r="X11" s="201">
        <v>6.9026999999999991E-2</v>
      </c>
      <c r="Y11" s="151"/>
      <c r="Z11" s="40"/>
      <c r="AA11" s="40"/>
    </row>
    <row r="12" spans="1:27" ht="15" customHeight="1" x14ac:dyDescent="0.35">
      <c r="B12" s="79"/>
      <c r="C12" s="180" t="s">
        <v>36</v>
      </c>
      <c r="D12" s="341" t="s">
        <v>3</v>
      </c>
      <c r="E12" s="188">
        <v>3.7966E-2</v>
      </c>
      <c r="F12" s="29"/>
      <c r="G12" s="29"/>
      <c r="H12" s="29"/>
      <c r="I12" s="29"/>
      <c r="J12" s="29"/>
      <c r="K12" s="29"/>
      <c r="L12" s="29"/>
      <c r="M12" s="29"/>
      <c r="N12" s="29"/>
      <c r="O12" s="29"/>
      <c r="P12" s="29"/>
      <c r="Q12" s="29"/>
      <c r="R12" s="29"/>
      <c r="S12" s="29"/>
      <c r="T12" s="22"/>
      <c r="V12" s="151"/>
      <c r="W12" s="61" t="s">
        <v>6</v>
      </c>
      <c r="X12" s="201">
        <v>6.8376000000000006E-2</v>
      </c>
      <c r="Y12" s="151"/>
      <c r="Z12" s="40"/>
      <c r="AA12" s="40"/>
    </row>
    <row r="13" spans="1:27" ht="15" customHeight="1" x14ac:dyDescent="0.35">
      <c r="B13" s="79"/>
      <c r="C13" s="180" t="s">
        <v>28</v>
      </c>
      <c r="D13" s="341" t="s">
        <v>105</v>
      </c>
      <c r="E13" s="188">
        <v>3.9703000000000002E-2</v>
      </c>
      <c r="F13" s="29"/>
      <c r="G13" s="29"/>
      <c r="H13" s="29"/>
      <c r="I13" s="29"/>
      <c r="J13" s="29"/>
      <c r="K13" s="29"/>
      <c r="L13" s="29"/>
      <c r="M13" s="29"/>
      <c r="N13" s="29"/>
      <c r="O13" s="29"/>
      <c r="P13" s="29"/>
      <c r="Q13" s="29"/>
      <c r="R13" s="29"/>
      <c r="S13" s="29"/>
      <c r="T13" s="22"/>
      <c r="V13" s="151"/>
      <c r="W13" s="61" t="s">
        <v>109</v>
      </c>
      <c r="X13" s="201">
        <v>4.3772000000000005E-2</v>
      </c>
      <c r="Y13" s="151"/>
      <c r="Z13" s="40"/>
      <c r="AA13" s="40"/>
    </row>
    <row r="14" spans="1:27" ht="15" customHeight="1" x14ac:dyDescent="0.35">
      <c r="B14" s="79"/>
      <c r="C14" s="180" t="s">
        <v>94</v>
      </c>
      <c r="D14" s="341" t="s">
        <v>110</v>
      </c>
      <c r="E14" s="188">
        <v>2.8053000000000002E-2</v>
      </c>
      <c r="F14" s="29"/>
      <c r="G14" s="29"/>
      <c r="H14" s="29"/>
      <c r="I14" s="29"/>
      <c r="J14" s="29"/>
      <c r="K14" s="29"/>
      <c r="L14" s="29"/>
      <c r="M14" s="29"/>
      <c r="N14" s="29"/>
      <c r="O14" s="29"/>
      <c r="P14" s="29"/>
      <c r="Q14" s="29"/>
      <c r="R14" s="29"/>
      <c r="S14" s="29"/>
      <c r="T14" s="22"/>
      <c r="V14" s="151"/>
      <c r="W14" s="61" t="s">
        <v>84</v>
      </c>
      <c r="X14" s="201">
        <v>3.4778000000000003E-2</v>
      </c>
      <c r="Y14" s="151"/>
      <c r="Z14" s="40"/>
      <c r="AA14" s="40"/>
    </row>
    <row r="15" spans="1:27" ht="15.75" customHeight="1" x14ac:dyDescent="0.35">
      <c r="B15" s="79"/>
      <c r="C15" s="180" t="s">
        <v>70</v>
      </c>
      <c r="D15" s="341" t="s">
        <v>12</v>
      </c>
      <c r="E15" s="188">
        <v>1.8180999999999999E-2</v>
      </c>
      <c r="F15" s="29"/>
      <c r="G15" s="29"/>
      <c r="H15" s="29"/>
      <c r="I15" s="29"/>
      <c r="J15" s="29"/>
      <c r="K15" s="29"/>
      <c r="L15" s="29"/>
      <c r="M15" s="29"/>
      <c r="N15" s="29"/>
      <c r="O15" s="29"/>
      <c r="P15" s="29"/>
      <c r="Q15" s="29"/>
      <c r="R15" s="29"/>
      <c r="S15" s="29"/>
      <c r="T15" s="22"/>
      <c r="V15" s="151"/>
      <c r="W15" s="61" t="s">
        <v>4</v>
      </c>
      <c r="X15" s="201">
        <v>3.0747999999999998E-2</v>
      </c>
      <c r="Y15" s="151"/>
      <c r="Z15" s="40"/>
      <c r="AA15" s="40"/>
    </row>
    <row r="16" spans="1:27" ht="15" customHeight="1" x14ac:dyDescent="0.35">
      <c r="B16" s="79"/>
      <c r="C16" s="180" t="s">
        <v>299</v>
      </c>
      <c r="D16" s="341" t="s">
        <v>26</v>
      </c>
      <c r="E16" s="188">
        <v>1.5259999999999999E-2</v>
      </c>
      <c r="F16" s="29"/>
      <c r="G16" s="29"/>
      <c r="H16" s="29"/>
      <c r="I16" s="29"/>
      <c r="J16" s="29"/>
      <c r="K16" s="29"/>
      <c r="L16" s="29"/>
      <c r="M16" s="29"/>
      <c r="N16" s="29"/>
      <c r="O16" s="29"/>
      <c r="P16" s="29"/>
      <c r="Q16" s="29"/>
      <c r="R16" s="29"/>
      <c r="S16" s="29"/>
      <c r="T16" s="22"/>
      <c r="V16" s="151"/>
      <c r="W16" s="61" t="s">
        <v>115</v>
      </c>
      <c r="X16" s="201">
        <v>2.9116999999999997E-2</v>
      </c>
      <c r="Y16" s="151"/>
      <c r="Z16" s="40"/>
      <c r="AA16" s="40"/>
    </row>
    <row r="17" spans="2:27" ht="15.75" customHeight="1" x14ac:dyDescent="0.35">
      <c r="B17" s="79"/>
      <c r="C17" s="180" t="s">
        <v>37</v>
      </c>
      <c r="D17" s="341" t="s">
        <v>115</v>
      </c>
      <c r="E17" s="188">
        <v>1.1419E-2</v>
      </c>
      <c r="F17" s="29"/>
      <c r="G17" s="29"/>
      <c r="H17" s="29"/>
      <c r="I17" s="29"/>
      <c r="J17" s="29"/>
      <c r="K17" s="29"/>
      <c r="L17" s="29"/>
      <c r="M17" s="29"/>
      <c r="N17" s="29"/>
      <c r="O17" s="29"/>
      <c r="P17" s="29"/>
      <c r="Q17" s="29"/>
      <c r="R17" s="29"/>
      <c r="S17" s="29"/>
      <c r="T17" s="22"/>
      <c r="V17" s="151"/>
      <c r="W17" s="61" t="s">
        <v>16</v>
      </c>
      <c r="X17" s="201">
        <v>2.8576000000000001E-2</v>
      </c>
      <c r="Y17" s="151"/>
      <c r="Z17" s="40"/>
      <c r="AA17" s="40"/>
    </row>
    <row r="18" spans="2:27" ht="15.5" x14ac:dyDescent="0.35">
      <c r="B18" s="79"/>
      <c r="C18" s="180" t="s">
        <v>35</v>
      </c>
      <c r="D18" s="341" t="s">
        <v>3</v>
      </c>
      <c r="E18" s="188">
        <v>1.9993E-2</v>
      </c>
      <c r="F18" s="29"/>
      <c r="G18" s="29"/>
      <c r="H18" s="29"/>
      <c r="I18" s="29"/>
      <c r="J18" s="29"/>
      <c r="K18" s="29"/>
      <c r="L18" s="29"/>
      <c r="M18" s="29"/>
      <c r="N18" s="29"/>
      <c r="O18" s="29"/>
      <c r="P18" s="29"/>
      <c r="Q18" s="29"/>
      <c r="R18" s="29"/>
      <c r="S18" s="29"/>
      <c r="T18" s="22"/>
      <c r="V18" s="151"/>
      <c r="W18" s="61" t="s">
        <v>81</v>
      </c>
      <c r="X18" s="201">
        <v>2.1741999999999997E-2</v>
      </c>
      <c r="Y18" s="151"/>
      <c r="Z18" s="40"/>
      <c r="AA18" s="40"/>
    </row>
    <row r="19" spans="2:27" ht="15.75" customHeight="1" x14ac:dyDescent="0.35">
      <c r="B19" s="79"/>
      <c r="C19" s="180" t="s">
        <v>357</v>
      </c>
      <c r="D19" s="341" t="s">
        <v>16</v>
      </c>
      <c r="E19" s="188">
        <v>1.789E-2</v>
      </c>
      <c r="F19" s="29"/>
      <c r="G19" s="29"/>
      <c r="H19" s="29"/>
      <c r="I19" s="29"/>
      <c r="J19" s="29"/>
      <c r="K19" s="29"/>
      <c r="L19" s="29"/>
      <c r="M19" s="29"/>
      <c r="N19" s="29"/>
      <c r="O19" s="29"/>
      <c r="P19" s="29"/>
      <c r="Q19" s="29"/>
      <c r="R19" s="29"/>
      <c r="S19" s="29"/>
      <c r="T19" s="22"/>
      <c r="V19" s="151"/>
      <c r="W19" s="61" t="s">
        <v>12</v>
      </c>
      <c r="X19" s="201">
        <v>1.9813000000000001E-2</v>
      </c>
      <c r="Y19" s="151"/>
      <c r="Z19" s="40"/>
      <c r="AA19" s="40"/>
    </row>
    <row r="20" spans="2:27" ht="15" customHeight="1" x14ac:dyDescent="0.35">
      <c r="B20" s="79"/>
      <c r="C20" s="180" t="s">
        <v>378</v>
      </c>
      <c r="D20" s="341" t="s">
        <v>26</v>
      </c>
      <c r="E20" s="188">
        <v>1.8624000000000002E-2</v>
      </c>
      <c r="F20" s="29"/>
      <c r="G20" s="29"/>
      <c r="H20" s="29"/>
      <c r="I20" s="29"/>
      <c r="J20" s="29"/>
      <c r="K20" s="29"/>
      <c r="L20" s="29"/>
      <c r="M20" s="29"/>
      <c r="N20" s="29"/>
      <c r="O20" s="29"/>
      <c r="P20" s="29"/>
      <c r="Q20" s="29"/>
      <c r="R20" s="29"/>
      <c r="S20" s="29"/>
      <c r="T20" s="22"/>
      <c r="V20" s="151"/>
      <c r="W20" s="61" t="s">
        <v>117</v>
      </c>
      <c r="X20" s="201">
        <v>1.7409999999999998E-2</v>
      </c>
      <c r="Y20" s="151"/>
      <c r="Z20" s="40"/>
      <c r="AA20" s="40"/>
    </row>
    <row r="21" spans="2:27" ht="15" customHeight="1" x14ac:dyDescent="0.35">
      <c r="B21" s="79"/>
      <c r="C21" s="180" t="s">
        <v>245</v>
      </c>
      <c r="D21" s="341" t="s">
        <v>109</v>
      </c>
      <c r="E21" s="188">
        <v>1.6591000000000002E-2</v>
      </c>
      <c r="F21" s="29"/>
      <c r="G21" s="29"/>
      <c r="H21" s="29"/>
      <c r="I21" s="29"/>
      <c r="J21" s="29"/>
      <c r="K21" s="29"/>
      <c r="L21" s="29"/>
      <c r="M21" s="29"/>
      <c r="N21" s="29"/>
      <c r="O21" s="29"/>
      <c r="P21" s="29"/>
      <c r="Q21" s="29"/>
      <c r="R21" s="29"/>
      <c r="S21" s="29"/>
      <c r="T21" s="22"/>
      <c r="V21" s="151"/>
      <c r="W21" s="61" t="s">
        <v>111</v>
      </c>
      <c r="X21" s="201">
        <v>1.6421999999999999E-2</v>
      </c>
      <c r="Y21" s="151"/>
      <c r="Z21" s="40"/>
      <c r="AA21" s="40"/>
    </row>
    <row r="22" spans="2:27" ht="15" customHeight="1" x14ac:dyDescent="0.35">
      <c r="B22" s="79"/>
      <c r="C22" s="180" t="s">
        <v>96</v>
      </c>
      <c r="D22" s="341" t="s">
        <v>117</v>
      </c>
      <c r="E22" s="188">
        <v>1.6395E-2</v>
      </c>
      <c r="F22" s="29"/>
      <c r="G22" s="29"/>
      <c r="H22" s="29"/>
      <c r="I22" s="29"/>
      <c r="J22" s="29"/>
      <c r="K22" s="29"/>
      <c r="L22" s="29"/>
      <c r="M22" s="29"/>
      <c r="N22" s="29"/>
      <c r="O22" s="29"/>
      <c r="P22" s="29"/>
      <c r="Q22" s="29"/>
      <c r="R22" s="29"/>
      <c r="S22" s="29"/>
      <c r="T22" s="22"/>
      <c r="V22" s="151"/>
      <c r="W22" s="61" t="s">
        <v>23</v>
      </c>
      <c r="X22" s="201">
        <v>1.4606000000000001E-2</v>
      </c>
      <c r="Y22" s="151"/>
      <c r="Z22" s="40"/>
      <c r="AA22" s="40"/>
    </row>
    <row r="23" spans="2:27" ht="15" customHeight="1" x14ac:dyDescent="0.35">
      <c r="B23" s="79"/>
      <c r="C23" s="71"/>
      <c r="D23" s="342"/>
      <c r="E23" s="72"/>
      <c r="F23" s="29"/>
      <c r="G23" s="29"/>
      <c r="H23" s="29"/>
      <c r="I23" s="29"/>
      <c r="J23" s="29"/>
      <c r="K23" s="29"/>
      <c r="L23" s="29"/>
      <c r="M23" s="29"/>
      <c r="N23" s="29"/>
      <c r="O23" s="29"/>
      <c r="P23" s="29"/>
      <c r="Q23" s="29"/>
      <c r="R23" s="29"/>
      <c r="S23" s="29"/>
      <c r="T23" s="22"/>
      <c r="V23" s="151"/>
      <c r="W23" s="61" t="s">
        <v>106</v>
      </c>
      <c r="X23" s="201">
        <v>1.3531E-2</v>
      </c>
      <c r="Y23" s="151"/>
      <c r="Z23" s="40"/>
      <c r="AA23" s="40"/>
    </row>
    <row r="24" spans="2:27" ht="15" customHeight="1" x14ac:dyDescent="0.35">
      <c r="B24" s="79"/>
      <c r="C24" s="73" t="s">
        <v>55</v>
      </c>
      <c r="D24" s="74"/>
      <c r="E24" s="75">
        <f>SUM(E8:E22)</f>
        <v>0.52329500000000007</v>
      </c>
      <c r="F24" s="29"/>
      <c r="G24" s="29"/>
      <c r="H24" s="29"/>
      <c r="I24" s="29"/>
      <c r="J24" s="29"/>
      <c r="K24" s="29"/>
      <c r="L24" s="29"/>
      <c r="M24" s="29"/>
      <c r="N24" s="29"/>
      <c r="O24" s="29"/>
      <c r="P24" s="29"/>
      <c r="Q24" s="29"/>
      <c r="R24" s="29"/>
      <c r="S24" s="29"/>
      <c r="T24" s="22"/>
      <c r="V24" s="151"/>
      <c r="W24" s="61" t="s">
        <v>75</v>
      </c>
      <c r="X24" s="201">
        <v>1.2853E-2</v>
      </c>
      <c r="Y24" s="151"/>
      <c r="Z24" s="40"/>
      <c r="AA24" s="40"/>
    </row>
    <row r="25" spans="2:27" ht="15" customHeight="1" x14ac:dyDescent="0.35">
      <c r="B25" s="79"/>
      <c r="F25" s="29"/>
      <c r="G25" s="29"/>
      <c r="H25" s="29"/>
      <c r="I25" s="29"/>
      <c r="J25" s="29"/>
      <c r="K25" s="29"/>
      <c r="L25" s="29"/>
      <c r="M25" s="29"/>
      <c r="N25" s="29"/>
      <c r="O25" s="29"/>
      <c r="P25" s="29"/>
      <c r="Q25" s="29"/>
      <c r="R25" s="29"/>
      <c r="S25" s="29"/>
      <c r="T25" s="22"/>
      <c r="V25" s="151"/>
      <c r="W25" s="61" t="s">
        <v>11</v>
      </c>
      <c r="X25" s="201">
        <v>1.2652E-2</v>
      </c>
      <c r="Y25" s="151"/>
      <c r="Z25" s="40"/>
      <c r="AA25" s="40"/>
    </row>
    <row r="26" spans="2:27" ht="15" customHeight="1" x14ac:dyDescent="0.35">
      <c r="B26" s="79"/>
      <c r="F26" s="29"/>
      <c r="G26" s="29"/>
      <c r="H26" s="29"/>
      <c r="I26" s="29"/>
      <c r="J26" s="29"/>
      <c r="K26" s="29"/>
      <c r="L26" s="29"/>
      <c r="M26" s="29"/>
      <c r="N26" s="29"/>
      <c r="O26" s="29"/>
      <c r="P26" s="29"/>
      <c r="Q26" s="29"/>
      <c r="R26" s="29"/>
      <c r="S26" s="29"/>
      <c r="T26" s="22"/>
      <c r="V26" s="151"/>
      <c r="W26" s="61" t="s">
        <v>82</v>
      </c>
      <c r="X26" s="201">
        <v>1.2402E-2</v>
      </c>
      <c r="Y26" s="151"/>
      <c r="Z26" s="40"/>
      <c r="AA26" s="40"/>
    </row>
    <row r="27" spans="2:27" ht="15" customHeight="1" x14ac:dyDescent="0.35">
      <c r="B27" s="79"/>
      <c r="D27" s="153"/>
      <c r="F27" s="29"/>
      <c r="G27" s="29"/>
      <c r="H27" s="29"/>
      <c r="I27" s="29"/>
      <c r="J27" s="29"/>
      <c r="K27" s="29"/>
      <c r="L27" s="29"/>
      <c r="M27" s="29"/>
      <c r="N27" s="29"/>
      <c r="O27" s="29"/>
      <c r="P27" s="29"/>
      <c r="Q27" s="29"/>
      <c r="R27" s="29"/>
      <c r="S27" s="29"/>
      <c r="T27" s="22"/>
      <c r="V27" s="151"/>
      <c r="W27" s="61" t="s">
        <v>104</v>
      </c>
      <c r="X27" s="201">
        <v>1.1192000000000001E-2</v>
      </c>
      <c r="Y27" s="151"/>
      <c r="Z27" s="40"/>
      <c r="AA27" s="40"/>
    </row>
    <row r="28" spans="2:27" ht="15" customHeight="1" x14ac:dyDescent="0.35">
      <c r="B28" s="79"/>
      <c r="F28" s="29"/>
      <c r="G28" s="29"/>
      <c r="H28" s="29"/>
      <c r="I28" s="29"/>
      <c r="J28" s="29"/>
      <c r="K28" s="29"/>
      <c r="L28" s="29"/>
      <c r="M28" s="29"/>
      <c r="N28" s="29"/>
      <c r="O28" s="29"/>
      <c r="P28" s="29"/>
      <c r="Q28" s="29"/>
      <c r="R28" s="29"/>
      <c r="S28" s="29"/>
      <c r="T28" s="22"/>
      <c r="V28" s="151"/>
      <c r="W28" s="61" t="s">
        <v>131</v>
      </c>
      <c r="X28" s="201">
        <v>1.0767000000000001E-2</v>
      </c>
      <c r="Y28" s="151"/>
      <c r="Z28" s="40"/>
      <c r="AA28" s="40"/>
    </row>
    <row r="29" spans="2:27" ht="15" customHeight="1" x14ac:dyDescent="0.35">
      <c r="B29" s="79"/>
      <c r="F29" s="29"/>
      <c r="G29" s="29"/>
      <c r="H29" s="29"/>
      <c r="I29" s="29"/>
      <c r="J29" s="29"/>
      <c r="K29" s="29"/>
      <c r="L29" s="29"/>
      <c r="M29" s="29"/>
      <c r="N29" s="29"/>
      <c r="O29" s="29"/>
      <c r="P29" s="29"/>
      <c r="Q29" s="29"/>
      <c r="R29" s="29"/>
      <c r="S29" s="29"/>
      <c r="T29" s="22"/>
      <c r="V29" s="151"/>
      <c r="W29" s="61" t="s">
        <v>144</v>
      </c>
      <c r="X29" s="201">
        <v>9.0089999999999996E-3</v>
      </c>
      <c r="Y29" s="151"/>
      <c r="Z29" s="40"/>
      <c r="AA29" s="40"/>
    </row>
    <row r="30" spans="2:27" ht="15" customHeight="1" x14ac:dyDescent="0.35">
      <c r="B30" s="79"/>
      <c r="F30" s="29"/>
      <c r="G30" s="29"/>
      <c r="H30" s="29"/>
      <c r="I30" s="29"/>
      <c r="J30" s="29"/>
      <c r="K30" s="29"/>
      <c r="L30" s="29"/>
      <c r="M30" s="29"/>
      <c r="N30" s="29"/>
      <c r="O30" s="29"/>
      <c r="P30" s="29"/>
      <c r="Q30" s="29"/>
      <c r="R30" s="29"/>
      <c r="S30" s="29"/>
      <c r="T30" s="22"/>
      <c r="V30" s="151"/>
      <c r="W30" s="56" t="s">
        <v>10</v>
      </c>
      <c r="X30" s="201">
        <v>8.6280000000000003E-3</v>
      </c>
      <c r="Y30" s="151"/>
      <c r="Z30" s="40"/>
      <c r="AA30" s="40"/>
    </row>
    <row r="31" spans="2:27" ht="15" customHeight="1" x14ac:dyDescent="0.35">
      <c r="B31" s="79"/>
      <c r="F31" s="29"/>
      <c r="G31" s="29"/>
      <c r="H31" s="29"/>
      <c r="I31" s="29"/>
      <c r="J31" s="29"/>
      <c r="K31" s="29"/>
      <c r="L31" s="29"/>
      <c r="M31" s="29"/>
      <c r="N31" s="29"/>
      <c r="O31" s="29"/>
      <c r="P31" s="29"/>
      <c r="Q31" s="29"/>
      <c r="R31" s="29"/>
      <c r="S31" s="29"/>
      <c r="T31" s="22"/>
      <c r="V31" s="151"/>
      <c r="W31" s="56" t="s">
        <v>321</v>
      </c>
      <c r="X31" s="201">
        <v>8.1709999999999994E-3</v>
      </c>
      <c r="Y31" s="151"/>
      <c r="Z31" s="40"/>
      <c r="AA31" s="40"/>
    </row>
    <row r="32" spans="2:27" ht="15" customHeight="1" thickBot="1" x14ac:dyDescent="0.4">
      <c r="B32" s="80"/>
      <c r="C32" s="81"/>
      <c r="D32" s="81"/>
      <c r="E32" s="81"/>
      <c r="F32" s="81"/>
      <c r="G32" s="81"/>
      <c r="H32" s="81"/>
      <c r="I32" s="81"/>
      <c r="J32" s="81"/>
      <c r="K32" s="81"/>
      <c r="L32" s="81"/>
      <c r="M32" s="81"/>
      <c r="N32" s="81"/>
      <c r="O32" s="81"/>
      <c r="P32" s="81"/>
      <c r="Q32" s="81"/>
      <c r="R32" s="81"/>
      <c r="S32" s="81"/>
      <c r="T32" s="23"/>
      <c r="W32" s="19" t="s">
        <v>24</v>
      </c>
      <c r="X32" s="201">
        <v>7.5980000000000006E-3</v>
      </c>
    </row>
    <row r="33" spans="2:24" ht="15" customHeight="1" thickBot="1" x14ac:dyDescent="0.4">
      <c r="W33" s="19" t="s">
        <v>124</v>
      </c>
      <c r="X33" s="201">
        <v>4.5389999999999996E-3</v>
      </c>
    </row>
    <row r="34" spans="2:24" ht="15" customHeight="1" x14ac:dyDescent="0.35">
      <c r="B34" s="303" t="s">
        <v>179</v>
      </c>
      <c r="C34" s="304"/>
      <c r="D34" s="304"/>
      <c r="E34" s="304"/>
      <c r="F34" s="304"/>
      <c r="G34" s="304"/>
      <c r="H34" s="304"/>
      <c r="I34" s="304"/>
      <c r="J34" s="304"/>
      <c r="K34" s="304"/>
      <c r="L34" s="304"/>
      <c r="M34" s="304"/>
      <c r="N34" s="304"/>
      <c r="O34" s="304"/>
      <c r="P34" s="304"/>
      <c r="Q34" s="304"/>
      <c r="R34" s="305"/>
      <c r="W34" s="19" t="s">
        <v>83</v>
      </c>
      <c r="X34" s="201">
        <v>2.6870000000000002E-3</v>
      </c>
    </row>
    <row r="35" spans="2:24" ht="15" customHeight="1" x14ac:dyDescent="0.35">
      <c r="B35" s="306"/>
      <c r="C35" s="307"/>
      <c r="D35" s="307"/>
      <c r="E35" s="307"/>
      <c r="F35" s="307"/>
      <c r="G35" s="307"/>
      <c r="H35" s="307"/>
      <c r="I35" s="307"/>
      <c r="J35" s="307"/>
      <c r="K35" s="307"/>
      <c r="L35" s="307"/>
      <c r="M35" s="307"/>
      <c r="N35" s="307"/>
      <c r="O35" s="307"/>
      <c r="P35" s="307"/>
      <c r="Q35" s="307"/>
      <c r="R35" s="308"/>
      <c r="W35" s="19" t="s">
        <v>116</v>
      </c>
      <c r="X35" s="201">
        <v>1.0690000000000001E-3</v>
      </c>
    </row>
    <row r="36" spans="2:24" ht="15" customHeight="1" x14ac:dyDescent="0.35">
      <c r="B36" s="306"/>
      <c r="C36" s="307"/>
      <c r="D36" s="307"/>
      <c r="E36" s="307"/>
      <c r="F36" s="307"/>
      <c r="G36" s="307"/>
      <c r="H36" s="307"/>
      <c r="I36" s="307"/>
      <c r="J36" s="307"/>
      <c r="K36" s="307"/>
      <c r="L36" s="307"/>
      <c r="M36" s="307"/>
      <c r="N36" s="307"/>
      <c r="O36" s="307"/>
      <c r="P36" s="307"/>
      <c r="Q36" s="307"/>
      <c r="R36" s="308"/>
      <c r="X36" s="201"/>
    </row>
    <row r="37" spans="2:24" ht="15" customHeight="1" x14ac:dyDescent="0.35">
      <c r="B37" s="306"/>
      <c r="C37" s="307"/>
      <c r="D37" s="307"/>
      <c r="E37" s="307"/>
      <c r="F37" s="307"/>
      <c r="G37" s="307"/>
      <c r="H37" s="307"/>
      <c r="I37" s="307"/>
      <c r="J37" s="307"/>
      <c r="K37" s="307"/>
      <c r="L37" s="307"/>
      <c r="M37" s="307"/>
      <c r="N37" s="307"/>
      <c r="O37" s="307"/>
      <c r="P37" s="307"/>
      <c r="Q37" s="307"/>
      <c r="R37" s="308"/>
      <c r="X37" s="201"/>
    </row>
    <row r="38" spans="2:24" ht="15" customHeight="1" x14ac:dyDescent="0.35">
      <c r="B38" s="306"/>
      <c r="C38" s="307"/>
      <c r="D38" s="307"/>
      <c r="E38" s="307"/>
      <c r="F38" s="307"/>
      <c r="G38" s="307"/>
      <c r="H38" s="307"/>
      <c r="I38" s="307"/>
      <c r="J38" s="307"/>
      <c r="K38" s="307"/>
      <c r="L38" s="307"/>
      <c r="M38" s="307"/>
      <c r="N38" s="307"/>
      <c r="O38" s="307"/>
      <c r="P38" s="307"/>
      <c r="Q38" s="307"/>
      <c r="R38" s="308"/>
      <c r="X38" s="201"/>
    </row>
    <row r="39" spans="2:24" ht="15" customHeight="1" x14ac:dyDescent="0.35">
      <c r="B39" s="306"/>
      <c r="C39" s="307"/>
      <c r="D39" s="307"/>
      <c r="E39" s="307"/>
      <c r="F39" s="307"/>
      <c r="G39" s="307"/>
      <c r="H39" s="307"/>
      <c r="I39" s="307"/>
      <c r="J39" s="307"/>
      <c r="K39" s="307"/>
      <c r="L39" s="307"/>
      <c r="M39" s="307"/>
      <c r="N39" s="307"/>
      <c r="O39" s="307"/>
      <c r="P39" s="307"/>
      <c r="Q39" s="307"/>
      <c r="R39" s="308"/>
      <c r="X39" s="201"/>
    </row>
    <row r="40" spans="2:24" ht="21.75" customHeight="1" thickBot="1" x14ac:dyDescent="0.4">
      <c r="B40" s="309"/>
      <c r="C40" s="310"/>
      <c r="D40" s="310"/>
      <c r="E40" s="310"/>
      <c r="F40" s="310"/>
      <c r="G40" s="310"/>
      <c r="H40" s="310"/>
      <c r="I40" s="310"/>
      <c r="J40" s="310"/>
      <c r="K40" s="310"/>
      <c r="L40" s="310"/>
      <c r="M40" s="310"/>
      <c r="N40" s="310"/>
      <c r="O40" s="310"/>
      <c r="P40" s="310"/>
      <c r="Q40" s="310"/>
      <c r="R40" s="311"/>
      <c r="X40" s="201"/>
    </row>
    <row r="41" spans="2:24" ht="15" customHeight="1" x14ac:dyDescent="0.35">
      <c r="X41" s="201"/>
    </row>
    <row r="42" spans="2:24" ht="15" customHeight="1" x14ac:dyDescent="0.35">
      <c r="X42" s="201"/>
    </row>
    <row r="43" spans="2:24" ht="15" customHeight="1" x14ac:dyDescent="0.35">
      <c r="X43" s="201"/>
    </row>
    <row r="44" spans="2:24" ht="15" customHeight="1" x14ac:dyDescent="0.35">
      <c r="X44" s="201"/>
    </row>
    <row r="45" spans="2:24" ht="15" customHeight="1" x14ac:dyDescent="0.35">
      <c r="X45" s="201"/>
    </row>
    <row r="46" spans="2:24" ht="15" customHeight="1" x14ac:dyDescent="0.35"/>
    <row r="47" spans="2:24" ht="15" customHeight="1" x14ac:dyDescent="0.35"/>
    <row r="48" spans="2:24" ht="15" customHeight="1" x14ac:dyDescent="0.35"/>
    <row r="49" ht="15" customHeight="1" x14ac:dyDescent="0.35"/>
    <row r="50" ht="15" customHeight="1" x14ac:dyDescent="0.35"/>
    <row r="51" ht="15" customHeight="1" x14ac:dyDescent="0.35"/>
    <row r="52" ht="15" customHeight="1" x14ac:dyDescent="0.35"/>
    <row r="53" ht="15" customHeight="1" x14ac:dyDescent="0.35"/>
    <row r="54" ht="15" customHeight="1" x14ac:dyDescent="0.35"/>
    <row r="55" ht="15" customHeight="1" x14ac:dyDescent="0.35"/>
    <row r="56" ht="15" customHeight="1" x14ac:dyDescent="0.35"/>
    <row r="57" ht="15" customHeight="1" x14ac:dyDescent="0.35"/>
    <row r="58" ht="15" customHeight="1" x14ac:dyDescent="0.35"/>
    <row r="59" ht="15" customHeight="1" x14ac:dyDescent="0.35"/>
  </sheetData>
  <sortState ref="W9:X30">
    <sortCondition descending="1" ref="X9:X30"/>
  </sortState>
  <mergeCells count="3">
    <mergeCell ref="C3:S3"/>
    <mergeCell ref="D5:E5"/>
    <mergeCell ref="B34:R40"/>
  </mergeCells>
  <pageMargins left="0.7" right="0.7" top="0.75" bottom="0.75" header="0.3" footer="0.3"/>
  <pageSetup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21"/>
  <dimension ref="A1:Y68"/>
  <sheetViews>
    <sheetView showGridLines="0" zoomScale="75" zoomScaleNormal="75" workbookViewId="0"/>
  </sheetViews>
  <sheetFormatPr defaultColWidth="9.1796875" defaultRowHeight="14.5" x14ac:dyDescent="0.35"/>
  <cols>
    <col min="1" max="1" width="2.81640625" style="19" customWidth="1"/>
    <col min="2" max="2" width="3.81640625" style="19" customWidth="1"/>
    <col min="3" max="3" width="59.1796875" style="19" bestFit="1" customWidth="1"/>
    <col min="4" max="4" width="33.81640625" style="19" bestFit="1" customWidth="1"/>
    <col min="5" max="5" width="10.453125" style="19" bestFit="1" customWidth="1"/>
    <col min="6" max="18" width="9.1796875" style="19"/>
    <col min="19" max="19" width="9.81640625" style="19" customWidth="1"/>
    <col min="20" max="20" width="9.1796875" style="19"/>
    <col min="21" max="21" width="9.1796875" style="39"/>
    <col min="22" max="22" width="11" style="39" customWidth="1"/>
    <col min="23" max="23" width="46.453125" style="39" bestFit="1" customWidth="1"/>
    <col min="24" max="25" width="9.1796875" style="39"/>
    <col min="26" max="16384" width="9.1796875" style="19"/>
  </cols>
  <sheetData>
    <row r="1" spans="1:24" ht="15.75" customHeight="1" thickBot="1" x14ac:dyDescent="0.4">
      <c r="A1" s="3"/>
    </row>
    <row r="2" spans="1:24" ht="15" customHeight="1" x14ac:dyDescent="0.35">
      <c r="B2" s="77"/>
      <c r="C2" s="78"/>
      <c r="D2" s="78"/>
      <c r="E2" s="78"/>
      <c r="F2" s="78"/>
      <c r="G2" s="78"/>
      <c r="H2" s="78"/>
      <c r="I2" s="78"/>
      <c r="J2" s="78"/>
      <c r="K2" s="78"/>
      <c r="L2" s="78"/>
      <c r="M2" s="78"/>
      <c r="N2" s="78"/>
      <c r="O2" s="78"/>
      <c r="P2" s="78"/>
      <c r="Q2" s="78"/>
      <c r="R2" s="78"/>
      <c r="S2" s="78"/>
      <c r="T2" s="21"/>
    </row>
    <row r="3" spans="1:24" ht="20.25" customHeight="1" x14ac:dyDescent="0.35">
      <c r="B3" s="79"/>
      <c r="C3" s="312" t="s">
        <v>203</v>
      </c>
      <c r="D3" s="313"/>
      <c r="E3" s="313"/>
      <c r="F3" s="313"/>
      <c r="G3" s="313"/>
      <c r="H3" s="313"/>
      <c r="I3" s="313"/>
      <c r="J3" s="313"/>
      <c r="K3" s="313"/>
      <c r="L3" s="313"/>
      <c r="M3" s="313"/>
      <c r="N3" s="313"/>
      <c r="O3" s="313"/>
      <c r="P3" s="313"/>
      <c r="Q3" s="313"/>
      <c r="R3" s="313"/>
      <c r="S3" s="313"/>
      <c r="T3" s="22"/>
    </row>
    <row r="4" spans="1:24" ht="15.75" customHeight="1" x14ac:dyDescent="0.35">
      <c r="B4" s="79"/>
      <c r="C4" s="67" t="s">
        <v>434</v>
      </c>
      <c r="D4" s="29"/>
      <c r="E4" s="29"/>
      <c r="F4" s="29"/>
      <c r="G4" s="29"/>
      <c r="H4" s="29"/>
      <c r="I4" s="29"/>
      <c r="J4" s="29"/>
      <c r="K4" s="29"/>
      <c r="L4" s="29"/>
      <c r="M4" s="29"/>
      <c r="N4" s="29"/>
      <c r="O4" s="29"/>
      <c r="P4" s="29"/>
      <c r="Q4" s="29"/>
      <c r="R4" s="29"/>
      <c r="S4" s="29"/>
      <c r="T4" s="22"/>
    </row>
    <row r="5" spans="1:24" ht="18" customHeight="1" x14ac:dyDescent="0.35">
      <c r="B5" s="79"/>
      <c r="C5" s="211" t="s">
        <v>435</v>
      </c>
      <c r="D5" s="314" t="s">
        <v>399</v>
      </c>
      <c r="E5" s="314"/>
      <c r="F5" s="29"/>
      <c r="G5" s="149"/>
      <c r="H5" s="29"/>
      <c r="I5" s="29"/>
      <c r="J5" s="29"/>
      <c r="K5" s="29"/>
      <c r="L5" s="29"/>
      <c r="M5" s="29"/>
      <c r="N5" s="29"/>
      <c r="O5" s="29"/>
      <c r="P5" s="29"/>
      <c r="Q5" s="29"/>
      <c r="R5" s="29"/>
      <c r="S5" s="29"/>
      <c r="T5" s="22"/>
    </row>
    <row r="6" spans="1:24" ht="15" customHeight="1" x14ac:dyDescent="0.35">
      <c r="B6" s="79"/>
      <c r="C6" s="29"/>
      <c r="D6" s="29"/>
      <c r="E6" s="29"/>
      <c r="F6" s="29"/>
      <c r="G6" s="29"/>
      <c r="H6" s="29"/>
      <c r="I6" s="29"/>
      <c r="J6" s="29"/>
      <c r="K6" s="29"/>
      <c r="L6" s="29"/>
      <c r="M6" s="29"/>
      <c r="N6" s="29"/>
      <c r="O6" s="29"/>
      <c r="P6" s="29"/>
      <c r="Q6" s="29"/>
      <c r="R6" s="29"/>
      <c r="S6" s="29"/>
      <c r="T6" s="22"/>
    </row>
    <row r="7" spans="1:24" ht="32.25" customHeight="1" x14ac:dyDescent="0.35">
      <c r="B7" s="79"/>
      <c r="C7" s="68" t="s">
        <v>0</v>
      </c>
      <c r="D7" s="69" t="s">
        <v>1</v>
      </c>
      <c r="E7" s="70" t="s">
        <v>2</v>
      </c>
      <c r="F7" s="29"/>
      <c r="G7" s="29"/>
      <c r="H7" s="29"/>
      <c r="I7" s="29"/>
      <c r="J7" s="29"/>
      <c r="K7" s="29"/>
      <c r="L7" s="29"/>
      <c r="M7" s="29"/>
      <c r="N7" s="29"/>
      <c r="O7" s="29"/>
      <c r="P7" s="29"/>
      <c r="Q7" s="29"/>
      <c r="R7" s="29"/>
      <c r="S7" s="29"/>
      <c r="T7" s="22"/>
      <c r="W7" s="39" t="s">
        <v>22</v>
      </c>
      <c r="X7" s="148" t="s">
        <v>2</v>
      </c>
    </row>
    <row r="8" spans="1:24" ht="15" customHeight="1" x14ac:dyDescent="0.35">
      <c r="B8" s="79"/>
      <c r="C8" s="184" t="s">
        <v>267</v>
      </c>
      <c r="D8" s="185" t="s">
        <v>111</v>
      </c>
      <c r="E8" s="186">
        <v>3.1281999999999997E-2</v>
      </c>
      <c r="F8" s="29"/>
      <c r="G8" s="29"/>
      <c r="H8" s="29"/>
      <c r="I8" s="29"/>
      <c r="J8" s="29"/>
      <c r="K8" s="29"/>
      <c r="L8" s="29"/>
      <c r="M8" s="29"/>
      <c r="N8" s="29"/>
      <c r="O8" s="29"/>
      <c r="P8" s="29"/>
      <c r="Q8" s="29"/>
      <c r="R8" s="29"/>
      <c r="S8" s="29"/>
      <c r="T8" s="22"/>
      <c r="W8" s="166" t="s">
        <v>4</v>
      </c>
      <c r="X8" s="167">
        <v>0.10591500000000001</v>
      </c>
    </row>
    <row r="9" spans="1:24" ht="15.75" customHeight="1" x14ac:dyDescent="0.35">
      <c r="B9" s="79"/>
      <c r="C9" s="180" t="s">
        <v>247</v>
      </c>
      <c r="D9" s="187" t="s">
        <v>113</v>
      </c>
      <c r="E9" s="188">
        <v>2.3826E-2</v>
      </c>
      <c r="F9" s="29"/>
      <c r="G9" s="29"/>
      <c r="H9" s="29"/>
      <c r="I9" s="29"/>
      <c r="J9" s="29"/>
      <c r="K9" s="29"/>
      <c r="L9" s="29"/>
      <c r="M9" s="29"/>
      <c r="N9" s="29"/>
      <c r="O9" s="29"/>
      <c r="P9" s="29"/>
      <c r="Q9" s="29"/>
      <c r="R9" s="29"/>
      <c r="S9" s="29"/>
      <c r="T9" s="22"/>
      <c r="W9" s="166" t="s">
        <v>111</v>
      </c>
      <c r="X9" s="167">
        <v>8.4967000000000001E-2</v>
      </c>
    </row>
    <row r="10" spans="1:24" ht="15" customHeight="1" x14ac:dyDescent="0.35">
      <c r="B10" s="79"/>
      <c r="C10" s="180" t="s">
        <v>248</v>
      </c>
      <c r="D10" s="187" t="s">
        <v>3</v>
      </c>
      <c r="E10" s="188">
        <v>2.3307999999999999E-2</v>
      </c>
      <c r="F10" s="29"/>
      <c r="G10" s="29"/>
      <c r="H10" s="29"/>
      <c r="I10" s="29"/>
      <c r="J10" s="29"/>
      <c r="K10" s="29"/>
      <c r="L10" s="29"/>
      <c r="M10" s="29"/>
      <c r="N10" s="29"/>
      <c r="O10" s="29"/>
      <c r="P10" s="29"/>
      <c r="Q10" s="29"/>
      <c r="R10" s="29"/>
      <c r="S10" s="29"/>
      <c r="T10" s="22"/>
      <c r="W10" s="166" t="s">
        <v>109</v>
      </c>
      <c r="X10" s="167">
        <v>8.4488000000000008E-2</v>
      </c>
    </row>
    <row r="11" spans="1:24" ht="15" customHeight="1" x14ac:dyDescent="0.35">
      <c r="B11" s="79"/>
      <c r="C11" s="180" t="s">
        <v>184</v>
      </c>
      <c r="D11" s="187" t="s">
        <v>4</v>
      </c>
      <c r="E11" s="188">
        <v>2.1940999999999999E-2</v>
      </c>
      <c r="F11" s="29"/>
      <c r="G11" s="29"/>
      <c r="H11" s="29"/>
      <c r="I11" s="29"/>
      <c r="J11" s="29"/>
      <c r="K11" s="29"/>
      <c r="L11" s="29"/>
      <c r="M11" s="29"/>
      <c r="N11" s="29"/>
      <c r="O11" s="29"/>
      <c r="P11" s="29"/>
      <c r="Q11" s="29"/>
      <c r="R11" s="29"/>
      <c r="S11" s="29"/>
      <c r="T11" s="22"/>
      <c r="W11" s="166" t="s">
        <v>3</v>
      </c>
      <c r="X11" s="167">
        <v>6.6157000000000007E-2</v>
      </c>
    </row>
    <row r="12" spans="1:24" ht="15" customHeight="1" x14ac:dyDescent="0.35">
      <c r="B12" s="79"/>
      <c r="C12" s="180" t="s">
        <v>333</v>
      </c>
      <c r="D12" s="187" t="s">
        <v>114</v>
      </c>
      <c r="E12" s="188">
        <v>1.8905000000000002E-2</v>
      </c>
      <c r="F12" s="29"/>
      <c r="G12" s="29"/>
      <c r="H12" s="29"/>
      <c r="I12" s="29"/>
      <c r="J12" s="29"/>
      <c r="K12" s="29"/>
      <c r="L12" s="29"/>
      <c r="M12" s="29"/>
      <c r="N12" s="29"/>
      <c r="O12" s="29"/>
      <c r="P12" s="29"/>
      <c r="Q12" s="29"/>
      <c r="R12" s="29"/>
      <c r="S12" s="29"/>
      <c r="T12" s="22"/>
      <c r="W12" s="166" t="s">
        <v>114</v>
      </c>
      <c r="X12" s="167">
        <v>4.7746999999999998E-2</v>
      </c>
    </row>
    <row r="13" spans="1:24" ht="15" customHeight="1" x14ac:dyDescent="0.35">
      <c r="B13" s="79"/>
      <c r="C13" s="180" t="s">
        <v>193</v>
      </c>
      <c r="D13" s="187" t="s">
        <v>120</v>
      </c>
      <c r="E13" s="188">
        <v>1.8252999999999998E-2</v>
      </c>
      <c r="F13" s="29"/>
      <c r="G13" s="29"/>
      <c r="H13" s="29"/>
      <c r="I13" s="29"/>
      <c r="J13" s="29"/>
      <c r="K13" s="29"/>
      <c r="L13" s="29"/>
      <c r="M13" s="29"/>
      <c r="N13" s="29"/>
      <c r="O13" s="29"/>
      <c r="P13" s="29"/>
      <c r="Q13" s="29"/>
      <c r="R13" s="29"/>
      <c r="S13" s="29"/>
      <c r="T13" s="22"/>
      <c r="W13" s="166" t="s">
        <v>120</v>
      </c>
      <c r="X13" s="167">
        <v>4.3746E-2</v>
      </c>
    </row>
    <row r="14" spans="1:24" ht="15" customHeight="1" x14ac:dyDescent="0.35">
      <c r="B14" s="79"/>
      <c r="C14" s="180" t="s">
        <v>334</v>
      </c>
      <c r="D14" s="187" t="s">
        <v>75</v>
      </c>
      <c r="E14" s="188">
        <v>1.5565000000000001E-2</v>
      </c>
      <c r="F14" s="29"/>
      <c r="G14" s="29"/>
      <c r="H14" s="29"/>
      <c r="I14" s="29"/>
      <c r="J14" s="29"/>
      <c r="K14" s="29"/>
      <c r="L14" s="29"/>
      <c r="M14" s="29"/>
      <c r="N14" s="29"/>
      <c r="O14" s="29"/>
      <c r="P14" s="29"/>
      <c r="Q14" s="29"/>
      <c r="R14" s="29"/>
      <c r="S14" s="29"/>
      <c r="T14" s="22"/>
      <c r="W14" s="166" t="s">
        <v>83</v>
      </c>
      <c r="X14" s="167">
        <v>4.0031999999999998E-2</v>
      </c>
    </row>
    <row r="15" spans="1:24" ht="15" customHeight="1" x14ac:dyDescent="0.35">
      <c r="B15" s="79"/>
      <c r="C15" s="180" t="s">
        <v>192</v>
      </c>
      <c r="D15" s="187" t="s">
        <v>117</v>
      </c>
      <c r="E15" s="188">
        <v>1.4382000000000001E-2</v>
      </c>
      <c r="F15" s="29"/>
      <c r="G15" s="29"/>
      <c r="H15" s="29"/>
      <c r="I15" s="29"/>
      <c r="J15" s="29"/>
      <c r="K15" s="29"/>
      <c r="L15" s="29"/>
      <c r="M15" s="29"/>
      <c r="N15" s="29"/>
      <c r="O15" s="29"/>
      <c r="P15" s="29"/>
      <c r="Q15" s="29"/>
      <c r="R15" s="29"/>
      <c r="S15" s="29"/>
      <c r="T15" s="22"/>
      <c r="W15" s="166" t="s">
        <v>24</v>
      </c>
      <c r="X15" s="167">
        <v>3.9862999999999996E-2</v>
      </c>
    </row>
    <row r="16" spans="1:24" ht="15" customHeight="1" x14ac:dyDescent="0.35">
      <c r="B16" s="79"/>
      <c r="C16" s="180" t="s">
        <v>69</v>
      </c>
      <c r="D16" s="187" t="s">
        <v>4</v>
      </c>
      <c r="E16" s="188">
        <v>1.4272999999999999E-2</v>
      </c>
      <c r="F16" s="29"/>
      <c r="G16" s="29"/>
      <c r="H16" s="29"/>
      <c r="I16" s="29"/>
      <c r="J16" s="29"/>
      <c r="K16" s="29"/>
      <c r="L16" s="29"/>
      <c r="M16" s="29"/>
      <c r="N16" s="29"/>
      <c r="O16" s="29"/>
      <c r="P16" s="29"/>
      <c r="Q16" s="29"/>
      <c r="R16" s="29"/>
      <c r="S16" s="29"/>
      <c r="T16" s="22"/>
      <c r="W16" s="166" t="s">
        <v>117</v>
      </c>
      <c r="X16" s="167">
        <v>3.7838000000000004E-2</v>
      </c>
    </row>
    <row r="17" spans="2:24" ht="15" customHeight="1" x14ac:dyDescent="0.35">
      <c r="B17" s="79"/>
      <c r="C17" s="180" t="s">
        <v>257</v>
      </c>
      <c r="D17" s="187" t="s">
        <v>3</v>
      </c>
      <c r="E17" s="188">
        <v>1.3195999999999999E-2</v>
      </c>
      <c r="F17" s="29"/>
      <c r="G17" s="29"/>
      <c r="H17" s="29"/>
      <c r="I17" s="29"/>
      <c r="J17" s="29"/>
      <c r="K17" s="29"/>
      <c r="L17" s="29"/>
      <c r="M17" s="29"/>
      <c r="N17" s="29"/>
      <c r="O17" s="29"/>
      <c r="P17" s="29"/>
      <c r="Q17" s="29"/>
      <c r="R17" s="29"/>
      <c r="S17" s="29"/>
      <c r="T17" s="22"/>
      <c r="W17" s="166" t="s">
        <v>16</v>
      </c>
      <c r="X17" s="167">
        <v>3.7071000000000007E-2</v>
      </c>
    </row>
    <row r="18" spans="2:24" ht="15" customHeight="1" x14ac:dyDescent="0.35">
      <c r="B18" s="79"/>
      <c r="C18" s="180" t="s">
        <v>74</v>
      </c>
      <c r="D18" s="187" t="s">
        <v>4</v>
      </c>
      <c r="E18" s="188">
        <v>1.308E-2</v>
      </c>
      <c r="F18" s="29"/>
      <c r="G18" s="29"/>
      <c r="H18" s="29"/>
      <c r="I18" s="29"/>
      <c r="J18" s="29"/>
      <c r="K18" s="29"/>
      <c r="L18" s="29"/>
      <c r="M18" s="29"/>
      <c r="N18" s="29"/>
      <c r="O18" s="29"/>
      <c r="P18" s="29"/>
      <c r="Q18" s="29"/>
      <c r="R18" s="29"/>
      <c r="S18" s="29"/>
      <c r="T18" s="22"/>
      <c r="W18" s="166" t="s">
        <v>75</v>
      </c>
      <c r="X18" s="167">
        <v>3.2167999999999995E-2</v>
      </c>
    </row>
    <row r="19" spans="2:24" ht="15" customHeight="1" x14ac:dyDescent="0.35">
      <c r="B19" s="79"/>
      <c r="C19" s="180" t="s">
        <v>76</v>
      </c>
      <c r="D19" s="187" t="s">
        <v>24</v>
      </c>
      <c r="E19" s="188">
        <v>1.259E-2</v>
      </c>
      <c r="F19" s="29"/>
      <c r="G19" s="29"/>
      <c r="H19" s="29"/>
      <c r="I19" s="29"/>
      <c r="J19" s="29"/>
      <c r="K19" s="29"/>
      <c r="L19" s="29"/>
      <c r="M19" s="29"/>
      <c r="N19" s="29"/>
      <c r="O19" s="29"/>
      <c r="P19" s="29"/>
      <c r="Q19" s="29"/>
      <c r="R19" s="29"/>
      <c r="S19" s="29"/>
      <c r="T19" s="22"/>
      <c r="W19" s="166" t="s">
        <v>113</v>
      </c>
      <c r="X19" s="167">
        <v>2.7726000000000001E-2</v>
      </c>
    </row>
    <row r="20" spans="2:24" ht="15" customHeight="1" x14ac:dyDescent="0.35">
      <c r="B20" s="79"/>
      <c r="C20" s="180" t="s">
        <v>133</v>
      </c>
      <c r="D20" s="187" t="s">
        <v>3</v>
      </c>
      <c r="E20" s="188">
        <v>1.123E-2</v>
      </c>
      <c r="F20" s="29"/>
      <c r="G20" s="29"/>
      <c r="H20" s="29"/>
      <c r="I20" s="29"/>
      <c r="J20" s="29"/>
      <c r="K20" s="29"/>
      <c r="L20" s="29"/>
      <c r="M20" s="29"/>
      <c r="N20" s="29"/>
      <c r="O20" s="29"/>
      <c r="P20" s="29"/>
      <c r="Q20" s="29"/>
      <c r="R20" s="29"/>
      <c r="S20" s="29"/>
      <c r="T20" s="22"/>
      <c r="W20" s="166" t="s">
        <v>108</v>
      </c>
      <c r="X20" s="167">
        <v>2.7142999999999997E-2</v>
      </c>
    </row>
    <row r="21" spans="2:24" ht="15" customHeight="1" x14ac:dyDescent="0.35">
      <c r="B21" s="79"/>
      <c r="C21" s="180" t="s">
        <v>367</v>
      </c>
      <c r="D21" s="187" t="s">
        <v>117</v>
      </c>
      <c r="E21" s="188">
        <v>1.1220000000000001E-2</v>
      </c>
      <c r="F21" s="29"/>
      <c r="G21" s="29"/>
      <c r="H21" s="29"/>
      <c r="I21" s="29"/>
      <c r="J21" s="29"/>
      <c r="K21" s="29"/>
      <c r="L21" s="29"/>
      <c r="M21" s="29"/>
      <c r="N21" s="29"/>
      <c r="O21" s="29"/>
      <c r="P21" s="29"/>
      <c r="Q21" s="29"/>
      <c r="R21" s="29"/>
      <c r="S21" s="29"/>
      <c r="T21" s="22"/>
      <c r="W21" s="166" t="s">
        <v>26</v>
      </c>
      <c r="X21" s="167">
        <v>1.9927999999999998E-2</v>
      </c>
    </row>
    <row r="22" spans="2:24" ht="15" customHeight="1" x14ac:dyDescent="0.35">
      <c r="B22" s="79"/>
      <c r="C22" s="180" t="s">
        <v>198</v>
      </c>
      <c r="D22" s="187" t="s">
        <v>4</v>
      </c>
      <c r="E22" s="188">
        <v>1.1049E-2</v>
      </c>
      <c r="F22" s="29"/>
      <c r="G22" s="29"/>
      <c r="H22" s="29"/>
      <c r="I22" s="29"/>
      <c r="J22" s="29"/>
      <c r="K22" s="29"/>
      <c r="L22" s="29"/>
      <c r="M22" s="29"/>
      <c r="N22" s="29"/>
      <c r="O22" s="29"/>
      <c r="P22" s="29"/>
      <c r="Q22" s="29"/>
      <c r="R22" s="29"/>
      <c r="S22" s="29"/>
      <c r="T22" s="22"/>
      <c r="W22" s="166" t="s">
        <v>124</v>
      </c>
      <c r="X22" s="167">
        <v>1.5795000000000003E-2</v>
      </c>
    </row>
    <row r="23" spans="2:24" ht="15" customHeight="1" x14ac:dyDescent="0.35">
      <c r="B23" s="79"/>
      <c r="C23" s="71"/>
      <c r="D23" s="150"/>
      <c r="E23" s="72"/>
      <c r="F23" s="29"/>
      <c r="G23" s="29"/>
      <c r="H23" s="29"/>
      <c r="I23" s="29"/>
      <c r="J23" s="29"/>
      <c r="K23" s="29"/>
      <c r="L23" s="29"/>
      <c r="M23" s="29"/>
      <c r="N23" s="29"/>
      <c r="O23" s="29"/>
      <c r="P23" s="29"/>
      <c r="Q23" s="29"/>
      <c r="R23" s="29"/>
      <c r="S23" s="29"/>
      <c r="T23" s="22"/>
      <c r="W23" s="166" t="s">
        <v>122</v>
      </c>
      <c r="X23" s="167">
        <v>1.494E-2</v>
      </c>
    </row>
    <row r="24" spans="2:24" ht="15" customHeight="1" x14ac:dyDescent="0.35">
      <c r="B24" s="79"/>
      <c r="C24" s="73" t="s">
        <v>55</v>
      </c>
      <c r="D24" s="74"/>
      <c r="E24" s="75">
        <f>SUM(E8:E22)</f>
        <v>0.25409999999999999</v>
      </c>
      <c r="F24" s="29"/>
      <c r="G24" s="29"/>
      <c r="H24" s="29"/>
      <c r="I24" s="29"/>
      <c r="J24" s="29"/>
      <c r="K24" s="29"/>
      <c r="L24" s="29"/>
      <c r="M24" s="29"/>
      <c r="N24" s="29"/>
      <c r="O24" s="29"/>
      <c r="P24" s="29"/>
      <c r="Q24" s="29"/>
      <c r="R24" s="29"/>
      <c r="S24" s="29"/>
      <c r="T24" s="22"/>
      <c r="W24" s="166" t="s">
        <v>82</v>
      </c>
      <c r="X24" s="167">
        <v>1.4725E-2</v>
      </c>
    </row>
    <row r="25" spans="2:24" ht="15" customHeight="1" x14ac:dyDescent="0.35">
      <c r="B25" s="79"/>
      <c r="F25" s="29"/>
      <c r="G25" s="29"/>
      <c r="H25" s="29"/>
      <c r="I25" s="29"/>
      <c r="J25" s="29"/>
      <c r="K25" s="29"/>
      <c r="L25" s="29"/>
      <c r="M25" s="29"/>
      <c r="N25" s="29"/>
      <c r="O25" s="29"/>
      <c r="P25" s="29"/>
      <c r="Q25" s="29"/>
      <c r="R25" s="29"/>
      <c r="S25" s="29"/>
      <c r="T25" s="22"/>
      <c r="W25" s="166" t="s">
        <v>23</v>
      </c>
      <c r="X25" s="167">
        <v>1.3431000000000002E-2</v>
      </c>
    </row>
    <row r="26" spans="2:24" ht="15" customHeight="1" x14ac:dyDescent="0.35">
      <c r="B26" s="79"/>
      <c r="F26" s="29"/>
      <c r="G26" s="29"/>
      <c r="H26" s="29"/>
      <c r="I26" s="29"/>
      <c r="J26" s="29"/>
      <c r="K26" s="29"/>
      <c r="L26" s="29"/>
      <c r="M26" s="29"/>
      <c r="N26" s="29"/>
      <c r="O26" s="29"/>
      <c r="P26" s="29"/>
      <c r="Q26" s="29"/>
      <c r="R26" s="29"/>
      <c r="S26" s="29"/>
      <c r="T26" s="22"/>
      <c r="W26" s="166" t="s">
        <v>135</v>
      </c>
      <c r="X26" s="167">
        <v>1.2999E-2</v>
      </c>
    </row>
    <row r="27" spans="2:24" ht="15" customHeight="1" x14ac:dyDescent="0.35">
      <c r="B27" s="79"/>
      <c r="F27" s="29"/>
      <c r="G27" s="29"/>
      <c r="H27" s="29"/>
      <c r="I27" s="29"/>
      <c r="J27" s="29"/>
      <c r="K27" s="29"/>
      <c r="L27" s="29"/>
      <c r="M27" s="29"/>
      <c r="N27" s="29"/>
      <c r="O27" s="29"/>
      <c r="P27" s="29"/>
      <c r="Q27" s="29"/>
      <c r="R27" s="29"/>
      <c r="S27" s="29"/>
      <c r="T27" s="22"/>
      <c r="W27" s="166" t="s">
        <v>10</v>
      </c>
      <c r="X27" s="167">
        <v>1.0713E-2</v>
      </c>
    </row>
    <row r="28" spans="2:24" ht="15" customHeight="1" x14ac:dyDescent="0.35">
      <c r="B28" s="79"/>
      <c r="F28" s="29"/>
      <c r="G28" s="29"/>
      <c r="H28" s="29"/>
      <c r="I28" s="29"/>
      <c r="J28" s="29"/>
      <c r="K28" s="29"/>
      <c r="L28" s="29"/>
      <c r="M28" s="29"/>
      <c r="N28" s="29"/>
      <c r="O28" s="29"/>
      <c r="P28" s="29"/>
      <c r="Q28" s="29"/>
      <c r="R28" s="29"/>
      <c r="S28" s="29"/>
      <c r="T28" s="22"/>
      <c r="W28" s="166" t="s">
        <v>105</v>
      </c>
      <c r="X28" s="167">
        <v>1.0172E-2</v>
      </c>
    </row>
    <row r="29" spans="2:24" ht="15" customHeight="1" x14ac:dyDescent="0.35">
      <c r="B29" s="79"/>
      <c r="F29" s="29"/>
      <c r="G29" s="29"/>
      <c r="H29" s="29"/>
      <c r="I29" s="29"/>
      <c r="J29" s="29"/>
      <c r="K29" s="29"/>
      <c r="L29" s="29"/>
      <c r="M29" s="29"/>
      <c r="N29" s="29"/>
      <c r="O29" s="29"/>
      <c r="P29" s="29"/>
      <c r="Q29" s="29"/>
      <c r="R29" s="29"/>
      <c r="S29" s="29"/>
      <c r="T29" s="22"/>
      <c r="W29" s="166" t="s">
        <v>112</v>
      </c>
      <c r="X29" s="167">
        <v>1.0081E-2</v>
      </c>
    </row>
    <row r="30" spans="2:24" ht="15" customHeight="1" x14ac:dyDescent="0.35">
      <c r="B30" s="79"/>
      <c r="F30" s="29"/>
      <c r="G30" s="29"/>
      <c r="H30" s="29"/>
      <c r="I30" s="29"/>
      <c r="J30" s="29"/>
      <c r="K30" s="29"/>
      <c r="L30" s="29"/>
      <c r="M30" s="29"/>
      <c r="N30" s="29"/>
      <c r="O30" s="29"/>
      <c r="P30" s="29"/>
      <c r="Q30" s="29"/>
      <c r="R30" s="29"/>
      <c r="S30" s="29"/>
      <c r="T30" s="22"/>
      <c r="W30" s="166" t="s">
        <v>104</v>
      </c>
      <c r="X30" s="167">
        <v>1.0058000000000001E-2</v>
      </c>
    </row>
    <row r="31" spans="2:24" ht="15" customHeight="1" x14ac:dyDescent="0.35">
      <c r="B31" s="79"/>
      <c r="F31" s="29"/>
      <c r="G31" s="29"/>
      <c r="H31" s="29"/>
      <c r="I31" s="29"/>
      <c r="J31" s="29"/>
      <c r="K31" s="29"/>
      <c r="L31" s="29"/>
      <c r="M31" s="29"/>
      <c r="N31" s="29"/>
      <c r="O31" s="29"/>
      <c r="P31" s="29"/>
      <c r="Q31" s="29"/>
      <c r="R31" s="29"/>
      <c r="S31" s="29"/>
      <c r="T31" s="22"/>
      <c r="W31" s="166" t="s">
        <v>227</v>
      </c>
      <c r="X31" s="167">
        <v>9.6579999999999999E-3</v>
      </c>
    </row>
    <row r="32" spans="2:24" ht="15" customHeight="1" x14ac:dyDescent="0.35">
      <c r="B32" s="79"/>
      <c r="F32" s="29"/>
      <c r="G32" s="29"/>
      <c r="H32" s="29"/>
      <c r="I32" s="29"/>
      <c r="J32" s="29"/>
      <c r="K32" s="29"/>
      <c r="L32" s="29"/>
      <c r="M32" s="29"/>
      <c r="N32" s="29"/>
      <c r="O32" s="29"/>
      <c r="P32" s="29"/>
      <c r="Q32" s="29"/>
      <c r="R32" s="29"/>
      <c r="S32" s="29"/>
      <c r="T32" s="22"/>
      <c r="W32" s="166" t="s">
        <v>131</v>
      </c>
      <c r="X32" s="167">
        <v>8.2019999999999992E-3</v>
      </c>
    </row>
    <row r="33" spans="2:24" ht="15.75" customHeight="1" x14ac:dyDescent="0.35">
      <c r="B33" s="79"/>
      <c r="F33" s="29"/>
      <c r="G33" s="29"/>
      <c r="H33" s="29"/>
      <c r="I33" s="29"/>
      <c r="J33" s="29"/>
      <c r="K33" s="29"/>
      <c r="L33" s="29"/>
      <c r="M33" s="29"/>
      <c r="N33" s="29"/>
      <c r="O33" s="29"/>
      <c r="P33" s="29"/>
      <c r="Q33" s="29"/>
      <c r="R33" s="29"/>
      <c r="S33" s="29"/>
      <c r="T33" s="22"/>
      <c r="W33" s="166" t="s">
        <v>6</v>
      </c>
      <c r="X33" s="167">
        <v>6.3020000000000003E-3</v>
      </c>
    </row>
    <row r="34" spans="2:24" ht="15.75" customHeight="1" x14ac:dyDescent="0.35">
      <c r="B34" s="79"/>
      <c r="F34" s="29"/>
      <c r="G34" s="29"/>
      <c r="H34" s="29"/>
      <c r="I34" s="29"/>
      <c r="J34" s="29"/>
      <c r="K34" s="29"/>
      <c r="L34" s="29"/>
      <c r="M34" s="29"/>
      <c r="N34" s="29"/>
      <c r="O34" s="29"/>
      <c r="P34" s="29"/>
      <c r="Q34" s="29"/>
      <c r="R34" s="29"/>
      <c r="S34" s="29"/>
      <c r="T34" s="22"/>
      <c r="W34" s="166" t="s">
        <v>11</v>
      </c>
      <c r="X34" s="167">
        <v>5.9829999999999996E-3</v>
      </c>
    </row>
    <row r="35" spans="2:24" ht="15.75" customHeight="1" x14ac:dyDescent="0.35">
      <c r="B35" s="79"/>
      <c r="F35" s="29"/>
      <c r="G35" s="29"/>
      <c r="H35" s="29"/>
      <c r="I35" s="29"/>
      <c r="J35" s="29"/>
      <c r="K35" s="29"/>
      <c r="L35" s="29"/>
      <c r="M35" s="29"/>
      <c r="N35" s="29"/>
      <c r="O35" s="29"/>
      <c r="P35" s="29"/>
      <c r="Q35" s="29"/>
      <c r="R35" s="29"/>
      <c r="S35" s="29"/>
      <c r="T35" s="22"/>
      <c r="W35" s="166" t="s">
        <v>106</v>
      </c>
      <c r="X35" s="167">
        <v>5.1240000000000001E-3</v>
      </c>
    </row>
    <row r="36" spans="2:24" ht="15.75" customHeight="1" x14ac:dyDescent="0.35">
      <c r="B36" s="79"/>
      <c r="F36" s="29"/>
      <c r="G36" s="29"/>
      <c r="H36" s="29"/>
      <c r="I36" s="29"/>
      <c r="J36" s="29"/>
      <c r="K36" s="29"/>
      <c r="L36" s="29"/>
      <c r="M36" s="29"/>
      <c r="N36" s="29"/>
      <c r="O36" s="29"/>
      <c r="P36" s="29"/>
      <c r="Q36" s="29"/>
      <c r="R36" s="29"/>
      <c r="S36" s="29"/>
      <c r="T36" s="22"/>
      <c r="W36" s="166" t="s">
        <v>123</v>
      </c>
      <c r="X36" s="167">
        <v>4.8419999999999999E-3</v>
      </c>
    </row>
    <row r="37" spans="2:24" ht="15.75" customHeight="1" x14ac:dyDescent="0.35">
      <c r="B37" s="79"/>
      <c r="F37" s="29"/>
      <c r="G37" s="29"/>
      <c r="H37" s="29"/>
      <c r="I37" s="29"/>
      <c r="J37" s="29"/>
      <c r="K37" s="29"/>
      <c r="L37" s="29"/>
      <c r="M37" s="29"/>
      <c r="N37" s="29"/>
      <c r="O37" s="29"/>
      <c r="P37" s="29"/>
      <c r="Q37" s="29"/>
      <c r="R37" s="29"/>
      <c r="S37" s="29"/>
      <c r="T37" s="22"/>
      <c r="W37" s="166" t="s">
        <v>380</v>
      </c>
      <c r="X37" s="167">
        <v>4.483E-3</v>
      </c>
    </row>
    <row r="38" spans="2:24" ht="15" customHeight="1" thickBot="1" x14ac:dyDescent="0.4">
      <c r="B38" s="80"/>
      <c r="C38" s="81"/>
      <c r="D38" s="81"/>
      <c r="E38" s="81"/>
      <c r="F38" s="81"/>
      <c r="G38" s="81"/>
      <c r="H38" s="81"/>
      <c r="I38" s="81"/>
      <c r="J38" s="81"/>
      <c r="K38" s="81"/>
      <c r="L38" s="81"/>
      <c r="M38" s="81"/>
      <c r="N38" s="81"/>
      <c r="O38" s="81"/>
      <c r="P38" s="81"/>
      <c r="Q38" s="81"/>
      <c r="R38" s="81"/>
      <c r="S38" s="81"/>
      <c r="T38" s="23"/>
      <c r="W38" s="166" t="s">
        <v>116</v>
      </c>
      <c r="X38" s="167">
        <v>3.431E-3</v>
      </c>
    </row>
    <row r="39" spans="2:24" ht="15" customHeight="1" thickBot="1" x14ac:dyDescent="0.4">
      <c r="W39" s="166" t="s">
        <v>121</v>
      </c>
      <c r="X39" s="167">
        <v>3.3019999999999998E-3</v>
      </c>
    </row>
    <row r="40" spans="2:24" ht="15" customHeight="1" x14ac:dyDescent="0.35">
      <c r="B40" s="303" t="s">
        <v>179</v>
      </c>
      <c r="C40" s="304"/>
      <c r="D40" s="304"/>
      <c r="E40" s="304"/>
      <c r="F40" s="304"/>
      <c r="G40" s="304"/>
      <c r="H40" s="304"/>
      <c r="I40" s="304"/>
      <c r="J40" s="304"/>
      <c r="K40" s="304"/>
      <c r="L40" s="304"/>
      <c r="M40" s="304"/>
      <c r="N40" s="304"/>
      <c r="O40" s="304"/>
      <c r="P40" s="304"/>
      <c r="Q40" s="304"/>
      <c r="R40" s="305"/>
      <c r="W40" s="166" t="s">
        <v>182</v>
      </c>
      <c r="X40" s="167">
        <v>3.1259999999999999E-3</v>
      </c>
    </row>
    <row r="41" spans="2:24" ht="15" customHeight="1" x14ac:dyDescent="0.35">
      <c r="B41" s="306"/>
      <c r="C41" s="307"/>
      <c r="D41" s="307"/>
      <c r="E41" s="307"/>
      <c r="F41" s="307"/>
      <c r="G41" s="307"/>
      <c r="H41" s="307"/>
      <c r="I41" s="307"/>
      <c r="J41" s="307"/>
      <c r="K41" s="307"/>
      <c r="L41" s="307"/>
      <c r="M41" s="307"/>
      <c r="N41" s="307"/>
      <c r="O41" s="307"/>
      <c r="P41" s="307"/>
      <c r="Q41" s="307"/>
      <c r="R41" s="308"/>
      <c r="W41" s="166" t="s">
        <v>93</v>
      </c>
      <c r="X41" s="167">
        <v>2.745E-3</v>
      </c>
    </row>
    <row r="42" spans="2:24" ht="15" customHeight="1" x14ac:dyDescent="0.35">
      <c r="B42" s="306"/>
      <c r="C42" s="307"/>
      <c r="D42" s="307"/>
      <c r="E42" s="307"/>
      <c r="F42" s="307"/>
      <c r="G42" s="307"/>
      <c r="H42" s="307"/>
      <c r="I42" s="307"/>
      <c r="J42" s="307"/>
      <c r="K42" s="307"/>
      <c r="L42" s="307"/>
      <c r="M42" s="307"/>
      <c r="N42" s="307"/>
      <c r="O42" s="307"/>
      <c r="P42" s="307"/>
      <c r="Q42" s="307"/>
      <c r="R42" s="308"/>
      <c r="W42" s="166" t="s">
        <v>85</v>
      </c>
      <c r="X42" s="167">
        <v>2.7049999999999999E-3</v>
      </c>
    </row>
    <row r="43" spans="2:24" ht="15" customHeight="1" x14ac:dyDescent="0.35">
      <c r="B43" s="306"/>
      <c r="C43" s="307"/>
      <c r="D43" s="307"/>
      <c r="E43" s="307"/>
      <c r="F43" s="307"/>
      <c r="G43" s="307"/>
      <c r="H43" s="307"/>
      <c r="I43" s="307"/>
      <c r="J43" s="307"/>
      <c r="K43" s="307"/>
      <c r="L43" s="307"/>
      <c r="M43" s="307"/>
      <c r="N43" s="307"/>
      <c r="O43" s="307"/>
      <c r="P43" s="307"/>
      <c r="Q43" s="307"/>
      <c r="R43" s="308"/>
      <c r="W43" s="166" t="s">
        <v>15</v>
      </c>
      <c r="X43" s="167">
        <v>2.581E-3</v>
      </c>
    </row>
    <row r="44" spans="2:24" ht="15" customHeight="1" x14ac:dyDescent="0.35">
      <c r="B44" s="306"/>
      <c r="C44" s="307"/>
      <c r="D44" s="307"/>
      <c r="E44" s="307"/>
      <c r="F44" s="307"/>
      <c r="G44" s="307"/>
      <c r="H44" s="307"/>
      <c r="I44" s="307"/>
      <c r="J44" s="307"/>
      <c r="K44" s="307"/>
      <c r="L44" s="307"/>
      <c r="M44" s="307"/>
      <c r="N44" s="307"/>
      <c r="O44" s="307"/>
      <c r="P44" s="307"/>
      <c r="Q44" s="307"/>
      <c r="R44" s="308"/>
      <c r="W44" s="166" t="s">
        <v>119</v>
      </c>
      <c r="X44" s="167">
        <v>2.1419999999999998E-3</v>
      </c>
    </row>
    <row r="45" spans="2:24" ht="15" customHeight="1" x14ac:dyDescent="0.35">
      <c r="B45" s="306"/>
      <c r="C45" s="307"/>
      <c r="D45" s="307"/>
      <c r="E45" s="307"/>
      <c r="F45" s="307"/>
      <c r="G45" s="307"/>
      <c r="H45" s="307"/>
      <c r="I45" s="307"/>
      <c r="J45" s="307"/>
      <c r="K45" s="307"/>
      <c r="L45" s="307"/>
      <c r="M45" s="307"/>
      <c r="N45" s="307"/>
      <c r="O45" s="307"/>
      <c r="P45" s="307"/>
      <c r="Q45" s="307"/>
      <c r="R45" s="308"/>
      <c r="W45" s="166" t="s">
        <v>81</v>
      </c>
      <c r="X45" s="167">
        <v>2.052E-3</v>
      </c>
    </row>
    <row r="46" spans="2:24" ht="15" customHeight="1" thickBot="1" x14ac:dyDescent="0.4">
      <c r="B46" s="309"/>
      <c r="C46" s="310"/>
      <c r="D46" s="310"/>
      <c r="E46" s="310"/>
      <c r="F46" s="310"/>
      <c r="G46" s="310"/>
      <c r="H46" s="310"/>
      <c r="I46" s="310"/>
      <c r="J46" s="310"/>
      <c r="K46" s="310"/>
      <c r="L46" s="310"/>
      <c r="M46" s="310"/>
      <c r="N46" s="310"/>
      <c r="O46" s="310"/>
      <c r="P46" s="310"/>
      <c r="Q46" s="310"/>
      <c r="R46" s="311"/>
      <c r="W46" s="166" t="s">
        <v>25</v>
      </c>
      <c r="X46" s="167">
        <v>2.006E-3</v>
      </c>
    </row>
    <row r="47" spans="2:24" ht="15" customHeight="1" x14ac:dyDescent="0.35">
      <c r="W47" s="166" t="s">
        <v>260</v>
      </c>
      <c r="X47" s="167">
        <v>1.9880000000000002E-3</v>
      </c>
    </row>
    <row r="48" spans="2:24" ht="15" customHeight="1" x14ac:dyDescent="0.35">
      <c r="W48" s="166" t="s">
        <v>321</v>
      </c>
      <c r="X48" s="167">
        <v>1.4369999999999999E-3</v>
      </c>
    </row>
    <row r="49" spans="23:24" ht="15" customHeight="1" x14ac:dyDescent="0.35">
      <c r="W49" s="166" t="s">
        <v>84</v>
      </c>
      <c r="X49" s="167">
        <v>1.4300000000000001E-3</v>
      </c>
    </row>
    <row r="50" spans="23:24" ht="15" customHeight="1" x14ac:dyDescent="0.35">
      <c r="W50" s="166" t="s">
        <v>110</v>
      </c>
      <c r="X50" s="167">
        <v>9.1799999999999998E-4</v>
      </c>
    </row>
    <row r="51" spans="23:24" ht="15" customHeight="1" x14ac:dyDescent="0.35">
      <c r="W51" s="166" t="s">
        <v>144</v>
      </c>
      <c r="X51" s="167">
        <v>8.5700000000000001E-4</v>
      </c>
    </row>
    <row r="52" spans="23:24" ht="15" customHeight="1" x14ac:dyDescent="0.35">
      <c r="W52" s="166" t="s">
        <v>211</v>
      </c>
      <c r="X52" s="167">
        <v>6.1499999999999999E-4</v>
      </c>
    </row>
    <row r="53" spans="23:24" ht="15" customHeight="1" x14ac:dyDescent="0.35">
      <c r="W53" s="166" t="s">
        <v>115</v>
      </c>
      <c r="X53" s="167">
        <v>5.8500000000000002E-4</v>
      </c>
    </row>
    <row r="54" spans="23:24" ht="15" customHeight="1" x14ac:dyDescent="0.35"/>
    <row r="55" spans="23:24" ht="15" customHeight="1" x14ac:dyDescent="0.35"/>
    <row r="56" spans="23:24" ht="15" customHeight="1" x14ac:dyDescent="0.35"/>
    <row r="57" spans="23:24" ht="15" customHeight="1" x14ac:dyDescent="0.35"/>
    <row r="58" spans="23:24" ht="15" customHeight="1" x14ac:dyDescent="0.35"/>
    <row r="59" spans="23:24" ht="15" customHeight="1" x14ac:dyDescent="0.35"/>
    <row r="60" spans="23:24" ht="15" customHeight="1" x14ac:dyDescent="0.35"/>
    <row r="61" spans="23:24" ht="15" customHeight="1" x14ac:dyDescent="0.35"/>
    <row r="62" spans="23:24" ht="15" customHeight="1" x14ac:dyDescent="0.35"/>
    <row r="63" spans="23:24" ht="15" customHeight="1" x14ac:dyDescent="0.35"/>
    <row r="64" spans="23:24" ht="15" customHeight="1" x14ac:dyDescent="0.35"/>
    <row r="65" ht="15" customHeight="1" x14ac:dyDescent="0.35"/>
    <row r="66" ht="15" customHeight="1" x14ac:dyDescent="0.35"/>
    <row r="67" ht="15" customHeight="1" x14ac:dyDescent="0.35"/>
    <row r="68" ht="15" customHeight="1" x14ac:dyDescent="0.35"/>
  </sheetData>
  <mergeCells count="3">
    <mergeCell ref="C3:S3"/>
    <mergeCell ref="D5:E5"/>
    <mergeCell ref="B40:R46"/>
  </mergeCells>
  <pageMargins left="0.7" right="0.7" top="0.75" bottom="0.75" header="0.3" footer="0.3"/>
  <pageSetup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4"/>
  <dimension ref="A1:AB63"/>
  <sheetViews>
    <sheetView showGridLines="0" zoomScale="75" zoomScaleNormal="75" workbookViewId="0"/>
  </sheetViews>
  <sheetFormatPr defaultColWidth="9.1796875" defaultRowHeight="14.5" x14ac:dyDescent="0.35"/>
  <cols>
    <col min="1" max="1" width="2.81640625" style="19" customWidth="1"/>
    <col min="2" max="2" width="3.81640625" style="19" customWidth="1"/>
    <col min="3" max="3" width="59.1796875" style="19" bestFit="1" customWidth="1"/>
    <col min="4" max="4" width="27.1796875" style="19" customWidth="1"/>
    <col min="5" max="5" width="10.453125" style="19" bestFit="1" customWidth="1"/>
    <col min="6" max="18" width="9.1796875" style="19"/>
    <col min="19" max="19" width="9.81640625" style="19" customWidth="1"/>
    <col min="20" max="20" width="9.1796875" style="19"/>
    <col min="21" max="22" width="9.1796875" style="39"/>
    <col min="23" max="23" width="46.453125" style="39" bestFit="1" customWidth="1"/>
    <col min="24" max="24" width="9.1796875" style="39" bestFit="1" customWidth="1"/>
    <col min="25" max="28" width="9.1796875" style="39"/>
    <col min="29" max="16384" width="9.1796875" style="19"/>
  </cols>
  <sheetData>
    <row r="1" spans="1:24" ht="15.75" customHeight="1" thickBot="1" x14ac:dyDescent="0.4">
      <c r="A1" s="3"/>
    </row>
    <row r="2" spans="1:24" ht="15" customHeight="1" x14ac:dyDescent="0.35">
      <c r="B2" s="77"/>
      <c r="C2" s="78"/>
      <c r="D2" s="78"/>
      <c r="E2" s="78"/>
      <c r="F2" s="78"/>
      <c r="G2" s="78"/>
      <c r="H2" s="78"/>
      <c r="I2" s="78"/>
      <c r="J2" s="78"/>
      <c r="K2" s="78"/>
      <c r="L2" s="78"/>
      <c r="M2" s="78"/>
      <c r="N2" s="78"/>
      <c r="O2" s="78"/>
      <c r="P2" s="78"/>
      <c r="Q2" s="78"/>
      <c r="R2" s="78"/>
      <c r="S2" s="78"/>
      <c r="T2" s="21"/>
    </row>
    <row r="3" spans="1:24" ht="20.25" customHeight="1" x14ac:dyDescent="0.35">
      <c r="B3" s="79"/>
      <c r="C3" s="312" t="s">
        <v>162</v>
      </c>
      <c r="D3" s="313"/>
      <c r="E3" s="313"/>
      <c r="F3" s="313"/>
      <c r="G3" s="313"/>
      <c r="H3" s="313"/>
      <c r="I3" s="313"/>
      <c r="J3" s="313"/>
      <c r="K3" s="313"/>
      <c r="L3" s="313"/>
      <c r="M3" s="313"/>
      <c r="N3" s="313"/>
      <c r="O3" s="313"/>
      <c r="P3" s="313"/>
      <c r="Q3" s="313"/>
      <c r="R3" s="313"/>
      <c r="S3" s="313"/>
      <c r="T3" s="22"/>
    </row>
    <row r="4" spans="1:24" ht="15.75" customHeight="1" x14ac:dyDescent="0.35">
      <c r="B4" s="79"/>
      <c r="C4" s="67" t="s">
        <v>434</v>
      </c>
      <c r="D4" s="29"/>
      <c r="E4" s="29"/>
      <c r="F4" s="29"/>
      <c r="G4" s="29"/>
      <c r="H4" s="29"/>
      <c r="I4" s="29"/>
      <c r="J4" s="29"/>
      <c r="K4" s="29"/>
      <c r="L4" s="29"/>
      <c r="M4" s="29"/>
      <c r="N4" s="29"/>
      <c r="O4" s="29"/>
      <c r="P4" s="29"/>
      <c r="Q4" s="29"/>
      <c r="R4" s="29"/>
      <c r="S4" s="29"/>
      <c r="T4" s="22"/>
    </row>
    <row r="5" spans="1:24" ht="18" customHeight="1" x14ac:dyDescent="0.35">
      <c r="B5" s="79"/>
      <c r="C5" s="211" t="s">
        <v>435</v>
      </c>
      <c r="D5" s="314" t="s">
        <v>400</v>
      </c>
      <c r="E5" s="314"/>
      <c r="F5" s="143"/>
      <c r="G5" s="29"/>
      <c r="H5" s="29"/>
      <c r="I5" s="29"/>
      <c r="J5" s="29"/>
      <c r="K5" s="29"/>
      <c r="L5" s="29"/>
      <c r="M5" s="29"/>
      <c r="N5" s="29"/>
      <c r="O5" s="29"/>
      <c r="P5" s="29"/>
      <c r="Q5" s="29"/>
      <c r="R5" s="29"/>
      <c r="S5" s="29"/>
      <c r="T5" s="22"/>
    </row>
    <row r="6" spans="1:24" ht="15" customHeight="1" x14ac:dyDescent="0.35">
      <c r="B6" s="79"/>
      <c r="C6" s="29"/>
      <c r="D6" s="29"/>
      <c r="E6" s="29"/>
      <c r="F6" s="29"/>
      <c r="G6" s="29"/>
      <c r="H6" s="29"/>
      <c r="I6" s="29"/>
      <c r="J6" s="29"/>
      <c r="K6" s="29"/>
      <c r="L6" s="29"/>
      <c r="M6" s="29"/>
      <c r="N6" s="29"/>
      <c r="O6" s="29"/>
      <c r="P6" s="29"/>
      <c r="Q6" s="29"/>
      <c r="R6" s="29"/>
      <c r="S6" s="29"/>
      <c r="T6" s="22"/>
    </row>
    <row r="7" spans="1:24" ht="32.25" customHeight="1" x14ac:dyDescent="0.35">
      <c r="B7" s="79"/>
      <c r="C7" s="144" t="s">
        <v>0</v>
      </c>
      <c r="D7" s="145" t="s">
        <v>1</v>
      </c>
      <c r="E7" s="144" t="s">
        <v>2</v>
      </c>
      <c r="F7" s="29"/>
      <c r="G7" s="29"/>
      <c r="H7" s="29"/>
      <c r="I7" s="29"/>
      <c r="J7" s="29"/>
      <c r="K7" s="29"/>
      <c r="L7" s="29"/>
      <c r="M7" s="29"/>
      <c r="N7" s="29"/>
      <c r="O7" s="29"/>
      <c r="P7" s="29"/>
      <c r="Q7" s="29"/>
      <c r="R7" s="29"/>
      <c r="S7" s="29"/>
      <c r="T7" s="22"/>
      <c r="W7" s="39" t="s">
        <v>22</v>
      </c>
      <c r="X7" s="39" t="s">
        <v>2</v>
      </c>
    </row>
    <row r="8" spans="1:24" ht="15" customHeight="1" x14ac:dyDescent="0.35">
      <c r="B8" s="79"/>
      <c r="C8" s="180" t="s">
        <v>177</v>
      </c>
      <c r="D8" s="187" t="s">
        <v>24</v>
      </c>
      <c r="E8" s="194">
        <v>4.8128999999999998E-2</v>
      </c>
      <c r="F8" s="29"/>
      <c r="G8" s="29"/>
      <c r="H8" s="29"/>
      <c r="I8" s="29"/>
      <c r="J8" s="29"/>
      <c r="K8" s="29"/>
      <c r="L8" s="29"/>
      <c r="M8" s="29"/>
      <c r="N8" s="29"/>
      <c r="O8" s="29"/>
      <c r="P8" s="29"/>
      <c r="Q8" s="29"/>
      <c r="R8" s="29"/>
      <c r="S8" s="29"/>
      <c r="T8" s="22"/>
      <c r="W8" s="61" t="s">
        <v>23</v>
      </c>
      <c r="X8" s="62">
        <v>0.20261899999999999</v>
      </c>
    </row>
    <row r="9" spans="1:24" ht="15.75" customHeight="1" x14ac:dyDescent="0.35">
      <c r="B9" s="79"/>
      <c r="C9" s="180" t="s">
        <v>31</v>
      </c>
      <c r="D9" s="187" t="s">
        <v>6</v>
      </c>
      <c r="E9" s="194">
        <v>4.0328999999999997E-2</v>
      </c>
      <c r="F9" s="29"/>
      <c r="G9" s="29"/>
      <c r="H9" s="29"/>
      <c r="I9" s="29"/>
      <c r="J9" s="29"/>
      <c r="K9" s="29"/>
      <c r="L9" s="29"/>
      <c r="M9" s="29"/>
      <c r="N9" s="29"/>
      <c r="O9" s="29"/>
      <c r="P9" s="29"/>
      <c r="Q9" s="29"/>
      <c r="R9" s="29"/>
      <c r="S9" s="29"/>
      <c r="T9" s="22"/>
      <c r="W9" s="61" t="s">
        <v>117</v>
      </c>
      <c r="X9" s="62">
        <v>0.10034800000000001</v>
      </c>
    </row>
    <row r="10" spans="1:24" ht="15" customHeight="1" x14ac:dyDescent="0.35">
      <c r="B10" s="79"/>
      <c r="C10" s="180" t="s">
        <v>70</v>
      </c>
      <c r="D10" s="187" t="s">
        <v>12</v>
      </c>
      <c r="E10" s="194">
        <v>3.9014E-2</v>
      </c>
      <c r="F10" s="29"/>
      <c r="G10" s="29"/>
      <c r="H10" s="29"/>
      <c r="I10" s="29"/>
      <c r="J10" s="29"/>
      <c r="K10" s="29"/>
      <c r="L10" s="29"/>
      <c r="M10" s="29"/>
      <c r="N10" s="29"/>
      <c r="O10" s="29"/>
      <c r="P10" s="29"/>
      <c r="Q10" s="29"/>
      <c r="R10" s="29"/>
      <c r="S10" s="29"/>
      <c r="T10" s="22"/>
      <c r="W10" s="61" t="s">
        <v>10</v>
      </c>
      <c r="X10" s="62">
        <v>9.8723000000000005E-2</v>
      </c>
    </row>
    <row r="11" spans="1:24" ht="15" customHeight="1" x14ac:dyDescent="0.35">
      <c r="B11" s="79"/>
      <c r="C11" s="180" t="s">
        <v>34</v>
      </c>
      <c r="D11" s="187" t="s">
        <v>23</v>
      </c>
      <c r="E11" s="194">
        <v>3.8802000000000003E-2</v>
      </c>
      <c r="F11" s="29"/>
      <c r="G11" s="29"/>
      <c r="H11" s="29"/>
      <c r="I11" s="29"/>
      <c r="J11" s="29"/>
      <c r="K11" s="29"/>
      <c r="L11" s="29"/>
      <c r="M11" s="29"/>
      <c r="N11" s="29"/>
      <c r="O11" s="29"/>
      <c r="P11" s="29"/>
      <c r="Q11" s="29"/>
      <c r="R11" s="29"/>
      <c r="S11" s="29"/>
      <c r="T11" s="22"/>
      <c r="W11" s="61" t="s">
        <v>24</v>
      </c>
      <c r="X11" s="62">
        <v>8.5248999999999991E-2</v>
      </c>
    </row>
    <row r="12" spans="1:24" ht="15" customHeight="1" x14ac:dyDescent="0.35">
      <c r="B12" s="79"/>
      <c r="C12" s="180" t="s">
        <v>207</v>
      </c>
      <c r="D12" s="187" t="s">
        <v>23</v>
      </c>
      <c r="E12" s="194">
        <v>3.8068999999999999E-2</v>
      </c>
      <c r="F12" s="29"/>
      <c r="G12" s="29"/>
      <c r="H12" s="29"/>
      <c r="I12" s="29"/>
      <c r="J12" s="29"/>
      <c r="K12" s="29"/>
      <c r="L12" s="29"/>
      <c r="M12" s="29"/>
      <c r="N12" s="29"/>
      <c r="O12" s="29"/>
      <c r="P12" s="29"/>
      <c r="Q12" s="29"/>
      <c r="R12" s="29"/>
      <c r="S12" s="29"/>
      <c r="T12" s="22"/>
      <c r="W12" s="61" t="s">
        <v>122</v>
      </c>
      <c r="X12" s="62">
        <v>5.8255999999999995E-2</v>
      </c>
    </row>
    <row r="13" spans="1:24" ht="15" customHeight="1" x14ac:dyDescent="0.35">
      <c r="B13" s="79"/>
      <c r="C13" s="180" t="s">
        <v>64</v>
      </c>
      <c r="D13" s="187" t="s">
        <v>81</v>
      </c>
      <c r="E13" s="194">
        <v>3.7238E-2</v>
      </c>
      <c r="F13" s="29"/>
      <c r="G13" s="29"/>
      <c r="H13" s="29"/>
      <c r="I13" s="29"/>
      <c r="J13" s="29"/>
      <c r="K13" s="29"/>
      <c r="L13" s="29"/>
      <c r="M13" s="29"/>
      <c r="N13" s="29"/>
      <c r="O13" s="29"/>
      <c r="P13" s="29"/>
      <c r="Q13" s="29"/>
      <c r="R13" s="29"/>
      <c r="S13" s="29"/>
      <c r="T13" s="22"/>
      <c r="W13" s="61" t="s">
        <v>12</v>
      </c>
      <c r="X13" s="62">
        <v>5.0714000000000002E-2</v>
      </c>
    </row>
    <row r="14" spans="1:24" ht="15" customHeight="1" x14ac:dyDescent="0.35">
      <c r="B14" s="79"/>
      <c r="C14" s="180" t="s">
        <v>127</v>
      </c>
      <c r="D14" s="187" t="s">
        <v>85</v>
      </c>
      <c r="E14" s="194">
        <v>2.8513E-2</v>
      </c>
      <c r="F14" s="29"/>
      <c r="G14" s="29"/>
      <c r="H14" s="29"/>
      <c r="I14" s="29"/>
      <c r="J14" s="29"/>
      <c r="K14" s="29"/>
      <c r="L14" s="29"/>
      <c r="M14" s="29"/>
      <c r="N14" s="29"/>
      <c r="O14" s="29"/>
      <c r="P14" s="29"/>
      <c r="Q14" s="29"/>
      <c r="R14" s="29"/>
      <c r="S14" s="29"/>
      <c r="T14" s="22"/>
      <c r="W14" s="61" t="s">
        <v>108</v>
      </c>
      <c r="X14" s="62">
        <v>4.0738000000000003E-2</v>
      </c>
    </row>
    <row r="15" spans="1:24" ht="15" customHeight="1" x14ac:dyDescent="0.35">
      <c r="B15" s="79"/>
      <c r="C15" s="180" t="s">
        <v>240</v>
      </c>
      <c r="D15" s="187" t="s">
        <v>128</v>
      </c>
      <c r="E15" s="194">
        <v>2.8164000000000002E-2</v>
      </c>
      <c r="F15" s="29"/>
      <c r="G15" s="29"/>
      <c r="H15" s="29"/>
      <c r="I15" s="29"/>
      <c r="J15" s="29"/>
      <c r="K15" s="29"/>
      <c r="L15" s="29"/>
      <c r="M15" s="29"/>
      <c r="N15" s="29"/>
      <c r="O15" s="29"/>
      <c r="P15" s="29"/>
      <c r="Q15" s="29"/>
      <c r="R15" s="29"/>
      <c r="S15" s="29"/>
      <c r="T15" s="22"/>
      <c r="W15" s="61" t="s">
        <v>6</v>
      </c>
      <c r="X15" s="62">
        <v>4.0328999999999997E-2</v>
      </c>
    </row>
    <row r="16" spans="1:24" ht="15" customHeight="1" x14ac:dyDescent="0.35">
      <c r="B16" s="79"/>
      <c r="C16" s="180" t="s">
        <v>145</v>
      </c>
      <c r="D16" s="187" t="s">
        <v>23</v>
      </c>
      <c r="E16" s="194">
        <v>2.5187999999999999E-2</v>
      </c>
      <c r="F16" s="29"/>
      <c r="G16" s="29"/>
      <c r="H16" s="29"/>
      <c r="I16" s="29"/>
      <c r="J16" s="29"/>
      <c r="K16" s="29"/>
      <c r="L16" s="29"/>
      <c r="M16" s="29"/>
      <c r="N16" s="29"/>
      <c r="O16" s="29"/>
      <c r="P16" s="29"/>
      <c r="Q16" s="29"/>
      <c r="R16" s="29"/>
      <c r="S16" s="29"/>
      <c r="T16" s="22"/>
      <c r="W16" s="61" t="s">
        <v>135</v>
      </c>
      <c r="X16" s="62">
        <v>3.9396E-2</v>
      </c>
    </row>
    <row r="17" spans="2:24" ht="15" customHeight="1" x14ac:dyDescent="0.35">
      <c r="B17" s="79"/>
      <c r="C17" s="180" t="s">
        <v>258</v>
      </c>
      <c r="D17" s="187" t="s">
        <v>4</v>
      </c>
      <c r="E17" s="194">
        <v>2.4955000000000001E-2</v>
      </c>
      <c r="F17" s="29"/>
      <c r="G17" s="29"/>
      <c r="H17" s="29"/>
      <c r="I17" s="29"/>
      <c r="J17" s="29"/>
      <c r="K17" s="29"/>
      <c r="L17" s="29"/>
      <c r="M17" s="29"/>
      <c r="N17" s="29"/>
      <c r="O17" s="29"/>
      <c r="P17" s="29"/>
      <c r="Q17" s="29"/>
      <c r="R17" s="29"/>
      <c r="S17" s="29"/>
      <c r="T17" s="22"/>
      <c r="W17" s="61" t="s">
        <v>85</v>
      </c>
      <c r="X17" s="62">
        <v>3.78E-2</v>
      </c>
    </row>
    <row r="18" spans="2:24" ht="15" customHeight="1" x14ac:dyDescent="0.35">
      <c r="B18" s="79"/>
      <c r="C18" s="180" t="s">
        <v>246</v>
      </c>
      <c r="D18" s="187" t="s">
        <v>23</v>
      </c>
      <c r="E18" s="194">
        <v>2.2706E-2</v>
      </c>
      <c r="F18" s="29"/>
      <c r="G18" s="29"/>
      <c r="H18" s="29"/>
      <c r="I18" s="29"/>
      <c r="J18" s="29"/>
      <c r="K18" s="29"/>
      <c r="L18" s="29"/>
      <c r="M18" s="29"/>
      <c r="N18" s="29"/>
      <c r="O18" s="29"/>
      <c r="P18" s="29"/>
      <c r="Q18" s="29"/>
      <c r="R18" s="29"/>
      <c r="S18" s="29"/>
      <c r="T18" s="22"/>
      <c r="W18" s="61" t="s">
        <v>81</v>
      </c>
      <c r="X18" s="62">
        <v>3.7238E-2</v>
      </c>
    </row>
    <row r="19" spans="2:24" ht="15" customHeight="1" x14ac:dyDescent="0.35">
      <c r="B19" s="79"/>
      <c r="C19" s="180" t="s">
        <v>268</v>
      </c>
      <c r="D19" s="187" t="s">
        <v>23</v>
      </c>
      <c r="E19" s="194">
        <v>2.1926000000000001E-2</v>
      </c>
      <c r="F19" s="29"/>
      <c r="G19" s="29"/>
      <c r="H19" s="29"/>
      <c r="I19" s="29"/>
      <c r="J19" s="29"/>
      <c r="K19" s="29"/>
      <c r="L19" s="29"/>
      <c r="M19" s="29"/>
      <c r="N19" s="29"/>
      <c r="O19" s="29"/>
      <c r="P19" s="29"/>
      <c r="Q19" s="29"/>
      <c r="R19" s="29"/>
      <c r="S19" s="29"/>
      <c r="T19" s="22"/>
      <c r="W19" s="61" t="s">
        <v>128</v>
      </c>
      <c r="X19" s="62">
        <v>3.2976000000000005E-2</v>
      </c>
    </row>
    <row r="20" spans="2:24" ht="15" customHeight="1" x14ac:dyDescent="0.35">
      <c r="B20" s="79"/>
      <c r="C20" s="180" t="s">
        <v>62</v>
      </c>
      <c r="D20" s="187" t="s">
        <v>10</v>
      </c>
      <c r="E20" s="194">
        <v>2.0802000000000001E-2</v>
      </c>
      <c r="F20" s="29"/>
      <c r="G20" s="29"/>
      <c r="H20" s="29"/>
      <c r="I20" s="29"/>
      <c r="J20" s="29"/>
      <c r="K20" s="29"/>
      <c r="L20" s="29"/>
      <c r="M20" s="29"/>
      <c r="N20" s="29"/>
      <c r="O20" s="29"/>
      <c r="P20" s="29"/>
      <c r="Q20" s="29"/>
      <c r="R20" s="29"/>
      <c r="S20" s="29"/>
      <c r="T20" s="22"/>
      <c r="W20" s="61" t="s">
        <v>25</v>
      </c>
      <c r="X20" s="62">
        <v>3.1237000000000001E-2</v>
      </c>
    </row>
    <row r="21" spans="2:24" ht="15" customHeight="1" x14ac:dyDescent="0.35">
      <c r="B21" s="79"/>
      <c r="C21" s="180" t="s">
        <v>382</v>
      </c>
      <c r="D21" s="187" t="s">
        <v>122</v>
      </c>
      <c r="E21" s="194">
        <v>1.9782999999999999E-2</v>
      </c>
      <c r="F21" s="29"/>
      <c r="G21" s="29"/>
      <c r="H21" s="29"/>
      <c r="I21" s="29"/>
      <c r="J21" s="29"/>
      <c r="K21" s="29"/>
      <c r="L21" s="29"/>
      <c r="M21" s="29"/>
      <c r="N21" s="29"/>
      <c r="O21" s="29"/>
      <c r="P21" s="29"/>
      <c r="Q21" s="29"/>
      <c r="R21" s="29"/>
      <c r="S21" s="29"/>
      <c r="T21" s="22"/>
      <c r="W21" s="61" t="s">
        <v>4</v>
      </c>
      <c r="X21" s="62">
        <v>2.7244000000000001E-2</v>
      </c>
    </row>
    <row r="22" spans="2:24" ht="15" customHeight="1" x14ac:dyDescent="0.35">
      <c r="B22" s="79"/>
      <c r="C22" s="180" t="s">
        <v>71</v>
      </c>
      <c r="D22" s="187" t="s">
        <v>10</v>
      </c>
      <c r="E22" s="194">
        <v>1.9349999999999999E-2</v>
      </c>
      <c r="F22" s="29"/>
      <c r="G22" s="29"/>
      <c r="H22" s="29"/>
      <c r="I22" s="29"/>
      <c r="J22" s="29"/>
      <c r="K22" s="29"/>
      <c r="L22" s="29"/>
      <c r="M22" s="29"/>
      <c r="N22" s="29"/>
      <c r="O22" s="29"/>
      <c r="P22" s="29"/>
      <c r="Q22" s="29"/>
      <c r="R22" s="29"/>
      <c r="S22" s="29"/>
      <c r="T22" s="22"/>
      <c r="W22" s="56" t="s">
        <v>75</v>
      </c>
      <c r="X22" s="57">
        <v>1.9271E-2</v>
      </c>
    </row>
    <row r="23" spans="2:24" ht="15" customHeight="1" x14ac:dyDescent="0.35">
      <c r="B23" s="79"/>
      <c r="C23" s="71"/>
      <c r="D23" s="71"/>
      <c r="E23" s="146"/>
      <c r="F23" s="29"/>
      <c r="G23" s="29"/>
      <c r="H23" s="29"/>
      <c r="I23" s="29"/>
      <c r="J23" s="29"/>
      <c r="K23" s="29"/>
      <c r="L23" s="29"/>
      <c r="M23" s="29"/>
      <c r="N23" s="29"/>
      <c r="O23" s="29"/>
      <c r="P23" s="29"/>
      <c r="Q23" s="29"/>
      <c r="R23" s="29"/>
      <c r="S23" s="29"/>
      <c r="T23" s="22"/>
      <c r="W23" s="56" t="s">
        <v>11</v>
      </c>
      <c r="X23" s="57">
        <v>1.7454999999999998E-2</v>
      </c>
    </row>
    <row r="24" spans="2:24" ht="15" customHeight="1" x14ac:dyDescent="0.35">
      <c r="B24" s="79"/>
      <c r="C24" s="73" t="s">
        <v>55</v>
      </c>
      <c r="D24" s="74"/>
      <c r="E24" s="75">
        <f>SUM(E8:E22)</f>
        <v>0.45296799999999998</v>
      </c>
      <c r="F24" s="29"/>
      <c r="G24" s="29"/>
      <c r="H24" s="29"/>
      <c r="I24" s="29"/>
      <c r="J24" s="29"/>
      <c r="K24" s="29"/>
      <c r="L24" s="29"/>
      <c r="M24" s="29"/>
      <c r="N24" s="29"/>
      <c r="O24" s="29"/>
      <c r="P24" s="29"/>
      <c r="Q24" s="29"/>
      <c r="R24" s="29"/>
      <c r="S24" s="29"/>
      <c r="T24" s="22"/>
      <c r="W24" s="56" t="s">
        <v>114</v>
      </c>
      <c r="X24" s="57">
        <v>1.6167999999999998E-2</v>
      </c>
    </row>
    <row r="25" spans="2:24" ht="15" customHeight="1" x14ac:dyDescent="0.35">
      <c r="B25" s="79"/>
      <c r="F25" s="29"/>
      <c r="G25" s="29"/>
      <c r="H25" s="29"/>
      <c r="I25" s="29"/>
      <c r="J25" s="29"/>
      <c r="K25" s="29"/>
      <c r="L25" s="29"/>
      <c r="M25" s="29"/>
      <c r="N25" s="29"/>
      <c r="O25" s="29"/>
      <c r="P25" s="29"/>
      <c r="Q25" s="29"/>
      <c r="R25" s="29"/>
      <c r="S25" s="29"/>
      <c r="T25" s="22"/>
      <c r="W25" s="56" t="s">
        <v>121</v>
      </c>
      <c r="X25" s="57">
        <v>9.9559999999999996E-3</v>
      </c>
    </row>
    <row r="26" spans="2:24" ht="15" customHeight="1" x14ac:dyDescent="0.35">
      <c r="B26" s="79"/>
      <c r="F26" s="29"/>
      <c r="G26" s="29"/>
      <c r="H26" s="29"/>
      <c r="I26" s="29"/>
      <c r="J26" s="29"/>
      <c r="K26" s="29"/>
      <c r="L26" s="29"/>
      <c r="M26" s="29"/>
      <c r="N26" s="29"/>
      <c r="O26" s="29"/>
      <c r="P26" s="29"/>
      <c r="Q26" s="29"/>
      <c r="R26" s="29"/>
      <c r="S26" s="29"/>
      <c r="T26" s="22"/>
      <c r="W26" s="56" t="s">
        <v>131</v>
      </c>
      <c r="X26" s="57">
        <v>8.1180000000000002E-3</v>
      </c>
    </row>
    <row r="27" spans="2:24" ht="15" customHeight="1" x14ac:dyDescent="0.35">
      <c r="B27" s="79"/>
      <c r="F27" s="29"/>
      <c r="G27" s="29"/>
      <c r="H27" s="29"/>
      <c r="I27" s="29"/>
      <c r="J27" s="29"/>
      <c r="K27" s="29"/>
      <c r="L27" s="29"/>
      <c r="M27" s="29"/>
      <c r="N27" s="29"/>
      <c r="O27" s="29"/>
      <c r="P27" s="29"/>
      <c r="Q27" s="29"/>
      <c r="R27" s="29"/>
      <c r="S27" s="29"/>
      <c r="T27" s="22"/>
      <c r="W27" s="147" t="s">
        <v>16</v>
      </c>
      <c r="X27" s="148">
        <v>6.1599999999999997E-3</v>
      </c>
    </row>
    <row r="28" spans="2:24" ht="15" customHeight="1" x14ac:dyDescent="0.35">
      <c r="B28" s="79"/>
      <c r="F28" s="29"/>
      <c r="G28" s="29"/>
      <c r="H28" s="29"/>
      <c r="I28" s="29"/>
      <c r="J28" s="29"/>
      <c r="K28" s="29"/>
      <c r="L28" s="29"/>
      <c r="M28" s="29"/>
      <c r="N28" s="29"/>
      <c r="O28" s="29"/>
      <c r="P28" s="29"/>
      <c r="Q28" s="29"/>
      <c r="R28" s="29"/>
      <c r="S28" s="29"/>
      <c r="T28" s="22"/>
      <c r="W28" s="147" t="s">
        <v>144</v>
      </c>
      <c r="X28" s="148">
        <v>5.0759999999999998E-3</v>
      </c>
    </row>
    <row r="29" spans="2:24" ht="15" customHeight="1" x14ac:dyDescent="0.35">
      <c r="B29" s="79"/>
      <c r="F29" s="29"/>
      <c r="G29" s="29"/>
      <c r="H29" s="29"/>
      <c r="I29" s="29"/>
      <c r="J29" s="29"/>
      <c r="K29" s="29"/>
      <c r="L29" s="29"/>
      <c r="M29" s="29"/>
      <c r="N29" s="29"/>
      <c r="O29" s="29"/>
      <c r="P29" s="29"/>
      <c r="Q29" s="29"/>
      <c r="R29" s="29"/>
      <c r="S29" s="29"/>
      <c r="T29" s="22"/>
      <c r="W29" s="39" t="s">
        <v>82</v>
      </c>
      <c r="X29" s="148">
        <v>2.5100000000000001E-3</v>
      </c>
    </row>
    <row r="30" spans="2:24" ht="15" customHeight="1" x14ac:dyDescent="0.35">
      <c r="B30" s="79"/>
      <c r="F30" s="29"/>
      <c r="G30" s="29"/>
      <c r="H30" s="29"/>
      <c r="I30" s="29"/>
      <c r="J30" s="29"/>
      <c r="K30" s="29"/>
      <c r="L30" s="29"/>
      <c r="M30" s="29"/>
      <c r="N30" s="29"/>
      <c r="O30" s="29"/>
      <c r="P30" s="29"/>
      <c r="Q30" s="29"/>
      <c r="R30" s="29"/>
      <c r="S30" s="29"/>
      <c r="T30" s="22"/>
      <c r="X30" s="276"/>
    </row>
    <row r="31" spans="2:24" ht="15" customHeight="1" x14ac:dyDescent="0.35">
      <c r="B31" s="79"/>
      <c r="F31" s="29"/>
      <c r="G31" s="29"/>
      <c r="H31" s="29"/>
      <c r="I31" s="29"/>
      <c r="J31" s="29"/>
      <c r="K31" s="29"/>
      <c r="L31" s="29"/>
      <c r="M31" s="29"/>
      <c r="N31" s="29"/>
      <c r="O31" s="29"/>
      <c r="P31" s="29"/>
      <c r="Q31" s="29"/>
      <c r="R31" s="29"/>
      <c r="S31" s="29"/>
      <c r="T31" s="22"/>
    </row>
    <row r="32" spans="2:24" ht="15.75" customHeight="1" x14ac:dyDescent="0.35">
      <c r="B32" s="79"/>
      <c r="F32" s="29"/>
      <c r="G32" s="29"/>
      <c r="H32" s="29"/>
      <c r="I32" s="29"/>
      <c r="J32" s="29"/>
      <c r="K32" s="29"/>
      <c r="L32" s="29"/>
      <c r="M32" s="29"/>
      <c r="N32" s="29"/>
      <c r="O32" s="29"/>
      <c r="P32" s="29"/>
      <c r="Q32" s="29"/>
      <c r="R32" s="29"/>
      <c r="S32" s="29"/>
      <c r="T32" s="22"/>
    </row>
    <row r="33" spans="2:20" ht="15" customHeight="1" x14ac:dyDescent="0.35">
      <c r="B33" s="79"/>
      <c r="F33" s="29"/>
      <c r="G33" s="29"/>
      <c r="H33" s="29"/>
      <c r="I33" s="29"/>
      <c r="J33" s="29"/>
      <c r="K33" s="29"/>
      <c r="L33" s="29"/>
      <c r="M33" s="29"/>
      <c r="N33" s="29"/>
      <c r="O33" s="29"/>
      <c r="P33" s="29"/>
      <c r="Q33" s="29"/>
      <c r="R33" s="29"/>
      <c r="S33" s="29"/>
      <c r="T33" s="22"/>
    </row>
    <row r="34" spans="2:20" ht="15" customHeight="1" thickBot="1" x14ac:dyDescent="0.4">
      <c r="B34" s="80"/>
      <c r="C34" s="81"/>
      <c r="D34" s="81"/>
      <c r="E34" s="81"/>
      <c r="F34" s="81"/>
      <c r="G34" s="81"/>
      <c r="H34" s="81"/>
      <c r="I34" s="81"/>
      <c r="J34" s="81"/>
      <c r="K34" s="81"/>
      <c r="L34" s="81"/>
      <c r="M34" s="81"/>
      <c r="N34" s="81"/>
      <c r="O34" s="81"/>
      <c r="P34" s="81"/>
      <c r="Q34" s="81"/>
      <c r="R34" s="81"/>
      <c r="S34" s="81"/>
      <c r="T34" s="23"/>
    </row>
    <row r="35" spans="2:20" ht="15" customHeight="1" thickBot="1" x14ac:dyDescent="0.4"/>
    <row r="36" spans="2:20" ht="15" customHeight="1" x14ac:dyDescent="0.35">
      <c r="B36" s="303" t="s">
        <v>179</v>
      </c>
      <c r="C36" s="304"/>
      <c r="D36" s="304"/>
      <c r="E36" s="304"/>
      <c r="F36" s="304"/>
      <c r="G36" s="304"/>
      <c r="H36" s="304"/>
      <c r="I36" s="304"/>
      <c r="J36" s="304"/>
      <c r="K36" s="304"/>
      <c r="L36" s="304"/>
      <c r="M36" s="304"/>
      <c r="N36" s="304"/>
      <c r="O36" s="304"/>
      <c r="P36" s="304"/>
      <c r="Q36" s="304"/>
      <c r="R36" s="305"/>
    </row>
    <row r="37" spans="2:20" ht="15" customHeight="1" x14ac:dyDescent="0.35">
      <c r="B37" s="306"/>
      <c r="C37" s="307"/>
      <c r="D37" s="307"/>
      <c r="E37" s="307"/>
      <c r="F37" s="307"/>
      <c r="G37" s="307"/>
      <c r="H37" s="307"/>
      <c r="I37" s="307"/>
      <c r="J37" s="307"/>
      <c r="K37" s="307"/>
      <c r="L37" s="307"/>
      <c r="M37" s="307"/>
      <c r="N37" s="307"/>
      <c r="O37" s="307"/>
      <c r="P37" s="307"/>
      <c r="Q37" s="307"/>
      <c r="R37" s="308"/>
    </row>
    <row r="38" spans="2:20" ht="15" customHeight="1" x14ac:dyDescent="0.35">
      <c r="B38" s="306"/>
      <c r="C38" s="307"/>
      <c r="D38" s="307"/>
      <c r="E38" s="307"/>
      <c r="F38" s="307"/>
      <c r="G38" s="307"/>
      <c r="H38" s="307"/>
      <c r="I38" s="307"/>
      <c r="J38" s="307"/>
      <c r="K38" s="307"/>
      <c r="L38" s="307"/>
      <c r="M38" s="307"/>
      <c r="N38" s="307"/>
      <c r="O38" s="307"/>
      <c r="P38" s="307"/>
      <c r="Q38" s="307"/>
      <c r="R38" s="308"/>
    </row>
    <row r="39" spans="2:20" ht="15" customHeight="1" x14ac:dyDescent="0.35">
      <c r="B39" s="306"/>
      <c r="C39" s="307"/>
      <c r="D39" s="307"/>
      <c r="E39" s="307"/>
      <c r="F39" s="307"/>
      <c r="G39" s="307"/>
      <c r="H39" s="307"/>
      <c r="I39" s="307"/>
      <c r="J39" s="307"/>
      <c r="K39" s="307"/>
      <c r="L39" s="307"/>
      <c r="M39" s="307"/>
      <c r="N39" s="307"/>
      <c r="O39" s="307"/>
      <c r="P39" s="307"/>
      <c r="Q39" s="307"/>
      <c r="R39" s="308"/>
    </row>
    <row r="40" spans="2:20" ht="15" customHeight="1" x14ac:dyDescent="0.35">
      <c r="B40" s="306"/>
      <c r="C40" s="307"/>
      <c r="D40" s="307"/>
      <c r="E40" s="307"/>
      <c r="F40" s="307"/>
      <c r="G40" s="307"/>
      <c r="H40" s="307"/>
      <c r="I40" s="307"/>
      <c r="J40" s="307"/>
      <c r="K40" s="307"/>
      <c r="L40" s="307"/>
      <c r="M40" s="307"/>
      <c r="N40" s="307"/>
      <c r="O40" s="307"/>
      <c r="P40" s="307"/>
      <c r="Q40" s="307"/>
      <c r="R40" s="308"/>
    </row>
    <row r="41" spans="2:20" ht="15" customHeight="1" x14ac:dyDescent="0.35">
      <c r="B41" s="306"/>
      <c r="C41" s="307"/>
      <c r="D41" s="307"/>
      <c r="E41" s="307"/>
      <c r="F41" s="307"/>
      <c r="G41" s="307"/>
      <c r="H41" s="307"/>
      <c r="I41" s="307"/>
      <c r="J41" s="307"/>
      <c r="K41" s="307"/>
      <c r="L41" s="307"/>
      <c r="M41" s="307"/>
      <c r="N41" s="307"/>
      <c r="O41" s="307"/>
      <c r="P41" s="307"/>
      <c r="Q41" s="307"/>
      <c r="R41" s="308"/>
    </row>
    <row r="42" spans="2:20" ht="15" customHeight="1" thickBot="1" x14ac:dyDescent="0.4">
      <c r="B42" s="309"/>
      <c r="C42" s="310"/>
      <c r="D42" s="310"/>
      <c r="E42" s="310"/>
      <c r="F42" s="310"/>
      <c r="G42" s="310"/>
      <c r="H42" s="310"/>
      <c r="I42" s="310"/>
      <c r="J42" s="310"/>
      <c r="K42" s="310"/>
      <c r="L42" s="310"/>
      <c r="M42" s="310"/>
      <c r="N42" s="310"/>
      <c r="O42" s="310"/>
      <c r="P42" s="310"/>
      <c r="Q42" s="310"/>
      <c r="R42" s="311"/>
    </row>
    <row r="43" spans="2:20" ht="15" customHeight="1" x14ac:dyDescent="0.35"/>
    <row r="44" spans="2:20" ht="15" customHeight="1" x14ac:dyDescent="0.35"/>
    <row r="45" spans="2:20" ht="15" customHeight="1" x14ac:dyDescent="0.35"/>
    <row r="46" spans="2:20" ht="15" customHeight="1" x14ac:dyDescent="0.35"/>
    <row r="47" spans="2:20" ht="15" customHeight="1" x14ac:dyDescent="0.35"/>
    <row r="48" spans="2:20" ht="15" customHeight="1" x14ac:dyDescent="0.35"/>
    <row r="49" ht="15" customHeight="1" x14ac:dyDescent="0.35"/>
    <row r="50" ht="15" customHeight="1" x14ac:dyDescent="0.35"/>
    <row r="51" ht="15" customHeight="1" x14ac:dyDescent="0.35"/>
    <row r="52" ht="15" customHeight="1" x14ac:dyDescent="0.35"/>
    <row r="53" ht="15" customHeight="1" x14ac:dyDescent="0.35"/>
    <row r="54" ht="15" customHeight="1" x14ac:dyDescent="0.35"/>
    <row r="55" ht="15" customHeight="1" x14ac:dyDescent="0.35"/>
    <row r="56" ht="15" customHeight="1" x14ac:dyDescent="0.35"/>
    <row r="57" ht="15" customHeight="1" x14ac:dyDescent="0.35"/>
    <row r="58" ht="15" customHeight="1" x14ac:dyDescent="0.35"/>
    <row r="59" ht="15" customHeight="1" x14ac:dyDescent="0.35"/>
    <row r="60" ht="15" customHeight="1" x14ac:dyDescent="0.35"/>
    <row r="61" ht="15" customHeight="1" x14ac:dyDescent="0.35"/>
    <row r="62" ht="15" customHeight="1" x14ac:dyDescent="0.35"/>
    <row r="63" ht="15" customHeight="1" x14ac:dyDescent="0.35"/>
  </sheetData>
  <sortState ref="W8:X20">
    <sortCondition descending="1" ref="X8:X20"/>
  </sortState>
  <mergeCells count="3">
    <mergeCell ref="C3:S3"/>
    <mergeCell ref="D5:E5"/>
    <mergeCell ref="B36:R42"/>
  </mergeCells>
  <pageMargins left="0.7" right="0.7" top="0.75" bottom="0.75" header="0.3" footer="0.3"/>
  <pageSetup paperSize="9"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ADB752-2236-4BAA-9636-93A40AFD6A88}">
  <sheetPr codeName="Sheet22"/>
  <dimension ref="A1:X64"/>
  <sheetViews>
    <sheetView showGridLines="0" zoomScale="77" zoomScaleNormal="75" workbookViewId="0"/>
  </sheetViews>
  <sheetFormatPr defaultColWidth="9.1796875" defaultRowHeight="14.5" x14ac:dyDescent="0.35"/>
  <cols>
    <col min="1" max="1" width="2.81640625" style="19" customWidth="1"/>
    <col min="2" max="2" width="3.81640625" style="19" customWidth="1"/>
    <col min="3" max="3" width="58.7265625" style="19" bestFit="1" customWidth="1"/>
    <col min="4" max="4" width="28.26953125" style="19" customWidth="1"/>
    <col min="5" max="5" width="10.453125" style="19" bestFit="1" customWidth="1"/>
    <col min="6" max="18" width="9.1796875" style="19"/>
    <col min="19" max="19" width="9.81640625" style="19" customWidth="1"/>
    <col min="20" max="16384" width="9.1796875" style="19"/>
  </cols>
  <sheetData>
    <row r="1" spans="1:24" ht="15.75" customHeight="1" thickBot="1" x14ac:dyDescent="0.4">
      <c r="A1" s="3"/>
    </row>
    <row r="2" spans="1:24" ht="15" customHeight="1" x14ac:dyDescent="0.35">
      <c r="B2" s="63"/>
      <c r="C2" s="28"/>
      <c r="D2" s="28"/>
      <c r="E2" s="28"/>
      <c r="F2" s="28"/>
      <c r="G2" s="28"/>
      <c r="H2" s="28"/>
      <c r="I2" s="28"/>
      <c r="J2" s="28"/>
      <c r="K2" s="28"/>
      <c r="L2" s="28"/>
      <c r="M2" s="28"/>
      <c r="N2" s="28"/>
      <c r="O2" s="28"/>
      <c r="P2" s="28"/>
      <c r="Q2" s="28"/>
      <c r="R2" s="28"/>
      <c r="S2" s="28"/>
      <c r="T2" s="28"/>
      <c r="U2" s="24"/>
    </row>
    <row r="3" spans="1:24" ht="20.25" customHeight="1" x14ac:dyDescent="0.35">
      <c r="B3" s="64"/>
      <c r="C3" s="312" t="s">
        <v>161</v>
      </c>
      <c r="D3" s="313"/>
      <c r="E3" s="313"/>
      <c r="F3" s="313"/>
      <c r="G3" s="313"/>
      <c r="H3" s="313"/>
      <c r="I3" s="313"/>
      <c r="J3" s="313"/>
      <c r="K3" s="313"/>
      <c r="L3" s="313"/>
      <c r="M3" s="313"/>
      <c r="N3" s="313"/>
      <c r="O3" s="313"/>
      <c r="P3" s="313"/>
      <c r="Q3" s="313"/>
      <c r="R3" s="313"/>
      <c r="S3" s="313"/>
      <c r="T3" s="65"/>
      <c r="U3" s="66"/>
    </row>
    <row r="4" spans="1:24" ht="15.75" customHeight="1" x14ac:dyDescent="0.35">
      <c r="B4" s="64"/>
      <c r="C4" s="67" t="s">
        <v>434</v>
      </c>
      <c r="D4" s="29"/>
      <c r="E4" s="29"/>
      <c r="F4" s="29"/>
      <c r="G4" s="29"/>
      <c r="H4" s="29"/>
      <c r="I4" s="29"/>
      <c r="J4" s="29"/>
      <c r="K4" s="29"/>
      <c r="L4" s="29"/>
      <c r="M4" s="29"/>
      <c r="N4" s="29"/>
      <c r="O4" s="29"/>
      <c r="P4" s="29"/>
      <c r="Q4" s="29"/>
      <c r="R4" s="29"/>
      <c r="S4" s="29"/>
      <c r="T4" s="29"/>
      <c r="U4" s="25"/>
    </row>
    <row r="5" spans="1:24" ht="18" customHeight="1" x14ac:dyDescent="0.35">
      <c r="B5" s="64"/>
      <c r="C5" s="211" t="s">
        <v>435</v>
      </c>
      <c r="D5" s="316" t="s">
        <v>401</v>
      </c>
      <c r="E5" s="316"/>
      <c r="F5" s="29"/>
      <c r="G5" s="29"/>
      <c r="H5" s="29"/>
      <c r="I5" s="29"/>
      <c r="J5" s="29"/>
      <c r="K5" s="29"/>
      <c r="L5" s="29"/>
      <c r="M5" s="29"/>
      <c r="N5" s="29"/>
      <c r="O5" s="29"/>
      <c r="P5" s="29"/>
      <c r="Q5" s="29"/>
      <c r="R5" s="29"/>
      <c r="S5" s="29"/>
      <c r="T5" s="29"/>
      <c r="U5" s="25"/>
    </row>
    <row r="6" spans="1:24" ht="15" customHeight="1" x14ac:dyDescent="0.35">
      <c r="B6" s="64"/>
      <c r="C6" s="29"/>
      <c r="D6" s="29"/>
      <c r="E6" s="29"/>
      <c r="F6" s="29"/>
      <c r="G6" s="29"/>
      <c r="H6" s="29"/>
      <c r="I6" s="29"/>
      <c r="J6" s="29"/>
      <c r="K6" s="29"/>
      <c r="L6" s="29"/>
      <c r="M6" s="29"/>
      <c r="N6" s="29"/>
      <c r="O6" s="29"/>
      <c r="P6" s="29"/>
      <c r="Q6" s="29"/>
      <c r="R6" s="29"/>
      <c r="S6" s="29"/>
      <c r="T6" s="29"/>
      <c r="U6" s="25"/>
    </row>
    <row r="7" spans="1:24" ht="32.25" customHeight="1" x14ac:dyDescent="0.35">
      <c r="B7" s="64"/>
      <c r="C7" s="68" t="s">
        <v>0</v>
      </c>
      <c r="D7" s="69" t="s">
        <v>1</v>
      </c>
      <c r="E7" s="70" t="s">
        <v>2</v>
      </c>
      <c r="F7" s="29"/>
      <c r="G7" s="29"/>
      <c r="H7" s="29"/>
      <c r="I7" s="29"/>
      <c r="J7" s="29"/>
      <c r="K7" s="29"/>
      <c r="L7" s="29"/>
      <c r="M7" s="29"/>
      <c r="N7" s="29"/>
      <c r="O7" s="29"/>
      <c r="P7" s="29"/>
      <c r="Q7" s="29"/>
      <c r="R7" s="29"/>
      <c r="S7" s="29"/>
      <c r="T7" s="29"/>
      <c r="U7" s="25"/>
      <c r="W7" s="39" t="s">
        <v>22</v>
      </c>
      <c r="X7" s="39" t="s">
        <v>2</v>
      </c>
    </row>
    <row r="8" spans="1:24" ht="15" customHeight="1" x14ac:dyDescent="0.35">
      <c r="B8" s="64"/>
      <c r="C8" s="184" t="s">
        <v>118</v>
      </c>
      <c r="D8" s="185" t="s">
        <v>110</v>
      </c>
      <c r="E8" s="186">
        <v>0.12568299999999999</v>
      </c>
      <c r="F8" s="29"/>
      <c r="G8" s="29"/>
      <c r="H8" s="29"/>
      <c r="I8" s="29"/>
      <c r="J8" s="29"/>
      <c r="K8" s="29"/>
      <c r="L8" s="29"/>
      <c r="M8" s="29"/>
      <c r="N8" s="29"/>
      <c r="O8" s="29"/>
      <c r="P8" s="29"/>
      <c r="Q8" s="29"/>
      <c r="R8" s="29"/>
      <c r="S8" s="29"/>
      <c r="T8" s="29"/>
      <c r="U8" s="25"/>
      <c r="W8" s="173" t="s">
        <v>110</v>
      </c>
      <c r="X8" s="224">
        <v>0.46568999999999999</v>
      </c>
    </row>
    <row r="9" spans="1:24" ht="15.75" customHeight="1" x14ac:dyDescent="0.35">
      <c r="B9" s="64"/>
      <c r="C9" s="180" t="s">
        <v>94</v>
      </c>
      <c r="D9" s="187" t="s">
        <v>110</v>
      </c>
      <c r="E9" s="188">
        <v>0.10997800000000001</v>
      </c>
      <c r="F9" s="29"/>
      <c r="G9" s="29"/>
      <c r="H9" s="29"/>
      <c r="I9" s="29"/>
      <c r="J9" s="29"/>
      <c r="K9" s="29"/>
      <c r="L9" s="29"/>
      <c r="M9" s="29"/>
      <c r="N9" s="29"/>
      <c r="O9" s="29"/>
      <c r="P9" s="29"/>
      <c r="Q9" s="29"/>
      <c r="R9" s="29"/>
      <c r="S9" s="29"/>
      <c r="T9" s="29"/>
      <c r="U9" s="25"/>
      <c r="W9" s="173" t="s">
        <v>108</v>
      </c>
      <c r="X9" s="224">
        <v>0.25949300000000003</v>
      </c>
    </row>
    <row r="10" spans="1:24" ht="15.5" x14ac:dyDescent="0.35">
      <c r="B10" s="64"/>
      <c r="C10" s="180" t="s">
        <v>142</v>
      </c>
      <c r="D10" s="187" t="s">
        <v>110</v>
      </c>
      <c r="E10" s="188">
        <v>6.7191000000000001E-2</v>
      </c>
      <c r="F10" s="29"/>
      <c r="G10" s="29"/>
      <c r="H10" s="29"/>
      <c r="I10" s="29"/>
      <c r="J10" s="29"/>
      <c r="K10" s="29"/>
      <c r="L10" s="29"/>
      <c r="M10" s="29"/>
      <c r="N10" s="29"/>
      <c r="O10" s="29"/>
      <c r="P10" s="29"/>
      <c r="Q10" s="29"/>
      <c r="R10" s="29"/>
      <c r="S10" s="29"/>
      <c r="T10" s="29"/>
      <c r="U10" s="25"/>
      <c r="W10" s="173" t="s">
        <v>122</v>
      </c>
      <c r="X10" s="224">
        <v>0.112859</v>
      </c>
    </row>
    <row r="11" spans="1:24" ht="15.75" customHeight="1" x14ac:dyDescent="0.35">
      <c r="B11" s="64"/>
      <c r="C11" s="180" t="s">
        <v>107</v>
      </c>
      <c r="D11" s="187" t="s">
        <v>108</v>
      </c>
      <c r="E11" s="188">
        <v>5.1708999999999998E-2</v>
      </c>
      <c r="F11" s="29"/>
      <c r="G11" s="29"/>
      <c r="H11" s="29"/>
      <c r="I11" s="29"/>
      <c r="J11" s="29"/>
      <c r="K11" s="29"/>
      <c r="L11" s="29"/>
      <c r="M11" s="29"/>
      <c r="N11" s="29"/>
      <c r="O11" s="29"/>
      <c r="P11" s="29"/>
      <c r="Q11" s="29"/>
      <c r="R11" s="29"/>
      <c r="S11" s="29"/>
      <c r="T11" s="29"/>
      <c r="U11" s="25"/>
      <c r="W11" s="173" t="s">
        <v>26</v>
      </c>
      <c r="X11" s="224">
        <v>3.1747999999999998E-2</v>
      </c>
    </row>
    <row r="12" spans="1:24" ht="15" customHeight="1" x14ac:dyDescent="0.35">
      <c r="B12" s="64"/>
      <c r="C12" s="180" t="s">
        <v>143</v>
      </c>
      <c r="D12" s="187" t="s">
        <v>122</v>
      </c>
      <c r="E12" s="188">
        <v>5.1198E-2</v>
      </c>
      <c r="F12" s="29"/>
      <c r="G12" s="29"/>
      <c r="H12" s="29"/>
      <c r="I12" s="29"/>
      <c r="J12" s="29"/>
      <c r="K12" s="29"/>
      <c r="L12" s="29"/>
      <c r="M12" s="29"/>
      <c r="N12" s="29"/>
      <c r="O12" s="29"/>
      <c r="P12" s="29"/>
      <c r="Q12" s="29"/>
      <c r="R12" s="29"/>
      <c r="S12" s="29"/>
      <c r="T12" s="29"/>
      <c r="U12" s="25"/>
      <c r="W12" s="173" t="s">
        <v>125</v>
      </c>
      <c r="X12" s="224">
        <v>1.9071000000000001E-2</v>
      </c>
    </row>
    <row r="13" spans="1:24" ht="15" customHeight="1" x14ac:dyDescent="0.35">
      <c r="B13" s="64"/>
      <c r="C13" s="180" t="s">
        <v>78</v>
      </c>
      <c r="D13" s="187" t="s">
        <v>110</v>
      </c>
      <c r="E13" s="188">
        <v>5.0266999999999999E-2</v>
      </c>
      <c r="F13" s="29"/>
      <c r="G13" s="29"/>
      <c r="H13" s="29"/>
      <c r="I13" s="29"/>
      <c r="J13" s="29"/>
      <c r="K13" s="29"/>
      <c r="L13" s="29"/>
      <c r="M13" s="29"/>
      <c r="N13" s="29"/>
      <c r="O13" s="29"/>
      <c r="P13" s="29"/>
      <c r="Q13" s="29"/>
      <c r="R13" s="29"/>
      <c r="S13" s="29"/>
      <c r="T13" s="29"/>
      <c r="U13" s="25"/>
      <c r="W13" s="61" t="s">
        <v>4</v>
      </c>
      <c r="X13" s="62">
        <v>1.7513000000000001E-2</v>
      </c>
    </row>
    <row r="14" spans="1:24" ht="15" customHeight="1" x14ac:dyDescent="0.35">
      <c r="B14" s="64"/>
      <c r="C14" s="180" t="s">
        <v>216</v>
      </c>
      <c r="D14" s="187" t="s">
        <v>110</v>
      </c>
      <c r="E14" s="188">
        <v>4.3436000000000002E-2</v>
      </c>
      <c r="F14" s="29"/>
      <c r="G14" s="29"/>
      <c r="H14" s="29"/>
      <c r="I14" s="29"/>
      <c r="J14" s="29"/>
      <c r="K14" s="29"/>
      <c r="L14" s="29"/>
      <c r="M14" s="29"/>
      <c r="N14" s="29"/>
      <c r="O14" s="29"/>
      <c r="P14" s="29"/>
      <c r="Q14" s="29"/>
      <c r="R14" s="29"/>
      <c r="S14" s="29"/>
      <c r="T14" s="29"/>
      <c r="U14" s="25"/>
      <c r="W14" s="61" t="s">
        <v>16</v>
      </c>
      <c r="X14" s="62">
        <v>1.3474E-2</v>
      </c>
    </row>
    <row r="15" spans="1:24" ht="15" customHeight="1" x14ac:dyDescent="0.35">
      <c r="B15" s="64"/>
      <c r="C15" s="180" t="s">
        <v>141</v>
      </c>
      <c r="D15" s="187" t="s">
        <v>110</v>
      </c>
      <c r="E15" s="188">
        <v>3.9157999999999998E-2</v>
      </c>
      <c r="F15" s="29"/>
      <c r="G15" s="29"/>
      <c r="H15" s="29"/>
      <c r="I15" s="29"/>
      <c r="J15" s="29"/>
      <c r="K15" s="29"/>
      <c r="L15" s="29"/>
      <c r="M15" s="29"/>
      <c r="N15" s="29"/>
      <c r="O15" s="29"/>
      <c r="P15" s="29"/>
      <c r="Q15" s="29"/>
      <c r="R15" s="29"/>
      <c r="S15" s="29"/>
      <c r="T15" s="29"/>
      <c r="U15" s="25"/>
      <c r="W15" s="61" t="s">
        <v>82</v>
      </c>
      <c r="X15" s="62">
        <v>1.2179000000000001E-2</v>
      </c>
    </row>
    <row r="16" spans="1:24" ht="15" customHeight="1" x14ac:dyDescent="0.35">
      <c r="B16" s="64"/>
      <c r="C16" s="180" t="s">
        <v>368</v>
      </c>
      <c r="D16" s="187" t="s">
        <v>108</v>
      </c>
      <c r="E16" s="188">
        <v>3.5094E-2</v>
      </c>
      <c r="F16" s="29"/>
      <c r="G16" s="29"/>
      <c r="H16" s="29"/>
      <c r="I16" s="29"/>
      <c r="J16" s="29"/>
      <c r="K16" s="29"/>
      <c r="L16" s="29"/>
      <c r="M16" s="29"/>
      <c r="N16" s="29"/>
      <c r="O16" s="29"/>
      <c r="P16" s="29"/>
      <c r="Q16" s="29"/>
      <c r="R16" s="29"/>
      <c r="S16" s="29"/>
      <c r="T16" s="29"/>
      <c r="U16" s="25"/>
      <c r="W16" s="61" t="s">
        <v>24</v>
      </c>
      <c r="X16" s="62">
        <v>1.0611000000000001E-2</v>
      </c>
    </row>
    <row r="17" spans="2:24" ht="15" customHeight="1" x14ac:dyDescent="0.35">
      <c r="B17" s="64"/>
      <c r="C17" s="180" t="s">
        <v>378</v>
      </c>
      <c r="D17" s="187" t="s">
        <v>26</v>
      </c>
      <c r="E17" s="188">
        <v>3.1747999999999998E-2</v>
      </c>
      <c r="F17" s="29"/>
      <c r="G17" s="29"/>
      <c r="H17" s="29"/>
      <c r="I17" s="29"/>
      <c r="J17" s="29"/>
      <c r="K17" s="29"/>
      <c r="L17" s="29"/>
      <c r="M17" s="29"/>
      <c r="N17" s="29"/>
      <c r="O17" s="29"/>
      <c r="P17" s="29"/>
      <c r="Q17" s="29"/>
      <c r="R17" s="29"/>
      <c r="S17" s="29"/>
      <c r="T17" s="29"/>
      <c r="U17" s="25"/>
      <c r="W17" s="61"/>
      <c r="X17" s="62"/>
    </row>
    <row r="18" spans="2:24" ht="15" customHeight="1" x14ac:dyDescent="0.35">
      <c r="B18" s="64"/>
      <c r="C18" s="180" t="s">
        <v>324</v>
      </c>
      <c r="D18" s="187" t="s">
        <v>110</v>
      </c>
      <c r="E18" s="188">
        <v>2.9977E-2</v>
      </c>
      <c r="F18" s="29"/>
      <c r="G18" s="29"/>
      <c r="H18" s="29"/>
      <c r="I18" s="29"/>
      <c r="J18" s="29"/>
      <c r="K18" s="29"/>
      <c r="L18" s="29"/>
      <c r="M18" s="29"/>
      <c r="N18" s="29"/>
      <c r="O18" s="29"/>
      <c r="P18" s="29"/>
      <c r="Q18" s="29"/>
      <c r="R18" s="29"/>
      <c r="S18" s="29"/>
      <c r="T18" s="29"/>
      <c r="U18" s="25"/>
      <c r="W18" s="61"/>
      <c r="X18" s="62"/>
    </row>
    <row r="19" spans="2:24" ht="15" customHeight="1" x14ac:dyDescent="0.35">
      <c r="B19" s="64"/>
      <c r="C19" s="180" t="s">
        <v>278</v>
      </c>
      <c r="D19" s="187" t="s">
        <v>108</v>
      </c>
      <c r="E19" s="188">
        <v>2.6235999999999999E-2</v>
      </c>
      <c r="F19" s="29"/>
      <c r="G19" s="29"/>
      <c r="H19" s="29"/>
      <c r="I19" s="29"/>
      <c r="J19" s="29"/>
      <c r="K19" s="29"/>
      <c r="L19" s="29"/>
      <c r="M19" s="29"/>
      <c r="N19" s="29"/>
      <c r="O19" s="29"/>
      <c r="P19" s="29"/>
      <c r="Q19" s="29"/>
      <c r="R19" s="29"/>
      <c r="S19" s="29"/>
      <c r="T19" s="29"/>
      <c r="U19" s="25"/>
      <c r="W19" s="61"/>
      <c r="X19" s="62"/>
    </row>
    <row r="20" spans="2:24" ht="15" customHeight="1" x14ac:dyDescent="0.35">
      <c r="B20" s="64"/>
      <c r="C20" s="180" t="s">
        <v>300</v>
      </c>
      <c r="D20" s="187" t="s">
        <v>108</v>
      </c>
      <c r="E20" s="188">
        <v>1.9788E-2</v>
      </c>
      <c r="F20" s="29"/>
      <c r="G20" s="29"/>
      <c r="H20" s="29"/>
      <c r="I20" s="29"/>
      <c r="J20" s="29"/>
      <c r="K20" s="29"/>
      <c r="L20" s="29"/>
      <c r="M20" s="29"/>
      <c r="N20" s="29"/>
      <c r="O20" s="29"/>
      <c r="P20" s="29"/>
      <c r="Q20" s="29"/>
      <c r="R20" s="29"/>
      <c r="S20" s="29"/>
      <c r="T20" s="29"/>
      <c r="U20" s="25"/>
      <c r="W20" s="61"/>
      <c r="X20" s="62"/>
    </row>
    <row r="21" spans="2:24" ht="15" customHeight="1" x14ac:dyDescent="0.35">
      <c r="B21" s="64"/>
      <c r="C21" s="180" t="s">
        <v>335</v>
      </c>
      <c r="D21" s="187" t="s">
        <v>122</v>
      </c>
      <c r="E21" s="188">
        <v>1.9673E-2</v>
      </c>
      <c r="F21" s="29"/>
      <c r="G21" s="29"/>
      <c r="H21" s="29"/>
      <c r="I21" s="29"/>
      <c r="J21" s="29"/>
      <c r="K21" s="29"/>
      <c r="L21" s="29"/>
      <c r="M21" s="29"/>
      <c r="N21" s="29"/>
      <c r="O21" s="29"/>
      <c r="P21" s="29"/>
      <c r="Q21" s="29"/>
      <c r="R21" s="29"/>
      <c r="S21" s="29"/>
      <c r="T21" s="29"/>
      <c r="U21" s="25"/>
      <c r="W21" s="61"/>
      <c r="X21" s="62"/>
    </row>
    <row r="22" spans="2:24" ht="15" customHeight="1" x14ac:dyDescent="0.35">
      <c r="B22" s="64"/>
      <c r="C22" s="180" t="s">
        <v>383</v>
      </c>
      <c r="D22" s="187" t="s">
        <v>125</v>
      </c>
      <c r="E22" s="188">
        <v>1.9071000000000001E-2</v>
      </c>
      <c r="F22" s="29"/>
      <c r="G22" s="29"/>
      <c r="H22" s="29"/>
      <c r="I22" s="29"/>
      <c r="J22" s="29"/>
      <c r="K22" s="29"/>
      <c r="L22" s="29"/>
      <c r="M22" s="29"/>
      <c r="N22" s="29"/>
      <c r="O22" s="29"/>
      <c r="P22" s="29"/>
      <c r="Q22" s="29"/>
      <c r="R22" s="29"/>
      <c r="S22" s="29"/>
      <c r="T22" s="29"/>
      <c r="U22" s="25"/>
      <c r="W22" s="61"/>
      <c r="X22" s="62"/>
    </row>
    <row r="23" spans="2:24" ht="15" customHeight="1" x14ac:dyDescent="0.35">
      <c r="B23" s="64"/>
      <c r="C23" s="15"/>
      <c r="D23" s="16"/>
      <c r="E23" s="17"/>
      <c r="F23" s="29"/>
      <c r="G23" s="29"/>
      <c r="H23" s="29"/>
      <c r="I23" s="29"/>
      <c r="J23" s="29"/>
      <c r="K23" s="29"/>
      <c r="L23" s="29"/>
      <c r="M23" s="29"/>
      <c r="N23" s="29"/>
      <c r="O23" s="29"/>
      <c r="P23" s="29"/>
      <c r="Q23" s="29"/>
      <c r="R23" s="29"/>
      <c r="S23" s="29"/>
      <c r="T23" s="29"/>
      <c r="U23" s="25"/>
      <c r="W23" s="61"/>
      <c r="X23" s="62"/>
    </row>
    <row r="24" spans="2:24" ht="15" customHeight="1" x14ac:dyDescent="0.35">
      <c r="B24" s="64"/>
      <c r="C24" s="73" t="s">
        <v>55</v>
      </c>
      <c r="D24" s="74"/>
      <c r="E24" s="75">
        <f>SUM(E8:E22)</f>
        <v>0.72020700000000015</v>
      </c>
      <c r="F24" s="29"/>
      <c r="G24" s="29"/>
      <c r="H24" s="29"/>
      <c r="I24" s="29"/>
      <c r="J24" s="29"/>
      <c r="K24" s="29"/>
      <c r="L24" s="29"/>
      <c r="M24" s="29"/>
      <c r="N24" s="29"/>
      <c r="O24" s="29"/>
      <c r="P24" s="29"/>
      <c r="Q24" s="29"/>
      <c r="R24" s="29"/>
      <c r="S24" s="29"/>
      <c r="T24" s="29"/>
      <c r="U24" s="25"/>
      <c r="W24" s="61"/>
      <c r="X24" s="62"/>
    </row>
    <row r="25" spans="2:24" ht="15" customHeight="1" x14ac:dyDescent="0.35">
      <c r="B25" s="64"/>
      <c r="C25" s="29"/>
      <c r="D25" s="29"/>
      <c r="E25" s="29"/>
      <c r="F25" s="29"/>
      <c r="G25" s="29"/>
      <c r="H25" s="29"/>
      <c r="I25" s="29"/>
      <c r="J25" s="29"/>
      <c r="K25" s="29"/>
      <c r="L25" s="29"/>
      <c r="M25" s="29"/>
      <c r="N25" s="29"/>
      <c r="O25" s="29"/>
      <c r="P25" s="29"/>
      <c r="Q25" s="29"/>
      <c r="R25" s="29"/>
      <c r="S25" s="29"/>
      <c r="T25" s="29"/>
      <c r="U25" s="25"/>
      <c r="W25" s="61"/>
      <c r="X25" s="62"/>
    </row>
    <row r="26" spans="2:24" ht="15" customHeight="1" x14ac:dyDescent="0.35">
      <c r="B26" s="64"/>
      <c r="C26" s="29"/>
      <c r="D26" s="29"/>
      <c r="E26" s="29"/>
      <c r="F26" s="29"/>
      <c r="G26" s="29"/>
      <c r="H26" s="29"/>
      <c r="I26" s="29"/>
      <c r="J26" s="29"/>
      <c r="K26" s="29"/>
      <c r="L26" s="29"/>
      <c r="M26" s="29"/>
      <c r="N26" s="29"/>
      <c r="O26" s="29"/>
      <c r="P26" s="29"/>
      <c r="Q26" s="29"/>
      <c r="R26" s="29"/>
      <c r="S26" s="29"/>
      <c r="T26" s="29"/>
      <c r="U26" s="25"/>
      <c r="W26" s="61"/>
      <c r="X26" s="62"/>
    </row>
    <row r="27" spans="2:24" ht="15" customHeight="1" x14ac:dyDescent="0.35">
      <c r="B27" s="64"/>
      <c r="C27" s="29"/>
      <c r="D27" s="29"/>
      <c r="E27" s="29"/>
      <c r="F27" s="29"/>
      <c r="G27" s="29"/>
      <c r="H27" s="29"/>
      <c r="I27" s="29"/>
      <c r="J27" s="29"/>
      <c r="K27" s="29"/>
      <c r="L27" s="29"/>
      <c r="M27" s="29"/>
      <c r="N27" s="29"/>
      <c r="O27" s="29"/>
      <c r="P27" s="29"/>
      <c r="Q27" s="29"/>
      <c r="R27" s="29"/>
      <c r="S27" s="29"/>
      <c r="T27" s="29"/>
      <c r="U27" s="25"/>
      <c r="W27" s="61"/>
      <c r="X27" s="62"/>
    </row>
    <row r="28" spans="2:24" ht="15" customHeight="1" x14ac:dyDescent="0.35">
      <c r="B28" s="64"/>
      <c r="C28" s="29"/>
      <c r="D28" s="29"/>
      <c r="E28" s="29"/>
      <c r="F28" s="29"/>
      <c r="G28" s="29"/>
      <c r="H28" s="29"/>
      <c r="I28" s="29"/>
      <c r="J28" s="29"/>
      <c r="K28" s="29"/>
      <c r="L28" s="29"/>
      <c r="M28" s="29"/>
      <c r="N28" s="29"/>
      <c r="O28" s="29"/>
      <c r="P28" s="29"/>
      <c r="Q28" s="29"/>
      <c r="R28" s="29"/>
      <c r="S28" s="29"/>
      <c r="T28" s="29"/>
      <c r="U28" s="25"/>
      <c r="W28" s="61"/>
      <c r="X28" s="62"/>
    </row>
    <row r="29" spans="2:24" ht="15" customHeight="1" x14ac:dyDescent="0.35">
      <c r="B29" s="64"/>
      <c r="C29" s="29"/>
      <c r="D29" s="29"/>
      <c r="E29" s="29"/>
      <c r="F29" s="29"/>
      <c r="G29" s="29"/>
      <c r="H29" s="29"/>
      <c r="I29" s="29"/>
      <c r="J29" s="29"/>
      <c r="K29" s="29"/>
      <c r="L29" s="29"/>
      <c r="M29" s="29"/>
      <c r="N29" s="29"/>
      <c r="O29" s="29"/>
      <c r="P29" s="29"/>
      <c r="Q29" s="29"/>
      <c r="R29" s="29"/>
      <c r="S29" s="29"/>
      <c r="T29" s="29"/>
      <c r="U29" s="25"/>
      <c r="W29" s="61"/>
      <c r="X29" s="62"/>
    </row>
    <row r="30" spans="2:24" ht="15" customHeight="1" x14ac:dyDescent="0.35">
      <c r="B30" s="64"/>
      <c r="C30" s="29"/>
      <c r="D30" s="29"/>
      <c r="E30" s="29"/>
      <c r="F30" s="29"/>
      <c r="G30" s="29"/>
      <c r="H30" s="29"/>
      <c r="I30" s="29"/>
      <c r="J30" s="29"/>
      <c r="K30" s="29"/>
      <c r="L30" s="29"/>
      <c r="M30" s="29"/>
      <c r="N30" s="29"/>
      <c r="O30" s="29"/>
      <c r="P30" s="29"/>
      <c r="Q30" s="29"/>
      <c r="R30" s="29"/>
      <c r="S30" s="29"/>
      <c r="T30" s="29"/>
      <c r="U30" s="25"/>
      <c r="W30" s="61"/>
      <c r="X30" s="62"/>
    </row>
    <row r="31" spans="2:24" ht="15" customHeight="1" x14ac:dyDescent="0.35">
      <c r="B31" s="64"/>
      <c r="C31" s="29"/>
      <c r="D31" s="29"/>
      <c r="E31" s="29"/>
      <c r="F31" s="29"/>
      <c r="G31" s="29"/>
      <c r="H31" s="29"/>
      <c r="I31" s="29"/>
      <c r="J31" s="29"/>
      <c r="K31" s="29"/>
      <c r="L31" s="29"/>
      <c r="M31" s="29"/>
      <c r="N31" s="29"/>
      <c r="O31" s="29"/>
      <c r="P31" s="29"/>
      <c r="Q31" s="29"/>
      <c r="R31" s="29"/>
      <c r="S31" s="29"/>
      <c r="T31" s="29"/>
      <c r="U31" s="25"/>
      <c r="W31" s="61"/>
      <c r="X31" s="62"/>
    </row>
    <row r="32" spans="2:24" ht="15" customHeight="1" x14ac:dyDescent="0.35">
      <c r="B32" s="64"/>
      <c r="C32" s="29"/>
      <c r="D32" s="29"/>
      <c r="E32" s="29"/>
      <c r="F32" s="29"/>
      <c r="G32" s="29"/>
      <c r="H32" s="29"/>
      <c r="I32" s="29"/>
      <c r="J32" s="29"/>
      <c r="K32" s="29"/>
      <c r="L32" s="29"/>
      <c r="M32" s="29"/>
      <c r="N32" s="29"/>
      <c r="O32" s="29"/>
      <c r="P32" s="29"/>
      <c r="Q32" s="29"/>
      <c r="R32" s="29"/>
      <c r="S32" s="29"/>
      <c r="T32" s="29"/>
      <c r="U32" s="25"/>
      <c r="W32" s="61"/>
      <c r="X32" s="62"/>
    </row>
    <row r="33" spans="2:24" ht="15" customHeight="1" x14ac:dyDescent="0.35">
      <c r="B33" s="64"/>
      <c r="C33" s="29"/>
      <c r="D33" s="29"/>
      <c r="E33" s="29"/>
      <c r="F33" s="29"/>
      <c r="G33" s="29"/>
      <c r="H33" s="29"/>
      <c r="I33" s="29"/>
      <c r="J33" s="29"/>
      <c r="K33" s="29"/>
      <c r="L33" s="29"/>
      <c r="M33" s="29"/>
      <c r="N33" s="29"/>
      <c r="O33" s="29"/>
      <c r="P33" s="29"/>
      <c r="Q33" s="29"/>
      <c r="R33" s="29"/>
      <c r="S33" s="29"/>
      <c r="T33" s="29"/>
      <c r="U33" s="25"/>
      <c r="W33" s="61"/>
      <c r="X33" s="62"/>
    </row>
    <row r="34" spans="2:24" ht="15" customHeight="1" x14ac:dyDescent="0.35">
      <c r="B34" s="64"/>
      <c r="C34" s="29"/>
      <c r="D34" s="29"/>
      <c r="E34" s="29"/>
      <c r="F34" s="29"/>
      <c r="G34" s="29"/>
      <c r="H34" s="29"/>
      <c r="I34" s="29"/>
      <c r="J34" s="29"/>
      <c r="K34" s="29"/>
      <c r="L34" s="29"/>
      <c r="M34" s="29"/>
      <c r="N34" s="29"/>
      <c r="O34" s="29"/>
      <c r="P34" s="29"/>
      <c r="Q34" s="29"/>
      <c r="R34" s="29"/>
      <c r="S34" s="29"/>
      <c r="T34" s="29"/>
      <c r="U34" s="25"/>
      <c r="W34" s="61"/>
      <c r="X34" s="62"/>
    </row>
    <row r="35" spans="2:24" ht="15" customHeight="1" x14ac:dyDescent="0.35">
      <c r="B35" s="64"/>
      <c r="C35" s="29"/>
      <c r="D35" s="29"/>
      <c r="E35" s="29"/>
      <c r="F35" s="29"/>
      <c r="G35" s="29"/>
      <c r="H35" s="29"/>
      <c r="I35" s="29"/>
      <c r="J35" s="29"/>
      <c r="K35" s="29"/>
      <c r="L35" s="29"/>
      <c r="M35" s="29"/>
      <c r="N35" s="29"/>
      <c r="O35" s="29"/>
      <c r="P35" s="29"/>
      <c r="Q35" s="29"/>
      <c r="R35" s="29"/>
      <c r="S35" s="29"/>
      <c r="T35" s="29"/>
      <c r="U35" s="25"/>
      <c r="W35" s="61"/>
      <c r="X35" s="62"/>
    </row>
    <row r="36" spans="2:24" ht="15" customHeight="1" x14ac:dyDescent="0.35">
      <c r="B36" s="64"/>
      <c r="C36" s="29"/>
      <c r="D36" s="29"/>
      <c r="E36" s="29"/>
      <c r="F36" s="29"/>
      <c r="G36" s="29"/>
      <c r="H36" s="29"/>
      <c r="I36" s="29"/>
      <c r="J36" s="29"/>
      <c r="K36" s="29"/>
      <c r="L36" s="29"/>
      <c r="M36" s="29"/>
      <c r="N36" s="29"/>
      <c r="O36" s="29"/>
      <c r="P36" s="29"/>
      <c r="Q36" s="29"/>
      <c r="R36" s="29"/>
      <c r="S36" s="29"/>
      <c r="T36" s="29"/>
      <c r="U36" s="25"/>
      <c r="W36" s="61"/>
      <c r="X36" s="62"/>
    </row>
    <row r="37" spans="2:24" ht="15" customHeight="1" thickBot="1" x14ac:dyDescent="0.4">
      <c r="B37" s="76"/>
      <c r="C37" s="30"/>
      <c r="D37" s="30"/>
      <c r="E37" s="30"/>
      <c r="F37" s="30"/>
      <c r="G37" s="30"/>
      <c r="H37" s="30"/>
      <c r="I37" s="30"/>
      <c r="J37" s="30"/>
      <c r="K37" s="30"/>
      <c r="L37" s="30"/>
      <c r="M37" s="30"/>
      <c r="N37" s="30"/>
      <c r="O37" s="30"/>
      <c r="P37" s="30"/>
      <c r="Q37" s="30"/>
      <c r="R37" s="30"/>
      <c r="S37" s="30"/>
      <c r="T37" s="30"/>
      <c r="U37" s="26"/>
      <c r="W37" s="61"/>
      <c r="X37" s="62"/>
    </row>
    <row r="38" spans="2:24" ht="15" customHeight="1" thickBot="1" x14ac:dyDescent="0.4">
      <c r="W38" s="61"/>
      <c r="X38" s="62"/>
    </row>
    <row r="39" spans="2:24" ht="15" customHeight="1" x14ac:dyDescent="0.35">
      <c r="B39" s="303" t="s">
        <v>179</v>
      </c>
      <c r="C39" s="304"/>
      <c r="D39" s="304"/>
      <c r="E39" s="304"/>
      <c r="F39" s="304"/>
      <c r="G39" s="304"/>
      <c r="H39" s="304"/>
      <c r="I39" s="304"/>
      <c r="J39" s="304"/>
      <c r="K39" s="304"/>
      <c r="L39" s="304"/>
      <c r="M39" s="304"/>
      <c r="N39" s="304"/>
      <c r="O39" s="304"/>
      <c r="P39" s="304"/>
      <c r="Q39" s="304"/>
      <c r="R39" s="305"/>
      <c r="W39" s="61"/>
      <c r="X39" s="62"/>
    </row>
    <row r="40" spans="2:24" ht="15" customHeight="1" x14ac:dyDescent="0.35">
      <c r="B40" s="306"/>
      <c r="C40" s="307"/>
      <c r="D40" s="307"/>
      <c r="E40" s="307"/>
      <c r="F40" s="307"/>
      <c r="G40" s="307"/>
      <c r="H40" s="307"/>
      <c r="I40" s="307"/>
      <c r="J40" s="307"/>
      <c r="K40" s="307"/>
      <c r="L40" s="307"/>
      <c r="M40" s="307"/>
      <c r="N40" s="307"/>
      <c r="O40" s="307"/>
      <c r="P40" s="307"/>
      <c r="Q40" s="307"/>
      <c r="R40" s="308"/>
      <c r="W40" s="61"/>
      <c r="X40" s="62"/>
    </row>
    <row r="41" spans="2:24" ht="15" customHeight="1" x14ac:dyDescent="0.35">
      <c r="B41" s="306"/>
      <c r="C41" s="307"/>
      <c r="D41" s="307"/>
      <c r="E41" s="307"/>
      <c r="F41" s="307"/>
      <c r="G41" s="307"/>
      <c r="H41" s="307"/>
      <c r="I41" s="307"/>
      <c r="J41" s="307"/>
      <c r="K41" s="307"/>
      <c r="L41" s="307"/>
      <c r="M41" s="307"/>
      <c r="N41" s="307"/>
      <c r="O41" s="307"/>
      <c r="P41" s="307"/>
      <c r="Q41" s="307"/>
      <c r="R41" s="308"/>
      <c r="W41" s="61"/>
      <c r="X41" s="62"/>
    </row>
    <row r="42" spans="2:24" ht="15" customHeight="1" x14ac:dyDescent="0.35">
      <c r="B42" s="306"/>
      <c r="C42" s="307"/>
      <c r="D42" s="307"/>
      <c r="E42" s="307"/>
      <c r="F42" s="307"/>
      <c r="G42" s="307"/>
      <c r="H42" s="307"/>
      <c r="I42" s="307"/>
      <c r="J42" s="307"/>
      <c r="K42" s="307"/>
      <c r="L42" s="307"/>
      <c r="M42" s="307"/>
      <c r="N42" s="307"/>
      <c r="O42" s="307"/>
      <c r="P42" s="307"/>
      <c r="Q42" s="307"/>
      <c r="R42" s="308"/>
      <c r="W42" s="61"/>
      <c r="X42" s="62"/>
    </row>
    <row r="43" spans="2:24" ht="15" customHeight="1" x14ac:dyDescent="0.35">
      <c r="B43" s="306"/>
      <c r="C43" s="307"/>
      <c r="D43" s="307"/>
      <c r="E43" s="307"/>
      <c r="F43" s="307"/>
      <c r="G43" s="307"/>
      <c r="H43" s="307"/>
      <c r="I43" s="307"/>
      <c r="J43" s="307"/>
      <c r="K43" s="307"/>
      <c r="L43" s="307"/>
      <c r="M43" s="307"/>
      <c r="N43" s="307"/>
      <c r="O43" s="307"/>
      <c r="P43" s="307"/>
      <c r="Q43" s="307"/>
      <c r="R43" s="308"/>
    </row>
    <row r="44" spans="2:24" ht="15" customHeight="1" x14ac:dyDescent="0.35">
      <c r="B44" s="306"/>
      <c r="C44" s="307"/>
      <c r="D44" s="307"/>
      <c r="E44" s="307"/>
      <c r="F44" s="307"/>
      <c r="G44" s="307"/>
      <c r="H44" s="307"/>
      <c r="I44" s="307"/>
      <c r="J44" s="307"/>
      <c r="K44" s="307"/>
      <c r="L44" s="307"/>
      <c r="M44" s="307"/>
      <c r="N44" s="307"/>
      <c r="O44" s="307"/>
      <c r="P44" s="307"/>
      <c r="Q44" s="307"/>
      <c r="R44" s="308"/>
    </row>
    <row r="45" spans="2:24" ht="27.75" customHeight="1" thickBot="1" x14ac:dyDescent="0.4">
      <c r="B45" s="309"/>
      <c r="C45" s="310"/>
      <c r="D45" s="310"/>
      <c r="E45" s="310"/>
      <c r="F45" s="310"/>
      <c r="G45" s="310"/>
      <c r="H45" s="310"/>
      <c r="I45" s="310"/>
      <c r="J45" s="310"/>
      <c r="K45" s="310"/>
      <c r="L45" s="310"/>
      <c r="M45" s="310"/>
      <c r="N45" s="310"/>
      <c r="O45" s="310"/>
      <c r="P45" s="310"/>
      <c r="Q45" s="310"/>
      <c r="R45" s="311"/>
    </row>
    <row r="46" spans="2:24" ht="15" customHeight="1" x14ac:dyDescent="0.35"/>
    <row r="47" spans="2:24" ht="15" customHeight="1" x14ac:dyDescent="0.35"/>
    <row r="48" spans="2:24" ht="15" customHeight="1" x14ac:dyDescent="0.35"/>
    <row r="49" ht="15" customHeight="1" x14ac:dyDescent="0.35"/>
    <row r="50" ht="15" customHeight="1" x14ac:dyDescent="0.35"/>
    <row r="51" ht="15" customHeight="1" x14ac:dyDescent="0.35"/>
    <row r="52" ht="15" customHeight="1" x14ac:dyDescent="0.35"/>
    <row r="53" ht="15" customHeight="1" x14ac:dyDescent="0.35"/>
    <row r="54" ht="15" customHeight="1" x14ac:dyDescent="0.35"/>
    <row r="55" ht="15" customHeight="1" x14ac:dyDescent="0.35"/>
    <row r="56" ht="15" customHeight="1" x14ac:dyDescent="0.35"/>
    <row r="57" ht="15" customHeight="1" x14ac:dyDescent="0.35"/>
    <row r="58" ht="15" customHeight="1" x14ac:dyDescent="0.35"/>
    <row r="59" ht="15" customHeight="1" x14ac:dyDescent="0.35"/>
    <row r="60" ht="15" customHeight="1" x14ac:dyDescent="0.35"/>
    <row r="61" ht="15" customHeight="1" x14ac:dyDescent="0.35"/>
    <row r="62" ht="15" customHeight="1" x14ac:dyDescent="0.35"/>
    <row r="63" ht="15" customHeight="1" x14ac:dyDescent="0.35"/>
    <row r="64" ht="15" customHeight="1" x14ac:dyDescent="0.35"/>
  </sheetData>
  <sortState ref="C8:E19">
    <sortCondition descending="1" ref="E8"/>
  </sortState>
  <mergeCells count="3">
    <mergeCell ref="C3:S3"/>
    <mergeCell ref="D5:E5"/>
    <mergeCell ref="B39:R45"/>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4098F9-ACA5-472E-A4A1-C4C505F5B7EE}">
  <sheetPr codeName="Sheet23"/>
  <dimension ref="A1:X64"/>
  <sheetViews>
    <sheetView showGridLines="0" zoomScale="77" zoomScaleNormal="75" workbookViewId="0"/>
  </sheetViews>
  <sheetFormatPr defaultColWidth="9.1796875" defaultRowHeight="14.5" x14ac:dyDescent="0.35"/>
  <cols>
    <col min="1" max="1" width="2.81640625" style="19" customWidth="1"/>
    <col min="2" max="2" width="3.81640625" style="19" customWidth="1"/>
    <col min="3" max="3" width="58.7265625" style="19" bestFit="1" customWidth="1"/>
    <col min="4" max="4" width="28.26953125" style="19" customWidth="1"/>
    <col min="5" max="5" width="10.453125" style="19" bestFit="1" customWidth="1"/>
    <col min="6" max="18" width="9.1796875" style="19"/>
    <col min="19" max="19" width="9.81640625" style="19" customWidth="1"/>
    <col min="20" max="16384" width="9.1796875" style="19"/>
  </cols>
  <sheetData>
    <row r="1" spans="1:24" ht="15.75" customHeight="1" thickBot="1" x14ac:dyDescent="0.4">
      <c r="A1" s="3"/>
    </row>
    <row r="2" spans="1:24" ht="15" customHeight="1" x14ac:dyDescent="0.35">
      <c r="B2" s="63"/>
      <c r="C2" s="28"/>
      <c r="D2" s="28"/>
      <c r="E2" s="28"/>
      <c r="F2" s="28"/>
      <c r="G2" s="28"/>
      <c r="H2" s="28"/>
      <c r="I2" s="28"/>
      <c r="J2" s="28"/>
      <c r="K2" s="28"/>
      <c r="L2" s="28"/>
      <c r="M2" s="28"/>
      <c r="N2" s="28"/>
      <c r="O2" s="28"/>
      <c r="P2" s="28"/>
      <c r="Q2" s="28"/>
      <c r="R2" s="28"/>
      <c r="S2" s="28"/>
      <c r="T2" s="28"/>
      <c r="U2" s="24"/>
    </row>
    <row r="3" spans="1:24" ht="20.25" customHeight="1" x14ac:dyDescent="0.35">
      <c r="B3" s="64"/>
      <c r="C3" s="312" t="s">
        <v>180</v>
      </c>
      <c r="D3" s="313"/>
      <c r="E3" s="313"/>
      <c r="F3" s="313"/>
      <c r="G3" s="313"/>
      <c r="H3" s="313"/>
      <c r="I3" s="313"/>
      <c r="J3" s="313"/>
      <c r="K3" s="313"/>
      <c r="L3" s="313"/>
      <c r="M3" s="313"/>
      <c r="N3" s="313"/>
      <c r="O3" s="313"/>
      <c r="P3" s="313"/>
      <c r="Q3" s="313"/>
      <c r="R3" s="313"/>
      <c r="S3" s="313"/>
      <c r="T3" s="65"/>
      <c r="U3" s="66"/>
    </row>
    <row r="4" spans="1:24" ht="15.75" customHeight="1" x14ac:dyDescent="0.35">
      <c r="B4" s="64"/>
      <c r="C4" s="67" t="s">
        <v>434</v>
      </c>
      <c r="D4" s="29"/>
      <c r="E4" s="29"/>
      <c r="F4" s="29"/>
      <c r="G4" s="29"/>
      <c r="H4" s="29"/>
      <c r="I4" s="29"/>
      <c r="J4" s="29"/>
      <c r="K4" s="29"/>
      <c r="L4" s="29"/>
      <c r="M4" s="29"/>
      <c r="N4" s="29"/>
      <c r="O4" s="29"/>
      <c r="P4" s="29"/>
      <c r="Q4" s="29"/>
      <c r="R4" s="29"/>
      <c r="S4" s="29"/>
      <c r="T4" s="29"/>
      <c r="U4" s="25"/>
    </row>
    <row r="5" spans="1:24" ht="18" customHeight="1" x14ac:dyDescent="0.35">
      <c r="B5" s="64"/>
      <c r="C5" s="211" t="s">
        <v>435</v>
      </c>
      <c r="D5" s="316" t="s">
        <v>402</v>
      </c>
      <c r="E5" s="316"/>
      <c r="F5" s="29"/>
      <c r="G5" s="29"/>
      <c r="H5" s="29"/>
      <c r="I5" s="29"/>
      <c r="J5" s="29"/>
      <c r="K5" s="29"/>
      <c r="L5" s="29"/>
      <c r="M5" s="29"/>
      <c r="N5" s="29"/>
      <c r="O5" s="29"/>
      <c r="P5" s="29"/>
      <c r="Q5" s="29"/>
      <c r="R5" s="29"/>
      <c r="S5" s="29"/>
      <c r="T5" s="29"/>
      <c r="U5" s="25"/>
    </row>
    <row r="6" spans="1:24" ht="15" customHeight="1" x14ac:dyDescent="0.35">
      <c r="B6" s="64"/>
      <c r="C6" s="29"/>
      <c r="D6" s="29"/>
      <c r="E6" s="29"/>
      <c r="F6" s="29"/>
      <c r="G6" s="29"/>
      <c r="H6" s="29"/>
      <c r="I6" s="29"/>
      <c r="J6" s="29"/>
      <c r="K6" s="29"/>
      <c r="L6" s="29"/>
      <c r="M6" s="29"/>
      <c r="N6" s="29"/>
      <c r="O6" s="29"/>
      <c r="P6" s="29"/>
      <c r="Q6" s="29"/>
      <c r="R6" s="29"/>
      <c r="S6" s="29"/>
      <c r="T6" s="29"/>
      <c r="U6" s="25"/>
    </row>
    <row r="7" spans="1:24" ht="32.25" customHeight="1" x14ac:dyDescent="0.35">
      <c r="B7" s="64"/>
      <c r="C7" s="68" t="s">
        <v>0</v>
      </c>
      <c r="D7" s="69" t="s">
        <v>1</v>
      </c>
      <c r="E7" s="70" t="s">
        <v>2</v>
      </c>
      <c r="F7" s="29"/>
      <c r="G7" s="29"/>
      <c r="H7" s="29"/>
      <c r="I7" s="29"/>
      <c r="J7" s="29"/>
      <c r="K7" s="29"/>
      <c r="L7" s="29"/>
      <c r="M7" s="29"/>
      <c r="N7" s="29"/>
      <c r="O7" s="29"/>
      <c r="P7" s="29"/>
      <c r="Q7" s="29"/>
      <c r="R7" s="29"/>
      <c r="S7" s="29"/>
      <c r="T7" s="29"/>
      <c r="U7" s="25"/>
      <c r="W7" s="39" t="s">
        <v>22</v>
      </c>
      <c r="X7" s="39" t="s">
        <v>2</v>
      </c>
    </row>
    <row r="8" spans="1:24" ht="15" customHeight="1" x14ac:dyDescent="0.35">
      <c r="B8" s="64"/>
      <c r="C8" s="184" t="s">
        <v>29</v>
      </c>
      <c r="D8" s="185" t="s">
        <v>3</v>
      </c>
      <c r="E8" s="186">
        <v>0.20048299999999999</v>
      </c>
      <c r="F8" s="29"/>
      <c r="G8" s="29"/>
      <c r="H8" s="29"/>
      <c r="I8" s="29"/>
      <c r="J8" s="29"/>
      <c r="K8" s="29"/>
      <c r="L8" s="29"/>
      <c r="M8" s="29"/>
      <c r="N8" s="29"/>
      <c r="O8" s="29"/>
      <c r="P8" s="29"/>
      <c r="Q8" s="29"/>
      <c r="R8" s="29"/>
      <c r="S8" s="29"/>
      <c r="T8" s="29"/>
      <c r="U8" s="25"/>
      <c r="W8" s="173" t="s">
        <v>3</v>
      </c>
      <c r="X8" s="172">
        <v>0.54197499999999987</v>
      </c>
    </row>
    <row r="9" spans="1:24" ht="15.75" customHeight="1" x14ac:dyDescent="0.35">
      <c r="B9" s="64"/>
      <c r="C9" s="180" t="s">
        <v>32</v>
      </c>
      <c r="D9" s="187" t="s">
        <v>3</v>
      </c>
      <c r="E9" s="188">
        <v>0.16355500000000001</v>
      </c>
      <c r="F9" s="29"/>
      <c r="G9" s="29"/>
      <c r="H9" s="29"/>
      <c r="I9" s="29"/>
      <c r="J9" s="29"/>
      <c r="K9" s="29"/>
      <c r="L9" s="29"/>
      <c r="M9" s="29"/>
      <c r="N9" s="29"/>
      <c r="O9" s="29"/>
      <c r="P9" s="29"/>
      <c r="Q9" s="29"/>
      <c r="R9" s="29"/>
      <c r="S9" s="29"/>
      <c r="T9" s="29"/>
      <c r="U9" s="25"/>
      <c r="W9" s="173" t="s">
        <v>4</v>
      </c>
      <c r="X9" s="172">
        <v>0.25633299999999998</v>
      </c>
    </row>
    <row r="10" spans="1:24" ht="15.5" x14ac:dyDescent="0.35">
      <c r="B10" s="64"/>
      <c r="C10" s="180" t="s">
        <v>36</v>
      </c>
      <c r="D10" s="187" t="s">
        <v>3</v>
      </c>
      <c r="E10" s="188">
        <v>9.4465999999999994E-2</v>
      </c>
      <c r="F10" s="29"/>
      <c r="G10" s="29"/>
      <c r="H10" s="29"/>
      <c r="I10" s="29"/>
      <c r="J10" s="29"/>
      <c r="K10" s="29"/>
      <c r="L10" s="29"/>
      <c r="M10" s="29"/>
      <c r="N10" s="29"/>
      <c r="O10" s="29"/>
      <c r="P10" s="29"/>
      <c r="Q10" s="29"/>
      <c r="R10" s="29"/>
      <c r="S10" s="29"/>
      <c r="T10" s="29"/>
      <c r="U10" s="25"/>
      <c r="W10" s="173" t="s">
        <v>84</v>
      </c>
      <c r="X10" s="172">
        <v>8.1848000000000004E-2</v>
      </c>
    </row>
    <row r="11" spans="1:24" ht="15.75" customHeight="1" x14ac:dyDescent="0.35">
      <c r="B11" s="64"/>
      <c r="C11" s="180" t="s">
        <v>35</v>
      </c>
      <c r="D11" s="187" t="s">
        <v>3</v>
      </c>
      <c r="E11" s="188">
        <v>4.6346999999999999E-2</v>
      </c>
      <c r="F11" s="29"/>
      <c r="G11" s="29"/>
      <c r="H11" s="29"/>
      <c r="I11" s="29"/>
      <c r="J11" s="29"/>
      <c r="K11" s="29"/>
      <c r="L11" s="29"/>
      <c r="M11" s="29"/>
      <c r="N11" s="29"/>
      <c r="O11" s="29"/>
      <c r="P11" s="29"/>
      <c r="Q11" s="29"/>
      <c r="R11" s="29"/>
      <c r="S11" s="29"/>
      <c r="T11" s="29"/>
      <c r="U11" s="25"/>
      <c r="W11" s="173" t="s">
        <v>181</v>
      </c>
      <c r="X11" s="172">
        <v>3.9349000000000002E-2</v>
      </c>
    </row>
    <row r="12" spans="1:24" ht="15" customHeight="1" x14ac:dyDescent="0.35">
      <c r="B12" s="64"/>
      <c r="C12" s="180" t="s">
        <v>79</v>
      </c>
      <c r="D12" s="187" t="s">
        <v>4</v>
      </c>
      <c r="E12" s="188">
        <v>3.8171999999999998E-2</v>
      </c>
      <c r="F12" s="29"/>
      <c r="G12" s="29"/>
      <c r="H12" s="29"/>
      <c r="I12" s="29"/>
      <c r="J12" s="29"/>
      <c r="K12" s="29"/>
      <c r="L12" s="29"/>
      <c r="M12" s="29"/>
      <c r="N12" s="29"/>
      <c r="O12" s="29"/>
      <c r="P12" s="29"/>
      <c r="Q12" s="29"/>
      <c r="R12" s="29"/>
      <c r="S12" s="29"/>
      <c r="T12" s="29"/>
      <c r="U12" s="25"/>
      <c r="W12" s="173" t="s">
        <v>83</v>
      </c>
      <c r="X12" s="172">
        <v>1.7390000000000003E-2</v>
      </c>
    </row>
    <row r="13" spans="1:24" ht="15" customHeight="1" x14ac:dyDescent="0.35">
      <c r="B13" s="64"/>
      <c r="C13" s="180" t="s">
        <v>103</v>
      </c>
      <c r="D13" s="187" t="s">
        <v>4</v>
      </c>
      <c r="E13" s="188">
        <v>3.687E-2</v>
      </c>
      <c r="F13" s="29"/>
      <c r="G13" s="29"/>
      <c r="H13" s="29"/>
      <c r="I13" s="29"/>
      <c r="J13" s="29"/>
      <c r="K13" s="29"/>
      <c r="L13" s="29"/>
      <c r="M13" s="29"/>
      <c r="N13" s="29"/>
      <c r="O13" s="29"/>
      <c r="P13" s="29"/>
      <c r="Q13" s="29"/>
      <c r="R13" s="29"/>
      <c r="S13" s="29"/>
      <c r="T13" s="29"/>
      <c r="U13" s="25"/>
      <c r="W13" s="61"/>
      <c r="X13" s="62"/>
    </row>
    <row r="14" spans="1:24" ht="15" customHeight="1" x14ac:dyDescent="0.35">
      <c r="B14" s="64"/>
      <c r="C14" s="180" t="s">
        <v>200</v>
      </c>
      <c r="D14" s="187" t="s">
        <v>4</v>
      </c>
      <c r="E14" s="188">
        <v>3.3716000000000003E-2</v>
      </c>
      <c r="F14" s="29"/>
      <c r="G14" s="29"/>
      <c r="H14" s="29"/>
      <c r="I14" s="29"/>
      <c r="J14" s="29"/>
      <c r="K14" s="29"/>
      <c r="L14" s="29"/>
      <c r="M14" s="29"/>
      <c r="N14" s="29"/>
      <c r="O14" s="29"/>
      <c r="P14" s="29"/>
      <c r="Q14" s="29"/>
      <c r="R14" s="29"/>
      <c r="S14" s="29"/>
      <c r="T14" s="29"/>
      <c r="U14" s="25"/>
      <c r="W14" s="61"/>
      <c r="X14" s="62"/>
    </row>
    <row r="15" spans="1:24" ht="15" customHeight="1" x14ac:dyDescent="0.35">
      <c r="B15" s="64"/>
      <c r="C15" s="180" t="s">
        <v>336</v>
      </c>
      <c r="D15" s="187" t="s">
        <v>84</v>
      </c>
      <c r="E15" s="188">
        <v>2.8399000000000001E-2</v>
      </c>
      <c r="F15" s="29"/>
      <c r="G15" s="29"/>
      <c r="H15" s="29"/>
      <c r="I15" s="29"/>
      <c r="J15" s="29"/>
      <c r="K15" s="29"/>
      <c r="L15" s="29"/>
      <c r="M15" s="29"/>
      <c r="N15" s="29"/>
      <c r="O15" s="29"/>
      <c r="P15" s="29"/>
      <c r="Q15" s="29"/>
      <c r="R15" s="29"/>
      <c r="S15" s="29"/>
      <c r="T15" s="29"/>
      <c r="U15" s="25"/>
      <c r="W15" s="61"/>
      <c r="X15" s="62"/>
    </row>
    <row r="16" spans="1:24" ht="15" customHeight="1" x14ac:dyDescent="0.35">
      <c r="B16" s="64"/>
      <c r="C16" s="180" t="s">
        <v>228</v>
      </c>
      <c r="D16" s="187" t="s">
        <v>4</v>
      </c>
      <c r="E16" s="188">
        <v>2.3732E-2</v>
      </c>
      <c r="F16" s="29"/>
      <c r="G16" s="29"/>
      <c r="H16" s="29"/>
      <c r="I16" s="29"/>
      <c r="J16" s="29"/>
      <c r="K16" s="29"/>
      <c r="L16" s="29"/>
      <c r="M16" s="29"/>
      <c r="N16" s="29"/>
      <c r="O16" s="29"/>
      <c r="P16" s="29"/>
      <c r="Q16" s="29"/>
      <c r="R16" s="29"/>
      <c r="S16" s="29"/>
      <c r="T16" s="29"/>
      <c r="U16" s="25"/>
      <c r="W16" s="61"/>
      <c r="X16" s="62"/>
    </row>
    <row r="17" spans="2:24" ht="15" customHeight="1" x14ac:dyDescent="0.35">
      <c r="B17" s="64"/>
      <c r="C17" s="180" t="s">
        <v>217</v>
      </c>
      <c r="D17" s="187" t="s">
        <v>181</v>
      </c>
      <c r="E17" s="188">
        <v>2.0167000000000001E-2</v>
      </c>
      <c r="F17" s="29"/>
      <c r="G17" s="29"/>
      <c r="H17" s="29"/>
      <c r="I17" s="29"/>
      <c r="J17" s="29"/>
      <c r="K17" s="29"/>
      <c r="L17" s="29"/>
      <c r="M17" s="29"/>
      <c r="N17" s="29"/>
      <c r="O17" s="29"/>
      <c r="P17" s="29"/>
      <c r="Q17" s="29"/>
      <c r="R17" s="29"/>
      <c r="S17" s="29"/>
      <c r="T17" s="29"/>
      <c r="U17" s="25"/>
      <c r="W17" s="61"/>
      <c r="X17" s="62"/>
    </row>
    <row r="18" spans="2:24" ht="15" customHeight="1" x14ac:dyDescent="0.35">
      <c r="B18" s="64"/>
      <c r="C18" s="180" t="s">
        <v>262</v>
      </c>
      <c r="D18" s="187" t="s">
        <v>181</v>
      </c>
      <c r="E18" s="188">
        <v>1.9182000000000001E-2</v>
      </c>
      <c r="F18" s="29"/>
      <c r="G18" s="29"/>
      <c r="H18" s="29"/>
      <c r="I18" s="29"/>
      <c r="J18" s="29"/>
      <c r="K18" s="29"/>
      <c r="L18" s="29"/>
      <c r="M18" s="29"/>
      <c r="N18" s="29"/>
      <c r="O18" s="29"/>
      <c r="P18" s="29"/>
      <c r="Q18" s="29"/>
      <c r="R18" s="29"/>
      <c r="S18" s="29"/>
      <c r="T18" s="29"/>
      <c r="U18" s="25"/>
      <c r="W18" s="61"/>
      <c r="X18" s="62"/>
    </row>
    <row r="19" spans="2:24" ht="15" customHeight="1" x14ac:dyDescent="0.35">
      <c r="B19" s="64"/>
      <c r="C19" s="180" t="s">
        <v>279</v>
      </c>
      <c r="D19" s="187" t="s">
        <v>4</v>
      </c>
      <c r="E19" s="188">
        <v>1.5696000000000002E-2</v>
      </c>
      <c r="F19" s="29"/>
      <c r="G19" s="29"/>
      <c r="H19" s="29"/>
      <c r="I19" s="29"/>
      <c r="J19" s="29"/>
      <c r="K19" s="29"/>
      <c r="L19" s="29"/>
      <c r="M19" s="29"/>
      <c r="N19" s="29"/>
      <c r="O19" s="29"/>
      <c r="P19" s="29"/>
      <c r="Q19" s="29"/>
      <c r="R19" s="29"/>
      <c r="S19" s="29"/>
      <c r="T19" s="29"/>
      <c r="U19" s="25"/>
      <c r="W19" s="61"/>
      <c r="X19" s="62"/>
    </row>
    <row r="20" spans="2:24" ht="15" customHeight="1" x14ac:dyDescent="0.35">
      <c r="B20" s="64"/>
      <c r="C20" s="180" t="s">
        <v>362</v>
      </c>
      <c r="D20" s="187" t="s">
        <v>84</v>
      </c>
      <c r="E20" s="188">
        <v>1.4378E-2</v>
      </c>
      <c r="F20" s="29"/>
      <c r="G20" s="29"/>
      <c r="H20" s="29"/>
      <c r="I20" s="29"/>
      <c r="J20" s="29"/>
      <c r="K20" s="29"/>
      <c r="L20" s="29"/>
      <c r="M20" s="29"/>
      <c r="N20" s="29"/>
      <c r="O20" s="29"/>
      <c r="P20" s="29"/>
      <c r="Q20" s="29"/>
      <c r="R20" s="29"/>
      <c r="S20" s="29"/>
      <c r="T20" s="29"/>
      <c r="U20" s="25"/>
      <c r="W20" s="61"/>
      <c r="X20" s="62"/>
    </row>
    <row r="21" spans="2:24" ht="15" customHeight="1" x14ac:dyDescent="0.35">
      <c r="B21" s="64"/>
      <c r="C21" s="180" t="s">
        <v>384</v>
      </c>
      <c r="D21" s="187" t="s">
        <v>84</v>
      </c>
      <c r="E21" s="188">
        <v>1.4281E-2</v>
      </c>
      <c r="F21" s="29"/>
      <c r="G21" s="29"/>
      <c r="H21" s="29"/>
      <c r="I21" s="29"/>
      <c r="J21" s="29"/>
      <c r="K21" s="29"/>
      <c r="L21" s="29"/>
      <c r="M21" s="29"/>
      <c r="N21" s="29"/>
      <c r="O21" s="29"/>
      <c r="P21" s="29"/>
      <c r="Q21" s="29"/>
      <c r="R21" s="29"/>
      <c r="S21" s="29"/>
      <c r="T21" s="29"/>
      <c r="U21" s="25"/>
      <c r="W21" s="61"/>
      <c r="X21" s="62"/>
    </row>
    <row r="22" spans="2:24" ht="15" customHeight="1" x14ac:dyDescent="0.35">
      <c r="B22" s="64"/>
      <c r="C22" s="180" t="s">
        <v>348</v>
      </c>
      <c r="D22" s="187" t="s">
        <v>4</v>
      </c>
      <c r="E22" s="188">
        <v>1.3816999999999999E-2</v>
      </c>
      <c r="F22" s="29"/>
      <c r="G22" s="29"/>
      <c r="H22" s="29"/>
      <c r="I22" s="29"/>
      <c r="J22" s="29"/>
      <c r="K22" s="29"/>
      <c r="L22" s="29"/>
      <c r="M22" s="29"/>
      <c r="N22" s="29"/>
      <c r="O22" s="29"/>
      <c r="P22" s="29"/>
      <c r="Q22" s="29"/>
      <c r="R22" s="29"/>
      <c r="S22" s="29"/>
      <c r="T22" s="29"/>
      <c r="U22" s="25"/>
      <c r="W22" s="61"/>
      <c r="X22" s="62"/>
    </row>
    <row r="23" spans="2:24" ht="15" customHeight="1" x14ac:dyDescent="0.35">
      <c r="B23" s="64"/>
      <c r="C23" s="15"/>
      <c r="D23" s="16"/>
      <c r="E23" s="17"/>
      <c r="F23" s="29"/>
      <c r="G23" s="29"/>
      <c r="H23" s="29"/>
      <c r="I23" s="29"/>
      <c r="J23" s="29"/>
      <c r="K23" s="29"/>
      <c r="L23" s="29"/>
      <c r="M23" s="29"/>
      <c r="N23" s="29"/>
      <c r="O23" s="29"/>
      <c r="P23" s="29"/>
      <c r="Q23" s="29"/>
      <c r="R23" s="29"/>
      <c r="S23" s="29"/>
      <c r="T23" s="29"/>
      <c r="U23" s="25"/>
      <c r="W23" s="61"/>
      <c r="X23" s="62"/>
    </row>
    <row r="24" spans="2:24" ht="15" customHeight="1" x14ac:dyDescent="0.35">
      <c r="B24" s="64"/>
      <c r="C24" s="73" t="s">
        <v>55</v>
      </c>
      <c r="D24" s="74"/>
      <c r="E24" s="75">
        <f>SUM(E8:E22)</f>
        <v>0.76326099999999986</v>
      </c>
      <c r="F24" s="29"/>
      <c r="G24" s="29"/>
      <c r="H24" s="29"/>
      <c r="I24" s="29"/>
      <c r="J24" s="29"/>
      <c r="K24" s="29"/>
      <c r="L24" s="29"/>
      <c r="M24" s="29"/>
      <c r="N24" s="29"/>
      <c r="O24" s="29"/>
      <c r="P24" s="29"/>
      <c r="Q24" s="29"/>
      <c r="R24" s="29"/>
      <c r="S24" s="29"/>
      <c r="T24" s="29"/>
      <c r="U24" s="25"/>
      <c r="W24" s="61"/>
      <c r="X24" s="62"/>
    </row>
    <row r="25" spans="2:24" ht="15" customHeight="1" x14ac:dyDescent="0.35">
      <c r="B25" s="64"/>
      <c r="C25" s="29"/>
      <c r="D25" s="29"/>
      <c r="E25" s="29"/>
      <c r="F25" s="29"/>
      <c r="G25" s="29"/>
      <c r="H25" s="29"/>
      <c r="I25" s="29"/>
      <c r="J25" s="29"/>
      <c r="K25" s="29"/>
      <c r="L25" s="29"/>
      <c r="M25" s="29"/>
      <c r="N25" s="29"/>
      <c r="O25" s="29"/>
      <c r="P25" s="29"/>
      <c r="Q25" s="29"/>
      <c r="R25" s="29"/>
      <c r="S25" s="29"/>
      <c r="T25" s="29"/>
      <c r="U25" s="25"/>
      <c r="W25" s="61"/>
      <c r="X25" s="62"/>
    </row>
    <row r="26" spans="2:24" ht="15" customHeight="1" x14ac:dyDescent="0.35">
      <c r="B26" s="64"/>
      <c r="C26" s="29"/>
      <c r="D26" s="29"/>
      <c r="E26" s="29"/>
      <c r="F26" s="29"/>
      <c r="G26" s="29"/>
      <c r="H26" s="29"/>
      <c r="I26" s="29"/>
      <c r="J26" s="29"/>
      <c r="K26" s="29"/>
      <c r="L26" s="29"/>
      <c r="M26" s="29"/>
      <c r="N26" s="29"/>
      <c r="O26" s="29"/>
      <c r="P26" s="29"/>
      <c r="Q26" s="29"/>
      <c r="R26" s="29"/>
      <c r="S26" s="29"/>
      <c r="T26" s="29"/>
      <c r="U26" s="25"/>
      <c r="W26" s="61"/>
      <c r="X26" s="62"/>
    </row>
    <row r="27" spans="2:24" ht="15" customHeight="1" x14ac:dyDescent="0.35">
      <c r="B27" s="64"/>
      <c r="C27" s="29"/>
      <c r="D27" s="29"/>
      <c r="E27" s="29"/>
      <c r="F27" s="29"/>
      <c r="G27" s="29"/>
      <c r="H27" s="29"/>
      <c r="I27" s="29"/>
      <c r="J27" s="29"/>
      <c r="K27" s="29"/>
      <c r="L27" s="29"/>
      <c r="M27" s="29"/>
      <c r="N27" s="29"/>
      <c r="O27" s="29"/>
      <c r="P27" s="29"/>
      <c r="Q27" s="29"/>
      <c r="R27" s="29"/>
      <c r="S27" s="29"/>
      <c r="T27" s="29"/>
      <c r="U27" s="25"/>
      <c r="W27" s="61"/>
      <c r="X27" s="62"/>
    </row>
    <row r="28" spans="2:24" ht="15" customHeight="1" x14ac:dyDescent="0.35">
      <c r="B28" s="64"/>
      <c r="C28" s="29"/>
      <c r="D28" s="29"/>
      <c r="E28" s="29"/>
      <c r="F28" s="29"/>
      <c r="G28" s="29"/>
      <c r="H28" s="29"/>
      <c r="I28" s="29"/>
      <c r="J28" s="29"/>
      <c r="K28" s="29"/>
      <c r="L28" s="29"/>
      <c r="M28" s="29"/>
      <c r="N28" s="29"/>
      <c r="O28" s="29"/>
      <c r="P28" s="29"/>
      <c r="Q28" s="29"/>
      <c r="R28" s="29"/>
      <c r="S28" s="29"/>
      <c r="T28" s="29"/>
      <c r="U28" s="25"/>
      <c r="W28" s="61"/>
      <c r="X28" s="62"/>
    </row>
    <row r="29" spans="2:24" ht="15" customHeight="1" x14ac:dyDescent="0.35">
      <c r="B29" s="64"/>
      <c r="C29" s="29"/>
      <c r="D29" s="29"/>
      <c r="E29" s="29"/>
      <c r="F29" s="29"/>
      <c r="G29" s="29"/>
      <c r="H29" s="29"/>
      <c r="I29" s="29"/>
      <c r="J29" s="29"/>
      <c r="K29" s="29"/>
      <c r="L29" s="29"/>
      <c r="M29" s="29"/>
      <c r="N29" s="29"/>
      <c r="O29" s="29"/>
      <c r="P29" s="29"/>
      <c r="Q29" s="29"/>
      <c r="R29" s="29"/>
      <c r="S29" s="29"/>
      <c r="T29" s="29"/>
      <c r="U29" s="25"/>
      <c r="W29" s="61"/>
      <c r="X29" s="62"/>
    </row>
    <row r="30" spans="2:24" ht="15" customHeight="1" x14ac:dyDescent="0.35">
      <c r="B30" s="64"/>
      <c r="C30" s="29"/>
      <c r="D30" s="29"/>
      <c r="E30" s="29"/>
      <c r="F30" s="29"/>
      <c r="G30" s="29"/>
      <c r="H30" s="29"/>
      <c r="I30" s="29"/>
      <c r="J30" s="29"/>
      <c r="K30" s="29"/>
      <c r="L30" s="29"/>
      <c r="M30" s="29"/>
      <c r="N30" s="29"/>
      <c r="O30" s="29"/>
      <c r="P30" s="29"/>
      <c r="Q30" s="29"/>
      <c r="R30" s="29"/>
      <c r="S30" s="29"/>
      <c r="T30" s="29"/>
      <c r="U30" s="25"/>
      <c r="W30" s="61"/>
      <c r="X30" s="62"/>
    </row>
    <row r="31" spans="2:24" ht="15" customHeight="1" x14ac:dyDescent="0.35">
      <c r="B31" s="64"/>
      <c r="C31" s="29"/>
      <c r="D31" s="29"/>
      <c r="E31" s="29"/>
      <c r="F31" s="29"/>
      <c r="G31" s="29"/>
      <c r="H31" s="29"/>
      <c r="I31" s="29"/>
      <c r="J31" s="29"/>
      <c r="K31" s="29"/>
      <c r="L31" s="29"/>
      <c r="M31" s="29"/>
      <c r="N31" s="29"/>
      <c r="O31" s="29"/>
      <c r="P31" s="29"/>
      <c r="Q31" s="29"/>
      <c r="R31" s="29"/>
      <c r="S31" s="29"/>
      <c r="T31" s="29"/>
      <c r="U31" s="25"/>
      <c r="W31" s="61"/>
      <c r="X31" s="62"/>
    </row>
    <row r="32" spans="2:24" ht="15" customHeight="1" x14ac:dyDescent="0.35">
      <c r="B32" s="64"/>
      <c r="C32" s="29"/>
      <c r="D32" s="29"/>
      <c r="E32" s="29"/>
      <c r="F32" s="29"/>
      <c r="G32" s="29"/>
      <c r="H32" s="29"/>
      <c r="I32" s="29"/>
      <c r="J32" s="29"/>
      <c r="K32" s="29"/>
      <c r="L32" s="29"/>
      <c r="M32" s="29"/>
      <c r="N32" s="29"/>
      <c r="O32" s="29"/>
      <c r="P32" s="29"/>
      <c r="Q32" s="29"/>
      <c r="R32" s="29"/>
      <c r="S32" s="29"/>
      <c r="T32" s="29"/>
      <c r="U32" s="25"/>
      <c r="W32" s="61"/>
      <c r="X32" s="62"/>
    </row>
    <row r="33" spans="2:24" ht="15" customHeight="1" x14ac:dyDescent="0.35">
      <c r="B33" s="64"/>
      <c r="C33" s="29"/>
      <c r="D33" s="29"/>
      <c r="E33" s="29"/>
      <c r="F33" s="29"/>
      <c r="G33" s="29"/>
      <c r="H33" s="29"/>
      <c r="I33" s="29"/>
      <c r="J33" s="29"/>
      <c r="K33" s="29"/>
      <c r="L33" s="29"/>
      <c r="M33" s="29"/>
      <c r="N33" s="29"/>
      <c r="O33" s="29"/>
      <c r="P33" s="29"/>
      <c r="Q33" s="29"/>
      <c r="R33" s="29"/>
      <c r="S33" s="29"/>
      <c r="T33" s="29"/>
      <c r="U33" s="25"/>
      <c r="W33" s="61"/>
      <c r="X33" s="62"/>
    </row>
    <row r="34" spans="2:24" ht="15" customHeight="1" x14ac:dyDescent="0.35">
      <c r="B34" s="64"/>
      <c r="C34" s="29"/>
      <c r="D34" s="29"/>
      <c r="E34" s="29"/>
      <c r="F34" s="29"/>
      <c r="G34" s="29"/>
      <c r="H34" s="29"/>
      <c r="I34" s="29"/>
      <c r="J34" s="29"/>
      <c r="K34" s="29"/>
      <c r="L34" s="29"/>
      <c r="M34" s="29"/>
      <c r="N34" s="29"/>
      <c r="O34" s="29"/>
      <c r="P34" s="29"/>
      <c r="Q34" s="29"/>
      <c r="R34" s="29"/>
      <c r="S34" s="29"/>
      <c r="T34" s="29"/>
      <c r="U34" s="25"/>
      <c r="W34" s="61"/>
      <c r="X34" s="62"/>
    </row>
    <row r="35" spans="2:24" ht="15" customHeight="1" x14ac:dyDescent="0.35">
      <c r="B35" s="64"/>
      <c r="C35" s="29"/>
      <c r="D35" s="29"/>
      <c r="E35" s="29"/>
      <c r="F35" s="29"/>
      <c r="G35" s="29"/>
      <c r="H35" s="29"/>
      <c r="I35" s="29"/>
      <c r="J35" s="29"/>
      <c r="K35" s="29"/>
      <c r="L35" s="29"/>
      <c r="M35" s="29"/>
      <c r="N35" s="29"/>
      <c r="O35" s="29"/>
      <c r="P35" s="29"/>
      <c r="Q35" s="29"/>
      <c r="R35" s="29"/>
      <c r="S35" s="29"/>
      <c r="T35" s="29"/>
      <c r="U35" s="25"/>
      <c r="W35" s="61"/>
      <c r="X35" s="62"/>
    </row>
    <row r="36" spans="2:24" ht="15" customHeight="1" x14ac:dyDescent="0.35">
      <c r="B36" s="64"/>
      <c r="C36" s="29"/>
      <c r="D36" s="29"/>
      <c r="E36" s="29"/>
      <c r="F36" s="29"/>
      <c r="G36" s="29"/>
      <c r="H36" s="29"/>
      <c r="I36" s="29"/>
      <c r="J36" s="29"/>
      <c r="K36" s="29"/>
      <c r="L36" s="29"/>
      <c r="M36" s="29"/>
      <c r="N36" s="29"/>
      <c r="O36" s="29"/>
      <c r="P36" s="29"/>
      <c r="Q36" s="29"/>
      <c r="R36" s="29"/>
      <c r="S36" s="29"/>
      <c r="T36" s="29"/>
      <c r="U36" s="25"/>
      <c r="W36" s="61"/>
      <c r="X36" s="62"/>
    </row>
    <row r="37" spans="2:24" ht="15" customHeight="1" thickBot="1" x14ac:dyDescent="0.4">
      <c r="B37" s="76"/>
      <c r="C37" s="30"/>
      <c r="D37" s="30"/>
      <c r="E37" s="30"/>
      <c r="F37" s="30"/>
      <c r="G37" s="30"/>
      <c r="H37" s="30"/>
      <c r="I37" s="30"/>
      <c r="J37" s="30"/>
      <c r="K37" s="30"/>
      <c r="L37" s="30"/>
      <c r="M37" s="30"/>
      <c r="N37" s="30"/>
      <c r="O37" s="30"/>
      <c r="P37" s="30"/>
      <c r="Q37" s="30"/>
      <c r="R37" s="30"/>
      <c r="S37" s="30"/>
      <c r="T37" s="30"/>
      <c r="U37" s="26"/>
      <c r="W37" s="61"/>
      <c r="X37" s="62"/>
    </row>
    <row r="38" spans="2:24" ht="15" customHeight="1" thickBot="1" x14ac:dyDescent="0.4">
      <c r="W38" s="61"/>
      <c r="X38" s="62"/>
    </row>
    <row r="39" spans="2:24" ht="15" customHeight="1" x14ac:dyDescent="0.35">
      <c r="B39" s="303" t="s">
        <v>179</v>
      </c>
      <c r="C39" s="304"/>
      <c r="D39" s="304"/>
      <c r="E39" s="304"/>
      <c r="F39" s="304"/>
      <c r="G39" s="304"/>
      <c r="H39" s="304"/>
      <c r="I39" s="304"/>
      <c r="J39" s="304"/>
      <c r="K39" s="304"/>
      <c r="L39" s="304"/>
      <c r="M39" s="304"/>
      <c r="N39" s="304"/>
      <c r="O39" s="304"/>
      <c r="P39" s="304"/>
      <c r="Q39" s="304"/>
      <c r="R39" s="305"/>
      <c r="W39" s="61"/>
      <c r="X39" s="62"/>
    </row>
    <row r="40" spans="2:24" ht="15" customHeight="1" x14ac:dyDescent="0.35">
      <c r="B40" s="306"/>
      <c r="C40" s="307"/>
      <c r="D40" s="307"/>
      <c r="E40" s="307"/>
      <c r="F40" s="307"/>
      <c r="G40" s="307"/>
      <c r="H40" s="307"/>
      <c r="I40" s="307"/>
      <c r="J40" s="307"/>
      <c r="K40" s="307"/>
      <c r="L40" s="307"/>
      <c r="M40" s="307"/>
      <c r="N40" s="307"/>
      <c r="O40" s="307"/>
      <c r="P40" s="307"/>
      <c r="Q40" s="307"/>
      <c r="R40" s="308"/>
      <c r="W40" s="61"/>
      <c r="X40" s="62"/>
    </row>
    <row r="41" spans="2:24" ht="15" customHeight="1" x14ac:dyDescent="0.35">
      <c r="B41" s="306"/>
      <c r="C41" s="307"/>
      <c r="D41" s="307"/>
      <c r="E41" s="307"/>
      <c r="F41" s="307"/>
      <c r="G41" s="307"/>
      <c r="H41" s="307"/>
      <c r="I41" s="307"/>
      <c r="J41" s="307"/>
      <c r="K41" s="307"/>
      <c r="L41" s="307"/>
      <c r="M41" s="307"/>
      <c r="N41" s="307"/>
      <c r="O41" s="307"/>
      <c r="P41" s="307"/>
      <c r="Q41" s="307"/>
      <c r="R41" s="308"/>
      <c r="W41" s="61"/>
      <c r="X41" s="62"/>
    </row>
    <row r="42" spans="2:24" ht="15" customHeight="1" x14ac:dyDescent="0.35">
      <c r="B42" s="306"/>
      <c r="C42" s="307"/>
      <c r="D42" s="307"/>
      <c r="E42" s="307"/>
      <c r="F42" s="307"/>
      <c r="G42" s="307"/>
      <c r="H42" s="307"/>
      <c r="I42" s="307"/>
      <c r="J42" s="307"/>
      <c r="K42" s="307"/>
      <c r="L42" s="307"/>
      <c r="M42" s="307"/>
      <c r="N42" s="307"/>
      <c r="O42" s="307"/>
      <c r="P42" s="307"/>
      <c r="Q42" s="307"/>
      <c r="R42" s="308"/>
      <c r="W42" s="61"/>
      <c r="X42" s="62"/>
    </row>
    <row r="43" spans="2:24" ht="15" customHeight="1" x14ac:dyDescent="0.35">
      <c r="B43" s="306"/>
      <c r="C43" s="307"/>
      <c r="D43" s="307"/>
      <c r="E43" s="307"/>
      <c r="F43" s="307"/>
      <c r="G43" s="307"/>
      <c r="H43" s="307"/>
      <c r="I43" s="307"/>
      <c r="J43" s="307"/>
      <c r="K43" s="307"/>
      <c r="L43" s="307"/>
      <c r="M43" s="307"/>
      <c r="N43" s="307"/>
      <c r="O43" s="307"/>
      <c r="P43" s="307"/>
      <c r="Q43" s="307"/>
      <c r="R43" s="308"/>
    </row>
    <row r="44" spans="2:24" ht="15" customHeight="1" x14ac:dyDescent="0.35">
      <c r="B44" s="306"/>
      <c r="C44" s="307"/>
      <c r="D44" s="307"/>
      <c r="E44" s="307"/>
      <c r="F44" s="307"/>
      <c r="G44" s="307"/>
      <c r="H44" s="307"/>
      <c r="I44" s="307"/>
      <c r="J44" s="307"/>
      <c r="K44" s="307"/>
      <c r="L44" s="307"/>
      <c r="M44" s="307"/>
      <c r="N44" s="307"/>
      <c r="O44" s="307"/>
      <c r="P44" s="307"/>
      <c r="Q44" s="307"/>
      <c r="R44" s="308"/>
    </row>
    <row r="45" spans="2:24" ht="27.75" customHeight="1" thickBot="1" x14ac:dyDescent="0.4">
      <c r="B45" s="309"/>
      <c r="C45" s="310"/>
      <c r="D45" s="310"/>
      <c r="E45" s="310"/>
      <c r="F45" s="310"/>
      <c r="G45" s="310"/>
      <c r="H45" s="310"/>
      <c r="I45" s="310"/>
      <c r="J45" s="310"/>
      <c r="K45" s="310"/>
      <c r="L45" s="310"/>
      <c r="M45" s="310"/>
      <c r="N45" s="310"/>
      <c r="O45" s="310"/>
      <c r="P45" s="310"/>
      <c r="Q45" s="310"/>
      <c r="R45" s="311"/>
    </row>
    <row r="46" spans="2:24" ht="15" customHeight="1" x14ac:dyDescent="0.35"/>
    <row r="47" spans="2:24" ht="15" customHeight="1" x14ac:dyDescent="0.35"/>
    <row r="48" spans="2:24" ht="15" customHeight="1" x14ac:dyDescent="0.35"/>
    <row r="49" ht="15" customHeight="1" x14ac:dyDescent="0.35"/>
    <row r="50" ht="15" customHeight="1" x14ac:dyDescent="0.35"/>
    <row r="51" ht="15" customHeight="1" x14ac:dyDescent="0.35"/>
    <row r="52" ht="15" customHeight="1" x14ac:dyDescent="0.35"/>
    <row r="53" ht="15" customHeight="1" x14ac:dyDescent="0.35"/>
    <row r="54" ht="15" customHeight="1" x14ac:dyDescent="0.35"/>
    <row r="55" ht="15" customHeight="1" x14ac:dyDescent="0.35"/>
    <row r="56" ht="15" customHeight="1" x14ac:dyDescent="0.35"/>
    <row r="57" ht="15" customHeight="1" x14ac:dyDescent="0.35"/>
    <row r="58" ht="15" customHeight="1" x14ac:dyDescent="0.35"/>
    <row r="59" ht="15" customHeight="1" x14ac:dyDescent="0.35"/>
    <row r="60" ht="15" customHeight="1" x14ac:dyDescent="0.35"/>
    <row r="61" ht="15" customHeight="1" x14ac:dyDescent="0.35"/>
    <row r="62" ht="15" customHeight="1" x14ac:dyDescent="0.35"/>
    <row r="63" ht="15" customHeight="1" x14ac:dyDescent="0.35"/>
    <row r="64" ht="15" customHeight="1" x14ac:dyDescent="0.35"/>
  </sheetData>
  <mergeCells count="3">
    <mergeCell ref="C3:S3"/>
    <mergeCell ref="D5:E5"/>
    <mergeCell ref="B39:R45"/>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C3AC16-8CD1-4552-A6FF-1FA5C4B5C4C4}">
  <sheetPr codeName="Sheet24"/>
  <dimension ref="A1:AB63"/>
  <sheetViews>
    <sheetView showGridLines="0" zoomScale="75" zoomScaleNormal="75" workbookViewId="0"/>
  </sheetViews>
  <sheetFormatPr defaultColWidth="9.1796875" defaultRowHeight="14.5" x14ac:dyDescent="0.35"/>
  <cols>
    <col min="1" max="1" width="2.81640625" style="19" customWidth="1"/>
    <col min="2" max="2" width="3.81640625" style="19" customWidth="1"/>
    <col min="3" max="3" width="59.1796875" style="19" bestFit="1" customWidth="1"/>
    <col min="4" max="4" width="27.1796875" style="19" customWidth="1"/>
    <col min="5" max="5" width="10.453125" style="19" bestFit="1" customWidth="1"/>
    <col min="6" max="18" width="9.1796875" style="19"/>
    <col min="19" max="19" width="9.81640625" style="19" customWidth="1"/>
    <col min="20" max="20" width="9.1796875" style="19"/>
    <col min="21" max="22" width="9.1796875" style="39"/>
    <col min="23" max="23" width="46.453125" style="39" bestFit="1" customWidth="1"/>
    <col min="24" max="24" width="9.1796875" style="39" bestFit="1" customWidth="1"/>
    <col min="25" max="28" width="9.1796875" style="39"/>
    <col min="29" max="16384" width="9.1796875" style="19"/>
  </cols>
  <sheetData>
    <row r="1" spans="1:24" ht="15.75" customHeight="1" thickBot="1" x14ac:dyDescent="0.4">
      <c r="A1" s="3"/>
    </row>
    <row r="2" spans="1:24" ht="15" customHeight="1" x14ac:dyDescent="0.35">
      <c r="B2" s="77"/>
      <c r="C2" s="78"/>
      <c r="D2" s="78"/>
      <c r="E2" s="78"/>
      <c r="F2" s="78"/>
      <c r="G2" s="78"/>
      <c r="H2" s="78"/>
      <c r="I2" s="78"/>
      <c r="J2" s="78"/>
      <c r="K2" s="78"/>
      <c r="L2" s="78"/>
      <c r="M2" s="78"/>
      <c r="N2" s="78"/>
      <c r="O2" s="78"/>
      <c r="P2" s="78"/>
      <c r="Q2" s="78"/>
      <c r="R2" s="78"/>
      <c r="S2" s="78"/>
      <c r="T2" s="21"/>
    </row>
    <row r="3" spans="1:24" ht="20.25" customHeight="1" x14ac:dyDescent="0.35">
      <c r="B3" s="79"/>
      <c r="C3" s="312" t="s">
        <v>237</v>
      </c>
      <c r="D3" s="313"/>
      <c r="E3" s="313"/>
      <c r="F3" s="313"/>
      <c r="G3" s="313"/>
      <c r="H3" s="313"/>
      <c r="I3" s="313"/>
      <c r="J3" s="313"/>
      <c r="K3" s="313"/>
      <c r="L3" s="313"/>
      <c r="M3" s="313"/>
      <c r="N3" s="313"/>
      <c r="O3" s="313"/>
      <c r="P3" s="313"/>
      <c r="Q3" s="313"/>
      <c r="R3" s="313"/>
      <c r="S3" s="313"/>
      <c r="T3" s="22"/>
    </row>
    <row r="4" spans="1:24" ht="15.75" customHeight="1" x14ac:dyDescent="0.35">
      <c r="B4" s="79"/>
      <c r="C4" s="67" t="s">
        <v>434</v>
      </c>
      <c r="D4" s="29"/>
      <c r="E4" s="29"/>
      <c r="F4" s="29"/>
      <c r="G4" s="29"/>
      <c r="H4" s="29"/>
      <c r="I4" s="29"/>
      <c r="J4" s="29"/>
      <c r="K4" s="29"/>
      <c r="L4" s="29"/>
      <c r="M4" s="29"/>
      <c r="N4" s="29"/>
      <c r="O4" s="29"/>
      <c r="P4" s="29"/>
      <c r="Q4" s="29"/>
      <c r="R4" s="29"/>
      <c r="S4" s="29"/>
      <c r="T4" s="22"/>
    </row>
    <row r="5" spans="1:24" ht="18" customHeight="1" x14ac:dyDescent="0.35">
      <c r="B5" s="79"/>
      <c r="C5" s="211" t="s">
        <v>435</v>
      </c>
      <c r="D5" s="314" t="s">
        <v>403</v>
      </c>
      <c r="E5" s="314"/>
      <c r="F5" s="143"/>
      <c r="G5" s="29"/>
      <c r="H5" s="29"/>
      <c r="I5" s="29"/>
      <c r="J5" s="29"/>
      <c r="K5" s="29"/>
      <c r="L5" s="29"/>
      <c r="M5" s="29"/>
      <c r="N5" s="29"/>
      <c r="O5" s="29"/>
      <c r="P5" s="29"/>
      <c r="Q5" s="29"/>
      <c r="R5" s="29"/>
      <c r="S5" s="29"/>
      <c r="T5" s="22"/>
    </row>
    <row r="6" spans="1:24" ht="15" customHeight="1" x14ac:dyDescent="0.35">
      <c r="B6" s="79"/>
      <c r="C6" s="29"/>
      <c r="D6" s="29"/>
      <c r="E6" s="29"/>
      <c r="F6" s="29"/>
      <c r="G6" s="29"/>
      <c r="H6" s="29"/>
      <c r="I6" s="29"/>
      <c r="J6" s="29"/>
      <c r="K6" s="29"/>
      <c r="L6" s="29"/>
      <c r="M6" s="29"/>
      <c r="N6" s="29"/>
      <c r="O6" s="29"/>
      <c r="P6" s="29"/>
      <c r="Q6" s="29"/>
      <c r="R6" s="29"/>
      <c r="S6" s="29"/>
      <c r="T6" s="22"/>
    </row>
    <row r="7" spans="1:24" ht="32.25" customHeight="1" x14ac:dyDescent="0.35">
      <c r="B7" s="79"/>
      <c r="C7" s="144" t="s">
        <v>0</v>
      </c>
      <c r="D7" s="145" t="s">
        <v>1</v>
      </c>
      <c r="E7" s="144" t="s">
        <v>2</v>
      </c>
      <c r="F7" s="29"/>
      <c r="G7" s="29"/>
      <c r="H7" s="29"/>
      <c r="I7" s="29"/>
      <c r="J7" s="29"/>
      <c r="K7" s="29"/>
      <c r="L7" s="29"/>
      <c r="M7" s="29"/>
      <c r="N7" s="29"/>
      <c r="O7" s="29"/>
      <c r="P7" s="29"/>
      <c r="Q7" s="29"/>
      <c r="R7" s="29"/>
      <c r="S7" s="29"/>
      <c r="T7" s="22"/>
      <c r="W7" s="39" t="s">
        <v>22</v>
      </c>
      <c r="X7" s="39" t="s">
        <v>2</v>
      </c>
    </row>
    <row r="8" spans="1:24" ht="15" customHeight="1" x14ac:dyDescent="0.35">
      <c r="B8" s="79"/>
      <c r="C8" s="180" t="s">
        <v>378</v>
      </c>
      <c r="D8" s="187" t="s">
        <v>26</v>
      </c>
      <c r="E8" s="194">
        <v>4.1151E-2</v>
      </c>
      <c r="F8" s="29">
        <v>1</v>
      </c>
      <c r="G8" s="29"/>
      <c r="H8" s="29"/>
      <c r="I8" s="29"/>
      <c r="J8" s="29"/>
      <c r="K8" s="29"/>
      <c r="L8" s="29"/>
      <c r="M8" s="29"/>
      <c r="N8" s="29"/>
      <c r="O8" s="29"/>
      <c r="P8" s="29"/>
      <c r="Q8" s="29"/>
      <c r="R8" s="29"/>
      <c r="S8" s="29"/>
      <c r="T8" s="22"/>
      <c r="W8" s="173" t="s">
        <v>109</v>
      </c>
      <c r="X8" s="224">
        <v>0.11515599999999999</v>
      </c>
    </row>
    <row r="9" spans="1:24" ht="15.75" customHeight="1" x14ac:dyDescent="0.35">
      <c r="B9" s="79"/>
      <c r="C9" s="180" t="s">
        <v>241</v>
      </c>
      <c r="D9" s="187" t="s">
        <v>109</v>
      </c>
      <c r="E9" s="194">
        <v>4.0451000000000001E-2</v>
      </c>
      <c r="F9" s="29">
        <v>2</v>
      </c>
      <c r="G9" s="29"/>
      <c r="H9" s="29"/>
      <c r="I9" s="29"/>
      <c r="J9" s="29"/>
      <c r="K9" s="29"/>
      <c r="L9" s="29"/>
      <c r="M9" s="29"/>
      <c r="N9" s="29"/>
      <c r="O9" s="29"/>
      <c r="P9" s="29"/>
      <c r="Q9" s="29"/>
      <c r="R9" s="29"/>
      <c r="S9" s="29"/>
      <c r="T9" s="22"/>
      <c r="W9" s="173" t="s">
        <v>26</v>
      </c>
      <c r="X9" s="224">
        <v>8.4083999999999992E-2</v>
      </c>
    </row>
    <row r="10" spans="1:24" ht="15" customHeight="1" x14ac:dyDescent="0.35">
      <c r="B10" s="79"/>
      <c r="C10" s="180" t="s">
        <v>262</v>
      </c>
      <c r="D10" s="187" t="s">
        <v>181</v>
      </c>
      <c r="E10" s="194">
        <v>3.9382E-2</v>
      </c>
      <c r="F10" s="29">
        <v>3</v>
      </c>
      <c r="G10" s="29"/>
      <c r="H10" s="29"/>
      <c r="I10" s="29"/>
      <c r="J10" s="29"/>
      <c r="K10" s="29"/>
      <c r="L10" s="29"/>
      <c r="M10" s="29"/>
      <c r="N10" s="29"/>
      <c r="O10" s="29"/>
      <c r="P10" s="29"/>
      <c r="Q10" s="29"/>
      <c r="R10" s="29"/>
      <c r="S10" s="29"/>
      <c r="T10" s="22"/>
      <c r="W10" s="173" t="s">
        <v>4</v>
      </c>
      <c r="X10" s="224">
        <v>7.8109999999999999E-2</v>
      </c>
    </row>
    <row r="11" spans="1:24" ht="15" customHeight="1" x14ac:dyDescent="0.35">
      <c r="B11" s="79"/>
      <c r="C11" s="180" t="s">
        <v>32</v>
      </c>
      <c r="D11" s="187" t="s">
        <v>3</v>
      </c>
      <c r="E11" s="194">
        <v>3.5610999999999997E-2</v>
      </c>
      <c r="F11" s="29">
        <v>4</v>
      </c>
      <c r="G11" s="29"/>
      <c r="H11" s="29"/>
      <c r="I11" s="29"/>
      <c r="J11" s="29"/>
      <c r="K11" s="29"/>
      <c r="L11" s="29"/>
      <c r="M11" s="29"/>
      <c r="N11" s="29"/>
      <c r="O11" s="29"/>
      <c r="P11" s="29"/>
      <c r="Q11" s="29"/>
      <c r="R11" s="29"/>
      <c r="S11" s="29"/>
      <c r="T11" s="22"/>
      <c r="W11" s="173" t="s">
        <v>16</v>
      </c>
      <c r="X11" s="224">
        <v>5.7757999999999997E-2</v>
      </c>
    </row>
    <row r="12" spans="1:24" ht="15" customHeight="1" x14ac:dyDescent="0.35">
      <c r="B12" s="79"/>
      <c r="C12" s="180" t="s">
        <v>242</v>
      </c>
      <c r="D12" s="187" t="s">
        <v>4</v>
      </c>
      <c r="E12" s="194">
        <v>3.3836999999999999E-2</v>
      </c>
      <c r="F12" s="29">
        <v>5</v>
      </c>
      <c r="G12" s="29"/>
      <c r="H12" s="29"/>
      <c r="I12" s="29"/>
      <c r="J12" s="29"/>
      <c r="K12" s="29"/>
      <c r="L12" s="29"/>
      <c r="M12" s="29"/>
      <c r="N12" s="29"/>
      <c r="O12" s="29"/>
      <c r="P12" s="29"/>
      <c r="Q12" s="29"/>
      <c r="R12" s="29"/>
      <c r="S12" s="29"/>
      <c r="T12" s="22"/>
      <c r="W12" s="173" t="s">
        <v>105</v>
      </c>
      <c r="X12" s="224">
        <v>4.7789999999999999E-2</v>
      </c>
    </row>
    <row r="13" spans="1:24" ht="15" customHeight="1" x14ac:dyDescent="0.35">
      <c r="B13" s="79"/>
      <c r="C13" s="180" t="s">
        <v>70</v>
      </c>
      <c r="D13" s="187" t="s">
        <v>12</v>
      </c>
      <c r="E13" s="194">
        <v>3.1188E-2</v>
      </c>
      <c r="F13" s="29">
        <v>6</v>
      </c>
      <c r="G13" s="29"/>
      <c r="H13" s="29"/>
      <c r="I13" s="29"/>
      <c r="J13" s="29"/>
      <c r="K13" s="29"/>
      <c r="L13" s="29"/>
      <c r="M13" s="29"/>
      <c r="N13" s="29"/>
      <c r="O13" s="29"/>
      <c r="P13" s="29"/>
      <c r="Q13" s="29"/>
      <c r="R13" s="29"/>
      <c r="S13" s="29"/>
      <c r="T13" s="22"/>
      <c r="W13" s="173" t="s">
        <v>112</v>
      </c>
      <c r="X13" s="224">
        <v>4.7737000000000002E-2</v>
      </c>
    </row>
    <row r="14" spans="1:24" ht="15" customHeight="1" x14ac:dyDescent="0.35">
      <c r="B14" s="79"/>
      <c r="C14" s="180" t="s">
        <v>191</v>
      </c>
      <c r="D14" s="187" t="s">
        <v>104</v>
      </c>
      <c r="E14" s="194">
        <v>3.1172999999999999E-2</v>
      </c>
      <c r="F14" s="29">
        <v>7</v>
      </c>
      <c r="G14" s="29"/>
      <c r="H14" s="29"/>
      <c r="I14" s="29"/>
      <c r="J14" s="29"/>
      <c r="K14" s="29"/>
      <c r="L14" s="29"/>
      <c r="M14" s="29"/>
      <c r="N14" s="29"/>
      <c r="O14" s="29"/>
      <c r="P14" s="29"/>
      <c r="Q14" s="29"/>
      <c r="R14" s="29"/>
      <c r="S14" s="29"/>
      <c r="T14" s="22"/>
      <c r="W14" s="173" t="s">
        <v>12</v>
      </c>
      <c r="X14" s="224">
        <v>4.061E-2</v>
      </c>
    </row>
    <row r="15" spans="1:24" ht="15" customHeight="1" x14ac:dyDescent="0.35">
      <c r="B15" s="79"/>
      <c r="C15" s="180" t="s">
        <v>103</v>
      </c>
      <c r="D15" s="187" t="s">
        <v>4</v>
      </c>
      <c r="E15" s="194">
        <v>2.7386000000000001E-2</v>
      </c>
      <c r="F15" s="29">
        <v>8</v>
      </c>
      <c r="G15" s="29"/>
      <c r="H15" s="29"/>
      <c r="I15" s="29"/>
      <c r="J15" s="29"/>
      <c r="K15" s="29"/>
      <c r="L15" s="29"/>
      <c r="M15" s="29"/>
      <c r="N15" s="29"/>
      <c r="O15" s="29"/>
      <c r="P15" s="29"/>
      <c r="Q15" s="29"/>
      <c r="R15" s="29"/>
      <c r="S15" s="29"/>
      <c r="T15" s="22"/>
      <c r="W15" s="173" t="s">
        <v>104</v>
      </c>
      <c r="X15" s="224">
        <v>4.0250000000000001E-2</v>
      </c>
    </row>
    <row r="16" spans="1:24" ht="15" customHeight="1" x14ac:dyDescent="0.35">
      <c r="B16" s="79"/>
      <c r="C16" s="180" t="s">
        <v>188</v>
      </c>
      <c r="D16" s="187" t="s">
        <v>105</v>
      </c>
      <c r="E16" s="194">
        <v>2.3186999999999999E-2</v>
      </c>
      <c r="F16" s="29">
        <v>9</v>
      </c>
      <c r="G16" s="29"/>
      <c r="H16" s="29"/>
      <c r="I16" s="29"/>
      <c r="J16" s="29"/>
      <c r="K16" s="29"/>
      <c r="L16" s="29"/>
      <c r="M16" s="29"/>
      <c r="N16" s="29"/>
      <c r="O16" s="29"/>
      <c r="P16" s="29"/>
      <c r="Q16" s="29"/>
      <c r="R16" s="29"/>
      <c r="S16" s="29"/>
      <c r="T16" s="22"/>
      <c r="W16" s="173" t="s">
        <v>75</v>
      </c>
      <c r="X16" s="224">
        <v>3.9463999999999999E-2</v>
      </c>
    </row>
    <row r="17" spans="2:24" ht="15" customHeight="1" x14ac:dyDescent="0.35">
      <c r="B17" s="79"/>
      <c r="C17" s="180" t="s">
        <v>349</v>
      </c>
      <c r="D17" s="187" t="s">
        <v>122</v>
      </c>
      <c r="E17" s="194">
        <v>2.213E-2</v>
      </c>
      <c r="F17" s="29">
        <v>10</v>
      </c>
      <c r="G17" s="29"/>
      <c r="H17" s="29"/>
      <c r="I17" s="29"/>
      <c r="J17" s="29"/>
      <c r="K17" s="29"/>
      <c r="L17" s="29"/>
      <c r="M17" s="29"/>
      <c r="N17" s="29"/>
      <c r="O17" s="29"/>
      <c r="P17" s="29"/>
      <c r="Q17" s="29"/>
      <c r="R17" s="29"/>
      <c r="S17" s="29"/>
      <c r="T17" s="22"/>
      <c r="W17" s="173" t="s">
        <v>181</v>
      </c>
      <c r="X17" s="224">
        <v>3.9382E-2</v>
      </c>
    </row>
    <row r="18" spans="2:24" ht="15" customHeight="1" x14ac:dyDescent="0.35">
      <c r="B18" s="79"/>
      <c r="C18" s="180" t="s">
        <v>280</v>
      </c>
      <c r="D18" s="187" t="s">
        <v>114</v>
      </c>
      <c r="E18" s="194">
        <v>2.1194999999999999E-2</v>
      </c>
      <c r="F18" s="29">
        <v>11</v>
      </c>
      <c r="G18" s="29"/>
      <c r="H18" s="29"/>
      <c r="I18" s="29"/>
      <c r="J18" s="29"/>
      <c r="K18" s="29"/>
      <c r="L18" s="29"/>
      <c r="M18" s="29"/>
      <c r="N18" s="29"/>
      <c r="O18" s="29"/>
      <c r="P18" s="29"/>
      <c r="Q18" s="29"/>
      <c r="R18" s="29"/>
      <c r="S18" s="29"/>
      <c r="T18" s="22"/>
      <c r="W18" s="173" t="s">
        <v>122</v>
      </c>
      <c r="X18" s="224">
        <v>3.8156999999999996E-2</v>
      </c>
    </row>
    <row r="19" spans="2:24" ht="15" customHeight="1" x14ac:dyDescent="0.35">
      <c r="B19" s="79"/>
      <c r="C19" s="180" t="s">
        <v>118</v>
      </c>
      <c r="D19" s="187" t="s">
        <v>110</v>
      </c>
      <c r="E19" s="194">
        <v>1.9734999999999999E-2</v>
      </c>
      <c r="F19" s="29">
        <v>12</v>
      </c>
      <c r="G19" s="29"/>
      <c r="H19" s="29"/>
      <c r="I19" s="29"/>
      <c r="J19" s="29"/>
      <c r="K19" s="29"/>
      <c r="L19" s="29"/>
      <c r="M19" s="29"/>
      <c r="N19" s="29"/>
      <c r="O19" s="29"/>
      <c r="P19" s="29"/>
      <c r="Q19" s="29"/>
      <c r="R19" s="29"/>
      <c r="S19" s="29"/>
      <c r="T19" s="22"/>
      <c r="W19" s="173" t="s">
        <v>3</v>
      </c>
      <c r="X19" s="224">
        <v>3.5610999999999997E-2</v>
      </c>
    </row>
    <row r="20" spans="2:24" ht="15" customHeight="1" x14ac:dyDescent="0.35">
      <c r="B20" s="79"/>
      <c r="C20" s="180" t="s">
        <v>320</v>
      </c>
      <c r="D20" s="187" t="s">
        <v>16</v>
      </c>
      <c r="E20" s="194">
        <v>1.9491000000000001E-2</v>
      </c>
      <c r="F20" s="29">
        <v>13</v>
      </c>
      <c r="G20" s="29"/>
      <c r="H20" s="29"/>
      <c r="I20" s="29"/>
      <c r="J20" s="29"/>
      <c r="K20" s="29"/>
      <c r="L20" s="29"/>
      <c r="M20" s="29"/>
      <c r="N20" s="29"/>
      <c r="O20" s="29"/>
      <c r="P20" s="29"/>
      <c r="Q20" s="29"/>
      <c r="R20" s="29"/>
      <c r="S20" s="29"/>
      <c r="T20" s="22"/>
      <c r="W20" s="173" t="s">
        <v>110</v>
      </c>
      <c r="X20" s="224">
        <v>2.8268999999999999E-2</v>
      </c>
    </row>
    <row r="21" spans="2:24" ht="15" customHeight="1" x14ac:dyDescent="0.35">
      <c r="B21" s="79"/>
      <c r="C21" s="180" t="s">
        <v>288</v>
      </c>
      <c r="D21" s="187" t="s">
        <v>109</v>
      </c>
      <c r="E21" s="194">
        <v>1.8918999999999998E-2</v>
      </c>
      <c r="F21" s="29">
        <v>14</v>
      </c>
      <c r="G21" s="29"/>
      <c r="H21" s="29"/>
      <c r="I21" s="29"/>
      <c r="J21" s="29"/>
      <c r="K21" s="29"/>
      <c r="L21" s="29"/>
      <c r="M21" s="29"/>
      <c r="N21" s="29"/>
      <c r="O21" s="29"/>
      <c r="P21" s="29"/>
      <c r="Q21" s="29"/>
      <c r="R21" s="29"/>
      <c r="S21" s="29"/>
      <c r="T21" s="22"/>
      <c r="W21" s="173" t="s">
        <v>84</v>
      </c>
      <c r="X21" s="224">
        <v>2.5080000000000002E-2</v>
      </c>
    </row>
    <row r="22" spans="2:24" ht="15" customHeight="1" x14ac:dyDescent="0.35">
      <c r="B22" s="79"/>
      <c r="C22" s="180" t="s">
        <v>385</v>
      </c>
      <c r="D22" s="187" t="s">
        <v>26</v>
      </c>
      <c r="E22" s="194">
        <v>1.8735000000000002E-2</v>
      </c>
      <c r="F22" s="29">
        <v>15</v>
      </c>
      <c r="G22" s="29"/>
      <c r="H22" s="29"/>
      <c r="I22" s="29"/>
      <c r="J22" s="29"/>
      <c r="K22" s="29"/>
      <c r="L22" s="29"/>
      <c r="M22" s="29"/>
      <c r="N22" s="29"/>
      <c r="O22" s="29"/>
      <c r="P22" s="29"/>
      <c r="Q22" s="29"/>
      <c r="R22" s="29"/>
      <c r="S22" s="29"/>
      <c r="T22" s="22"/>
      <c r="W22" s="173" t="s">
        <v>117</v>
      </c>
      <c r="X22" s="224">
        <v>2.1228999999999998E-2</v>
      </c>
    </row>
    <row r="23" spans="2:24" ht="15" customHeight="1" x14ac:dyDescent="0.35">
      <c r="B23" s="79"/>
      <c r="C23" s="71"/>
      <c r="D23" s="71"/>
      <c r="E23" s="146"/>
      <c r="F23" s="29"/>
      <c r="G23" s="29"/>
      <c r="H23" s="29"/>
      <c r="I23" s="29"/>
      <c r="J23" s="29"/>
      <c r="K23" s="29"/>
      <c r="L23" s="29"/>
      <c r="M23" s="29"/>
      <c r="N23" s="29"/>
      <c r="O23" s="29"/>
      <c r="P23" s="29"/>
      <c r="Q23" s="29"/>
      <c r="R23" s="29"/>
      <c r="S23" s="29"/>
      <c r="T23" s="22"/>
      <c r="W23" s="173" t="s">
        <v>114</v>
      </c>
      <c r="X23" s="224">
        <v>2.1194999999999999E-2</v>
      </c>
    </row>
    <row r="24" spans="2:24" ht="15" customHeight="1" x14ac:dyDescent="0.35">
      <c r="B24" s="79"/>
      <c r="C24" s="73" t="s">
        <v>55</v>
      </c>
      <c r="D24" s="74"/>
      <c r="E24" s="75">
        <f>SUM(E8:E22)</f>
        <v>0.42357100000000003</v>
      </c>
      <c r="F24" s="29"/>
      <c r="G24" s="29"/>
      <c r="H24" s="29"/>
      <c r="I24" s="29"/>
      <c r="J24" s="29"/>
      <c r="K24" s="29"/>
      <c r="L24" s="29"/>
      <c r="M24" s="29"/>
      <c r="N24" s="29"/>
      <c r="O24" s="29"/>
      <c r="P24" s="29"/>
      <c r="Q24" s="29"/>
      <c r="R24" s="29"/>
      <c r="S24" s="29"/>
      <c r="T24" s="22"/>
      <c r="W24" s="173" t="s">
        <v>111</v>
      </c>
      <c r="X24" s="224">
        <v>2.0982000000000001E-2</v>
      </c>
    </row>
    <row r="25" spans="2:24" ht="15" customHeight="1" x14ac:dyDescent="0.35">
      <c r="B25" s="79"/>
      <c r="F25" s="29"/>
      <c r="G25" s="29"/>
      <c r="H25" s="29"/>
      <c r="I25" s="29"/>
      <c r="J25" s="29"/>
      <c r="K25" s="29"/>
      <c r="L25" s="29"/>
      <c r="M25" s="29"/>
      <c r="N25" s="29"/>
      <c r="O25" s="29"/>
      <c r="P25" s="29"/>
      <c r="Q25" s="29"/>
      <c r="R25" s="29"/>
      <c r="S25" s="29"/>
      <c r="T25" s="22"/>
      <c r="W25" s="173" t="s">
        <v>108</v>
      </c>
      <c r="X25" s="224">
        <v>2.0624999999999998E-2</v>
      </c>
    </row>
    <row r="26" spans="2:24" ht="15" customHeight="1" x14ac:dyDescent="0.35">
      <c r="B26" s="79"/>
      <c r="F26" s="29"/>
      <c r="G26" s="29"/>
      <c r="H26" s="29"/>
      <c r="I26" s="29"/>
      <c r="J26" s="29"/>
      <c r="K26" s="29"/>
      <c r="L26" s="29"/>
      <c r="M26" s="29"/>
      <c r="N26" s="29"/>
      <c r="O26" s="29"/>
      <c r="P26" s="29"/>
      <c r="Q26" s="29"/>
      <c r="R26" s="29"/>
      <c r="S26" s="29"/>
      <c r="T26" s="22"/>
      <c r="W26" s="173" t="s">
        <v>82</v>
      </c>
      <c r="X26" s="224">
        <v>2.0198000000000001E-2</v>
      </c>
    </row>
    <row r="27" spans="2:24" ht="15" customHeight="1" x14ac:dyDescent="0.35">
      <c r="B27" s="79"/>
      <c r="F27" s="29"/>
      <c r="G27" s="29"/>
      <c r="H27" s="29"/>
      <c r="I27" s="29"/>
      <c r="J27" s="29"/>
      <c r="K27" s="29"/>
      <c r="L27" s="29"/>
      <c r="M27" s="29"/>
      <c r="N27" s="29"/>
      <c r="O27" s="29"/>
      <c r="P27" s="29"/>
      <c r="Q27" s="29"/>
      <c r="R27" s="29"/>
      <c r="S27" s="29"/>
      <c r="T27" s="22"/>
      <c r="W27" s="173" t="s">
        <v>81</v>
      </c>
      <c r="X27" s="224">
        <v>1.9963000000000002E-2</v>
      </c>
    </row>
    <row r="28" spans="2:24" ht="15" customHeight="1" x14ac:dyDescent="0.35">
      <c r="B28" s="79"/>
      <c r="F28" s="29"/>
      <c r="G28" s="29"/>
      <c r="H28" s="29"/>
      <c r="I28" s="29"/>
      <c r="J28" s="29"/>
      <c r="K28" s="29"/>
      <c r="L28" s="29"/>
      <c r="M28" s="29"/>
      <c r="N28" s="29"/>
      <c r="O28" s="29"/>
      <c r="P28" s="29"/>
      <c r="Q28" s="29"/>
      <c r="R28" s="29"/>
      <c r="S28" s="29"/>
      <c r="T28" s="22"/>
      <c r="W28" s="173" t="s">
        <v>10</v>
      </c>
      <c r="X28" s="224">
        <v>1.8218000000000002E-2</v>
      </c>
    </row>
    <row r="29" spans="2:24" ht="15" customHeight="1" x14ac:dyDescent="0.35">
      <c r="B29" s="79"/>
      <c r="F29" s="29"/>
      <c r="G29" s="29"/>
      <c r="H29" s="29"/>
      <c r="I29" s="29"/>
      <c r="J29" s="29"/>
      <c r="K29" s="29"/>
      <c r="L29" s="29"/>
      <c r="M29" s="29"/>
      <c r="N29" s="29"/>
      <c r="O29" s="29"/>
      <c r="P29" s="29"/>
      <c r="Q29" s="29"/>
      <c r="R29" s="29"/>
      <c r="S29" s="29"/>
      <c r="T29" s="22"/>
      <c r="W29" s="173" t="s">
        <v>83</v>
      </c>
      <c r="X29" s="224">
        <v>1.7447999999999998E-2</v>
      </c>
    </row>
    <row r="30" spans="2:24" ht="15" customHeight="1" x14ac:dyDescent="0.35">
      <c r="B30" s="79"/>
      <c r="F30" s="29"/>
      <c r="G30" s="29"/>
      <c r="H30" s="29"/>
      <c r="I30" s="29"/>
      <c r="J30" s="29"/>
      <c r="K30" s="29"/>
      <c r="L30" s="29"/>
      <c r="M30" s="29"/>
      <c r="N30" s="29"/>
      <c r="O30" s="29"/>
      <c r="P30" s="29"/>
      <c r="Q30" s="29"/>
      <c r="R30" s="29"/>
      <c r="S30" s="29"/>
      <c r="T30" s="22"/>
      <c r="W30" s="173" t="s">
        <v>135</v>
      </c>
      <c r="X30" s="224">
        <v>1.6286999999999999E-2</v>
      </c>
    </row>
    <row r="31" spans="2:24" ht="15" customHeight="1" x14ac:dyDescent="0.35">
      <c r="B31" s="79"/>
      <c r="F31" s="29"/>
      <c r="G31" s="29"/>
      <c r="H31" s="29"/>
      <c r="I31" s="29"/>
      <c r="J31" s="29"/>
      <c r="K31" s="29"/>
      <c r="L31" s="29"/>
      <c r="M31" s="29"/>
      <c r="N31" s="29"/>
      <c r="O31" s="29"/>
      <c r="P31" s="29"/>
      <c r="Q31" s="29"/>
      <c r="R31" s="29"/>
      <c r="S31" s="29"/>
      <c r="T31" s="22"/>
      <c r="W31" s="173" t="s">
        <v>93</v>
      </c>
      <c r="X31" s="224">
        <v>1.4419000000000001E-2</v>
      </c>
    </row>
    <row r="32" spans="2:24" ht="15.75" customHeight="1" x14ac:dyDescent="0.35">
      <c r="B32" s="79"/>
      <c r="F32" s="29"/>
      <c r="G32" s="29"/>
      <c r="H32" s="29"/>
      <c r="I32" s="29"/>
      <c r="J32" s="29"/>
      <c r="K32" s="29"/>
      <c r="L32" s="29"/>
      <c r="M32" s="29"/>
      <c r="N32" s="29"/>
      <c r="O32" s="29"/>
      <c r="P32" s="29"/>
      <c r="Q32" s="29"/>
      <c r="R32" s="29"/>
      <c r="S32" s="29"/>
      <c r="T32" s="22"/>
      <c r="W32" s="173" t="s">
        <v>24</v>
      </c>
      <c r="X32" s="224">
        <v>1.3926000000000001E-2</v>
      </c>
    </row>
    <row r="33" spans="2:24" ht="15" customHeight="1" x14ac:dyDescent="0.35">
      <c r="B33" s="79"/>
      <c r="F33" s="29"/>
      <c r="G33" s="29"/>
      <c r="H33" s="29"/>
      <c r="I33" s="29"/>
      <c r="J33" s="29"/>
      <c r="K33" s="29"/>
      <c r="L33" s="29"/>
      <c r="M33" s="29"/>
      <c r="N33" s="29"/>
      <c r="O33" s="29"/>
      <c r="P33" s="29"/>
      <c r="Q33" s="29"/>
      <c r="R33" s="29"/>
      <c r="S33" s="29"/>
      <c r="T33" s="22"/>
      <c r="W33" s="173" t="s">
        <v>6</v>
      </c>
      <c r="X33" s="224">
        <v>1.034E-2</v>
      </c>
    </row>
    <row r="34" spans="2:24" ht="15" customHeight="1" thickBot="1" x14ac:dyDescent="0.4">
      <c r="B34" s="80"/>
      <c r="C34" s="81"/>
      <c r="D34" s="81"/>
      <c r="E34" s="81"/>
      <c r="F34" s="81"/>
      <c r="G34" s="81"/>
      <c r="H34" s="81"/>
      <c r="I34" s="81"/>
      <c r="J34" s="81"/>
      <c r="K34" s="81"/>
      <c r="L34" s="81"/>
      <c r="M34" s="81"/>
      <c r="N34" s="81"/>
      <c r="O34" s="81"/>
      <c r="P34" s="81"/>
      <c r="Q34" s="81"/>
      <c r="R34" s="81"/>
      <c r="S34" s="81"/>
      <c r="T34" s="23"/>
      <c r="W34" s="173" t="s">
        <v>131</v>
      </c>
      <c r="X34" s="224">
        <v>9.4669999999999997E-3</v>
      </c>
    </row>
    <row r="35" spans="2:24" ht="15" customHeight="1" thickBot="1" x14ac:dyDescent="0.4">
      <c r="W35" s="173" t="s">
        <v>124</v>
      </c>
      <c r="X35" s="224">
        <v>8.8190000000000004E-3</v>
      </c>
    </row>
    <row r="36" spans="2:24" ht="15" customHeight="1" x14ac:dyDescent="0.35">
      <c r="B36" s="303" t="s">
        <v>179</v>
      </c>
      <c r="C36" s="304"/>
      <c r="D36" s="304"/>
      <c r="E36" s="304"/>
      <c r="F36" s="304"/>
      <c r="G36" s="304"/>
      <c r="H36" s="304"/>
      <c r="I36" s="304"/>
      <c r="J36" s="304"/>
      <c r="K36" s="304"/>
      <c r="L36" s="304"/>
      <c r="M36" s="304"/>
      <c r="N36" s="304"/>
      <c r="O36" s="304"/>
      <c r="P36" s="304"/>
      <c r="Q36" s="304"/>
      <c r="R36" s="305"/>
      <c r="W36" s="173" t="s">
        <v>23</v>
      </c>
      <c r="X36" s="224">
        <v>8.5400000000000007E-3</v>
      </c>
    </row>
    <row r="37" spans="2:24" ht="15" customHeight="1" x14ac:dyDescent="0.35">
      <c r="B37" s="306"/>
      <c r="C37" s="307"/>
      <c r="D37" s="307"/>
      <c r="E37" s="307"/>
      <c r="F37" s="307"/>
      <c r="G37" s="307"/>
      <c r="H37" s="307"/>
      <c r="I37" s="307"/>
      <c r="J37" s="307"/>
      <c r="K37" s="307"/>
      <c r="L37" s="307"/>
      <c r="M37" s="307"/>
      <c r="N37" s="307"/>
      <c r="O37" s="307"/>
      <c r="P37" s="307"/>
      <c r="Q37" s="307"/>
      <c r="R37" s="308"/>
      <c r="W37" s="173" t="s">
        <v>121</v>
      </c>
      <c r="X37" s="224">
        <v>8.4869999999999998E-3</v>
      </c>
    </row>
    <row r="38" spans="2:24" ht="15" customHeight="1" x14ac:dyDescent="0.35">
      <c r="B38" s="306"/>
      <c r="C38" s="307"/>
      <c r="D38" s="307"/>
      <c r="E38" s="307"/>
      <c r="F38" s="307"/>
      <c r="G38" s="307"/>
      <c r="H38" s="307"/>
      <c r="I38" s="307"/>
      <c r="J38" s="307"/>
      <c r="K38" s="307"/>
      <c r="L38" s="307"/>
      <c r="M38" s="307"/>
      <c r="N38" s="307"/>
      <c r="O38" s="307"/>
      <c r="P38" s="307"/>
      <c r="Q38" s="307"/>
      <c r="R38" s="308"/>
      <c r="W38" s="173" t="s">
        <v>227</v>
      </c>
      <c r="X38" s="224">
        <v>5.7679999999999997E-3</v>
      </c>
    </row>
    <row r="39" spans="2:24" ht="15" customHeight="1" x14ac:dyDescent="0.35">
      <c r="B39" s="306"/>
      <c r="C39" s="307"/>
      <c r="D39" s="307"/>
      <c r="E39" s="307"/>
      <c r="F39" s="307"/>
      <c r="G39" s="307"/>
      <c r="H39" s="307"/>
      <c r="I39" s="307"/>
      <c r="J39" s="307"/>
      <c r="K39" s="307"/>
      <c r="L39" s="307"/>
      <c r="M39" s="307"/>
      <c r="N39" s="307"/>
      <c r="O39" s="307"/>
      <c r="P39" s="307"/>
      <c r="Q39" s="307"/>
      <c r="R39" s="308"/>
      <c r="W39" s="173" t="s">
        <v>321</v>
      </c>
      <c r="X39" s="224">
        <v>5.3740000000000003E-3</v>
      </c>
    </row>
    <row r="40" spans="2:24" ht="15" customHeight="1" x14ac:dyDescent="0.35">
      <c r="B40" s="306"/>
      <c r="C40" s="307"/>
      <c r="D40" s="307"/>
      <c r="E40" s="307"/>
      <c r="F40" s="307"/>
      <c r="G40" s="307"/>
      <c r="H40" s="307"/>
      <c r="I40" s="307"/>
      <c r="J40" s="307"/>
      <c r="K40" s="307"/>
      <c r="L40" s="307"/>
      <c r="M40" s="307"/>
      <c r="N40" s="307"/>
      <c r="O40" s="307"/>
      <c r="P40" s="307"/>
      <c r="Q40" s="307"/>
      <c r="R40" s="308"/>
      <c r="W40" s="173" t="s">
        <v>116</v>
      </c>
      <c r="X40" s="224">
        <v>5.2180000000000004E-3</v>
      </c>
    </row>
    <row r="41" spans="2:24" ht="15" customHeight="1" x14ac:dyDescent="0.35">
      <c r="B41" s="306"/>
      <c r="C41" s="307"/>
      <c r="D41" s="307"/>
      <c r="E41" s="307"/>
      <c r="F41" s="307"/>
      <c r="G41" s="307"/>
      <c r="H41" s="307"/>
      <c r="I41" s="307"/>
      <c r="J41" s="307"/>
      <c r="K41" s="307"/>
      <c r="L41" s="307"/>
      <c r="M41" s="307"/>
      <c r="N41" s="307"/>
      <c r="O41" s="307"/>
      <c r="P41" s="307"/>
      <c r="Q41" s="307"/>
      <c r="R41" s="308"/>
      <c r="W41" s="173" t="s">
        <v>85</v>
      </c>
      <c r="X41" s="224">
        <v>4.9750000000000003E-3</v>
      </c>
    </row>
    <row r="42" spans="2:24" ht="15" customHeight="1" thickBot="1" x14ac:dyDescent="0.4">
      <c r="B42" s="309"/>
      <c r="C42" s="310"/>
      <c r="D42" s="310"/>
      <c r="E42" s="310"/>
      <c r="F42" s="310"/>
      <c r="G42" s="310"/>
      <c r="H42" s="310"/>
      <c r="I42" s="310"/>
      <c r="J42" s="310"/>
      <c r="K42" s="310"/>
      <c r="L42" s="310"/>
      <c r="M42" s="310"/>
      <c r="N42" s="310"/>
      <c r="O42" s="310"/>
      <c r="P42" s="310"/>
      <c r="Q42" s="310"/>
      <c r="R42" s="311"/>
      <c r="X42" s="224"/>
    </row>
    <row r="43" spans="2:24" ht="15" customHeight="1" x14ac:dyDescent="0.35"/>
    <row r="44" spans="2:24" ht="15" customHeight="1" x14ac:dyDescent="0.35"/>
    <row r="45" spans="2:24" ht="15" customHeight="1" x14ac:dyDescent="0.35"/>
    <row r="46" spans="2:24" ht="15" customHeight="1" x14ac:dyDescent="0.35"/>
    <row r="47" spans="2:24" ht="15" customHeight="1" x14ac:dyDescent="0.35"/>
    <row r="48" spans="2:24" ht="15" customHeight="1" x14ac:dyDescent="0.35"/>
    <row r="49" ht="15" customHeight="1" x14ac:dyDescent="0.35"/>
    <row r="50" ht="15" customHeight="1" x14ac:dyDescent="0.35"/>
    <row r="51" ht="15" customHeight="1" x14ac:dyDescent="0.35"/>
    <row r="52" ht="15" customHeight="1" x14ac:dyDescent="0.35"/>
    <row r="53" ht="15" customHeight="1" x14ac:dyDescent="0.35"/>
    <row r="54" ht="15" customHeight="1" x14ac:dyDescent="0.35"/>
    <row r="55" ht="15" customHeight="1" x14ac:dyDescent="0.35"/>
    <row r="56" ht="15" customHeight="1" x14ac:dyDescent="0.35"/>
    <row r="57" ht="15" customHeight="1" x14ac:dyDescent="0.35"/>
    <row r="58" ht="15" customHeight="1" x14ac:dyDescent="0.35"/>
    <row r="59" ht="15" customHeight="1" x14ac:dyDescent="0.35"/>
    <row r="60" ht="15" customHeight="1" x14ac:dyDescent="0.35"/>
    <row r="61" ht="15" customHeight="1" x14ac:dyDescent="0.35"/>
    <row r="62" ht="15" customHeight="1" x14ac:dyDescent="0.35"/>
    <row r="63" ht="15" customHeight="1" x14ac:dyDescent="0.35"/>
  </sheetData>
  <sortState ref="W8:X41">
    <sortCondition descending="1" ref="X41"/>
  </sortState>
  <mergeCells count="3">
    <mergeCell ref="C3:S3"/>
    <mergeCell ref="D5:E5"/>
    <mergeCell ref="B36:R42"/>
  </mergeCells>
  <pageMargins left="0.7" right="0.7" top="0.75" bottom="0.75" header="0.3" footer="0.3"/>
  <pageSetup paperSize="9" orientation="portrait"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B1184E-7FBB-441F-A5D7-C420096958FA}">
  <sheetPr codeName="Sheet38"/>
  <dimension ref="A1:AB63"/>
  <sheetViews>
    <sheetView showGridLines="0" zoomScale="75" zoomScaleNormal="75" workbookViewId="0"/>
  </sheetViews>
  <sheetFormatPr defaultColWidth="9.1796875" defaultRowHeight="14.5" x14ac:dyDescent="0.35"/>
  <cols>
    <col min="1" max="1" width="2.81640625" style="19" customWidth="1"/>
    <col min="2" max="2" width="3.81640625" style="19" customWidth="1"/>
    <col min="3" max="3" width="59.1796875" style="19" bestFit="1" customWidth="1"/>
    <col min="4" max="4" width="27.1796875" style="19" customWidth="1"/>
    <col min="5" max="5" width="10.453125" style="19" bestFit="1" customWidth="1"/>
    <col min="6" max="18" width="9.1796875" style="19"/>
    <col min="19" max="19" width="9.81640625" style="19" customWidth="1"/>
    <col min="20" max="20" width="9.1796875" style="19"/>
    <col min="21" max="22" width="9.1796875" style="39"/>
    <col min="23" max="23" width="46.453125" style="39" bestFit="1" customWidth="1"/>
    <col min="24" max="24" width="9.1796875" style="39" bestFit="1" customWidth="1"/>
    <col min="25" max="28" width="9.1796875" style="39"/>
    <col min="29" max="16384" width="9.1796875" style="19"/>
  </cols>
  <sheetData>
    <row r="1" spans="1:24" ht="15.75" customHeight="1" thickBot="1" x14ac:dyDescent="0.4">
      <c r="A1" s="3"/>
    </row>
    <row r="2" spans="1:24" ht="15" customHeight="1" x14ac:dyDescent="0.35">
      <c r="B2" s="77"/>
      <c r="C2" s="78"/>
      <c r="D2" s="78"/>
      <c r="E2" s="78"/>
      <c r="F2" s="78"/>
      <c r="G2" s="78"/>
      <c r="H2" s="78"/>
      <c r="I2" s="78"/>
      <c r="J2" s="78"/>
      <c r="K2" s="78"/>
      <c r="L2" s="78"/>
      <c r="M2" s="78"/>
      <c r="N2" s="78"/>
      <c r="O2" s="78"/>
      <c r="P2" s="78"/>
      <c r="Q2" s="78"/>
      <c r="R2" s="78"/>
      <c r="S2" s="78"/>
      <c r="T2" s="21"/>
    </row>
    <row r="3" spans="1:24" ht="20.25" customHeight="1" x14ac:dyDescent="0.35">
      <c r="B3" s="79"/>
      <c r="C3" s="312" t="s">
        <v>292</v>
      </c>
      <c r="D3" s="313"/>
      <c r="E3" s="313"/>
      <c r="F3" s="313"/>
      <c r="G3" s="313"/>
      <c r="H3" s="313"/>
      <c r="I3" s="313"/>
      <c r="J3" s="313"/>
      <c r="K3" s="313"/>
      <c r="L3" s="313"/>
      <c r="M3" s="313"/>
      <c r="N3" s="313"/>
      <c r="O3" s="313"/>
      <c r="P3" s="313"/>
      <c r="Q3" s="313"/>
      <c r="R3" s="313"/>
      <c r="S3" s="313"/>
      <c r="T3" s="22"/>
    </row>
    <row r="4" spans="1:24" ht="15.75" customHeight="1" x14ac:dyDescent="0.35">
      <c r="B4" s="79"/>
      <c r="C4" s="67" t="s">
        <v>434</v>
      </c>
      <c r="D4" s="29"/>
      <c r="E4" s="29"/>
      <c r="F4" s="29"/>
      <c r="G4" s="29"/>
      <c r="H4" s="29"/>
      <c r="I4" s="29"/>
      <c r="J4" s="29"/>
      <c r="K4" s="29"/>
      <c r="L4" s="29"/>
      <c r="M4" s="29"/>
      <c r="N4" s="29"/>
      <c r="O4" s="29"/>
      <c r="P4" s="29"/>
      <c r="Q4" s="29"/>
      <c r="R4" s="29"/>
      <c r="S4" s="29"/>
      <c r="T4" s="22"/>
    </row>
    <row r="5" spans="1:24" ht="18" customHeight="1" x14ac:dyDescent="0.35">
      <c r="B5" s="79"/>
      <c r="C5" s="211" t="s">
        <v>435</v>
      </c>
      <c r="D5" s="314" t="s">
        <v>404</v>
      </c>
      <c r="E5" s="314"/>
      <c r="F5" s="143"/>
      <c r="G5" s="29"/>
      <c r="H5" s="29"/>
      <c r="I5" s="29"/>
      <c r="J5" s="29"/>
      <c r="K5" s="29"/>
      <c r="L5" s="29"/>
      <c r="M5" s="29"/>
      <c r="N5" s="29"/>
      <c r="O5" s="29"/>
      <c r="P5" s="29"/>
      <c r="Q5" s="29"/>
      <c r="R5" s="29"/>
      <c r="S5" s="29"/>
      <c r="T5" s="22"/>
    </row>
    <row r="6" spans="1:24" ht="15" customHeight="1" x14ac:dyDescent="0.35">
      <c r="B6" s="79"/>
      <c r="C6" s="29"/>
      <c r="D6" s="29"/>
      <c r="E6" s="29"/>
      <c r="F6" s="29"/>
      <c r="G6" s="29"/>
      <c r="H6" s="29"/>
      <c r="I6" s="29"/>
      <c r="J6" s="29"/>
      <c r="K6" s="29"/>
      <c r="L6" s="29"/>
      <c r="M6" s="29"/>
      <c r="N6" s="29"/>
      <c r="O6" s="29"/>
      <c r="P6" s="29"/>
      <c r="Q6" s="29"/>
      <c r="R6" s="29"/>
      <c r="S6" s="29"/>
      <c r="T6" s="22"/>
    </row>
    <row r="7" spans="1:24" ht="32.25" customHeight="1" x14ac:dyDescent="0.35">
      <c r="B7" s="79"/>
      <c r="C7" s="144" t="s">
        <v>0</v>
      </c>
      <c r="D7" s="145" t="s">
        <v>1</v>
      </c>
      <c r="E7" s="144" t="s">
        <v>2</v>
      </c>
      <c r="F7" s="29"/>
      <c r="G7" s="29"/>
      <c r="H7" s="29"/>
      <c r="I7" s="29"/>
      <c r="J7" s="29"/>
      <c r="K7" s="29"/>
      <c r="L7" s="29"/>
      <c r="M7" s="29"/>
      <c r="N7" s="29"/>
      <c r="O7" s="29"/>
      <c r="P7" s="29"/>
      <c r="Q7" s="29"/>
      <c r="R7" s="29"/>
      <c r="S7" s="29"/>
      <c r="T7" s="22"/>
      <c r="W7" s="39" t="s">
        <v>22</v>
      </c>
      <c r="X7" s="39" t="s">
        <v>2</v>
      </c>
    </row>
    <row r="8" spans="1:24" ht="15" customHeight="1" x14ac:dyDescent="0.35">
      <c r="B8" s="79"/>
      <c r="C8" s="180" t="s">
        <v>29</v>
      </c>
      <c r="D8" s="187" t="s">
        <v>3</v>
      </c>
      <c r="E8" s="194">
        <v>5.3825999999999999E-2</v>
      </c>
      <c r="F8" s="29">
        <v>1</v>
      </c>
      <c r="G8" s="29"/>
      <c r="H8" s="29"/>
      <c r="I8" s="29"/>
      <c r="J8" s="29"/>
      <c r="K8" s="29"/>
      <c r="L8" s="29"/>
      <c r="M8" s="29"/>
      <c r="N8" s="29"/>
      <c r="O8" s="29"/>
      <c r="P8" s="29"/>
      <c r="Q8" s="29"/>
      <c r="R8" s="29"/>
      <c r="S8" s="29"/>
      <c r="T8" s="22"/>
      <c r="W8" s="221" t="s">
        <v>3</v>
      </c>
      <c r="X8" s="224">
        <v>0.20225299999999999</v>
      </c>
    </row>
    <row r="9" spans="1:24" ht="15.75" customHeight="1" x14ac:dyDescent="0.35">
      <c r="B9" s="79"/>
      <c r="C9" s="180" t="s">
        <v>36</v>
      </c>
      <c r="D9" s="187" t="s">
        <v>3</v>
      </c>
      <c r="E9" s="194">
        <v>4.4312999999999998E-2</v>
      </c>
      <c r="F9" s="29">
        <v>2</v>
      </c>
      <c r="G9" s="29"/>
      <c r="H9" s="29"/>
      <c r="I9" s="29"/>
      <c r="J9" s="29"/>
      <c r="K9" s="29"/>
      <c r="L9" s="29"/>
      <c r="M9" s="29"/>
      <c r="N9" s="29"/>
      <c r="O9" s="29"/>
      <c r="P9" s="29"/>
      <c r="Q9" s="29"/>
      <c r="R9" s="29"/>
      <c r="S9" s="29"/>
      <c r="T9" s="22"/>
      <c r="W9" s="221" t="s">
        <v>4</v>
      </c>
      <c r="X9" s="224">
        <v>9.5022999999999996E-2</v>
      </c>
    </row>
    <row r="10" spans="1:24" ht="15" customHeight="1" x14ac:dyDescent="0.35">
      <c r="B10" s="79"/>
      <c r="C10" s="180" t="s">
        <v>79</v>
      </c>
      <c r="D10" s="187" t="s">
        <v>4</v>
      </c>
      <c r="E10" s="194">
        <v>2.6721000000000002E-2</v>
      </c>
      <c r="F10" s="29">
        <v>3</v>
      </c>
      <c r="G10" s="29"/>
      <c r="H10" s="29"/>
      <c r="I10" s="29"/>
      <c r="J10" s="29"/>
      <c r="K10" s="29"/>
      <c r="L10" s="29"/>
      <c r="M10" s="29"/>
      <c r="N10" s="29"/>
      <c r="O10" s="29"/>
      <c r="P10" s="29"/>
      <c r="Q10" s="29"/>
      <c r="R10" s="29"/>
      <c r="S10" s="29"/>
      <c r="T10" s="22"/>
      <c r="W10" s="221" t="s">
        <v>105</v>
      </c>
      <c r="X10" s="224">
        <v>6.7216999999999999E-2</v>
      </c>
    </row>
    <row r="11" spans="1:24" ht="15" customHeight="1" x14ac:dyDescent="0.35">
      <c r="B11" s="79"/>
      <c r="C11" s="180" t="s">
        <v>28</v>
      </c>
      <c r="D11" s="187" t="s">
        <v>105</v>
      </c>
      <c r="E11" s="194">
        <v>2.6082000000000001E-2</v>
      </c>
      <c r="F11" s="29">
        <v>4</v>
      </c>
      <c r="G11" s="29"/>
      <c r="H11" s="29"/>
      <c r="I11" s="29"/>
      <c r="J11" s="29"/>
      <c r="K11" s="29"/>
      <c r="L11" s="29"/>
      <c r="M11" s="29"/>
      <c r="N11" s="29"/>
      <c r="O11" s="29"/>
      <c r="P11" s="29"/>
      <c r="Q11" s="29"/>
      <c r="R11" s="29"/>
      <c r="S11" s="29"/>
      <c r="T11" s="22"/>
      <c r="W11" s="221" t="s">
        <v>109</v>
      </c>
      <c r="X11" s="224">
        <v>6.6442000000000001E-2</v>
      </c>
    </row>
    <row r="12" spans="1:24" ht="15" customHeight="1" x14ac:dyDescent="0.35">
      <c r="B12" s="79"/>
      <c r="C12" s="180" t="s">
        <v>311</v>
      </c>
      <c r="D12" s="187" t="s">
        <v>116</v>
      </c>
      <c r="E12" s="194">
        <v>2.4301999999999997E-2</v>
      </c>
      <c r="F12" s="29">
        <v>5</v>
      </c>
      <c r="G12" s="29"/>
      <c r="H12" s="29"/>
      <c r="I12" s="29"/>
      <c r="J12" s="29"/>
      <c r="K12" s="29"/>
      <c r="L12" s="29"/>
      <c r="M12" s="29"/>
      <c r="N12" s="29"/>
      <c r="O12" s="29"/>
      <c r="P12" s="29"/>
      <c r="Q12" s="29"/>
      <c r="R12" s="29"/>
      <c r="S12" s="29"/>
      <c r="T12" s="22"/>
      <c r="W12" s="221" t="s">
        <v>10</v>
      </c>
      <c r="X12" s="224">
        <v>5.8939000000000005E-2</v>
      </c>
    </row>
    <row r="13" spans="1:24" ht="15" customHeight="1" x14ac:dyDescent="0.35">
      <c r="B13" s="79"/>
      <c r="C13" s="180" t="s">
        <v>62</v>
      </c>
      <c r="D13" s="187" t="s">
        <v>10</v>
      </c>
      <c r="E13" s="194">
        <v>2.4065E-2</v>
      </c>
      <c r="F13" s="29">
        <v>6</v>
      </c>
      <c r="G13" s="29"/>
      <c r="H13" s="29"/>
      <c r="I13" s="29"/>
      <c r="J13" s="29"/>
      <c r="K13" s="29"/>
      <c r="L13" s="29"/>
      <c r="M13" s="29"/>
      <c r="N13" s="29"/>
      <c r="O13" s="29"/>
      <c r="P13" s="29"/>
      <c r="Q13" s="29"/>
      <c r="R13" s="29"/>
      <c r="S13" s="29"/>
      <c r="T13" s="22"/>
      <c r="W13" s="221" t="s">
        <v>23</v>
      </c>
      <c r="X13" s="224">
        <v>5.3917000000000007E-2</v>
      </c>
    </row>
    <row r="14" spans="1:24" ht="15" customHeight="1" x14ac:dyDescent="0.35">
      <c r="B14" s="79"/>
      <c r="C14" s="180" t="s">
        <v>70</v>
      </c>
      <c r="D14" s="187" t="s">
        <v>12</v>
      </c>
      <c r="E14" s="194">
        <v>2.1162E-2</v>
      </c>
      <c r="F14" s="29">
        <v>7</v>
      </c>
      <c r="G14" s="29"/>
      <c r="H14" s="29"/>
      <c r="I14" s="29"/>
      <c r="J14" s="29"/>
      <c r="K14" s="29"/>
      <c r="L14" s="29"/>
      <c r="M14" s="29"/>
      <c r="N14" s="29"/>
      <c r="O14" s="29"/>
      <c r="P14" s="29"/>
      <c r="Q14" s="29"/>
      <c r="R14" s="29"/>
      <c r="S14" s="29"/>
      <c r="T14" s="22"/>
      <c r="W14" s="221" t="s">
        <v>116</v>
      </c>
      <c r="X14" s="224">
        <v>4.4770999999999998E-2</v>
      </c>
    </row>
    <row r="15" spans="1:24" ht="15" customHeight="1" x14ac:dyDescent="0.35">
      <c r="B15" s="79"/>
      <c r="C15" s="180" t="s">
        <v>31</v>
      </c>
      <c r="D15" s="187" t="s">
        <v>6</v>
      </c>
      <c r="E15" s="194">
        <v>1.9640000000000001E-2</v>
      </c>
      <c r="F15" s="29">
        <v>8</v>
      </c>
      <c r="G15" s="29"/>
      <c r="H15" s="29"/>
      <c r="I15" s="29"/>
      <c r="J15" s="29"/>
      <c r="K15" s="29"/>
      <c r="L15" s="29"/>
      <c r="M15" s="29"/>
      <c r="N15" s="29"/>
      <c r="O15" s="29"/>
      <c r="P15" s="29"/>
      <c r="Q15" s="29"/>
      <c r="R15" s="29"/>
      <c r="S15" s="29"/>
      <c r="T15" s="22"/>
      <c r="W15" s="221" t="s">
        <v>108</v>
      </c>
      <c r="X15" s="224">
        <v>3.0877000000000002E-2</v>
      </c>
    </row>
    <row r="16" spans="1:24" ht="15" customHeight="1" x14ac:dyDescent="0.35">
      <c r="B16" s="79"/>
      <c r="C16" s="180" t="s">
        <v>301</v>
      </c>
      <c r="D16" s="187" t="s">
        <v>108</v>
      </c>
      <c r="E16" s="194">
        <v>1.9352000000000001E-2</v>
      </c>
      <c r="F16" s="29">
        <v>9</v>
      </c>
      <c r="G16" s="29"/>
      <c r="H16" s="29"/>
      <c r="I16" s="29"/>
      <c r="J16" s="29"/>
      <c r="K16" s="29"/>
      <c r="L16" s="29"/>
      <c r="M16" s="29"/>
      <c r="N16" s="29"/>
      <c r="O16" s="29"/>
      <c r="P16" s="29"/>
      <c r="Q16" s="29"/>
      <c r="R16" s="29"/>
      <c r="S16" s="29"/>
      <c r="T16" s="22"/>
      <c r="W16" s="221" t="s">
        <v>26</v>
      </c>
      <c r="X16" s="224">
        <v>3.0821999999999999E-2</v>
      </c>
    </row>
    <row r="17" spans="2:24" ht="15" customHeight="1" x14ac:dyDescent="0.35">
      <c r="B17" s="79"/>
      <c r="C17" s="180" t="s">
        <v>314</v>
      </c>
      <c r="D17" s="187" t="s">
        <v>109</v>
      </c>
      <c r="E17" s="194">
        <v>1.9317000000000001E-2</v>
      </c>
      <c r="F17" s="29">
        <v>10</v>
      </c>
      <c r="G17" s="29"/>
      <c r="H17" s="29"/>
      <c r="I17" s="29"/>
      <c r="J17" s="29"/>
      <c r="K17" s="29"/>
      <c r="L17" s="29"/>
      <c r="M17" s="29"/>
      <c r="N17" s="29"/>
      <c r="O17" s="29"/>
      <c r="P17" s="29"/>
      <c r="Q17" s="29"/>
      <c r="R17" s="29"/>
      <c r="S17" s="29"/>
      <c r="T17" s="22"/>
      <c r="W17" s="221" t="s">
        <v>128</v>
      </c>
      <c r="X17" s="224">
        <v>2.6520000000000002E-2</v>
      </c>
    </row>
    <row r="18" spans="2:24" ht="15" customHeight="1" x14ac:dyDescent="0.35">
      <c r="B18" s="79"/>
      <c r="C18" s="180" t="s">
        <v>77</v>
      </c>
      <c r="D18" s="187" t="s">
        <v>3</v>
      </c>
      <c r="E18" s="194">
        <v>1.8808999999999999E-2</v>
      </c>
      <c r="F18" s="29">
        <v>11</v>
      </c>
      <c r="G18" s="29"/>
      <c r="H18" s="29"/>
      <c r="I18" s="29"/>
      <c r="J18" s="29"/>
      <c r="K18" s="29"/>
      <c r="L18" s="29"/>
      <c r="M18" s="29"/>
      <c r="N18" s="29"/>
      <c r="O18" s="29"/>
      <c r="P18" s="29"/>
      <c r="Q18" s="29"/>
      <c r="R18" s="29"/>
      <c r="S18" s="29"/>
      <c r="T18" s="22"/>
      <c r="W18" s="221" t="s">
        <v>110</v>
      </c>
      <c r="X18" s="224">
        <v>2.4893999999999999E-2</v>
      </c>
    </row>
    <row r="19" spans="2:24" ht="15" customHeight="1" x14ac:dyDescent="0.35">
      <c r="B19" s="79"/>
      <c r="C19" s="180" t="s">
        <v>34</v>
      </c>
      <c r="D19" s="187" t="s">
        <v>23</v>
      </c>
      <c r="E19" s="194">
        <v>1.8654E-2</v>
      </c>
      <c r="F19" s="29">
        <v>12</v>
      </c>
      <c r="G19" s="29"/>
      <c r="H19" s="29"/>
      <c r="I19" s="29"/>
      <c r="J19" s="29"/>
      <c r="K19" s="29"/>
      <c r="L19" s="29"/>
      <c r="M19" s="29"/>
      <c r="N19" s="29"/>
      <c r="O19" s="29"/>
      <c r="P19" s="29"/>
      <c r="Q19" s="29"/>
      <c r="R19" s="29"/>
      <c r="S19" s="29"/>
      <c r="T19" s="22"/>
      <c r="W19" s="221" t="s">
        <v>111</v>
      </c>
      <c r="X19" s="224">
        <v>2.2079999999999999E-2</v>
      </c>
    </row>
    <row r="20" spans="2:24" ht="15" customHeight="1" x14ac:dyDescent="0.35">
      <c r="B20" s="79"/>
      <c r="C20" s="180" t="s">
        <v>386</v>
      </c>
      <c r="D20" s="187" t="s">
        <v>3</v>
      </c>
      <c r="E20" s="194">
        <v>1.8435E-2</v>
      </c>
      <c r="F20" s="29">
        <v>13</v>
      </c>
      <c r="G20" s="29"/>
      <c r="H20" s="29"/>
      <c r="I20" s="29"/>
      <c r="J20" s="29"/>
      <c r="K20" s="29"/>
      <c r="L20" s="29"/>
      <c r="M20" s="29"/>
      <c r="N20" s="29"/>
      <c r="O20" s="29"/>
      <c r="P20" s="29"/>
      <c r="Q20" s="29"/>
      <c r="R20" s="29"/>
      <c r="S20" s="29"/>
      <c r="T20" s="22"/>
      <c r="W20" s="221" t="s">
        <v>12</v>
      </c>
      <c r="X20" s="224">
        <v>2.1162E-2</v>
      </c>
    </row>
    <row r="21" spans="2:24" ht="15" customHeight="1" x14ac:dyDescent="0.35">
      <c r="B21" s="79"/>
      <c r="C21" s="180" t="s">
        <v>35</v>
      </c>
      <c r="D21" s="187" t="s">
        <v>3</v>
      </c>
      <c r="E21" s="194">
        <v>1.8297999999999998E-2</v>
      </c>
      <c r="F21" s="29">
        <v>14</v>
      </c>
      <c r="G21" s="29"/>
      <c r="H21" s="29"/>
      <c r="I21" s="29"/>
      <c r="J21" s="29"/>
      <c r="K21" s="29"/>
      <c r="L21" s="29"/>
      <c r="M21" s="29"/>
      <c r="N21" s="29"/>
      <c r="O21" s="29"/>
      <c r="P21" s="29"/>
      <c r="Q21" s="29"/>
      <c r="R21" s="29"/>
      <c r="S21" s="29"/>
      <c r="T21" s="22"/>
      <c r="W21" s="173" t="s">
        <v>24</v>
      </c>
      <c r="X21" s="224">
        <v>2.0167000000000001E-2</v>
      </c>
    </row>
    <row r="22" spans="2:24" ht="15" customHeight="1" x14ac:dyDescent="0.35">
      <c r="B22" s="79"/>
      <c r="C22" s="180" t="s">
        <v>293</v>
      </c>
      <c r="D22" s="187" t="s">
        <v>116</v>
      </c>
      <c r="E22" s="194">
        <v>1.8121000000000002E-2</v>
      </c>
      <c r="F22" s="29">
        <v>15</v>
      </c>
      <c r="G22" s="29"/>
      <c r="H22" s="29"/>
      <c r="I22" s="29"/>
      <c r="J22" s="29"/>
      <c r="K22" s="29"/>
      <c r="L22" s="29"/>
      <c r="M22" s="29"/>
      <c r="N22" s="29"/>
      <c r="O22" s="29"/>
      <c r="P22" s="29"/>
      <c r="Q22" s="29"/>
      <c r="R22" s="29"/>
      <c r="S22" s="29"/>
      <c r="T22" s="22"/>
      <c r="W22" s="173" t="s">
        <v>6</v>
      </c>
      <c r="X22" s="224">
        <v>1.9640000000000001E-2</v>
      </c>
    </row>
    <row r="23" spans="2:24" ht="15" customHeight="1" x14ac:dyDescent="0.35">
      <c r="B23" s="79"/>
      <c r="C23" s="71"/>
      <c r="D23" s="71"/>
      <c r="E23" s="146"/>
      <c r="F23" s="29"/>
      <c r="G23" s="29"/>
      <c r="H23" s="29"/>
      <c r="I23" s="29"/>
      <c r="J23" s="29"/>
      <c r="K23" s="29"/>
      <c r="L23" s="29"/>
      <c r="M23" s="29"/>
      <c r="N23" s="29"/>
      <c r="O23" s="29"/>
      <c r="P23" s="29"/>
      <c r="Q23" s="29"/>
      <c r="R23" s="29"/>
      <c r="S23" s="29"/>
      <c r="T23" s="22"/>
      <c r="W23" s="173" t="s">
        <v>75</v>
      </c>
      <c r="X23" s="224">
        <v>1.9033000000000001E-2</v>
      </c>
    </row>
    <row r="24" spans="2:24" ht="15" customHeight="1" x14ac:dyDescent="0.35">
      <c r="B24" s="79"/>
      <c r="C24" s="73" t="s">
        <v>55</v>
      </c>
      <c r="D24" s="74"/>
      <c r="E24" s="75">
        <f>SUM(E8:E22)</f>
        <v>0.3710969999999999</v>
      </c>
      <c r="F24" s="29"/>
      <c r="G24" s="29"/>
      <c r="H24" s="29"/>
      <c r="I24" s="29"/>
      <c r="J24" s="29"/>
      <c r="K24" s="29"/>
      <c r="L24" s="29"/>
      <c r="M24" s="29"/>
      <c r="N24" s="29"/>
      <c r="O24" s="29"/>
      <c r="P24" s="29"/>
      <c r="Q24" s="29"/>
      <c r="R24" s="29"/>
      <c r="S24" s="29"/>
      <c r="T24" s="22"/>
      <c r="W24" s="173" t="s">
        <v>181</v>
      </c>
      <c r="X24" s="224">
        <v>1.7398E-2</v>
      </c>
    </row>
    <row r="25" spans="2:24" ht="15" customHeight="1" x14ac:dyDescent="0.35">
      <c r="B25" s="79"/>
      <c r="F25" s="29"/>
      <c r="G25" s="29"/>
      <c r="H25" s="29"/>
      <c r="I25" s="29"/>
      <c r="J25" s="29"/>
      <c r="K25" s="29"/>
      <c r="L25" s="29"/>
      <c r="M25" s="29"/>
      <c r="N25" s="29"/>
      <c r="O25" s="29"/>
      <c r="P25" s="29"/>
      <c r="Q25" s="29"/>
      <c r="R25" s="29"/>
      <c r="S25" s="29"/>
      <c r="T25" s="22"/>
      <c r="W25" s="173" t="s">
        <v>81</v>
      </c>
      <c r="X25" s="224">
        <v>1.6668000000000002E-2</v>
      </c>
    </row>
    <row r="26" spans="2:24" ht="15" customHeight="1" x14ac:dyDescent="0.35">
      <c r="B26" s="79"/>
      <c r="F26" s="29"/>
      <c r="G26" s="29"/>
      <c r="H26" s="29"/>
      <c r="I26" s="29"/>
      <c r="J26" s="29"/>
      <c r="K26" s="29"/>
      <c r="L26" s="29"/>
      <c r="M26" s="29"/>
      <c r="N26" s="29"/>
      <c r="O26" s="29"/>
      <c r="P26" s="29"/>
      <c r="Q26" s="29"/>
      <c r="R26" s="29"/>
      <c r="S26" s="29"/>
      <c r="T26" s="22"/>
      <c r="W26" s="173" t="s">
        <v>11</v>
      </c>
      <c r="X26" s="224">
        <v>1.4631E-2</v>
      </c>
    </row>
    <row r="27" spans="2:24" ht="15" customHeight="1" x14ac:dyDescent="0.35">
      <c r="B27" s="79"/>
      <c r="F27" s="29"/>
      <c r="G27" s="29"/>
      <c r="H27" s="29"/>
      <c r="I27" s="29"/>
      <c r="J27" s="29"/>
      <c r="K27" s="29"/>
      <c r="L27" s="29"/>
      <c r="M27" s="29"/>
      <c r="N27" s="29"/>
      <c r="O27" s="29"/>
      <c r="P27" s="29"/>
      <c r="Q27" s="29"/>
      <c r="R27" s="29"/>
      <c r="S27" s="29"/>
      <c r="T27" s="22"/>
      <c r="W27" s="173" t="s">
        <v>114</v>
      </c>
      <c r="X27" s="224">
        <v>1.4353000000000001E-2</v>
      </c>
    </row>
    <row r="28" spans="2:24" ht="15" customHeight="1" x14ac:dyDescent="0.35">
      <c r="B28" s="79"/>
      <c r="F28" s="29"/>
      <c r="G28" s="29"/>
      <c r="H28" s="29"/>
      <c r="I28" s="29"/>
      <c r="J28" s="29"/>
      <c r="K28" s="29"/>
      <c r="L28" s="29"/>
      <c r="M28" s="29"/>
      <c r="N28" s="29"/>
      <c r="O28" s="29"/>
      <c r="P28" s="29"/>
      <c r="Q28" s="29"/>
      <c r="R28" s="29"/>
      <c r="S28" s="29"/>
      <c r="T28" s="22"/>
      <c r="W28" s="173" t="s">
        <v>122</v>
      </c>
      <c r="X28" s="224">
        <v>1.3983000000000001E-2</v>
      </c>
    </row>
    <row r="29" spans="2:24" ht="15" customHeight="1" x14ac:dyDescent="0.35">
      <c r="B29" s="79"/>
      <c r="F29" s="29"/>
      <c r="G29" s="29"/>
      <c r="H29" s="29"/>
      <c r="I29" s="29"/>
      <c r="J29" s="29"/>
      <c r="K29" s="29"/>
      <c r="L29" s="29"/>
      <c r="M29" s="29"/>
      <c r="N29" s="29"/>
      <c r="O29" s="29"/>
      <c r="P29" s="29"/>
      <c r="Q29" s="29"/>
      <c r="R29" s="29"/>
      <c r="S29" s="29"/>
      <c r="T29" s="22"/>
      <c r="W29" s="173" t="s">
        <v>83</v>
      </c>
      <c r="X29" s="224">
        <v>1.3391999999999999E-2</v>
      </c>
    </row>
    <row r="30" spans="2:24" ht="15" customHeight="1" x14ac:dyDescent="0.35">
      <c r="B30" s="79"/>
      <c r="F30" s="29"/>
      <c r="G30" s="29"/>
      <c r="H30" s="29"/>
      <c r="I30" s="29"/>
      <c r="J30" s="29"/>
      <c r="K30" s="29"/>
      <c r="L30" s="29"/>
      <c r="M30" s="29"/>
      <c r="N30" s="29"/>
      <c r="O30" s="29"/>
      <c r="P30" s="29"/>
      <c r="Q30" s="29"/>
      <c r="R30" s="29"/>
      <c r="S30" s="29"/>
      <c r="T30" s="22"/>
      <c r="W30" s="173" t="s">
        <v>84</v>
      </c>
      <c r="X30" s="224">
        <v>1.1906E-2</v>
      </c>
    </row>
    <row r="31" spans="2:24" ht="15" customHeight="1" x14ac:dyDescent="0.35">
      <c r="B31" s="79"/>
      <c r="F31" s="29"/>
      <c r="G31" s="29"/>
      <c r="H31" s="29"/>
      <c r="I31" s="29"/>
      <c r="J31" s="29"/>
      <c r="K31" s="29"/>
      <c r="L31" s="29"/>
      <c r="M31" s="29"/>
      <c r="N31" s="29"/>
      <c r="O31" s="29"/>
      <c r="P31" s="29"/>
      <c r="Q31" s="29"/>
      <c r="R31" s="29"/>
      <c r="S31" s="29"/>
      <c r="T31" s="22"/>
      <c r="W31" s="173" t="s">
        <v>25</v>
      </c>
      <c r="X31" s="224">
        <v>1.1293000000000001E-2</v>
      </c>
    </row>
    <row r="32" spans="2:24" ht="15.75" customHeight="1" x14ac:dyDescent="0.35">
      <c r="B32" s="79"/>
      <c r="F32" s="29"/>
      <c r="G32" s="29"/>
      <c r="H32" s="29"/>
      <c r="I32" s="29"/>
      <c r="J32" s="29"/>
      <c r="K32" s="29"/>
      <c r="L32" s="29"/>
      <c r="M32" s="29"/>
      <c r="N32" s="29"/>
      <c r="O32" s="29"/>
      <c r="P32" s="29"/>
      <c r="Q32" s="29"/>
      <c r="R32" s="29"/>
      <c r="S32" s="29"/>
      <c r="T32" s="22"/>
      <c r="W32" s="173" t="s">
        <v>119</v>
      </c>
      <c r="X32" s="224">
        <v>9.5340000000000008E-3</v>
      </c>
    </row>
    <row r="33" spans="2:24" ht="15" customHeight="1" x14ac:dyDescent="0.35">
      <c r="B33" s="79"/>
      <c r="F33" s="29"/>
      <c r="G33" s="29"/>
      <c r="H33" s="29"/>
      <c r="I33" s="29"/>
      <c r="J33" s="29"/>
      <c r="K33" s="29"/>
      <c r="L33" s="29"/>
      <c r="M33" s="29"/>
      <c r="N33" s="29"/>
      <c r="O33" s="29"/>
      <c r="P33" s="29"/>
      <c r="Q33" s="29"/>
      <c r="R33" s="29"/>
      <c r="S33" s="29"/>
      <c r="T33" s="22"/>
      <c r="W33" s="173" t="s">
        <v>85</v>
      </c>
      <c r="X33" s="224">
        <v>9.2670000000000009E-3</v>
      </c>
    </row>
    <row r="34" spans="2:24" ht="15" customHeight="1" thickBot="1" x14ac:dyDescent="0.4">
      <c r="B34" s="80"/>
      <c r="C34" s="81"/>
      <c r="D34" s="81"/>
      <c r="E34" s="81"/>
      <c r="F34" s="81"/>
      <c r="G34" s="81"/>
      <c r="H34" s="81"/>
      <c r="I34" s="81"/>
      <c r="J34" s="81"/>
      <c r="K34" s="81"/>
      <c r="L34" s="81"/>
      <c r="M34" s="81"/>
      <c r="N34" s="81"/>
      <c r="O34" s="81"/>
      <c r="P34" s="81"/>
      <c r="Q34" s="81"/>
      <c r="R34" s="81"/>
      <c r="S34" s="81"/>
      <c r="T34" s="23"/>
      <c r="W34" s="173" t="s">
        <v>117</v>
      </c>
      <c r="X34" s="224">
        <v>8.7580000000000002E-3</v>
      </c>
    </row>
    <row r="35" spans="2:24" ht="15" customHeight="1" thickBot="1" x14ac:dyDescent="0.4">
      <c r="W35" s="173" t="s">
        <v>16</v>
      </c>
      <c r="X35" s="224">
        <v>6.483E-3</v>
      </c>
    </row>
    <row r="36" spans="2:24" ht="15" customHeight="1" x14ac:dyDescent="0.35">
      <c r="B36" s="303" t="s">
        <v>179</v>
      </c>
      <c r="C36" s="304"/>
      <c r="D36" s="304"/>
      <c r="E36" s="304"/>
      <c r="F36" s="304"/>
      <c r="G36" s="304"/>
      <c r="H36" s="304"/>
      <c r="I36" s="304"/>
      <c r="J36" s="304"/>
      <c r="K36" s="304"/>
      <c r="L36" s="304"/>
      <c r="M36" s="304"/>
      <c r="N36" s="304"/>
      <c r="O36" s="304"/>
      <c r="P36" s="304"/>
      <c r="Q36" s="304"/>
      <c r="R36" s="305"/>
      <c r="W36" s="173" t="s">
        <v>120</v>
      </c>
      <c r="X36" s="224">
        <v>5.5050000000000003E-3</v>
      </c>
    </row>
    <row r="37" spans="2:24" ht="15" customHeight="1" x14ac:dyDescent="0.35">
      <c r="B37" s="306"/>
      <c r="C37" s="307"/>
      <c r="D37" s="307"/>
      <c r="E37" s="307"/>
      <c r="F37" s="307"/>
      <c r="G37" s="307"/>
      <c r="H37" s="307"/>
      <c r="I37" s="307"/>
      <c r="J37" s="307"/>
      <c r="K37" s="307"/>
      <c r="L37" s="307"/>
      <c r="M37" s="307"/>
      <c r="N37" s="307"/>
      <c r="O37" s="307"/>
      <c r="P37" s="307"/>
      <c r="Q37" s="307"/>
      <c r="R37" s="308"/>
      <c r="W37" s="173" t="s">
        <v>112</v>
      </c>
      <c r="X37" s="224">
        <v>5.3619999999999996E-3</v>
      </c>
    </row>
    <row r="38" spans="2:24" ht="15" customHeight="1" x14ac:dyDescent="0.35">
      <c r="B38" s="306"/>
      <c r="C38" s="307"/>
      <c r="D38" s="307"/>
      <c r="E38" s="307"/>
      <c r="F38" s="307"/>
      <c r="G38" s="307"/>
      <c r="H38" s="307"/>
      <c r="I38" s="307"/>
      <c r="J38" s="307"/>
      <c r="K38" s="307"/>
      <c r="L38" s="307"/>
      <c r="M38" s="307"/>
      <c r="N38" s="307"/>
      <c r="O38" s="307"/>
      <c r="P38" s="307"/>
      <c r="Q38" s="307"/>
      <c r="R38" s="308"/>
      <c r="W38" s="173" t="s">
        <v>135</v>
      </c>
      <c r="X38" s="224">
        <v>4.9690000000000003E-3</v>
      </c>
    </row>
    <row r="39" spans="2:24" ht="15" customHeight="1" x14ac:dyDescent="0.35">
      <c r="B39" s="306"/>
      <c r="C39" s="307"/>
      <c r="D39" s="307"/>
      <c r="E39" s="307"/>
      <c r="F39" s="307"/>
      <c r="G39" s="307"/>
      <c r="H39" s="307"/>
      <c r="I39" s="307"/>
      <c r="J39" s="307"/>
      <c r="K39" s="307"/>
      <c r="L39" s="307"/>
      <c r="M39" s="307"/>
      <c r="N39" s="307"/>
      <c r="O39" s="307"/>
      <c r="P39" s="307"/>
      <c r="Q39" s="307"/>
      <c r="R39" s="308"/>
      <c r="W39" s="173" t="s">
        <v>115</v>
      </c>
      <c r="X39" s="224">
        <v>4.7930000000000004E-3</v>
      </c>
    </row>
    <row r="40" spans="2:24" ht="15" customHeight="1" x14ac:dyDescent="0.35">
      <c r="B40" s="306"/>
      <c r="C40" s="307"/>
      <c r="D40" s="307"/>
      <c r="E40" s="307"/>
      <c r="F40" s="307"/>
      <c r="G40" s="307"/>
      <c r="H40" s="307"/>
      <c r="I40" s="307"/>
      <c r="J40" s="307"/>
      <c r="K40" s="307"/>
      <c r="L40" s="307"/>
      <c r="M40" s="307"/>
      <c r="N40" s="307"/>
      <c r="O40" s="307"/>
      <c r="P40" s="307"/>
      <c r="Q40" s="307"/>
      <c r="R40" s="308"/>
      <c r="W40" s="173" t="s">
        <v>124</v>
      </c>
      <c r="X40" s="224">
        <v>4.764E-3</v>
      </c>
    </row>
    <row r="41" spans="2:24" ht="15" customHeight="1" x14ac:dyDescent="0.35">
      <c r="B41" s="306"/>
      <c r="C41" s="307"/>
      <c r="D41" s="307"/>
      <c r="E41" s="307"/>
      <c r="F41" s="307"/>
      <c r="G41" s="307"/>
      <c r="H41" s="307"/>
      <c r="I41" s="307"/>
      <c r="J41" s="307"/>
      <c r="K41" s="307"/>
      <c r="L41" s="307"/>
      <c r="M41" s="307"/>
      <c r="N41" s="307"/>
      <c r="O41" s="307"/>
      <c r="P41" s="307"/>
      <c r="Q41" s="307"/>
      <c r="R41" s="308"/>
      <c r="W41" s="173" t="s">
        <v>104</v>
      </c>
      <c r="X41" s="224">
        <v>4.5040000000000002E-3</v>
      </c>
    </row>
    <row r="42" spans="2:24" ht="15" customHeight="1" thickBot="1" x14ac:dyDescent="0.4">
      <c r="B42" s="309"/>
      <c r="C42" s="310"/>
      <c r="D42" s="310"/>
      <c r="E42" s="310"/>
      <c r="F42" s="310"/>
      <c r="G42" s="310"/>
      <c r="H42" s="310"/>
      <c r="I42" s="310"/>
      <c r="J42" s="310"/>
      <c r="K42" s="310"/>
      <c r="L42" s="310"/>
      <c r="M42" s="310"/>
      <c r="N42" s="310"/>
      <c r="O42" s="310"/>
      <c r="P42" s="310"/>
      <c r="Q42" s="310"/>
      <c r="R42" s="311"/>
      <c r="W42" s="39" t="s">
        <v>106</v>
      </c>
      <c r="X42" s="224">
        <v>3.349E-3</v>
      </c>
    </row>
    <row r="43" spans="2:24" ht="15" customHeight="1" x14ac:dyDescent="0.35"/>
    <row r="44" spans="2:24" ht="15" customHeight="1" x14ac:dyDescent="0.35"/>
    <row r="45" spans="2:24" ht="15" customHeight="1" x14ac:dyDescent="0.35"/>
    <row r="46" spans="2:24" ht="15" customHeight="1" x14ac:dyDescent="0.35"/>
    <row r="47" spans="2:24" ht="15" customHeight="1" x14ac:dyDescent="0.35"/>
    <row r="48" spans="2:24" ht="15" customHeight="1" x14ac:dyDescent="0.35"/>
    <row r="49" ht="15" customHeight="1" x14ac:dyDescent="0.35"/>
    <row r="50" ht="15" customHeight="1" x14ac:dyDescent="0.35"/>
    <row r="51" ht="15" customHeight="1" x14ac:dyDescent="0.35"/>
    <row r="52" ht="15" customHeight="1" x14ac:dyDescent="0.35"/>
    <row r="53" ht="15" customHeight="1" x14ac:dyDescent="0.35"/>
    <row r="54" ht="15" customHeight="1" x14ac:dyDescent="0.35"/>
    <row r="55" ht="15" customHeight="1" x14ac:dyDescent="0.35"/>
    <row r="56" ht="15" customHeight="1" x14ac:dyDescent="0.35"/>
    <row r="57" ht="15" customHeight="1" x14ac:dyDescent="0.35"/>
    <row r="58" ht="15" customHeight="1" x14ac:dyDescent="0.35"/>
    <row r="59" ht="15" customHeight="1" x14ac:dyDescent="0.35"/>
    <row r="60" ht="15" customHeight="1" x14ac:dyDescent="0.35"/>
    <row r="61" ht="15" customHeight="1" x14ac:dyDescent="0.35"/>
    <row r="62" ht="15" customHeight="1" x14ac:dyDescent="0.35"/>
    <row r="63" ht="15" customHeight="1" x14ac:dyDescent="0.35"/>
  </sheetData>
  <mergeCells count="3">
    <mergeCell ref="C3:S3"/>
    <mergeCell ref="D5:E5"/>
    <mergeCell ref="B36:R42"/>
  </mergeCells>
  <pageMargins left="0.7" right="0.7" top="0.75" bottom="0.75" header="0.3" footer="0.3"/>
  <pageSetup paperSize="9" orientation="portrait"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7"/>
  <dimension ref="A1:Y65"/>
  <sheetViews>
    <sheetView showGridLines="0" zoomScale="75" zoomScaleNormal="75" workbookViewId="0"/>
  </sheetViews>
  <sheetFormatPr defaultColWidth="9.1796875" defaultRowHeight="14.5" x14ac:dyDescent="0.35"/>
  <cols>
    <col min="1" max="1" width="2.81640625" style="19" customWidth="1"/>
    <col min="2" max="2" width="3.81640625" style="19" customWidth="1"/>
    <col min="3" max="3" width="59.1796875" style="19" bestFit="1" customWidth="1"/>
    <col min="4" max="4" width="28.26953125" style="19" bestFit="1" customWidth="1"/>
    <col min="5" max="5" width="10.453125" style="19" bestFit="1" customWidth="1"/>
    <col min="6" max="6" width="26.54296875" style="19" customWidth="1"/>
    <col min="7" max="7" width="13.7265625" style="19" bestFit="1" customWidth="1"/>
    <col min="8" max="8" width="12.7265625" style="19" bestFit="1" customWidth="1"/>
    <col min="9" max="18" width="9.1796875" style="19"/>
    <col min="19" max="19" width="9.81640625" style="19" customWidth="1"/>
    <col min="20" max="20" width="9.1796875" style="19"/>
    <col min="21" max="21" width="8.453125" style="19" customWidth="1"/>
    <col min="22" max="16384" width="9.1796875" style="19"/>
  </cols>
  <sheetData>
    <row r="1" spans="1:25" ht="15.75" customHeight="1" thickBot="1" x14ac:dyDescent="0.4">
      <c r="A1" s="3"/>
    </row>
    <row r="2" spans="1:25" ht="15" customHeight="1" x14ac:dyDescent="0.35">
      <c r="B2" s="77"/>
      <c r="C2" s="78"/>
      <c r="D2" s="78"/>
      <c r="E2" s="78"/>
      <c r="F2" s="78"/>
      <c r="G2" s="78"/>
      <c r="H2" s="78"/>
      <c r="I2" s="78"/>
      <c r="J2" s="78"/>
      <c r="K2" s="78"/>
      <c r="L2" s="78"/>
      <c r="M2" s="78"/>
      <c r="N2" s="78"/>
      <c r="O2" s="78"/>
      <c r="P2" s="78"/>
      <c r="Q2" s="78"/>
      <c r="R2" s="78"/>
      <c r="S2" s="78"/>
      <c r="T2" s="21"/>
    </row>
    <row r="3" spans="1:25" ht="20.25" customHeight="1" x14ac:dyDescent="0.35">
      <c r="B3" s="79"/>
      <c r="C3" s="312" t="s">
        <v>204</v>
      </c>
      <c r="D3" s="313"/>
      <c r="E3" s="313"/>
      <c r="F3" s="313"/>
      <c r="G3" s="313"/>
      <c r="H3" s="313"/>
      <c r="I3" s="313"/>
      <c r="J3" s="313"/>
      <c r="K3" s="313"/>
      <c r="L3" s="313"/>
      <c r="M3" s="313"/>
      <c r="N3" s="313"/>
      <c r="O3" s="313"/>
      <c r="P3" s="313"/>
      <c r="Q3" s="313"/>
      <c r="R3" s="313"/>
      <c r="S3" s="313"/>
      <c r="T3" s="22"/>
    </row>
    <row r="4" spans="1:25" ht="15.75" customHeight="1" x14ac:dyDescent="0.35">
      <c r="B4" s="79"/>
      <c r="C4" s="67" t="s">
        <v>434</v>
      </c>
      <c r="D4" s="29"/>
      <c r="E4" s="29"/>
      <c r="F4" s="29"/>
      <c r="G4" s="29"/>
      <c r="H4" s="29"/>
      <c r="I4" s="29"/>
      <c r="J4" s="29"/>
      <c r="K4" s="29"/>
      <c r="L4" s="29"/>
      <c r="M4" s="29"/>
      <c r="N4" s="29"/>
      <c r="O4" s="29"/>
      <c r="P4" s="29"/>
      <c r="Q4" s="29"/>
      <c r="R4" s="29"/>
      <c r="S4" s="29"/>
      <c r="T4" s="22"/>
    </row>
    <row r="5" spans="1:25" ht="18" customHeight="1" x14ac:dyDescent="0.35">
      <c r="B5" s="79"/>
      <c r="C5" s="211" t="s">
        <v>435</v>
      </c>
      <c r="D5" s="314" t="s">
        <v>405</v>
      </c>
      <c r="E5" s="314"/>
      <c r="F5" s="29"/>
      <c r="G5" s="29"/>
      <c r="H5" s="29"/>
      <c r="I5" s="29"/>
      <c r="J5" s="29"/>
      <c r="K5" s="29"/>
      <c r="L5" s="29"/>
      <c r="M5" s="29"/>
      <c r="N5" s="29"/>
      <c r="O5" s="29"/>
      <c r="P5" s="29"/>
      <c r="Q5" s="29"/>
      <c r="R5" s="29"/>
      <c r="S5" s="29"/>
      <c r="T5" s="22"/>
    </row>
    <row r="6" spans="1:25" ht="15" customHeight="1" x14ac:dyDescent="0.35">
      <c r="B6" s="79"/>
      <c r="C6" s="29"/>
      <c r="D6" s="29"/>
      <c r="E6" s="29"/>
      <c r="F6" s="29"/>
      <c r="G6" s="29"/>
      <c r="H6" s="29"/>
      <c r="I6" s="29"/>
      <c r="J6" s="29"/>
      <c r="K6" s="29"/>
      <c r="L6" s="29"/>
      <c r="M6" s="29"/>
      <c r="N6" s="29"/>
      <c r="O6" s="29"/>
      <c r="P6" s="29"/>
      <c r="Q6" s="29"/>
      <c r="R6" s="29"/>
      <c r="S6" s="29"/>
      <c r="T6" s="22"/>
    </row>
    <row r="7" spans="1:25" ht="32.25" customHeight="1" x14ac:dyDescent="0.35">
      <c r="B7" s="79"/>
      <c r="C7" s="68" t="s">
        <v>0</v>
      </c>
      <c r="D7" s="69" t="s">
        <v>1</v>
      </c>
      <c r="E7" s="70" t="s">
        <v>2</v>
      </c>
      <c r="F7" s="29"/>
      <c r="G7" s="29"/>
      <c r="H7" s="29"/>
      <c r="I7" s="29"/>
      <c r="J7" s="29"/>
      <c r="K7" s="29"/>
      <c r="L7" s="29"/>
      <c r="M7" s="29"/>
      <c r="N7" s="29"/>
      <c r="O7" s="29"/>
      <c r="P7" s="29"/>
      <c r="Q7" s="29"/>
      <c r="R7" s="29"/>
      <c r="S7" s="29"/>
      <c r="T7" s="22"/>
      <c r="W7" s="39" t="s">
        <v>22</v>
      </c>
      <c r="X7" s="39" t="s">
        <v>2</v>
      </c>
    </row>
    <row r="8" spans="1:25" ht="15" customHeight="1" x14ac:dyDescent="0.35">
      <c r="B8" s="79"/>
      <c r="C8" s="184" t="s">
        <v>29</v>
      </c>
      <c r="D8" s="185" t="s">
        <v>3</v>
      </c>
      <c r="E8" s="186">
        <v>8.0607999999999999E-2</v>
      </c>
      <c r="F8" s="29"/>
      <c r="G8" s="29"/>
      <c r="H8" s="29"/>
      <c r="I8" s="29"/>
      <c r="J8" s="29"/>
      <c r="K8" s="29"/>
      <c r="L8" s="29"/>
      <c r="M8" s="29"/>
      <c r="N8" s="29"/>
      <c r="O8" s="29"/>
      <c r="P8" s="29"/>
      <c r="Q8" s="29"/>
      <c r="R8" s="29"/>
      <c r="S8" s="29"/>
      <c r="T8" s="22"/>
      <c r="W8" s="166" t="s">
        <v>3</v>
      </c>
      <c r="X8" s="167">
        <v>0.22813100000000003</v>
      </c>
      <c r="Y8" s="142"/>
    </row>
    <row r="9" spans="1:25" ht="15.75" customHeight="1" x14ac:dyDescent="0.35">
      <c r="B9" s="79"/>
      <c r="C9" s="180" t="s">
        <v>31</v>
      </c>
      <c r="D9" s="187" t="s">
        <v>6</v>
      </c>
      <c r="E9" s="188">
        <v>6.8123000000000003E-2</v>
      </c>
      <c r="F9" s="29"/>
      <c r="G9" s="29"/>
      <c r="H9" s="29"/>
      <c r="I9" s="29"/>
      <c r="J9" s="29"/>
      <c r="K9" s="29"/>
      <c r="L9" s="29"/>
      <c r="M9" s="29"/>
      <c r="N9" s="29"/>
      <c r="O9" s="29"/>
      <c r="P9" s="29"/>
      <c r="Q9" s="29"/>
      <c r="R9" s="29"/>
      <c r="S9" s="29"/>
      <c r="T9" s="22"/>
      <c r="W9" s="166" t="s">
        <v>6</v>
      </c>
      <c r="X9" s="167">
        <v>7.7233999999999997E-2</v>
      </c>
      <c r="Y9" s="142"/>
    </row>
    <row r="10" spans="1:25" ht="15" customHeight="1" x14ac:dyDescent="0.35">
      <c r="B10" s="79"/>
      <c r="C10" s="180" t="s">
        <v>32</v>
      </c>
      <c r="D10" s="187" t="s">
        <v>3</v>
      </c>
      <c r="E10" s="188">
        <v>5.6609E-2</v>
      </c>
      <c r="F10" s="29"/>
      <c r="G10" s="29"/>
      <c r="H10" s="29"/>
      <c r="I10" s="29"/>
      <c r="J10" s="29"/>
      <c r="K10" s="29"/>
      <c r="L10" s="29"/>
      <c r="M10" s="29"/>
      <c r="N10" s="29"/>
      <c r="O10" s="29"/>
      <c r="P10" s="29"/>
      <c r="Q10" s="29"/>
      <c r="R10" s="29"/>
      <c r="S10" s="29"/>
      <c r="T10" s="22"/>
      <c r="W10" s="166" t="s">
        <v>105</v>
      </c>
      <c r="X10" s="167">
        <v>7.1619000000000002E-2</v>
      </c>
      <c r="Y10" s="142"/>
    </row>
    <row r="11" spans="1:25" ht="15" customHeight="1" x14ac:dyDescent="0.35">
      <c r="B11" s="79"/>
      <c r="C11" s="180" t="s">
        <v>36</v>
      </c>
      <c r="D11" s="187" t="s">
        <v>3</v>
      </c>
      <c r="E11" s="188">
        <v>5.0491000000000001E-2</v>
      </c>
      <c r="F11" s="29"/>
      <c r="G11" s="29"/>
      <c r="H11" s="29"/>
      <c r="I11" s="29"/>
      <c r="J11" s="29"/>
      <c r="K11" s="29"/>
      <c r="L11" s="29"/>
      <c r="M11" s="29"/>
      <c r="N11" s="29"/>
      <c r="O11" s="29"/>
      <c r="P11" s="29"/>
      <c r="Q11" s="29"/>
      <c r="R11" s="29"/>
      <c r="S11" s="29"/>
      <c r="T11" s="22"/>
      <c r="W11" s="166" t="s">
        <v>109</v>
      </c>
      <c r="X11" s="167">
        <v>6.9667000000000007E-2</v>
      </c>
      <c r="Y11" s="142"/>
    </row>
    <row r="12" spans="1:25" ht="15" customHeight="1" x14ac:dyDescent="0.35">
      <c r="B12" s="79"/>
      <c r="C12" s="180" t="s">
        <v>33</v>
      </c>
      <c r="D12" s="187" t="s">
        <v>105</v>
      </c>
      <c r="E12" s="188">
        <v>4.1863999999999998E-2</v>
      </c>
      <c r="F12" s="29"/>
      <c r="G12" s="29"/>
      <c r="H12" s="29"/>
      <c r="I12" s="29"/>
      <c r="J12" s="29"/>
      <c r="K12" s="29"/>
      <c r="L12" s="29"/>
      <c r="M12" s="29"/>
      <c r="N12" s="29"/>
      <c r="O12" s="29"/>
      <c r="P12" s="29"/>
      <c r="Q12" s="29"/>
      <c r="R12" s="29"/>
      <c r="S12" s="29"/>
      <c r="T12" s="22"/>
      <c r="W12" s="166" t="s">
        <v>4</v>
      </c>
      <c r="X12" s="167">
        <v>4.6026999999999998E-2</v>
      </c>
      <c r="Y12" s="142"/>
    </row>
    <row r="13" spans="1:25" ht="15" customHeight="1" x14ac:dyDescent="0.35">
      <c r="B13" s="79"/>
      <c r="C13" s="180" t="s">
        <v>28</v>
      </c>
      <c r="D13" s="187" t="s">
        <v>105</v>
      </c>
      <c r="E13" s="188">
        <v>2.9755E-2</v>
      </c>
      <c r="F13" s="29"/>
      <c r="G13" s="29"/>
      <c r="H13" s="29"/>
      <c r="I13" s="29"/>
      <c r="J13" s="29"/>
      <c r="K13" s="29"/>
      <c r="L13" s="29"/>
      <c r="M13" s="29"/>
      <c r="N13" s="29"/>
      <c r="O13" s="29"/>
      <c r="P13" s="29"/>
      <c r="Q13" s="29"/>
      <c r="R13" s="29"/>
      <c r="S13" s="29"/>
      <c r="T13" s="22"/>
      <c r="W13" s="166" t="s">
        <v>84</v>
      </c>
      <c r="X13" s="167">
        <v>4.0313000000000002E-2</v>
      </c>
      <c r="Y13" s="142"/>
    </row>
    <row r="14" spans="1:25" ht="15" customHeight="1" x14ac:dyDescent="0.35">
      <c r="B14" s="79"/>
      <c r="C14" s="180" t="s">
        <v>70</v>
      </c>
      <c r="D14" s="187" t="s">
        <v>12</v>
      </c>
      <c r="E14" s="188">
        <v>2.7394999999999999E-2</v>
      </c>
      <c r="F14" s="29"/>
      <c r="G14" s="29"/>
      <c r="H14" s="29"/>
      <c r="I14" s="29"/>
      <c r="J14" s="29"/>
      <c r="K14" s="29"/>
      <c r="L14" s="29"/>
      <c r="M14" s="29"/>
      <c r="N14" s="29"/>
      <c r="O14" s="29"/>
      <c r="P14" s="29"/>
      <c r="Q14" s="29"/>
      <c r="R14" s="29"/>
      <c r="S14" s="29"/>
      <c r="T14" s="22"/>
      <c r="W14" s="166" t="s">
        <v>110</v>
      </c>
      <c r="X14" s="167">
        <v>3.8086000000000002E-2</v>
      </c>
      <c r="Y14" s="142"/>
    </row>
    <row r="15" spans="1:25" ht="15" customHeight="1" x14ac:dyDescent="0.35">
      <c r="B15" s="79"/>
      <c r="C15" s="180" t="s">
        <v>35</v>
      </c>
      <c r="D15" s="187" t="s">
        <v>3</v>
      </c>
      <c r="E15" s="188">
        <v>2.5142999999999999E-2</v>
      </c>
      <c r="F15" s="29"/>
      <c r="G15" s="29"/>
      <c r="H15" s="29"/>
      <c r="I15" s="29"/>
      <c r="J15" s="29"/>
      <c r="K15" s="29"/>
      <c r="L15" s="29"/>
      <c r="M15" s="29"/>
      <c r="N15" s="29"/>
      <c r="O15" s="29"/>
      <c r="P15" s="29"/>
      <c r="Q15" s="29"/>
      <c r="R15" s="29"/>
      <c r="S15" s="29"/>
      <c r="T15" s="22"/>
      <c r="W15" s="166" t="s">
        <v>16</v>
      </c>
      <c r="X15" s="167">
        <v>3.6540999999999997E-2</v>
      </c>
      <c r="Y15" s="142"/>
    </row>
    <row r="16" spans="1:25" ht="15" customHeight="1" x14ac:dyDescent="0.35">
      <c r="B16" s="79"/>
      <c r="C16" s="180" t="s">
        <v>94</v>
      </c>
      <c r="D16" s="187" t="s">
        <v>110</v>
      </c>
      <c r="E16" s="188">
        <v>1.9810000000000001E-2</v>
      </c>
      <c r="F16" s="29"/>
      <c r="G16" s="29"/>
      <c r="H16" s="29"/>
      <c r="I16" s="29"/>
      <c r="J16" s="29"/>
      <c r="K16" s="29"/>
      <c r="L16" s="29"/>
      <c r="M16" s="29"/>
      <c r="N16" s="29"/>
      <c r="O16" s="29"/>
      <c r="P16" s="29"/>
      <c r="Q16" s="29"/>
      <c r="R16" s="29"/>
      <c r="S16" s="29"/>
      <c r="T16" s="22"/>
      <c r="W16" s="166" t="s">
        <v>12</v>
      </c>
      <c r="X16" s="167">
        <v>2.7394999999999999E-2</v>
      </c>
      <c r="Y16" s="142"/>
    </row>
    <row r="17" spans="2:25" ht="15" customHeight="1" x14ac:dyDescent="0.35">
      <c r="B17" s="79"/>
      <c r="C17" s="180" t="s">
        <v>73</v>
      </c>
      <c r="D17" s="187" t="s">
        <v>11</v>
      </c>
      <c r="E17" s="188">
        <v>1.9739E-2</v>
      </c>
      <c r="F17" s="29"/>
      <c r="G17" s="29"/>
      <c r="H17" s="29"/>
      <c r="I17" s="29"/>
      <c r="J17" s="29"/>
      <c r="K17" s="29"/>
      <c r="L17" s="29"/>
      <c r="M17" s="29"/>
      <c r="N17" s="29"/>
      <c r="O17" s="29"/>
      <c r="P17" s="29"/>
      <c r="Q17" s="29"/>
      <c r="R17" s="29"/>
      <c r="S17" s="29"/>
      <c r="T17" s="22"/>
      <c r="W17" s="166" t="s">
        <v>104</v>
      </c>
      <c r="X17" s="167">
        <v>2.7192999999999998E-2</v>
      </c>
      <c r="Y17" s="142"/>
    </row>
    <row r="18" spans="2:25" ht="15" customHeight="1" x14ac:dyDescent="0.35">
      <c r="B18" s="79"/>
      <c r="C18" s="180" t="s">
        <v>142</v>
      </c>
      <c r="D18" s="187" t="s">
        <v>110</v>
      </c>
      <c r="E18" s="188">
        <v>1.8276000000000001E-2</v>
      </c>
      <c r="F18" s="29"/>
      <c r="G18" s="29"/>
      <c r="H18" s="29"/>
      <c r="I18" s="29"/>
      <c r="J18" s="29"/>
      <c r="K18" s="29"/>
      <c r="L18" s="29"/>
      <c r="M18" s="29"/>
      <c r="N18" s="29"/>
      <c r="O18" s="29"/>
      <c r="P18" s="29"/>
      <c r="Q18" s="29"/>
      <c r="R18" s="29"/>
      <c r="S18" s="29"/>
      <c r="T18" s="22"/>
      <c r="W18" s="166" t="s">
        <v>108</v>
      </c>
      <c r="X18" s="167">
        <v>2.6172000000000001E-2</v>
      </c>
      <c r="Y18" s="142"/>
    </row>
    <row r="19" spans="2:25" ht="15" customHeight="1" x14ac:dyDescent="0.35">
      <c r="B19" s="79"/>
      <c r="C19" s="180" t="s">
        <v>96</v>
      </c>
      <c r="D19" s="187" t="s">
        <v>117</v>
      </c>
      <c r="E19" s="188">
        <v>1.7498E-2</v>
      </c>
      <c r="F19" s="29"/>
      <c r="G19" s="29"/>
      <c r="H19" s="29"/>
      <c r="I19" s="29"/>
      <c r="J19" s="29"/>
      <c r="K19" s="29"/>
      <c r="L19" s="29"/>
      <c r="M19" s="29"/>
      <c r="N19" s="29"/>
      <c r="O19" s="29"/>
      <c r="P19" s="29"/>
      <c r="Q19" s="29"/>
      <c r="R19" s="29"/>
      <c r="S19" s="29"/>
      <c r="T19" s="22"/>
      <c r="W19" s="166" t="s">
        <v>106</v>
      </c>
      <c r="X19" s="167">
        <v>2.5057999999999997E-2</v>
      </c>
      <c r="Y19" s="142"/>
    </row>
    <row r="20" spans="2:25" ht="15" customHeight="1" x14ac:dyDescent="0.35">
      <c r="B20" s="79"/>
      <c r="C20" s="180" t="s">
        <v>323</v>
      </c>
      <c r="D20" s="187" t="s">
        <v>84</v>
      </c>
      <c r="E20" s="188">
        <v>1.7232000000000001E-2</v>
      </c>
      <c r="F20" s="29"/>
      <c r="G20" s="29"/>
      <c r="H20" s="29"/>
      <c r="I20" s="29"/>
      <c r="J20" s="29"/>
      <c r="K20" s="29"/>
      <c r="L20" s="29"/>
      <c r="M20" s="29"/>
      <c r="N20" s="29"/>
      <c r="O20" s="29"/>
      <c r="P20" s="29"/>
      <c r="Q20" s="29"/>
      <c r="R20" s="29"/>
      <c r="S20" s="29"/>
      <c r="T20" s="22"/>
      <c r="W20" s="166" t="s">
        <v>11</v>
      </c>
      <c r="X20" s="167">
        <v>2.5031999999999999E-2</v>
      </c>
      <c r="Y20" s="142"/>
    </row>
    <row r="21" spans="2:25" ht="15" customHeight="1" x14ac:dyDescent="0.35">
      <c r="B21" s="79"/>
      <c r="C21" s="180" t="s">
        <v>299</v>
      </c>
      <c r="D21" s="187" t="s">
        <v>26</v>
      </c>
      <c r="E21" s="188">
        <v>1.6969999999999999E-2</v>
      </c>
      <c r="F21" s="29"/>
      <c r="G21" s="29"/>
      <c r="H21" s="29"/>
      <c r="I21" s="29"/>
      <c r="J21" s="29"/>
      <c r="K21" s="29"/>
      <c r="L21" s="29"/>
      <c r="M21" s="29"/>
      <c r="N21" s="29"/>
      <c r="O21" s="29"/>
      <c r="P21" s="29"/>
      <c r="Q21" s="29"/>
      <c r="R21" s="29"/>
      <c r="S21" s="29"/>
      <c r="T21" s="22"/>
      <c r="W21" s="166" t="s">
        <v>23</v>
      </c>
      <c r="X21" s="167">
        <v>2.2019999999999998E-2</v>
      </c>
      <c r="Y21" s="142"/>
    </row>
    <row r="22" spans="2:25" ht="15" customHeight="1" x14ac:dyDescent="0.35">
      <c r="B22" s="79"/>
      <c r="C22" s="180" t="s">
        <v>245</v>
      </c>
      <c r="D22" s="187" t="s">
        <v>109</v>
      </c>
      <c r="E22" s="188">
        <v>1.6826000000000001E-2</v>
      </c>
      <c r="F22" s="29"/>
      <c r="G22" s="29"/>
      <c r="H22" s="29"/>
      <c r="I22" s="29"/>
      <c r="J22" s="29"/>
      <c r="K22" s="29"/>
      <c r="L22" s="29"/>
      <c r="M22" s="29"/>
      <c r="N22" s="29"/>
      <c r="O22" s="29"/>
      <c r="P22" s="29"/>
      <c r="Q22" s="29"/>
      <c r="R22" s="29"/>
      <c r="S22" s="29"/>
      <c r="T22" s="22"/>
      <c r="W22" s="166" t="s">
        <v>81</v>
      </c>
      <c r="X22" s="167">
        <v>1.9814999999999999E-2</v>
      </c>
      <c r="Y22" s="142"/>
    </row>
    <row r="23" spans="2:25" ht="15" customHeight="1" x14ac:dyDescent="0.35">
      <c r="B23" s="79"/>
      <c r="C23" s="71"/>
      <c r="D23" s="71"/>
      <c r="E23" s="72"/>
      <c r="F23" s="29"/>
      <c r="G23" s="29"/>
      <c r="H23" s="29"/>
      <c r="I23" s="29"/>
      <c r="J23" s="29"/>
      <c r="K23" s="29"/>
      <c r="L23" s="29"/>
      <c r="M23" s="29"/>
      <c r="N23" s="29"/>
      <c r="O23" s="29"/>
      <c r="P23" s="29"/>
      <c r="Q23" s="29"/>
      <c r="R23" s="29"/>
      <c r="S23" s="29"/>
      <c r="T23" s="22"/>
      <c r="W23" s="166" t="s">
        <v>117</v>
      </c>
      <c r="X23" s="167">
        <v>1.7498E-2</v>
      </c>
      <c r="Y23" s="142"/>
    </row>
    <row r="24" spans="2:25" ht="15" customHeight="1" x14ac:dyDescent="0.35">
      <c r="B24" s="79"/>
      <c r="C24" s="73" t="s">
        <v>55</v>
      </c>
      <c r="D24" s="74"/>
      <c r="E24" s="75">
        <f>SUM(E8:E22)</f>
        <v>0.50633899999999998</v>
      </c>
      <c r="F24" s="29"/>
      <c r="G24" s="29"/>
      <c r="H24" s="29"/>
      <c r="I24" s="29"/>
      <c r="J24" s="29"/>
      <c r="K24" s="29"/>
      <c r="L24" s="29"/>
      <c r="M24" s="29"/>
      <c r="N24" s="29"/>
      <c r="O24" s="29"/>
      <c r="P24" s="29"/>
      <c r="Q24" s="29"/>
      <c r="R24" s="29"/>
      <c r="S24" s="29"/>
      <c r="T24" s="22"/>
      <c r="W24" s="166" t="s">
        <v>26</v>
      </c>
      <c r="X24" s="167">
        <v>1.6969999999999999E-2</v>
      </c>
      <c r="Y24" s="142"/>
    </row>
    <row r="25" spans="2:25" ht="15" customHeight="1" x14ac:dyDescent="0.35">
      <c r="B25" s="79"/>
      <c r="F25" s="29"/>
      <c r="G25" s="29"/>
      <c r="H25" s="29"/>
      <c r="I25" s="29"/>
      <c r="J25" s="29"/>
      <c r="K25" s="29"/>
      <c r="L25" s="29"/>
      <c r="M25" s="29"/>
      <c r="N25" s="29"/>
      <c r="O25" s="29"/>
      <c r="P25" s="29"/>
      <c r="Q25" s="29"/>
      <c r="R25" s="29"/>
      <c r="S25" s="29"/>
      <c r="T25" s="22"/>
      <c r="W25" s="166" t="s">
        <v>10</v>
      </c>
      <c r="X25" s="167">
        <v>1.6286000000000002E-2</v>
      </c>
      <c r="Y25" s="142"/>
    </row>
    <row r="26" spans="2:25" ht="15" customHeight="1" x14ac:dyDescent="0.35">
      <c r="B26" s="79"/>
      <c r="F26" s="29"/>
      <c r="G26" s="29"/>
      <c r="H26" s="29"/>
      <c r="I26" s="29"/>
      <c r="J26" s="29"/>
      <c r="K26" s="29"/>
      <c r="L26" s="29"/>
      <c r="M26" s="29"/>
      <c r="N26" s="29"/>
      <c r="O26" s="29"/>
      <c r="P26" s="29"/>
      <c r="Q26" s="29"/>
      <c r="R26" s="29"/>
      <c r="S26" s="29"/>
      <c r="T26" s="22"/>
      <c r="W26" s="166" t="s">
        <v>115</v>
      </c>
      <c r="X26" s="167">
        <v>1.5640000000000001E-2</v>
      </c>
      <c r="Y26" s="142"/>
    </row>
    <row r="27" spans="2:25" ht="15" customHeight="1" x14ac:dyDescent="0.35">
      <c r="B27" s="79"/>
      <c r="F27" s="29"/>
      <c r="G27" s="29"/>
      <c r="H27" s="29"/>
      <c r="I27" s="29"/>
      <c r="J27" s="29"/>
      <c r="K27" s="29"/>
      <c r="L27" s="29"/>
      <c r="M27" s="29"/>
      <c r="N27" s="29"/>
      <c r="O27" s="29"/>
      <c r="P27" s="29"/>
      <c r="Q27" s="29"/>
      <c r="R27" s="29"/>
      <c r="S27" s="29"/>
      <c r="T27" s="22"/>
      <c r="W27" s="166" t="s">
        <v>111</v>
      </c>
      <c r="X27" s="167">
        <v>1.4605999999999999E-2</v>
      </c>
      <c r="Y27" s="142"/>
    </row>
    <row r="28" spans="2:25" ht="15" customHeight="1" x14ac:dyDescent="0.35">
      <c r="B28" s="79"/>
      <c r="F28" s="29"/>
      <c r="G28" s="29"/>
      <c r="H28" s="29"/>
      <c r="I28" s="29"/>
      <c r="J28" s="29"/>
      <c r="K28" s="29"/>
      <c r="L28" s="29"/>
      <c r="M28" s="29"/>
      <c r="N28" s="29"/>
      <c r="O28" s="29"/>
      <c r="P28" s="29"/>
      <c r="Q28" s="29"/>
      <c r="R28" s="29"/>
      <c r="S28" s="29"/>
      <c r="T28" s="22"/>
      <c r="W28" s="166" t="s">
        <v>131</v>
      </c>
      <c r="X28" s="167">
        <v>1.355E-2</v>
      </c>
      <c r="Y28" s="142"/>
    </row>
    <row r="29" spans="2:25" ht="15" customHeight="1" x14ac:dyDescent="0.35">
      <c r="B29" s="79"/>
      <c r="F29" s="29"/>
      <c r="G29" s="29"/>
      <c r="H29" s="29"/>
      <c r="I29" s="29"/>
      <c r="J29" s="29"/>
      <c r="K29" s="29"/>
      <c r="L29" s="29"/>
      <c r="M29" s="29"/>
      <c r="N29" s="29"/>
      <c r="O29" s="29"/>
      <c r="P29" s="29"/>
      <c r="Q29" s="29"/>
      <c r="R29" s="29"/>
      <c r="S29" s="29"/>
      <c r="T29" s="22"/>
      <c r="W29" s="166" t="s">
        <v>82</v>
      </c>
      <c r="X29" s="167">
        <v>1.1467E-2</v>
      </c>
      <c r="Y29" s="142"/>
    </row>
    <row r="30" spans="2:25" ht="15" customHeight="1" x14ac:dyDescent="0.35">
      <c r="B30" s="79"/>
      <c r="F30" s="29"/>
      <c r="G30" s="29"/>
      <c r="H30" s="29"/>
      <c r="I30" s="29"/>
      <c r="J30" s="29"/>
      <c r="K30" s="29"/>
      <c r="L30" s="29"/>
      <c r="M30" s="29"/>
      <c r="N30" s="29"/>
      <c r="O30" s="29"/>
      <c r="P30" s="29"/>
      <c r="Q30" s="29"/>
      <c r="R30" s="29"/>
      <c r="S30" s="29"/>
      <c r="T30" s="22"/>
      <c r="W30" s="166" t="s">
        <v>116</v>
      </c>
      <c r="X30" s="167">
        <v>1.1370999999999999E-2</v>
      </c>
    </row>
    <row r="31" spans="2:25" ht="15" customHeight="1" x14ac:dyDescent="0.35">
      <c r="B31" s="79"/>
      <c r="F31" s="29"/>
      <c r="G31" s="29"/>
      <c r="H31" s="29"/>
      <c r="I31" s="29"/>
      <c r="J31" s="29"/>
      <c r="K31" s="29"/>
      <c r="L31" s="29"/>
      <c r="M31" s="29"/>
      <c r="N31" s="29"/>
      <c r="O31" s="29"/>
      <c r="P31" s="29"/>
      <c r="Q31" s="29"/>
      <c r="R31" s="29"/>
      <c r="S31" s="29"/>
      <c r="T31" s="22"/>
      <c r="W31" s="166" t="s">
        <v>122</v>
      </c>
      <c r="X31" s="167">
        <v>8.8579999999999996E-3</v>
      </c>
    </row>
    <row r="32" spans="2:25" ht="15" customHeight="1" x14ac:dyDescent="0.35">
      <c r="B32" s="79"/>
      <c r="F32" s="29"/>
      <c r="G32" s="29"/>
      <c r="H32" s="29"/>
      <c r="I32" s="29"/>
      <c r="J32" s="29"/>
      <c r="K32" s="29"/>
      <c r="L32" s="29"/>
      <c r="M32" s="29"/>
      <c r="N32" s="29"/>
      <c r="O32" s="29"/>
      <c r="P32" s="29"/>
      <c r="Q32" s="29"/>
      <c r="R32" s="29"/>
      <c r="S32" s="29"/>
      <c r="T32" s="22"/>
      <c r="W32" s="166" t="s">
        <v>13</v>
      </c>
      <c r="X32" s="167">
        <v>7.1830000000000001E-3</v>
      </c>
    </row>
    <row r="33" spans="2:24" ht="15" customHeight="1" x14ac:dyDescent="0.35">
      <c r="B33" s="79"/>
      <c r="F33" s="29"/>
      <c r="G33" s="29"/>
      <c r="H33" s="29"/>
      <c r="I33" s="29"/>
      <c r="J33" s="29"/>
      <c r="K33" s="29"/>
      <c r="L33" s="29"/>
      <c r="M33" s="29"/>
      <c r="N33" s="29"/>
      <c r="O33" s="29"/>
      <c r="P33" s="29"/>
      <c r="Q33" s="29"/>
      <c r="R33" s="29"/>
      <c r="S33" s="29"/>
      <c r="T33" s="22"/>
      <c r="W33" s="166" t="s">
        <v>321</v>
      </c>
      <c r="X33" s="167">
        <v>6.143E-3</v>
      </c>
    </row>
    <row r="34" spans="2:24" ht="15" customHeight="1" x14ac:dyDescent="0.35">
      <c r="B34" s="79"/>
      <c r="F34" s="29"/>
      <c r="G34" s="29"/>
      <c r="H34" s="29"/>
      <c r="I34" s="29"/>
      <c r="J34" s="29"/>
      <c r="K34" s="29"/>
      <c r="L34" s="29"/>
      <c r="M34" s="29"/>
      <c r="N34" s="29"/>
      <c r="O34" s="29"/>
      <c r="P34" s="29"/>
      <c r="Q34" s="29"/>
      <c r="R34" s="29"/>
      <c r="S34" s="29"/>
      <c r="T34" s="22"/>
      <c r="W34" s="166" t="s">
        <v>24</v>
      </c>
      <c r="X34" s="167">
        <v>2.8960000000000001E-3</v>
      </c>
    </row>
    <row r="35" spans="2:24" ht="15" customHeight="1" x14ac:dyDescent="0.35">
      <c r="B35" s="79"/>
      <c r="F35" s="29"/>
      <c r="G35" s="29"/>
      <c r="H35" s="29"/>
      <c r="I35" s="29"/>
      <c r="J35" s="29"/>
      <c r="K35" s="29"/>
      <c r="L35" s="29"/>
      <c r="M35" s="29"/>
      <c r="N35" s="29"/>
      <c r="O35" s="29"/>
      <c r="P35" s="29"/>
      <c r="Q35" s="29"/>
      <c r="R35" s="29"/>
      <c r="S35" s="29"/>
      <c r="T35" s="22"/>
      <c r="W35" s="166" t="s">
        <v>114</v>
      </c>
      <c r="X35" s="167">
        <v>2.5600000000000002E-3</v>
      </c>
    </row>
    <row r="36" spans="2:24" ht="15" customHeight="1" x14ac:dyDescent="0.35">
      <c r="B36" s="79"/>
      <c r="F36" s="29"/>
      <c r="G36" s="29"/>
      <c r="H36" s="29"/>
      <c r="I36" s="29"/>
      <c r="J36" s="29"/>
      <c r="K36" s="29"/>
      <c r="L36" s="29"/>
      <c r="M36" s="29"/>
      <c r="N36" s="29"/>
      <c r="O36" s="29"/>
      <c r="P36" s="29"/>
      <c r="Q36" s="29"/>
      <c r="R36" s="29"/>
      <c r="S36" s="29"/>
      <c r="T36" s="22"/>
      <c r="W36" s="166" t="s">
        <v>380</v>
      </c>
      <c r="X36" s="167">
        <v>2.5460000000000001E-3</v>
      </c>
    </row>
    <row r="37" spans="2:24" ht="15" customHeight="1" x14ac:dyDescent="0.35">
      <c r="B37" s="79"/>
      <c r="F37" s="29"/>
      <c r="G37" s="29"/>
      <c r="H37" s="29"/>
      <c r="I37" s="29"/>
      <c r="J37" s="29"/>
      <c r="K37" s="29"/>
      <c r="L37" s="29"/>
      <c r="M37" s="29"/>
      <c r="N37" s="29"/>
      <c r="O37" s="29"/>
      <c r="P37" s="29"/>
      <c r="Q37" s="29"/>
      <c r="R37" s="29"/>
      <c r="S37" s="29"/>
      <c r="T37" s="22"/>
      <c r="W37" s="166"/>
      <c r="X37" s="167"/>
    </row>
    <row r="38" spans="2:24" ht="15" customHeight="1" thickBot="1" x14ac:dyDescent="0.4">
      <c r="B38" s="80"/>
      <c r="C38" s="81"/>
      <c r="D38" s="81"/>
      <c r="E38" s="81"/>
      <c r="F38" s="81"/>
      <c r="G38" s="81"/>
      <c r="H38" s="81"/>
      <c r="I38" s="81"/>
      <c r="J38" s="81"/>
      <c r="K38" s="81"/>
      <c r="L38" s="81"/>
      <c r="M38" s="81"/>
      <c r="N38" s="81"/>
      <c r="O38" s="81"/>
      <c r="P38" s="81"/>
      <c r="Q38" s="81"/>
      <c r="R38" s="81"/>
      <c r="S38" s="81"/>
      <c r="T38" s="23"/>
      <c r="X38" s="167"/>
    </row>
    <row r="39" spans="2:24" ht="15" customHeight="1" thickBot="1" x14ac:dyDescent="0.4"/>
    <row r="40" spans="2:24" ht="15" customHeight="1" x14ac:dyDescent="0.35">
      <c r="B40" s="303" t="s">
        <v>179</v>
      </c>
      <c r="C40" s="304"/>
      <c r="D40" s="304"/>
      <c r="E40" s="304"/>
      <c r="F40" s="304"/>
      <c r="G40" s="304"/>
      <c r="H40" s="304"/>
      <c r="I40" s="304"/>
      <c r="J40" s="304"/>
      <c r="K40" s="304"/>
      <c r="L40" s="304"/>
      <c r="M40" s="304"/>
      <c r="N40" s="304"/>
      <c r="O40" s="304"/>
      <c r="P40" s="304"/>
      <c r="Q40" s="304"/>
      <c r="R40" s="305"/>
    </row>
    <row r="41" spans="2:24" ht="15" customHeight="1" x14ac:dyDescent="0.35">
      <c r="B41" s="306"/>
      <c r="C41" s="307"/>
      <c r="D41" s="307"/>
      <c r="E41" s="307"/>
      <c r="F41" s="307"/>
      <c r="G41" s="307"/>
      <c r="H41" s="307"/>
      <c r="I41" s="307"/>
      <c r="J41" s="307"/>
      <c r="K41" s="307"/>
      <c r="L41" s="307"/>
      <c r="M41" s="307"/>
      <c r="N41" s="307"/>
      <c r="O41" s="307"/>
      <c r="P41" s="307"/>
      <c r="Q41" s="307"/>
      <c r="R41" s="308"/>
    </row>
    <row r="42" spans="2:24" ht="15" customHeight="1" x14ac:dyDescent="0.35">
      <c r="B42" s="306"/>
      <c r="C42" s="307"/>
      <c r="D42" s="307"/>
      <c r="E42" s="307"/>
      <c r="F42" s="307"/>
      <c r="G42" s="307"/>
      <c r="H42" s="307"/>
      <c r="I42" s="307"/>
      <c r="J42" s="307"/>
      <c r="K42" s="307"/>
      <c r="L42" s="307"/>
      <c r="M42" s="307"/>
      <c r="N42" s="307"/>
      <c r="O42" s="307"/>
      <c r="P42" s="307"/>
      <c r="Q42" s="307"/>
      <c r="R42" s="308"/>
    </row>
    <row r="43" spans="2:24" ht="15" customHeight="1" x14ac:dyDescent="0.35">
      <c r="B43" s="306"/>
      <c r="C43" s="307"/>
      <c r="D43" s="307"/>
      <c r="E43" s="307"/>
      <c r="F43" s="307"/>
      <c r="G43" s="307"/>
      <c r="H43" s="307"/>
      <c r="I43" s="307"/>
      <c r="J43" s="307"/>
      <c r="K43" s="307"/>
      <c r="L43" s="307"/>
      <c r="M43" s="307"/>
      <c r="N43" s="307"/>
      <c r="O43" s="307"/>
      <c r="P43" s="307"/>
      <c r="Q43" s="307"/>
      <c r="R43" s="308"/>
    </row>
    <row r="44" spans="2:24" ht="15" customHeight="1" x14ac:dyDescent="0.35">
      <c r="B44" s="306"/>
      <c r="C44" s="307"/>
      <c r="D44" s="307"/>
      <c r="E44" s="307"/>
      <c r="F44" s="307"/>
      <c r="G44" s="307"/>
      <c r="H44" s="307"/>
      <c r="I44" s="307"/>
      <c r="J44" s="307"/>
      <c r="K44" s="307"/>
      <c r="L44" s="307"/>
      <c r="M44" s="307"/>
      <c r="N44" s="307"/>
      <c r="O44" s="307"/>
      <c r="P44" s="307"/>
      <c r="Q44" s="307"/>
      <c r="R44" s="308"/>
    </row>
    <row r="45" spans="2:24" ht="15" customHeight="1" x14ac:dyDescent="0.35">
      <c r="B45" s="306"/>
      <c r="C45" s="307"/>
      <c r="D45" s="307"/>
      <c r="E45" s="307"/>
      <c r="F45" s="307"/>
      <c r="G45" s="307"/>
      <c r="H45" s="307"/>
      <c r="I45" s="307"/>
      <c r="J45" s="307"/>
      <c r="K45" s="307"/>
      <c r="L45" s="307"/>
      <c r="M45" s="307"/>
      <c r="N45" s="307"/>
      <c r="O45" s="307"/>
      <c r="P45" s="307"/>
      <c r="Q45" s="307"/>
      <c r="R45" s="308"/>
    </row>
    <row r="46" spans="2:24" ht="15" customHeight="1" thickBot="1" x14ac:dyDescent="0.4">
      <c r="B46" s="309"/>
      <c r="C46" s="310"/>
      <c r="D46" s="310"/>
      <c r="E46" s="310"/>
      <c r="F46" s="310"/>
      <c r="G46" s="310"/>
      <c r="H46" s="310"/>
      <c r="I46" s="310"/>
      <c r="J46" s="310"/>
      <c r="K46" s="310"/>
      <c r="L46" s="310"/>
      <c r="M46" s="310"/>
      <c r="N46" s="310"/>
      <c r="O46" s="310"/>
      <c r="P46" s="310"/>
      <c r="Q46" s="310"/>
      <c r="R46" s="311"/>
    </row>
    <row r="47" spans="2:24" ht="15" customHeight="1" x14ac:dyDescent="0.35"/>
    <row r="48" spans="2:24" ht="15" customHeight="1" x14ac:dyDescent="0.35"/>
    <row r="49" ht="15" customHeight="1" x14ac:dyDescent="0.35"/>
    <row r="50" ht="15" customHeight="1" x14ac:dyDescent="0.35"/>
    <row r="51" ht="15" customHeight="1" x14ac:dyDescent="0.35"/>
    <row r="52" ht="15" customHeight="1" x14ac:dyDescent="0.35"/>
    <row r="53" ht="15" customHeight="1" x14ac:dyDescent="0.35"/>
    <row r="54" ht="15" customHeight="1" x14ac:dyDescent="0.35"/>
    <row r="55" ht="15" customHeight="1" x14ac:dyDescent="0.35"/>
    <row r="56" ht="15" customHeight="1" x14ac:dyDescent="0.35"/>
    <row r="57" ht="15" customHeight="1" x14ac:dyDescent="0.35"/>
    <row r="58" ht="15" customHeight="1" x14ac:dyDescent="0.35"/>
    <row r="59" ht="15" customHeight="1" x14ac:dyDescent="0.35"/>
    <row r="60" ht="15" customHeight="1" x14ac:dyDescent="0.35"/>
    <row r="61" ht="15" customHeight="1" x14ac:dyDescent="0.35"/>
    <row r="62" ht="15" customHeight="1" x14ac:dyDescent="0.35"/>
    <row r="63" ht="15" customHeight="1" x14ac:dyDescent="0.35"/>
    <row r="64" ht="15" customHeight="1" x14ac:dyDescent="0.35"/>
    <row r="65" ht="15" customHeight="1" x14ac:dyDescent="0.35"/>
  </sheetData>
  <sortState ref="W8:X29">
    <sortCondition descending="1" ref="X8:X29"/>
  </sortState>
  <mergeCells count="3">
    <mergeCell ref="C3:S3"/>
    <mergeCell ref="D5:E5"/>
    <mergeCell ref="B40:R46"/>
  </mergeCells>
  <pageMargins left="0.7" right="0.7" top="0.75" bottom="0.75" header="0.3" footer="0.3"/>
  <pageSetup orientation="portrait"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25">
    <pageSetUpPr fitToPage="1"/>
  </sheetPr>
  <dimension ref="A1:AA1497"/>
  <sheetViews>
    <sheetView showGridLines="0" zoomScale="75" zoomScaleNormal="75" workbookViewId="0"/>
  </sheetViews>
  <sheetFormatPr defaultColWidth="9.1796875" defaultRowHeight="15.5" x14ac:dyDescent="0.35"/>
  <cols>
    <col min="1" max="1" width="2.81640625" style="3" customWidth="1"/>
    <col min="2" max="2" width="3.81640625" style="3" customWidth="1"/>
    <col min="3" max="3" width="62.54296875" style="3" customWidth="1"/>
    <col min="4" max="4" width="21.81640625" style="3" customWidth="1"/>
    <col min="5" max="5" width="16.7265625" style="3" customWidth="1"/>
    <col min="6" max="6" width="3.81640625" style="3" customWidth="1"/>
    <col min="7" max="7" width="4.54296875" style="3" customWidth="1"/>
    <col min="8" max="8" width="14.54296875" style="3" bestFit="1" customWidth="1"/>
    <col min="9" max="10" width="9.1796875" style="3"/>
    <col min="11" max="11" width="9.81640625" style="3" bestFit="1" customWidth="1"/>
    <col min="12" max="15" width="9.1796875" style="3"/>
    <col min="16" max="16" width="2.81640625" style="3" customWidth="1"/>
    <col min="17" max="17" width="10.26953125" style="3" customWidth="1"/>
    <col min="18" max="18" width="9.453125" style="3" customWidth="1"/>
    <col min="19" max="19" width="9.26953125" style="3" bestFit="1" customWidth="1"/>
    <col min="20" max="21" width="9.1796875" style="3"/>
    <col min="22" max="22" width="10.54296875" style="3" bestFit="1" customWidth="1"/>
    <col min="23" max="16384" width="9.1796875" style="3"/>
  </cols>
  <sheetData>
    <row r="1" spans="2:27" ht="16" thickBot="1" x14ac:dyDescent="0.4"/>
    <row r="2" spans="2:27" x14ac:dyDescent="0.35">
      <c r="B2" s="91"/>
      <c r="C2" s="42"/>
      <c r="D2" s="42"/>
      <c r="E2" s="42"/>
      <c r="F2" s="42"/>
      <c r="G2" s="42"/>
      <c r="H2" s="42"/>
      <c r="I2" s="42"/>
      <c r="J2" s="42"/>
      <c r="K2" s="42"/>
      <c r="L2" s="42"/>
      <c r="M2" s="42"/>
      <c r="N2" s="42"/>
      <c r="O2" s="42"/>
      <c r="P2" s="42"/>
      <c r="Q2" s="92"/>
    </row>
    <row r="3" spans="2:27" ht="20.25" customHeight="1" x14ac:dyDescent="0.35">
      <c r="B3" s="93"/>
      <c r="C3" s="297" t="s">
        <v>159</v>
      </c>
      <c r="D3" s="297"/>
      <c r="E3" s="297"/>
      <c r="F3" s="297"/>
      <c r="G3" s="297"/>
      <c r="H3" s="297"/>
      <c r="I3" s="297"/>
      <c r="J3" s="297"/>
      <c r="K3" s="297"/>
      <c r="L3" s="297"/>
      <c r="M3" s="297"/>
      <c r="N3" s="297"/>
      <c r="O3" s="297"/>
      <c r="P3" s="297"/>
      <c r="Q3" s="20"/>
    </row>
    <row r="4" spans="2:27" x14ac:dyDescent="0.35">
      <c r="B4" s="93"/>
      <c r="C4" s="67" t="s">
        <v>434</v>
      </c>
      <c r="D4" s="5"/>
      <c r="E4" s="5"/>
      <c r="F4" s="5"/>
      <c r="G4" s="5"/>
      <c r="H4" s="5"/>
      <c r="I4" s="5"/>
      <c r="J4" s="5"/>
      <c r="K4" s="5"/>
      <c r="L4" s="5"/>
      <c r="M4" s="5"/>
      <c r="N4" s="5"/>
      <c r="O4" s="5"/>
      <c r="P4" s="5"/>
      <c r="Q4" s="20"/>
    </row>
    <row r="5" spans="2:27" ht="20" x14ac:dyDescent="0.35">
      <c r="B5" s="93"/>
      <c r="C5" s="211" t="s">
        <v>435</v>
      </c>
      <c r="D5" s="314" t="s">
        <v>406</v>
      </c>
      <c r="E5" s="314"/>
      <c r="F5" s="5"/>
      <c r="G5" s="5"/>
      <c r="H5" s="5"/>
      <c r="I5" s="5"/>
      <c r="J5" s="5"/>
      <c r="K5" s="5"/>
      <c r="L5" s="5"/>
      <c r="M5" s="5"/>
      <c r="N5" s="5"/>
      <c r="O5" s="5"/>
      <c r="P5" s="5"/>
      <c r="Q5" s="20"/>
    </row>
    <row r="6" spans="2:27" x14ac:dyDescent="0.35">
      <c r="B6" s="93"/>
      <c r="C6" s="5"/>
      <c r="D6" s="5"/>
      <c r="E6" s="5"/>
      <c r="F6" s="5"/>
      <c r="G6" s="5"/>
      <c r="H6" s="5"/>
      <c r="I6" s="5"/>
      <c r="J6" s="5"/>
      <c r="K6" s="5"/>
      <c r="L6" s="5"/>
      <c r="M6" s="5"/>
      <c r="N6" s="5"/>
      <c r="O6" s="5"/>
      <c r="P6" s="5"/>
      <c r="Q6" s="20"/>
      <c r="R6" s="2"/>
      <c r="S6" s="2"/>
      <c r="T6" s="1"/>
    </row>
    <row r="7" spans="2:27" ht="32.25" customHeight="1" x14ac:dyDescent="0.35">
      <c r="B7" s="93"/>
      <c r="C7" s="160" t="s">
        <v>0</v>
      </c>
      <c r="D7" s="95" t="s">
        <v>1</v>
      </c>
      <c r="E7" s="117" t="s">
        <v>2</v>
      </c>
      <c r="F7" s="5"/>
      <c r="G7" s="5"/>
      <c r="H7" s="5"/>
      <c r="I7" s="5"/>
      <c r="J7" s="5"/>
      <c r="K7" s="5"/>
      <c r="L7" s="5"/>
      <c r="M7" s="5"/>
      <c r="N7" s="5"/>
      <c r="O7" s="5"/>
      <c r="P7" s="5"/>
      <c r="Q7" s="20"/>
      <c r="R7" s="12" t="s">
        <v>38</v>
      </c>
      <c r="S7" s="12" t="s">
        <v>160</v>
      </c>
      <c r="T7" s="164"/>
      <c r="U7" s="274"/>
    </row>
    <row r="8" spans="2:27" x14ac:dyDescent="0.35">
      <c r="B8" s="93"/>
      <c r="C8" s="102"/>
      <c r="D8" s="38"/>
      <c r="E8" s="208"/>
      <c r="F8" s="5"/>
      <c r="G8" s="5"/>
      <c r="H8" s="5"/>
      <c r="I8" s="5"/>
      <c r="J8" s="5"/>
      <c r="K8" s="5"/>
      <c r="L8" s="5"/>
      <c r="M8" s="5"/>
      <c r="N8" s="5"/>
      <c r="O8" s="5"/>
      <c r="P8" s="5"/>
      <c r="Q8" s="20"/>
      <c r="R8" s="12" t="s">
        <v>39</v>
      </c>
      <c r="S8" s="13">
        <f>E9</f>
        <v>0.66547599999999996</v>
      </c>
      <c r="T8" s="164"/>
      <c r="U8" s="274"/>
      <c r="V8" s="56"/>
      <c r="W8" s="57"/>
      <c r="Z8" s="43"/>
      <c r="AA8" s="43"/>
    </row>
    <row r="9" spans="2:27" x14ac:dyDescent="0.35">
      <c r="B9" s="93"/>
      <c r="C9" s="122" t="s">
        <v>39</v>
      </c>
      <c r="D9" s="119"/>
      <c r="E9" s="182">
        <v>0.66547599999999996</v>
      </c>
      <c r="F9" s="47"/>
      <c r="G9" s="5"/>
      <c r="H9" s="5"/>
      <c r="I9" s="5"/>
      <c r="J9" s="5"/>
      <c r="K9" s="5"/>
      <c r="L9" s="5"/>
      <c r="M9" s="5"/>
      <c r="N9" s="5"/>
      <c r="O9" s="5"/>
      <c r="P9" s="5"/>
      <c r="Q9" s="20"/>
      <c r="R9" s="12" t="s">
        <v>40</v>
      </c>
      <c r="S9" s="13">
        <f>100%-S8</f>
        <v>0.33452400000000004</v>
      </c>
      <c r="T9" s="164"/>
      <c r="U9" s="274"/>
      <c r="V9" s="56"/>
      <c r="W9" s="57"/>
      <c r="Z9" s="43"/>
      <c r="AA9" s="43"/>
    </row>
    <row r="10" spans="2:27" x14ac:dyDescent="0.35">
      <c r="B10" s="93"/>
      <c r="C10" s="102"/>
      <c r="D10" s="38"/>
      <c r="E10" s="207"/>
      <c r="F10" s="47"/>
      <c r="G10" s="5"/>
      <c r="H10" s="5"/>
      <c r="I10" s="5"/>
      <c r="J10" s="5"/>
      <c r="K10" s="5"/>
      <c r="L10" s="5"/>
      <c r="M10" s="5"/>
      <c r="N10" s="5"/>
      <c r="O10" s="5"/>
      <c r="P10" s="5"/>
      <c r="Q10" s="20"/>
      <c r="R10" s="165"/>
      <c r="S10" s="164"/>
      <c r="T10" s="164"/>
      <c r="U10" s="274"/>
      <c r="V10" s="56"/>
      <c r="W10" s="57"/>
      <c r="Z10" s="43"/>
      <c r="AA10" s="43"/>
    </row>
    <row r="11" spans="2:27" x14ac:dyDescent="0.35">
      <c r="B11" s="93"/>
      <c r="C11" s="122" t="s">
        <v>41</v>
      </c>
      <c r="D11" s="119"/>
      <c r="E11" s="182">
        <v>4.9079999999999999E-2</v>
      </c>
      <c r="F11" s="47"/>
      <c r="G11" s="5"/>
      <c r="H11" s="5"/>
      <c r="I11" s="5"/>
      <c r="J11" s="5"/>
      <c r="K11" s="5"/>
      <c r="L11" s="5"/>
      <c r="M11" s="5"/>
      <c r="N11" s="5"/>
      <c r="O11" s="5"/>
      <c r="P11" s="5"/>
      <c r="Q11" s="20"/>
      <c r="R11" s="14"/>
      <c r="S11" s="1"/>
      <c r="T11" s="1"/>
      <c r="U11" s="274"/>
      <c r="V11" s="56"/>
      <c r="W11" s="57"/>
    </row>
    <row r="12" spans="2:27" x14ac:dyDescent="0.35">
      <c r="B12" s="93"/>
      <c r="C12" s="102"/>
      <c r="D12" s="38"/>
      <c r="E12" s="213"/>
      <c r="F12" s="47"/>
      <c r="G12" s="5"/>
      <c r="H12" s="5"/>
      <c r="I12" s="5"/>
      <c r="J12" s="5"/>
      <c r="K12" s="5"/>
      <c r="L12" s="5"/>
      <c r="M12" s="5"/>
      <c r="N12" s="5"/>
      <c r="O12" s="5"/>
      <c r="P12" s="5"/>
      <c r="Q12" s="20"/>
      <c r="R12" s="14"/>
      <c r="S12" s="1"/>
      <c r="T12" s="1"/>
      <c r="U12" s="274"/>
      <c r="V12" s="56"/>
      <c r="W12" s="57"/>
    </row>
    <row r="13" spans="2:27" x14ac:dyDescent="0.35">
      <c r="B13" s="93"/>
      <c r="C13" s="122" t="s">
        <v>42</v>
      </c>
      <c r="D13" s="119"/>
      <c r="E13" s="182">
        <v>5.7700000000000004E-4</v>
      </c>
      <c r="F13" s="47"/>
      <c r="G13" s="5"/>
      <c r="H13" s="5"/>
      <c r="I13" s="5"/>
      <c r="J13" s="5"/>
      <c r="K13" s="5"/>
      <c r="L13" s="5"/>
      <c r="M13" s="5"/>
      <c r="N13" s="5"/>
      <c r="O13" s="5"/>
      <c r="P13" s="5"/>
      <c r="Q13" s="20"/>
      <c r="R13" s="275"/>
      <c r="S13" s="274"/>
      <c r="T13" s="274"/>
      <c r="U13" s="274"/>
      <c r="V13" s="56"/>
      <c r="W13" s="57"/>
    </row>
    <row r="14" spans="2:27" x14ac:dyDescent="0.35">
      <c r="B14" s="93"/>
      <c r="C14" s="102"/>
      <c r="D14" s="38"/>
      <c r="E14" s="213"/>
      <c r="F14" s="47"/>
      <c r="G14" s="5"/>
      <c r="H14" s="5"/>
      <c r="I14" s="5"/>
      <c r="J14" s="5"/>
      <c r="K14" s="5"/>
      <c r="L14" s="5"/>
      <c r="M14" s="5"/>
      <c r="N14" s="5"/>
      <c r="O14" s="5"/>
      <c r="P14" s="5"/>
      <c r="Q14" s="20"/>
      <c r="R14" s="275"/>
      <c r="S14" s="274"/>
      <c r="T14" s="274"/>
      <c r="U14" s="274"/>
      <c r="V14" s="56"/>
      <c r="W14" s="57"/>
    </row>
    <row r="15" spans="2:27" x14ac:dyDescent="0.35">
      <c r="B15" s="93"/>
      <c r="C15" s="122" t="s">
        <v>344</v>
      </c>
      <c r="D15" s="119"/>
      <c r="E15" s="182">
        <v>1.9132E-2</v>
      </c>
      <c r="F15" s="47"/>
      <c r="G15" s="5"/>
      <c r="H15" s="5"/>
      <c r="I15" s="5"/>
      <c r="J15" s="5"/>
      <c r="K15" s="5"/>
      <c r="L15" s="5"/>
      <c r="M15" s="5"/>
      <c r="N15" s="5"/>
      <c r="O15" s="5"/>
      <c r="P15" s="5"/>
      <c r="Q15" s="20"/>
      <c r="R15" s="275"/>
      <c r="S15" s="274"/>
      <c r="T15" s="274"/>
      <c r="U15" s="274"/>
      <c r="V15" s="56"/>
      <c r="W15" s="57"/>
    </row>
    <row r="16" spans="2:27" x14ac:dyDescent="0.35">
      <c r="B16" s="93"/>
      <c r="C16" s="102"/>
      <c r="D16" s="38"/>
      <c r="E16" s="213"/>
      <c r="F16" s="47"/>
      <c r="G16" s="5"/>
      <c r="H16" s="5"/>
      <c r="I16" s="5"/>
      <c r="J16" s="5"/>
      <c r="K16" s="5"/>
      <c r="L16" s="5"/>
      <c r="M16" s="5"/>
      <c r="N16" s="5"/>
      <c r="O16" s="5"/>
      <c r="P16" s="5"/>
      <c r="Q16" s="20"/>
      <c r="R16" s="49"/>
      <c r="V16" s="56"/>
      <c r="W16" s="57"/>
    </row>
    <row r="17" spans="2:18" x14ac:dyDescent="0.35">
      <c r="B17" s="93"/>
      <c r="C17" s="122" t="s">
        <v>436</v>
      </c>
      <c r="D17" s="119"/>
      <c r="E17" s="182">
        <v>6.2630000000000003E-3</v>
      </c>
      <c r="F17" s="47"/>
      <c r="G17" s="29"/>
      <c r="H17" s="29"/>
      <c r="I17" s="29"/>
      <c r="J17" s="29"/>
      <c r="K17" s="29"/>
      <c r="L17" s="29"/>
      <c r="M17" s="29"/>
      <c r="N17" s="29"/>
      <c r="O17" s="29"/>
      <c r="P17" s="29"/>
      <c r="Q17" s="20"/>
      <c r="R17" s="49"/>
    </row>
    <row r="18" spans="2:18" x14ac:dyDescent="0.35">
      <c r="B18" s="93"/>
      <c r="C18" s="102"/>
      <c r="D18" s="38"/>
      <c r="E18" s="213"/>
      <c r="F18" s="5"/>
      <c r="G18" s="29"/>
      <c r="H18" s="29"/>
      <c r="I18" s="29"/>
      <c r="J18" s="29"/>
      <c r="K18" s="29"/>
      <c r="L18" s="29"/>
      <c r="M18" s="29"/>
      <c r="N18" s="29"/>
      <c r="O18" s="29"/>
      <c r="P18" s="29"/>
      <c r="Q18" s="20"/>
      <c r="R18" s="49"/>
    </row>
    <row r="19" spans="2:18" x14ac:dyDescent="0.35">
      <c r="B19" s="93"/>
      <c r="C19" s="122" t="s">
        <v>295</v>
      </c>
      <c r="D19" s="119"/>
      <c r="E19" s="182">
        <v>3.5850000000000001E-3</v>
      </c>
      <c r="F19" s="141"/>
      <c r="G19" s="5"/>
      <c r="H19" s="5"/>
      <c r="I19" s="5"/>
      <c r="J19" s="5"/>
      <c r="K19" s="5"/>
      <c r="L19" s="5"/>
      <c r="M19" s="5"/>
      <c r="N19" s="5"/>
      <c r="O19" s="5"/>
      <c r="P19" s="5"/>
      <c r="Q19" s="20"/>
      <c r="R19" s="49"/>
    </row>
    <row r="20" spans="2:18" x14ac:dyDescent="0.35">
      <c r="B20" s="93"/>
      <c r="C20" s="102"/>
      <c r="D20" s="38"/>
      <c r="E20" s="213"/>
      <c r="F20" s="5"/>
      <c r="G20" s="5"/>
      <c r="H20" s="5"/>
      <c r="I20" s="5"/>
      <c r="J20" s="5"/>
      <c r="K20" s="5"/>
      <c r="L20" s="5"/>
      <c r="M20" s="5"/>
      <c r="N20" s="5"/>
      <c r="O20" s="5"/>
      <c r="P20" s="5"/>
      <c r="Q20" s="20"/>
      <c r="R20" s="49"/>
    </row>
    <row r="21" spans="2:18" x14ac:dyDescent="0.35">
      <c r="B21" s="93"/>
      <c r="C21" s="102" t="s">
        <v>214</v>
      </c>
      <c r="D21" s="38"/>
      <c r="E21" s="219">
        <v>0.115552</v>
      </c>
      <c r="F21" s="5"/>
      <c r="G21" s="5"/>
      <c r="H21" s="5"/>
      <c r="I21" s="5"/>
      <c r="J21" s="5"/>
      <c r="K21" s="5"/>
      <c r="L21" s="5"/>
      <c r="M21" s="5"/>
      <c r="N21" s="5"/>
      <c r="O21" s="5"/>
      <c r="P21" s="5"/>
      <c r="Q21" s="20"/>
      <c r="R21" s="49"/>
    </row>
    <row r="22" spans="2:18" x14ac:dyDescent="0.35">
      <c r="B22" s="93"/>
      <c r="C22" s="102" t="s">
        <v>172</v>
      </c>
      <c r="D22" s="38"/>
      <c r="E22" s="219">
        <v>7.4177000000000007E-2</v>
      </c>
      <c r="F22" s="5"/>
      <c r="G22" s="5"/>
      <c r="H22" s="5"/>
      <c r="I22" s="5"/>
      <c r="J22" s="5"/>
      <c r="K22" s="5"/>
      <c r="L22" s="5"/>
      <c r="M22" s="5"/>
      <c r="N22" s="5"/>
      <c r="O22" s="5"/>
      <c r="P22" s="5"/>
      <c r="Q22" s="20"/>
      <c r="R22" s="49"/>
    </row>
    <row r="23" spans="2:18" x14ac:dyDescent="0.35">
      <c r="B23" s="93"/>
      <c r="C23" s="102" t="s">
        <v>437</v>
      </c>
      <c r="D23" s="38"/>
      <c r="E23" s="219">
        <v>4.9362000000000003E-2</v>
      </c>
      <c r="F23" s="5"/>
      <c r="G23" s="5"/>
      <c r="H23" s="5"/>
      <c r="I23" s="5"/>
      <c r="J23" s="5"/>
      <c r="K23" s="5"/>
      <c r="L23" s="5"/>
      <c r="M23" s="5"/>
      <c r="N23" s="5"/>
      <c r="O23" s="5"/>
      <c r="P23" s="5"/>
      <c r="Q23" s="20"/>
      <c r="R23" s="49"/>
    </row>
    <row r="24" spans="2:18" x14ac:dyDescent="0.35">
      <c r="B24" s="93"/>
      <c r="C24" s="102" t="s">
        <v>355</v>
      </c>
      <c r="D24" s="38"/>
      <c r="E24" s="219">
        <v>5.8510000000000003E-3</v>
      </c>
      <c r="F24" s="5"/>
      <c r="G24" s="5"/>
      <c r="H24" s="5"/>
      <c r="I24" s="5"/>
      <c r="J24" s="5"/>
      <c r="K24" s="5"/>
      <c r="L24" s="5"/>
      <c r="M24" s="5"/>
      <c r="N24" s="5"/>
      <c r="O24" s="5"/>
      <c r="P24" s="5"/>
      <c r="Q24" s="20"/>
      <c r="R24" s="49"/>
    </row>
    <row r="25" spans="2:18" x14ac:dyDescent="0.35">
      <c r="B25" s="93"/>
      <c r="C25" s="122" t="s">
        <v>213</v>
      </c>
      <c r="D25" s="119"/>
      <c r="E25" s="182">
        <v>0.24494199999999999</v>
      </c>
      <c r="F25" s="5"/>
      <c r="G25" s="5"/>
      <c r="H25" s="5"/>
      <c r="I25" s="5"/>
      <c r="J25" s="5"/>
      <c r="K25" s="5"/>
      <c r="L25" s="5"/>
      <c r="M25" s="5"/>
      <c r="N25" s="5"/>
      <c r="O25" s="5"/>
      <c r="P25" s="5"/>
      <c r="Q25" s="20"/>
      <c r="R25" s="49"/>
    </row>
    <row r="26" spans="2:18" x14ac:dyDescent="0.35">
      <c r="B26" s="93"/>
      <c r="C26" s="102"/>
      <c r="D26" s="38"/>
      <c r="E26" s="207"/>
      <c r="F26" s="5"/>
      <c r="G26" s="5"/>
      <c r="H26" s="5"/>
      <c r="I26" s="5"/>
      <c r="J26" s="5"/>
      <c r="K26" s="5"/>
      <c r="L26" s="5"/>
      <c r="M26" s="5"/>
      <c r="N26" s="5"/>
      <c r="O26" s="5"/>
      <c r="P26" s="5"/>
      <c r="Q26" s="20"/>
      <c r="R26" s="49"/>
    </row>
    <row r="27" spans="2:18" x14ac:dyDescent="0.35">
      <c r="B27" s="93"/>
      <c r="C27" s="122" t="s">
        <v>20</v>
      </c>
      <c r="D27" s="119"/>
      <c r="E27" s="206">
        <v>1.0945000000000074E-2</v>
      </c>
      <c r="F27" s="5"/>
      <c r="G27" s="5"/>
      <c r="H27" s="5"/>
      <c r="I27" s="5"/>
      <c r="J27" s="5"/>
      <c r="K27" s="5"/>
      <c r="L27" s="5"/>
      <c r="M27" s="5"/>
      <c r="N27" s="5"/>
      <c r="O27" s="5"/>
      <c r="P27" s="5"/>
      <c r="Q27" s="20"/>
      <c r="R27" s="49"/>
    </row>
    <row r="28" spans="2:18" x14ac:dyDescent="0.35">
      <c r="B28" s="93"/>
      <c r="C28" s="102"/>
      <c r="D28" s="38"/>
      <c r="E28" s="207"/>
      <c r="F28" s="141"/>
      <c r="G28" s="5"/>
      <c r="H28" s="5"/>
      <c r="I28" s="5"/>
      <c r="J28" s="5"/>
      <c r="K28" s="5"/>
      <c r="L28" s="5"/>
      <c r="M28" s="5"/>
      <c r="N28" s="5"/>
      <c r="O28" s="5"/>
      <c r="P28" s="5"/>
      <c r="Q28" s="20"/>
      <c r="R28" s="49"/>
    </row>
    <row r="29" spans="2:18" x14ac:dyDescent="0.35">
      <c r="B29" s="93"/>
      <c r="C29" s="204" t="s">
        <v>21</v>
      </c>
      <c r="D29" s="214"/>
      <c r="E29" s="209">
        <f>E27+E25+E19+E17+E15+E13+E11+E9</f>
        <v>1</v>
      </c>
      <c r="F29" s="5"/>
      <c r="G29" s="5"/>
      <c r="H29" s="5"/>
      <c r="I29" s="5"/>
      <c r="J29" s="5"/>
      <c r="K29" s="5"/>
      <c r="L29" s="5"/>
      <c r="M29" s="5"/>
      <c r="N29" s="5"/>
      <c r="O29" s="5"/>
      <c r="P29" s="5"/>
      <c r="Q29" s="20"/>
      <c r="R29" s="49"/>
    </row>
    <row r="30" spans="2:18" x14ac:dyDescent="0.35">
      <c r="B30" s="93"/>
      <c r="F30" s="5"/>
      <c r="G30" s="5"/>
      <c r="H30" s="5"/>
      <c r="I30" s="5"/>
      <c r="J30" s="5"/>
      <c r="K30" s="5"/>
      <c r="L30" s="5"/>
      <c r="M30" s="5"/>
      <c r="N30" s="5"/>
      <c r="O30" s="5"/>
      <c r="P30" s="5"/>
      <c r="Q30" s="20"/>
      <c r="R30" s="49"/>
    </row>
    <row r="31" spans="2:18" x14ac:dyDescent="0.35">
      <c r="B31" s="93"/>
      <c r="F31" s="5"/>
      <c r="G31" s="5"/>
      <c r="H31" s="5"/>
      <c r="I31" s="5"/>
      <c r="J31" s="5"/>
      <c r="K31" s="5"/>
      <c r="L31" s="5"/>
      <c r="M31" s="5"/>
      <c r="N31" s="5"/>
      <c r="O31" s="5"/>
      <c r="P31" s="5"/>
      <c r="Q31" s="20"/>
      <c r="R31" s="49"/>
    </row>
    <row r="32" spans="2:18" x14ac:dyDescent="0.35">
      <c r="B32" s="93"/>
      <c r="F32" s="5"/>
      <c r="G32" s="5"/>
      <c r="H32" s="5"/>
      <c r="I32" s="5"/>
      <c r="J32" s="5"/>
      <c r="K32" s="5"/>
      <c r="L32" s="5"/>
      <c r="M32" s="5"/>
      <c r="N32" s="5"/>
      <c r="O32" s="5"/>
      <c r="P32" s="5"/>
      <c r="Q32" s="20"/>
      <c r="R32" s="49"/>
    </row>
    <row r="33" spans="1:27" x14ac:dyDescent="0.35">
      <c r="B33" s="93"/>
      <c r="F33" s="5"/>
      <c r="G33" s="5"/>
      <c r="H33" s="5"/>
      <c r="I33" s="5"/>
      <c r="J33" s="5"/>
      <c r="K33" s="5"/>
      <c r="L33" s="5"/>
      <c r="M33" s="5"/>
      <c r="N33" s="5"/>
      <c r="O33" s="5"/>
      <c r="P33" s="5"/>
      <c r="Q33" s="20"/>
      <c r="R33" s="49"/>
    </row>
    <row r="34" spans="1:27" x14ac:dyDescent="0.35">
      <c r="B34" s="93"/>
      <c r="F34" s="5"/>
      <c r="G34" s="5"/>
      <c r="H34" s="5"/>
      <c r="I34" s="5"/>
      <c r="J34" s="5"/>
      <c r="K34" s="5"/>
      <c r="L34" s="5"/>
      <c r="M34" s="5"/>
      <c r="N34" s="5"/>
      <c r="O34" s="5"/>
      <c r="P34" s="5"/>
      <c r="Q34" s="20"/>
      <c r="R34" s="49"/>
    </row>
    <row r="35" spans="1:27" ht="16" thickBot="1" x14ac:dyDescent="0.4">
      <c r="A35" s="5"/>
      <c r="B35" s="96"/>
      <c r="C35" s="45"/>
      <c r="D35" s="45"/>
      <c r="E35" s="45"/>
      <c r="F35" s="45"/>
      <c r="G35" s="45"/>
      <c r="H35" s="45"/>
      <c r="I35" s="45"/>
      <c r="J35" s="45"/>
      <c r="K35" s="45"/>
      <c r="L35" s="45"/>
      <c r="M35" s="45"/>
      <c r="N35" s="45"/>
      <c r="O35" s="45"/>
      <c r="P35" s="45"/>
      <c r="Q35" s="116"/>
      <c r="R35" s="50"/>
      <c r="S35" s="5"/>
      <c r="T35" s="5"/>
      <c r="U35" s="5"/>
      <c r="V35" s="5"/>
      <c r="W35" s="5"/>
      <c r="X35" s="5"/>
      <c r="Y35" s="5"/>
      <c r="Z35" s="5"/>
      <c r="AA35" s="5"/>
    </row>
    <row r="36" spans="1:27" ht="16" thickBot="1" x14ac:dyDescent="0.4">
      <c r="A36" s="5"/>
      <c r="B36" s="5"/>
      <c r="C36" s="5"/>
      <c r="D36" s="5"/>
      <c r="E36" s="5"/>
      <c r="F36" s="5"/>
      <c r="G36" s="5"/>
      <c r="H36" s="5"/>
      <c r="I36" s="5"/>
      <c r="J36" s="5"/>
      <c r="K36" s="5"/>
      <c r="L36" s="5"/>
      <c r="M36" s="5"/>
      <c r="N36" s="5"/>
      <c r="O36" s="5"/>
      <c r="P36" s="5"/>
      <c r="Q36" s="5"/>
      <c r="R36" s="50"/>
      <c r="S36" s="5"/>
      <c r="T36" s="5"/>
      <c r="U36" s="5"/>
      <c r="V36" s="5"/>
      <c r="W36" s="5"/>
      <c r="X36" s="5"/>
      <c r="Y36" s="5"/>
      <c r="Z36" s="5"/>
      <c r="AA36" s="5"/>
    </row>
    <row r="37" spans="1:27" ht="15" customHeight="1" x14ac:dyDescent="0.35">
      <c r="A37" s="5"/>
      <c r="B37" s="303" t="s">
        <v>179</v>
      </c>
      <c r="C37" s="304"/>
      <c r="D37" s="304"/>
      <c r="E37" s="304"/>
      <c r="F37" s="304"/>
      <c r="G37" s="304"/>
      <c r="H37" s="304"/>
      <c r="I37" s="304"/>
      <c r="J37" s="304"/>
      <c r="K37" s="304"/>
      <c r="L37" s="304"/>
      <c r="M37" s="304"/>
      <c r="N37" s="304"/>
      <c r="O37" s="304"/>
      <c r="P37" s="304"/>
      <c r="Q37" s="304"/>
      <c r="R37" s="305"/>
      <c r="S37" s="5"/>
      <c r="T37" s="5"/>
      <c r="U37" s="5"/>
      <c r="V37" s="5"/>
      <c r="W37" s="5"/>
      <c r="X37" s="5"/>
      <c r="Y37" s="5"/>
      <c r="Z37" s="5"/>
      <c r="AA37" s="5"/>
    </row>
    <row r="38" spans="1:27" x14ac:dyDescent="0.35">
      <c r="A38" s="5"/>
      <c r="B38" s="306"/>
      <c r="C38" s="307"/>
      <c r="D38" s="307"/>
      <c r="E38" s="307"/>
      <c r="F38" s="307"/>
      <c r="G38" s="307"/>
      <c r="H38" s="307"/>
      <c r="I38" s="307"/>
      <c r="J38" s="307"/>
      <c r="K38" s="307"/>
      <c r="L38" s="307"/>
      <c r="M38" s="307"/>
      <c r="N38" s="307"/>
      <c r="O38" s="307"/>
      <c r="P38" s="307"/>
      <c r="Q38" s="307"/>
      <c r="R38" s="308"/>
      <c r="S38" s="5"/>
      <c r="T38" s="5"/>
      <c r="U38" s="5"/>
      <c r="V38" s="5"/>
      <c r="W38" s="5"/>
      <c r="X38" s="5"/>
      <c r="Y38" s="5"/>
      <c r="Z38" s="5"/>
      <c r="AA38" s="5"/>
    </row>
    <row r="39" spans="1:27" x14ac:dyDescent="0.35">
      <c r="A39" s="5"/>
      <c r="B39" s="306"/>
      <c r="C39" s="307"/>
      <c r="D39" s="307"/>
      <c r="E39" s="307"/>
      <c r="F39" s="307"/>
      <c r="G39" s="307"/>
      <c r="H39" s="307"/>
      <c r="I39" s="307"/>
      <c r="J39" s="307"/>
      <c r="K39" s="307"/>
      <c r="L39" s="307"/>
      <c r="M39" s="307"/>
      <c r="N39" s="307"/>
      <c r="O39" s="307"/>
      <c r="P39" s="307"/>
      <c r="Q39" s="307"/>
      <c r="R39" s="308"/>
      <c r="S39" s="5"/>
      <c r="T39" s="5"/>
      <c r="U39" s="5"/>
      <c r="V39" s="5"/>
      <c r="W39" s="5"/>
      <c r="X39" s="5"/>
      <c r="Y39" s="5"/>
      <c r="Z39" s="5"/>
      <c r="AA39" s="5"/>
    </row>
    <row r="40" spans="1:27" x14ac:dyDescent="0.35">
      <c r="A40" s="5"/>
      <c r="B40" s="306"/>
      <c r="C40" s="307"/>
      <c r="D40" s="307"/>
      <c r="E40" s="307"/>
      <c r="F40" s="307"/>
      <c r="G40" s="307"/>
      <c r="H40" s="307"/>
      <c r="I40" s="307"/>
      <c r="J40" s="307"/>
      <c r="K40" s="307"/>
      <c r="L40" s="307"/>
      <c r="M40" s="307"/>
      <c r="N40" s="307"/>
      <c r="O40" s="307"/>
      <c r="P40" s="307"/>
      <c r="Q40" s="307"/>
      <c r="R40" s="308"/>
      <c r="S40" s="5"/>
      <c r="T40" s="5"/>
      <c r="U40" s="5"/>
      <c r="V40" s="5"/>
      <c r="W40" s="5"/>
      <c r="X40" s="5"/>
      <c r="Y40" s="5"/>
      <c r="Z40" s="5"/>
      <c r="AA40" s="5"/>
    </row>
    <row r="41" spans="1:27" x14ac:dyDescent="0.35">
      <c r="A41" s="5"/>
      <c r="B41" s="306"/>
      <c r="C41" s="307"/>
      <c r="D41" s="307"/>
      <c r="E41" s="307"/>
      <c r="F41" s="307"/>
      <c r="G41" s="307"/>
      <c r="H41" s="307"/>
      <c r="I41" s="307"/>
      <c r="J41" s="307"/>
      <c r="K41" s="307"/>
      <c r="L41" s="307"/>
      <c r="M41" s="307"/>
      <c r="N41" s="307"/>
      <c r="O41" s="307"/>
      <c r="P41" s="307"/>
      <c r="Q41" s="307"/>
      <c r="R41" s="308"/>
      <c r="S41" s="5"/>
      <c r="T41" s="5"/>
      <c r="U41" s="5"/>
      <c r="V41" s="5"/>
      <c r="W41" s="5"/>
      <c r="X41" s="5"/>
      <c r="Y41" s="5"/>
      <c r="Z41" s="5"/>
      <c r="AA41" s="5"/>
    </row>
    <row r="42" spans="1:27" x14ac:dyDescent="0.35">
      <c r="A42" s="5"/>
      <c r="B42" s="306"/>
      <c r="C42" s="307"/>
      <c r="D42" s="307"/>
      <c r="E42" s="307"/>
      <c r="F42" s="307"/>
      <c r="G42" s="307"/>
      <c r="H42" s="307"/>
      <c r="I42" s="307"/>
      <c r="J42" s="307"/>
      <c r="K42" s="307"/>
      <c r="L42" s="307"/>
      <c r="M42" s="307"/>
      <c r="N42" s="307"/>
      <c r="O42" s="307"/>
      <c r="P42" s="307"/>
      <c r="Q42" s="307"/>
      <c r="R42" s="308"/>
      <c r="S42" s="5"/>
      <c r="T42" s="5"/>
      <c r="U42" s="5"/>
      <c r="V42" s="5"/>
      <c r="W42" s="5"/>
      <c r="X42" s="5"/>
      <c r="Y42" s="5"/>
      <c r="Z42" s="5"/>
      <c r="AA42" s="5"/>
    </row>
    <row r="43" spans="1:27" ht="34.5" customHeight="1" thickBot="1" x14ac:dyDescent="0.4">
      <c r="A43" s="5"/>
      <c r="B43" s="309"/>
      <c r="C43" s="310"/>
      <c r="D43" s="310"/>
      <c r="E43" s="310"/>
      <c r="F43" s="310"/>
      <c r="G43" s="310"/>
      <c r="H43" s="310"/>
      <c r="I43" s="310"/>
      <c r="J43" s="310"/>
      <c r="K43" s="310"/>
      <c r="L43" s="310"/>
      <c r="M43" s="310"/>
      <c r="N43" s="310"/>
      <c r="O43" s="310"/>
      <c r="P43" s="310"/>
      <c r="Q43" s="310"/>
      <c r="R43" s="311"/>
      <c r="S43" s="5"/>
      <c r="T43" s="5"/>
      <c r="U43" s="5"/>
      <c r="V43" s="5"/>
      <c r="W43" s="5"/>
      <c r="X43" s="5"/>
      <c r="Y43" s="5"/>
      <c r="Z43" s="5"/>
      <c r="AA43" s="5"/>
    </row>
    <row r="44" spans="1:27" x14ac:dyDescent="0.35">
      <c r="A44" s="5"/>
      <c r="B44" s="5"/>
      <c r="F44" s="5"/>
      <c r="G44" s="5"/>
      <c r="H44" s="5"/>
      <c r="I44" s="5"/>
      <c r="J44" s="5"/>
      <c r="K44" s="5"/>
      <c r="L44" s="5"/>
      <c r="M44" s="5"/>
      <c r="N44" s="5"/>
      <c r="O44" s="5"/>
      <c r="P44" s="5"/>
      <c r="Q44" s="5"/>
      <c r="R44" s="50"/>
      <c r="S44" s="5"/>
      <c r="T44" s="5"/>
      <c r="U44" s="5"/>
      <c r="V44" s="5"/>
      <c r="W44" s="5"/>
      <c r="X44" s="5"/>
      <c r="Y44" s="5"/>
      <c r="Z44" s="5"/>
      <c r="AA44" s="5"/>
    </row>
    <row r="45" spans="1:27" x14ac:dyDescent="0.35">
      <c r="A45" s="5"/>
      <c r="B45" s="5"/>
      <c r="F45" s="5"/>
      <c r="G45" s="5"/>
      <c r="H45" s="5"/>
      <c r="I45" s="5"/>
      <c r="J45" s="5"/>
      <c r="K45" s="5"/>
      <c r="L45" s="5"/>
      <c r="M45" s="5"/>
      <c r="N45" s="5"/>
      <c r="O45" s="5"/>
      <c r="P45" s="5"/>
      <c r="Q45" s="5"/>
      <c r="R45" s="50"/>
      <c r="S45" s="5"/>
      <c r="T45" s="5"/>
      <c r="U45" s="5"/>
      <c r="V45" s="5"/>
      <c r="W45" s="5"/>
      <c r="X45" s="5"/>
      <c r="Y45" s="5"/>
      <c r="Z45" s="5"/>
      <c r="AA45" s="5"/>
    </row>
    <row r="46" spans="1:27" x14ac:dyDescent="0.35">
      <c r="A46" s="5"/>
      <c r="B46" s="5"/>
      <c r="F46" s="5"/>
      <c r="G46" s="5"/>
      <c r="H46" s="5"/>
      <c r="I46" s="5"/>
      <c r="J46" s="5"/>
      <c r="K46" s="5"/>
      <c r="L46" s="5"/>
      <c r="M46" s="5"/>
      <c r="N46" s="5"/>
      <c r="O46" s="5"/>
      <c r="P46" s="5"/>
      <c r="Q46" s="5"/>
      <c r="R46" s="50"/>
      <c r="S46" s="5"/>
      <c r="T46" s="5"/>
      <c r="U46" s="5"/>
      <c r="V46" s="5"/>
      <c r="W46" s="5"/>
      <c r="X46" s="5"/>
      <c r="Y46" s="5"/>
      <c r="Z46" s="5"/>
      <c r="AA46" s="5"/>
    </row>
    <row r="47" spans="1:27" x14ac:dyDescent="0.35">
      <c r="A47" s="5"/>
      <c r="B47" s="5"/>
      <c r="F47" s="5"/>
      <c r="G47" s="5"/>
      <c r="H47" s="5"/>
      <c r="I47" s="5"/>
      <c r="J47" s="5"/>
      <c r="K47" s="5"/>
      <c r="L47" s="5"/>
      <c r="M47" s="5"/>
      <c r="N47" s="5"/>
      <c r="O47" s="5"/>
      <c r="P47" s="5"/>
      <c r="Q47" s="5"/>
      <c r="R47" s="50"/>
      <c r="S47" s="5"/>
      <c r="T47" s="5"/>
      <c r="U47" s="5"/>
      <c r="V47" s="5"/>
      <c r="W47" s="5"/>
      <c r="X47" s="5"/>
      <c r="Y47" s="5"/>
      <c r="Z47" s="5"/>
      <c r="AA47" s="5"/>
    </row>
    <row r="48" spans="1:27" x14ac:dyDescent="0.35">
      <c r="A48" s="5"/>
      <c r="B48" s="5"/>
      <c r="F48" s="5"/>
      <c r="G48" s="5"/>
      <c r="H48" s="5"/>
      <c r="I48" s="5"/>
      <c r="J48" s="5"/>
      <c r="K48" s="5"/>
      <c r="L48" s="5"/>
      <c r="M48" s="5"/>
      <c r="N48" s="5"/>
      <c r="O48" s="5"/>
      <c r="P48" s="5"/>
      <c r="Q48" s="5"/>
      <c r="R48" s="50"/>
      <c r="S48" s="5"/>
      <c r="T48" s="5"/>
      <c r="U48" s="5"/>
      <c r="V48" s="5"/>
      <c r="W48" s="5"/>
      <c r="X48" s="5"/>
      <c r="Y48" s="5"/>
      <c r="Z48" s="5"/>
      <c r="AA48" s="5"/>
    </row>
    <row r="49" spans="1:27" x14ac:dyDescent="0.35">
      <c r="A49" s="5"/>
      <c r="B49" s="5"/>
      <c r="F49" s="5"/>
      <c r="G49" s="5"/>
      <c r="H49" s="5"/>
      <c r="I49" s="5"/>
      <c r="J49" s="5"/>
      <c r="K49" s="5"/>
      <c r="L49" s="5"/>
      <c r="M49" s="5"/>
      <c r="N49" s="5"/>
      <c r="O49" s="5"/>
      <c r="P49" s="5"/>
      <c r="Q49" s="5"/>
      <c r="R49" s="50"/>
      <c r="S49" s="5"/>
      <c r="T49" s="5"/>
      <c r="U49" s="5"/>
      <c r="V49" s="5"/>
      <c r="W49" s="5"/>
      <c r="X49" s="5"/>
      <c r="Y49" s="5"/>
      <c r="Z49" s="5"/>
      <c r="AA49" s="5"/>
    </row>
    <row r="50" spans="1:27" x14ac:dyDescent="0.35">
      <c r="A50" s="5"/>
      <c r="B50" s="5"/>
      <c r="F50" s="5"/>
      <c r="G50" s="5"/>
      <c r="H50" s="5"/>
      <c r="I50" s="5"/>
      <c r="J50" s="5"/>
      <c r="K50" s="5"/>
      <c r="L50" s="5"/>
      <c r="M50" s="5"/>
      <c r="N50" s="5"/>
      <c r="O50" s="5"/>
      <c r="P50" s="5"/>
      <c r="Q50" s="5"/>
      <c r="R50" s="50"/>
      <c r="S50" s="5"/>
      <c r="T50" s="5"/>
      <c r="U50" s="5"/>
      <c r="V50" s="5"/>
      <c r="W50" s="5"/>
      <c r="X50" s="5"/>
      <c r="Y50" s="5"/>
      <c r="Z50" s="5"/>
      <c r="AA50" s="5"/>
    </row>
    <row r="51" spans="1:27" x14ac:dyDescent="0.35">
      <c r="A51" s="5"/>
      <c r="B51" s="5"/>
      <c r="F51" s="5"/>
      <c r="G51" s="5"/>
      <c r="H51" s="5"/>
      <c r="I51" s="5"/>
      <c r="J51" s="5"/>
      <c r="K51" s="5"/>
      <c r="L51" s="5"/>
      <c r="M51" s="5"/>
      <c r="N51" s="5"/>
      <c r="O51" s="5"/>
      <c r="P51" s="5"/>
      <c r="Q51" s="5"/>
      <c r="R51" s="50"/>
      <c r="S51" s="5"/>
      <c r="T51" s="5"/>
      <c r="U51" s="5"/>
      <c r="V51" s="5"/>
      <c r="W51" s="5"/>
      <c r="X51" s="5"/>
      <c r="Y51" s="5"/>
      <c r="Z51" s="5"/>
      <c r="AA51" s="5"/>
    </row>
    <row r="52" spans="1:27" x14ac:dyDescent="0.35">
      <c r="A52" s="5"/>
      <c r="B52" s="5"/>
      <c r="F52" s="5"/>
      <c r="G52" s="5"/>
      <c r="H52" s="5"/>
      <c r="I52" s="5"/>
      <c r="J52" s="5"/>
      <c r="K52" s="5"/>
      <c r="L52" s="5"/>
      <c r="M52" s="5"/>
      <c r="N52" s="5"/>
      <c r="O52" s="5"/>
      <c r="P52" s="5"/>
      <c r="Q52" s="5"/>
      <c r="R52" s="50"/>
      <c r="S52" s="5"/>
      <c r="T52" s="5"/>
      <c r="U52" s="5"/>
      <c r="V52" s="5"/>
      <c r="W52" s="5"/>
      <c r="X52" s="5"/>
      <c r="Y52" s="5"/>
      <c r="Z52" s="5"/>
      <c r="AA52" s="5"/>
    </row>
    <row r="53" spans="1:27" x14ac:dyDescent="0.35">
      <c r="A53" s="5"/>
      <c r="B53" s="5"/>
      <c r="F53" s="5"/>
      <c r="G53" s="5"/>
      <c r="H53" s="5"/>
      <c r="I53" s="5"/>
      <c r="J53" s="5"/>
      <c r="K53" s="5"/>
      <c r="L53" s="5"/>
      <c r="M53" s="5"/>
      <c r="N53" s="5"/>
      <c r="O53" s="5"/>
      <c r="P53" s="5"/>
      <c r="Q53" s="5"/>
      <c r="R53" s="50"/>
      <c r="S53" s="5"/>
      <c r="T53" s="5"/>
      <c r="U53" s="5"/>
      <c r="V53" s="5"/>
      <c r="W53" s="5"/>
      <c r="X53" s="5"/>
      <c r="Y53" s="5"/>
      <c r="Z53" s="5"/>
      <c r="AA53" s="5"/>
    </row>
    <row r="54" spans="1:27" x14ac:dyDescent="0.35">
      <c r="A54" s="5"/>
      <c r="B54" s="5"/>
      <c r="C54" s="5"/>
      <c r="D54" s="5"/>
      <c r="E54" s="5"/>
      <c r="F54" s="5"/>
      <c r="G54" s="5"/>
      <c r="H54" s="5"/>
      <c r="I54" s="5"/>
      <c r="J54" s="5"/>
      <c r="K54" s="5"/>
      <c r="L54" s="5"/>
      <c r="M54" s="5"/>
      <c r="N54" s="5"/>
      <c r="O54" s="5"/>
      <c r="P54" s="5"/>
      <c r="Q54" s="5"/>
      <c r="R54" s="50"/>
      <c r="S54" s="5"/>
      <c r="T54" s="5"/>
      <c r="U54" s="5"/>
      <c r="V54" s="5"/>
      <c r="W54" s="5"/>
      <c r="X54" s="5"/>
      <c r="Y54" s="5"/>
      <c r="Z54" s="5"/>
      <c r="AA54" s="5"/>
    </row>
    <row r="55" spans="1:27" x14ac:dyDescent="0.35">
      <c r="A55" s="5"/>
      <c r="B55" s="5"/>
      <c r="C55" s="5"/>
      <c r="D55" s="5"/>
      <c r="E55" s="5"/>
      <c r="F55" s="5"/>
      <c r="G55" s="5"/>
      <c r="H55" s="5"/>
      <c r="I55" s="5"/>
      <c r="J55" s="5"/>
      <c r="K55" s="5"/>
      <c r="L55" s="5"/>
      <c r="M55" s="5"/>
      <c r="N55" s="5"/>
      <c r="O55" s="5"/>
      <c r="P55" s="5"/>
      <c r="Q55" s="5"/>
      <c r="R55" s="50"/>
      <c r="S55" s="5"/>
      <c r="T55" s="5"/>
      <c r="U55" s="5"/>
      <c r="V55" s="5"/>
      <c r="W55" s="5"/>
      <c r="X55" s="5"/>
      <c r="Y55" s="5"/>
      <c r="Z55" s="5"/>
      <c r="AA55" s="5"/>
    </row>
    <row r="56" spans="1:27" x14ac:dyDescent="0.35">
      <c r="A56" s="5"/>
      <c r="B56" s="5"/>
      <c r="C56" s="5"/>
      <c r="D56" s="5"/>
      <c r="E56" s="5"/>
      <c r="F56" s="5"/>
      <c r="G56" s="5"/>
      <c r="H56" s="5"/>
      <c r="I56" s="5"/>
      <c r="J56" s="5"/>
      <c r="K56" s="5"/>
      <c r="L56" s="5"/>
      <c r="M56" s="5"/>
      <c r="N56" s="5"/>
      <c r="O56" s="5"/>
      <c r="P56" s="5"/>
      <c r="Q56" s="5"/>
      <c r="R56" s="50"/>
      <c r="S56" s="5"/>
      <c r="T56" s="5"/>
      <c r="U56" s="5"/>
      <c r="V56" s="5"/>
      <c r="W56" s="5"/>
      <c r="X56" s="5"/>
      <c r="Y56" s="5"/>
      <c r="Z56" s="5"/>
      <c r="AA56" s="5"/>
    </row>
    <row r="57" spans="1:27" x14ac:dyDescent="0.35">
      <c r="A57" s="5"/>
      <c r="B57" s="5"/>
      <c r="C57" s="5"/>
      <c r="D57" s="5"/>
      <c r="E57" s="5"/>
      <c r="F57" s="5"/>
      <c r="G57" s="5"/>
      <c r="H57" s="5"/>
      <c r="I57" s="5"/>
      <c r="J57" s="5"/>
      <c r="K57" s="5"/>
      <c r="L57" s="5"/>
      <c r="M57" s="5"/>
      <c r="N57" s="5"/>
      <c r="O57" s="5"/>
      <c r="P57" s="5"/>
      <c r="Q57" s="5"/>
      <c r="R57" s="50"/>
      <c r="S57" s="5"/>
      <c r="T57" s="5"/>
      <c r="U57" s="5"/>
      <c r="V57" s="5"/>
      <c r="W57" s="5"/>
      <c r="X57" s="5"/>
      <c r="Y57" s="5"/>
      <c r="Z57" s="5"/>
      <c r="AA57" s="5"/>
    </row>
    <row r="58" spans="1:27" x14ac:dyDescent="0.35">
      <c r="A58" s="5"/>
      <c r="B58" s="5"/>
      <c r="C58" s="5"/>
      <c r="D58" s="5"/>
      <c r="E58" s="5"/>
      <c r="F58" s="5"/>
      <c r="G58" s="5"/>
      <c r="H58" s="5"/>
      <c r="I58" s="5"/>
      <c r="J58" s="5"/>
      <c r="K58" s="5"/>
      <c r="L58" s="5"/>
      <c r="M58" s="5"/>
      <c r="N58" s="5"/>
      <c r="O58" s="5"/>
      <c r="P58" s="5"/>
      <c r="Q58" s="5"/>
      <c r="R58" s="50"/>
      <c r="S58" s="5"/>
      <c r="T58" s="5"/>
      <c r="U58" s="5"/>
      <c r="V58" s="5"/>
      <c r="W58" s="5"/>
      <c r="X58" s="5"/>
      <c r="Y58" s="5"/>
      <c r="Z58" s="5"/>
      <c r="AA58" s="5"/>
    </row>
    <row r="59" spans="1:27" x14ac:dyDescent="0.35">
      <c r="A59" s="5"/>
      <c r="B59" s="5"/>
      <c r="C59" s="5"/>
      <c r="D59" s="5"/>
      <c r="E59" s="5"/>
      <c r="F59" s="5"/>
      <c r="G59" s="5"/>
      <c r="H59" s="5"/>
      <c r="I59" s="5"/>
      <c r="J59" s="5"/>
      <c r="K59" s="5"/>
      <c r="L59" s="5"/>
      <c r="M59" s="5"/>
      <c r="N59" s="5"/>
      <c r="O59" s="5"/>
      <c r="P59" s="5"/>
      <c r="Q59" s="5"/>
      <c r="R59" s="50"/>
      <c r="S59" s="5"/>
      <c r="T59" s="5"/>
      <c r="U59" s="5"/>
      <c r="V59" s="5"/>
      <c r="W59" s="5"/>
      <c r="X59" s="5"/>
      <c r="Y59" s="5"/>
      <c r="Z59" s="5"/>
      <c r="AA59" s="5"/>
    </row>
    <row r="60" spans="1:27" x14ac:dyDescent="0.35">
      <c r="A60" s="5"/>
      <c r="B60" s="5"/>
      <c r="C60" s="5"/>
      <c r="D60" s="5"/>
      <c r="E60" s="5"/>
      <c r="F60" s="5"/>
      <c r="G60" s="5"/>
      <c r="H60" s="5"/>
      <c r="I60" s="5"/>
      <c r="J60" s="5"/>
      <c r="K60" s="5"/>
      <c r="L60" s="5"/>
      <c r="M60" s="5"/>
      <c r="N60" s="5"/>
      <c r="O60" s="5"/>
      <c r="P60" s="5"/>
      <c r="Q60" s="5"/>
      <c r="R60" s="50"/>
      <c r="S60" s="5"/>
      <c r="T60" s="5"/>
      <c r="U60" s="5"/>
      <c r="V60" s="5"/>
      <c r="W60" s="5"/>
      <c r="X60" s="5"/>
      <c r="Y60" s="5"/>
      <c r="Z60" s="5"/>
      <c r="AA60" s="5"/>
    </row>
    <row r="61" spans="1:27" x14ac:dyDescent="0.35">
      <c r="A61" s="5"/>
      <c r="B61" s="5"/>
      <c r="C61" s="5"/>
      <c r="D61" s="5"/>
      <c r="E61" s="5"/>
      <c r="F61" s="5"/>
      <c r="G61" s="5"/>
      <c r="H61" s="5"/>
      <c r="I61" s="5"/>
      <c r="J61" s="5"/>
      <c r="K61" s="5"/>
      <c r="L61" s="5"/>
      <c r="M61" s="5"/>
      <c r="N61" s="5"/>
      <c r="O61" s="5"/>
      <c r="P61" s="5"/>
      <c r="Q61" s="5"/>
      <c r="R61" s="50"/>
      <c r="S61" s="5"/>
      <c r="T61" s="5"/>
      <c r="U61" s="5"/>
      <c r="V61" s="5"/>
      <c r="W61" s="5"/>
      <c r="X61" s="5"/>
      <c r="Y61" s="5"/>
      <c r="Z61" s="5"/>
      <c r="AA61" s="5"/>
    </row>
    <row r="62" spans="1:27" x14ac:dyDescent="0.35">
      <c r="A62" s="5"/>
      <c r="B62" s="5"/>
      <c r="C62" s="5"/>
      <c r="D62" s="5"/>
      <c r="E62" s="5"/>
      <c r="F62" s="5"/>
      <c r="G62" s="5"/>
      <c r="H62" s="5"/>
      <c r="I62" s="5"/>
      <c r="J62" s="5"/>
      <c r="K62" s="5"/>
      <c r="L62" s="5"/>
      <c r="M62" s="5"/>
      <c r="N62" s="5"/>
      <c r="O62" s="5"/>
      <c r="P62" s="5"/>
      <c r="Q62" s="5"/>
      <c r="R62" s="50"/>
      <c r="S62" s="5"/>
      <c r="T62" s="5"/>
      <c r="U62" s="5"/>
      <c r="V62" s="5"/>
      <c r="W62" s="5"/>
      <c r="X62" s="5"/>
      <c r="Y62" s="5"/>
      <c r="Z62" s="5"/>
      <c r="AA62" s="5"/>
    </row>
    <row r="63" spans="1:27" x14ac:dyDescent="0.35">
      <c r="A63" s="5"/>
      <c r="B63" s="5"/>
      <c r="C63" s="5"/>
      <c r="D63" s="5"/>
      <c r="E63" s="5"/>
      <c r="F63" s="5"/>
      <c r="G63" s="5"/>
      <c r="H63" s="5"/>
      <c r="I63" s="5"/>
      <c r="J63" s="5"/>
      <c r="K63" s="5"/>
      <c r="L63" s="5"/>
      <c r="M63" s="5"/>
      <c r="N63" s="5"/>
      <c r="O63" s="5"/>
      <c r="P63" s="5"/>
      <c r="Q63" s="5"/>
      <c r="R63" s="50"/>
      <c r="S63" s="5"/>
      <c r="T63" s="5"/>
      <c r="U63" s="5"/>
      <c r="V63" s="5"/>
      <c r="W63" s="5"/>
      <c r="X63" s="5"/>
      <c r="Y63" s="5"/>
      <c r="Z63" s="5"/>
      <c r="AA63" s="5"/>
    </row>
    <row r="64" spans="1:27" x14ac:dyDescent="0.35">
      <c r="A64" s="5"/>
      <c r="B64" s="5"/>
      <c r="C64" s="5"/>
      <c r="D64" s="5"/>
      <c r="E64" s="5"/>
      <c r="F64" s="5"/>
      <c r="G64" s="5"/>
      <c r="H64" s="5"/>
      <c r="I64" s="5"/>
      <c r="J64" s="5"/>
      <c r="K64" s="5"/>
      <c r="L64" s="5"/>
      <c r="M64" s="5"/>
      <c r="N64" s="5"/>
      <c r="O64" s="5"/>
      <c r="P64" s="5"/>
      <c r="Q64" s="5"/>
      <c r="R64" s="50"/>
      <c r="S64" s="5"/>
      <c r="T64" s="5"/>
      <c r="U64" s="5"/>
      <c r="V64" s="5"/>
      <c r="W64" s="5"/>
      <c r="X64" s="5"/>
      <c r="Y64" s="5"/>
      <c r="Z64" s="5"/>
      <c r="AA64" s="5"/>
    </row>
    <row r="65" spans="1:27" x14ac:dyDescent="0.35">
      <c r="A65" s="5"/>
      <c r="B65" s="5"/>
      <c r="C65" s="5"/>
      <c r="D65" s="5"/>
      <c r="E65" s="5"/>
      <c r="F65" s="5"/>
      <c r="G65" s="5"/>
      <c r="H65" s="5"/>
      <c r="I65" s="5"/>
      <c r="J65" s="5"/>
      <c r="K65" s="5"/>
      <c r="L65" s="5"/>
      <c r="M65" s="5"/>
      <c r="N65" s="5"/>
      <c r="O65" s="5"/>
      <c r="P65" s="5"/>
      <c r="Q65" s="5"/>
      <c r="R65" s="50"/>
      <c r="S65" s="5"/>
      <c r="T65" s="5"/>
      <c r="U65" s="5"/>
      <c r="V65" s="5"/>
      <c r="W65" s="5"/>
      <c r="X65" s="5"/>
      <c r="Y65" s="5"/>
      <c r="Z65" s="5"/>
      <c r="AA65" s="5"/>
    </row>
    <row r="66" spans="1:27" x14ac:dyDescent="0.35">
      <c r="A66" s="5"/>
      <c r="B66" s="5"/>
      <c r="C66" s="5"/>
      <c r="D66" s="5"/>
      <c r="E66" s="5"/>
      <c r="F66" s="5"/>
      <c r="G66" s="5"/>
      <c r="H66" s="5"/>
      <c r="I66" s="5"/>
      <c r="J66" s="5"/>
      <c r="K66" s="5"/>
      <c r="L66" s="5"/>
      <c r="M66" s="5"/>
      <c r="N66" s="5"/>
      <c r="O66" s="5"/>
      <c r="P66" s="5"/>
      <c r="Q66" s="5"/>
      <c r="R66" s="50"/>
      <c r="S66" s="5"/>
      <c r="T66" s="5"/>
      <c r="U66" s="5"/>
      <c r="V66" s="5"/>
      <c r="W66" s="5"/>
      <c r="X66" s="5"/>
      <c r="Y66" s="5"/>
      <c r="Z66" s="5"/>
      <c r="AA66" s="5"/>
    </row>
    <row r="67" spans="1:27" x14ac:dyDescent="0.35">
      <c r="A67" s="5"/>
      <c r="B67" s="5"/>
      <c r="C67" s="5"/>
      <c r="D67" s="5"/>
      <c r="E67" s="5"/>
      <c r="F67" s="5"/>
      <c r="G67" s="5"/>
      <c r="H67" s="5"/>
      <c r="I67" s="5"/>
      <c r="J67" s="5"/>
      <c r="K67" s="5"/>
      <c r="L67" s="5"/>
      <c r="M67" s="5"/>
      <c r="N67" s="5"/>
      <c r="O67" s="5"/>
      <c r="P67" s="5"/>
      <c r="Q67" s="5"/>
      <c r="R67" s="50"/>
      <c r="S67" s="5"/>
      <c r="T67" s="5"/>
      <c r="U67" s="5"/>
      <c r="V67" s="5"/>
      <c r="W67" s="5"/>
      <c r="X67" s="5"/>
      <c r="Y67" s="5"/>
      <c r="Z67" s="5"/>
      <c r="AA67" s="5"/>
    </row>
    <row r="68" spans="1:27" x14ac:dyDescent="0.35">
      <c r="A68" s="5"/>
      <c r="B68" s="5"/>
      <c r="C68" s="5"/>
      <c r="D68" s="5"/>
      <c r="E68" s="5"/>
      <c r="F68" s="5"/>
      <c r="G68" s="5"/>
      <c r="H68" s="5"/>
      <c r="I68" s="5"/>
      <c r="J68" s="5"/>
      <c r="K68" s="5"/>
      <c r="L68" s="5"/>
      <c r="M68" s="5"/>
      <c r="N68" s="5"/>
      <c r="O68" s="5"/>
      <c r="P68" s="5"/>
      <c r="Q68" s="5"/>
      <c r="R68" s="50"/>
      <c r="S68" s="5"/>
      <c r="T68" s="5"/>
      <c r="U68" s="5"/>
      <c r="V68" s="5"/>
      <c r="W68" s="5"/>
      <c r="X68" s="5"/>
      <c r="Y68" s="5"/>
      <c r="Z68" s="5"/>
      <c r="AA68" s="5"/>
    </row>
    <row r="69" spans="1:27" x14ac:dyDescent="0.35">
      <c r="A69" s="5"/>
      <c r="B69" s="5"/>
      <c r="C69" s="5"/>
      <c r="D69" s="5"/>
      <c r="E69" s="5"/>
      <c r="F69" s="5"/>
      <c r="G69" s="5"/>
      <c r="H69" s="5"/>
      <c r="I69" s="5"/>
      <c r="J69" s="5"/>
      <c r="K69" s="5"/>
      <c r="L69" s="5"/>
      <c r="M69" s="5"/>
      <c r="N69" s="5"/>
      <c r="O69" s="5"/>
      <c r="P69" s="5"/>
      <c r="Q69" s="5"/>
      <c r="R69" s="50"/>
      <c r="S69" s="5"/>
      <c r="T69" s="5"/>
      <c r="U69" s="5"/>
      <c r="V69" s="5"/>
      <c r="W69" s="5"/>
      <c r="X69" s="5"/>
      <c r="Y69" s="5"/>
      <c r="Z69" s="5"/>
      <c r="AA69" s="5"/>
    </row>
    <row r="70" spans="1:27" x14ac:dyDescent="0.35">
      <c r="A70" s="5"/>
      <c r="B70" s="5"/>
      <c r="C70" s="5"/>
      <c r="D70" s="5"/>
      <c r="E70" s="5"/>
      <c r="F70" s="5"/>
      <c r="G70" s="5"/>
      <c r="H70" s="5"/>
      <c r="I70" s="5"/>
      <c r="J70" s="5"/>
      <c r="K70" s="5"/>
      <c r="L70" s="5"/>
      <c r="M70" s="5"/>
      <c r="N70" s="5"/>
      <c r="O70" s="5"/>
      <c r="P70" s="5"/>
      <c r="Q70" s="5"/>
      <c r="R70" s="50"/>
      <c r="S70" s="5"/>
      <c r="T70" s="5"/>
      <c r="U70" s="5"/>
      <c r="V70" s="5"/>
      <c r="W70" s="5"/>
      <c r="X70" s="5"/>
      <c r="Y70" s="5"/>
      <c r="Z70" s="5"/>
      <c r="AA70" s="5"/>
    </row>
    <row r="71" spans="1:27" x14ac:dyDescent="0.35">
      <c r="A71" s="5"/>
      <c r="B71" s="5"/>
      <c r="C71" s="5"/>
      <c r="D71" s="5"/>
      <c r="E71" s="5"/>
      <c r="F71" s="5"/>
      <c r="G71" s="5"/>
      <c r="H71" s="5"/>
      <c r="I71" s="5"/>
      <c r="J71" s="5"/>
      <c r="K71" s="5"/>
      <c r="L71" s="5"/>
      <c r="M71" s="5"/>
      <c r="N71" s="5"/>
      <c r="O71" s="5"/>
      <c r="P71" s="5"/>
      <c r="Q71" s="5"/>
      <c r="R71" s="50"/>
      <c r="S71" s="5"/>
      <c r="T71" s="5"/>
      <c r="U71" s="5"/>
      <c r="V71" s="5"/>
      <c r="W71" s="5"/>
      <c r="X71" s="5"/>
      <c r="Y71" s="5"/>
      <c r="Z71" s="5"/>
      <c r="AA71" s="5"/>
    </row>
    <row r="72" spans="1:27" x14ac:dyDescent="0.35">
      <c r="A72" s="5"/>
      <c r="B72" s="5"/>
      <c r="C72" s="5"/>
      <c r="D72" s="5"/>
      <c r="E72" s="5"/>
      <c r="F72" s="5"/>
      <c r="G72" s="5"/>
      <c r="H72" s="5"/>
      <c r="I72" s="5"/>
      <c r="J72" s="5"/>
      <c r="K72" s="5"/>
      <c r="L72" s="5"/>
      <c r="M72" s="5"/>
      <c r="N72" s="5"/>
      <c r="O72" s="5"/>
      <c r="P72" s="5"/>
      <c r="Q72" s="5"/>
      <c r="R72" s="50"/>
      <c r="S72" s="5"/>
      <c r="T72" s="5"/>
      <c r="U72" s="5"/>
      <c r="V72" s="5"/>
      <c r="W72" s="5"/>
      <c r="X72" s="5"/>
      <c r="Y72" s="5"/>
      <c r="Z72" s="5"/>
      <c r="AA72" s="5"/>
    </row>
    <row r="73" spans="1:27" x14ac:dyDescent="0.35">
      <c r="A73" s="5"/>
      <c r="B73" s="5"/>
      <c r="C73" s="5"/>
      <c r="D73" s="5"/>
      <c r="E73" s="5"/>
      <c r="F73" s="5"/>
      <c r="G73" s="5"/>
      <c r="H73" s="5"/>
      <c r="I73" s="5"/>
      <c r="J73" s="5"/>
      <c r="K73" s="5"/>
      <c r="L73" s="5"/>
      <c r="M73" s="5"/>
      <c r="N73" s="5"/>
      <c r="O73" s="5"/>
      <c r="P73" s="5"/>
      <c r="Q73" s="5"/>
      <c r="R73" s="50"/>
      <c r="S73" s="5"/>
      <c r="T73" s="5"/>
      <c r="U73" s="5"/>
      <c r="V73" s="5"/>
      <c r="W73" s="5"/>
      <c r="X73" s="5"/>
      <c r="Y73" s="5"/>
      <c r="Z73" s="5"/>
      <c r="AA73" s="5"/>
    </row>
    <row r="74" spans="1:27" x14ac:dyDescent="0.35">
      <c r="A74" s="5"/>
      <c r="B74" s="5"/>
      <c r="C74" s="5"/>
      <c r="D74" s="5"/>
      <c r="E74" s="5"/>
      <c r="F74" s="5"/>
      <c r="G74" s="5"/>
      <c r="H74" s="5"/>
      <c r="I74" s="5"/>
      <c r="J74" s="5"/>
      <c r="K74" s="5"/>
      <c r="L74" s="5"/>
      <c r="M74" s="5"/>
      <c r="N74" s="5"/>
      <c r="O74" s="5"/>
      <c r="P74" s="5"/>
      <c r="Q74" s="5"/>
      <c r="R74" s="50"/>
      <c r="S74" s="5"/>
      <c r="T74" s="5"/>
      <c r="U74" s="5"/>
      <c r="V74" s="5"/>
      <c r="W74" s="5"/>
      <c r="X74" s="5"/>
      <c r="Y74" s="5"/>
      <c r="Z74" s="5"/>
      <c r="AA74" s="5"/>
    </row>
    <row r="75" spans="1:27" x14ac:dyDescent="0.35">
      <c r="A75" s="5"/>
      <c r="B75" s="5"/>
      <c r="C75" s="5"/>
      <c r="D75" s="5"/>
      <c r="E75" s="5"/>
      <c r="F75" s="5"/>
      <c r="G75" s="5"/>
      <c r="H75" s="5"/>
      <c r="I75" s="5"/>
      <c r="J75" s="5"/>
      <c r="K75" s="5"/>
      <c r="L75" s="5"/>
      <c r="M75" s="5"/>
      <c r="N75" s="5"/>
      <c r="O75" s="5"/>
      <c r="P75" s="5"/>
      <c r="Q75" s="5"/>
      <c r="R75" s="50"/>
      <c r="S75" s="5"/>
      <c r="T75" s="5"/>
      <c r="U75" s="5"/>
      <c r="V75" s="5"/>
      <c r="W75" s="5"/>
      <c r="X75" s="5"/>
      <c r="Y75" s="5"/>
      <c r="Z75" s="5"/>
      <c r="AA75" s="5"/>
    </row>
    <row r="76" spans="1:27" x14ac:dyDescent="0.35">
      <c r="A76" s="5"/>
      <c r="B76" s="5"/>
      <c r="C76" s="5"/>
      <c r="D76" s="5"/>
      <c r="E76" s="5"/>
      <c r="F76" s="5"/>
      <c r="G76" s="5"/>
      <c r="H76" s="5"/>
      <c r="I76" s="5"/>
      <c r="J76" s="5"/>
      <c r="K76" s="5"/>
      <c r="L76" s="5"/>
      <c r="M76" s="5"/>
      <c r="N76" s="5"/>
      <c r="O76" s="5"/>
      <c r="P76" s="5"/>
      <c r="Q76" s="5"/>
      <c r="R76" s="50"/>
      <c r="S76" s="5"/>
      <c r="T76" s="5"/>
      <c r="U76" s="5"/>
      <c r="V76" s="5"/>
      <c r="W76" s="5"/>
      <c r="X76" s="5"/>
      <c r="Y76" s="5"/>
      <c r="Z76" s="5"/>
      <c r="AA76" s="5"/>
    </row>
    <row r="77" spans="1:27" x14ac:dyDescent="0.35">
      <c r="A77" s="5"/>
      <c r="B77" s="5"/>
      <c r="C77" s="5"/>
      <c r="D77" s="5"/>
      <c r="E77" s="5"/>
      <c r="F77" s="5"/>
      <c r="G77" s="5"/>
      <c r="H77" s="5"/>
      <c r="I77" s="5"/>
      <c r="J77" s="5"/>
      <c r="K77" s="5"/>
      <c r="L77" s="5"/>
      <c r="M77" s="5"/>
      <c r="N77" s="5"/>
      <c r="O77" s="5"/>
      <c r="P77" s="5"/>
      <c r="Q77" s="5"/>
      <c r="R77" s="50"/>
      <c r="S77" s="5"/>
      <c r="T77" s="5"/>
      <c r="U77" s="5"/>
      <c r="V77" s="5"/>
      <c r="W77" s="5"/>
      <c r="X77" s="5"/>
      <c r="Y77" s="5"/>
      <c r="Z77" s="5"/>
      <c r="AA77" s="5"/>
    </row>
    <row r="78" spans="1:27" x14ac:dyDescent="0.35">
      <c r="A78" s="5"/>
      <c r="B78" s="5"/>
      <c r="C78" s="5"/>
      <c r="D78" s="5"/>
      <c r="E78" s="5"/>
      <c r="F78" s="5"/>
      <c r="G78" s="5"/>
      <c r="H78" s="5"/>
      <c r="I78" s="5"/>
      <c r="J78" s="5"/>
      <c r="K78" s="5"/>
      <c r="L78" s="5"/>
      <c r="M78" s="5"/>
      <c r="N78" s="5"/>
      <c r="O78" s="5"/>
      <c r="P78" s="5"/>
      <c r="Q78" s="5"/>
      <c r="R78" s="50"/>
      <c r="S78" s="5"/>
      <c r="T78" s="5"/>
      <c r="U78" s="5"/>
      <c r="V78" s="5"/>
      <c r="W78" s="5"/>
      <c r="X78" s="5"/>
      <c r="Y78" s="5"/>
      <c r="Z78" s="5"/>
      <c r="AA78" s="5"/>
    </row>
    <row r="79" spans="1:27" x14ac:dyDescent="0.35">
      <c r="A79" s="5"/>
      <c r="B79" s="5"/>
      <c r="C79" s="5"/>
      <c r="D79" s="5"/>
      <c r="E79" s="5"/>
      <c r="F79" s="5"/>
      <c r="G79" s="5"/>
      <c r="H79" s="5"/>
      <c r="I79" s="5"/>
      <c r="J79" s="5"/>
      <c r="K79" s="5"/>
      <c r="L79" s="5"/>
      <c r="M79" s="5"/>
      <c r="N79" s="5"/>
      <c r="O79" s="5"/>
      <c r="P79" s="5"/>
      <c r="Q79" s="5"/>
      <c r="R79" s="50"/>
      <c r="S79" s="5"/>
      <c r="T79" s="5"/>
      <c r="U79" s="5"/>
      <c r="V79" s="5"/>
      <c r="W79" s="5"/>
      <c r="X79" s="5"/>
      <c r="Y79" s="5"/>
      <c r="Z79" s="5"/>
      <c r="AA79" s="5"/>
    </row>
    <row r="80" spans="1:27" x14ac:dyDescent="0.35">
      <c r="A80" s="5"/>
      <c r="B80" s="5"/>
      <c r="C80" s="5"/>
      <c r="D80" s="5"/>
      <c r="E80" s="5"/>
      <c r="F80" s="5"/>
      <c r="G80" s="5"/>
      <c r="H80" s="5"/>
      <c r="I80" s="5"/>
      <c r="J80" s="5"/>
      <c r="K80" s="5"/>
      <c r="L80" s="5"/>
      <c r="M80" s="5"/>
      <c r="N80" s="5"/>
      <c r="O80" s="5"/>
      <c r="P80" s="5"/>
      <c r="Q80" s="5"/>
      <c r="R80" s="50"/>
      <c r="S80" s="5"/>
      <c r="T80" s="5"/>
      <c r="U80" s="5"/>
      <c r="V80" s="5"/>
      <c r="W80" s="5"/>
      <c r="X80" s="5"/>
      <c r="Y80" s="5"/>
      <c r="Z80" s="5"/>
      <c r="AA80" s="5"/>
    </row>
    <row r="81" spans="1:27" x14ac:dyDescent="0.35">
      <c r="A81" s="5"/>
      <c r="B81" s="5"/>
      <c r="C81" s="5"/>
      <c r="D81" s="5"/>
      <c r="E81" s="5"/>
      <c r="F81" s="5"/>
      <c r="G81" s="5"/>
      <c r="H81" s="5"/>
      <c r="I81" s="5"/>
      <c r="J81" s="5"/>
      <c r="K81" s="5"/>
      <c r="L81" s="5"/>
      <c r="M81" s="5"/>
      <c r="N81" s="5"/>
      <c r="O81" s="5"/>
      <c r="P81" s="5"/>
      <c r="Q81" s="5"/>
      <c r="R81" s="50"/>
      <c r="S81" s="5"/>
      <c r="T81" s="5"/>
      <c r="U81" s="5"/>
      <c r="V81" s="5"/>
      <c r="W81" s="5"/>
      <c r="X81" s="5"/>
      <c r="Y81" s="5"/>
      <c r="Z81" s="5"/>
      <c r="AA81" s="5"/>
    </row>
    <row r="82" spans="1:27" x14ac:dyDescent="0.35">
      <c r="A82" s="5"/>
      <c r="B82" s="5"/>
      <c r="C82" s="5"/>
      <c r="D82" s="5"/>
      <c r="E82" s="5"/>
      <c r="F82" s="5"/>
      <c r="G82" s="5"/>
      <c r="H82" s="5"/>
      <c r="I82" s="5"/>
      <c r="J82" s="5"/>
      <c r="K82" s="5"/>
      <c r="L82" s="5"/>
      <c r="M82" s="5"/>
      <c r="N82" s="5"/>
      <c r="O82" s="5"/>
      <c r="P82" s="5"/>
      <c r="Q82" s="5"/>
      <c r="R82" s="50"/>
      <c r="S82" s="5"/>
      <c r="T82" s="5"/>
      <c r="U82" s="5"/>
      <c r="V82" s="5"/>
      <c r="W82" s="5"/>
      <c r="X82" s="5"/>
      <c r="Y82" s="5"/>
      <c r="Z82" s="5"/>
      <c r="AA82" s="5"/>
    </row>
    <row r="83" spans="1:27" x14ac:dyDescent="0.35">
      <c r="A83" s="5"/>
      <c r="B83" s="5"/>
      <c r="C83" s="5"/>
      <c r="D83" s="5"/>
      <c r="E83" s="5"/>
      <c r="F83" s="5"/>
      <c r="G83" s="5"/>
      <c r="H83" s="5"/>
      <c r="I83" s="5"/>
      <c r="J83" s="5"/>
      <c r="K83" s="5"/>
      <c r="L83" s="5"/>
      <c r="M83" s="5"/>
      <c r="N83" s="5"/>
      <c r="O83" s="5"/>
      <c r="P83" s="5"/>
      <c r="Q83" s="5"/>
      <c r="R83" s="50"/>
      <c r="S83" s="5"/>
      <c r="T83" s="5"/>
      <c r="U83" s="5"/>
      <c r="V83" s="5"/>
      <c r="W83" s="5"/>
      <c r="X83" s="5"/>
      <c r="Y83" s="5"/>
      <c r="Z83" s="5"/>
      <c r="AA83" s="5"/>
    </row>
    <row r="84" spans="1:27" x14ac:dyDescent="0.35">
      <c r="A84" s="5"/>
      <c r="B84" s="5"/>
      <c r="C84" s="5"/>
      <c r="D84" s="5"/>
      <c r="E84" s="5"/>
      <c r="F84" s="5"/>
      <c r="G84" s="5"/>
      <c r="H84" s="5"/>
      <c r="I84" s="5"/>
      <c r="J84" s="5"/>
      <c r="K84" s="5"/>
      <c r="L84" s="5"/>
      <c r="M84" s="5"/>
      <c r="N84" s="5"/>
      <c r="O84" s="5"/>
      <c r="P84" s="5"/>
      <c r="Q84" s="5"/>
      <c r="R84" s="50"/>
      <c r="S84" s="5"/>
      <c r="T84" s="5"/>
      <c r="U84" s="5"/>
      <c r="V84" s="5"/>
      <c r="W84" s="5"/>
      <c r="X84" s="5"/>
      <c r="Y84" s="5"/>
      <c r="Z84" s="5"/>
      <c r="AA84" s="5"/>
    </row>
    <row r="85" spans="1:27" x14ac:dyDescent="0.35">
      <c r="A85" s="5"/>
      <c r="B85" s="5"/>
      <c r="C85" s="5"/>
      <c r="D85" s="5"/>
      <c r="E85" s="5"/>
      <c r="F85" s="5"/>
      <c r="G85" s="5"/>
      <c r="H85" s="5"/>
      <c r="I85" s="5"/>
      <c r="J85" s="5"/>
      <c r="K85" s="5"/>
      <c r="L85" s="5"/>
      <c r="M85" s="5"/>
      <c r="N85" s="5"/>
      <c r="O85" s="5"/>
      <c r="P85" s="5"/>
      <c r="Q85" s="5"/>
      <c r="R85" s="50"/>
      <c r="S85" s="5"/>
      <c r="T85" s="5"/>
      <c r="U85" s="5"/>
      <c r="V85" s="5"/>
      <c r="W85" s="5"/>
      <c r="X85" s="5"/>
      <c r="Y85" s="5"/>
      <c r="Z85" s="5"/>
      <c r="AA85" s="5"/>
    </row>
    <row r="86" spans="1:27" x14ac:dyDescent="0.35">
      <c r="A86" s="5"/>
      <c r="B86" s="5"/>
      <c r="C86" s="5"/>
      <c r="D86" s="5"/>
      <c r="E86" s="5"/>
      <c r="F86" s="5"/>
      <c r="G86" s="5"/>
      <c r="H86" s="5"/>
      <c r="I86" s="5"/>
      <c r="J86" s="5"/>
      <c r="K86" s="5"/>
      <c r="L86" s="5"/>
      <c r="M86" s="5"/>
      <c r="N86" s="5"/>
      <c r="O86" s="5"/>
      <c r="P86" s="5"/>
      <c r="Q86" s="5"/>
      <c r="R86" s="50"/>
      <c r="S86" s="5"/>
      <c r="T86" s="5"/>
      <c r="U86" s="5"/>
      <c r="V86" s="5"/>
      <c r="W86" s="5"/>
      <c r="X86" s="5"/>
      <c r="Y86" s="5"/>
      <c r="Z86" s="5"/>
      <c r="AA86" s="5"/>
    </row>
    <row r="87" spans="1:27" x14ac:dyDescent="0.35">
      <c r="A87" s="5"/>
      <c r="B87" s="5"/>
      <c r="C87" s="5"/>
      <c r="D87" s="5"/>
      <c r="E87" s="5"/>
      <c r="F87" s="5"/>
      <c r="G87" s="5"/>
      <c r="H87" s="5"/>
      <c r="I87" s="5"/>
      <c r="J87" s="5"/>
      <c r="K87" s="5"/>
      <c r="L87" s="5"/>
      <c r="M87" s="5"/>
      <c r="N87" s="5"/>
      <c r="O87" s="5"/>
      <c r="P87" s="5"/>
      <c r="Q87" s="5"/>
      <c r="R87" s="50"/>
      <c r="S87" s="5"/>
      <c r="T87" s="5"/>
      <c r="U87" s="5"/>
      <c r="V87" s="5"/>
      <c r="W87" s="5"/>
      <c r="X87" s="5"/>
      <c r="Y87" s="5"/>
      <c r="Z87" s="5"/>
      <c r="AA87" s="5"/>
    </row>
    <row r="88" spans="1:27" x14ac:dyDescent="0.35">
      <c r="A88" s="5"/>
      <c r="B88" s="5"/>
      <c r="C88" s="5"/>
      <c r="D88" s="5"/>
      <c r="E88" s="5"/>
      <c r="F88" s="5"/>
      <c r="G88" s="5"/>
      <c r="H88" s="5"/>
      <c r="I88" s="5"/>
      <c r="J88" s="5"/>
      <c r="K88" s="5"/>
      <c r="L88" s="5"/>
      <c r="M88" s="5"/>
      <c r="N88" s="5"/>
      <c r="O88" s="5"/>
      <c r="P88" s="5"/>
      <c r="Q88" s="5"/>
      <c r="R88" s="50"/>
      <c r="S88" s="5"/>
      <c r="T88" s="5"/>
      <c r="U88" s="5"/>
      <c r="V88" s="5"/>
      <c r="W88" s="5"/>
      <c r="X88" s="5"/>
      <c r="Y88" s="5"/>
      <c r="Z88" s="5"/>
      <c r="AA88" s="5"/>
    </row>
    <row r="89" spans="1:27" x14ac:dyDescent="0.35">
      <c r="A89" s="5"/>
      <c r="B89" s="5"/>
      <c r="C89" s="5"/>
      <c r="D89" s="5"/>
      <c r="E89" s="5"/>
      <c r="F89" s="5"/>
      <c r="G89" s="5"/>
      <c r="H89" s="5"/>
      <c r="I89" s="5"/>
      <c r="J89" s="5"/>
      <c r="K89" s="5"/>
      <c r="L89" s="5"/>
      <c r="M89" s="5"/>
      <c r="N89" s="5"/>
      <c r="O89" s="5"/>
      <c r="P89" s="5"/>
      <c r="Q89" s="5"/>
      <c r="R89" s="50"/>
      <c r="S89" s="5"/>
      <c r="T89" s="5"/>
      <c r="U89" s="5"/>
      <c r="V89" s="5"/>
      <c r="W89" s="5"/>
      <c r="X89" s="5"/>
      <c r="Y89" s="5"/>
      <c r="Z89" s="5"/>
      <c r="AA89" s="5"/>
    </row>
    <row r="90" spans="1:27" x14ac:dyDescent="0.35">
      <c r="A90" s="5"/>
      <c r="B90" s="5"/>
      <c r="C90" s="5"/>
      <c r="D90" s="5"/>
      <c r="E90" s="5"/>
      <c r="F90" s="5"/>
      <c r="G90" s="5"/>
      <c r="H90" s="5"/>
      <c r="I90" s="5"/>
      <c r="J90" s="5"/>
      <c r="K90" s="5"/>
      <c r="L90" s="5"/>
      <c r="M90" s="5"/>
      <c r="N90" s="5"/>
      <c r="O90" s="5"/>
      <c r="P90" s="5"/>
      <c r="Q90" s="5"/>
      <c r="R90" s="50"/>
      <c r="S90" s="5"/>
      <c r="T90" s="5"/>
      <c r="U90" s="5"/>
      <c r="V90" s="5"/>
      <c r="W90" s="5"/>
      <c r="X90" s="5"/>
      <c r="Y90" s="5"/>
      <c r="Z90" s="5"/>
      <c r="AA90" s="5"/>
    </row>
    <row r="91" spans="1:27" x14ac:dyDescent="0.35">
      <c r="A91" s="5"/>
      <c r="B91" s="5"/>
      <c r="C91" s="5"/>
      <c r="D91" s="5"/>
      <c r="E91" s="5"/>
      <c r="F91" s="5"/>
      <c r="G91" s="5"/>
      <c r="H91" s="5"/>
      <c r="I91" s="5"/>
      <c r="J91" s="5"/>
      <c r="K91" s="5"/>
      <c r="L91" s="5"/>
      <c r="M91" s="5"/>
      <c r="N91" s="5"/>
      <c r="O91" s="5"/>
      <c r="P91" s="5"/>
      <c r="Q91" s="5"/>
      <c r="R91" s="50"/>
      <c r="S91" s="5"/>
      <c r="T91" s="5"/>
      <c r="U91" s="5"/>
      <c r="V91" s="5"/>
      <c r="W91" s="5"/>
      <c r="X91" s="5"/>
      <c r="Y91" s="5"/>
      <c r="Z91" s="5"/>
      <c r="AA91" s="5"/>
    </row>
    <row r="92" spans="1:27" x14ac:dyDescent="0.35">
      <c r="A92" s="5"/>
      <c r="B92" s="5"/>
      <c r="C92" s="5"/>
      <c r="D92" s="5"/>
      <c r="E92" s="5"/>
      <c r="F92" s="5"/>
      <c r="G92" s="5"/>
      <c r="H92" s="5"/>
      <c r="I92" s="5"/>
      <c r="J92" s="5"/>
      <c r="K92" s="5"/>
      <c r="L92" s="5"/>
      <c r="M92" s="5"/>
      <c r="N92" s="5"/>
      <c r="O92" s="5"/>
      <c r="P92" s="5"/>
      <c r="Q92" s="5"/>
      <c r="R92" s="50"/>
      <c r="S92" s="5"/>
      <c r="T92" s="5"/>
      <c r="U92" s="5"/>
      <c r="V92" s="5"/>
      <c r="W92" s="5"/>
      <c r="X92" s="5"/>
      <c r="Y92" s="5"/>
      <c r="Z92" s="5"/>
      <c r="AA92" s="5"/>
    </row>
    <row r="93" spans="1:27" x14ac:dyDescent="0.35">
      <c r="A93" s="5"/>
      <c r="B93" s="5"/>
      <c r="C93" s="5"/>
      <c r="D93" s="5"/>
      <c r="E93" s="5"/>
      <c r="F93" s="5"/>
      <c r="G93" s="5"/>
      <c r="H93" s="5"/>
      <c r="I93" s="5"/>
      <c r="J93" s="5"/>
      <c r="K93" s="5"/>
      <c r="L93" s="5"/>
      <c r="M93" s="5"/>
      <c r="N93" s="5"/>
      <c r="O93" s="5"/>
      <c r="P93" s="5"/>
      <c r="Q93" s="5"/>
      <c r="R93" s="50"/>
      <c r="S93" s="5"/>
      <c r="T93" s="5"/>
      <c r="U93" s="5"/>
      <c r="V93" s="5"/>
      <c r="W93" s="5"/>
      <c r="X93" s="5"/>
      <c r="Y93" s="5"/>
      <c r="Z93" s="5"/>
      <c r="AA93" s="5"/>
    </row>
    <row r="94" spans="1:27" x14ac:dyDescent="0.35">
      <c r="A94" s="5"/>
      <c r="B94" s="5"/>
      <c r="C94" s="5"/>
      <c r="D94" s="5"/>
      <c r="E94" s="5"/>
      <c r="F94" s="5"/>
      <c r="G94" s="5"/>
      <c r="H94" s="5"/>
      <c r="I94" s="5"/>
      <c r="J94" s="5"/>
      <c r="K94" s="5"/>
      <c r="L94" s="5"/>
      <c r="M94" s="5"/>
      <c r="N94" s="5"/>
      <c r="O94" s="5"/>
      <c r="P94" s="5"/>
      <c r="Q94" s="5"/>
      <c r="R94" s="50"/>
      <c r="S94" s="5"/>
      <c r="T94" s="5"/>
      <c r="U94" s="5"/>
      <c r="V94" s="5"/>
      <c r="W94" s="5"/>
      <c r="X94" s="5"/>
      <c r="Y94" s="5"/>
      <c r="Z94" s="5"/>
      <c r="AA94" s="5"/>
    </row>
    <row r="95" spans="1:27" x14ac:dyDescent="0.35">
      <c r="A95" s="5"/>
      <c r="B95" s="5"/>
      <c r="C95" s="5"/>
      <c r="D95" s="5"/>
      <c r="E95" s="5"/>
      <c r="F95" s="5"/>
      <c r="G95" s="5"/>
      <c r="H95" s="5"/>
      <c r="I95" s="5"/>
      <c r="J95" s="5"/>
      <c r="K95" s="5"/>
      <c r="L95" s="5"/>
      <c r="M95" s="5"/>
      <c r="N95" s="5"/>
      <c r="O95" s="5"/>
      <c r="P95" s="5"/>
      <c r="Q95" s="5"/>
      <c r="R95" s="50"/>
      <c r="S95" s="5"/>
      <c r="T95" s="5"/>
      <c r="U95" s="5"/>
      <c r="V95" s="5"/>
      <c r="W95" s="5"/>
      <c r="X95" s="5"/>
      <c r="Y95" s="5"/>
      <c r="Z95" s="5"/>
      <c r="AA95" s="5"/>
    </row>
    <row r="96" spans="1:27" x14ac:dyDescent="0.35">
      <c r="A96" s="5"/>
      <c r="B96" s="5"/>
      <c r="C96" s="5"/>
      <c r="D96" s="5"/>
      <c r="E96" s="5"/>
      <c r="F96" s="5"/>
      <c r="G96" s="5"/>
      <c r="H96" s="5"/>
      <c r="I96" s="5"/>
      <c r="J96" s="5"/>
      <c r="K96" s="5"/>
      <c r="L96" s="5"/>
      <c r="M96" s="5"/>
      <c r="N96" s="5"/>
      <c r="O96" s="5"/>
      <c r="P96" s="5"/>
      <c r="Q96" s="5"/>
      <c r="R96" s="50"/>
      <c r="S96" s="5"/>
      <c r="T96" s="5"/>
      <c r="U96" s="5"/>
      <c r="V96" s="5"/>
      <c r="W96" s="5"/>
      <c r="X96" s="5"/>
      <c r="Y96" s="5"/>
      <c r="Z96" s="5"/>
      <c r="AA96" s="5"/>
    </row>
    <row r="97" spans="1:27" x14ac:dyDescent="0.35">
      <c r="A97" s="5"/>
      <c r="B97" s="5"/>
      <c r="C97" s="5"/>
      <c r="D97" s="5"/>
      <c r="E97" s="5"/>
      <c r="F97" s="5"/>
      <c r="G97" s="5"/>
      <c r="H97" s="5"/>
      <c r="I97" s="5"/>
      <c r="J97" s="5"/>
      <c r="K97" s="5"/>
      <c r="L97" s="5"/>
      <c r="M97" s="5"/>
      <c r="N97" s="5"/>
      <c r="O97" s="5"/>
      <c r="P97" s="5"/>
      <c r="Q97" s="5"/>
      <c r="R97" s="50"/>
      <c r="S97" s="5"/>
      <c r="T97" s="5"/>
      <c r="U97" s="5"/>
      <c r="V97" s="5"/>
      <c r="W97" s="5"/>
      <c r="X97" s="5"/>
      <c r="Y97" s="5"/>
      <c r="Z97" s="5"/>
      <c r="AA97" s="5"/>
    </row>
    <row r="98" spans="1:27" x14ac:dyDescent="0.35">
      <c r="A98" s="5"/>
      <c r="B98" s="5"/>
      <c r="C98" s="5"/>
      <c r="D98" s="5"/>
      <c r="E98" s="5"/>
      <c r="F98" s="5"/>
      <c r="G98" s="5"/>
      <c r="H98" s="5"/>
      <c r="I98" s="5"/>
      <c r="J98" s="5"/>
      <c r="K98" s="5"/>
      <c r="L98" s="5"/>
      <c r="M98" s="5"/>
      <c r="N98" s="5"/>
      <c r="O98" s="5"/>
      <c r="P98" s="5"/>
      <c r="Q98" s="5"/>
      <c r="R98" s="50"/>
      <c r="S98" s="5"/>
      <c r="T98" s="5"/>
      <c r="U98" s="5"/>
      <c r="V98" s="5"/>
      <c r="W98" s="5"/>
      <c r="X98" s="5"/>
      <c r="Y98" s="5"/>
      <c r="Z98" s="5"/>
      <c r="AA98" s="5"/>
    </row>
    <row r="99" spans="1:27" x14ac:dyDescent="0.35">
      <c r="A99" s="5"/>
      <c r="B99" s="5"/>
      <c r="C99" s="5"/>
      <c r="D99" s="5"/>
      <c r="E99" s="5"/>
      <c r="F99" s="5"/>
      <c r="G99" s="5"/>
      <c r="H99" s="5"/>
      <c r="I99" s="5"/>
      <c r="J99" s="5"/>
      <c r="K99" s="5"/>
      <c r="L99" s="5"/>
      <c r="M99" s="5"/>
      <c r="N99" s="5"/>
      <c r="O99" s="5"/>
      <c r="P99" s="5"/>
      <c r="Q99" s="5"/>
      <c r="R99" s="50"/>
      <c r="S99" s="5"/>
      <c r="T99" s="5"/>
      <c r="U99" s="5"/>
      <c r="V99" s="5"/>
      <c r="W99" s="5"/>
      <c r="X99" s="5"/>
      <c r="Y99" s="5"/>
      <c r="Z99" s="5"/>
      <c r="AA99" s="5"/>
    </row>
    <row r="100" spans="1:27" x14ac:dyDescent="0.35">
      <c r="A100" s="5"/>
      <c r="B100" s="5"/>
      <c r="C100" s="5"/>
      <c r="D100" s="5"/>
      <c r="E100" s="5"/>
      <c r="F100" s="5"/>
      <c r="G100" s="5"/>
      <c r="H100" s="5"/>
      <c r="I100" s="5"/>
      <c r="J100" s="5"/>
      <c r="K100" s="5"/>
      <c r="L100" s="5"/>
      <c r="M100" s="5"/>
      <c r="N100" s="5"/>
      <c r="O100" s="5"/>
      <c r="P100" s="5"/>
      <c r="Q100" s="5"/>
      <c r="R100" s="50"/>
      <c r="S100" s="5"/>
      <c r="T100" s="5"/>
      <c r="U100" s="5"/>
      <c r="V100" s="5"/>
      <c r="W100" s="5"/>
      <c r="X100" s="5"/>
      <c r="Y100" s="5"/>
      <c r="Z100" s="5"/>
      <c r="AA100" s="5"/>
    </row>
    <row r="101" spans="1:27" x14ac:dyDescent="0.35">
      <c r="A101" s="5"/>
      <c r="B101" s="5"/>
      <c r="C101" s="5"/>
      <c r="D101" s="5"/>
      <c r="E101" s="5"/>
      <c r="F101" s="5"/>
      <c r="G101" s="5"/>
      <c r="H101" s="5"/>
      <c r="I101" s="5"/>
      <c r="J101" s="5"/>
      <c r="K101" s="5"/>
      <c r="L101" s="5"/>
      <c r="M101" s="5"/>
      <c r="N101" s="5"/>
      <c r="O101" s="5"/>
      <c r="P101" s="5"/>
      <c r="Q101" s="5"/>
      <c r="R101" s="50"/>
      <c r="S101" s="5"/>
      <c r="T101" s="5"/>
      <c r="U101" s="5"/>
      <c r="V101" s="5"/>
      <c r="W101" s="5"/>
      <c r="X101" s="5"/>
      <c r="Y101" s="5"/>
      <c r="Z101" s="5"/>
      <c r="AA101" s="5"/>
    </row>
    <row r="102" spans="1:27" x14ac:dyDescent="0.35">
      <c r="A102" s="5"/>
      <c r="B102" s="5"/>
      <c r="C102" s="5"/>
      <c r="D102" s="5"/>
      <c r="E102" s="5"/>
      <c r="F102" s="5"/>
      <c r="G102" s="5"/>
      <c r="H102" s="5"/>
      <c r="I102" s="5"/>
      <c r="J102" s="5"/>
      <c r="K102" s="5"/>
      <c r="L102" s="5"/>
      <c r="M102" s="5"/>
      <c r="N102" s="5"/>
      <c r="O102" s="5"/>
      <c r="P102" s="5"/>
      <c r="Q102" s="5"/>
      <c r="R102" s="50"/>
      <c r="S102" s="5"/>
      <c r="T102" s="5"/>
      <c r="U102" s="5"/>
      <c r="V102" s="5"/>
      <c r="W102" s="5"/>
      <c r="X102" s="5"/>
      <c r="Y102" s="5"/>
      <c r="Z102" s="5"/>
      <c r="AA102" s="5"/>
    </row>
    <row r="103" spans="1:27" x14ac:dyDescent="0.35">
      <c r="A103" s="5"/>
      <c r="B103" s="5"/>
      <c r="C103" s="5"/>
      <c r="D103" s="5"/>
      <c r="E103" s="5"/>
      <c r="F103" s="5"/>
      <c r="G103" s="5"/>
      <c r="H103" s="5"/>
      <c r="I103" s="5"/>
      <c r="J103" s="5"/>
      <c r="K103" s="5"/>
      <c r="L103" s="5"/>
      <c r="M103" s="5"/>
      <c r="N103" s="5"/>
      <c r="O103" s="5"/>
      <c r="P103" s="5"/>
      <c r="Q103" s="5"/>
      <c r="R103" s="50"/>
      <c r="S103" s="5"/>
      <c r="T103" s="5"/>
      <c r="U103" s="5"/>
      <c r="V103" s="5"/>
      <c r="W103" s="5"/>
      <c r="X103" s="5"/>
      <c r="Y103" s="5"/>
      <c r="Z103" s="5"/>
      <c r="AA103" s="5"/>
    </row>
    <row r="104" spans="1:27" x14ac:dyDescent="0.35">
      <c r="A104" s="5"/>
      <c r="B104" s="5"/>
      <c r="C104" s="5"/>
      <c r="D104" s="5"/>
      <c r="E104" s="5"/>
      <c r="F104" s="5"/>
      <c r="G104" s="5"/>
      <c r="H104" s="5"/>
      <c r="I104" s="5"/>
      <c r="J104" s="5"/>
      <c r="K104" s="5"/>
      <c r="L104" s="5"/>
      <c r="M104" s="5"/>
      <c r="N104" s="5"/>
      <c r="O104" s="5"/>
      <c r="P104" s="5"/>
      <c r="Q104" s="5"/>
      <c r="R104" s="50"/>
      <c r="S104" s="5"/>
      <c r="T104" s="5"/>
      <c r="U104" s="5"/>
      <c r="V104" s="5"/>
      <c r="W104" s="5"/>
      <c r="X104" s="5"/>
      <c r="Y104" s="5"/>
      <c r="Z104" s="5"/>
      <c r="AA104" s="5"/>
    </row>
    <row r="105" spans="1:27" x14ac:dyDescent="0.35">
      <c r="A105" s="5"/>
      <c r="B105" s="5"/>
      <c r="C105" s="5"/>
      <c r="D105" s="5"/>
      <c r="E105" s="5"/>
      <c r="F105" s="5"/>
      <c r="G105" s="5"/>
      <c r="H105" s="5"/>
      <c r="I105" s="5"/>
      <c r="J105" s="5"/>
      <c r="K105" s="5"/>
      <c r="L105" s="5"/>
      <c r="M105" s="5"/>
      <c r="N105" s="5"/>
      <c r="O105" s="5"/>
      <c r="P105" s="5"/>
      <c r="Q105" s="5"/>
      <c r="R105" s="50"/>
      <c r="S105" s="5"/>
      <c r="T105" s="5"/>
      <c r="U105" s="5"/>
      <c r="V105" s="5"/>
      <c r="W105" s="5"/>
      <c r="X105" s="5"/>
      <c r="Y105" s="5"/>
      <c r="Z105" s="5"/>
      <c r="AA105" s="5"/>
    </row>
    <row r="106" spans="1:27" x14ac:dyDescent="0.35">
      <c r="B106" s="5"/>
      <c r="C106" s="5"/>
      <c r="D106" s="5"/>
      <c r="E106" s="5"/>
      <c r="F106" s="5"/>
      <c r="G106" s="5"/>
      <c r="H106" s="5"/>
      <c r="I106" s="5"/>
      <c r="J106" s="5"/>
      <c r="K106" s="5"/>
      <c r="L106" s="5"/>
      <c r="M106" s="5"/>
      <c r="N106" s="5"/>
      <c r="O106" s="5"/>
      <c r="P106" s="5"/>
      <c r="Q106" s="5"/>
      <c r="R106" s="49"/>
    </row>
    <row r="107" spans="1:27" x14ac:dyDescent="0.35">
      <c r="B107" s="5"/>
      <c r="C107" s="5"/>
      <c r="D107" s="5"/>
      <c r="E107" s="5"/>
      <c r="F107" s="5"/>
      <c r="G107" s="5"/>
      <c r="H107" s="5"/>
      <c r="I107" s="5"/>
      <c r="J107" s="5"/>
      <c r="K107" s="5"/>
      <c r="L107" s="5"/>
      <c r="M107" s="5"/>
      <c r="N107" s="5"/>
      <c r="O107" s="5"/>
      <c r="P107" s="5"/>
      <c r="Q107" s="5"/>
      <c r="R107" s="49"/>
    </row>
    <row r="108" spans="1:27" x14ac:dyDescent="0.35">
      <c r="B108" s="5"/>
      <c r="C108" s="5"/>
      <c r="D108" s="5"/>
      <c r="E108" s="5"/>
      <c r="F108" s="5"/>
      <c r="G108" s="5"/>
      <c r="H108" s="5"/>
      <c r="I108" s="5"/>
      <c r="J108" s="5"/>
      <c r="K108" s="5"/>
      <c r="L108" s="5"/>
      <c r="M108" s="5"/>
      <c r="N108" s="5"/>
      <c r="O108" s="5"/>
      <c r="P108" s="5"/>
      <c r="Q108" s="5"/>
      <c r="R108" s="49"/>
    </row>
    <row r="109" spans="1:27" x14ac:dyDescent="0.35">
      <c r="B109" s="5"/>
      <c r="C109" s="5"/>
      <c r="D109" s="5"/>
      <c r="E109" s="5"/>
      <c r="F109" s="5"/>
      <c r="G109" s="5"/>
      <c r="H109" s="5"/>
      <c r="I109" s="5"/>
      <c r="J109" s="5"/>
      <c r="K109" s="5"/>
      <c r="L109" s="5"/>
      <c r="M109" s="5"/>
      <c r="N109" s="5"/>
      <c r="O109" s="5"/>
      <c r="P109" s="5"/>
      <c r="Q109" s="5"/>
      <c r="R109" s="49"/>
    </row>
    <row r="110" spans="1:27" x14ac:dyDescent="0.35">
      <c r="R110" s="49"/>
    </row>
    <row r="111" spans="1:27" x14ac:dyDescent="0.35">
      <c r="R111" s="49"/>
    </row>
    <row r="112" spans="1:27" x14ac:dyDescent="0.35">
      <c r="R112" s="49"/>
    </row>
    <row r="113" spans="18:18" x14ac:dyDescent="0.35">
      <c r="R113" s="49"/>
    </row>
    <row r="114" spans="18:18" x14ac:dyDescent="0.35">
      <c r="R114" s="49"/>
    </row>
    <row r="115" spans="18:18" x14ac:dyDescent="0.35">
      <c r="R115" s="49"/>
    </row>
    <row r="116" spans="18:18" x14ac:dyDescent="0.35">
      <c r="R116" s="49"/>
    </row>
    <row r="117" spans="18:18" x14ac:dyDescent="0.35">
      <c r="R117" s="49"/>
    </row>
    <row r="118" spans="18:18" x14ac:dyDescent="0.35">
      <c r="R118" s="49"/>
    </row>
    <row r="119" spans="18:18" x14ac:dyDescent="0.35">
      <c r="R119" s="49"/>
    </row>
    <row r="120" spans="18:18" x14ac:dyDescent="0.35">
      <c r="R120" s="49"/>
    </row>
    <row r="121" spans="18:18" x14ac:dyDescent="0.35">
      <c r="R121" s="49"/>
    </row>
    <row r="122" spans="18:18" x14ac:dyDescent="0.35">
      <c r="R122" s="49"/>
    </row>
    <row r="123" spans="18:18" x14ac:dyDescent="0.35">
      <c r="R123" s="49"/>
    </row>
    <row r="124" spans="18:18" x14ac:dyDescent="0.35">
      <c r="R124" s="49"/>
    </row>
    <row r="125" spans="18:18" x14ac:dyDescent="0.35">
      <c r="R125" s="49"/>
    </row>
    <row r="126" spans="18:18" x14ac:dyDescent="0.35">
      <c r="R126" s="49"/>
    </row>
    <row r="127" spans="18:18" x14ac:dyDescent="0.35">
      <c r="R127" s="49"/>
    </row>
    <row r="128" spans="18:18" x14ac:dyDescent="0.35">
      <c r="R128" s="49"/>
    </row>
    <row r="129" spans="18:18" x14ac:dyDescent="0.35">
      <c r="R129" s="49"/>
    </row>
    <row r="130" spans="18:18" x14ac:dyDescent="0.35">
      <c r="R130" s="49"/>
    </row>
    <row r="131" spans="18:18" x14ac:dyDescent="0.35">
      <c r="R131" s="49"/>
    </row>
    <row r="132" spans="18:18" x14ac:dyDescent="0.35">
      <c r="R132" s="49"/>
    </row>
    <row r="133" spans="18:18" x14ac:dyDescent="0.35">
      <c r="R133" s="49"/>
    </row>
    <row r="134" spans="18:18" x14ac:dyDescent="0.35">
      <c r="R134" s="49"/>
    </row>
    <row r="135" spans="18:18" x14ac:dyDescent="0.35">
      <c r="R135" s="49"/>
    </row>
    <row r="136" spans="18:18" x14ac:dyDescent="0.35">
      <c r="R136" s="49"/>
    </row>
    <row r="137" spans="18:18" x14ac:dyDescent="0.35">
      <c r="R137" s="49"/>
    </row>
    <row r="138" spans="18:18" x14ac:dyDescent="0.35">
      <c r="R138" s="49"/>
    </row>
    <row r="139" spans="18:18" x14ac:dyDescent="0.35">
      <c r="R139" s="49"/>
    </row>
    <row r="140" spans="18:18" x14ac:dyDescent="0.35">
      <c r="R140" s="49"/>
    </row>
    <row r="141" spans="18:18" x14ac:dyDescent="0.35">
      <c r="R141" s="49"/>
    </row>
    <row r="142" spans="18:18" x14ac:dyDescent="0.35">
      <c r="R142" s="49"/>
    </row>
    <row r="143" spans="18:18" x14ac:dyDescent="0.35">
      <c r="R143" s="49"/>
    </row>
    <row r="144" spans="18:18" x14ac:dyDescent="0.35">
      <c r="R144" s="49"/>
    </row>
    <row r="145" spans="18:18" x14ac:dyDescent="0.35">
      <c r="R145" s="49"/>
    </row>
    <row r="146" spans="18:18" x14ac:dyDescent="0.35">
      <c r="R146" s="49"/>
    </row>
    <row r="147" spans="18:18" x14ac:dyDescent="0.35">
      <c r="R147" s="49"/>
    </row>
    <row r="148" spans="18:18" x14ac:dyDescent="0.35">
      <c r="R148" s="49"/>
    </row>
    <row r="149" spans="18:18" x14ac:dyDescent="0.35">
      <c r="R149" s="49"/>
    </row>
    <row r="150" spans="18:18" x14ac:dyDescent="0.35">
      <c r="R150" s="49"/>
    </row>
    <row r="151" spans="18:18" x14ac:dyDescent="0.35">
      <c r="R151" s="49"/>
    </row>
    <row r="152" spans="18:18" x14ac:dyDescent="0.35">
      <c r="R152" s="49"/>
    </row>
    <row r="153" spans="18:18" x14ac:dyDescent="0.35">
      <c r="R153" s="49"/>
    </row>
    <row r="154" spans="18:18" x14ac:dyDescent="0.35">
      <c r="R154" s="49"/>
    </row>
    <row r="155" spans="18:18" x14ac:dyDescent="0.35">
      <c r="R155" s="49"/>
    </row>
    <row r="156" spans="18:18" x14ac:dyDescent="0.35">
      <c r="R156" s="49"/>
    </row>
    <row r="157" spans="18:18" x14ac:dyDescent="0.35">
      <c r="R157" s="49"/>
    </row>
    <row r="158" spans="18:18" x14ac:dyDescent="0.35">
      <c r="R158" s="49"/>
    </row>
    <row r="159" spans="18:18" x14ac:dyDescent="0.35">
      <c r="R159" s="49"/>
    </row>
    <row r="160" spans="18:18" x14ac:dyDescent="0.35">
      <c r="R160" s="49"/>
    </row>
    <row r="161" spans="18:18" x14ac:dyDescent="0.35">
      <c r="R161" s="49"/>
    </row>
    <row r="162" spans="18:18" x14ac:dyDescent="0.35">
      <c r="R162" s="49"/>
    </row>
    <row r="163" spans="18:18" x14ac:dyDescent="0.35">
      <c r="R163" s="49"/>
    </row>
    <row r="164" spans="18:18" x14ac:dyDescent="0.35">
      <c r="R164" s="49"/>
    </row>
    <row r="165" spans="18:18" x14ac:dyDescent="0.35">
      <c r="R165" s="49"/>
    </row>
    <row r="166" spans="18:18" x14ac:dyDescent="0.35">
      <c r="R166" s="49"/>
    </row>
    <row r="167" spans="18:18" x14ac:dyDescent="0.35">
      <c r="R167" s="49"/>
    </row>
    <row r="168" spans="18:18" x14ac:dyDescent="0.35">
      <c r="R168" s="49"/>
    </row>
    <row r="169" spans="18:18" x14ac:dyDescent="0.35">
      <c r="R169" s="49"/>
    </row>
    <row r="170" spans="18:18" x14ac:dyDescent="0.35">
      <c r="R170" s="49"/>
    </row>
    <row r="171" spans="18:18" x14ac:dyDescent="0.35">
      <c r="R171" s="49"/>
    </row>
    <row r="172" spans="18:18" x14ac:dyDescent="0.35">
      <c r="R172" s="49"/>
    </row>
    <row r="173" spans="18:18" x14ac:dyDescent="0.35">
      <c r="R173" s="49"/>
    </row>
    <row r="174" spans="18:18" x14ac:dyDescent="0.35">
      <c r="R174" s="49"/>
    </row>
    <row r="175" spans="18:18" x14ac:dyDescent="0.35">
      <c r="R175" s="49"/>
    </row>
    <row r="176" spans="18:18" x14ac:dyDescent="0.35">
      <c r="R176" s="49"/>
    </row>
    <row r="177" spans="18:18" x14ac:dyDescent="0.35">
      <c r="R177" s="49"/>
    </row>
    <row r="178" spans="18:18" x14ac:dyDescent="0.35">
      <c r="R178" s="49"/>
    </row>
    <row r="179" spans="18:18" x14ac:dyDescent="0.35">
      <c r="R179" s="49"/>
    </row>
    <row r="180" spans="18:18" x14ac:dyDescent="0.35">
      <c r="R180" s="49"/>
    </row>
    <row r="181" spans="18:18" x14ac:dyDescent="0.35">
      <c r="R181" s="49"/>
    </row>
    <row r="182" spans="18:18" x14ac:dyDescent="0.35">
      <c r="R182" s="49"/>
    </row>
    <row r="183" spans="18:18" x14ac:dyDescent="0.35">
      <c r="R183" s="49"/>
    </row>
    <row r="184" spans="18:18" x14ac:dyDescent="0.35">
      <c r="R184" s="49"/>
    </row>
    <row r="185" spans="18:18" x14ac:dyDescent="0.35">
      <c r="R185" s="49"/>
    </row>
    <row r="186" spans="18:18" x14ac:dyDescent="0.35">
      <c r="R186" s="49"/>
    </row>
    <row r="187" spans="18:18" x14ac:dyDescent="0.35">
      <c r="R187" s="49"/>
    </row>
    <row r="188" spans="18:18" x14ac:dyDescent="0.35">
      <c r="R188" s="49"/>
    </row>
    <row r="189" spans="18:18" x14ac:dyDescent="0.35">
      <c r="R189" s="49"/>
    </row>
    <row r="190" spans="18:18" x14ac:dyDescent="0.35">
      <c r="R190" s="49"/>
    </row>
    <row r="191" spans="18:18" x14ac:dyDescent="0.35">
      <c r="R191" s="49"/>
    </row>
    <row r="192" spans="18:18" x14ac:dyDescent="0.35">
      <c r="R192" s="49"/>
    </row>
    <row r="193" spans="18:18" x14ac:dyDescent="0.35">
      <c r="R193" s="49"/>
    </row>
    <row r="194" spans="18:18" x14ac:dyDescent="0.35">
      <c r="R194" s="49"/>
    </row>
    <row r="195" spans="18:18" x14ac:dyDescent="0.35">
      <c r="R195" s="49"/>
    </row>
    <row r="196" spans="18:18" x14ac:dyDescent="0.35">
      <c r="R196" s="49"/>
    </row>
    <row r="197" spans="18:18" x14ac:dyDescent="0.35">
      <c r="R197" s="49"/>
    </row>
    <row r="198" spans="18:18" x14ac:dyDescent="0.35">
      <c r="R198" s="49"/>
    </row>
    <row r="199" spans="18:18" x14ac:dyDescent="0.35">
      <c r="R199" s="49"/>
    </row>
    <row r="200" spans="18:18" x14ac:dyDescent="0.35">
      <c r="R200" s="49"/>
    </row>
    <row r="201" spans="18:18" x14ac:dyDescent="0.35">
      <c r="R201" s="49"/>
    </row>
    <row r="202" spans="18:18" x14ac:dyDescent="0.35">
      <c r="R202" s="49"/>
    </row>
    <row r="203" spans="18:18" x14ac:dyDescent="0.35">
      <c r="R203" s="49"/>
    </row>
    <row r="204" spans="18:18" x14ac:dyDescent="0.35">
      <c r="R204" s="49"/>
    </row>
    <row r="205" spans="18:18" x14ac:dyDescent="0.35">
      <c r="R205" s="49"/>
    </row>
    <row r="206" spans="18:18" x14ac:dyDescent="0.35">
      <c r="R206" s="49"/>
    </row>
    <row r="207" spans="18:18" x14ac:dyDescent="0.35">
      <c r="R207" s="49"/>
    </row>
    <row r="208" spans="18:18" x14ac:dyDescent="0.35">
      <c r="R208" s="49"/>
    </row>
    <row r="209" spans="18:18" x14ac:dyDescent="0.35">
      <c r="R209" s="49"/>
    </row>
    <row r="210" spans="18:18" x14ac:dyDescent="0.35">
      <c r="R210" s="49"/>
    </row>
    <row r="211" spans="18:18" x14ac:dyDescent="0.35">
      <c r="R211" s="49"/>
    </row>
    <row r="212" spans="18:18" x14ac:dyDescent="0.35">
      <c r="R212" s="49"/>
    </row>
    <row r="213" spans="18:18" x14ac:dyDescent="0.35">
      <c r="R213" s="49"/>
    </row>
    <row r="214" spans="18:18" x14ac:dyDescent="0.35">
      <c r="R214" s="49"/>
    </row>
    <row r="215" spans="18:18" x14ac:dyDescent="0.35">
      <c r="R215" s="49"/>
    </row>
    <row r="216" spans="18:18" x14ac:dyDescent="0.35">
      <c r="R216" s="49"/>
    </row>
    <row r="217" spans="18:18" x14ac:dyDescent="0.35">
      <c r="R217" s="49"/>
    </row>
    <row r="218" spans="18:18" x14ac:dyDescent="0.35">
      <c r="R218" s="49"/>
    </row>
    <row r="219" spans="18:18" x14ac:dyDescent="0.35">
      <c r="R219" s="49"/>
    </row>
    <row r="220" spans="18:18" x14ac:dyDescent="0.35">
      <c r="R220" s="49"/>
    </row>
    <row r="221" spans="18:18" x14ac:dyDescent="0.35">
      <c r="R221" s="49"/>
    </row>
    <row r="222" spans="18:18" x14ac:dyDescent="0.35">
      <c r="R222" s="49"/>
    </row>
    <row r="223" spans="18:18" x14ac:dyDescent="0.35">
      <c r="R223" s="49"/>
    </row>
    <row r="224" spans="18:18" x14ac:dyDescent="0.35">
      <c r="R224" s="49"/>
    </row>
    <row r="225" spans="18:18" x14ac:dyDescent="0.35">
      <c r="R225" s="49"/>
    </row>
    <row r="226" spans="18:18" x14ac:dyDescent="0.35">
      <c r="R226" s="49"/>
    </row>
    <row r="227" spans="18:18" x14ac:dyDescent="0.35">
      <c r="R227" s="49"/>
    </row>
    <row r="228" spans="18:18" x14ac:dyDescent="0.35">
      <c r="R228" s="49"/>
    </row>
    <row r="229" spans="18:18" x14ac:dyDescent="0.35">
      <c r="R229" s="49"/>
    </row>
    <row r="230" spans="18:18" x14ac:dyDescent="0.35">
      <c r="R230" s="49"/>
    </row>
    <row r="231" spans="18:18" x14ac:dyDescent="0.35">
      <c r="R231" s="49"/>
    </row>
    <row r="232" spans="18:18" x14ac:dyDescent="0.35">
      <c r="R232" s="49"/>
    </row>
    <row r="233" spans="18:18" x14ac:dyDescent="0.35">
      <c r="R233" s="49"/>
    </row>
    <row r="234" spans="18:18" x14ac:dyDescent="0.35">
      <c r="R234" s="49"/>
    </row>
    <row r="235" spans="18:18" x14ac:dyDescent="0.35">
      <c r="R235" s="49"/>
    </row>
    <row r="236" spans="18:18" x14ac:dyDescent="0.35">
      <c r="R236" s="49"/>
    </row>
    <row r="237" spans="18:18" x14ac:dyDescent="0.35">
      <c r="R237" s="49"/>
    </row>
    <row r="238" spans="18:18" x14ac:dyDescent="0.35">
      <c r="R238" s="49"/>
    </row>
    <row r="239" spans="18:18" x14ac:dyDescent="0.35">
      <c r="R239" s="49"/>
    </row>
    <row r="240" spans="18:18" x14ac:dyDescent="0.35">
      <c r="R240" s="49"/>
    </row>
    <row r="241" spans="18:18" x14ac:dyDescent="0.35">
      <c r="R241" s="49"/>
    </row>
    <row r="242" spans="18:18" x14ac:dyDescent="0.35">
      <c r="R242" s="49"/>
    </row>
    <row r="243" spans="18:18" x14ac:dyDescent="0.35">
      <c r="R243" s="49"/>
    </row>
    <row r="244" spans="18:18" x14ac:dyDescent="0.35">
      <c r="R244" s="49"/>
    </row>
    <row r="245" spans="18:18" x14ac:dyDescent="0.35">
      <c r="R245" s="49"/>
    </row>
    <row r="246" spans="18:18" x14ac:dyDescent="0.35">
      <c r="R246" s="49"/>
    </row>
    <row r="247" spans="18:18" x14ac:dyDescent="0.35">
      <c r="R247" s="49"/>
    </row>
    <row r="248" spans="18:18" x14ac:dyDescent="0.35">
      <c r="R248" s="49"/>
    </row>
    <row r="249" spans="18:18" x14ac:dyDescent="0.35">
      <c r="R249" s="49"/>
    </row>
    <row r="250" spans="18:18" x14ac:dyDescent="0.35">
      <c r="R250" s="49"/>
    </row>
    <row r="251" spans="18:18" x14ac:dyDescent="0.35">
      <c r="R251" s="49"/>
    </row>
    <row r="252" spans="18:18" x14ac:dyDescent="0.35">
      <c r="R252" s="49"/>
    </row>
    <row r="253" spans="18:18" x14ac:dyDescent="0.35">
      <c r="R253" s="49"/>
    </row>
    <row r="254" spans="18:18" x14ac:dyDescent="0.35">
      <c r="R254" s="49"/>
    </row>
    <row r="255" spans="18:18" x14ac:dyDescent="0.35">
      <c r="R255" s="49"/>
    </row>
    <row r="256" spans="18:18" x14ac:dyDescent="0.35">
      <c r="R256" s="49"/>
    </row>
    <row r="257" spans="18:18" x14ac:dyDescent="0.35">
      <c r="R257" s="49"/>
    </row>
    <row r="258" spans="18:18" x14ac:dyDescent="0.35">
      <c r="R258" s="49"/>
    </row>
    <row r="259" spans="18:18" x14ac:dyDescent="0.35">
      <c r="R259" s="49"/>
    </row>
    <row r="260" spans="18:18" x14ac:dyDescent="0.35">
      <c r="R260" s="49"/>
    </row>
    <row r="261" spans="18:18" x14ac:dyDescent="0.35">
      <c r="R261" s="49"/>
    </row>
    <row r="262" spans="18:18" x14ac:dyDescent="0.35">
      <c r="R262" s="49"/>
    </row>
    <row r="263" spans="18:18" x14ac:dyDescent="0.35">
      <c r="R263" s="49"/>
    </row>
    <row r="264" spans="18:18" x14ac:dyDescent="0.35">
      <c r="R264" s="49"/>
    </row>
    <row r="265" spans="18:18" x14ac:dyDescent="0.35">
      <c r="R265" s="49"/>
    </row>
    <row r="266" spans="18:18" x14ac:dyDescent="0.35">
      <c r="R266" s="49"/>
    </row>
    <row r="267" spans="18:18" x14ac:dyDescent="0.35">
      <c r="R267" s="49"/>
    </row>
    <row r="268" spans="18:18" x14ac:dyDescent="0.35">
      <c r="R268" s="49"/>
    </row>
    <row r="269" spans="18:18" x14ac:dyDescent="0.35">
      <c r="R269" s="49"/>
    </row>
    <row r="270" spans="18:18" x14ac:dyDescent="0.35">
      <c r="R270" s="49"/>
    </row>
    <row r="271" spans="18:18" x14ac:dyDescent="0.35">
      <c r="R271" s="49"/>
    </row>
    <row r="272" spans="18:18" x14ac:dyDescent="0.35">
      <c r="R272" s="49"/>
    </row>
    <row r="273" spans="18:18" x14ac:dyDescent="0.35">
      <c r="R273" s="49"/>
    </row>
    <row r="274" spans="18:18" x14ac:dyDescent="0.35">
      <c r="R274" s="49"/>
    </row>
    <row r="275" spans="18:18" x14ac:dyDescent="0.35">
      <c r="R275" s="49"/>
    </row>
    <row r="276" spans="18:18" x14ac:dyDescent="0.35">
      <c r="R276" s="49"/>
    </row>
    <row r="277" spans="18:18" x14ac:dyDescent="0.35">
      <c r="R277" s="49"/>
    </row>
    <row r="278" spans="18:18" x14ac:dyDescent="0.35">
      <c r="R278" s="49"/>
    </row>
    <row r="279" spans="18:18" x14ac:dyDescent="0.35">
      <c r="R279" s="49"/>
    </row>
    <row r="280" spans="18:18" x14ac:dyDescent="0.35">
      <c r="R280" s="49"/>
    </row>
    <row r="281" spans="18:18" x14ac:dyDescent="0.35">
      <c r="R281" s="49"/>
    </row>
    <row r="282" spans="18:18" x14ac:dyDescent="0.35">
      <c r="R282" s="49"/>
    </row>
    <row r="283" spans="18:18" x14ac:dyDescent="0.35">
      <c r="R283" s="49"/>
    </row>
    <row r="284" spans="18:18" x14ac:dyDescent="0.35">
      <c r="R284" s="49"/>
    </row>
    <row r="285" spans="18:18" x14ac:dyDescent="0.35">
      <c r="R285" s="49"/>
    </row>
    <row r="286" spans="18:18" x14ac:dyDescent="0.35">
      <c r="R286" s="49"/>
    </row>
    <row r="287" spans="18:18" x14ac:dyDescent="0.35">
      <c r="R287" s="49"/>
    </row>
    <row r="288" spans="18:18" x14ac:dyDescent="0.35">
      <c r="R288" s="49"/>
    </row>
    <row r="289" spans="18:18" x14ac:dyDescent="0.35">
      <c r="R289" s="49"/>
    </row>
    <row r="290" spans="18:18" x14ac:dyDescent="0.35">
      <c r="R290" s="49"/>
    </row>
    <row r="291" spans="18:18" x14ac:dyDescent="0.35">
      <c r="R291" s="49"/>
    </row>
    <row r="292" spans="18:18" x14ac:dyDescent="0.35">
      <c r="R292" s="49"/>
    </row>
    <row r="293" spans="18:18" x14ac:dyDescent="0.35">
      <c r="R293" s="49"/>
    </row>
    <row r="294" spans="18:18" x14ac:dyDescent="0.35">
      <c r="R294" s="49"/>
    </row>
    <row r="295" spans="18:18" x14ac:dyDescent="0.35">
      <c r="R295" s="49"/>
    </row>
    <row r="296" spans="18:18" x14ac:dyDescent="0.35">
      <c r="R296" s="49"/>
    </row>
    <row r="297" spans="18:18" x14ac:dyDescent="0.35">
      <c r="R297" s="49"/>
    </row>
    <row r="298" spans="18:18" x14ac:dyDescent="0.35">
      <c r="R298" s="49"/>
    </row>
    <row r="299" spans="18:18" x14ac:dyDescent="0.35">
      <c r="R299" s="49"/>
    </row>
    <row r="300" spans="18:18" x14ac:dyDescent="0.35">
      <c r="R300" s="49"/>
    </row>
    <row r="301" spans="18:18" x14ac:dyDescent="0.35">
      <c r="R301" s="49"/>
    </row>
    <row r="302" spans="18:18" x14ac:dyDescent="0.35">
      <c r="R302" s="49"/>
    </row>
    <row r="303" spans="18:18" x14ac:dyDescent="0.35">
      <c r="R303" s="49"/>
    </row>
    <row r="304" spans="18:18" x14ac:dyDescent="0.35">
      <c r="R304" s="49"/>
    </row>
    <row r="305" spans="18:18" x14ac:dyDescent="0.35">
      <c r="R305" s="49"/>
    </row>
    <row r="306" spans="18:18" x14ac:dyDescent="0.35">
      <c r="R306" s="49"/>
    </row>
    <row r="307" spans="18:18" x14ac:dyDescent="0.35">
      <c r="R307" s="49"/>
    </row>
    <row r="308" spans="18:18" x14ac:dyDescent="0.35">
      <c r="R308" s="49"/>
    </row>
    <row r="309" spans="18:18" x14ac:dyDescent="0.35">
      <c r="R309" s="49"/>
    </row>
    <row r="310" spans="18:18" x14ac:dyDescent="0.35">
      <c r="R310" s="49"/>
    </row>
    <row r="311" spans="18:18" x14ac:dyDescent="0.35">
      <c r="R311" s="49"/>
    </row>
    <row r="312" spans="18:18" x14ac:dyDescent="0.35">
      <c r="R312" s="49"/>
    </row>
    <row r="313" spans="18:18" x14ac:dyDescent="0.35">
      <c r="R313" s="49"/>
    </row>
    <row r="314" spans="18:18" x14ac:dyDescent="0.35">
      <c r="R314" s="49"/>
    </row>
    <row r="315" spans="18:18" x14ac:dyDescent="0.35">
      <c r="R315" s="49"/>
    </row>
    <row r="316" spans="18:18" x14ac:dyDescent="0.35">
      <c r="R316" s="49"/>
    </row>
    <row r="317" spans="18:18" x14ac:dyDescent="0.35">
      <c r="R317" s="49"/>
    </row>
    <row r="318" spans="18:18" x14ac:dyDescent="0.35">
      <c r="R318" s="49"/>
    </row>
    <row r="319" spans="18:18" x14ac:dyDescent="0.35">
      <c r="R319" s="49"/>
    </row>
    <row r="320" spans="18:18" x14ac:dyDescent="0.35">
      <c r="R320" s="49"/>
    </row>
    <row r="321" spans="18:18" x14ac:dyDescent="0.35">
      <c r="R321" s="49"/>
    </row>
    <row r="322" spans="18:18" x14ac:dyDescent="0.35">
      <c r="R322" s="49"/>
    </row>
    <row r="323" spans="18:18" x14ac:dyDescent="0.35">
      <c r="R323" s="49"/>
    </row>
    <row r="324" spans="18:18" x14ac:dyDescent="0.35">
      <c r="R324" s="49"/>
    </row>
    <row r="325" spans="18:18" x14ac:dyDescent="0.35">
      <c r="R325" s="49"/>
    </row>
    <row r="326" spans="18:18" x14ac:dyDescent="0.35">
      <c r="R326" s="49"/>
    </row>
    <row r="327" spans="18:18" x14ac:dyDescent="0.35">
      <c r="R327" s="49"/>
    </row>
    <row r="328" spans="18:18" x14ac:dyDescent="0.35">
      <c r="R328" s="49"/>
    </row>
    <row r="329" spans="18:18" x14ac:dyDescent="0.35">
      <c r="R329" s="49"/>
    </row>
    <row r="330" spans="18:18" x14ac:dyDescent="0.35">
      <c r="R330" s="49"/>
    </row>
    <row r="331" spans="18:18" x14ac:dyDescent="0.35">
      <c r="R331" s="49"/>
    </row>
    <row r="332" spans="18:18" x14ac:dyDescent="0.35">
      <c r="R332" s="49"/>
    </row>
    <row r="333" spans="18:18" x14ac:dyDescent="0.35">
      <c r="R333" s="49"/>
    </row>
    <row r="334" spans="18:18" x14ac:dyDescent="0.35">
      <c r="R334" s="49"/>
    </row>
    <row r="335" spans="18:18" x14ac:dyDescent="0.35">
      <c r="R335" s="49"/>
    </row>
    <row r="336" spans="18:18" x14ac:dyDescent="0.35">
      <c r="R336" s="49"/>
    </row>
    <row r="337" spans="18:18" x14ac:dyDescent="0.35">
      <c r="R337" s="49"/>
    </row>
    <row r="338" spans="18:18" x14ac:dyDescent="0.35">
      <c r="R338" s="49"/>
    </row>
    <row r="339" spans="18:18" x14ac:dyDescent="0.35">
      <c r="R339" s="49"/>
    </row>
    <row r="340" spans="18:18" x14ac:dyDescent="0.35">
      <c r="R340" s="49"/>
    </row>
    <row r="341" spans="18:18" x14ac:dyDescent="0.35">
      <c r="R341" s="49"/>
    </row>
    <row r="342" spans="18:18" x14ac:dyDescent="0.35">
      <c r="R342" s="49"/>
    </row>
    <row r="343" spans="18:18" x14ac:dyDescent="0.35">
      <c r="R343" s="49"/>
    </row>
    <row r="344" spans="18:18" x14ac:dyDescent="0.35">
      <c r="R344" s="49"/>
    </row>
    <row r="345" spans="18:18" x14ac:dyDescent="0.35">
      <c r="R345" s="49"/>
    </row>
    <row r="346" spans="18:18" x14ac:dyDescent="0.35">
      <c r="R346" s="49"/>
    </row>
    <row r="347" spans="18:18" x14ac:dyDescent="0.35">
      <c r="R347" s="49"/>
    </row>
    <row r="348" spans="18:18" x14ac:dyDescent="0.35">
      <c r="R348" s="49"/>
    </row>
    <row r="349" spans="18:18" x14ac:dyDescent="0.35">
      <c r="R349" s="49"/>
    </row>
    <row r="350" spans="18:18" x14ac:dyDescent="0.35">
      <c r="R350" s="49"/>
    </row>
    <row r="351" spans="18:18" x14ac:dyDescent="0.35">
      <c r="R351" s="49"/>
    </row>
    <row r="352" spans="18:18" x14ac:dyDescent="0.35">
      <c r="R352" s="49"/>
    </row>
    <row r="353" spans="18:18" x14ac:dyDescent="0.35">
      <c r="R353" s="49"/>
    </row>
    <row r="354" spans="18:18" x14ac:dyDescent="0.35">
      <c r="R354" s="49"/>
    </row>
    <row r="355" spans="18:18" x14ac:dyDescent="0.35">
      <c r="R355" s="49"/>
    </row>
    <row r="356" spans="18:18" x14ac:dyDescent="0.35">
      <c r="R356" s="49"/>
    </row>
    <row r="357" spans="18:18" x14ac:dyDescent="0.35">
      <c r="R357" s="49"/>
    </row>
    <row r="358" spans="18:18" x14ac:dyDescent="0.35">
      <c r="R358" s="49"/>
    </row>
    <row r="359" spans="18:18" x14ac:dyDescent="0.35">
      <c r="R359" s="49"/>
    </row>
    <row r="360" spans="18:18" x14ac:dyDescent="0.35">
      <c r="R360" s="49"/>
    </row>
    <row r="361" spans="18:18" x14ac:dyDescent="0.35">
      <c r="R361" s="49"/>
    </row>
    <row r="362" spans="18:18" x14ac:dyDescent="0.35">
      <c r="R362" s="49"/>
    </row>
    <row r="363" spans="18:18" x14ac:dyDescent="0.35">
      <c r="R363" s="49"/>
    </row>
    <row r="364" spans="18:18" x14ac:dyDescent="0.35">
      <c r="R364" s="49"/>
    </row>
    <row r="365" spans="18:18" x14ac:dyDescent="0.35">
      <c r="R365" s="49"/>
    </row>
    <row r="366" spans="18:18" x14ac:dyDescent="0.35">
      <c r="R366" s="49"/>
    </row>
    <row r="367" spans="18:18" x14ac:dyDescent="0.35">
      <c r="R367" s="49"/>
    </row>
    <row r="368" spans="18:18" x14ac:dyDescent="0.35">
      <c r="R368" s="49"/>
    </row>
    <row r="369" spans="18:18" x14ac:dyDescent="0.35">
      <c r="R369" s="49"/>
    </row>
    <row r="370" spans="18:18" x14ac:dyDescent="0.35">
      <c r="R370" s="49"/>
    </row>
    <row r="371" spans="18:18" x14ac:dyDescent="0.35">
      <c r="R371" s="49"/>
    </row>
    <row r="372" spans="18:18" x14ac:dyDescent="0.35">
      <c r="R372" s="49"/>
    </row>
    <row r="373" spans="18:18" x14ac:dyDescent="0.35">
      <c r="R373" s="49"/>
    </row>
    <row r="374" spans="18:18" x14ac:dyDescent="0.35">
      <c r="R374" s="49"/>
    </row>
    <row r="375" spans="18:18" x14ac:dyDescent="0.35">
      <c r="R375" s="49"/>
    </row>
    <row r="376" spans="18:18" x14ac:dyDescent="0.35">
      <c r="R376" s="49"/>
    </row>
    <row r="377" spans="18:18" x14ac:dyDescent="0.35">
      <c r="R377" s="49"/>
    </row>
    <row r="378" spans="18:18" x14ac:dyDescent="0.35">
      <c r="R378" s="49"/>
    </row>
    <row r="379" spans="18:18" x14ac:dyDescent="0.35">
      <c r="R379" s="49"/>
    </row>
    <row r="380" spans="18:18" x14ac:dyDescent="0.35">
      <c r="R380" s="49"/>
    </row>
    <row r="381" spans="18:18" x14ac:dyDescent="0.35">
      <c r="R381" s="49"/>
    </row>
    <row r="382" spans="18:18" x14ac:dyDescent="0.35">
      <c r="R382" s="49"/>
    </row>
    <row r="383" spans="18:18" x14ac:dyDescent="0.35">
      <c r="R383" s="49"/>
    </row>
    <row r="384" spans="18:18" x14ac:dyDescent="0.35">
      <c r="R384" s="49"/>
    </row>
    <row r="385" spans="18:18" x14ac:dyDescent="0.35">
      <c r="R385" s="49"/>
    </row>
    <row r="386" spans="18:18" x14ac:dyDescent="0.35">
      <c r="R386" s="49"/>
    </row>
    <row r="387" spans="18:18" x14ac:dyDescent="0.35">
      <c r="R387" s="49"/>
    </row>
    <row r="388" spans="18:18" x14ac:dyDescent="0.35">
      <c r="R388" s="49"/>
    </row>
    <row r="389" spans="18:18" x14ac:dyDescent="0.35">
      <c r="R389" s="49"/>
    </row>
    <row r="390" spans="18:18" x14ac:dyDescent="0.35">
      <c r="R390" s="49"/>
    </row>
    <row r="391" spans="18:18" x14ac:dyDescent="0.35">
      <c r="R391" s="49"/>
    </row>
    <row r="392" spans="18:18" x14ac:dyDescent="0.35">
      <c r="R392" s="49"/>
    </row>
    <row r="393" spans="18:18" x14ac:dyDescent="0.35">
      <c r="R393" s="49"/>
    </row>
    <row r="394" spans="18:18" x14ac:dyDescent="0.35">
      <c r="R394" s="49"/>
    </row>
    <row r="395" spans="18:18" x14ac:dyDescent="0.35">
      <c r="R395" s="49"/>
    </row>
    <row r="396" spans="18:18" x14ac:dyDescent="0.35">
      <c r="R396" s="49"/>
    </row>
    <row r="397" spans="18:18" x14ac:dyDescent="0.35">
      <c r="R397" s="49"/>
    </row>
    <row r="398" spans="18:18" x14ac:dyDescent="0.35">
      <c r="R398" s="49"/>
    </row>
    <row r="399" spans="18:18" x14ac:dyDescent="0.35">
      <c r="R399" s="49"/>
    </row>
    <row r="400" spans="18:18" x14ac:dyDescent="0.35">
      <c r="R400" s="49"/>
    </row>
    <row r="401" spans="18:18" x14ac:dyDescent="0.35">
      <c r="R401" s="49"/>
    </row>
    <row r="402" spans="18:18" x14ac:dyDescent="0.35">
      <c r="R402" s="49"/>
    </row>
    <row r="403" spans="18:18" x14ac:dyDescent="0.35">
      <c r="R403" s="49"/>
    </row>
    <row r="404" spans="18:18" x14ac:dyDescent="0.35">
      <c r="R404" s="49"/>
    </row>
    <row r="405" spans="18:18" x14ac:dyDescent="0.35">
      <c r="R405" s="49"/>
    </row>
    <row r="406" spans="18:18" x14ac:dyDescent="0.35">
      <c r="R406" s="49"/>
    </row>
    <row r="407" spans="18:18" x14ac:dyDescent="0.35">
      <c r="R407" s="49"/>
    </row>
    <row r="408" spans="18:18" x14ac:dyDescent="0.35">
      <c r="R408" s="49"/>
    </row>
    <row r="409" spans="18:18" x14ac:dyDescent="0.35">
      <c r="R409" s="49"/>
    </row>
    <row r="410" spans="18:18" x14ac:dyDescent="0.35">
      <c r="R410" s="49"/>
    </row>
    <row r="411" spans="18:18" x14ac:dyDescent="0.35">
      <c r="R411" s="49"/>
    </row>
    <row r="412" spans="18:18" x14ac:dyDescent="0.35">
      <c r="R412" s="49"/>
    </row>
    <row r="413" spans="18:18" x14ac:dyDescent="0.35">
      <c r="R413" s="49"/>
    </row>
    <row r="414" spans="18:18" x14ac:dyDescent="0.35">
      <c r="R414" s="49"/>
    </row>
    <row r="415" spans="18:18" x14ac:dyDescent="0.35">
      <c r="R415" s="49"/>
    </row>
    <row r="416" spans="18:18" x14ac:dyDescent="0.35">
      <c r="R416" s="49"/>
    </row>
    <row r="417" spans="18:18" x14ac:dyDescent="0.35">
      <c r="R417" s="49"/>
    </row>
    <row r="418" spans="18:18" x14ac:dyDescent="0.35">
      <c r="R418" s="49"/>
    </row>
    <row r="419" spans="18:18" x14ac:dyDescent="0.35">
      <c r="R419" s="49"/>
    </row>
    <row r="420" spans="18:18" x14ac:dyDescent="0.35">
      <c r="R420" s="49"/>
    </row>
    <row r="421" spans="18:18" x14ac:dyDescent="0.35">
      <c r="R421" s="49"/>
    </row>
    <row r="422" spans="18:18" x14ac:dyDescent="0.35">
      <c r="R422" s="49"/>
    </row>
    <row r="423" spans="18:18" x14ac:dyDescent="0.35">
      <c r="R423" s="49"/>
    </row>
    <row r="424" spans="18:18" x14ac:dyDescent="0.35">
      <c r="R424" s="49"/>
    </row>
    <row r="425" spans="18:18" x14ac:dyDescent="0.35">
      <c r="R425" s="49"/>
    </row>
    <row r="426" spans="18:18" x14ac:dyDescent="0.35">
      <c r="R426" s="49"/>
    </row>
    <row r="427" spans="18:18" x14ac:dyDescent="0.35">
      <c r="R427" s="49"/>
    </row>
    <row r="428" spans="18:18" x14ac:dyDescent="0.35">
      <c r="R428" s="49"/>
    </row>
    <row r="429" spans="18:18" x14ac:dyDescent="0.35">
      <c r="R429" s="49"/>
    </row>
    <row r="430" spans="18:18" x14ac:dyDescent="0.35">
      <c r="R430" s="49"/>
    </row>
    <row r="431" spans="18:18" x14ac:dyDescent="0.35">
      <c r="R431" s="49"/>
    </row>
    <row r="432" spans="18:18" x14ac:dyDescent="0.35">
      <c r="R432" s="49"/>
    </row>
    <row r="433" spans="18:18" x14ac:dyDescent="0.35">
      <c r="R433" s="49"/>
    </row>
    <row r="434" spans="18:18" x14ac:dyDescent="0.35">
      <c r="R434" s="49"/>
    </row>
    <row r="435" spans="18:18" x14ac:dyDescent="0.35">
      <c r="R435" s="49"/>
    </row>
    <row r="436" spans="18:18" x14ac:dyDescent="0.35">
      <c r="R436" s="49"/>
    </row>
    <row r="437" spans="18:18" x14ac:dyDescent="0.35">
      <c r="R437" s="49"/>
    </row>
    <row r="438" spans="18:18" x14ac:dyDescent="0.35">
      <c r="R438" s="49"/>
    </row>
    <row r="439" spans="18:18" x14ac:dyDescent="0.35">
      <c r="R439" s="49"/>
    </row>
    <row r="440" spans="18:18" x14ac:dyDescent="0.35">
      <c r="R440" s="49"/>
    </row>
    <row r="441" spans="18:18" x14ac:dyDescent="0.35">
      <c r="R441" s="49"/>
    </row>
    <row r="442" spans="18:18" x14ac:dyDescent="0.35">
      <c r="R442" s="49"/>
    </row>
    <row r="443" spans="18:18" x14ac:dyDescent="0.35">
      <c r="R443" s="49"/>
    </row>
    <row r="444" spans="18:18" x14ac:dyDescent="0.35">
      <c r="R444" s="49"/>
    </row>
    <row r="445" spans="18:18" x14ac:dyDescent="0.35">
      <c r="R445" s="49"/>
    </row>
    <row r="446" spans="18:18" x14ac:dyDescent="0.35">
      <c r="R446" s="49"/>
    </row>
    <row r="447" spans="18:18" x14ac:dyDescent="0.35">
      <c r="R447" s="49"/>
    </row>
    <row r="448" spans="18:18" x14ac:dyDescent="0.35">
      <c r="R448" s="49"/>
    </row>
    <row r="449" spans="18:18" x14ac:dyDescent="0.35">
      <c r="R449" s="49"/>
    </row>
    <row r="450" spans="18:18" x14ac:dyDescent="0.35">
      <c r="R450" s="49"/>
    </row>
    <row r="451" spans="18:18" x14ac:dyDescent="0.35">
      <c r="R451" s="49"/>
    </row>
    <row r="452" spans="18:18" x14ac:dyDescent="0.35">
      <c r="R452" s="49"/>
    </row>
    <row r="453" spans="18:18" x14ac:dyDescent="0.35">
      <c r="R453" s="49"/>
    </row>
    <row r="454" spans="18:18" x14ac:dyDescent="0.35">
      <c r="R454" s="49"/>
    </row>
    <row r="455" spans="18:18" x14ac:dyDescent="0.35">
      <c r="R455" s="49"/>
    </row>
    <row r="456" spans="18:18" x14ac:dyDescent="0.35">
      <c r="R456" s="49"/>
    </row>
    <row r="457" spans="18:18" x14ac:dyDescent="0.35">
      <c r="R457" s="49"/>
    </row>
    <row r="458" spans="18:18" x14ac:dyDescent="0.35">
      <c r="R458" s="49"/>
    </row>
    <row r="459" spans="18:18" x14ac:dyDescent="0.35">
      <c r="R459" s="49"/>
    </row>
    <row r="460" spans="18:18" x14ac:dyDescent="0.35">
      <c r="R460" s="49"/>
    </row>
    <row r="461" spans="18:18" x14ac:dyDescent="0.35">
      <c r="R461" s="49"/>
    </row>
    <row r="462" spans="18:18" x14ac:dyDescent="0.35">
      <c r="R462" s="49"/>
    </row>
    <row r="463" spans="18:18" x14ac:dyDescent="0.35">
      <c r="R463" s="49"/>
    </row>
    <row r="464" spans="18:18" x14ac:dyDescent="0.35">
      <c r="R464" s="49"/>
    </row>
    <row r="465" spans="18:18" x14ac:dyDescent="0.35">
      <c r="R465" s="49"/>
    </row>
    <row r="466" spans="18:18" x14ac:dyDescent="0.35">
      <c r="R466" s="49"/>
    </row>
    <row r="467" spans="18:18" x14ac:dyDescent="0.35">
      <c r="R467" s="49"/>
    </row>
    <row r="468" spans="18:18" x14ac:dyDescent="0.35">
      <c r="R468" s="49"/>
    </row>
    <row r="469" spans="18:18" x14ac:dyDescent="0.35">
      <c r="R469" s="49"/>
    </row>
    <row r="470" spans="18:18" x14ac:dyDescent="0.35">
      <c r="R470" s="49"/>
    </row>
    <row r="471" spans="18:18" x14ac:dyDescent="0.35">
      <c r="R471" s="49"/>
    </row>
    <row r="472" spans="18:18" x14ac:dyDescent="0.35">
      <c r="R472" s="49"/>
    </row>
    <row r="473" spans="18:18" x14ac:dyDescent="0.35">
      <c r="R473" s="49"/>
    </row>
    <row r="474" spans="18:18" x14ac:dyDescent="0.35">
      <c r="R474" s="49"/>
    </row>
    <row r="475" spans="18:18" x14ac:dyDescent="0.35">
      <c r="R475" s="49"/>
    </row>
    <row r="476" spans="18:18" x14ac:dyDescent="0.35">
      <c r="R476" s="49"/>
    </row>
    <row r="477" spans="18:18" x14ac:dyDescent="0.35">
      <c r="R477" s="49"/>
    </row>
    <row r="478" spans="18:18" x14ac:dyDescent="0.35">
      <c r="R478" s="49"/>
    </row>
    <row r="479" spans="18:18" x14ac:dyDescent="0.35">
      <c r="R479" s="49"/>
    </row>
    <row r="480" spans="18:18" x14ac:dyDescent="0.35">
      <c r="R480" s="49"/>
    </row>
    <row r="481" spans="18:18" x14ac:dyDescent="0.35">
      <c r="R481" s="49"/>
    </row>
    <row r="482" spans="18:18" x14ac:dyDescent="0.35">
      <c r="R482" s="49"/>
    </row>
    <row r="483" spans="18:18" x14ac:dyDescent="0.35">
      <c r="R483" s="49"/>
    </row>
    <row r="484" spans="18:18" x14ac:dyDescent="0.35">
      <c r="R484" s="49"/>
    </row>
    <row r="485" spans="18:18" x14ac:dyDescent="0.35">
      <c r="R485" s="49"/>
    </row>
    <row r="486" spans="18:18" x14ac:dyDescent="0.35">
      <c r="R486" s="49"/>
    </row>
    <row r="487" spans="18:18" x14ac:dyDescent="0.35">
      <c r="R487" s="49"/>
    </row>
    <row r="488" spans="18:18" x14ac:dyDescent="0.35">
      <c r="R488" s="49"/>
    </row>
    <row r="489" spans="18:18" x14ac:dyDescent="0.35">
      <c r="R489" s="49"/>
    </row>
    <row r="490" spans="18:18" x14ac:dyDescent="0.35">
      <c r="R490" s="49"/>
    </row>
    <row r="491" spans="18:18" x14ac:dyDescent="0.35">
      <c r="R491" s="49"/>
    </row>
    <row r="492" spans="18:18" x14ac:dyDescent="0.35">
      <c r="R492" s="49"/>
    </row>
    <row r="493" spans="18:18" x14ac:dyDescent="0.35">
      <c r="R493" s="49"/>
    </row>
    <row r="494" spans="18:18" x14ac:dyDescent="0.35">
      <c r="R494" s="49"/>
    </row>
    <row r="495" spans="18:18" x14ac:dyDescent="0.35">
      <c r="R495" s="49"/>
    </row>
    <row r="496" spans="18:18" x14ac:dyDescent="0.35">
      <c r="R496" s="49"/>
    </row>
    <row r="497" spans="18:18" x14ac:dyDescent="0.35">
      <c r="R497" s="49"/>
    </row>
    <row r="498" spans="18:18" x14ac:dyDescent="0.35">
      <c r="R498" s="49"/>
    </row>
    <row r="499" spans="18:18" x14ac:dyDescent="0.35">
      <c r="R499" s="49"/>
    </row>
    <row r="500" spans="18:18" x14ac:dyDescent="0.35">
      <c r="R500" s="49"/>
    </row>
    <row r="501" spans="18:18" x14ac:dyDescent="0.35">
      <c r="R501" s="49"/>
    </row>
    <row r="502" spans="18:18" x14ac:dyDescent="0.35">
      <c r="R502" s="49"/>
    </row>
    <row r="503" spans="18:18" x14ac:dyDescent="0.35">
      <c r="R503" s="49"/>
    </row>
    <row r="504" spans="18:18" x14ac:dyDescent="0.35">
      <c r="R504" s="49"/>
    </row>
    <row r="505" spans="18:18" x14ac:dyDescent="0.35">
      <c r="R505" s="49"/>
    </row>
    <row r="506" spans="18:18" x14ac:dyDescent="0.35">
      <c r="R506" s="49"/>
    </row>
    <row r="507" spans="18:18" x14ac:dyDescent="0.35">
      <c r="R507" s="49"/>
    </row>
    <row r="508" spans="18:18" x14ac:dyDescent="0.35">
      <c r="R508" s="49"/>
    </row>
    <row r="509" spans="18:18" x14ac:dyDescent="0.35">
      <c r="R509" s="49"/>
    </row>
    <row r="510" spans="18:18" x14ac:dyDescent="0.35">
      <c r="R510" s="49"/>
    </row>
    <row r="511" spans="18:18" x14ac:dyDescent="0.35">
      <c r="R511" s="49"/>
    </row>
    <row r="512" spans="18:18" x14ac:dyDescent="0.35">
      <c r="R512" s="49"/>
    </row>
    <row r="513" spans="18:18" x14ac:dyDescent="0.35">
      <c r="R513" s="49"/>
    </row>
    <row r="514" spans="18:18" x14ac:dyDescent="0.35">
      <c r="R514" s="49"/>
    </row>
    <row r="515" spans="18:18" x14ac:dyDescent="0.35">
      <c r="R515" s="49"/>
    </row>
    <row r="516" spans="18:18" x14ac:dyDescent="0.35">
      <c r="R516" s="49"/>
    </row>
    <row r="517" spans="18:18" x14ac:dyDescent="0.35">
      <c r="R517" s="49"/>
    </row>
    <row r="518" spans="18:18" x14ac:dyDescent="0.35">
      <c r="R518" s="49"/>
    </row>
    <row r="519" spans="18:18" x14ac:dyDescent="0.35">
      <c r="R519" s="49"/>
    </row>
    <row r="520" spans="18:18" x14ac:dyDescent="0.35">
      <c r="R520" s="49"/>
    </row>
    <row r="521" spans="18:18" x14ac:dyDescent="0.35">
      <c r="R521" s="49"/>
    </row>
    <row r="522" spans="18:18" x14ac:dyDescent="0.35">
      <c r="R522" s="49"/>
    </row>
    <row r="523" spans="18:18" x14ac:dyDescent="0.35">
      <c r="R523" s="49"/>
    </row>
    <row r="524" spans="18:18" x14ac:dyDescent="0.35">
      <c r="R524" s="49"/>
    </row>
    <row r="525" spans="18:18" x14ac:dyDescent="0.35">
      <c r="R525" s="49"/>
    </row>
    <row r="526" spans="18:18" x14ac:dyDescent="0.35">
      <c r="R526" s="49"/>
    </row>
    <row r="527" spans="18:18" x14ac:dyDescent="0.35">
      <c r="R527" s="49"/>
    </row>
    <row r="528" spans="18:18" x14ac:dyDescent="0.35">
      <c r="R528" s="49"/>
    </row>
    <row r="529" spans="18:18" x14ac:dyDescent="0.35">
      <c r="R529" s="49"/>
    </row>
    <row r="530" spans="18:18" x14ac:dyDescent="0.35">
      <c r="R530" s="49"/>
    </row>
    <row r="531" spans="18:18" x14ac:dyDescent="0.35">
      <c r="R531" s="49"/>
    </row>
    <row r="532" spans="18:18" x14ac:dyDescent="0.35">
      <c r="R532" s="49"/>
    </row>
    <row r="533" spans="18:18" x14ac:dyDescent="0.35">
      <c r="R533" s="49"/>
    </row>
    <row r="534" spans="18:18" x14ac:dyDescent="0.35">
      <c r="R534" s="49"/>
    </row>
    <row r="535" spans="18:18" x14ac:dyDescent="0.35">
      <c r="R535" s="49"/>
    </row>
    <row r="536" spans="18:18" x14ac:dyDescent="0.35">
      <c r="R536" s="49"/>
    </row>
    <row r="537" spans="18:18" x14ac:dyDescent="0.35">
      <c r="R537" s="49"/>
    </row>
    <row r="538" spans="18:18" x14ac:dyDescent="0.35">
      <c r="R538" s="49"/>
    </row>
    <row r="539" spans="18:18" x14ac:dyDescent="0.35">
      <c r="R539" s="49"/>
    </row>
    <row r="540" spans="18:18" x14ac:dyDescent="0.35">
      <c r="R540" s="49"/>
    </row>
    <row r="541" spans="18:18" x14ac:dyDescent="0.35">
      <c r="R541" s="49"/>
    </row>
    <row r="542" spans="18:18" x14ac:dyDescent="0.35">
      <c r="R542" s="49"/>
    </row>
    <row r="543" spans="18:18" x14ac:dyDescent="0.35">
      <c r="R543" s="49"/>
    </row>
    <row r="544" spans="18:18" x14ac:dyDescent="0.35">
      <c r="R544" s="49"/>
    </row>
    <row r="545" spans="18:18" x14ac:dyDescent="0.35">
      <c r="R545" s="49"/>
    </row>
    <row r="546" spans="18:18" x14ac:dyDescent="0.35">
      <c r="R546" s="49"/>
    </row>
    <row r="547" spans="18:18" x14ac:dyDescent="0.35">
      <c r="R547" s="49"/>
    </row>
    <row r="548" spans="18:18" x14ac:dyDescent="0.35">
      <c r="R548" s="49"/>
    </row>
    <row r="549" spans="18:18" x14ac:dyDescent="0.35">
      <c r="R549" s="49"/>
    </row>
    <row r="550" spans="18:18" x14ac:dyDescent="0.35">
      <c r="R550" s="49"/>
    </row>
    <row r="551" spans="18:18" x14ac:dyDescent="0.35">
      <c r="R551" s="49"/>
    </row>
    <row r="552" spans="18:18" x14ac:dyDescent="0.35">
      <c r="R552" s="49"/>
    </row>
    <row r="553" spans="18:18" x14ac:dyDescent="0.35">
      <c r="R553" s="49"/>
    </row>
    <row r="554" spans="18:18" x14ac:dyDescent="0.35">
      <c r="R554" s="49"/>
    </row>
    <row r="555" spans="18:18" x14ac:dyDescent="0.35">
      <c r="R555" s="49"/>
    </row>
    <row r="556" spans="18:18" x14ac:dyDescent="0.35">
      <c r="R556" s="49"/>
    </row>
    <row r="557" spans="18:18" x14ac:dyDescent="0.35">
      <c r="R557" s="49"/>
    </row>
    <row r="558" spans="18:18" x14ac:dyDescent="0.35">
      <c r="R558" s="49"/>
    </row>
    <row r="559" spans="18:18" x14ac:dyDescent="0.35">
      <c r="R559" s="49"/>
    </row>
    <row r="560" spans="18:18" x14ac:dyDescent="0.35">
      <c r="R560" s="49"/>
    </row>
    <row r="561" spans="18:18" x14ac:dyDescent="0.35">
      <c r="R561" s="49"/>
    </row>
    <row r="562" spans="18:18" x14ac:dyDescent="0.35">
      <c r="R562" s="49"/>
    </row>
    <row r="563" spans="18:18" x14ac:dyDescent="0.35">
      <c r="R563" s="49"/>
    </row>
    <row r="564" spans="18:18" x14ac:dyDescent="0.35">
      <c r="R564" s="49"/>
    </row>
    <row r="565" spans="18:18" x14ac:dyDescent="0.35">
      <c r="R565" s="49"/>
    </row>
    <row r="566" spans="18:18" x14ac:dyDescent="0.35">
      <c r="R566" s="49"/>
    </row>
    <row r="567" spans="18:18" x14ac:dyDescent="0.35">
      <c r="R567" s="49"/>
    </row>
    <row r="568" spans="18:18" x14ac:dyDescent="0.35">
      <c r="R568" s="49"/>
    </row>
    <row r="569" spans="18:18" x14ac:dyDescent="0.35">
      <c r="R569" s="49"/>
    </row>
    <row r="570" spans="18:18" x14ac:dyDescent="0.35">
      <c r="R570" s="49"/>
    </row>
    <row r="571" spans="18:18" x14ac:dyDescent="0.35">
      <c r="R571" s="49"/>
    </row>
    <row r="572" spans="18:18" x14ac:dyDescent="0.35">
      <c r="R572" s="49"/>
    </row>
    <row r="573" spans="18:18" x14ac:dyDescent="0.35">
      <c r="R573" s="49"/>
    </row>
    <row r="574" spans="18:18" x14ac:dyDescent="0.35">
      <c r="R574" s="49"/>
    </row>
    <row r="575" spans="18:18" x14ac:dyDescent="0.35">
      <c r="R575" s="49"/>
    </row>
    <row r="576" spans="18:18" x14ac:dyDescent="0.35">
      <c r="R576" s="49"/>
    </row>
    <row r="577" spans="18:18" x14ac:dyDescent="0.35">
      <c r="R577" s="49"/>
    </row>
    <row r="578" spans="18:18" x14ac:dyDescent="0.35">
      <c r="R578" s="49"/>
    </row>
    <row r="579" spans="18:18" x14ac:dyDescent="0.35">
      <c r="R579" s="49"/>
    </row>
    <row r="580" spans="18:18" x14ac:dyDescent="0.35">
      <c r="R580" s="49"/>
    </row>
    <row r="581" spans="18:18" x14ac:dyDescent="0.35">
      <c r="R581" s="49"/>
    </row>
    <row r="582" spans="18:18" x14ac:dyDescent="0.35">
      <c r="R582" s="49"/>
    </row>
    <row r="583" spans="18:18" x14ac:dyDescent="0.35">
      <c r="R583" s="49"/>
    </row>
    <row r="584" spans="18:18" x14ac:dyDescent="0.35">
      <c r="R584" s="49"/>
    </row>
    <row r="585" spans="18:18" x14ac:dyDescent="0.35">
      <c r="R585" s="49"/>
    </row>
    <row r="586" spans="18:18" x14ac:dyDescent="0.35">
      <c r="R586" s="49"/>
    </row>
    <row r="587" spans="18:18" x14ac:dyDescent="0.35">
      <c r="R587" s="49"/>
    </row>
    <row r="588" spans="18:18" x14ac:dyDescent="0.35">
      <c r="R588" s="49"/>
    </row>
    <row r="589" spans="18:18" x14ac:dyDescent="0.35">
      <c r="R589" s="49"/>
    </row>
    <row r="590" spans="18:18" x14ac:dyDescent="0.35">
      <c r="R590" s="49"/>
    </row>
    <row r="591" spans="18:18" x14ac:dyDescent="0.35">
      <c r="R591" s="49"/>
    </row>
    <row r="592" spans="18:18" x14ac:dyDescent="0.35">
      <c r="R592" s="49"/>
    </row>
    <row r="593" spans="18:18" x14ac:dyDescent="0.35">
      <c r="R593" s="49"/>
    </row>
    <row r="594" spans="18:18" x14ac:dyDescent="0.35">
      <c r="R594" s="49"/>
    </row>
    <row r="595" spans="18:18" x14ac:dyDescent="0.35">
      <c r="R595" s="49"/>
    </row>
    <row r="596" spans="18:18" x14ac:dyDescent="0.35">
      <c r="R596" s="49"/>
    </row>
    <row r="597" spans="18:18" x14ac:dyDescent="0.35">
      <c r="R597" s="49"/>
    </row>
    <row r="598" spans="18:18" x14ac:dyDescent="0.35">
      <c r="R598" s="49"/>
    </row>
    <row r="599" spans="18:18" x14ac:dyDescent="0.35">
      <c r="R599" s="49"/>
    </row>
    <row r="600" spans="18:18" x14ac:dyDescent="0.35">
      <c r="R600" s="49"/>
    </row>
    <row r="601" spans="18:18" x14ac:dyDescent="0.35">
      <c r="R601" s="49"/>
    </row>
    <row r="602" spans="18:18" x14ac:dyDescent="0.35">
      <c r="R602" s="49"/>
    </row>
    <row r="603" spans="18:18" x14ac:dyDescent="0.35">
      <c r="R603" s="49"/>
    </row>
    <row r="604" spans="18:18" x14ac:dyDescent="0.35">
      <c r="R604" s="49"/>
    </row>
    <row r="605" spans="18:18" x14ac:dyDescent="0.35">
      <c r="R605" s="49"/>
    </row>
    <row r="606" spans="18:18" x14ac:dyDescent="0.35">
      <c r="R606" s="49"/>
    </row>
    <row r="607" spans="18:18" x14ac:dyDescent="0.35">
      <c r="R607" s="49"/>
    </row>
    <row r="608" spans="18:18" x14ac:dyDescent="0.35">
      <c r="R608" s="49"/>
    </row>
    <row r="609" spans="18:18" x14ac:dyDescent="0.35">
      <c r="R609" s="49"/>
    </row>
    <row r="610" spans="18:18" x14ac:dyDescent="0.35">
      <c r="R610" s="49"/>
    </row>
    <row r="611" spans="18:18" x14ac:dyDescent="0.35">
      <c r="R611" s="49"/>
    </row>
    <row r="612" spans="18:18" x14ac:dyDescent="0.35">
      <c r="R612" s="49"/>
    </row>
    <row r="613" spans="18:18" x14ac:dyDescent="0.35">
      <c r="R613" s="49"/>
    </row>
    <row r="614" spans="18:18" x14ac:dyDescent="0.35">
      <c r="R614" s="49"/>
    </row>
    <row r="615" spans="18:18" x14ac:dyDescent="0.35">
      <c r="R615" s="49"/>
    </row>
    <row r="616" spans="18:18" x14ac:dyDescent="0.35">
      <c r="R616" s="49"/>
    </row>
    <row r="617" spans="18:18" x14ac:dyDescent="0.35">
      <c r="R617" s="49"/>
    </row>
    <row r="618" spans="18:18" x14ac:dyDescent="0.35">
      <c r="R618" s="49"/>
    </row>
    <row r="619" spans="18:18" x14ac:dyDescent="0.35">
      <c r="R619" s="49"/>
    </row>
    <row r="620" spans="18:18" x14ac:dyDescent="0.35">
      <c r="R620" s="49"/>
    </row>
    <row r="621" spans="18:18" x14ac:dyDescent="0.35">
      <c r="R621" s="49"/>
    </row>
    <row r="622" spans="18:18" x14ac:dyDescent="0.35">
      <c r="R622" s="49"/>
    </row>
    <row r="623" spans="18:18" x14ac:dyDescent="0.35">
      <c r="R623" s="49"/>
    </row>
    <row r="624" spans="18:18" x14ac:dyDescent="0.35">
      <c r="R624" s="49"/>
    </row>
    <row r="625" spans="18:18" x14ac:dyDescent="0.35">
      <c r="R625" s="49"/>
    </row>
    <row r="626" spans="18:18" x14ac:dyDescent="0.35">
      <c r="R626" s="49"/>
    </row>
    <row r="627" spans="18:18" x14ac:dyDescent="0.35">
      <c r="R627" s="49"/>
    </row>
    <row r="628" spans="18:18" x14ac:dyDescent="0.35">
      <c r="R628" s="49"/>
    </row>
    <row r="629" spans="18:18" x14ac:dyDescent="0.35">
      <c r="R629" s="49"/>
    </row>
    <row r="630" spans="18:18" x14ac:dyDescent="0.35">
      <c r="R630" s="49"/>
    </row>
    <row r="631" spans="18:18" x14ac:dyDescent="0.35">
      <c r="R631" s="49"/>
    </row>
    <row r="632" spans="18:18" x14ac:dyDescent="0.35">
      <c r="R632" s="49"/>
    </row>
    <row r="633" spans="18:18" x14ac:dyDescent="0.35">
      <c r="R633" s="49"/>
    </row>
    <row r="634" spans="18:18" x14ac:dyDescent="0.35">
      <c r="R634" s="49"/>
    </row>
    <row r="635" spans="18:18" x14ac:dyDescent="0.35">
      <c r="R635" s="49"/>
    </row>
    <row r="636" spans="18:18" x14ac:dyDescent="0.35">
      <c r="R636" s="49"/>
    </row>
    <row r="637" spans="18:18" x14ac:dyDescent="0.35">
      <c r="R637" s="49"/>
    </row>
    <row r="638" spans="18:18" x14ac:dyDescent="0.35">
      <c r="R638" s="49"/>
    </row>
    <row r="639" spans="18:18" x14ac:dyDescent="0.35">
      <c r="R639" s="49"/>
    </row>
    <row r="640" spans="18:18" x14ac:dyDescent="0.35">
      <c r="R640" s="49"/>
    </row>
    <row r="641" spans="18:18" x14ac:dyDescent="0.35">
      <c r="R641" s="49"/>
    </row>
    <row r="642" spans="18:18" x14ac:dyDescent="0.35">
      <c r="R642" s="49"/>
    </row>
    <row r="643" spans="18:18" x14ac:dyDescent="0.35">
      <c r="R643" s="49"/>
    </row>
    <row r="644" spans="18:18" x14ac:dyDescent="0.35">
      <c r="R644" s="49"/>
    </row>
    <row r="645" spans="18:18" x14ac:dyDescent="0.35">
      <c r="R645" s="49"/>
    </row>
    <row r="646" spans="18:18" x14ac:dyDescent="0.35">
      <c r="R646" s="49"/>
    </row>
    <row r="647" spans="18:18" x14ac:dyDescent="0.35">
      <c r="R647" s="49"/>
    </row>
    <row r="648" spans="18:18" x14ac:dyDescent="0.35">
      <c r="R648" s="49"/>
    </row>
    <row r="649" spans="18:18" x14ac:dyDescent="0.35">
      <c r="R649" s="49"/>
    </row>
    <row r="650" spans="18:18" x14ac:dyDescent="0.35">
      <c r="R650" s="49"/>
    </row>
    <row r="651" spans="18:18" x14ac:dyDescent="0.35">
      <c r="R651" s="49"/>
    </row>
    <row r="652" spans="18:18" x14ac:dyDescent="0.35">
      <c r="R652" s="49"/>
    </row>
    <row r="653" spans="18:18" x14ac:dyDescent="0.35">
      <c r="R653" s="49"/>
    </row>
    <row r="654" spans="18:18" x14ac:dyDescent="0.35">
      <c r="R654" s="49"/>
    </row>
    <row r="655" spans="18:18" x14ac:dyDescent="0.35">
      <c r="R655" s="49"/>
    </row>
    <row r="656" spans="18:18" x14ac:dyDescent="0.35">
      <c r="R656" s="49"/>
    </row>
    <row r="657" spans="18:18" x14ac:dyDescent="0.35">
      <c r="R657" s="49"/>
    </row>
    <row r="658" spans="18:18" x14ac:dyDescent="0.35">
      <c r="R658" s="49"/>
    </row>
    <row r="659" spans="18:18" x14ac:dyDescent="0.35">
      <c r="R659" s="49"/>
    </row>
    <row r="660" spans="18:18" x14ac:dyDescent="0.35">
      <c r="R660" s="49"/>
    </row>
    <row r="661" spans="18:18" x14ac:dyDescent="0.35">
      <c r="R661" s="49"/>
    </row>
    <row r="662" spans="18:18" x14ac:dyDescent="0.35">
      <c r="R662" s="49"/>
    </row>
    <row r="663" spans="18:18" x14ac:dyDescent="0.35">
      <c r="R663" s="49"/>
    </row>
    <row r="664" spans="18:18" x14ac:dyDescent="0.35">
      <c r="R664" s="49"/>
    </row>
    <row r="665" spans="18:18" x14ac:dyDescent="0.35">
      <c r="R665" s="49"/>
    </row>
    <row r="666" spans="18:18" x14ac:dyDescent="0.35">
      <c r="R666" s="49"/>
    </row>
    <row r="667" spans="18:18" x14ac:dyDescent="0.35">
      <c r="R667" s="49"/>
    </row>
    <row r="668" spans="18:18" x14ac:dyDescent="0.35">
      <c r="R668" s="49"/>
    </row>
    <row r="669" spans="18:18" x14ac:dyDescent="0.35">
      <c r="R669" s="49"/>
    </row>
    <row r="670" spans="18:18" x14ac:dyDescent="0.35">
      <c r="R670" s="49"/>
    </row>
    <row r="671" spans="18:18" x14ac:dyDescent="0.35">
      <c r="R671" s="49"/>
    </row>
    <row r="672" spans="18:18" x14ac:dyDescent="0.35">
      <c r="R672" s="49"/>
    </row>
    <row r="673" spans="18:18" x14ac:dyDescent="0.35">
      <c r="R673" s="49"/>
    </row>
    <row r="674" spans="18:18" x14ac:dyDescent="0.35">
      <c r="R674" s="49"/>
    </row>
    <row r="675" spans="18:18" x14ac:dyDescent="0.35">
      <c r="R675" s="49"/>
    </row>
    <row r="676" spans="18:18" x14ac:dyDescent="0.35">
      <c r="R676" s="49"/>
    </row>
    <row r="677" spans="18:18" x14ac:dyDescent="0.35">
      <c r="R677" s="49"/>
    </row>
    <row r="678" spans="18:18" x14ac:dyDescent="0.35">
      <c r="R678" s="49"/>
    </row>
    <row r="679" spans="18:18" x14ac:dyDescent="0.35">
      <c r="R679" s="49"/>
    </row>
    <row r="680" spans="18:18" x14ac:dyDescent="0.35">
      <c r="R680" s="49"/>
    </row>
    <row r="681" spans="18:18" x14ac:dyDescent="0.35">
      <c r="R681" s="49"/>
    </row>
    <row r="682" spans="18:18" x14ac:dyDescent="0.35">
      <c r="R682" s="49"/>
    </row>
    <row r="683" spans="18:18" x14ac:dyDescent="0.35">
      <c r="R683" s="49"/>
    </row>
    <row r="684" spans="18:18" x14ac:dyDescent="0.35">
      <c r="R684" s="49"/>
    </row>
    <row r="685" spans="18:18" x14ac:dyDescent="0.35">
      <c r="R685" s="49"/>
    </row>
    <row r="686" spans="18:18" x14ac:dyDescent="0.35">
      <c r="R686" s="49"/>
    </row>
    <row r="687" spans="18:18" x14ac:dyDescent="0.35">
      <c r="R687" s="49"/>
    </row>
    <row r="688" spans="18:18" x14ac:dyDescent="0.35">
      <c r="R688" s="49"/>
    </row>
    <row r="689" spans="18:18" x14ac:dyDescent="0.35">
      <c r="R689" s="49"/>
    </row>
    <row r="690" spans="18:18" x14ac:dyDescent="0.35">
      <c r="R690" s="49"/>
    </row>
    <row r="691" spans="18:18" x14ac:dyDescent="0.35">
      <c r="R691" s="49"/>
    </row>
    <row r="692" spans="18:18" x14ac:dyDescent="0.35">
      <c r="R692" s="49"/>
    </row>
    <row r="693" spans="18:18" x14ac:dyDescent="0.35">
      <c r="R693" s="49"/>
    </row>
    <row r="694" spans="18:18" x14ac:dyDescent="0.35">
      <c r="R694" s="49"/>
    </row>
    <row r="695" spans="18:18" x14ac:dyDescent="0.35">
      <c r="R695" s="49"/>
    </row>
    <row r="696" spans="18:18" x14ac:dyDescent="0.35">
      <c r="R696" s="49"/>
    </row>
    <row r="697" spans="18:18" x14ac:dyDescent="0.35">
      <c r="R697" s="49"/>
    </row>
    <row r="698" spans="18:18" x14ac:dyDescent="0.35">
      <c r="R698" s="49"/>
    </row>
    <row r="699" spans="18:18" x14ac:dyDescent="0.35">
      <c r="R699" s="49"/>
    </row>
    <row r="700" spans="18:18" x14ac:dyDescent="0.35">
      <c r="R700" s="49"/>
    </row>
    <row r="701" spans="18:18" x14ac:dyDescent="0.35">
      <c r="R701" s="49"/>
    </row>
    <row r="702" spans="18:18" x14ac:dyDescent="0.35">
      <c r="R702" s="49"/>
    </row>
    <row r="703" spans="18:18" x14ac:dyDescent="0.35">
      <c r="R703" s="49"/>
    </row>
    <row r="704" spans="18:18" x14ac:dyDescent="0.35">
      <c r="R704" s="49"/>
    </row>
    <row r="705" spans="18:18" x14ac:dyDescent="0.35">
      <c r="R705" s="49"/>
    </row>
    <row r="706" spans="18:18" x14ac:dyDescent="0.35">
      <c r="R706" s="49"/>
    </row>
    <row r="707" spans="18:18" x14ac:dyDescent="0.35">
      <c r="R707" s="49"/>
    </row>
    <row r="708" spans="18:18" x14ac:dyDescent="0.35">
      <c r="R708" s="49"/>
    </row>
    <row r="709" spans="18:18" x14ac:dyDescent="0.35">
      <c r="R709" s="49"/>
    </row>
    <row r="710" spans="18:18" x14ac:dyDescent="0.35">
      <c r="R710" s="49"/>
    </row>
    <row r="711" spans="18:18" x14ac:dyDescent="0.35">
      <c r="R711" s="49"/>
    </row>
    <row r="712" spans="18:18" x14ac:dyDescent="0.35">
      <c r="R712" s="49"/>
    </row>
    <row r="713" spans="18:18" x14ac:dyDescent="0.35">
      <c r="R713" s="49"/>
    </row>
    <row r="714" spans="18:18" x14ac:dyDescent="0.35">
      <c r="R714" s="49"/>
    </row>
    <row r="715" spans="18:18" x14ac:dyDescent="0.35">
      <c r="R715" s="49"/>
    </row>
    <row r="716" spans="18:18" x14ac:dyDescent="0.35">
      <c r="R716" s="49"/>
    </row>
    <row r="717" spans="18:18" x14ac:dyDescent="0.35">
      <c r="R717" s="49"/>
    </row>
    <row r="718" spans="18:18" x14ac:dyDescent="0.35">
      <c r="R718" s="49"/>
    </row>
    <row r="719" spans="18:18" x14ac:dyDescent="0.35">
      <c r="R719" s="49"/>
    </row>
    <row r="720" spans="18:18" x14ac:dyDescent="0.35">
      <c r="R720" s="49"/>
    </row>
    <row r="721" spans="18:18" x14ac:dyDescent="0.35">
      <c r="R721" s="49"/>
    </row>
    <row r="722" spans="18:18" x14ac:dyDescent="0.35">
      <c r="R722" s="49"/>
    </row>
    <row r="723" spans="18:18" x14ac:dyDescent="0.35">
      <c r="R723" s="49"/>
    </row>
    <row r="724" spans="18:18" x14ac:dyDescent="0.35">
      <c r="R724" s="49"/>
    </row>
    <row r="725" spans="18:18" x14ac:dyDescent="0.35">
      <c r="R725" s="49"/>
    </row>
    <row r="726" spans="18:18" x14ac:dyDescent="0.35">
      <c r="R726" s="49"/>
    </row>
    <row r="727" spans="18:18" x14ac:dyDescent="0.35">
      <c r="R727" s="49"/>
    </row>
    <row r="728" spans="18:18" x14ac:dyDescent="0.35">
      <c r="R728" s="49"/>
    </row>
    <row r="729" spans="18:18" x14ac:dyDescent="0.35">
      <c r="R729" s="49"/>
    </row>
    <row r="730" spans="18:18" x14ac:dyDescent="0.35">
      <c r="R730" s="49"/>
    </row>
    <row r="731" spans="18:18" x14ac:dyDescent="0.35">
      <c r="R731" s="49"/>
    </row>
    <row r="732" spans="18:18" x14ac:dyDescent="0.35">
      <c r="R732" s="49"/>
    </row>
    <row r="733" spans="18:18" x14ac:dyDescent="0.35">
      <c r="R733" s="49"/>
    </row>
    <row r="734" spans="18:18" x14ac:dyDescent="0.35">
      <c r="R734" s="49"/>
    </row>
    <row r="735" spans="18:18" x14ac:dyDescent="0.35">
      <c r="R735" s="49"/>
    </row>
    <row r="736" spans="18:18" x14ac:dyDescent="0.35">
      <c r="R736" s="49"/>
    </row>
    <row r="737" spans="18:18" x14ac:dyDescent="0.35">
      <c r="R737" s="49"/>
    </row>
    <row r="738" spans="18:18" x14ac:dyDescent="0.35">
      <c r="R738" s="49"/>
    </row>
    <row r="739" spans="18:18" x14ac:dyDescent="0.35">
      <c r="R739" s="49"/>
    </row>
    <row r="740" spans="18:18" x14ac:dyDescent="0.35">
      <c r="R740" s="49"/>
    </row>
    <row r="741" spans="18:18" x14ac:dyDescent="0.35">
      <c r="R741" s="49"/>
    </row>
    <row r="742" spans="18:18" x14ac:dyDescent="0.35">
      <c r="R742" s="49"/>
    </row>
    <row r="743" spans="18:18" x14ac:dyDescent="0.35">
      <c r="R743" s="49"/>
    </row>
    <row r="744" spans="18:18" x14ac:dyDescent="0.35">
      <c r="R744" s="49"/>
    </row>
    <row r="745" spans="18:18" x14ac:dyDescent="0.35">
      <c r="R745" s="49"/>
    </row>
    <row r="746" spans="18:18" x14ac:dyDescent="0.35">
      <c r="R746" s="49"/>
    </row>
    <row r="747" spans="18:18" x14ac:dyDescent="0.35">
      <c r="R747" s="49"/>
    </row>
    <row r="748" spans="18:18" x14ac:dyDescent="0.35">
      <c r="R748" s="49"/>
    </row>
    <row r="749" spans="18:18" x14ac:dyDescent="0.35">
      <c r="R749" s="49"/>
    </row>
    <row r="750" spans="18:18" x14ac:dyDescent="0.35">
      <c r="R750" s="49"/>
    </row>
    <row r="751" spans="18:18" x14ac:dyDescent="0.35">
      <c r="R751" s="49"/>
    </row>
    <row r="752" spans="18:18" x14ac:dyDescent="0.35">
      <c r="R752" s="49"/>
    </row>
    <row r="753" spans="18:18" x14ac:dyDescent="0.35">
      <c r="R753" s="49"/>
    </row>
    <row r="754" spans="18:18" x14ac:dyDescent="0.35">
      <c r="R754" s="49"/>
    </row>
    <row r="755" spans="18:18" x14ac:dyDescent="0.35">
      <c r="R755" s="49"/>
    </row>
    <row r="756" spans="18:18" x14ac:dyDescent="0.35">
      <c r="R756" s="49"/>
    </row>
    <row r="757" spans="18:18" x14ac:dyDescent="0.35">
      <c r="R757" s="49"/>
    </row>
    <row r="758" spans="18:18" x14ac:dyDescent="0.35">
      <c r="R758" s="49"/>
    </row>
    <row r="759" spans="18:18" x14ac:dyDescent="0.35">
      <c r="R759" s="49"/>
    </row>
    <row r="760" spans="18:18" x14ac:dyDescent="0.35">
      <c r="R760" s="49"/>
    </row>
    <row r="761" spans="18:18" x14ac:dyDescent="0.35">
      <c r="R761" s="49"/>
    </row>
    <row r="762" spans="18:18" x14ac:dyDescent="0.35">
      <c r="R762" s="49"/>
    </row>
    <row r="763" spans="18:18" x14ac:dyDescent="0.35">
      <c r="R763" s="49"/>
    </row>
    <row r="764" spans="18:18" x14ac:dyDescent="0.35">
      <c r="R764" s="49"/>
    </row>
    <row r="765" spans="18:18" x14ac:dyDescent="0.35">
      <c r="R765" s="49"/>
    </row>
    <row r="766" spans="18:18" x14ac:dyDescent="0.35">
      <c r="R766" s="49"/>
    </row>
    <row r="767" spans="18:18" x14ac:dyDescent="0.35">
      <c r="R767" s="49"/>
    </row>
    <row r="768" spans="18:18" x14ac:dyDescent="0.35">
      <c r="R768" s="49"/>
    </row>
    <row r="769" spans="18:18" x14ac:dyDescent="0.35">
      <c r="R769" s="49"/>
    </row>
    <row r="770" spans="18:18" x14ac:dyDescent="0.35">
      <c r="R770" s="49"/>
    </row>
    <row r="771" spans="18:18" x14ac:dyDescent="0.35">
      <c r="R771" s="49"/>
    </row>
    <row r="772" spans="18:18" x14ac:dyDescent="0.35">
      <c r="R772" s="49"/>
    </row>
    <row r="773" spans="18:18" x14ac:dyDescent="0.35">
      <c r="R773" s="49"/>
    </row>
    <row r="774" spans="18:18" x14ac:dyDescent="0.35">
      <c r="R774" s="49"/>
    </row>
    <row r="775" spans="18:18" x14ac:dyDescent="0.35">
      <c r="R775" s="49"/>
    </row>
    <row r="776" spans="18:18" x14ac:dyDescent="0.35">
      <c r="R776" s="49"/>
    </row>
    <row r="777" spans="18:18" x14ac:dyDescent="0.35">
      <c r="R777" s="49"/>
    </row>
    <row r="778" spans="18:18" x14ac:dyDescent="0.35">
      <c r="R778" s="49"/>
    </row>
    <row r="779" spans="18:18" x14ac:dyDescent="0.35">
      <c r="R779" s="49"/>
    </row>
    <row r="780" spans="18:18" x14ac:dyDescent="0.35">
      <c r="R780" s="49"/>
    </row>
    <row r="781" spans="18:18" x14ac:dyDescent="0.35">
      <c r="R781" s="49"/>
    </row>
    <row r="782" spans="18:18" x14ac:dyDescent="0.35">
      <c r="R782" s="49"/>
    </row>
    <row r="783" spans="18:18" x14ac:dyDescent="0.35">
      <c r="R783" s="49"/>
    </row>
    <row r="784" spans="18:18" x14ac:dyDescent="0.35">
      <c r="R784" s="49"/>
    </row>
    <row r="785" spans="18:18" x14ac:dyDescent="0.35">
      <c r="R785" s="49"/>
    </row>
    <row r="786" spans="18:18" x14ac:dyDescent="0.35">
      <c r="R786" s="49"/>
    </row>
    <row r="787" spans="18:18" x14ac:dyDescent="0.35">
      <c r="R787" s="49"/>
    </row>
    <row r="788" spans="18:18" x14ac:dyDescent="0.35">
      <c r="R788" s="49"/>
    </row>
    <row r="789" spans="18:18" x14ac:dyDescent="0.35">
      <c r="R789" s="49"/>
    </row>
    <row r="790" spans="18:18" x14ac:dyDescent="0.35">
      <c r="R790" s="49"/>
    </row>
    <row r="791" spans="18:18" x14ac:dyDescent="0.35">
      <c r="R791" s="49"/>
    </row>
    <row r="792" spans="18:18" x14ac:dyDescent="0.35">
      <c r="R792" s="49"/>
    </row>
    <row r="793" spans="18:18" x14ac:dyDescent="0.35">
      <c r="R793" s="49"/>
    </row>
    <row r="794" spans="18:18" x14ac:dyDescent="0.35">
      <c r="R794" s="49"/>
    </row>
    <row r="795" spans="18:18" x14ac:dyDescent="0.35">
      <c r="R795" s="49"/>
    </row>
    <row r="796" spans="18:18" x14ac:dyDescent="0.35">
      <c r="R796" s="49"/>
    </row>
    <row r="797" spans="18:18" x14ac:dyDescent="0.35">
      <c r="R797" s="49"/>
    </row>
    <row r="798" spans="18:18" x14ac:dyDescent="0.35">
      <c r="R798" s="49"/>
    </row>
    <row r="799" spans="18:18" x14ac:dyDescent="0.35">
      <c r="R799" s="49"/>
    </row>
    <row r="800" spans="18:18" x14ac:dyDescent="0.35">
      <c r="R800" s="49"/>
    </row>
    <row r="801" spans="18:18" x14ac:dyDescent="0.35">
      <c r="R801" s="49"/>
    </row>
    <row r="802" spans="18:18" x14ac:dyDescent="0.35">
      <c r="R802" s="49"/>
    </row>
    <row r="803" spans="18:18" x14ac:dyDescent="0.35">
      <c r="R803" s="49"/>
    </row>
    <row r="804" spans="18:18" x14ac:dyDescent="0.35">
      <c r="R804" s="49"/>
    </row>
    <row r="805" spans="18:18" x14ac:dyDescent="0.35">
      <c r="R805" s="49"/>
    </row>
    <row r="806" spans="18:18" x14ac:dyDescent="0.35">
      <c r="R806" s="49"/>
    </row>
    <row r="807" spans="18:18" x14ac:dyDescent="0.35">
      <c r="R807" s="49"/>
    </row>
    <row r="808" spans="18:18" x14ac:dyDescent="0.35">
      <c r="R808" s="49"/>
    </row>
    <row r="809" spans="18:18" x14ac:dyDescent="0.35">
      <c r="R809" s="49"/>
    </row>
    <row r="810" spans="18:18" x14ac:dyDescent="0.35">
      <c r="R810" s="49"/>
    </row>
    <row r="811" spans="18:18" x14ac:dyDescent="0.35">
      <c r="R811" s="49"/>
    </row>
    <row r="812" spans="18:18" x14ac:dyDescent="0.35">
      <c r="R812" s="49"/>
    </row>
    <row r="813" spans="18:18" x14ac:dyDescent="0.35">
      <c r="R813" s="49"/>
    </row>
    <row r="814" spans="18:18" x14ac:dyDescent="0.35">
      <c r="R814" s="49"/>
    </row>
    <row r="815" spans="18:18" x14ac:dyDescent="0.35">
      <c r="R815" s="49"/>
    </row>
    <row r="816" spans="18:18" x14ac:dyDescent="0.35">
      <c r="R816" s="49"/>
    </row>
    <row r="817" spans="18:18" x14ac:dyDescent="0.35">
      <c r="R817" s="49"/>
    </row>
    <row r="818" spans="18:18" x14ac:dyDescent="0.35">
      <c r="R818" s="49"/>
    </row>
    <row r="819" spans="18:18" x14ac:dyDescent="0.35">
      <c r="R819" s="49"/>
    </row>
    <row r="820" spans="18:18" x14ac:dyDescent="0.35">
      <c r="R820" s="49"/>
    </row>
    <row r="821" spans="18:18" x14ac:dyDescent="0.35">
      <c r="R821" s="49"/>
    </row>
    <row r="822" spans="18:18" x14ac:dyDescent="0.35">
      <c r="R822" s="49"/>
    </row>
    <row r="823" spans="18:18" x14ac:dyDescent="0.35">
      <c r="R823" s="49"/>
    </row>
    <row r="824" spans="18:18" x14ac:dyDescent="0.35">
      <c r="R824" s="49"/>
    </row>
    <row r="825" spans="18:18" x14ac:dyDescent="0.35">
      <c r="R825" s="49"/>
    </row>
    <row r="826" spans="18:18" x14ac:dyDescent="0.35">
      <c r="R826" s="49"/>
    </row>
    <row r="827" spans="18:18" x14ac:dyDescent="0.35">
      <c r="R827" s="49"/>
    </row>
    <row r="828" spans="18:18" x14ac:dyDescent="0.35">
      <c r="R828" s="49"/>
    </row>
    <row r="829" spans="18:18" x14ac:dyDescent="0.35">
      <c r="R829" s="49"/>
    </row>
    <row r="830" spans="18:18" x14ac:dyDescent="0.35">
      <c r="R830" s="49"/>
    </row>
    <row r="831" spans="18:18" x14ac:dyDescent="0.35">
      <c r="R831" s="49"/>
    </row>
    <row r="832" spans="18:18" x14ac:dyDescent="0.35">
      <c r="R832" s="49"/>
    </row>
    <row r="833" spans="18:18" x14ac:dyDescent="0.35">
      <c r="R833" s="49"/>
    </row>
    <row r="834" spans="18:18" x14ac:dyDescent="0.35">
      <c r="R834" s="49"/>
    </row>
    <row r="835" spans="18:18" x14ac:dyDescent="0.35">
      <c r="R835" s="49"/>
    </row>
    <row r="836" spans="18:18" x14ac:dyDescent="0.35">
      <c r="R836" s="49"/>
    </row>
    <row r="837" spans="18:18" x14ac:dyDescent="0.35">
      <c r="R837" s="49"/>
    </row>
    <row r="838" spans="18:18" x14ac:dyDescent="0.35">
      <c r="R838" s="49"/>
    </row>
    <row r="839" spans="18:18" x14ac:dyDescent="0.35">
      <c r="R839" s="49"/>
    </row>
    <row r="840" spans="18:18" x14ac:dyDescent="0.35">
      <c r="R840" s="49"/>
    </row>
    <row r="841" spans="18:18" x14ac:dyDescent="0.35">
      <c r="R841" s="49"/>
    </row>
    <row r="842" spans="18:18" x14ac:dyDescent="0.35">
      <c r="R842" s="49"/>
    </row>
    <row r="843" spans="18:18" x14ac:dyDescent="0.35">
      <c r="R843" s="49"/>
    </row>
    <row r="844" spans="18:18" x14ac:dyDescent="0.35">
      <c r="R844" s="49"/>
    </row>
    <row r="845" spans="18:18" x14ac:dyDescent="0.35">
      <c r="R845" s="49"/>
    </row>
    <row r="846" spans="18:18" x14ac:dyDescent="0.35">
      <c r="R846" s="49"/>
    </row>
    <row r="847" spans="18:18" x14ac:dyDescent="0.35">
      <c r="R847" s="49"/>
    </row>
    <row r="848" spans="18:18" x14ac:dyDescent="0.35">
      <c r="R848" s="49"/>
    </row>
    <row r="849" spans="18:18" x14ac:dyDescent="0.35">
      <c r="R849" s="49"/>
    </row>
    <row r="850" spans="18:18" x14ac:dyDescent="0.35">
      <c r="R850" s="49"/>
    </row>
    <row r="851" spans="18:18" x14ac:dyDescent="0.35">
      <c r="R851" s="49"/>
    </row>
    <row r="852" spans="18:18" x14ac:dyDescent="0.35">
      <c r="R852" s="49"/>
    </row>
    <row r="853" spans="18:18" x14ac:dyDescent="0.35">
      <c r="R853" s="49"/>
    </row>
    <row r="854" spans="18:18" x14ac:dyDescent="0.35">
      <c r="R854" s="49"/>
    </row>
    <row r="855" spans="18:18" x14ac:dyDescent="0.35">
      <c r="R855" s="49"/>
    </row>
    <row r="856" spans="18:18" x14ac:dyDescent="0.35">
      <c r="R856" s="49"/>
    </row>
    <row r="857" spans="18:18" x14ac:dyDescent="0.35">
      <c r="R857" s="49"/>
    </row>
    <row r="858" spans="18:18" x14ac:dyDescent="0.35">
      <c r="R858" s="49"/>
    </row>
    <row r="859" spans="18:18" x14ac:dyDescent="0.35">
      <c r="R859" s="49"/>
    </row>
    <row r="860" spans="18:18" x14ac:dyDescent="0.35">
      <c r="R860" s="49"/>
    </row>
    <row r="861" spans="18:18" x14ac:dyDescent="0.35">
      <c r="R861" s="49"/>
    </row>
    <row r="862" spans="18:18" x14ac:dyDescent="0.35">
      <c r="R862" s="49"/>
    </row>
    <row r="863" spans="18:18" x14ac:dyDescent="0.35">
      <c r="R863" s="49"/>
    </row>
    <row r="864" spans="18:18" x14ac:dyDescent="0.35">
      <c r="R864" s="49"/>
    </row>
    <row r="865" spans="18:18" x14ac:dyDescent="0.35">
      <c r="R865" s="49"/>
    </row>
    <row r="866" spans="18:18" x14ac:dyDescent="0.35">
      <c r="R866" s="49"/>
    </row>
    <row r="867" spans="18:18" x14ac:dyDescent="0.35">
      <c r="R867" s="49"/>
    </row>
    <row r="868" spans="18:18" x14ac:dyDescent="0.35">
      <c r="R868" s="49"/>
    </row>
    <row r="869" spans="18:18" x14ac:dyDescent="0.35">
      <c r="R869" s="49"/>
    </row>
    <row r="870" spans="18:18" x14ac:dyDescent="0.35">
      <c r="R870" s="49"/>
    </row>
    <row r="871" spans="18:18" x14ac:dyDescent="0.35">
      <c r="R871" s="49"/>
    </row>
    <row r="872" spans="18:18" x14ac:dyDescent="0.35">
      <c r="R872" s="49"/>
    </row>
    <row r="873" spans="18:18" x14ac:dyDescent="0.35">
      <c r="R873" s="49"/>
    </row>
    <row r="874" spans="18:18" x14ac:dyDescent="0.35">
      <c r="R874" s="49"/>
    </row>
    <row r="875" spans="18:18" x14ac:dyDescent="0.35">
      <c r="R875" s="49"/>
    </row>
    <row r="876" spans="18:18" x14ac:dyDescent="0.35">
      <c r="R876" s="49"/>
    </row>
    <row r="877" spans="18:18" x14ac:dyDescent="0.35">
      <c r="R877" s="49"/>
    </row>
    <row r="878" spans="18:18" x14ac:dyDescent="0.35">
      <c r="R878" s="49"/>
    </row>
    <row r="879" spans="18:18" x14ac:dyDescent="0.35">
      <c r="R879" s="49"/>
    </row>
    <row r="880" spans="18:18" x14ac:dyDescent="0.35">
      <c r="R880" s="49"/>
    </row>
    <row r="881" spans="18:18" x14ac:dyDescent="0.35">
      <c r="R881" s="49"/>
    </row>
    <row r="882" spans="18:18" x14ac:dyDescent="0.35">
      <c r="R882" s="49"/>
    </row>
    <row r="883" spans="18:18" x14ac:dyDescent="0.35">
      <c r="R883" s="49"/>
    </row>
    <row r="884" spans="18:18" x14ac:dyDescent="0.35">
      <c r="R884" s="49"/>
    </row>
    <row r="885" spans="18:18" x14ac:dyDescent="0.35">
      <c r="R885" s="49"/>
    </row>
    <row r="886" spans="18:18" x14ac:dyDescent="0.35">
      <c r="R886" s="49"/>
    </row>
    <row r="887" spans="18:18" x14ac:dyDescent="0.35">
      <c r="R887" s="49"/>
    </row>
    <row r="888" spans="18:18" x14ac:dyDescent="0.35">
      <c r="R888" s="49"/>
    </row>
    <row r="889" spans="18:18" x14ac:dyDescent="0.35">
      <c r="R889" s="49"/>
    </row>
    <row r="890" spans="18:18" x14ac:dyDescent="0.35">
      <c r="R890" s="49"/>
    </row>
    <row r="891" spans="18:18" x14ac:dyDescent="0.35">
      <c r="R891" s="49"/>
    </row>
    <row r="892" spans="18:18" x14ac:dyDescent="0.35">
      <c r="R892" s="49"/>
    </row>
    <row r="893" spans="18:18" x14ac:dyDescent="0.35">
      <c r="R893" s="49"/>
    </row>
    <row r="894" spans="18:18" x14ac:dyDescent="0.35">
      <c r="R894" s="49"/>
    </row>
    <row r="895" spans="18:18" x14ac:dyDescent="0.35">
      <c r="R895" s="49"/>
    </row>
    <row r="896" spans="18:18" x14ac:dyDescent="0.35">
      <c r="R896" s="49"/>
    </row>
    <row r="897" spans="18:18" x14ac:dyDescent="0.35">
      <c r="R897" s="49"/>
    </row>
    <row r="898" spans="18:18" x14ac:dyDescent="0.35">
      <c r="R898" s="49"/>
    </row>
    <row r="899" spans="18:18" x14ac:dyDescent="0.35">
      <c r="R899" s="49"/>
    </row>
    <row r="900" spans="18:18" x14ac:dyDescent="0.35">
      <c r="R900" s="49"/>
    </row>
    <row r="901" spans="18:18" x14ac:dyDescent="0.35">
      <c r="R901" s="49"/>
    </row>
    <row r="902" spans="18:18" x14ac:dyDescent="0.35">
      <c r="R902" s="49"/>
    </row>
    <row r="903" spans="18:18" x14ac:dyDescent="0.35">
      <c r="R903" s="49"/>
    </row>
    <row r="904" spans="18:18" x14ac:dyDescent="0.35">
      <c r="R904" s="49"/>
    </row>
    <row r="905" spans="18:18" x14ac:dyDescent="0.35">
      <c r="R905" s="49"/>
    </row>
    <row r="906" spans="18:18" x14ac:dyDescent="0.35">
      <c r="R906" s="49"/>
    </row>
    <row r="907" spans="18:18" x14ac:dyDescent="0.35">
      <c r="R907" s="49"/>
    </row>
    <row r="908" spans="18:18" x14ac:dyDescent="0.35">
      <c r="R908" s="49"/>
    </row>
    <row r="909" spans="18:18" x14ac:dyDescent="0.35">
      <c r="R909" s="49"/>
    </row>
    <row r="910" spans="18:18" x14ac:dyDescent="0.35">
      <c r="R910" s="49"/>
    </row>
    <row r="911" spans="18:18" x14ac:dyDescent="0.35">
      <c r="R911" s="49"/>
    </row>
    <row r="912" spans="18:18" x14ac:dyDescent="0.35">
      <c r="R912" s="49"/>
    </row>
    <row r="913" spans="18:18" x14ac:dyDescent="0.35">
      <c r="R913" s="49"/>
    </row>
    <row r="914" spans="18:18" x14ac:dyDescent="0.35">
      <c r="R914" s="49"/>
    </row>
    <row r="915" spans="18:18" x14ac:dyDescent="0.35">
      <c r="R915" s="49"/>
    </row>
    <row r="916" spans="18:18" x14ac:dyDescent="0.35">
      <c r="R916" s="49"/>
    </row>
    <row r="917" spans="18:18" x14ac:dyDescent="0.35">
      <c r="R917" s="49"/>
    </row>
    <row r="918" spans="18:18" x14ac:dyDescent="0.35">
      <c r="R918" s="49"/>
    </row>
    <row r="919" spans="18:18" x14ac:dyDescent="0.35">
      <c r="R919" s="49"/>
    </row>
    <row r="920" spans="18:18" x14ac:dyDescent="0.35">
      <c r="R920" s="49"/>
    </row>
    <row r="921" spans="18:18" x14ac:dyDescent="0.35">
      <c r="R921" s="49"/>
    </row>
    <row r="922" spans="18:18" x14ac:dyDescent="0.35">
      <c r="R922" s="49"/>
    </row>
    <row r="923" spans="18:18" x14ac:dyDescent="0.35">
      <c r="R923" s="49"/>
    </row>
    <row r="924" spans="18:18" x14ac:dyDescent="0.35">
      <c r="R924" s="49"/>
    </row>
    <row r="925" spans="18:18" x14ac:dyDescent="0.35">
      <c r="R925" s="49"/>
    </row>
    <row r="926" spans="18:18" x14ac:dyDescent="0.35">
      <c r="R926" s="49"/>
    </row>
    <row r="927" spans="18:18" x14ac:dyDescent="0.35">
      <c r="R927" s="49"/>
    </row>
    <row r="928" spans="18:18" x14ac:dyDescent="0.35">
      <c r="R928" s="49"/>
    </row>
    <row r="929" spans="18:18" x14ac:dyDescent="0.35">
      <c r="R929" s="49"/>
    </row>
    <row r="930" spans="18:18" x14ac:dyDescent="0.35">
      <c r="R930" s="49"/>
    </row>
    <row r="931" spans="18:18" x14ac:dyDescent="0.35">
      <c r="R931" s="49"/>
    </row>
    <row r="932" spans="18:18" x14ac:dyDescent="0.35">
      <c r="R932" s="49"/>
    </row>
    <row r="933" spans="18:18" x14ac:dyDescent="0.35">
      <c r="R933" s="49"/>
    </row>
    <row r="934" spans="18:18" x14ac:dyDescent="0.35">
      <c r="R934" s="49"/>
    </row>
    <row r="935" spans="18:18" x14ac:dyDescent="0.35">
      <c r="R935" s="49"/>
    </row>
    <row r="936" spans="18:18" x14ac:dyDescent="0.35">
      <c r="R936" s="49"/>
    </row>
    <row r="937" spans="18:18" x14ac:dyDescent="0.35">
      <c r="R937" s="49"/>
    </row>
    <row r="938" spans="18:18" x14ac:dyDescent="0.35">
      <c r="R938" s="49"/>
    </row>
    <row r="939" spans="18:18" x14ac:dyDescent="0.35">
      <c r="R939" s="49"/>
    </row>
    <row r="940" spans="18:18" x14ac:dyDescent="0.35">
      <c r="R940" s="49"/>
    </row>
    <row r="941" spans="18:18" x14ac:dyDescent="0.35">
      <c r="R941" s="49"/>
    </row>
    <row r="942" spans="18:18" x14ac:dyDescent="0.35">
      <c r="R942" s="49"/>
    </row>
    <row r="943" spans="18:18" x14ac:dyDescent="0.35">
      <c r="R943" s="49"/>
    </row>
    <row r="944" spans="18:18" x14ac:dyDescent="0.35">
      <c r="R944" s="49"/>
    </row>
    <row r="945" spans="18:18" x14ac:dyDescent="0.35">
      <c r="R945" s="49"/>
    </row>
    <row r="946" spans="18:18" x14ac:dyDescent="0.35">
      <c r="R946" s="49"/>
    </row>
    <row r="947" spans="18:18" x14ac:dyDescent="0.35">
      <c r="R947" s="49"/>
    </row>
    <row r="948" spans="18:18" x14ac:dyDescent="0.35">
      <c r="R948" s="49"/>
    </row>
    <row r="949" spans="18:18" x14ac:dyDescent="0.35">
      <c r="R949" s="49"/>
    </row>
    <row r="950" spans="18:18" x14ac:dyDescent="0.35">
      <c r="R950" s="49"/>
    </row>
    <row r="951" spans="18:18" x14ac:dyDescent="0.35">
      <c r="R951" s="49"/>
    </row>
    <row r="952" spans="18:18" x14ac:dyDescent="0.35">
      <c r="R952" s="49"/>
    </row>
    <row r="953" spans="18:18" x14ac:dyDescent="0.35">
      <c r="R953" s="49"/>
    </row>
    <row r="954" spans="18:18" x14ac:dyDescent="0.35">
      <c r="R954" s="49"/>
    </row>
    <row r="955" spans="18:18" x14ac:dyDescent="0.35">
      <c r="R955" s="49"/>
    </row>
    <row r="956" spans="18:18" x14ac:dyDescent="0.35">
      <c r="R956" s="49"/>
    </row>
    <row r="957" spans="18:18" x14ac:dyDescent="0.35">
      <c r="R957" s="49"/>
    </row>
    <row r="958" spans="18:18" x14ac:dyDescent="0.35">
      <c r="R958" s="49"/>
    </row>
    <row r="959" spans="18:18" x14ac:dyDescent="0.35">
      <c r="R959" s="49"/>
    </row>
    <row r="960" spans="18:18" x14ac:dyDescent="0.35">
      <c r="R960" s="49"/>
    </row>
    <row r="961" spans="18:18" x14ac:dyDescent="0.35">
      <c r="R961" s="49"/>
    </row>
    <row r="962" spans="18:18" x14ac:dyDescent="0.35">
      <c r="R962" s="49"/>
    </row>
    <row r="963" spans="18:18" x14ac:dyDescent="0.35">
      <c r="R963" s="49"/>
    </row>
    <row r="964" spans="18:18" x14ac:dyDescent="0.35">
      <c r="R964" s="49"/>
    </row>
    <row r="965" spans="18:18" x14ac:dyDescent="0.35">
      <c r="R965" s="49"/>
    </row>
    <row r="966" spans="18:18" x14ac:dyDescent="0.35">
      <c r="R966" s="49"/>
    </row>
    <row r="967" spans="18:18" x14ac:dyDescent="0.35">
      <c r="R967" s="49"/>
    </row>
    <row r="968" spans="18:18" x14ac:dyDescent="0.35">
      <c r="R968" s="49"/>
    </row>
    <row r="969" spans="18:18" x14ac:dyDescent="0.35">
      <c r="R969" s="49"/>
    </row>
    <row r="970" spans="18:18" x14ac:dyDescent="0.35">
      <c r="R970" s="49"/>
    </row>
    <row r="971" spans="18:18" x14ac:dyDescent="0.35">
      <c r="R971" s="49"/>
    </row>
    <row r="972" spans="18:18" x14ac:dyDescent="0.35">
      <c r="R972" s="49"/>
    </row>
    <row r="973" spans="18:18" x14ac:dyDescent="0.35">
      <c r="R973" s="49"/>
    </row>
    <row r="974" spans="18:18" x14ac:dyDescent="0.35">
      <c r="R974" s="49"/>
    </row>
    <row r="975" spans="18:18" x14ac:dyDescent="0.35">
      <c r="R975" s="49"/>
    </row>
    <row r="976" spans="18:18" x14ac:dyDescent="0.35">
      <c r="R976" s="49"/>
    </row>
    <row r="977" spans="18:18" x14ac:dyDescent="0.35">
      <c r="R977" s="49"/>
    </row>
    <row r="978" spans="18:18" x14ac:dyDescent="0.35">
      <c r="R978" s="49"/>
    </row>
    <row r="979" spans="18:18" x14ac:dyDescent="0.35">
      <c r="R979" s="49"/>
    </row>
    <row r="980" spans="18:18" x14ac:dyDescent="0.35">
      <c r="R980" s="49"/>
    </row>
    <row r="981" spans="18:18" x14ac:dyDescent="0.35">
      <c r="R981" s="49"/>
    </row>
    <row r="982" spans="18:18" x14ac:dyDescent="0.35">
      <c r="R982" s="49"/>
    </row>
    <row r="983" spans="18:18" x14ac:dyDescent="0.35">
      <c r="R983" s="49"/>
    </row>
    <row r="984" spans="18:18" x14ac:dyDescent="0.35">
      <c r="R984" s="49"/>
    </row>
    <row r="985" spans="18:18" x14ac:dyDescent="0.35">
      <c r="R985" s="49"/>
    </row>
    <row r="986" spans="18:18" x14ac:dyDescent="0.35">
      <c r="R986" s="49"/>
    </row>
    <row r="987" spans="18:18" x14ac:dyDescent="0.35">
      <c r="R987" s="49"/>
    </row>
    <row r="988" spans="18:18" x14ac:dyDescent="0.35">
      <c r="R988" s="49"/>
    </row>
    <row r="989" spans="18:18" x14ac:dyDescent="0.35">
      <c r="R989" s="49"/>
    </row>
    <row r="990" spans="18:18" x14ac:dyDescent="0.35">
      <c r="R990" s="49"/>
    </row>
    <row r="991" spans="18:18" x14ac:dyDescent="0.35">
      <c r="R991" s="49"/>
    </row>
    <row r="992" spans="18:18" x14ac:dyDescent="0.35">
      <c r="R992" s="49"/>
    </row>
    <row r="993" spans="18:18" x14ac:dyDescent="0.35">
      <c r="R993" s="49"/>
    </row>
    <row r="994" spans="18:18" x14ac:dyDescent="0.35">
      <c r="R994" s="49"/>
    </row>
    <row r="995" spans="18:18" x14ac:dyDescent="0.35">
      <c r="R995" s="49"/>
    </row>
    <row r="996" spans="18:18" x14ac:dyDescent="0.35">
      <c r="R996" s="49"/>
    </row>
    <row r="997" spans="18:18" x14ac:dyDescent="0.35">
      <c r="R997" s="49"/>
    </row>
    <row r="998" spans="18:18" x14ac:dyDescent="0.35">
      <c r="R998" s="49"/>
    </row>
    <row r="999" spans="18:18" x14ac:dyDescent="0.35">
      <c r="R999" s="49"/>
    </row>
    <row r="1000" spans="18:18" x14ac:dyDescent="0.35">
      <c r="R1000" s="49"/>
    </row>
    <row r="1001" spans="18:18" x14ac:dyDescent="0.35">
      <c r="R1001" s="49"/>
    </row>
    <row r="1002" spans="18:18" x14ac:dyDescent="0.35">
      <c r="R1002" s="49"/>
    </row>
    <row r="1003" spans="18:18" x14ac:dyDescent="0.35">
      <c r="R1003" s="49"/>
    </row>
    <row r="1004" spans="18:18" x14ac:dyDescent="0.35">
      <c r="R1004" s="49"/>
    </row>
    <row r="1005" spans="18:18" x14ac:dyDescent="0.35">
      <c r="R1005" s="49"/>
    </row>
    <row r="1006" spans="18:18" x14ac:dyDescent="0.35">
      <c r="R1006" s="49"/>
    </row>
    <row r="1007" spans="18:18" x14ac:dyDescent="0.35">
      <c r="R1007" s="49"/>
    </row>
    <row r="1008" spans="18:18" x14ac:dyDescent="0.35">
      <c r="R1008" s="49"/>
    </row>
    <row r="1009" spans="18:18" x14ac:dyDescent="0.35">
      <c r="R1009" s="49"/>
    </row>
    <row r="1010" spans="18:18" x14ac:dyDescent="0.35">
      <c r="R1010" s="49"/>
    </row>
    <row r="1011" spans="18:18" x14ac:dyDescent="0.35">
      <c r="R1011" s="49"/>
    </row>
    <row r="1012" spans="18:18" x14ac:dyDescent="0.35">
      <c r="R1012" s="49"/>
    </row>
    <row r="1013" spans="18:18" x14ac:dyDescent="0.35">
      <c r="R1013" s="49"/>
    </row>
    <row r="1014" spans="18:18" x14ac:dyDescent="0.35">
      <c r="R1014" s="49"/>
    </row>
    <row r="1015" spans="18:18" x14ac:dyDescent="0.35">
      <c r="R1015" s="49"/>
    </row>
    <row r="1016" spans="18:18" x14ac:dyDescent="0.35">
      <c r="R1016" s="49"/>
    </row>
    <row r="1017" spans="18:18" x14ac:dyDescent="0.35">
      <c r="R1017" s="49"/>
    </row>
    <row r="1018" spans="18:18" x14ac:dyDescent="0.35">
      <c r="R1018" s="49"/>
    </row>
    <row r="1019" spans="18:18" x14ac:dyDescent="0.35">
      <c r="R1019" s="49"/>
    </row>
    <row r="1020" spans="18:18" x14ac:dyDescent="0.35">
      <c r="R1020" s="49"/>
    </row>
    <row r="1021" spans="18:18" x14ac:dyDescent="0.35">
      <c r="R1021" s="49"/>
    </row>
    <row r="1022" spans="18:18" x14ac:dyDescent="0.35">
      <c r="R1022" s="49"/>
    </row>
    <row r="1023" spans="18:18" x14ac:dyDescent="0.35">
      <c r="R1023" s="49"/>
    </row>
    <row r="1024" spans="18:18" x14ac:dyDescent="0.35">
      <c r="R1024" s="49"/>
    </row>
    <row r="1025" spans="18:18" x14ac:dyDescent="0.35">
      <c r="R1025" s="49"/>
    </row>
    <row r="1026" spans="18:18" x14ac:dyDescent="0.35">
      <c r="R1026" s="49"/>
    </row>
    <row r="1027" spans="18:18" x14ac:dyDescent="0.35">
      <c r="R1027" s="49"/>
    </row>
    <row r="1028" spans="18:18" x14ac:dyDescent="0.35">
      <c r="R1028" s="49"/>
    </row>
    <row r="1029" spans="18:18" x14ac:dyDescent="0.35">
      <c r="R1029" s="49"/>
    </row>
    <row r="1030" spans="18:18" x14ac:dyDescent="0.35">
      <c r="R1030" s="49"/>
    </row>
    <row r="1031" spans="18:18" x14ac:dyDescent="0.35">
      <c r="R1031" s="49"/>
    </row>
    <row r="1032" spans="18:18" x14ac:dyDescent="0.35">
      <c r="R1032" s="49"/>
    </row>
    <row r="1033" spans="18:18" x14ac:dyDescent="0.35">
      <c r="R1033" s="49"/>
    </row>
    <row r="1034" spans="18:18" x14ac:dyDescent="0.35">
      <c r="R1034" s="49"/>
    </row>
    <row r="1035" spans="18:18" x14ac:dyDescent="0.35">
      <c r="R1035" s="49"/>
    </row>
    <row r="1036" spans="18:18" x14ac:dyDescent="0.35">
      <c r="R1036" s="49"/>
    </row>
    <row r="1037" spans="18:18" x14ac:dyDescent="0.35">
      <c r="R1037" s="49"/>
    </row>
    <row r="1038" spans="18:18" x14ac:dyDescent="0.35">
      <c r="R1038" s="49"/>
    </row>
    <row r="1039" spans="18:18" x14ac:dyDescent="0.35">
      <c r="R1039" s="49"/>
    </row>
    <row r="1040" spans="18:18" x14ac:dyDescent="0.35">
      <c r="R1040" s="49"/>
    </row>
    <row r="1041" spans="18:18" x14ac:dyDescent="0.35">
      <c r="R1041" s="49"/>
    </row>
    <row r="1042" spans="18:18" x14ac:dyDescent="0.35">
      <c r="R1042" s="49"/>
    </row>
    <row r="1043" spans="18:18" x14ac:dyDescent="0.35">
      <c r="R1043" s="49"/>
    </row>
    <row r="1044" spans="18:18" x14ac:dyDescent="0.35">
      <c r="R1044" s="49"/>
    </row>
    <row r="1045" spans="18:18" x14ac:dyDescent="0.35">
      <c r="R1045" s="49"/>
    </row>
    <row r="1046" spans="18:18" x14ac:dyDescent="0.35">
      <c r="R1046" s="49"/>
    </row>
    <row r="1047" spans="18:18" x14ac:dyDescent="0.35">
      <c r="R1047" s="49"/>
    </row>
    <row r="1048" spans="18:18" x14ac:dyDescent="0.35">
      <c r="R1048" s="49"/>
    </row>
    <row r="1049" spans="18:18" x14ac:dyDescent="0.35">
      <c r="R1049" s="49"/>
    </row>
    <row r="1050" spans="18:18" x14ac:dyDescent="0.35">
      <c r="R1050" s="49"/>
    </row>
    <row r="1051" spans="18:18" x14ac:dyDescent="0.35">
      <c r="R1051" s="49"/>
    </row>
    <row r="1052" spans="18:18" x14ac:dyDescent="0.35">
      <c r="R1052" s="49"/>
    </row>
    <row r="1053" spans="18:18" x14ac:dyDescent="0.35">
      <c r="R1053" s="49"/>
    </row>
    <row r="1054" spans="18:18" x14ac:dyDescent="0.35">
      <c r="R1054" s="49"/>
    </row>
    <row r="1055" spans="18:18" x14ac:dyDescent="0.35">
      <c r="R1055" s="49"/>
    </row>
    <row r="1056" spans="18:18" x14ac:dyDescent="0.35">
      <c r="R1056" s="49"/>
    </row>
    <row r="1057" spans="18:18" x14ac:dyDescent="0.35">
      <c r="R1057" s="49"/>
    </row>
    <row r="1058" spans="18:18" x14ac:dyDescent="0.35">
      <c r="R1058" s="49"/>
    </row>
    <row r="1059" spans="18:18" x14ac:dyDescent="0.35">
      <c r="R1059" s="49"/>
    </row>
    <row r="1060" spans="18:18" x14ac:dyDescent="0.35">
      <c r="R1060" s="49"/>
    </row>
    <row r="1061" spans="18:18" x14ac:dyDescent="0.35">
      <c r="R1061" s="49"/>
    </row>
    <row r="1062" spans="18:18" x14ac:dyDescent="0.35">
      <c r="R1062" s="49"/>
    </row>
    <row r="1063" spans="18:18" x14ac:dyDescent="0.35">
      <c r="R1063" s="49"/>
    </row>
    <row r="1064" spans="18:18" x14ac:dyDescent="0.35">
      <c r="R1064" s="49"/>
    </row>
    <row r="1065" spans="18:18" x14ac:dyDescent="0.35">
      <c r="R1065" s="49"/>
    </row>
    <row r="1066" spans="18:18" x14ac:dyDescent="0.35">
      <c r="R1066" s="49"/>
    </row>
    <row r="1067" spans="18:18" x14ac:dyDescent="0.35">
      <c r="R1067" s="49"/>
    </row>
    <row r="1068" spans="18:18" x14ac:dyDescent="0.35">
      <c r="R1068" s="49"/>
    </row>
    <row r="1069" spans="18:18" x14ac:dyDescent="0.35">
      <c r="R1069" s="49"/>
    </row>
    <row r="1070" spans="18:18" x14ac:dyDescent="0.35">
      <c r="R1070" s="49"/>
    </row>
    <row r="1071" spans="18:18" x14ac:dyDescent="0.35">
      <c r="R1071" s="49"/>
    </row>
    <row r="1072" spans="18:18" x14ac:dyDescent="0.35">
      <c r="R1072" s="49"/>
    </row>
    <row r="1073" spans="18:18" x14ac:dyDescent="0.35">
      <c r="R1073" s="49"/>
    </row>
    <row r="1074" spans="18:18" x14ac:dyDescent="0.35">
      <c r="R1074" s="49"/>
    </row>
    <row r="1075" spans="18:18" x14ac:dyDescent="0.35">
      <c r="R1075" s="49"/>
    </row>
    <row r="1076" spans="18:18" x14ac:dyDescent="0.35">
      <c r="R1076" s="49"/>
    </row>
    <row r="1077" spans="18:18" x14ac:dyDescent="0.35">
      <c r="R1077" s="49"/>
    </row>
    <row r="1078" spans="18:18" x14ac:dyDescent="0.35">
      <c r="R1078" s="49"/>
    </row>
    <row r="1079" spans="18:18" x14ac:dyDescent="0.35">
      <c r="R1079" s="49"/>
    </row>
    <row r="1080" spans="18:18" x14ac:dyDescent="0.35">
      <c r="R1080" s="49"/>
    </row>
    <row r="1081" spans="18:18" x14ac:dyDescent="0.35">
      <c r="R1081" s="49"/>
    </row>
    <row r="1082" spans="18:18" x14ac:dyDescent="0.35">
      <c r="R1082" s="49"/>
    </row>
    <row r="1083" spans="18:18" x14ac:dyDescent="0.35">
      <c r="R1083" s="49"/>
    </row>
    <row r="1084" spans="18:18" x14ac:dyDescent="0.35">
      <c r="R1084" s="49"/>
    </row>
    <row r="1085" spans="18:18" x14ac:dyDescent="0.35">
      <c r="R1085" s="49"/>
    </row>
    <row r="1086" spans="18:18" x14ac:dyDescent="0.35">
      <c r="R1086" s="49"/>
    </row>
    <row r="1087" spans="18:18" x14ac:dyDescent="0.35">
      <c r="R1087" s="49"/>
    </row>
    <row r="1088" spans="18:18" x14ac:dyDescent="0.35">
      <c r="R1088" s="49"/>
    </row>
    <row r="1089" spans="18:18" x14ac:dyDescent="0.35">
      <c r="R1089" s="49"/>
    </row>
    <row r="1090" spans="18:18" x14ac:dyDescent="0.35">
      <c r="R1090" s="49"/>
    </row>
    <row r="1091" spans="18:18" x14ac:dyDescent="0.35">
      <c r="R1091" s="49"/>
    </row>
    <row r="1092" spans="18:18" x14ac:dyDescent="0.35">
      <c r="R1092" s="49"/>
    </row>
    <row r="1093" spans="18:18" x14ac:dyDescent="0.35">
      <c r="R1093" s="49"/>
    </row>
    <row r="1094" spans="18:18" x14ac:dyDescent="0.35">
      <c r="R1094" s="49"/>
    </row>
    <row r="1095" spans="18:18" x14ac:dyDescent="0.35">
      <c r="R1095" s="49"/>
    </row>
    <row r="1096" spans="18:18" x14ac:dyDescent="0.35">
      <c r="R1096" s="49"/>
    </row>
    <row r="1097" spans="18:18" x14ac:dyDescent="0.35">
      <c r="R1097" s="49"/>
    </row>
    <row r="1098" spans="18:18" x14ac:dyDescent="0.35">
      <c r="R1098" s="49"/>
    </row>
    <row r="1099" spans="18:18" x14ac:dyDescent="0.35">
      <c r="R1099" s="49"/>
    </row>
    <row r="1100" spans="18:18" x14ac:dyDescent="0.35">
      <c r="R1100" s="49"/>
    </row>
    <row r="1101" spans="18:18" x14ac:dyDescent="0.35">
      <c r="R1101" s="49"/>
    </row>
    <row r="1102" spans="18:18" x14ac:dyDescent="0.35">
      <c r="R1102" s="49"/>
    </row>
    <row r="1103" spans="18:18" x14ac:dyDescent="0.35">
      <c r="R1103" s="49"/>
    </row>
    <row r="1104" spans="18:18" x14ac:dyDescent="0.35">
      <c r="R1104" s="49"/>
    </row>
    <row r="1105" spans="18:18" x14ac:dyDescent="0.35">
      <c r="R1105" s="49"/>
    </row>
    <row r="1106" spans="18:18" x14ac:dyDescent="0.35">
      <c r="R1106" s="49"/>
    </row>
    <row r="1107" spans="18:18" x14ac:dyDescent="0.35">
      <c r="R1107" s="49"/>
    </row>
    <row r="1108" spans="18:18" x14ac:dyDescent="0.35">
      <c r="R1108" s="49"/>
    </row>
    <row r="1109" spans="18:18" x14ac:dyDescent="0.35">
      <c r="R1109" s="49"/>
    </row>
    <row r="1110" spans="18:18" x14ac:dyDescent="0.35">
      <c r="R1110" s="49"/>
    </row>
    <row r="1111" spans="18:18" x14ac:dyDescent="0.35">
      <c r="R1111" s="49"/>
    </row>
    <row r="1112" spans="18:18" x14ac:dyDescent="0.35">
      <c r="R1112" s="49"/>
    </row>
    <row r="1113" spans="18:18" x14ac:dyDescent="0.35">
      <c r="R1113" s="49"/>
    </row>
    <row r="1114" spans="18:18" x14ac:dyDescent="0.35">
      <c r="R1114" s="49"/>
    </row>
    <row r="1115" spans="18:18" x14ac:dyDescent="0.35">
      <c r="R1115" s="49"/>
    </row>
    <row r="1116" spans="18:18" x14ac:dyDescent="0.35">
      <c r="R1116" s="49"/>
    </row>
    <row r="1117" spans="18:18" x14ac:dyDescent="0.35">
      <c r="R1117" s="49"/>
    </row>
    <row r="1118" spans="18:18" x14ac:dyDescent="0.35">
      <c r="R1118" s="49"/>
    </row>
    <row r="1119" spans="18:18" x14ac:dyDescent="0.35">
      <c r="R1119" s="49"/>
    </row>
    <row r="1120" spans="18:18" x14ac:dyDescent="0.35">
      <c r="R1120" s="49"/>
    </row>
    <row r="1121" spans="18:18" x14ac:dyDescent="0.35">
      <c r="R1121" s="49"/>
    </row>
    <row r="1122" spans="18:18" x14ac:dyDescent="0.35">
      <c r="R1122" s="49"/>
    </row>
    <row r="1123" spans="18:18" x14ac:dyDescent="0.35">
      <c r="R1123" s="49"/>
    </row>
    <row r="1124" spans="18:18" x14ac:dyDescent="0.35">
      <c r="R1124" s="49"/>
    </row>
    <row r="1125" spans="18:18" x14ac:dyDescent="0.35">
      <c r="R1125" s="49"/>
    </row>
    <row r="1126" spans="18:18" x14ac:dyDescent="0.35">
      <c r="R1126" s="49"/>
    </row>
    <row r="1127" spans="18:18" x14ac:dyDescent="0.35">
      <c r="R1127" s="49"/>
    </row>
    <row r="1128" spans="18:18" x14ac:dyDescent="0.35">
      <c r="R1128" s="49"/>
    </row>
    <row r="1129" spans="18:18" x14ac:dyDescent="0.35">
      <c r="R1129" s="49"/>
    </row>
    <row r="1130" spans="18:18" x14ac:dyDescent="0.35">
      <c r="R1130" s="49"/>
    </row>
    <row r="1131" spans="18:18" x14ac:dyDescent="0.35">
      <c r="R1131" s="49"/>
    </row>
    <row r="1132" spans="18:18" x14ac:dyDescent="0.35">
      <c r="R1132" s="49"/>
    </row>
    <row r="1133" spans="18:18" x14ac:dyDescent="0.35">
      <c r="R1133" s="49"/>
    </row>
    <row r="1134" spans="18:18" x14ac:dyDescent="0.35">
      <c r="R1134" s="49"/>
    </row>
    <row r="1135" spans="18:18" x14ac:dyDescent="0.35">
      <c r="R1135" s="49"/>
    </row>
    <row r="1136" spans="18:18" x14ac:dyDescent="0.35">
      <c r="R1136" s="49"/>
    </row>
    <row r="1137" spans="18:18" x14ac:dyDescent="0.35">
      <c r="R1137" s="49"/>
    </row>
    <row r="1138" spans="18:18" x14ac:dyDescent="0.35">
      <c r="R1138" s="49"/>
    </row>
    <row r="1139" spans="18:18" x14ac:dyDescent="0.35">
      <c r="R1139" s="49"/>
    </row>
    <row r="1140" spans="18:18" x14ac:dyDescent="0.35">
      <c r="R1140" s="49"/>
    </row>
    <row r="1141" spans="18:18" x14ac:dyDescent="0.35">
      <c r="R1141" s="49"/>
    </row>
    <row r="1142" spans="18:18" x14ac:dyDescent="0.35">
      <c r="R1142" s="49"/>
    </row>
    <row r="1143" spans="18:18" x14ac:dyDescent="0.35">
      <c r="R1143" s="49"/>
    </row>
    <row r="1144" spans="18:18" x14ac:dyDescent="0.35">
      <c r="R1144" s="49"/>
    </row>
    <row r="1145" spans="18:18" x14ac:dyDescent="0.35">
      <c r="R1145" s="49"/>
    </row>
    <row r="1146" spans="18:18" x14ac:dyDescent="0.35">
      <c r="R1146" s="49"/>
    </row>
    <row r="1147" spans="18:18" x14ac:dyDescent="0.35">
      <c r="R1147" s="49"/>
    </row>
    <row r="1148" spans="18:18" x14ac:dyDescent="0.35">
      <c r="R1148" s="49"/>
    </row>
    <row r="1149" spans="18:18" x14ac:dyDescent="0.35">
      <c r="R1149" s="49"/>
    </row>
    <row r="1150" spans="18:18" x14ac:dyDescent="0.35">
      <c r="R1150" s="49"/>
    </row>
    <row r="1151" spans="18:18" x14ac:dyDescent="0.35">
      <c r="R1151" s="49"/>
    </row>
    <row r="1152" spans="18:18" x14ac:dyDescent="0.35">
      <c r="R1152" s="49"/>
    </row>
    <row r="1153" spans="18:18" x14ac:dyDescent="0.35">
      <c r="R1153" s="49"/>
    </row>
    <row r="1154" spans="18:18" x14ac:dyDescent="0.35">
      <c r="R1154" s="49"/>
    </row>
    <row r="1155" spans="18:18" x14ac:dyDescent="0.35">
      <c r="R1155" s="49"/>
    </row>
    <row r="1156" spans="18:18" x14ac:dyDescent="0.35">
      <c r="R1156" s="49"/>
    </row>
    <row r="1157" spans="18:18" x14ac:dyDescent="0.35">
      <c r="R1157" s="49"/>
    </row>
    <row r="1158" spans="18:18" x14ac:dyDescent="0.35">
      <c r="R1158" s="49"/>
    </row>
    <row r="1159" spans="18:18" x14ac:dyDescent="0.35">
      <c r="R1159" s="49"/>
    </row>
    <row r="1160" spans="18:18" x14ac:dyDescent="0.35">
      <c r="R1160" s="49"/>
    </row>
    <row r="1161" spans="18:18" x14ac:dyDescent="0.35">
      <c r="R1161" s="49"/>
    </row>
    <row r="1162" spans="18:18" x14ac:dyDescent="0.35">
      <c r="R1162" s="49"/>
    </row>
    <row r="1163" spans="18:18" x14ac:dyDescent="0.35">
      <c r="R1163" s="49"/>
    </row>
    <row r="1164" spans="18:18" x14ac:dyDescent="0.35">
      <c r="R1164" s="49"/>
    </row>
    <row r="1165" spans="18:18" x14ac:dyDescent="0.35">
      <c r="R1165" s="49"/>
    </row>
    <row r="1166" spans="18:18" x14ac:dyDescent="0.35">
      <c r="R1166" s="49"/>
    </row>
    <row r="1167" spans="18:18" x14ac:dyDescent="0.35">
      <c r="R1167" s="49"/>
    </row>
    <row r="1168" spans="18:18" x14ac:dyDescent="0.35">
      <c r="R1168" s="49"/>
    </row>
    <row r="1169" spans="18:18" x14ac:dyDescent="0.35">
      <c r="R1169" s="49"/>
    </row>
    <row r="1170" spans="18:18" x14ac:dyDescent="0.35">
      <c r="R1170" s="49"/>
    </row>
    <row r="1171" spans="18:18" x14ac:dyDescent="0.35">
      <c r="R1171" s="49"/>
    </row>
    <row r="1172" spans="18:18" x14ac:dyDescent="0.35">
      <c r="R1172" s="49"/>
    </row>
    <row r="1173" spans="18:18" x14ac:dyDescent="0.35">
      <c r="R1173" s="49"/>
    </row>
    <row r="1174" spans="18:18" x14ac:dyDescent="0.35">
      <c r="R1174" s="49"/>
    </row>
    <row r="1175" spans="18:18" x14ac:dyDescent="0.35">
      <c r="R1175" s="49"/>
    </row>
    <row r="1176" spans="18:18" x14ac:dyDescent="0.35">
      <c r="R1176" s="49"/>
    </row>
    <row r="1177" spans="18:18" x14ac:dyDescent="0.35">
      <c r="R1177" s="49"/>
    </row>
    <row r="1178" spans="18:18" x14ac:dyDescent="0.35">
      <c r="R1178" s="49"/>
    </row>
    <row r="1179" spans="18:18" x14ac:dyDescent="0.35">
      <c r="R1179" s="49"/>
    </row>
    <row r="1180" spans="18:18" x14ac:dyDescent="0.35">
      <c r="R1180" s="49"/>
    </row>
    <row r="1181" spans="18:18" x14ac:dyDescent="0.35">
      <c r="R1181" s="49"/>
    </row>
    <row r="1182" spans="18:18" x14ac:dyDescent="0.35">
      <c r="R1182" s="49"/>
    </row>
    <row r="1183" spans="18:18" x14ac:dyDescent="0.35">
      <c r="R1183" s="49"/>
    </row>
    <row r="1184" spans="18:18" x14ac:dyDescent="0.35">
      <c r="R1184" s="49"/>
    </row>
    <row r="1185" spans="18:18" x14ac:dyDescent="0.35">
      <c r="R1185" s="49"/>
    </row>
    <row r="1186" spans="18:18" x14ac:dyDescent="0.35">
      <c r="R1186" s="49"/>
    </row>
    <row r="1187" spans="18:18" x14ac:dyDescent="0.35">
      <c r="R1187" s="49"/>
    </row>
    <row r="1188" spans="18:18" x14ac:dyDescent="0.35">
      <c r="R1188" s="49"/>
    </row>
    <row r="1189" spans="18:18" x14ac:dyDescent="0.35">
      <c r="R1189" s="49"/>
    </row>
    <row r="1190" spans="18:18" x14ac:dyDescent="0.35">
      <c r="R1190" s="49"/>
    </row>
    <row r="1191" spans="18:18" x14ac:dyDescent="0.35">
      <c r="R1191" s="49"/>
    </row>
    <row r="1192" spans="18:18" x14ac:dyDescent="0.35">
      <c r="R1192" s="49"/>
    </row>
    <row r="1193" spans="18:18" x14ac:dyDescent="0.35">
      <c r="R1193" s="49"/>
    </row>
    <row r="1194" spans="18:18" x14ac:dyDescent="0.35">
      <c r="R1194" s="49"/>
    </row>
    <row r="1195" spans="18:18" x14ac:dyDescent="0.35">
      <c r="R1195" s="49"/>
    </row>
    <row r="1196" spans="18:18" x14ac:dyDescent="0.35">
      <c r="R1196" s="49"/>
    </row>
    <row r="1197" spans="18:18" x14ac:dyDescent="0.35">
      <c r="R1197" s="49"/>
    </row>
    <row r="1198" spans="18:18" x14ac:dyDescent="0.35">
      <c r="R1198" s="49"/>
    </row>
    <row r="1199" spans="18:18" x14ac:dyDescent="0.35">
      <c r="R1199" s="49"/>
    </row>
    <row r="1200" spans="18:18" x14ac:dyDescent="0.35">
      <c r="R1200" s="49"/>
    </row>
    <row r="1201" spans="18:18" x14ac:dyDescent="0.35">
      <c r="R1201" s="49"/>
    </row>
    <row r="1202" spans="18:18" x14ac:dyDescent="0.35">
      <c r="R1202" s="49"/>
    </row>
    <row r="1203" spans="18:18" x14ac:dyDescent="0.35">
      <c r="R1203" s="49"/>
    </row>
    <row r="1204" spans="18:18" x14ac:dyDescent="0.35">
      <c r="R1204" s="49"/>
    </row>
    <row r="1205" spans="18:18" x14ac:dyDescent="0.35">
      <c r="R1205" s="49"/>
    </row>
    <row r="1206" spans="18:18" x14ac:dyDescent="0.35">
      <c r="R1206" s="49"/>
    </row>
    <row r="1207" spans="18:18" x14ac:dyDescent="0.35">
      <c r="R1207" s="49"/>
    </row>
    <row r="1208" spans="18:18" x14ac:dyDescent="0.35">
      <c r="R1208" s="49"/>
    </row>
    <row r="1209" spans="18:18" x14ac:dyDescent="0.35">
      <c r="R1209" s="49"/>
    </row>
    <row r="1210" spans="18:18" x14ac:dyDescent="0.35">
      <c r="R1210" s="49"/>
    </row>
    <row r="1211" spans="18:18" x14ac:dyDescent="0.35">
      <c r="R1211" s="49"/>
    </row>
    <row r="1212" spans="18:18" x14ac:dyDescent="0.35">
      <c r="R1212" s="49"/>
    </row>
    <row r="1213" spans="18:18" x14ac:dyDescent="0.35">
      <c r="R1213" s="49"/>
    </row>
    <row r="1214" spans="18:18" x14ac:dyDescent="0.35">
      <c r="R1214" s="49"/>
    </row>
    <row r="1215" spans="18:18" x14ac:dyDescent="0.35">
      <c r="R1215" s="49"/>
    </row>
    <row r="1216" spans="18:18" x14ac:dyDescent="0.35">
      <c r="R1216" s="49"/>
    </row>
    <row r="1217" spans="18:18" x14ac:dyDescent="0.35">
      <c r="R1217" s="49"/>
    </row>
    <row r="1218" spans="18:18" x14ac:dyDescent="0.35">
      <c r="R1218" s="49"/>
    </row>
    <row r="1219" spans="18:18" x14ac:dyDescent="0.35">
      <c r="R1219" s="49"/>
    </row>
    <row r="1220" spans="18:18" x14ac:dyDescent="0.35">
      <c r="R1220" s="49"/>
    </row>
    <row r="1221" spans="18:18" x14ac:dyDescent="0.35">
      <c r="R1221" s="49"/>
    </row>
    <row r="1222" spans="18:18" x14ac:dyDescent="0.35">
      <c r="R1222" s="49"/>
    </row>
    <row r="1223" spans="18:18" x14ac:dyDescent="0.35">
      <c r="R1223" s="49"/>
    </row>
    <row r="1224" spans="18:18" x14ac:dyDescent="0.35">
      <c r="R1224" s="49"/>
    </row>
    <row r="1225" spans="18:18" x14ac:dyDescent="0.35">
      <c r="R1225" s="49"/>
    </row>
    <row r="1226" spans="18:18" x14ac:dyDescent="0.35">
      <c r="R1226" s="49"/>
    </row>
    <row r="1227" spans="18:18" x14ac:dyDescent="0.35">
      <c r="R1227" s="49"/>
    </row>
    <row r="1228" spans="18:18" x14ac:dyDescent="0.35">
      <c r="R1228" s="49"/>
    </row>
    <row r="1229" spans="18:18" x14ac:dyDescent="0.35">
      <c r="R1229" s="49"/>
    </row>
    <row r="1230" spans="18:18" x14ac:dyDescent="0.35">
      <c r="R1230" s="49"/>
    </row>
    <row r="1231" spans="18:18" x14ac:dyDescent="0.35">
      <c r="R1231" s="49"/>
    </row>
    <row r="1232" spans="18:18" x14ac:dyDescent="0.35">
      <c r="R1232" s="49"/>
    </row>
    <row r="1233" spans="18:18" x14ac:dyDescent="0.35">
      <c r="R1233" s="49"/>
    </row>
    <row r="1234" spans="18:18" x14ac:dyDescent="0.35">
      <c r="R1234" s="49"/>
    </row>
    <row r="1235" spans="18:18" x14ac:dyDescent="0.35">
      <c r="R1235" s="49"/>
    </row>
    <row r="1236" spans="18:18" x14ac:dyDescent="0.35">
      <c r="R1236" s="49"/>
    </row>
    <row r="1237" spans="18:18" x14ac:dyDescent="0.35">
      <c r="R1237" s="49"/>
    </row>
    <row r="1238" spans="18:18" x14ac:dyDescent="0.35">
      <c r="R1238" s="49"/>
    </row>
    <row r="1239" spans="18:18" x14ac:dyDescent="0.35">
      <c r="R1239" s="49"/>
    </row>
    <row r="1240" spans="18:18" x14ac:dyDescent="0.35">
      <c r="R1240" s="49"/>
    </row>
    <row r="1241" spans="18:18" x14ac:dyDescent="0.35">
      <c r="R1241" s="49"/>
    </row>
    <row r="1242" spans="18:18" x14ac:dyDescent="0.35">
      <c r="R1242" s="49"/>
    </row>
    <row r="1243" spans="18:18" x14ac:dyDescent="0.35">
      <c r="R1243" s="49"/>
    </row>
    <row r="1244" spans="18:18" x14ac:dyDescent="0.35">
      <c r="R1244" s="49"/>
    </row>
    <row r="1245" spans="18:18" x14ac:dyDescent="0.35">
      <c r="R1245" s="49"/>
    </row>
    <row r="1246" spans="18:18" x14ac:dyDescent="0.35">
      <c r="R1246" s="49"/>
    </row>
    <row r="1247" spans="18:18" x14ac:dyDescent="0.35">
      <c r="R1247" s="49"/>
    </row>
    <row r="1248" spans="18:18" x14ac:dyDescent="0.35">
      <c r="R1248" s="49"/>
    </row>
    <row r="1249" spans="18:18" x14ac:dyDescent="0.35">
      <c r="R1249" s="49"/>
    </row>
    <row r="1250" spans="18:18" x14ac:dyDescent="0.35">
      <c r="R1250" s="49"/>
    </row>
    <row r="1251" spans="18:18" x14ac:dyDescent="0.35">
      <c r="R1251" s="49"/>
    </row>
    <row r="1252" spans="18:18" x14ac:dyDescent="0.35">
      <c r="R1252" s="49"/>
    </row>
    <row r="1253" spans="18:18" x14ac:dyDescent="0.35">
      <c r="R1253" s="49"/>
    </row>
    <row r="1254" spans="18:18" x14ac:dyDescent="0.35">
      <c r="R1254" s="49"/>
    </row>
    <row r="1255" spans="18:18" x14ac:dyDescent="0.35">
      <c r="R1255" s="49"/>
    </row>
    <row r="1256" spans="18:18" x14ac:dyDescent="0.35">
      <c r="R1256" s="49"/>
    </row>
    <row r="1257" spans="18:18" x14ac:dyDescent="0.35">
      <c r="R1257" s="49"/>
    </row>
    <row r="1258" spans="18:18" x14ac:dyDescent="0.35">
      <c r="R1258" s="49"/>
    </row>
    <row r="1259" spans="18:18" x14ac:dyDescent="0.35">
      <c r="R1259" s="49"/>
    </row>
    <row r="1260" spans="18:18" x14ac:dyDescent="0.35">
      <c r="R1260" s="49"/>
    </row>
    <row r="1261" spans="18:18" x14ac:dyDescent="0.35">
      <c r="R1261" s="49"/>
    </row>
    <row r="1262" spans="18:18" x14ac:dyDescent="0.35">
      <c r="R1262" s="49"/>
    </row>
    <row r="1263" spans="18:18" x14ac:dyDescent="0.35">
      <c r="R1263" s="49"/>
    </row>
    <row r="1264" spans="18:18" x14ac:dyDescent="0.35">
      <c r="R1264" s="49"/>
    </row>
    <row r="1265" spans="18:18" x14ac:dyDescent="0.35">
      <c r="R1265" s="49"/>
    </row>
    <row r="1266" spans="18:18" x14ac:dyDescent="0.35">
      <c r="R1266" s="49"/>
    </row>
    <row r="1267" spans="18:18" x14ac:dyDescent="0.35">
      <c r="R1267" s="49"/>
    </row>
    <row r="1268" spans="18:18" x14ac:dyDescent="0.35">
      <c r="R1268" s="49"/>
    </row>
    <row r="1269" spans="18:18" x14ac:dyDescent="0.35">
      <c r="R1269" s="49"/>
    </row>
    <row r="1270" spans="18:18" x14ac:dyDescent="0.35">
      <c r="R1270" s="49"/>
    </row>
    <row r="1271" spans="18:18" x14ac:dyDescent="0.35">
      <c r="R1271" s="49"/>
    </row>
    <row r="1272" spans="18:18" x14ac:dyDescent="0.35">
      <c r="R1272" s="49"/>
    </row>
    <row r="1273" spans="18:18" x14ac:dyDescent="0.35">
      <c r="R1273" s="49"/>
    </row>
    <row r="1274" spans="18:18" x14ac:dyDescent="0.35">
      <c r="R1274" s="49"/>
    </row>
    <row r="1275" spans="18:18" x14ac:dyDescent="0.35">
      <c r="R1275" s="49"/>
    </row>
    <row r="1276" spans="18:18" x14ac:dyDescent="0.35">
      <c r="R1276" s="49"/>
    </row>
    <row r="1277" spans="18:18" x14ac:dyDescent="0.35">
      <c r="R1277" s="49"/>
    </row>
    <row r="1278" spans="18:18" x14ac:dyDescent="0.35">
      <c r="R1278" s="49"/>
    </row>
    <row r="1279" spans="18:18" x14ac:dyDescent="0.35">
      <c r="R1279" s="49"/>
    </row>
    <row r="1280" spans="18:18" x14ac:dyDescent="0.35">
      <c r="R1280" s="49"/>
    </row>
    <row r="1281" spans="18:18" x14ac:dyDescent="0.35">
      <c r="R1281" s="49"/>
    </row>
    <row r="1282" spans="18:18" x14ac:dyDescent="0.35">
      <c r="R1282" s="49"/>
    </row>
    <row r="1283" spans="18:18" x14ac:dyDescent="0.35">
      <c r="R1283" s="49"/>
    </row>
    <row r="1284" spans="18:18" x14ac:dyDescent="0.35">
      <c r="R1284" s="49"/>
    </row>
    <row r="1285" spans="18:18" x14ac:dyDescent="0.35">
      <c r="R1285" s="49"/>
    </row>
    <row r="1286" spans="18:18" x14ac:dyDescent="0.35">
      <c r="R1286" s="49"/>
    </row>
    <row r="1287" spans="18:18" x14ac:dyDescent="0.35">
      <c r="R1287" s="49"/>
    </row>
    <row r="1288" spans="18:18" x14ac:dyDescent="0.35">
      <c r="R1288" s="49"/>
    </row>
    <row r="1289" spans="18:18" x14ac:dyDescent="0.35">
      <c r="R1289" s="49"/>
    </row>
    <row r="1290" spans="18:18" x14ac:dyDescent="0.35">
      <c r="R1290" s="49"/>
    </row>
    <row r="1291" spans="18:18" x14ac:dyDescent="0.35">
      <c r="R1291" s="49"/>
    </row>
    <row r="1292" spans="18:18" x14ac:dyDescent="0.35">
      <c r="R1292" s="49"/>
    </row>
    <row r="1293" spans="18:18" x14ac:dyDescent="0.35">
      <c r="R1293" s="49"/>
    </row>
    <row r="1294" spans="18:18" x14ac:dyDescent="0.35">
      <c r="R1294" s="49"/>
    </row>
    <row r="1295" spans="18:18" x14ac:dyDescent="0.35">
      <c r="R1295" s="49"/>
    </row>
    <row r="1296" spans="18:18" x14ac:dyDescent="0.35">
      <c r="R1296" s="49"/>
    </row>
    <row r="1297" spans="18:18" x14ac:dyDescent="0.35">
      <c r="R1297" s="49"/>
    </row>
    <row r="1298" spans="18:18" x14ac:dyDescent="0.35">
      <c r="R1298" s="49"/>
    </row>
    <row r="1299" spans="18:18" x14ac:dyDescent="0.35">
      <c r="R1299" s="49"/>
    </row>
    <row r="1300" spans="18:18" x14ac:dyDescent="0.35">
      <c r="R1300" s="49"/>
    </row>
    <row r="1301" spans="18:18" x14ac:dyDescent="0.35">
      <c r="R1301" s="49"/>
    </row>
    <row r="1302" spans="18:18" x14ac:dyDescent="0.35">
      <c r="R1302" s="49"/>
    </row>
    <row r="1303" spans="18:18" x14ac:dyDescent="0.35">
      <c r="R1303" s="49"/>
    </row>
    <row r="1304" spans="18:18" x14ac:dyDescent="0.35">
      <c r="R1304" s="49"/>
    </row>
    <row r="1305" spans="18:18" x14ac:dyDescent="0.35">
      <c r="R1305" s="49"/>
    </row>
    <row r="1306" spans="18:18" x14ac:dyDescent="0.35">
      <c r="R1306" s="49"/>
    </row>
    <row r="1307" spans="18:18" x14ac:dyDescent="0.35">
      <c r="R1307" s="49"/>
    </row>
    <row r="1308" spans="18:18" x14ac:dyDescent="0.35">
      <c r="R1308" s="49"/>
    </row>
    <row r="1309" spans="18:18" x14ac:dyDescent="0.35">
      <c r="R1309" s="49"/>
    </row>
    <row r="1310" spans="18:18" x14ac:dyDescent="0.35">
      <c r="R1310" s="49"/>
    </row>
    <row r="1311" spans="18:18" x14ac:dyDescent="0.35">
      <c r="R1311" s="49"/>
    </row>
    <row r="1312" spans="18:18" x14ac:dyDescent="0.35">
      <c r="R1312" s="49"/>
    </row>
    <row r="1313" spans="18:18" x14ac:dyDescent="0.35">
      <c r="R1313" s="49"/>
    </row>
    <row r="1314" spans="18:18" x14ac:dyDescent="0.35">
      <c r="R1314" s="49"/>
    </row>
    <row r="1315" spans="18:18" x14ac:dyDescent="0.35">
      <c r="R1315" s="49"/>
    </row>
    <row r="1316" spans="18:18" x14ac:dyDescent="0.35">
      <c r="R1316" s="49"/>
    </row>
    <row r="1317" spans="18:18" x14ac:dyDescent="0.35">
      <c r="R1317" s="49"/>
    </row>
    <row r="1318" spans="18:18" x14ac:dyDescent="0.35">
      <c r="R1318" s="49"/>
    </row>
    <row r="1319" spans="18:18" x14ac:dyDescent="0.35">
      <c r="R1319" s="49"/>
    </row>
    <row r="1320" spans="18:18" x14ac:dyDescent="0.35">
      <c r="R1320" s="49"/>
    </row>
    <row r="1321" spans="18:18" x14ac:dyDescent="0.35">
      <c r="R1321" s="49"/>
    </row>
    <row r="1322" spans="18:18" x14ac:dyDescent="0.35">
      <c r="R1322" s="49"/>
    </row>
    <row r="1323" spans="18:18" x14ac:dyDescent="0.35">
      <c r="R1323" s="49"/>
    </row>
    <row r="1324" spans="18:18" x14ac:dyDescent="0.35">
      <c r="R1324" s="49"/>
    </row>
    <row r="1325" spans="18:18" x14ac:dyDescent="0.35">
      <c r="R1325" s="49"/>
    </row>
    <row r="1326" spans="18:18" x14ac:dyDescent="0.35">
      <c r="R1326" s="49"/>
    </row>
    <row r="1327" spans="18:18" x14ac:dyDescent="0.35">
      <c r="R1327" s="49"/>
    </row>
    <row r="1328" spans="18:18" x14ac:dyDescent="0.35">
      <c r="R1328" s="49"/>
    </row>
    <row r="1329" spans="18:18" x14ac:dyDescent="0.35">
      <c r="R1329" s="49"/>
    </row>
    <row r="1330" spans="18:18" x14ac:dyDescent="0.35">
      <c r="R1330" s="49"/>
    </row>
    <row r="1331" spans="18:18" x14ac:dyDescent="0.35">
      <c r="R1331" s="49"/>
    </row>
    <row r="1332" spans="18:18" x14ac:dyDescent="0.35">
      <c r="R1332" s="49"/>
    </row>
    <row r="1333" spans="18:18" x14ac:dyDescent="0.35">
      <c r="R1333" s="49"/>
    </row>
    <row r="1334" spans="18:18" x14ac:dyDescent="0.35">
      <c r="R1334" s="49"/>
    </row>
    <row r="1335" spans="18:18" x14ac:dyDescent="0.35">
      <c r="R1335" s="49"/>
    </row>
    <row r="1336" spans="18:18" x14ac:dyDescent="0.35">
      <c r="R1336" s="49"/>
    </row>
    <row r="1337" spans="18:18" x14ac:dyDescent="0.35">
      <c r="R1337" s="49"/>
    </row>
    <row r="1338" spans="18:18" x14ac:dyDescent="0.35">
      <c r="R1338" s="49"/>
    </row>
    <row r="1339" spans="18:18" x14ac:dyDescent="0.35">
      <c r="R1339" s="49"/>
    </row>
    <row r="1340" spans="18:18" x14ac:dyDescent="0.35">
      <c r="R1340" s="49"/>
    </row>
    <row r="1341" spans="18:18" x14ac:dyDescent="0.35">
      <c r="R1341" s="49"/>
    </row>
    <row r="1342" spans="18:18" x14ac:dyDescent="0.35">
      <c r="R1342" s="49"/>
    </row>
    <row r="1343" spans="18:18" x14ac:dyDescent="0.35">
      <c r="R1343" s="49"/>
    </row>
    <row r="1344" spans="18:18" x14ac:dyDescent="0.35">
      <c r="R1344" s="49"/>
    </row>
    <row r="1345" spans="18:18" x14ac:dyDescent="0.35">
      <c r="R1345" s="49"/>
    </row>
    <row r="1346" spans="18:18" x14ac:dyDescent="0.35">
      <c r="R1346" s="49"/>
    </row>
    <row r="1347" spans="18:18" x14ac:dyDescent="0.35">
      <c r="R1347" s="49"/>
    </row>
    <row r="1348" spans="18:18" x14ac:dyDescent="0.35">
      <c r="R1348" s="49"/>
    </row>
    <row r="1349" spans="18:18" x14ac:dyDescent="0.35">
      <c r="R1349" s="49"/>
    </row>
    <row r="1350" spans="18:18" x14ac:dyDescent="0.35">
      <c r="R1350" s="49"/>
    </row>
    <row r="1351" spans="18:18" x14ac:dyDescent="0.35">
      <c r="R1351" s="49"/>
    </row>
    <row r="1352" spans="18:18" x14ac:dyDescent="0.35">
      <c r="R1352" s="49"/>
    </row>
    <row r="1353" spans="18:18" x14ac:dyDescent="0.35">
      <c r="R1353" s="49"/>
    </row>
    <row r="1354" spans="18:18" x14ac:dyDescent="0.35">
      <c r="R1354" s="49"/>
    </row>
    <row r="1355" spans="18:18" x14ac:dyDescent="0.35">
      <c r="R1355" s="49"/>
    </row>
    <row r="1356" spans="18:18" x14ac:dyDescent="0.35">
      <c r="R1356" s="49"/>
    </row>
    <row r="1357" spans="18:18" x14ac:dyDescent="0.35">
      <c r="R1357" s="49"/>
    </row>
    <row r="1358" spans="18:18" x14ac:dyDescent="0.35">
      <c r="R1358" s="49"/>
    </row>
    <row r="1359" spans="18:18" x14ac:dyDescent="0.35">
      <c r="R1359" s="49"/>
    </row>
    <row r="1360" spans="18:18" x14ac:dyDescent="0.35">
      <c r="R1360" s="49"/>
    </row>
    <row r="1361" spans="18:18" x14ac:dyDescent="0.35">
      <c r="R1361" s="49"/>
    </row>
    <row r="1362" spans="18:18" x14ac:dyDescent="0.35">
      <c r="R1362" s="49"/>
    </row>
    <row r="1363" spans="18:18" x14ac:dyDescent="0.35">
      <c r="R1363" s="49"/>
    </row>
    <row r="1364" spans="18:18" x14ac:dyDescent="0.35">
      <c r="R1364" s="49"/>
    </row>
    <row r="1365" spans="18:18" x14ac:dyDescent="0.35">
      <c r="R1365" s="49"/>
    </row>
    <row r="1366" spans="18:18" x14ac:dyDescent="0.35">
      <c r="R1366" s="49"/>
    </row>
    <row r="1367" spans="18:18" x14ac:dyDescent="0.35">
      <c r="R1367" s="49"/>
    </row>
    <row r="1368" spans="18:18" x14ac:dyDescent="0.35">
      <c r="R1368" s="49"/>
    </row>
    <row r="1369" spans="18:18" x14ac:dyDescent="0.35">
      <c r="R1369" s="49"/>
    </row>
    <row r="1370" spans="18:18" x14ac:dyDescent="0.35">
      <c r="R1370" s="49"/>
    </row>
    <row r="1371" spans="18:18" x14ac:dyDescent="0.35">
      <c r="R1371" s="49"/>
    </row>
    <row r="1372" spans="18:18" x14ac:dyDescent="0.35">
      <c r="R1372" s="49"/>
    </row>
    <row r="1373" spans="18:18" x14ac:dyDescent="0.35">
      <c r="R1373" s="49"/>
    </row>
    <row r="1374" spans="18:18" x14ac:dyDescent="0.35">
      <c r="R1374" s="49"/>
    </row>
    <row r="1375" spans="18:18" x14ac:dyDescent="0.35">
      <c r="R1375" s="49"/>
    </row>
    <row r="1376" spans="18:18" x14ac:dyDescent="0.35">
      <c r="R1376" s="49"/>
    </row>
    <row r="1377" spans="18:18" x14ac:dyDescent="0.35">
      <c r="R1377" s="49"/>
    </row>
    <row r="1378" spans="18:18" x14ac:dyDescent="0.35">
      <c r="R1378" s="49"/>
    </row>
    <row r="1379" spans="18:18" x14ac:dyDescent="0.35">
      <c r="R1379" s="49"/>
    </row>
    <row r="1380" spans="18:18" x14ac:dyDescent="0.35">
      <c r="R1380" s="49"/>
    </row>
    <row r="1381" spans="18:18" x14ac:dyDescent="0.35">
      <c r="R1381" s="49"/>
    </row>
    <row r="1382" spans="18:18" x14ac:dyDescent="0.35">
      <c r="R1382" s="49"/>
    </row>
    <row r="1383" spans="18:18" x14ac:dyDescent="0.35">
      <c r="R1383" s="49"/>
    </row>
    <row r="1384" spans="18:18" x14ac:dyDescent="0.35">
      <c r="R1384" s="49"/>
    </row>
    <row r="1385" spans="18:18" x14ac:dyDescent="0.35">
      <c r="R1385" s="49"/>
    </row>
    <row r="1386" spans="18:18" x14ac:dyDescent="0.35">
      <c r="R1386" s="49"/>
    </row>
    <row r="1387" spans="18:18" x14ac:dyDescent="0.35">
      <c r="R1387" s="49"/>
    </row>
    <row r="1388" spans="18:18" x14ac:dyDescent="0.35">
      <c r="R1388" s="49"/>
    </row>
    <row r="1389" spans="18:18" x14ac:dyDescent="0.35">
      <c r="R1389" s="49"/>
    </row>
    <row r="1390" spans="18:18" x14ac:dyDescent="0.35">
      <c r="R1390" s="49"/>
    </row>
    <row r="1391" spans="18:18" x14ac:dyDescent="0.35">
      <c r="R1391" s="49"/>
    </row>
    <row r="1392" spans="18:18" x14ac:dyDescent="0.35">
      <c r="R1392" s="49"/>
    </row>
    <row r="1393" spans="18:18" x14ac:dyDescent="0.35">
      <c r="R1393" s="49"/>
    </row>
    <row r="1394" spans="18:18" x14ac:dyDescent="0.35">
      <c r="R1394" s="49"/>
    </row>
    <row r="1395" spans="18:18" x14ac:dyDescent="0.35">
      <c r="R1395" s="49"/>
    </row>
    <row r="1396" spans="18:18" x14ac:dyDescent="0.35">
      <c r="R1396" s="49"/>
    </row>
    <row r="1397" spans="18:18" x14ac:dyDescent="0.35">
      <c r="R1397" s="49"/>
    </row>
    <row r="1398" spans="18:18" x14ac:dyDescent="0.35">
      <c r="R1398" s="49"/>
    </row>
    <row r="1399" spans="18:18" x14ac:dyDescent="0.35">
      <c r="R1399" s="49"/>
    </row>
    <row r="1400" spans="18:18" x14ac:dyDescent="0.35">
      <c r="R1400" s="49"/>
    </row>
    <row r="1401" spans="18:18" x14ac:dyDescent="0.35">
      <c r="R1401" s="49"/>
    </row>
    <row r="1402" spans="18:18" x14ac:dyDescent="0.35">
      <c r="R1402" s="49"/>
    </row>
    <row r="1403" spans="18:18" x14ac:dyDescent="0.35">
      <c r="R1403" s="49"/>
    </row>
    <row r="1404" spans="18:18" x14ac:dyDescent="0.35">
      <c r="R1404" s="49"/>
    </row>
    <row r="1405" spans="18:18" x14ac:dyDescent="0.35">
      <c r="R1405" s="49"/>
    </row>
    <row r="1406" spans="18:18" x14ac:dyDescent="0.35">
      <c r="R1406" s="49"/>
    </row>
    <row r="1407" spans="18:18" x14ac:dyDescent="0.35">
      <c r="R1407" s="49"/>
    </row>
    <row r="1408" spans="18:18" x14ac:dyDescent="0.35">
      <c r="R1408" s="49"/>
    </row>
    <row r="1409" spans="18:18" x14ac:dyDescent="0.35">
      <c r="R1409" s="49"/>
    </row>
    <row r="1410" spans="18:18" x14ac:dyDescent="0.35">
      <c r="R1410" s="49"/>
    </row>
    <row r="1411" spans="18:18" x14ac:dyDescent="0.35">
      <c r="R1411" s="49"/>
    </row>
    <row r="1412" spans="18:18" x14ac:dyDescent="0.35">
      <c r="R1412" s="49"/>
    </row>
    <row r="1413" spans="18:18" x14ac:dyDescent="0.35">
      <c r="R1413" s="49"/>
    </row>
    <row r="1414" spans="18:18" x14ac:dyDescent="0.35">
      <c r="R1414" s="49"/>
    </row>
    <row r="1415" spans="18:18" x14ac:dyDescent="0.35">
      <c r="R1415" s="49"/>
    </row>
    <row r="1416" spans="18:18" x14ac:dyDescent="0.35">
      <c r="R1416" s="49"/>
    </row>
    <row r="1417" spans="18:18" x14ac:dyDescent="0.35">
      <c r="R1417" s="49"/>
    </row>
    <row r="1418" spans="18:18" x14ac:dyDescent="0.35">
      <c r="R1418" s="49"/>
    </row>
    <row r="1419" spans="18:18" x14ac:dyDescent="0.35">
      <c r="R1419" s="49"/>
    </row>
    <row r="1420" spans="18:18" x14ac:dyDescent="0.35">
      <c r="R1420" s="49"/>
    </row>
    <row r="1421" spans="18:18" x14ac:dyDescent="0.35">
      <c r="R1421" s="49"/>
    </row>
    <row r="1422" spans="18:18" x14ac:dyDescent="0.35">
      <c r="R1422" s="49"/>
    </row>
    <row r="1423" spans="18:18" x14ac:dyDescent="0.35">
      <c r="R1423" s="49"/>
    </row>
    <row r="1424" spans="18:18" x14ac:dyDescent="0.35">
      <c r="R1424" s="49"/>
    </row>
    <row r="1425" spans="18:18" x14ac:dyDescent="0.35">
      <c r="R1425" s="49"/>
    </row>
    <row r="1426" spans="18:18" x14ac:dyDescent="0.35">
      <c r="R1426" s="49"/>
    </row>
    <row r="1427" spans="18:18" x14ac:dyDescent="0.35">
      <c r="R1427" s="49"/>
    </row>
    <row r="1428" spans="18:18" x14ac:dyDescent="0.35">
      <c r="R1428" s="49"/>
    </row>
    <row r="1429" spans="18:18" x14ac:dyDescent="0.35">
      <c r="R1429" s="49"/>
    </row>
    <row r="1430" spans="18:18" x14ac:dyDescent="0.35">
      <c r="R1430" s="49"/>
    </row>
    <row r="1431" spans="18:18" x14ac:dyDescent="0.35">
      <c r="R1431" s="49"/>
    </row>
    <row r="1432" spans="18:18" x14ac:dyDescent="0.35">
      <c r="R1432" s="49"/>
    </row>
    <row r="1433" spans="18:18" x14ac:dyDescent="0.35">
      <c r="R1433" s="49"/>
    </row>
    <row r="1434" spans="18:18" x14ac:dyDescent="0.35">
      <c r="R1434" s="49"/>
    </row>
    <row r="1435" spans="18:18" x14ac:dyDescent="0.35">
      <c r="R1435" s="49"/>
    </row>
    <row r="1436" spans="18:18" x14ac:dyDescent="0.35">
      <c r="R1436" s="49"/>
    </row>
    <row r="1437" spans="18:18" x14ac:dyDescent="0.35">
      <c r="R1437" s="49"/>
    </row>
    <row r="1438" spans="18:18" x14ac:dyDescent="0.35">
      <c r="R1438" s="49"/>
    </row>
    <row r="1439" spans="18:18" x14ac:dyDescent="0.35">
      <c r="R1439" s="49"/>
    </row>
    <row r="1440" spans="18:18" x14ac:dyDescent="0.35">
      <c r="R1440" s="49"/>
    </row>
    <row r="1441" spans="18:18" x14ac:dyDescent="0.35">
      <c r="R1441" s="49"/>
    </row>
    <row r="1442" spans="18:18" x14ac:dyDescent="0.35">
      <c r="R1442" s="49"/>
    </row>
    <row r="1443" spans="18:18" x14ac:dyDescent="0.35">
      <c r="R1443" s="49"/>
    </row>
    <row r="1444" spans="18:18" x14ac:dyDescent="0.35">
      <c r="R1444" s="49"/>
    </row>
    <row r="1445" spans="18:18" x14ac:dyDescent="0.35">
      <c r="R1445" s="49"/>
    </row>
    <row r="1446" spans="18:18" x14ac:dyDescent="0.35">
      <c r="R1446" s="49"/>
    </row>
    <row r="1447" spans="18:18" x14ac:dyDescent="0.35">
      <c r="R1447" s="49"/>
    </row>
    <row r="1448" spans="18:18" x14ac:dyDescent="0.35">
      <c r="R1448" s="49"/>
    </row>
    <row r="1449" spans="18:18" x14ac:dyDescent="0.35">
      <c r="R1449" s="49"/>
    </row>
    <row r="1450" spans="18:18" x14ac:dyDescent="0.35">
      <c r="R1450" s="49"/>
    </row>
    <row r="1451" spans="18:18" x14ac:dyDescent="0.35">
      <c r="R1451" s="49"/>
    </row>
    <row r="1452" spans="18:18" x14ac:dyDescent="0.35">
      <c r="R1452" s="49"/>
    </row>
    <row r="1453" spans="18:18" x14ac:dyDescent="0.35">
      <c r="R1453" s="49"/>
    </row>
    <row r="1454" spans="18:18" x14ac:dyDescent="0.35">
      <c r="R1454" s="49"/>
    </row>
    <row r="1455" spans="18:18" x14ac:dyDescent="0.35">
      <c r="R1455" s="49"/>
    </row>
    <row r="1456" spans="18:18" x14ac:dyDescent="0.35">
      <c r="R1456" s="49"/>
    </row>
    <row r="1457" spans="18:18" x14ac:dyDescent="0.35">
      <c r="R1457" s="49"/>
    </row>
    <row r="1458" spans="18:18" x14ac:dyDescent="0.35">
      <c r="R1458" s="49"/>
    </row>
    <row r="1459" spans="18:18" x14ac:dyDescent="0.35">
      <c r="R1459" s="49"/>
    </row>
    <row r="1460" spans="18:18" x14ac:dyDescent="0.35">
      <c r="R1460" s="49"/>
    </row>
    <row r="1461" spans="18:18" x14ac:dyDescent="0.35">
      <c r="R1461" s="49"/>
    </row>
    <row r="1462" spans="18:18" x14ac:dyDescent="0.35">
      <c r="R1462" s="49"/>
    </row>
    <row r="1463" spans="18:18" x14ac:dyDescent="0.35">
      <c r="R1463" s="49"/>
    </row>
    <row r="1464" spans="18:18" x14ac:dyDescent="0.35">
      <c r="R1464" s="49"/>
    </row>
    <row r="1465" spans="18:18" x14ac:dyDescent="0.35">
      <c r="R1465" s="49"/>
    </row>
    <row r="1466" spans="18:18" x14ac:dyDescent="0.35">
      <c r="R1466" s="49"/>
    </row>
    <row r="1467" spans="18:18" x14ac:dyDescent="0.35">
      <c r="R1467" s="49"/>
    </row>
    <row r="1468" spans="18:18" x14ac:dyDescent="0.35">
      <c r="R1468" s="49"/>
    </row>
    <row r="1469" spans="18:18" x14ac:dyDescent="0.35">
      <c r="R1469" s="49"/>
    </row>
    <row r="1470" spans="18:18" x14ac:dyDescent="0.35">
      <c r="R1470" s="49"/>
    </row>
    <row r="1471" spans="18:18" x14ac:dyDescent="0.35">
      <c r="R1471" s="49"/>
    </row>
    <row r="1472" spans="18:18" x14ac:dyDescent="0.35">
      <c r="R1472" s="49"/>
    </row>
    <row r="1473" spans="18:18" x14ac:dyDescent="0.35">
      <c r="R1473" s="49"/>
    </row>
    <row r="1474" spans="18:18" x14ac:dyDescent="0.35">
      <c r="R1474" s="49"/>
    </row>
    <row r="1475" spans="18:18" x14ac:dyDescent="0.35">
      <c r="R1475" s="49"/>
    </row>
    <row r="1476" spans="18:18" x14ac:dyDescent="0.35">
      <c r="R1476" s="49"/>
    </row>
    <row r="1477" spans="18:18" x14ac:dyDescent="0.35">
      <c r="R1477" s="49"/>
    </row>
    <row r="1478" spans="18:18" x14ac:dyDescent="0.35">
      <c r="R1478" s="49"/>
    </row>
    <row r="1479" spans="18:18" x14ac:dyDescent="0.35">
      <c r="R1479" s="49"/>
    </row>
    <row r="1480" spans="18:18" x14ac:dyDescent="0.35">
      <c r="R1480" s="49"/>
    </row>
    <row r="1481" spans="18:18" x14ac:dyDescent="0.35">
      <c r="R1481" s="49"/>
    </row>
    <row r="1482" spans="18:18" x14ac:dyDescent="0.35">
      <c r="R1482" s="49"/>
    </row>
    <row r="1483" spans="18:18" x14ac:dyDescent="0.35">
      <c r="R1483" s="49"/>
    </row>
    <row r="1484" spans="18:18" x14ac:dyDescent="0.35">
      <c r="R1484" s="49"/>
    </row>
    <row r="1485" spans="18:18" x14ac:dyDescent="0.35">
      <c r="R1485" s="49"/>
    </row>
    <row r="1486" spans="18:18" x14ac:dyDescent="0.35">
      <c r="R1486" s="49"/>
    </row>
    <row r="1487" spans="18:18" x14ac:dyDescent="0.35">
      <c r="R1487" s="49"/>
    </row>
    <row r="1488" spans="18:18" x14ac:dyDescent="0.35">
      <c r="R1488" s="49"/>
    </row>
    <row r="1489" spans="18:18" x14ac:dyDescent="0.35">
      <c r="R1489" s="49"/>
    </row>
    <row r="1490" spans="18:18" x14ac:dyDescent="0.35">
      <c r="R1490" s="49"/>
    </row>
    <row r="1491" spans="18:18" x14ac:dyDescent="0.35">
      <c r="R1491" s="49"/>
    </row>
    <row r="1492" spans="18:18" x14ac:dyDescent="0.35">
      <c r="R1492" s="49"/>
    </row>
    <row r="1493" spans="18:18" x14ac:dyDescent="0.35">
      <c r="R1493" s="49"/>
    </row>
    <row r="1494" spans="18:18" x14ac:dyDescent="0.35">
      <c r="R1494" s="49"/>
    </row>
    <row r="1495" spans="18:18" x14ac:dyDescent="0.35">
      <c r="R1495" s="49"/>
    </row>
    <row r="1496" spans="18:18" x14ac:dyDescent="0.35">
      <c r="R1496" s="49"/>
    </row>
    <row r="1497" spans="18:18" x14ac:dyDescent="0.35">
      <c r="R1497" s="49"/>
    </row>
  </sheetData>
  <sortState ref="C21:E24">
    <sortCondition descending="1" ref="E21"/>
  </sortState>
  <mergeCells count="3">
    <mergeCell ref="C3:P3"/>
    <mergeCell ref="D5:E5"/>
    <mergeCell ref="B37:R43"/>
  </mergeCells>
  <pageMargins left="0.7" right="0.7" top="0.75" bottom="0.75" header="0.3" footer="0.3"/>
  <pageSetup scale="69" orientation="portrait" r:id="rId1"/>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9">
    <pageSetUpPr fitToPage="1"/>
  </sheetPr>
  <dimension ref="A1:Y67"/>
  <sheetViews>
    <sheetView showGridLines="0" zoomScale="80" zoomScaleNormal="80" workbookViewId="0"/>
  </sheetViews>
  <sheetFormatPr defaultColWidth="9.1796875" defaultRowHeight="14.5" x14ac:dyDescent="0.35"/>
  <cols>
    <col min="1" max="1" width="2.81640625" style="19" customWidth="1"/>
    <col min="2" max="2" width="3.81640625" style="19" customWidth="1"/>
    <col min="3" max="3" width="58.7265625" style="19" bestFit="1" customWidth="1"/>
    <col min="4" max="4" width="30.54296875" style="19" customWidth="1"/>
    <col min="5" max="5" width="15" style="19" bestFit="1" customWidth="1"/>
    <col min="6" max="6" width="9.1796875" style="19"/>
    <col min="7" max="7" width="11.54296875" style="19" bestFit="1" customWidth="1"/>
    <col min="8" max="18" width="9.1796875" style="19"/>
    <col min="19" max="19" width="9.81640625" style="19" customWidth="1"/>
    <col min="20" max="22" width="9.1796875" style="19"/>
    <col min="23" max="23" width="47" style="19" bestFit="1" customWidth="1"/>
    <col min="24" max="24" width="9.81640625" style="19" bestFit="1" customWidth="1"/>
    <col min="25" max="16384" width="9.1796875" style="19"/>
  </cols>
  <sheetData>
    <row r="1" spans="1:25" ht="15.75" customHeight="1" thickBot="1" x14ac:dyDescent="0.4">
      <c r="A1" s="3"/>
    </row>
    <row r="2" spans="1:25" ht="15" customHeight="1" x14ac:dyDescent="0.35">
      <c r="B2" s="63"/>
      <c r="C2" s="28"/>
      <c r="D2" s="28"/>
      <c r="E2" s="28"/>
      <c r="F2" s="28"/>
      <c r="G2" s="28"/>
      <c r="H2" s="28"/>
      <c r="I2" s="28"/>
      <c r="J2" s="28"/>
      <c r="K2" s="28"/>
      <c r="L2" s="28"/>
      <c r="M2" s="28"/>
      <c r="N2" s="28"/>
      <c r="O2" s="28"/>
      <c r="P2" s="28"/>
      <c r="Q2" s="28"/>
      <c r="R2" s="28"/>
      <c r="S2" s="28"/>
      <c r="T2" s="24"/>
    </row>
    <row r="3" spans="1:25" ht="20.25" customHeight="1" x14ac:dyDescent="0.35">
      <c r="B3" s="64"/>
      <c r="C3" s="312" t="s">
        <v>158</v>
      </c>
      <c r="D3" s="313"/>
      <c r="E3" s="313"/>
      <c r="F3" s="313"/>
      <c r="G3" s="313"/>
      <c r="H3" s="313"/>
      <c r="I3" s="313"/>
      <c r="J3" s="313"/>
      <c r="K3" s="313"/>
      <c r="L3" s="313"/>
      <c r="M3" s="313"/>
      <c r="N3" s="313"/>
      <c r="O3" s="313"/>
      <c r="P3" s="313"/>
      <c r="Q3" s="313"/>
      <c r="R3" s="313"/>
      <c r="S3" s="313"/>
      <c r="T3" s="25"/>
    </row>
    <row r="4" spans="1:25" ht="15.75" customHeight="1" x14ac:dyDescent="0.35">
      <c r="B4" s="64"/>
      <c r="C4" s="67" t="s">
        <v>434</v>
      </c>
      <c r="D4" s="29"/>
      <c r="E4" s="29"/>
      <c r="F4" s="29"/>
      <c r="G4" s="29"/>
      <c r="H4" s="29"/>
      <c r="I4" s="29"/>
      <c r="J4" s="29"/>
      <c r="K4" s="29"/>
      <c r="L4" s="29"/>
      <c r="M4" s="29"/>
      <c r="N4" s="29"/>
      <c r="O4" s="29"/>
      <c r="P4" s="29"/>
      <c r="Q4" s="29"/>
      <c r="R4" s="29"/>
      <c r="S4" s="29"/>
      <c r="T4" s="25"/>
    </row>
    <row r="5" spans="1:25" ht="18" customHeight="1" x14ac:dyDescent="0.35">
      <c r="B5" s="64"/>
      <c r="C5" s="211" t="s">
        <v>435</v>
      </c>
      <c r="D5" s="314" t="s">
        <v>407</v>
      </c>
      <c r="E5" s="314"/>
      <c r="F5" s="29"/>
      <c r="G5" s="29"/>
      <c r="H5" s="29"/>
      <c r="I5" s="29"/>
      <c r="J5" s="29"/>
      <c r="K5" s="29"/>
      <c r="L5" s="29"/>
      <c r="M5" s="29"/>
      <c r="N5" s="29"/>
      <c r="O5" s="29"/>
      <c r="P5" s="29"/>
      <c r="Q5" s="29"/>
      <c r="R5" s="29"/>
      <c r="S5" s="29"/>
      <c r="T5" s="25"/>
    </row>
    <row r="6" spans="1:25" ht="15" customHeight="1" x14ac:dyDescent="0.35">
      <c r="B6" s="64"/>
      <c r="C6" s="29"/>
      <c r="D6" s="29"/>
      <c r="E6" s="29"/>
      <c r="F6" s="29"/>
      <c r="G6" s="29"/>
      <c r="H6" s="29"/>
      <c r="I6" s="29"/>
      <c r="J6" s="29"/>
      <c r="K6" s="29"/>
      <c r="L6" s="29"/>
      <c r="M6" s="29"/>
      <c r="N6" s="29"/>
      <c r="O6" s="29"/>
      <c r="P6" s="29"/>
      <c r="Q6" s="29"/>
      <c r="R6" s="29"/>
      <c r="S6" s="29"/>
      <c r="T6" s="25"/>
      <c r="W6" s="39"/>
      <c r="X6" s="39"/>
      <c r="Y6" s="39"/>
    </row>
    <row r="7" spans="1:25" ht="32.25" customHeight="1" x14ac:dyDescent="0.35">
      <c r="B7" s="64"/>
      <c r="C7" s="120" t="s">
        <v>0</v>
      </c>
      <c r="D7" s="69" t="s">
        <v>44</v>
      </c>
      <c r="E7" s="70" t="s">
        <v>2</v>
      </c>
      <c r="F7" s="29"/>
      <c r="G7" s="29"/>
      <c r="H7" s="29"/>
      <c r="I7" s="29"/>
      <c r="J7" s="29"/>
      <c r="K7" s="29"/>
      <c r="L7" s="29"/>
      <c r="M7" s="29"/>
      <c r="N7" s="29"/>
      <c r="O7" s="29"/>
      <c r="P7" s="29"/>
      <c r="Q7" s="29"/>
      <c r="R7" s="29"/>
      <c r="S7" s="29"/>
      <c r="T7" s="25"/>
      <c r="W7" s="39" t="s">
        <v>22</v>
      </c>
      <c r="X7" s="39" t="s">
        <v>2</v>
      </c>
      <c r="Y7" s="39"/>
    </row>
    <row r="8" spans="1:25" ht="15" customHeight="1" x14ac:dyDescent="0.35">
      <c r="B8" s="64"/>
      <c r="C8" s="179" t="s">
        <v>32</v>
      </c>
      <c r="D8" s="180" t="s">
        <v>3</v>
      </c>
      <c r="E8" s="121">
        <v>3.9122999999999998E-2</v>
      </c>
      <c r="F8" s="29"/>
      <c r="G8" s="29"/>
      <c r="H8" s="29"/>
      <c r="I8" s="29"/>
      <c r="J8" s="29"/>
      <c r="K8" s="29"/>
      <c r="L8" s="29"/>
      <c r="M8" s="29"/>
      <c r="N8" s="29"/>
      <c r="O8" s="29"/>
      <c r="P8" s="29"/>
      <c r="Q8" s="29"/>
      <c r="R8" s="29"/>
      <c r="S8" s="29"/>
      <c r="T8" s="25"/>
      <c r="W8" s="281" t="s">
        <v>3</v>
      </c>
      <c r="X8" s="280">
        <v>0.11539800000000001</v>
      </c>
      <c r="Y8" s="39"/>
    </row>
    <row r="9" spans="1:25" ht="15.75" customHeight="1" x14ac:dyDescent="0.35">
      <c r="B9" s="64"/>
      <c r="C9" s="179" t="s">
        <v>29</v>
      </c>
      <c r="D9" s="180" t="s">
        <v>3</v>
      </c>
      <c r="E9" s="121">
        <v>3.0842999999999999E-2</v>
      </c>
      <c r="F9" s="29"/>
      <c r="G9" s="29"/>
      <c r="H9" s="29"/>
      <c r="I9" s="29"/>
      <c r="J9" s="29"/>
      <c r="K9" s="29"/>
      <c r="L9" s="29"/>
      <c r="M9" s="29"/>
      <c r="N9" s="29"/>
      <c r="O9" s="29"/>
      <c r="P9" s="29"/>
      <c r="Q9" s="29"/>
      <c r="R9" s="29"/>
      <c r="S9" s="29"/>
      <c r="T9" s="25"/>
      <c r="W9" s="281" t="s">
        <v>105</v>
      </c>
      <c r="X9" s="280">
        <v>4.6329000000000016E-2</v>
      </c>
      <c r="Y9" s="39"/>
    </row>
    <row r="10" spans="1:25" ht="15" customHeight="1" x14ac:dyDescent="0.35">
      <c r="B10" s="64"/>
      <c r="C10" s="179" t="s">
        <v>191</v>
      </c>
      <c r="D10" s="180" t="s">
        <v>104</v>
      </c>
      <c r="E10" s="121">
        <v>2.2797999999999999E-2</v>
      </c>
      <c r="F10" s="29"/>
      <c r="G10" s="29"/>
      <c r="H10" s="29"/>
      <c r="I10" s="29"/>
      <c r="J10" s="29"/>
      <c r="K10" s="29"/>
      <c r="L10" s="29"/>
      <c r="M10" s="29"/>
      <c r="N10" s="29"/>
      <c r="O10" s="29"/>
      <c r="P10" s="29"/>
      <c r="Q10" s="29"/>
      <c r="R10" s="29"/>
      <c r="S10" s="29"/>
      <c r="T10" s="25"/>
      <c r="W10" s="281" t="s">
        <v>109</v>
      </c>
      <c r="X10" s="280">
        <v>3.7707000000000004E-2</v>
      </c>
      <c r="Y10" s="39"/>
    </row>
    <row r="11" spans="1:25" ht="15" customHeight="1" x14ac:dyDescent="0.35">
      <c r="B11" s="64"/>
      <c r="C11" s="179" t="s">
        <v>31</v>
      </c>
      <c r="D11" s="180" t="s">
        <v>6</v>
      </c>
      <c r="E11" s="121">
        <v>2.1423000000000005E-2</v>
      </c>
      <c r="F11" s="29"/>
      <c r="G11" s="29"/>
      <c r="H11" s="29"/>
      <c r="I11" s="29"/>
      <c r="J11" s="29"/>
      <c r="K11" s="29"/>
      <c r="L11" s="29"/>
      <c r="M11" s="29"/>
      <c r="N11" s="29"/>
      <c r="O11" s="29"/>
      <c r="P11" s="29"/>
      <c r="Q11" s="29"/>
      <c r="R11" s="29"/>
      <c r="S11" s="29"/>
      <c r="T11" s="25"/>
      <c r="W11" s="281" t="s">
        <v>23</v>
      </c>
      <c r="X11" s="280">
        <v>2.3413000000000003E-2</v>
      </c>
      <c r="Y11" s="39"/>
    </row>
    <row r="12" spans="1:25" ht="15" customHeight="1" x14ac:dyDescent="0.35">
      <c r="B12" s="64"/>
      <c r="C12" s="179" t="s">
        <v>36</v>
      </c>
      <c r="D12" s="180" t="s">
        <v>3</v>
      </c>
      <c r="E12" s="121">
        <v>2.0211E-2</v>
      </c>
      <c r="F12" s="29"/>
      <c r="G12" s="29"/>
      <c r="H12" s="29"/>
      <c r="I12" s="29"/>
      <c r="J12" s="29"/>
      <c r="K12" s="29"/>
      <c r="L12" s="29"/>
      <c r="M12" s="29"/>
      <c r="N12" s="29"/>
      <c r="O12" s="29"/>
      <c r="P12" s="29"/>
      <c r="Q12" s="29"/>
      <c r="R12" s="29"/>
      <c r="S12" s="29"/>
      <c r="T12" s="25"/>
      <c r="W12" s="281" t="s">
        <v>104</v>
      </c>
      <c r="X12" s="280">
        <v>2.2763999999999996E-2</v>
      </c>
      <c r="Y12" s="39"/>
    </row>
    <row r="13" spans="1:25" ht="15" customHeight="1" x14ac:dyDescent="0.35">
      <c r="B13" s="64"/>
      <c r="C13" s="179" t="s">
        <v>28</v>
      </c>
      <c r="D13" s="180" t="s">
        <v>105</v>
      </c>
      <c r="E13" s="121">
        <v>1.7901999999999998E-2</v>
      </c>
      <c r="F13" s="29"/>
      <c r="G13" s="29"/>
      <c r="H13" s="29"/>
      <c r="I13" s="29"/>
      <c r="J13" s="29"/>
      <c r="K13" s="29"/>
      <c r="L13" s="29"/>
      <c r="M13" s="29"/>
      <c r="N13" s="29"/>
      <c r="O13" s="29"/>
      <c r="P13" s="29"/>
      <c r="Q13" s="29"/>
      <c r="R13" s="29"/>
      <c r="S13" s="29"/>
      <c r="T13" s="25"/>
      <c r="W13" s="281" t="s">
        <v>4</v>
      </c>
      <c r="X13" s="280">
        <v>2.2261E-2</v>
      </c>
      <c r="Y13" s="39"/>
    </row>
    <row r="14" spans="1:25" ht="15.75" customHeight="1" x14ac:dyDescent="0.35">
      <c r="B14" s="64"/>
      <c r="C14" s="179" t="s">
        <v>70</v>
      </c>
      <c r="D14" s="180" t="s">
        <v>12</v>
      </c>
      <c r="E14" s="121">
        <v>1.7732000000000005E-2</v>
      </c>
      <c r="F14" s="29"/>
      <c r="G14" s="29"/>
      <c r="H14" s="29"/>
      <c r="I14" s="29"/>
      <c r="J14" s="29"/>
      <c r="K14" s="29"/>
      <c r="L14" s="29"/>
      <c r="M14" s="29"/>
      <c r="N14" s="29"/>
      <c r="O14" s="29"/>
      <c r="P14" s="29"/>
      <c r="Q14" s="29"/>
      <c r="R14" s="29"/>
      <c r="S14" s="29"/>
      <c r="T14" s="25"/>
      <c r="W14" s="281" t="s">
        <v>6</v>
      </c>
      <c r="X14" s="280">
        <v>2.1423000000000005E-2</v>
      </c>
      <c r="Y14" s="39"/>
    </row>
    <row r="15" spans="1:25" ht="15.5" x14ac:dyDescent="0.35">
      <c r="B15" s="64"/>
      <c r="C15" s="179" t="s">
        <v>77</v>
      </c>
      <c r="D15" s="180" t="s">
        <v>3</v>
      </c>
      <c r="E15" s="121">
        <v>1.7069000000000001E-2</v>
      </c>
      <c r="F15" s="29"/>
      <c r="G15" s="29"/>
      <c r="H15" s="29"/>
      <c r="I15" s="29"/>
      <c r="J15" s="29"/>
      <c r="K15" s="29"/>
      <c r="L15" s="29"/>
      <c r="M15" s="29"/>
      <c r="N15" s="29"/>
      <c r="O15" s="29"/>
      <c r="P15" s="29"/>
      <c r="Q15" s="29"/>
      <c r="R15" s="29"/>
      <c r="S15" s="29"/>
      <c r="T15" s="25"/>
      <c r="W15" s="281" t="s">
        <v>12</v>
      </c>
      <c r="X15" s="280">
        <v>2.0710000000000006E-2</v>
      </c>
      <c r="Y15" s="39"/>
    </row>
    <row r="16" spans="1:25" ht="15.75" customHeight="1" x14ac:dyDescent="0.35">
      <c r="B16" s="64"/>
      <c r="C16" s="179" t="s">
        <v>262</v>
      </c>
      <c r="D16" s="180" t="s">
        <v>181</v>
      </c>
      <c r="E16" s="121">
        <v>1.4553999999999999E-2</v>
      </c>
      <c r="F16" s="29"/>
      <c r="G16" s="29"/>
      <c r="H16" s="29"/>
      <c r="I16" s="29"/>
      <c r="J16" s="29"/>
      <c r="K16" s="29"/>
      <c r="L16" s="29"/>
      <c r="M16" s="29"/>
      <c r="N16" s="29"/>
      <c r="O16" s="29"/>
      <c r="P16" s="29"/>
      <c r="Q16" s="29"/>
      <c r="R16" s="29"/>
      <c r="S16" s="29"/>
      <c r="T16" s="25"/>
      <c r="W16" s="281" t="s">
        <v>75</v>
      </c>
      <c r="X16" s="280">
        <v>2.026E-2</v>
      </c>
      <c r="Y16" s="39"/>
    </row>
    <row r="17" spans="2:25" ht="15" customHeight="1" x14ac:dyDescent="0.35">
      <c r="B17" s="64"/>
      <c r="C17" s="179" t="s">
        <v>34</v>
      </c>
      <c r="D17" s="180" t="s">
        <v>23</v>
      </c>
      <c r="E17" s="121">
        <v>1.4541E-2</v>
      </c>
      <c r="F17" s="29"/>
      <c r="G17" s="29"/>
      <c r="H17" s="29"/>
      <c r="I17" s="29"/>
      <c r="J17" s="29"/>
      <c r="K17" s="29"/>
      <c r="L17" s="29"/>
      <c r="M17" s="29"/>
      <c r="N17" s="29"/>
      <c r="O17" s="29"/>
      <c r="P17" s="29"/>
      <c r="Q17" s="29"/>
      <c r="R17" s="29"/>
      <c r="S17" s="29"/>
      <c r="T17" s="25"/>
      <c r="W17" s="281" t="s">
        <v>26</v>
      </c>
      <c r="X17" s="280">
        <v>1.8162999999999999E-2</v>
      </c>
      <c r="Y17" s="39"/>
    </row>
    <row r="18" spans="2:25" ht="15" customHeight="1" x14ac:dyDescent="0.35">
      <c r="B18" s="64"/>
      <c r="C18" s="179" t="s">
        <v>33</v>
      </c>
      <c r="D18" s="180" t="s">
        <v>105</v>
      </c>
      <c r="E18" s="121">
        <v>1.3276E-2</v>
      </c>
      <c r="F18" s="29"/>
      <c r="G18" s="29"/>
      <c r="H18" s="29"/>
      <c r="I18" s="29"/>
      <c r="J18" s="29"/>
      <c r="K18" s="29"/>
      <c r="L18" s="29"/>
      <c r="M18" s="29"/>
      <c r="N18" s="29"/>
      <c r="O18" s="29"/>
      <c r="P18" s="29"/>
      <c r="Q18" s="29"/>
      <c r="R18" s="29"/>
      <c r="S18" s="29"/>
      <c r="T18" s="25"/>
      <c r="W18" s="281" t="s">
        <v>110</v>
      </c>
      <c r="X18" s="280">
        <v>1.5914999999999992E-2</v>
      </c>
      <c r="Y18" s="39"/>
    </row>
    <row r="19" spans="2:25" ht="15" customHeight="1" x14ac:dyDescent="0.35">
      <c r="B19" s="64"/>
      <c r="C19" s="179" t="s">
        <v>79</v>
      </c>
      <c r="D19" s="180" t="s">
        <v>4</v>
      </c>
      <c r="E19" s="121">
        <v>1.1906000000000003E-2</v>
      </c>
      <c r="F19" s="29"/>
      <c r="G19" s="29"/>
      <c r="H19" s="29"/>
      <c r="I19" s="29"/>
      <c r="J19" s="29"/>
      <c r="K19" s="29"/>
      <c r="L19" s="29"/>
      <c r="M19" s="29"/>
      <c r="N19" s="29"/>
      <c r="O19" s="29"/>
      <c r="P19" s="29"/>
      <c r="Q19" s="29"/>
      <c r="R19" s="29"/>
      <c r="S19" s="29"/>
      <c r="T19" s="25"/>
      <c r="W19" s="281" t="s">
        <v>81</v>
      </c>
      <c r="X19" s="280">
        <v>1.4891999999999999E-2</v>
      </c>
      <c r="Y19" s="39"/>
    </row>
    <row r="20" spans="2:25" ht="15" customHeight="1" x14ac:dyDescent="0.35">
      <c r="B20" s="64"/>
      <c r="C20" s="179" t="s">
        <v>311</v>
      </c>
      <c r="D20" s="180" t="s">
        <v>116</v>
      </c>
      <c r="E20" s="121">
        <v>1.0892000000000001E-2</v>
      </c>
      <c r="F20" s="29"/>
      <c r="G20" s="29"/>
      <c r="H20" s="29"/>
      <c r="I20" s="29"/>
      <c r="J20" s="29"/>
      <c r="K20" s="29"/>
      <c r="L20" s="29"/>
      <c r="M20" s="29"/>
      <c r="N20" s="29"/>
      <c r="O20" s="29"/>
      <c r="P20" s="29"/>
      <c r="Q20" s="29"/>
      <c r="R20" s="29"/>
      <c r="S20" s="29"/>
      <c r="T20" s="25"/>
      <c r="W20" s="281" t="s">
        <v>181</v>
      </c>
      <c r="X20" s="280">
        <v>1.4553999999999999E-2</v>
      </c>
      <c r="Y20" s="39"/>
    </row>
    <row r="21" spans="2:25" ht="15" customHeight="1" x14ac:dyDescent="0.35">
      <c r="B21" s="64"/>
      <c r="C21" s="179" t="s">
        <v>272</v>
      </c>
      <c r="D21" s="180" t="s">
        <v>131</v>
      </c>
      <c r="E21" s="121">
        <v>1.0859000000000001E-2</v>
      </c>
      <c r="F21" s="29"/>
      <c r="G21" s="29"/>
      <c r="H21" s="29"/>
      <c r="I21" s="29"/>
      <c r="J21" s="29"/>
      <c r="K21" s="29"/>
      <c r="L21" s="29"/>
      <c r="M21" s="29"/>
      <c r="N21" s="29"/>
      <c r="O21" s="29"/>
      <c r="P21" s="29"/>
      <c r="Q21" s="29"/>
      <c r="R21" s="29"/>
      <c r="S21" s="29"/>
      <c r="T21" s="25"/>
      <c r="W21" s="281" t="s">
        <v>122</v>
      </c>
      <c r="X21" s="280">
        <v>1.3926000000000001E-2</v>
      </c>
      <c r="Y21" s="39"/>
    </row>
    <row r="22" spans="2:25" ht="15" customHeight="1" x14ac:dyDescent="0.35">
      <c r="B22" s="64"/>
      <c r="C22" s="179" t="s">
        <v>244</v>
      </c>
      <c r="D22" s="180" t="s">
        <v>75</v>
      </c>
      <c r="E22" s="121">
        <v>1.0728E-2</v>
      </c>
      <c r="F22" s="29"/>
      <c r="G22" s="29"/>
      <c r="H22" s="29"/>
      <c r="I22" s="29"/>
      <c r="J22" s="29"/>
      <c r="K22" s="29"/>
      <c r="L22" s="29"/>
      <c r="M22" s="29"/>
      <c r="N22" s="29"/>
      <c r="O22" s="29"/>
      <c r="P22" s="29"/>
      <c r="Q22" s="29"/>
      <c r="R22" s="29"/>
      <c r="S22" s="29"/>
      <c r="T22" s="25"/>
      <c r="W22" s="281" t="s">
        <v>111</v>
      </c>
      <c r="X22" s="280">
        <v>1.191E-2</v>
      </c>
      <c r="Y22" s="39"/>
    </row>
    <row r="23" spans="2:25" ht="16.5" customHeight="1" x14ac:dyDescent="0.35">
      <c r="B23" s="64"/>
      <c r="C23" s="122" t="s">
        <v>65</v>
      </c>
      <c r="D23" s="123"/>
      <c r="E23" s="124">
        <f>SUM(E8:E22)</f>
        <v>0.27385700000000007</v>
      </c>
      <c r="F23" s="29"/>
      <c r="G23" s="29"/>
      <c r="H23" s="29"/>
      <c r="I23" s="29"/>
      <c r="J23" s="29"/>
      <c r="K23" s="29"/>
      <c r="L23" s="29"/>
      <c r="M23" s="29"/>
      <c r="N23" s="29"/>
      <c r="O23" s="29"/>
      <c r="P23" s="29"/>
      <c r="Q23" s="29"/>
      <c r="R23" s="29"/>
      <c r="S23" s="29"/>
      <c r="T23" s="25"/>
      <c r="W23" s="281" t="s">
        <v>10</v>
      </c>
      <c r="X23" s="280">
        <v>1.1908999999999999E-2</v>
      </c>
      <c r="Y23" s="39"/>
    </row>
    <row r="24" spans="2:25" ht="15" customHeight="1" x14ac:dyDescent="0.35">
      <c r="B24" s="64"/>
      <c r="C24" s="125"/>
      <c r="D24" s="82"/>
      <c r="E24" s="121"/>
      <c r="F24" s="29"/>
      <c r="G24" s="29"/>
      <c r="H24" s="29"/>
      <c r="I24" s="29"/>
      <c r="J24" s="29"/>
      <c r="K24" s="29"/>
      <c r="L24" s="29"/>
      <c r="M24" s="29"/>
      <c r="N24" s="29"/>
      <c r="O24" s="29"/>
      <c r="P24" s="29"/>
      <c r="Q24" s="29"/>
      <c r="R24" s="29"/>
      <c r="S24" s="29"/>
      <c r="T24" s="25"/>
      <c r="W24" s="281" t="s">
        <v>116</v>
      </c>
      <c r="X24" s="280">
        <v>1.0883E-2</v>
      </c>
      <c r="Y24" s="39"/>
    </row>
    <row r="25" spans="2:25" ht="15" customHeight="1" x14ac:dyDescent="0.35">
      <c r="B25" s="64"/>
      <c r="C25" s="122" t="s">
        <v>59</v>
      </c>
      <c r="D25" s="123"/>
      <c r="E25" s="181">
        <v>0.24334600000000003</v>
      </c>
      <c r="F25" s="29"/>
      <c r="G25" s="29"/>
      <c r="H25" s="29"/>
      <c r="I25" s="29"/>
      <c r="J25" s="29"/>
      <c r="K25" s="29"/>
      <c r="L25" s="29"/>
      <c r="M25" s="29"/>
      <c r="N25" s="29"/>
      <c r="O25" s="29"/>
      <c r="P25" s="29"/>
      <c r="Q25" s="29"/>
      <c r="R25" s="29"/>
      <c r="S25" s="29"/>
      <c r="T25" s="25"/>
      <c r="W25" s="281" t="s">
        <v>131</v>
      </c>
      <c r="X25" s="280">
        <v>1.0859000000000001E-2</v>
      </c>
      <c r="Y25" s="39"/>
    </row>
    <row r="26" spans="2:25" ht="15" customHeight="1" x14ac:dyDescent="0.35">
      <c r="B26" s="64"/>
      <c r="C26" s="125"/>
      <c r="D26" s="82"/>
      <c r="E26" s="121"/>
      <c r="F26" s="29"/>
      <c r="G26" s="29"/>
      <c r="H26" s="29"/>
      <c r="I26" s="29"/>
      <c r="J26" s="29"/>
      <c r="K26" s="29"/>
      <c r="L26" s="29"/>
      <c r="M26" s="29"/>
      <c r="N26" s="29"/>
      <c r="O26" s="29"/>
      <c r="P26" s="29"/>
      <c r="Q26" s="29"/>
      <c r="R26" s="29"/>
      <c r="S26" s="29"/>
      <c r="T26" s="25"/>
      <c r="W26" s="281" t="s">
        <v>16</v>
      </c>
      <c r="X26" s="280">
        <v>7.2739999999999992E-3</v>
      </c>
      <c r="Y26" s="39"/>
    </row>
    <row r="27" spans="2:25" ht="18" customHeight="1" x14ac:dyDescent="0.35">
      <c r="B27" s="64"/>
      <c r="C27" s="122" t="s">
        <v>58</v>
      </c>
      <c r="D27" s="106"/>
      <c r="E27" s="182">
        <v>0.24963199999999999</v>
      </c>
      <c r="F27" s="29"/>
      <c r="G27" s="29"/>
      <c r="H27" s="29"/>
      <c r="I27" s="29"/>
      <c r="J27" s="29"/>
      <c r="K27" s="29"/>
      <c r="L27" s="29"/>
      <c r="M27" s="29"/>
      <c r="N27" s="29"/>
      <c r="O27" s="29"/>
      <c r="P27" s="29"/>
      <c r="Q27" s="29"/>
      <c r="R27" s="29"/>
      <c r="S27" s="29"/>
      <c r="T27" s="25"/>
      <c r="W27" s="281" t="s">
        <v>83</v>
      </c>
      <c r="X27" s="280">
        <v>7.0069999999999993E-3</v>
      </c>
    </row>
    <row r="28" spans="2:25" ht="18" customHeight="1" x14ac:dyDescent="0.35">
      <c r="B28" s="64"/>
      <c r="C28" s="227"/>
      <c r="D28" s="226"/>
      <c r="E28" s="239"/>
      <c r="F28" s="29"/>
      <c r="G28" s="29"/>
      <c r="H28" s="29"/>
      <c r="I28" s="29"/>
      <c r="J28" s="29"/>
      <c r="K28" s="29"/>
      <c r="L28" s="29"/>
      <c r="M28" s="29"/>
      <c r="N28" s="29"/>
      <c r="O28" s="29"/>
      <c r="P28" s="29"/>
      <c r="Q28" s="29"/>
      <c r="R28" s="29"/>
      <c r="S28" s="29"/>
      <c r="T28" s="25"/>
      <c r="W28" s="281" t="s">
        <v>84</v>
      </c>
      <c r="X28" s="280">
        <v>6.8750000000000009E-3</v>
      </c>
    </row>
    <row r="29" spans="2:25" ht="15" customHeight="1" x14ac:dyDescent="0.35">
      <c r="B29" s="64"/>
      <c r="C29" s="225" t="s">
        <v>36</v>
      </c>
      <c r="D29" s="226" t="s">
        <v>317</v>
      </c>
      <c r="E29" s="121">
        <v>4.333E-3</v>
      </c>
      <c r="F29" s="29"/>
      <c r="G29" s="29"/>
      <c r="H29" s="29"/>
      <c r="I29" s="29"/>
      <c r="J29" s="29"/>
      <c r="K29" s="29"/>
      <c r="L29" s="29"/>
      <c r="M29" s="29"/>
      <c r="N29" s="29"/>
      <c r="O29" s="29"/>
      <c r="P29" s="29"/>
      <c r="Q29" s="29"/>
      <c r="R29" s="29"/>
      <c r="S29" s="29"/>
      <c r="T29" s="25"/>
      <c r="W29" s="281" t="s">
        <v>114</v>
      </c>
      <c r="X29" s="280">
        <v>5.8940000000000008E-3</v>
      </c>
    </row>
    <row r="30" spans="2:25" ht="15" customHeight="1" x14ac:dyDescent="0.35">
      <c r="B30" s="64"/>
      <c r="C30" s="127" t="s">
        <v>316</v>
      </c>
      <c r="D30" s="123"/>
      <c r="E30" s="124">
        <v>4.333E-3</v>
      </c>
      <c r="F30" s="29"/>
      <c r="G30" s="126"/>
      <c r="H30" s="29"/>
      <c r="I30" s="29"/>
      <c r="J30" s="29"/>
      <c r="K30" s="29"/>
      <c r="L30" s="29"/>
      <c r="M30" s="29"/>
      <c r="N30" s="29"/>
      <c r="O30" s="29"/>
      <c r="P30" s="29"/>
      <c r="Q30" s="29"/>
      <c r="R30" s="29"/>
      <c r="S30" s="29"/>
      <c r="T30" s="25"/>
      <c r="W30" s="281" t="s">
        <v>25</v>
      </c>
      <c r="X30" s="280">
        <v>5.6189999999999999E-3</v>
      </c>
    </row>
    <row r="31" spans="2:25" ht="15" customHeight="1" x14ac:dyDescent="0.35">
      <c r="B31" s="64"/>
      <c r="C31" s="227"/>
      <c r="D31" s="226"/>
      <c r="E31" s="239"/>
      <c r="F31" s="29"/>
      <c r="G31" s="126"/>
      <c r="H31" s="29"/>
      <c r="I31" s="29"/>
      <c r="J31" s="29"/>
      <c r="K31" s="29"/>
      <c r="L31" s="29"/>
      <c r="M31" s="29"/>
      <c r="N31" s="29"/>
      <c r="O31" s="29"/>
      <c r="P31" s="29"/>
      <c r="Q31" s="29"/>
      <c r="R31" s="29"/>
      <c r="S31" s="29"/>
      <c r="T31" s="25"/>
      <c r="W31" s="281" t="s">
        <v>108</v>
      </c>
      <c r="X31" s="280">
        <v>5.4340000000000005E-3</v>
      </c>
    </row>
    <row r="32" spans="2:25" ht="15" customHeight="1" x14ac:dyDescent="0.35">
      <c r="B32" s="64"/>
      <c r="C32" s="225" t="s">
        <v>251</v>
      </c>
      <c r="D32" s="226" t="s">
        <v>252</v>
      </c>
      <c r="E32" s="121">
        <v>6.7359999999999998E-3</v>
      </c>
      <c r="F32" s="29"/>
      <c r="G32" s="126"/>
      <c r="H32" s="29"/>
      <c r="I32" s="29"/>
      <c r="J32" s="29"/>
      <c r="K32" s="29"/>
      <c r="L32" s="29"/>
      <c r="M32" s="29"/>
      <c r="N32" s="29"/>
      <c r="O32" s="29"/>
      <c r="P32" s="29"/>
      <c r="Q32" s="29"/>
      <c r="R32" s="29"/>
      <c r="S32" s="29"/>
      <c r="T32" s="25"/>
      <c r="W32" s="281" t="s">
        <v>144</v>
      </c>
      <c r="X32" s="280">
        <v>4.7930000000000004E-3</v>
      </c>
    </row>
    <row r="33" spans="2:24" ht="15" customHeight="1" x14ac:dyDescent="0.35">
      <c r="B33" s="64"/>
      <c r="C33" s="227" t="s">
        <v>312</v>
      </c>
      <c r="D33" s="226" t="s">
        <v>252</v>
      </c>
      <c r="E33" s="121">
        <v>2.258E-3</v>
      </c>
      <c r="F33" s="29"/>
      <c r="G33" s="126"/>
      <c r="H33" s="29"/>
      <c r="I33" s="29"/>
      <c r="J33" s="29"/>
      <c r="K33" s="29"/>
      <c r="L33" s="29"/>
      <c r="M33" s="29"/>
      <c r="N33" s="29"/>
      <c r="O33" s="29"/>
      <c r="P33" s="29"/>
      <c r="Q33" s="29"/>
      <c r="R33" s="29"/>
      <c r="S33" s="29"/>
      <c r="T33" s="25"/>
      <c r="W33" s="281" t="s">
        <v>11</v>
      </c>
      <c r="X33" s="280">
        <v>4.2069999999999989E-3</v>
      </c>
    </row>
    <row r="34" spans="2:24" ht="15" customHeight="1" x14ac:dyDescent="0.35">
      <c r="B34" s="64"/>
      <c r="C34" s="227" t="s">
        <v>296</v>
      </c>
      <c r="D34" s="226" t="s">
        <v>261</v>
      </c>
      <c r="E34" s="121">
        <v>2.2490000000000001E-3</v>
      </c>
      <c r="F34" s="29"/>
      <c r="G34" s="126"/>
      <c r="H34" s="29"/>
      <c r="I34" s="29"/>
      <c r="J34" s="29"/>
      <c r="K34" s="29"/>
      <c r="L34" s="29"/>
      <c r="M34" s="29"/>
      <c r="N34" s="29"/>
      <c r="O34" s="29"/>
      <c r="P34" s="29"/>
      <c r="Q34" s="29"/>
      <c r="R34" s="29"/>
      <c r="S34" s="29"/>
      <c r="T34" s="25"/>
      <c r="W34" s="281" t="s">
        <v>82</v>
      </c>
      <c r="X34" s="280">
        <v>4.0810000000000004E-3</v>
      </c>
    </row>
    <row r="35" spans="2:24" ht="15" customHeight="1" x14ac:dyDescent="0.35">
      <c r="B35" s="64"/>
      <c r="C35" s="225" t="s">
        <v>250</v>
      </c>
      <c r="D35" s="226" t="s">
        <v>261</v>
      </c>
      <c r="E35" s="121">
        <v>2.2230000000000001E-3</v>
      </c>
      <c r="F35" s="29"/>
      <c r="G35" s="126"/>
      <c r="H35" s="29"/>
      <c r="I35" s="29"/>
      <c r="J35" s="29"/>
      <c r="K35" s="29"/>
      <c r="L35" s="29"/>
      <c r="M35" s="29"/>
      <c r="N35" s="29"/>
      <c r="O35" s="29"/>
      <c r="P35" s="29"/>
      <c r="Q35" s="29"/>
      <c r="R35" s="29"/>
      <c r="S35" s="29"/>
      <c r="T35" s="25"/>
      <c r="W35" s="281" t="s">
        <v>85</v>
      </c>
      <c r="X35" s="280">
        <v>3.7780000000000001E-3</v>
      </c>
    </row>
    <row r="36" spans="2:24" ht="15" customHeight="1" x14ac:dyDescent="0.35">
      <c r="B36" s="64"/>
      <c r="C36" s="127" t="s">
        <v>5</v>
      </c>
      <c r="D36" s="123"/>
      <c r="E36" s="124">
        <v>1.3466000000000001E-2</v>
      </c>
      <c r="F36" s="29"/>
      <c r="G36" s="126"/>
      <c r="H36" s="29"/>
      <c r="I36" s="29"/>
      <c r="J36" s="29"/>
      <c r="K36" s="29"/>
      <c r="L36" s="29"/>
      <c r="M36" s="29"/>
      <c r="N36" s="29"/>
      <c r="O36" s="29"/>
      <c r="P36" s="29"/>
      <c r="Q36" s="29"/>
      <c r="R36" s="29"/>
      <c r="S36" s="29"/>
      <c r="T36" s="25"/>
      <c r="W36" s="281" t="s">
        <v>115</v>
      </c>
      <c r="X36" s="280">
        <v>2.5449999999999987E-3</v>
      </c>
    </row>
    <row r="37" spans="2:24" ht="15" customHeight="1" x14ac:dyDescent="0.35">
      <c r="B37" s="64"/>
      <c r="C37" s="134"/>
      <c r="D37" s="135"/>
      <c r="E37" s="220"/>
      <c r="F37" s="29"/>
      <c r="G37" s="126"/>
      <c r="H37" s="29"/>
      <c r="I37" s="29"/>
      <c r="J37" s="29"/>
      <c r="K37" s="29"/>
      <c r="L37" s="29"/>
      <c r="M37" s="29"/>
      <c r="N37" s="29"/>
      <c r="O37" s="29"/>
      <c r="P37" s="29"/>
      <c r="Q37" s="29"/>
      <c r="R37" s="29"/>
      <c r="S37" s="29"/>
      <c r="T37" s="25"/>
      <c r="W37" s="281" t="s">
        <v>120</v>
      </c>
      <c r="X37" s="280">
        <v>2.5339999999999998E-3</v>
      </c>
    </row>
    <row r="38" spans="2:24" ht="15" customHeight="1" x14ac:dyDescent="0.35">
      <c r="B38" s="64"/>
      <c r="C38" s="134" t="s">
        <v>215</v>
      </c>
      <c r="D38" s="135" t="s">
        <v>61</v>
      </c>
      <c r="E38" s="220">
        <v>4.9593999999999999E-2</v>
      </c>
      <c r="F38" s="29"/>
      <c r="G38" s="126"/>
      <c r="H38" s="29"/>
      <c r="I38" s="29"/>
      <c r="J38" s="29"/>
      <c r="K38" s="29"/>
      <c r="L38" s="29"/>
      <c r="M38" s="29"/>
      <c r="N38" s="29"/>
      <c r="O38" s="29"/>
      <c r="P38" s="29"/>
      <c r="Q38" s="29"/>
      <c r="R38" s="29"/>
      <c r="S38" s="29"/>
      <c r="T38" s="25"/>
      <c r="W38" s="281" t="s">
        <v>135</v>
      </c>
      <c r="X38" s="280">
        <v>1.5629999999999999E-3</v>
      </c>
    </row>
    <row r="39" spans="2:24" ht="15" customHeight="1" x14ac:dyDescent="0.35">
      <c r="B39" s="64"/>
      <c r="C39" s="134" t="s">
        <v>190</v>
      </c>
      <c r="D39" s="135" t="s">
        <v>61</v>
      </c>
      <c r="E39" s="220">
        <v>4.156E-2</v>
      </c>
      <c r="F39" s="29"/>
      <c r="G39" s="126"/>
      <c r="H39" s="29"/>
      <c r="I39" s="29"/>
      <c r="J39" s="29"/>
      <c r="K39" s="29"/>
      <c r="L39" s="29"/>
      <c r="M39" s="29"/>
      <c r="N39" s="29"/>
      <c r="O39" s="29"/>
      <c r="P39" s="29"/>
      <c r="Q39" s="29"/>
      <c r="R39" s="29"/>
      <c r="S39" s="29"/>
      <c r="T39" s="25"/>
      <c r="W39" s="281" t="s">
        <v>24</v>
      </c>
      <c r="X39" s="280">
        <v>1.4300000000000001E-3</v>
      </c>
    </row>
    <row r="40" spans="2:24" ht="15" customHeight="1" x14ac:dyDescent="0.35">
      <c r="B40" s="64"/>
      <c r="C40" s="134" t="s">
        <v>194</v>
      </c>
      <c r="D40" s="135" t="s">
        <v>61</v>
      </c>
      <c r="E40" s="220">
        <v>1.1764999999999999E-2</v>
      </c>
      <c r="F40" s="29"/>
      <c r="G40" s="29"/>
      <c r="H40" s="29"/>
      <c r="I40" s="128"/>
      <c r="J40" s="29"/>
      <c r="K40" s="29"/>
      <c r="L40" s="29"/>
      <c r="M40" s="29"/>
      <c r="N40" s="29"/>
      <c r="O40" s="29"/>
      <c r="P40" s="29"/>
      <c r="Q40" s="29"/>
      <c r="R40" s="29"/>
      <c r="S40" s="29"/>
      <c r="T40" s="25"/>
      <c r="W40" s="281" t="s">
        <v>93</v>
      </c>
      <c r="X40" s="280">
        <v>9.1799999999999998E-4</v>
      </c>
    </row>
    <row r="41" spans="2:24" ht="15" customHeight="1" x14ac:dyDescent="0.35">
      <c r="B41" s="64"/>
      <c r="C41" s="122" t="s">
        <v>273</v>
      </c>
      <c r="D41" s="106"/>
      <c r="E41" s="124">
        <v>0.102919</v>
      </c>
      <c r="F41" s="29"/>
      <c r="G41" s="29"/>
      <c r="H41" s="29"/>
      <c r="I41" s="128"/>
      <c r="J41" s="29"/>
      <c r="K41" s="29"/>
      <c r="L41" s="29"/>
      <c r="M41" s="29"/>
      <c r="N41" s="29"/>
      <c r="O41" s="29"/>
      <c r="P41" s="29"/>
      <c r="Q41" s="29"/>
      <c r="R41" s="29"/>
      <c r="S41" s="29"/>
      <c r="T41" s="25"/>
      <c r="W41" s="281" t="s">
        <v>119</v>
      </c>
      <c r="X41" s="280">
        <v>-2.4999999999998981E-5</v>
      </c>
    </row>
    <row r="42" spans="2:24" ht="15" customHeight="1" x14ac:dyDescent="0.35">
      <c r="B42" s="64"/>
      <c r="C42" s="130"/>
      <c r="D42" s="131"/>
      <c r="E42" s="132"/>
      <c r="F42" s="29"/>
      <c r="G42" s="29"/>
      <c r="H42" s="29"/>
      <c r="I42" s="128"/>
      <c r="J42" s="29"/>
      <c r="K42" s="29"/>
      <c r="L42" s="29"/>
      <c r="M42" s="29"/>
      <c r="N42" s="29"/>
      <c r="O42" s="29"/>
      <c r="P42" s="29"/>
      <c r="Q42" s="29"/>
      <c r="R42" s="29"/>
      <c r="S42" s="29"/>
      <c r="T42" s="25"/>
      <c r="W42" s="221"/>
      <c r="X42" s="224"/>
    </row>
    <row r="43" spans="2:24" ht="15" customHeight="1" x14ac:dyDescent="0.35">
      <c r="B43" s="64"/>
      <c r="C43" s="134" t="s">
        <v>275</v>
      </c>
      <c r="D43" s="135" t="s">
        <v>252</v>
      </c>
      <c r="E43" s="220">
        <v>1.393E-2</v>
      </c>
      <c r="F43" s="29"/>
      <c r="G43" s="29"/>
      <c r="H43" s="29"/>
      <c r="I43" s="128"/>
      <c r="J43" s="29"/>
      <c r="K43" s="29"/>
      <c r="L43" s="29"/>
      <c r="M43" s="29"/>
      <c r="N43" s="29"/>
      <c r="O43" s="29"/>
      <c r="P43" s="29"/>
      <c r="Q43" s="29"/>
      <c r="R43" s="29"/>
      <c r="S43" s="29"/>
      <c r="T43" s="25"/>
      <c r="W43" s="221"/>
      <c r="X43" s="224"/>
    </row>
    <row r="44" spans="2:24" ht="15" customHeight="1" x14ac:dyDescent="0.35">
      <c r="B44" s="64"/>
      <c r="C44" s="122" t="s">
        <v>274</v>
      </c>
      <c r="D44" s="106"/>
      <c r="E44" s="124">
        <v>1.393E-2</v>
      </c>
      <c r="F44" s="29"/>
      <c r="G44" s="29"/>
      <c r="H44" s="29"/>
      <c r="I44" s="128"/>
      <c r="J44" s="29"/>
      <c r="K44" s="29"/>
      <c r="L44" s="29"/>
      <c r="M44" s="29"/>
      <c r="N44" s="29"/>
      <c r="O44" s="29"/>
      <c r="P44" s="29"/>
      <c r="Q44" s="29"/>
      <c r="R44" s="29"/>
      <c r="S44" s="29"/>
      <c r="T44" s="25"/>
      <c r="W44" s="221"/>
      <c r="X44" s="224"/>
    </row>
    <row r="45" spans="2:24" s="53" customFormat="1" ht="15" customHeight="1" x14ac:dyDescent="0.35">
      <c r="B45" s="129"/>
      <c r="C45" s="130"/>
      <c r="D45" s="131"/>
      <c r="E45" s="132"/>
      <c r="F45" s="51"/>
      <c r="G45" s="51"/>
      <c r="H45" s="51"/>
      <c r="I45" s="133"/>
      <c r="J45" s="51"/>
      <c r="K45" s="51"/>
      <c r="L45" s="51"/>
      <c r="M45" s="51"/>
      <c r="N45" s="51"/>
      <c r="O45" s="51"/>
      <c r="P45" s="51"/>
      <c r="Q45" s="51"/>
      <c r="R45" s="51"/>
      <c r="S45" s="51"/>
      <c r="T45" s="52"/>
      <c r="W45" s="221"/>
      <c r="X45" s="224"/>
    </row>
    <row r="46" spans="2:24" s="53" customFormat="1" ht="15" customHeight="1" x14ac:dyDescent="0.35">
      <c r="B46" s="129"/>
      <c r="C46" s="136" t="s">
        <v>68</v>
      </c>
      <c r="D46" s="137"/>
      <c r="E46" s="181">
        <v>9.8517000000000021E-2</v>
      </c>
      <c r="F46" s="51"/>
      <c r="G46" s="51"/>
      <c r="H46" s="51"/>
      <c r="I46" s="133"/>
      <c r="J46" s="51"/>
      <c r="K46" s="51"/>
      <c r="L46" s="51"/>
      <c r="M46" s="51"/>
      <c r="N46" s="51"/>
      <c r="O46" s="51"/>
      <c r="P46" s="51"/>
      <c r="Q46" s="51"/>
      <c r="R46" s="51"/>
      <c r="S46" s="51"/>
      <c r="T46" s="52"/>
      <c r="W46" s="221"/>
      <c r="X46" s="224"/>
    </row>
    <row r="47" spans="2:24" s="53" customFormat="1" ht="15" customHeight="1" x14ac:dyDescent="0.35">
      <c r="B47" s="129"/>
      <c r="C47" s="138"/>
      <c r="D47" s="111"/>
      <c r="E47" s="139"/>
      <c r="F47" s="51"/>
      <c r="G47" s="51"/>
      <c r="H47" s="51"/>
      <c r="I47" s="133"/>
      <c r="J47" s="51"/>
      <c r="K47" s="51"/>
      <c r="L47" s="51"/>
      <c r="M47" s="51"/>
      <c r="N47" s="51"/>
      <c r="O47" s="51"/>
      <c r="P47" s="51"/>
      <c r="Q47" s="51"/>
      <c r="R47" s="51"/>
      <c r="S47" s="51"/>
      <c r="T47" s="52"/>
      <c r="W47" s="221"/>
      <c r="X47" s="224"/>
    </row>
    <row r="48" spans="2:24" s="53" customFormat="1" ht="15" customHeight="1" x14ac:dyDescent="0.35">
      <c r="B48" s="129"/>
      <c r="C48" s="140" t="s">
        <v>21</v>
      </c>
      <c r="D48" s="74"/>
      <c r="E48" s="75">
        <f>E46+E41+E36+E27+E25+E23+E44+E30</f>
        <v>1</v>
      </c>
      <c r="F48" s="51"/>
      <c r="G48" s="51"/>
      <c r="H48" s="51"/>
      <c r="I48" s="133"/>
      <c r="J48" s="51"/>
      <c r="K48" s="51"/>
      <c r="L48" s="51"/>
      <c r="M48" s="51"/>
      <c r="N48" s="51"/>
      <c r="O48" s="51"/>
      <c r="P48" s="51"/>
      <c r="Q48" s="51"/>
      <c r="R48" s="51"/>
      <c r="S48" s="51"/>
      <c r="T48" s="52"/>
      <c r="W48" s="221"/>
      <c r="X48" s="224"/>
    </row>
    <row r="49" spans="2:24" s="53" customFormat="1" ht="15" customHeight="1" x14ac:dyDescent="0.35">
      <c r="B49" s="129"/>
      <c r="F49" s="51"/>
      <c r="G49" s="51"/>
      <c r="H49" s="51"/>
      <c r="I49" s="133"/>
      <c r="J49" s="51"/>
      <c r="K49" s="51"/>
      <c r="L49" s="51"/>
      <c r="M49" s="51"/>
      <c r="N49" s="51"/>
      <c r="O49" s="51"/>
      <c r="P49" s="51"/>
      <c r="Q49" s="51"/>
      <c r="R49" s="51"/>
      <c r="S49" s="51"/>
      <c r="T49" s="52"/>
      <c r="W49" s="221"/>
      <c r="X49" s="224"/>
    </row>
    <row r="50" spans="2:24" ht="15" customHeight="1" thickBot="1" x14ac:dyDescent="0.4">
      <c r="B50" s="76"/>
      <c r="C50" s="30"/>
      <c r="D50" s="30"/>
      <c r="E50" s="30"/>
      <c r="F50" s="30"/>
      <c r="G50" s="30"/>
      <c r="H50" s="30"/>
      <c r="I50" s="30"/>
      <c r="J50" s="30"/>
      <c r="K50" s="30"/>
      <c r="L50" s="30"/>
      <c r="M50" s="30"/>
      <c r="N50" s="30"/>
      <c r="O50" s="30"/>
      <c r="P50" s="30"/>
      <c r="Q50" s="30"/>
      <c r="R50" s="30"/>
      <c r="S50" s="30"/>
      <c r="T50" s="26"/>
    </row>
    <row r="51" spans="2:24" ht="15" customHeight="1" thickBot="1" x14ac:dyDescent="0.4"/>
    <row r="52" spans="2:24" ht="15" customHeight="1" x14ac:dyDescent="0.35">
      <c r="B52" s="303" t="s">
        <v>179</v>
      </c>
      <c r="C52" s="304"/>
      <c r="D52" s="304"/>
      <c r="E52" s="304"/>
      <c r="F52" s="304"/>
      <c r="G52" s="304"/>
      <c r="H52" s="304"/>
      <c r="I52" s="304"/>
      <c r="J52" s="304"/>
      <c r="K52" s="304"/>
      <c r="L52" s="304"/>
      <c r="M52" s="304"/>
      <c r="N52" s="304"/>
      <c r="O52" s="304"/>
      <c r="P52" s="304"/>
      <c r="Q52" s="304"/>
      <c r="R52" s="305"/>
    </row>
    <row r="53" spans="2:24" ht="15" customHeight="1" x14ac:dyDescent="0.35">
      <c r="B53" s="306"/>
      <c r="C53" s="307"/>
      <c r="D53" s="307"/>
      <c r="E53" s="307"/>
      <c r="F53" s="307"/>
      <c r="G53" s="307"/>
      <c r="H53" s="307"/>
      <c r="I53" s="307"/>
      <c r="J53" s="307"/>
      <c r="K53" s="307"/>
      <c r="L53" s="307"/>
      <c r="M53" s="307"/>
      <c r="N53" s="307"/>
      <c r="O53" s="307"/>
      <c r="P53" s="307"/>
      <c r="Q53" s="307"/>
      <c r="R53" s="308"/>
    </row>
    <row r="54" spans="2:24" ht="15" customHeight="1" x14ac:dyDescent="0.35">
      <c r="B54" s="306"/>
      <c r="C54" s="307"/>
      <c r="D54" s="307"/>
      <c r="E54" s="307"/>
      <c r="F54" s="307"/>
      <c r="G54" s="307"/>
      <c r="H54" s="307"/>
      <c r="I54" s="307"/>
      <c r="J54" s="307"/>
      <c r="K54" s="307"/>
      <c r="L54" s="307"/>
      <c r="M54" s="307"/>
      <c r="N54" s="307"/>
      <c r="O54" s="307"/>
      <c r="P54" s="307"/>
      <c r="Q54" s="307"/>
      <c r="R54" s="308"/>
    </row>
    <row r="55" spans="2:24" ht="15" customHeight="1" x14ac:dyDescent="0.35">
      <c r="B55" s="306"/>
      <c r="C55" s="307"/>
      <c r="D55" s="307"/>
      <c r="E55" s="307"/>
      <c r="F55" s="307"/>
      <c r="G55" s="307"/>
      <c r="H55" s="307"/>
      <c r="I55" s="307"/>
      <c r="J55" s="307"/>
      <c r="K55" s="307"/>
      <c r="L55" s="307"/>
      <c r="M55" s="307"/>
      <c r="N55" s="307"/>
      <c r="O55" s="307"/>
      <c r="P55" s="307"/>
      <c r="Q55" s="307"/>
      <c r="R55" s="308"/>
    </row>
    <row r="56" spans="2:24" ht="15" customHeight="1" x14ac:dyDescent="0.35">
      <c r="B56" s="306"/>
      <c r="C56" s="307"/>
      <c r="D56" s="307"/>
      <c r="E56" s="307"/>
      <c r="F56" s="307"/>
      <c r="G56" s="307"/>
      <c r="H56" s="307"/>
      <c r="I56" s="307"/>
      <c r="J56" s="307"/>
      <c r="K56" s="307"/>
      <c r="L56" s="307"/>
      <c r="M56" s="307"/>
      <c r="N56" s="307"/>
      <c r="O56" s="307"/>
      <c r="P56" s="307"/>
      <c r="Q56" s="307"/>
      <c r="R56" s="308"/>
    </row>
    <row r="57" spans="2:24" ht="15" customHeight="1" x14ac:dyDescent="0.35">
      <c r="B57" s="306"/>
      <c r="C57" s="307"/>
      <c r="D57" s="307"/>
      <c r="E57" s="307"/>
      <c r="F57" s="307"/>
      <c r="G57" s="307"/>
      <c r="H57" s="307"/>
      <c r="I57" s="307"/>
      <c r="J57" s="307"/>
      <c r="K57" s="307"/>
      <c r="L57" s="307"/>
      <c r="M57" s="307"/>
      <c r="N57" s="307"/>
      <c r="O57" s="307"/>
      <c r="P57" s="307"/>
      <c r="Q57" s="307"/>
      <c r="R57" s="308"/>
    </row>
    <row r="58" spans="2:24" ht="24.75" customHeight="1" thickBot="1" x14ac:dyDescent="0.4">
      <c r="B58" s="309"/>
      <c r="C58" s="310"/>
      <c r="D58" s="310"/>
      <c r="E58" s="310"/>
      <c r="F58" s="310"/>
      <c r="G58" s="310"/>
      <c r="H58" s="310"/>
      <c r="I58" s="310"/>
      <c r="J58" s="310"/>
      <c r="K58" s="310"/>
      <c r="L58" s="310"/>
      <c r="M58" s="310"/>
      <c r="N58" s="310"/>
      <c r="O58" s="310"/>
      <c r="P58" s="310"/>
      <c r="Q58" s="310"/>
      <c r="R58" s="311"/>
    </row>
    <row r="59" spans="2:24" ht="15" customHeight="1" x14ac:dyDescent="0.35"/>
    <row r="60" spans="2:24" ht="15" customHeight="1" x14ac:dyDescent="0.35"/>
    <row r="61" spans="2:24" ht="15" customHeight="1" x14ac:dyDescent="0.35"/>
    <row r="62" spans="2:24" ht="15" customHeight="1" x14ac:dyDescent="0.35"/>
    <row r="63" spans="2:24" ht="15" customHeight="1" x14ac:dyDescent="0.35"/>
    <row r="64" spans="2:24" ht="15" customHeight="1" x14ac:dyDescent="0.35"/>
    <row r="65" ht="15" customHeight="1" x14ac:dyDescent="0.35"/>
    <row r="66" ht="15" customHeight="1" x14ac:dyDescent="0.35"/>
    <row r="67" ht="15" customHeight="1" x14ac:dyDescent="0.35"/>
  </sheetData>
  <sortState ref="C38:E40">
    <sortCondition descending="1" ref="E38"/>
  </sortState>
  <mergeCells count="3">
    <mergeCell ref="C3:S3"/>
    <mergeCell ref="D5:E5"/>
    <mergeCell ref="B52:R58"/>
  </mergeCells>
  <pageMargins left="0.7" right="0.7" top="0.75" bottom="0.75" header="0.3" footer="0.3"/>
  <pageSetup scale="37" orientation="landscape" r:id="rId1"/>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0">
    <pageSetUpPr fitToPage="1"/>
  </sheetPr>
  <dimension ref="B1:S671"/>
  <sheetViews>
    <sheetView showGridLines="0" zoomScale="80" zoomScaleNormal="80" zoomScaleSheetLayoutView="76" workbookViewId="0"/>
  </sheetViews>
  <sheetFormatPr defaultColWidth="9.1796875" defaultRowHeight="15.5" x14ac:dyDescent="0.35"/>
  <cols>
    <col min="1" max="1" width="2.81640625" style="3" customWidth="1"/>
    <col min="2" max="2" width="3.81640625" style="3" customWidth="1"/>
    <col min="3" max="3" width="57.81640625" style="3" bestFit="1" customWidth="1"/>
    <col min="4" max="4" width="37.26953125" style="3" bestFit="1" customWidth="1"/>
    <col min="5" max="5" width="16.7265625" style="3" customWidth="1"/>
    <col min="6" max="6" width="9.1796875" style="3"/>
    <col min="7" max="14" width="12" style="3" customWidth="1"/>
    <col min="15" max="17" width="9.1796875" style="3"/>
    <col min="18" max="18" width="9.81640625" style="3" customWidth="1"/>
    <col min="19" max="19" width="13.1796875" style="3" bestFit="1" customWidth="1"/>
    <col min="20" max="20" width="9.26953125" style="3" bestFit="1" customWidth="1"/>
    <col min="21" max="16384" width="9.1796875" style="3"/>
  </cols>
  <sheetData>
    <row r="1" spans="2:19" ht="16" thickBot="1" x14ac:dyDescent="0.4"/>
    <row r="2" spans="2:19" x14ac:dyDescent="0.35">
      <c r="B2" s="91"/>
      <c r="C2" s="42"/>
      <c r="D2" s="42"/>
      <c r="E2" s="42"/>
      <c r="F2" s="42"/>
      <c r="G2" s="42"/>
      <c r="H2" s="42"/>
      <c r="I2" s="42"/>
      <c r="J2" s="42"/>
      <c r="K2" s="42"/>
      <c r="L2" s="42"/>
      <c r="M2" s="42"/>
      <c r="N2" s="92"/>
    </row>
    <row r="3" spans="2:19" ht="20.25" customHeight="1" x14ac:dyDescent="0.35">
      <c r="B3" s="93"/>
      <c r="C3" s="297" t="s">
        <v>157</v>
      </c>
      <c r="D3" s="297"/>
      <c r="E3" s="297"/>
      <c r="F3" s="297"/>
      <c r="G3" s="297"/>
      <c r="H3" s="297"/>
      <c r="I3" s="297"/>
      <c r="J3" s="297"/>
      <c r="K3" s="297"/>
      <c r="L3" s="297"/>
      <c r="M3" s="297"/>
      <c r="N3" s="298"/>
    </row>
    <row r="4" spans="2:19" x14ac:dyDescent="0.35">
      <c r="B4" s="93"/>
      <c r="C4" s="67" t="s">
        <v>434</v>
      </c>
      <c r="D4" s="29"/>
      <c r="E4" s="29"/>
      <c r="F4" s="5"/>
      <c r="G4" s="5"/>
      <c r="H4" s="5"/>
      <c r="I4" s="5"/>
      <c r="J4" s="5"/>
      <c r="K4" s="5"/>
      <c r="L4" s="5"/>
      <c r="M4" s="5"/>
      <c r="N4" s="20"/>
    </row>
    <row r="5" spans="2:19" ht="20.25" customHeight="1" x14ac:dyDescent="0.35">
      <c r="B5" s="93"/>
      <c r="C5" s="211" t="s">
        <v>435</v>
      </c>
      <c r="D5" s="314" t="s">
        <v>408</v>
      </c>
      <c r="E5" s="314"/>
      <c r="F5" s="5"/>
      <c r="G5" s="5"/>
      <c r="H5" s="5"/>
      <c r="I5" s="5"/>
      <c r="J5" s="5"/>
      <c r="K5" s="5"/>
      <c r="L5" s="5"/>
      <c r="M5" s="5"/>
      <c r="N5" s="20"/>
    </row>
    <row r="6" spans="2:19" x14ac:dyDescent="0.35">
      <c r="B6" s="93"/>
      <c r="C6" s="29"/>
      <c r="D6" s="29"/>
      <c r="E6" s="29"/>
      <c r="F6" s="5"/>
      <c r="G6" s="5"/>
      <c r="H6" s="5"/>
      <c r="I6" s="5"/>
      <c r="J6" s="5"/>
      <c r="K6" s="5"/>
      <c r="L6" s="5"/>
      <c r="M6" s="5"/>
      <c r="N6" s="20"/>
    </row>
    <row r="7" spans="2:19" ht="32.25" customHeight="1" x14ac:dyDescent="0.35">
      <c r="B7" s="93"/>
      <c r="C7" s="95" t="s">
        <v>43</v>
      </c>
      <c r="D7" s="117" t="s">
        <v>44</v>
      </c>
      <c r="E7" s="218" t="s">
        <v>45</v>
      </c>
      <c r="F7" s="5"/>
      <c r="G7" s="299" t="s">
        <v>46</v>
      </c>
      <c r="H7" s="299"/>
      <c r="I7" s="299"/>
      <c r="J7" s="299"/>
      <c r="K7" s="299"/>
      <c r="L7" s="299"/>
      <c r="M7" s="299"/>
      <c r="N7" s="300"/>
    </row>
    <row r="8" spans="2:19" x14ac:dyDescent="0.35">
      <c r="B8" s="93"/>
      <c r="C8" s="200" t="s">
        <v>242</v>
      </c>
      <c r="D8" s="200" t="s">
        <v>4</v>
      </c>
      <c r="E8" s="183">
        <v>5.0639999999999999E-3</v>
      </c>
      <c r="F8" s="5"/>
      <c r="G8" s="230" t="s">
        <v>47</v>
      </c>
      <c r="H8" s="231">
        <v>1</v>
      </c>
      <c r="I8" s="232">
        <f>H8/SUM($H$8:$H$10)</f>
        <v>1</v>
      </c>
      <c r="J8" s="234"/>
      <c r="K8" s="247"/>
      <c r="L8" s="234"/>
      <c r="M8" s="5"/>
      <c r="N8" s="20"/>
      <c r="S8" s="49"/>
    </row>
    <row r="9" spans="2:19" ht="15.75" customHeight="1" x14ac:dyDescent="0.35">
      <c r="B9" s="93"/>
      <c r="C9" s="200" t="s">
        <v>276</v>
      </c>
      <c r="D9" s="200" t="s">
        <v>106</v>
      </c>
      <c r="E9" s="183">
        <v>5.0179999999999999E-3</v>
      </c>
      <c r="F9" s="5"/>
      <c r="G9" s="230" t="s">
        <v>57</v>
      </c>
      <c r="H9" s="233">
        <v>0</v>
      </c>
      <c r="I9" s="232">
        <f>H9/SUM($H$8:$H$10)</f>
        <v>0</v>
      </c>
      <c r="J9" s="230" t="s">
        <v>97</v>
      </c>
      <c r="K9" s="231">
        <f>E23+E25</f>
        <v>0.115399</v>
      </c>
      <c r="L9" s="230"/>
      <c r="M9" s="5"/>
      <c r="N9" s="20"/>
      <c r="S9" s="49"/>
    </row>
    <row r="10" spans="2:19" x14ac:dyDescent="0.35">
      <c r="B10" s="93"/>
      <c r="C10" s="200" t="s">
        <v>86</v>
      </c>
      <c r="D10" s="200" t="s">
        <v>106</v>
      </c>
      <c r="E10" s="183">
        <v>4.7219999999999996E-3</v>
      </c>
      <c r="F10" s="31"/>
      <c r="G10" s="230" t="s">
        <v>48</v>
      </c>
      <c r="H10" s="233">
        <v>0</v>
      </c>
      <c r="I10" s="232">
        <f>H10/SUM($H$8:$H$10)</f>
        <v>0</v>
      </c>
      <c r="J10" s="230" t="s">
        <v>20</v>
      </c>
      <c r="K10" s="231">
        <f>E48</f>
        <v>4.3151999999999975E-2</v>
      </c>
      <c r="L10" s="230"/>
      <c r="M10" s="5"/>
      <c r="N10" s="20"/>
      <c r="S10" s="49"/>
    </row>
    <row r="11" spans="2:19" x14ac:dyDescent="0.35">
      <c r="B11" s="93"/>
      <c r="C11" s="200" t="s">
        <v>35</v>
      </c>
      <c r="D11" s="200" t="s">
        <v>3</v>
      </c>
      <c r="E11" s="183">
        <v>4.5509999999999995E-3</v>
      </c>
      <c r="F11" s="5"/>
      <c r="G11" s="230"/>
      <c r="H11" s="230"/>
      <c r="I11" s="230"/>
      <c r="J11" s="1"/>
      <c r="K11" s="1"/>
      <c r="L11" s="230"/>
      <c r="M11" s="5"/>
      <c r="N11" s="20"/>
      <c r="S11" s="49"/>
    </row>
    <row r="12" spans="2:19" ht="15.75" customHeight="1" x14ac:dyDescent="0.35">
      <c r="B12" s="93"/>
      <c r="C12" s="200" t="s">
        <v>232</v>
      </c>
      <c r="D12" s="200" t="s">
        <v>16</v>
      </c>
      <c r="E12" s="183">
        <v>4.535E-3</v>
      </c>
      <c r="F12" s="31"/>
      <c r="G12" s="230"/>
      <c r="H12" s="231"/>
      <c r="I12" s="230"/>
      <c r="J12" s="230" t="s">
        <v>41</v>
      </c>
      <c r="K12" s="231">
        <f>E37</f>
        <v>4.9113999999999998E-2</v>
      </c>
      <c r="L12" s="230"/>
      <c r="M12" s="5"/>
      <c r="N12" s="20"/>
      <c r="S12" s="49"/>
    </row>
    <row r="13" spans="2:19" x14ac:dyDescent="0.35">
      <c r="B13" s="93"/>
      <c r="C13" s="200" t="s">
        <v>245</v>
      </c>
      <c r="D13" s="200" t="s">
        <v>109</v>
      </c>
      <c r="E13" s="183">
        <v>4.530000000000001E-3</v>
      </c>
      <c r="F13" s="31"/>
      <c r="G13" s="230"/>
      <c r="H13" s="230"/>
      <c r="I13" s="230"/>
      <c r="J13" s="230"/>
      <c r="K13" s="246"/>
      <c r="L13" s="230"/>
      <c r="M13" s="5"/>
      <c r="N13" s="20"/>
      <c r="S13" s="49"/>
    </row>
    <row r="14" spans="2:19" x14ac:dyDescent="0.35">
      <c r="B14" s="93"/>
      <c r="C14" s="200" t="s">
        <v>37</v>
      </c>
      <c r="D14" s="200" t="s">
        <v>115</v>
      </c>
      <c r="E14" s="183">
        <v>4.5130000000000005E-3</v>
      </c>
      <c r="F14" s="31"/>
      <c r="G14" s="230"/>
      <c r="H14" s="230"/>
      <c r="I14" s="230"/>
      <c r="J14" s="230" t="s">
        <v>213</v>
      </c>
      <c r="K14" s="231">
        <f>E28</f>
        <v>9.1097999999999998E-2</v>
      </c>
      <c r="L14" s="230"/>
      <c r="M14" s="5"/>
      <c r="N14" s="20"/>
      <c r="S14" s="49"/>
    </row>
    <row r="15" spans="2:19" x14ac:dyDescent="0.35">
      <c r="B15" s="93"/>
      <c r="C15" s="200" t="s">
        <v>70</v>
      </c>
      <c r="D15" s="200" t="s">
        <v>12</v>
      </c>
      <c r="E15" s="183">
        <v>4.4510000000000036E-3</v>
      </c>
      <c r="F15" s="5"/>
      <c r="G15" s="230"/>
      <c r="H15" s="230"/>
      <c r="I15" s="230"/>
      <c r="J15" s="230" t="s">
        <v>42</v>
      </c>
      <c r="K15" s="231">
        <f>E40</f>
        <v>5.3915999999999999E-2</v>
      </c>
      <c r="L15" s="230"/>
      <c r="M15" s="5"/>
      <c r="N15" s="20"/>
      <c r="S15" s="49"/>
    </row>
    <row r="16" spans="2:19" x14ac:dyDescent="0.35">
      <c r="B16" s="93"/>
      <c r="C16" s="200" t="s">
        <v>32</v>
      </c>
      <c r="D16" s="200" t="s">
        <v>3</v>
      </c>
      <c r="E16" s="183">
        <v>4.3929999999999941E-3</v>
      </c>
      <c r="F16" s="5"/>
      <c r="G16" s="230"/>
      <c r="H16" s="230"/>
      <c r="I16" s="230"/>
      <c r="J16" s="230" t="s">
        <v>60</v>
      </c>
      <c r="K16" s="231">
        <f>E32</f>
        <v>0.54564900000000005</v>
      </c>
      <c r="L16" s="230"/>
      <c r="M16" s="5"/>
      <c r="N16" s="20"/>
      <c r="S16" s="49"/>
    </row>
    <row r="17" spans="2:19" x14ac:dyDescent="0.35">
      <c r="B17" s="93"/>
      <c r="C17" s="200" t="s">
        <v>350</v>
      </c>
      <c r="D17" s="200" t="s">
        <v>84</v>
      </c>
      <c r="E17" s="183">
        <v>4.3719999999999992E-3</v>
      </c>
      <c r="F17" s="5"/>
      <c r="G17" s="230"/>
      <c r="H17" s="230"/>
      <c r="I17" s="230"/>
      <c r="J17" s="230" t="s">
        <v>294</v>
      </c>
      <c r="K17" s="231">
        <f>E30</f>
        <v>1.4059999999999999E-3</v>
      </c>
      <c r="L17" s="230"/>
      <c r="M17" s="5"/>
      <c r="N17" s="20"/>
      <c r="S17" s="49"/>
    </row>
    <row r="18" spans="2:19" x14ac:dyDescent="0.35">
      <c r="B18" s="93"/>
      <c r="C18" s="200" t="s">
        <v>94</v>
      </c>
      <c r="D18" s="200" t="s">
        <v>110</v>
      </c>
      <c r="E18" s="183">
        <v>4.2699999999999995E-3</v>
      </c>
      <c r="F18" s="5"/>
      <c r="G18" s="230"/>
      <c r="H18" s="230"/>
      <c r="I18" s="230"/>
      <c r="J18" s="230" t="s">
        <v>295</v>
      </c>
      <c r="K18" s="246">
        <f>E46</f>
        <v>0.10026599999999999</v>
      </c>
      <c r="L18" s="230"/>
      <c r="M18" s="5"/>
      <c r="N18" s="20"/>
      <c r="S18" s="49"/>
    </row>
    <row r="19" spans="2:19" x14ac:dyDescent="0.35">
      <c r="B19" s="93"/>
      <c r="C19" s="200" t="s">
        <v>31</v>
      </c>
      <c r="D19" s="200" t="s">
        <v>6</v>
      </c>
      <c r="E19" s="183">
        <v>4.2390000000000067E-3</v>
      </c>
      <c r="F19" s="5"/>
      <c r="G19" s="234"/>
      <c r="H19" s="234"/>
      <c r="I19" s="234"/>
      <c r="J19" s="234"/>
      <c r="K19" s="234"/>
      <c r="L19" s="234"/>
      <c r="M19" s="5"/>
      <c r="N19" s="20"/>
      <c r="S19" s="49"/>
    </row>
    <row r="20" spans="2:19" ht="15.75" customHeight="1" x14ac:dyDescent="0.35">
      <c r="B20" s="93"/>
      <c r="C20" s="200" t="s">
        <v>29</v>
      </c>
      <c r="D20" s="200" t="s">
        <v>3</v>
      </c>
      <c r="E20" s="183">
        <v>4.0710000000000052E-3</v>
      </c>
      <c r="F20" s="5"/>
      <c r="G20" s="317" t="s">
        <v>98</v>
      </c>
      <c r="H20" s="318"/>
      <c r="I20" s="318"/>
      <c r="J20" s="318"/>
      <c r="K20" s="318"/>
      <c r="L20" s="273">
        <v>2.79</v>
      </c>
      <c r="M20" s="118"/>
      <c r="N20" s="105"/>
      <c r="P20" s="19"/>
      <c r="S20" s="49"/>
    </row>
    <row r="21" spans="2:19" x14ac:dyDescent="0.35">
      <c r="B21" s="93"/>
      <c r="C21" s="200" t="s">
        <v>30</v>
      </c>
      <c r="D21" s="200" t="s">
        <v>115</v>
      </c>
      <c r="E21" s="183">
        <v>4.0309999999999999E-3</v>
      </c>
      <c r="F21" s="5"/>
      <c r="G21" s="5"/>
      <c r="H21" s="5"/>
      <c r="I21" s="5"/>
      <c r="J21" s="5"/>
      <c r="K21" s="5"/>
      <c r="L21" s="5"/>
      <c r="M21" s="5"/>
      <c r="N21" s="20"/>
      <c r="P21" s="19"/>
      <c r="S21" s="49"/>
    </row>
    <row r="22" spans="2:19" x14ac:dyDescent="0.35">
      <c r="B22" s="93"/>
      <c r="C22" s="200" t="s">
        <v>357</v>
      </c>
      <c r="D22" s="200" t="s">
        <v>16</v>
      </c>
      <c r="E22" s="183">
        <v>3.9150000000000001E-3</v>
      </c>
      <c r="F22" s="5"/>
      <c r="G22" s="31"/>
      <c r="H22" s="31"/>
      <c r="I22" s="31"/>
      <c r="J22" s="5"/>
      <c r="K22" s="31"/>
      <c r="L22" s="5"/>
      <c r="M22" s="5"/>
      <c r="N22" s="20"/>
      <c r="P22" s="19"/>
      <c r="S22" s="49"/>
    </row>
    <row r="23" spans="2:19" ht="15.75" customHeight="1" x14ac:dyDescent="0.35">
      <c r="B23" s="93"/>
      <c r="C23" s="106" t="s">
        <v>87</v>
      </c>
      <c r="D23" s="106"/>
      <c r="E23" s="107">
        <f>SUM(E8:E22)</f>
        <v>6.6675000000000012E-2</v>
      </c>
      <c r="F23" s="5"/>
      <c r="G23" s="299" t="s">
        <v>50</v>
      </c>
      <c r="H23" s="299"/>
      <c r="I23" s="299"/>
      <c r="J23" s="299"/>
      <c r="K23" s="299"/>
      <c r="L23" s="299"/>
      <c r="M23" s="299"/>
      <c r="N23" s="300"/>
      <c r="P23" s="19"/>
      <c r="S23" s="49"/>
    </row>
    <row r="24" spans="2:19" x14ac:dyDescent="0.35">
      <c r="B24" s="93"/>
      <c r="C24" s="4"/>
      <c r="D24" s="4"/>
      <c r="E24" s="6"/>
      <c r="F24" s="5"/>
      <c r="G24" s="5"/>
      <c r="H24" s="5"/>
      <c r="I24" s="5"/>
      <c r="J24" s="5"/>
      <c r="K24" s="5"/>
      <c r="L24" s="5"/>
      <c r="M24" s="5"/>
      <c r="N24" s="20"/>
      <c r="P24" s="19"/>
      <c r="S24" s="49"/>
    </row>
    <row r="25" spans="2:19" x14ac:dyDescent="0.35">
      <c r="B25" s="93"/>
      <c r="C25" s="106" t="s">
        <v>88</v>
      </c>
      <c r="D25" s="106"/>
      <c r="E25" s="107">
        <v>4.8723999999999996E-2</v>
      </c>
      <c r="F25" s="5"/>
      <c r="G25" s="5"/>
      <c r="H25" s="5"/>
      <c r="I25" s="5"/>
      <c r="J25" s="5"/>
      <c r="K25" s="5"/>
      <c r="L25" s="5"/>
      <c r="M25" s="5"/>
      <c r="N25" s="20"/>
      <c r="P25" s="19"/>
      <c r="S25" s="49"/>
    </row>
    <row r="26" spans="2:19" x14ac:dyDescent="0.35">
      <c r="B26" s="93"/>
      <c r="C26" s="200"/>
      <c r="D26" s="200"/>
      <c r="E26" s="183"/>
      <c r="F26" s="5"/>
      <c r="G26" s="5"/>
      <c r="H26" s="5"/>
      <c r="I26" s="5"/>
      <c r="J26" s="5"/>
      <c r="K26" s="5"/>
      <c r="L26" s="5"/>
      <c r="M26" s="5"/>
      <c r="N26" s="20"/>
      <c r="P26" s="19"/>
      <c r="S26" s="49"/>
    </row>
    <row r="27" spans="2:19" x14ac:dyDescent="0.35">
      <c r="B27" s="93"/>
      <c r="C27" s="200" t="s">
        <v>214</v>
      </c>
      <c r="D27" s="200"/>
      <c r="E27" s="183">
        <v>9.1097999999999998E-2</v>
      </c>
      <c r="F27" s="5"/>
      <c r="G27" s="5"/>
      <c r="H27" s="5"/>
      <c r="I27" s="5"/>
      <c r="J27" s="5"/>
      <c r="K27" s="5"/>
      <c r="L27" s="5"/>
      <c r="M27" s="5"/>
      <c r="N27" s="20"/>
      <c r="P27" s="19"/>
      <c r="S27" s="49"/>
    </row>
    <row r="28" spans="2:19" x14ac:dyDescent="0.35">
      <c r="B28" s="93"/>
      <c r="C28" s="106" t="s">
        <v>213</v>
      </c>
      <c r="D28" s="106"/>
      <c r="E28" s="178">
        <v>9.1097999999999998E-2</v>
      </c>
      <c r="F28" s="5"/>
      <c r="G28" s="5"/>
      <c r="H28" s="5"/>
      <c r="I28" s="5"/>
      <c r="J28" s="5"/>
      <c r="K28" s="5"/>
      <c r="L28" s="5"/>
      <c r="M28" s="5"/>
      <c r="N28" s="20"/>
      <c r="P28" s="19"/>
      <c r="S28" s="49"/>
    </row>
    <row r="29" spans="2:19" x14ac:dyDescent="0.35">
      <c r="B29" s="93"/>
      <c r="C29" s="229"/>
      <c r="D29" s="241"/>
      <c r="E29" s="240"/>
      <c r="F29" s="5"/>
      <c r="G29" s="5"/>
      <c r="H29" s="5"/>
      <c r="I29" s="5"/>
      <c r="J29" s="5"/>
      <c r="K29" s="5"/>
      <c r="L29" s="5"/>
      <c r="M29" s="5"/>
      <c r="N29" s="20"/>
      <c r="P29" s="19"/>
      <c r="S29" s="49"/>
    </row>
    <row r="30" spans="2:19" x14ac:dyDescent="0.35">
      <c r="B30" s="93"/>
      <c r="C30" s="106" t="s">
        <v>294</v>
      </c>
      <c r="D30" s="242"/>
      <c r="E30" s="178">
        <v>1.4059999999999999E-3</v>
      </c>
      <c r="F30" s="5"/>
      <c r="G30" s="5"/>
      <c r="H30" s="5"/>
      <c r="I30" s="5"/>
      <c r="J30" s="5"/>
      <c r="K30" s="5"/>
      <c r="L30" s="5"/>
      <c r="M30" s="5"/>
      <c r="N30" s="20"/>
      <c r="P30" s="19"/>
      <c r="S30" s="49"/>
    </row>
    <row r="31" spans="2:19" x14ac:dyDescent="0.35">
      <c r="B31" s="93"/>
      <c r="C31" s="38"/>
      <c r="D31" s="5"/>
      <c r="E31" s="38"/>
      <c r="F31" s="5"/>
      <c r="G31" s="5"/>
      <c r="H31" s="5"/>
      <c r="I31" s="5"/>
      <c r="J31" s="5"/>
      <c r="K31" s="5"/>
      <c r="L31" s="5"/>
      <c r="M31" s="5"/>
      <c r="N31" s="20"/>
      <c r="P31" s="19"/>
      <c r="S31" s="49"/>
    </row>
    <row r="32" spans="2:19" x14ac:dyDescent="0.35">
      <c r="B32" s="93"/>
      <c r="C32" s="106" t="s">
        <v>58</v>
      </c>
      <c r="D32" s="242"/>
      <c r="E32" s="178">
        <v>0.54564900000000005</v>
      </c>
      <c r="F32" s="5"/>
      <c r="G32" s="5"/>
      <c r="H32" s="5"/>
      <c r="I32" s="5"/>
      <c r="J32" s="5"/>
      <c r="K32" s="5"/>
      <c r="L32" s="5"/>
      <c r="M32" s="5"/>
      <c r="N32" s="20"/>
      <c r="P32" s="19"/>
      <c r="S32" s="49"/>
    </row>
    <row r="33" spans="2:19" ht="15" customHeight="1" x14ac:dyDescent="0.35">
      <c r="B33" s="93"/>
      <c r="C33" s="200"/>
      <c r="D33" s="243"/>
      <c r="E33" s="183"/>
      <c r="F33" s="5"/>
      <c r="G33" s="5"/>
      <c r="H33" s="5"/>
      <c r="I33" s="5"/>
      <c r="J33" s="5"/>
      <c r="K33" s="5"/>
      <c r="L33" s="5"/>
      <c r="M33" s="5"/>
      <c r="N33" s="20"/>
      <c r="P33" s="19"/>
      <c r="S33" s="49"/>
    </row>
    <row r="34" spans="2:19" ht="15" customHeight="1" x14ac:dyDescent="0.35">
      <c r="B34" s="93"/>
      <c r="C34" s="200" t="s">
        <v>74</v>
      </c>
      <c r="D34" s="243" t="s">
        <v>63</v>
      </c>
      <c r="E34" s="183">
        <v>1.7516E-2</v>
      </c>
      <c r="F34" s="5"/>
      <c r="G34" s="5"/>
      <c r="H34" s="5"/>
      <c r="I34" s="5"/>
      <c r="J34" s="5"/>
      <c r="K34" s="5"/>
      <c r="L34" s="5"/>
      <c r="M34" s="5"/>
      <c r="N34" s="20"/>
      <c r="P34" s="19"/>
      <c r="S34" s="49"/>
    </row>
    <row r="35" spans="2:19" s="48" customFormat="1" x14ac:dyDescent="0.35">
      <c r="B35" s="108"/>
      <c r="C35" s="200" t="s">
        <v>178</v>
      </c>
      <c r="D35" s="243" t="s">
        <v>63</v>
      </c>
      <c r="E35" s="183">
        <v>1.7436E-2</v>
      </c>
      <c r="F35" s="41"/>
      <c r="G35" s="41"/>
      <c r="H35" s="41"/>
      <c r="I35" s="41"/>
      <c r="J35" s="41"/>
      <c r="K35" s="41"/>
      <c r="L35" s="41"/>
      <c r="M35" s="41"/>
      <c r="N35" s="109"/>
      <c r="P35" s="53"/>
      <c r="S35" s="110"/>
    </row>
    <row r="36" spans="2:19" s="48" customFormat="1" x14ac:dyDescent="0.35">
      <c r="B36" s="108"/>
      <c r="C36" s="200" t="s">
        <v>79</v>
      </c>
      <c r="D36" s="243" t="s">
        <v>63</v>
      </c>
      <c r="E36" s="183">
        <v>1.4161999999999999E-2</v>
      </c>
      <c r="F36" s="41"/>
      <c r="G36" s="41"/>
      <c r="H36" s="41"/>
      <c r="I36" s="41"/>
      <c r="J36" s="41"/>
      <c r="K36" s="41"/>
      <c r="L36" s="41"/>
      <c r="M36" s="41"/>
      <c r="N36" s="109"/>
      <c r="P36" s="53"/>
      <c r="S36" s="110"/>
    </row>
    <row r="37" spans="2:19" x14ac:dyDescent="0.35">
      <c r="B37" s="93"/>
      <c r="C37" s="106" t="s">
        <v>49</v>
      </c>
      <c r="D37" s="242"/>
      <c r="E37" s="178">
        <v>4.9113999999999998E-2</v>
      </c>
      <c r="F37" s="5"/>
      <c r="G37" s="5"/>
      <c r="H37" s="5"/>
      <c r="I37" s="5"/>
      <c r="J37" s="5"/>
      <c r="K37" s="5"/>
      <c r="L37" s="5"/>
      <c r="M37" s="5"/>
      <c r="N37" s="20"/>
      <c r="P37" s="19"/>
      <c r="S37" s="49"/>
    </row>
    <row r="38" spans="2:19" x14ac:dyDescent="0.35">
      <c r="B38" s="93"/>
      <c r="C38" s="27" t="s">
        <v>230</v>
      </c>
      <c r="D38" s="33" t="s">
        <v>61</v>
      </c>
      <c r="E38" s="183">
        <v>3.5421000000000001E-2</v>
      </c>
      <c r="F38" s="5"/>
      <c r="G38" s="5"/>
      <c r="H38" s="5"/>
      <c r="I38" s="5"/>
      <c r="J38" s="5"/>
      <c r="K38" s="5"/>
      <c r="L38" s="5"/>
      <c r="M38" s="5"/>
      <c r="N38" s="20"/>
      <c r="P38" s="19"/>
      <c r="S38" s="49"/>
    </row>
    <row r="39" spans="2:19" x14ac:dyDescent="0.35">
      <c r="B39" s="93"/>
      <c r="C39" s="27" t="s">
        <v>194</v>
      </c>
      <c r="D39" s="33" t="s">
        <v>61</v>
      </c>
      <c r="E39" s="183">
        <v>1.8495000000000001E-2</v>
      </c>
      <c r="F39" s="5"/>
      <c r="G39" s="5"/>
      <c r="H39" s="5"/>
      <c r="I39" s="5"/>
      <c r="J39" s="5"/>
      <c r="K39" s="5"/>
      <c r="L39" s="5"/>
      <c r="M39" s="5"/>
      <c r="N39" s="20"/>
      <c r="P39" s="19"/>
      <c r="S39" s="49"/>
    </row>
    <row r="40" spans="2:19" x14ac:dyDescent="0.35">
      <c r="B40" s="93"/>
      <c r="C40" s="106" t="s">
        <v>42</v>
      </c>
      <c r="D40" s="242"/>
      <c r="E40" s="178">
        <v>5.3915999999999999E-2</v>
      </c>
      <c r="F40" s="5"/>
      <c r="G40" s="5"/>
      <c r="H40" s="5"/>
      <c r="I40" s="5"/>
      <c r="J40" s="5"/>
      <c r="K40" s="5"/>
      <c r="L40" s="5"/>
      <c r="M40" s="5"/>
      <c r="N40" s="20"/>
      <c r="P40" s="19"/>
      <c r="S40" s="49"/>
    </row>
    <row r="41" spans="2:19" x14ac:dyDescent="0.35">
      <c r="B41" s="93"/>
      <c r="C41" s="27" t="s">
        <v>390</v>
      </c>
      <c r="D41" s="33" t="s">
        <v>61</v>
      </c>
      <c r="E41" s="183">
        <v>2.7372E-2</v>
      </c>
      <c r="F41" s="5"/>
      <c r="G41" s="5"/>
      <c r="H41" s="5"/>
      <c r="I41" s="5"/>
      <c r="J41" s="5"/>
      <c r="K41" s="5"/>
      <c r="L41" s="5"/>
      <c r="M41" s="5"/>
      <c r="N41" s="20"/>
      <c r="P41" s="19"/>
      <c r="S41" s="49"/>
    </row>
    <row r="42" spans="2:19" x14ac:dyDescent="0.35">
      <c r="B42" s="93"/>
      <c r="C42" s="27" t="s">
        <v>319</v>
      </c>
      <c r="D42" s="33" t="s">
        <v>61</v>
      </c>
      <c r="E42" s="183">
        <v>2.3081999999999998E-2</v>
      </c>
      <c r="F42" s="5"/>
      <c r="G42" s="5"/>
      <c r="H42" s="5"/>
      <c r="I42" s="5"/>
      <c r="J42" s="5"/>
      <c r="K42" s="5"/>
      <c r="L42" s="5"/>
      <c r="M42" s="5"/>
      <c r="N42" s="20"/>
      <c r="P42" s="19"/>
      <c r="S42" s="49"/>
    </row>
    <row r="43" spans="2:19" x14ac:dyDescent="0.35">
      <c r="B43" s="93"/>
      <c r="C43" s="27" t="s">
        <v>356</v>
      </c>
      <c r="D43" s="33" t="s">
        <v>61</v>
      </c>
      <c r="E43" s="183">
        <v>1.8574E-2</v>
      </c>
      <c r="F43" s="5"/>
      <c r="G43" s="5"/>
      <c r="H43" s="5"/>
      <c r="I43" s="5"/>
      <c r="J43" s="5"/>
      <c r="K43" s="5"/>
      <c r="L43" s="5"/>
      <c r="M43" s="5"/>
      <c r="N43" s="20"/>
      <c r="P43" s="19"/>
      <c r="S43" s="49"/>
    </row>
    <row r="44" spans="2:19" x14ac:dyDescent="0.35">
      <c r="B44" s="93"/>
      <c r="C44" s="27" t="s">
        <v>313</v>
      </c>
      <c r="D44" s="33" t="s">
        <v>61</v>
      </c>
      <c r="E44" s="183">
        <v>1.8276000000000001E-2</v>
      </c>
      <c r="F44" s="5"/>
      <c r="G44" s="5"/>
      <c r="H44" s="5"/>
      <c r="I44" s="5"/>
      <c r="J44" s="5"/>
      <c r="K44" s="5"/>
      <c r="L44" s="5"/>
      <c r="M44" s="5"/>
      <c r="N44" s="20"/>
      <c r="P44" s="19"/>
      <c r="S44" s="49"/>
    </row>
    <row r="45" spans="2:19" x14ac:dyDescent="0.35">
      <c r="B45" s="93"/>
      <c r="C45" s="27" t="s">
        <v>318</v>
      </c>
      <c r="D45" s="33" t="s">
        <v>61</v>
      </c>
      <c r="E45" s="183">
        <v>1.2962E-2</v>
      </c>
      <c r="F45" s="5"/>
      <c r="G45" s="5"/>
      <c r="H45" s="5"/>
      <c r="I45" s="5"/>
      <c r="J45" s="5"/>
      <c r="K45" s="5"/>
      <c r="L45" s="5"/>
      <c r="M45" s="5"/>
      <c r="N45" s="20"/>
      <c r="P45" s="19"/>
      <c r="S45" s="49"/>
    </row>
    <row r="46" spans="2:19" x14ac:dyDescent="0.35">
      <c r="B46" s="93"/>
      <c r="C46" s="106" t="s">
        <v>295</v>
      </c>
      <c r="D46" s="242"/>
      <c r="E46" s="178">
        <v>0.10026599999999999</v>
      </c>
      <c r="F46" s="5"/>
      <c r="G46" s="5"/>
      <c r="H46" s="5"/>
      <c r="I46" s="5"/>
      <c r="J46" s="5"/>
      <c r="K46" s="5"/>
      <c r="L46" s="5"/>
      <c r="M46" s="5"/>
      <c r="N46" s="20"/>
      <c r="P46" s="19"/>
      <c r="S46" s="49"/>
    </row>
    <row r="47" spans="2:19" x14ac:dyDescent="0.35">
      <c r="B47" s="93"/>
      <c r="C47" s="4"/>
      <c r="D47" s="244"/>
      <c r="E47" s="32"/>
      <c r="F47" s="5"/>
      <c r="G47" s="5"/>
      <c r="H47" s="5"/>
      <c r="I47" s="5"/>
      <c r="J47" s="5"/>
      <c r="K47" s="5"/>
      <c r="L47" s="5"/>
      <c r="M47" s="5"/>
      <c r="N47" s="20"/>
      <c r="P47" s="19"/>
      <c r="S47" s="49"/>
    </row>
    <row r="48" spans="2:19" x14ac:dyDescent="0.35">
      <c r="B48" s="93"/>
      <c r="C48" s="106" t="s">
        <v>20</v>
      </c>
      <c r="D48" s="242"/>
      <c r="E48" s="178">
        <v>4.3151999999999975E-2</v>
      </c>
      <c r="F48" s="5"/>
      <c r="G48" s="5"/>
      <c r="H48" s="5"/>
      <c r="I48" s="5"/>
      <c r="J48" s="5"/>
      <c r="K48" s="5"/>
      <c r="L48" s="5"/>
      <c r="M48" s="5"/>
      <c r="N48" s="20"/>
      <c r="P48" s="19"/>
      <c r="S48" s="49"/>
    </row>
    <row r="49" spans="2:19" x14ac:dyDescent="0.35">
      <c r="B49" s="93"/>
      <c r="C49" s="4"/>
      <c r="D49" s="244"/>
      <c r="E49" s="32"/>
      <c r="F49" s="5"/>
      <c r="G49" s="5"/>
      <c r="H49" s="5"/>
      <c r="I49" s="5"/>
      <c r="J49" s="5"/>
      <c r="K49" s="5"/>
      <c r="L49" s="5"/>
      <c r="M49" s="5"/>
      <c r="N49" s="20"/>
      <c r="P49" s="19"/>
      <c r="S49" s="49"/>
    </row>
    <row r="50" spans="2:19" x14ac:dyDescent="0.35">
      <c r="B50" s="93"/>
      <c r="C50" s="113" t="s">
        <v>21</v>
      </c>
      <c r="D50" s="245"/>
      <c r="E50" s="114">
        <f>E48+E46+E40+E37+E32+E30+E28+E25+E23</f>
        <v>1</v>
      </c>
      <c r="F50" s="5"/>
      <c r="G50" s="5"/>
      <c r="H50" s="5"/>
      <c r="I50" s="5"/>
      <c r="J50" s="5"/>
      <c r="K50" s="5"/>
      <c r="L50" s="5"/>
      <c r="M50" s="5"/>
      <c r="N50" s="20"/>
      <c r="P50" s="19"/>
      <c r="S50" s="49"/>
    </row>
    <row r="51" spans="2:19" x14ac:dyDescent="0.35">
      <c r="B51" s="93"/>
      <c r="F51" s="5"/>
      <c r="G51" s="5"/>
      <c r="H51" s="5"/>
      <c r="I51" s="5"/>
      <c r="J51" s="5"/>
      <c r="K51" s="5"/>
      <c r="L51" s="5"/>
      <c r="M51" s="5"/>
      <c r="N51" s="20"/>
      <c r="P51" s="19"/>
      <c r="S51" s="49"/>
    </row>
    <row r="52" spans="2:19" ht="11.25" customHeight="1" thickBot="1" x14ac:dyDescent="0.4">
      <c r="B52" s="96"/>
      <c r="C52" s="45"/>
      <c r="D52" s="45"/>
      <c r="E52" s="45"/>
      <c r="F52" s="45"/>
      <c r="G52" s="45"/>
      <c r="H52" s="45"/>
      <c r="I52" s="45"/>
      <c r="J52" s="45"/>
      <c r="K52" s="45"/>
      <c r="L52" s="45"/>
      <c r="M52" s="45"/>
      <c r="N52" s="116"/>
      <c r="S52" s="49"/>
    </row>
    <row r="53" spans="2:19" ht="16" thickBot="1" x14ac:dyDescent="0.4">
      <c r="S53" s="49"/>
    </row>
    <row r="54" spans="2:19" ht="15" customHeight="1" x14ac:dyDescent="0.35">
      <c r="B54" s="303" t="s">
        <v>179</v>
      </c>
      <c r="C54" s="304"/>
      <c r="D54" s="304"/>
      <c r="E54" s="304"/>
      <c r="F54" s="304"/>
      <c r="G54" s="304"/>
      <c r="H54" s="304"/>
      <c r="I54" s="304"/>
      <c r="J54" s="304"/>
      <c r="K54" s="304"/>
      <c r="L54" s="304"/>
      <c r="M54" s="304"/>
      <c r="N54" s="304"/>
      <c r="O54" s="304"/>
      <c r="P54" s="304"/>
      <c r="Q54" s="304"/>
      <c r="R54" s="305"/>
      <c r="S54" s="49"/>
    </row>
    <row r="55" spans="2:19" x14ac:dyDescent="0.35">
      <c r="B55" s="306"/>
      <c r="C55" s="307"/>
      <c r="D55" s="307"/>
      <c r="E55" s="307"/>
      <c r="F55" s="307"/>
      <c r="G55" s="307"/>
      <c r="H55" s="307"/>
      <c r="I55" s="307"/>
      <c r="J55" s="307"/>
      <c r="K55" s="307"/>
      <c r="L55" s="307"/>
      <c r="M55" s="307"/>
      <c r="N55" s="307"/>
      <c r="O55" s="307"/>
      <c r="P55" s="307"/>
      <c r="Q55" s="307"/>
      <c r="R55" s="308"/>
      <c r="S55" s="49"/>
    </row>
    <row r="56" spans="2:19" x14ac:dyDescent="0.35">
      <c r="B56" s="306"/>
      <c r="C56" s="307"/>
      <c r="D56" s="307"/>
      <c r="E56" s="307"/>
      <c r="F56" s="307"/>
      <c r="G56" s="307"/>
      <c r="H56" s="307"/>
      <c r="I56" s="307"/>
      <c r="J56" s="307"/>
      <c r="K56" s="307"/>
      <c r="L56" s="307"/>
      <c r="M56" s="307"/>
      <c r="N56" s="307"/>
      <c r="O56" s="307"/>
      <c r="P56" s="307"/>
      <c r="Q56" s="307"/>
      <c r="R56" s="308"/>
      <c r="S56" s="49"/>
    </row>
    <row r="57" spans="2:19" x14ac:dyDescent="0.35">
      <c r="B57" s="306"/>
      <c r="C57" s="307"/>
      <c r="D57" s="307"/>
      <c r="E57" s="307"/>
      <c r="F57" s="307"/>
      <c r="G57" s="307"/>
      <c r="H57" s="307"/>
      <c r="I57" s="307"/>
      <c r="J57" s="307"/>
      <c r="K57" s="307"/>
      <c r="L57" s="307"/>
      <c r="M57" s="307"/>
      <c r="N57" s="307"/>
      <c r="O57" s="307"/>
      <c r="P57" s="307"/>
      <c r="Q57" s="307"/>
      <c r="R57" s="308"/>
      <c r="S57" s="49"/>
    </row>
    <row r="58" spans="2:19" x14ac:dyDescent="0.35">
      <c r="B58" s="306"/>
      <c r="C58" s="307"/>
      <c r="D58" s="307"/>
      <c r="E58" s="307"/>
      <c r="F58" s="307"/>
      <c r="G58" s="307"/>
      <c r="H58" s="307"/>
      <c r="I58" s="307"/>
      <c r="J58" s="307"/>
      <c r="K58" s="307"/>
      <c r="L58" s="307"/>
      <c r="M58" s="307"/>
      <c r="N58" s="307"/>
      <c r="O58" s="307"/>
      <c r="P58" s="307"/>
      <c r="Q58" s="307"/>
      <c r="R58" s="308"/>
      <c r="S58" s="49"/>
    </row>
    <row r="59" spans="2:19" x14ac:dyDescent="0.35">
      <c r="B59" s="306"/>
      <c r="C59" s="307"/>
      <c r="D59" s="307"/>
      <c r="E59" s="307"/>
      <c r="F59" s="307"/>
      <c r="G59" s="307"/>
      <c r="H59" s="307"/>
      <c r="I59" s="307"/>
      <c r="J59" s="307"/>
      <c r="K59" s="307"/>
      <c r="L59" s="307"/>
      <c r="M59" s="307"/>
      <c r="N59" s="307"/>
      <c r="O59" s="307"/>
      <c r="P59" s="307"/>
      <c r="Q59" s="307"/>
      <c r="R59" s="308"/>
      <c r="S59" s="49"/>
    </row>
    <row r="60" spans="2:19" ht="16" thickBot="1" x14ac:dyDescent="0.4">
      <c r="B60" s="309"/>
      <c r="C60" s="310"/>
      <c r="D60" s="310"/>
      <c r="E60" s="310"/>
      <c r="F60" s="310"/>
      <c r="G60" s="310"/>
      <c r="H60" s="310"/>
      <c r="I60" s="310"/>
      <c r="J60" s="310"/>
      <c r="K60" s="310"/>
      <c r="L60" s="310"/>
      <c r="M60" s="310"/>
      <c r="N60" s="310"/>
      <c r="O60" s="310"/>
      <c r="P60" s="310"/>
      <c r="Q60" s="310"/>
      <c r="R60" s="311"/>
      <c r="S60" s="49"/>
    </row>
    <row r="61" spans="2:19" x14ac:dyDescent="0.35">
      <c r="S61" s="49"/>
    </row>
    <row r="62" spans="2:19" x14ac:dyDescent="0.35">
      <c r="S62" s="49"/>
    </row>
    <row r="63" spans="2:19" x14ac:dyDescent="0.35">
      <c r="S63" s="49"/>
    </row>
    <row r="64" spans="2:19" x14ac:dyDescent="0.35">
      <c r="S64" s="49"/>
    </row>
    <row r="65" spans="19:19" x14ac:dyDescent="0.35">
      <c r="S65" s="49"/>
    </row>
    <row r="66" spans="19:19" x14ac:dyDescent="0.35">
      <c r="S66" s="49"/>
    </row>
    <row r="67" spans="19:19" x14ac:dyDescent="0.35">
      <c r="S67" s="49"/>
    </row>
    <row r="68" spans="19:19" x14ac:dyDescent="0.35">
      <c r="S68" s="49"/>
    </row>
    <row r="69" spans="19:19" x14ac:dyDescent="0.35">
      <c r="S69" s="49"/>
    </row>
    <row r="70" spans="19:19" x14ac:dyDescent="0.35">
      <c r="S70" s="49"/>
    </row>
    <row r="71" spans="19:19" x14ac:dyDescent="0.35">
      <c r="S71" s="49"/>
    </row>
    <row r="72" spans="19:19" x14ac:dyDescent="0.35">
      <c r="S72" s="49"/>
    </row>
    <row r="73" spans="19:19" x14ac:dyDescent="0.35">
      <c r="S73" s="49"/>
    </row>
    <row r="74" spans="19:19" x14ac:dyDescent="0.35">
      <c r="S74" s="49"/>
    </row>
    <row r="75" spans="19:19" x14ac:dyDescent="0.35">
      <c r="S75" s="49"/>
    </row>
    <row r="76" spans="19:19" x14ac:dyDescent="0.35">
      <c r="S76" s="49"/>
    </row>
    <row r="77" spans="19:19" x14ac:dyDescent="0.35">
      <c r="S77" s="49"/>
    </row>
    <row r="78" spans="19:19" x14ac:dyDescent="0.35">
      <c r="S78" s="49"/>
    </row>
    <row r="79" spans="19:19" x14ac:dyDescent="0.35">
      <c r="S79" s="49"/>
    </row>
    <row r="80" spans="19:19" x14ac:dyDescent="0.35">
      <c r="S80" s="49"/>
    </row>
    <row r="81" spans="19:19" x14ac:dyDescent="0.35">
      <c r="S81" s="49"/>
    </row>
    <row r="82" spans="19:19" x14ac:dyDescent="0.35">
      <c r="S82" s="49"/>
    </row>
    <row r="83" spans="19:19" x14ac:dyDescent="0.35">
      <c r="S83" s="49"/>
    </row>
    <row r="84" spans="19:19" x14ac:dyDescent="0.35">
      <c r="S84" s="49"/>
    </row>
    <row r="85" spans="19:19" x14ac:dyDescent="0.35">
      <c r="S85" s="49"/>
    </row>
    <row r="86" spans="19:19" x14ac:dyDescent="0.35">
      <c r="S86" s="49"/>
    </row>
    <row r="87" spans="19:19" x14ac:dyDescent="0.35">
      <c r="S87" s="49"/>
    </row>
    <row r="88" spans="19:19" x14ac:dyDescent="0.35">
      <c r="S88" s="49"/>
    </row>
    <row r="89" spans="19:19" x14ac:dyDescent="0.35">
      <c r="S89" s="49"/>
    </row>
    <row r="90" spans="19:19" x14ac:dyDescent="0.35">
      <c r="S90" s="49"/>
    </row>
    <row r="91" spans="19:19" x14ac:dyDescent="0.35">
      <c r="S91" s="49"/>
    </row>
    <row r="92" spans="19:19" x14ac:dyDescent="0.35">
      <c r="S92" s="49"/>
    </row>
    <row r="93" spans="19:19" x14ac:dyDescent="0.35">
      <c r="S93" s="49"/>
    </row>
    <row r="94" spans="19:19" x14ac:dyDescent="0.35">
      <c r="S94" s="49"/>
    </row>
    <row r="95" spans="19:19" x14ac:dyDescent="0.35">
      <c r="S95" s="49"/>
    </row>
    <row r="96" spans="19:19" x14ac:dyDescent="0.35">
      <c r="S96" s="49"/>
    </row>
    <row r="97" spans="19:19" x14ac:dyDescent="0.35">
      <c r="S97" s="49"/>
    </row>
    <row r="98" spans="19:19" x14ac:dyDescent="0.35">
      <c r="S98" s="49"/>
    </row>
    <row r="99" spans="19:19" x14ac:dyDescent="0.35">
      <c r="S99" s="49"/>
    </row>
    <row r="100" spans="19:19" x14ac:dyDescent="0.35">
      <c r="S100" s="49"/>
    </row>
    <row r="101" spans="19:19" x14ac:dyDescent="0.35">
      <c r="S101" s="49"/>
    </row>
    <row r="102" spans="19:19" x14ac:dyDescent="0.35">
      <c r="S102" s="49"/>
    </row>
    <row r="103" spans="19:19" x14ac:dyDescent="0.35">
      <c r="S103" s="49"/>
    </row>
    <row r="104" spans="19:19" x14ac:dyDescent="0.35">
      <c r="S104" s="49"/>
    </row>
    <row r="105" spans="19:19" x14ac:dyDescent="0.35">
      <c r="S105" s="49"/>
    </row>
    <row r="106" spans="19:19" x14ac:dyDescent="0.35">
      <c r="S106" s="49"/>
    </row>
    <row r="107" spans="19:19" x14ac:dyDescent="0.35">
      <c r="S107" s="49"/>
    </row>
    <row r="108" spans="19:19" x14ac:dyDescent="0.35">
      <c r="S108" s="49"/>
    </row>
    <row r="109" spans="19:19" x14ac:dyDescent="0.35">
      <c r="S109" s="49"/>
    </row>
    <row r="110" spans="19:19" x14ac:dyDescent="0.35">
      <c r="S110" s="49"/>
    </row>
    <row r="111" spans="19:19" x14ac:dyDescent="0.35">
      <c r="S111" s="49"/>
    </row>
    <row r="112" spans="19:19" x14ac:dyDescent="0.35">
      <c r="S112" s="49"/>
    </row>
    <row r="113" spans="19:19" x14ac:dyDescent="0.35">
      <c r="S113" s="49"/>
    </row>
    <row r="114" spans="19:19" x14ac:dyDescent="0.35">
      <c r="S114" s="49"/>
    </row>
    <row r="115" spans="19:19" x14ac:dyDescent="0.35">
      <c r="S115" s="49"/>
    </row>
    <row r="116" spans="19:19" x14ac:dyDescent="0.35">
      <c r="S116" s="49"/>
    </row>
    <row r="117" spans="19:19" x14ac:dyDescent="0.35">
      <c r="S117" s="49"/>
    </row>
    <row r="118" spans="19:19" x14ac:dyDescent="0.35">
      <c r="S118" s="49"/>
    </row>
    <row r="119" spans="19:19" x14ac:dyDescent="0.35">
      <c r="S119" s="49"/>
    </row>
    <row r="120" spans="19:19" x14ac:dyDescent="0.35">
      <c r="S120" s="49"/>
    </row>
    <row r="121" spans="19:19" x14ac:dyDescent="0.35">
      <c r="S121" s="49"/>
    </row>
    <row r="122" spans="19:19" x14ac:dyDescent="0.35">
      <c r="S122" s="49"/>
    </row>
    <row r="123" spans="19:19" x14ac:dyDescent="0.35">
      <c r="S123" s="49"/>
    </row>
    <row r="124" spans="19:19" x14ac:dyDescent="0.35">
      <c r="S124" s="49"/>
    </row>
    <row r="125" spans="19:19" x14ac:dyDescent="0.35">
      <c r="S125" s="49"/>
    </row>
    <row r="126" spans="19:19" x14ac:dyDescent="0.35">
      <c r="S126" s="49"/>
    </row>
    <row r="127" spans="19:19" x14ac:dyDescent="0.35">
      <c r="S127" s="49"/>
    </row>
    <row r="128" spans="19:19" x14ac:dyDescent="0.35">
      <c r="S128" s="49"/>
    </row>
    <row r="129" spans="19:19" x14ac:dyDescent="0.35">
      <c r="S129" s="49"/>
    </row>
    <row r="130" spans="19:19" x14ac:dyDescent="0.35">
      <c r="S130" s="49"/>
    </row>
    <row r="131" spans="19:19" x14ac:dyDescent="0.35">
      <c r="S131" s="49"/>
    </row>
    <row r="132" spans="19:19" x14ac:dyDescent="0.35">
      <c r="S132" s="49"/>
    </row>
    <row r="133" spans="19:19" x14ac:dyDescent="0.35">
      <c r="S133" s="49"/>
    </row>
    <row r="134" spans="19:19" x14ac:dyDescent="0.35">
      <c r="S134" s="49"/>
    </row>
    <row r="135" spans="19:19" x14ac:dyDescent="0.35">
      <c r="S135" s="49"/>
    </row>
    <row r="136" spans="19:19" x14ac:dyDescent="0.35">
      <c r="S136" s="49"/>
    </row>
    <row r="137" spans="19:19" x14ac:dyDescent="0.35">
      <c r="S137" s="49"/>
    </row>
    <row r="138" spans="19:19" x14ac:dyDescent="0.35">
      <c r="S138" s="49"/>
    </row>
    <row r="139" spans="19:19" x14ac:dyDescent="0.35">
      <c r="S139" s="49"/>
    </row>
    <row r="140" spans="19:19" x14ac:dyDescent="0.35">
      <c r="S140" s="49"/>
    </row>
    <row r="141" spans="19:19" x14ac:dyDescent="0.35">
      <c r="S141" s="49"/>
    </row>
    <row r="142" spans="19:19" x14ac:dyDescent="0.35">
      <c r="S142" s="49"/>
    </row>
    <row r="143" spans="19:19" x14ac:dyDescent="0.35">
      <c r="S143" s="49"/>
    </row>
    <row r="144" spans="19:19" x14ac:dyDescent="0.35">
      <c r="S144" s="49"/>
    </row>
    <row r="145" spans="19:19" x14ac:dyDescent="0.35">
      <c r="S145" s="49"/>
    </row>
    <row r="146" spans="19:19" x14ac:dyDescent="0.35">
      <c r="S146" s="49"/>
    </row>
    <row r="147" spans="19:19" x14ac:dyDescent="0.35">
      <c r="S147" s="49"/>
    </row>
    <row r="148" spans="19:19" x14ac:dyDescent="0.35">
      <c r="S148" s="49"/>
    </row>
    <row r="149" spans="19:19" x14ac:dyDescent="0.35">
      <c r="S149" s="49"/>
    </row>
    <row r="150" spans="19:19" x14ac:dyDescent="0.35">
      <c r="S150" s="49"/>
    </row>
    <row r="151" spans="19:19" x14ac:dyDescent="0.35">
      <c r="S151" s="49"/>
    </row>
    <row r="152" spans="19:19" x14ac:dyDescent="0.35">
      <c r="S152" s="49"/>
    </row>
    <row r="153" spans="19:19" x14ac:dyDescent="0.35">
      <c r="S153" s="49"/>
    </row>
    <row r="154" spans="19:19" x14ac:dyDescent="0.35">
      <c r="S154" s="49"/>
    </row>
    <row r="155" spans="19:19" x14ac:dyDescent="0.35">
      <c r="S155" s="49"/>
    </row>
    <row r="156" spans="19:19" x14ac:dyDescent="0.35">
      <c r="S156" s="49"/>
    </row>
    <row r="157" spans="19:19" x14ac:dyDescent="0.35">
      <c r="S157" s="49"/>
    </row>
    <row r="158" spans="19:19" x14ac:dyDescent="0.35">
      <c r="S158" s="49"/>
    </row>
    <row r="159" spans="19:19" x14ac:dyDescent="0.35">
      <c r="S159" s="49"/>
    </row>
    <row r="160" spans="19:19" x14ac:dyDescent="0.35">
      <c r="S160" s="49"/>
    </row>
    <row r="161" spans="19:19" x14ac:dyDescent="0.35">
      <c r="S161" s="49"/>
    </row>
    <row r="162" spans="19:19" x14ac:dyDescent="0.35">
      <c r="S162" s="49"/>
    </row>
    <row r="163" spans="19:19" x14ac:dyDescent="0.35">
      <c r="S163" s="49"/>
    </row>
    <row r="164" spans="19:19" x14ac:dyDescent="0.35">
      <c r="S164" s="49"/>
    </row>
    <row r="165" spans="19:19" x14ac:dyDescent="0.35">
      <c r="S165" s="49"/>
    </row>
    <row r="166" spans="19:19" x14ac:dyDescent="0.35">
      <c r="S166" s="49"/>
    </row>
    <row r="167" spans="19:19" x14ac:dyDescent="0.35">
      <c r="S167" s="49"/>
    </row>
    <row r="168" spans="19:19" x14ac:dyDescent="0.35">
      <c r="S168" s="49"/>
    </row>
    <row r="169" spans="19:19" x14ac:dyDescent="0.35">
      <c r="S169" s="49"/>
    </row>
    <row r="170" spans="19:19" x14ac:dyDescent="0.35">
      <c r="S170" s="49"/>
    </row>
    <row r="171" spans="19:19" x14ac:dyDescent="0.35">
      <c r="S171" s="49"/>
    </row>
    <row r="172" spans="19:19" x14ac:dyDescent="0.35">
      <c r="S172" s="49"/>
    </row>
    <row r="173" spans="19:19" x14ac:dyDescent="0.35">
      <c r="S173" s="49"/>
    </row>
    <row r="174" spans="19:19" x14ac:dyDescent="0.35">
      <c r="S174" s="49"/>
    </row>
    <row r="175" spans="19:19" x14ac:dyDescent="0.35">
      <c r="S175" s="49"/>
    </row>
    <row r="176" spans="19:19" x14ac:dyDescent="0.35">
      <c r="S176" s="49"/>
    </row>
    <row r="177" spans="19:19" x14ac:dyDescent="0.35">
      <c r="S177" s="49"/>
    </row>
    <row r="178" spans="19:19" x14ac:dyDescent="0.35">
      <c r="S178" s="49"/>
    </row>
    <row r="179" spans="19:19" x14ac:dyDescent="0.35">
      <c r="S179" s="49"/>
    </row>
    <row r="180" spans="19:19" x14ac:dyDescent="0.35">
      <c r="S180" s="49"/>
    </row>
    <row r="181" spans="19:19" x14ac:dyDescent="0.35">
      <c r="S181" s="49"/>
    </row>
    <row r="182" spans="19:19" x14ac:dyDescent="0.35">
      <c r="S182" s="49"/>
    </row>
    <row r="183" spans="19:19" x14ac:dyDescent="0.35">
      <c r="S183" s="49"/>
    </row>
    <row r="184" spans="19:19" x14ac:dyDescent="0.35">
      <c r="S184" s="49"/>
    </row>
    <row r="185" spans="19:19" x14ac:dyDescent="0.35">
      <c r="S185" s="49"/>
    </row>
    <row r="186" spans="19:19" x14ac:dyDescent="0.35">
      <c r="S186" s="49"/>
    </row>
    <row r="187" spans="19:19" x14ac:dyDescent="0.35">
      <c r="S187" s="49"/>
    </row>
    <row r="188" spans="19:19" x14ac:dyDescent="0.35">
      <c r="S188" s="49"/>
    </row>
    <row r="189" spans="19:19" x14ac:dyDescent="0.35">
      <c r="S189" s="49"/>
    </row>
    <row r="190" spans="19:19" x14ac:dyDescent="0.35">
      <c r="S190" s="49"/>
    </row>
    <row r="191" spans="19:19" x14ac:dyDescent="0.35">
      <c r="S191" s="49"/>
    </row>
    <row r="192" spans="19:19" x14ac:dyDescent="0.35">
      <c r="S192" s="49"/>
    </row>
    <row r="193" spans="19:19" x14ac:dyDescent="0.35">
      <c r="S193" s="49"/>
    </row>
    <row r="194" spans="19:19" x14ac:dyDescent="0.35">
      <c r="S194" s="49"/>
    </row>
    <row r="195" spans="19:19" x14ac:dyDescent="0.35">
      <c r="S195" s="49"/>
    </row>
    <row r="196" spans="19:19" x14ac:dyDescent="0.35">
      <c r="S196" s="49"/>
    </row>
    <row r="197" spans="19:19" x14ac:dyDescent="0.35">
      <c r="S197" s="49"/>
    </row>
    <row r="198" spans="19:19" x14ac:dyDescent="0.35">
      <c r="S198" s="49"/>
    </row>
    <row r="199" spans="19:19" x14ac:dyDescent="0.35">
      <c r="S199" s="49"/>
    </row>
    <row r="200" spans="19:19" x14ac:dyDescent="0.35">
      <c r="S200" s="49"/>
    </row>
    <row r="201" spans="19:19" x14ac:dyDescent="0.35">
      <c r="S201" s="49"/>
    </row>
    <row r="202" spans="19:19" x14ac:dyDescent="0.35">
      <c r="S202" s="49"/>
    </row>
    <row r="203" spans="19:19" x14ac:dyDescent="0.35">
      <c r="S203" s="49"/>
    </row>
    <row r="204" spans="19:19" x14ac:dyDescent="0.35">
      <c r="S204" s="49"/>
    </row>
    <row r="205" spans="19:19" x14ac:dyDescent="0.35">
      <c r="S205" s="49"/>
    </row>
    <row r="206" spans="19:19" x14ac:dyDescent="0.35">
      <c r="S206" s="49"/>
    </row>
    <row r="207" spans="19:19" x14ac:dyDescent="0.35">
      <c r="S207" s="49"/>
    </row>
    <row r="208" spans="19:19" x14ac:dyDescent="0.35">
      <c r="S208" s="49"/>
    </row>
    <row r="209" spans="19:19" x14ac:dyDescent="0.35">
      <c r="S209" s="49"/>
    </row>
    <row r="210" spans="19:19" x14ac:dyDescent="0.35">
      <c r="S210" s="49"/>
    </row>
    <row r="211" spans="19:19" x14ac:dyDescent="0.35">
      <c r="S211" s="49"/>
    </row>
    <row r="212" spans="19:19" x14ac:dyDescent="0.35">
      <c r="S212" s="49"/>
    </row>
    <row r="213" spans="19:19" x14ac:dyDescent="0.35">
      <c r="S213" s="49"/>
    </row>
    <row r="214" spans="19:19" x14ac:dyDescent="0.35">
      <c r="S214" s="49"/>
    </row>
    <row r="215" spans="19:19" x14ac:dyDescent="0.35">
      <c r="S215" s="49"/>
    </row>
    <row r="216" spans="19:19" x14ac:dyDescent="0.35">
      <c r="S216" s="49"/>
    </row>
    <row r="217" spans="19:19" x14ac:dyDescent="0.35">
      <c r="S217" s="49"/>
    </row>
    <row r="218" spans="19:19" x14ac:dyDescent="0.35">
      <c r="S218" s="49"/>
    </row>
    <row r="219" spans="19:19" x14ac:dyDescent="0.35">
      <c r="S219" s="49"/>
    </row>
    <row r="220" spans="19:19" x14ac:dyDescent="0.35">
      <c r="S220" s="49"/>
    </row>
    <row r="221" spans="19:19" x14ac:dyDescent="0.35">
      <c r="S221" s="49"/>
    </row>
    <row r="222" spans="19:19" x14ac:dyDescent="0.35">
      <c r="S222" s="49"/>
    </row>
    <row r="223" spans="19:19" x14ac:dyDescent="0.35">
      <c r="S223" s="49"/>
    </row>
    <row r="224" spans="19:19" x14ac:dyDescent="0.35">
      <c r="S224" s="49"/>
    </row>
    <row r="225" spans="19:19" x14ac:dyDescent="0.35">
      <c r="S225" s="49"/>
    </row>
    <row r="226" spans="19:19" x14ac:dyDescent="0.35">
      <c r="S226" s="49"/>
    </row>
    <row r="227" spans="19:19" x14ac:dyDescent="0.35">
      <c r="S227" s="49"/>
    </row>
    <row r="228" spans="19:19" x14ac:dyDescent="0.35">
      <c r="S228" s="49"/>
    </row>
    <row r="229" spans="19:19" x14ac:dyDescent="0.35">
      <c r="S229" s="49"/>
    </row>
    <row r="230" spans="19:19" x14ac:dyDescent="0.35">
      <c r="S230" s="49"/>
    </row>
    <row r="231" spans="19:19" x14ac:dyDescent="0.35">
      <c r="S231" s="49"/>
    </row>
    <row r="232" spans="19:19" x14ac:dyDescent="0.35">
      <c r="S232" s="49"/>
    </row>
    <row r="233" spans="19:19" x14ac:dyDescent="0.35">
      <c r="S233" s="49"/>
    </row>
    <row r="234" spans="19:19" x14ac:dyDescent="0.35">
      <c r="S234" s="49"/>
    </row>
    <row r="235" spans="19:19" x14ac:dyDescent="0.35">
      <c r="S235" s="49"/>
    </row>
    <row r="236" spans="19:19" x14ac:dyDescent="0.35">
      <c r="S236" s="49"/>
    </row>
    <row r="237" spans="19:19" x14ac:dyDescent="0.35">
      <c r="S237" s="49"/>
    </row>
    <row r="238" spans="19:19" x14ac:dyDescent="0.35">
      <c r="S238" s="49"/>
    </row>
    <row r="239" spans="19:19" x14ac:dyDescent="0.35">
      <c r="S239" s="49"/>
    </row>
    <row r="240" spans="19:19" x14ac:dyDescent="0.35">
      <c r="S240" s="49"/>
    </row>
    <row r="241" spans="19:19" x14ac:dyDescent="0.35">
      <c r="S241" s="49"/>
    </row>
    <row r="242" spans="19:19" x14ac:dyDescent="0.35">
      <c r="S242" s="49"/>
    </row>
    <row r="243" spans="19:19" x14ac:dyDescent="0.35">
      <c r="S243" s="49"/>
    </row>
    <row r="244" spans="19:19" x14ac:dyDescent="0.35">
      <c r="S244" s="49"/>
    </row>
    <row r="245" spans="19:19" x14ac:dyDescent="0.35">
      <c r="S245" s="49"/>
    </row>
    <row r="246" spans="19:19" x14ac:dyDescent="0.35">
      <c r="S246" s="49"/>
    </row>
    <row r="247" spans="19:19" x14ac:dyDescent="0.35">
      <c r="S247" s="49"/>
    </row>
    <row r="248" spans="19:19" x14ac:dyDescent="0.35">
      <c r="S248" s="49"/>
    </row>
    <row r="249" spans="19:19" x14ac:dyDescent="0.35">
      <c r="S249" s="49"/>
    </row>
    <row r="250" spans="19:19" x14ac:dyDescent="0.35">
      <c r="S250" s="49"/>
    </row>
    <row r="251" spans="19:19" x14ac:dyDescent="0.35">
      <c r="S251" s="49"/>
    </row>
    <row r="252" spans="19:19" x14ac:dyDescent="0.35">
      <c r="S252" s="49"/>
    </row>
    <row r="253" spans="19:19" x14ac:dyDescent="0.35">
      <c r="S253" s="49"/>
    </row>
    <row r="254" spans="19:19" x14ac:dyDescent="0.35">
      <c r="S254" s="49"/>
    </row>
    <row r="255" spans="19:19" x14ac:dyDescent="0.35">
      <c r="S255" s="49"/>
    </row>
    <row r="256" spans="19:19" x14ac:dyDescent="0.35">
      <c r="S256" s="49"/>
    </row>
    <row r="257" spans="19:19" x14ac:dyDescent="0.35">
      <c r="S257" s="49"/>
    </row>
    <row r="258" spans="19:19" x14ac:dyDescent="0.35">
      <c r="S258" s="49"/>
    </row>
    <row r="259" spans="19:19" x14ac:dyDescent="0.35">
      <c r="S259" s="49"/>
    </row>
    <row r="260" spans="19:19" x14ac:dyDescent="0.35">
      <c r="S260" s="49"/>
    </row>
    <row r="261" spans="19:19" x14ac:dyDescent="0.35">
      <c r="S261" s="49"/>
    </row>
    <row r="262" spans="19:19" x14ac:dyDescent="0.35">
      <c r="S262" s="49"/>
    </row>
    <row r="263" spans="19:19" x14ac:dyDescent="0.35">
      <c r="S263" s="49"/>
    </row>
    <row r="264" spans="19:19" x14ac:dyDescent="0.35">
      <c r="S264" s="49"/>
    </row>
    <row r="265" spans="19:19" x14ac:dyDescent="0.35">
      <c r="S265" s="49"/>
    </row>
    <row r="266" spans="19:19" x14ac:dyDescent="0.35">
      <c r="S266" s="49"/>
    </row>
    <row r="267" spans="19:19" x14ac:dyDescent="0.35">
      <c r="S267" s="49"/>
    </row>
    <row r="268" spans="19:19" x14ac:dyDescent="0.35">
      <c r="S268" s="49"/>
    </row>
    <row r="269" spans="19:19" x14ac:dyDescent="0.35">
      <c r="S269" s="49"/>
    </row>
    <row r="270" spans="19:19" x14ac:dyDescent="0.35">
      <c r="S270" s="49"/>
    </row>
    <row r="271" spans="19:19" x14ac:dyDescent="0.35">
      <c r="S271" s="49"/>
    </row>
    <row r="272" spans="19:19" x14ac:dyDescent="0.35">
      <c r="S272" s="49"/>
    </row>
    <row r="273" spans="19:19" x14ac:dyDescent="0.35">
      <c r="S273" s="49"/>
    </row>
    <row r="274" spans="19:19" x14ac:dyDescent="0.35">
      <c r="S274" s="49"/>
    </row>
    <row r="275" spans="19:19" x14ac:dyDescent="0.35">
      <c r="S275" s="49"/>
    </row>
    <row r="276" spans="19:19" x14ac:dyDescent="0.35">
      <c r="S276" s="49"/>
    </row>
    <row r="277" spans="19:19" x14ac:dyDescent="0.35">
      <c r="S277" s="49"/>
    </row>
    <row r="278" spans="19:19" x14ac:dyDescent="0.35">
      <c r="S278" s="49"/>
    </row>
    <row r="279" spans="19:19" x14ac:dyDescent="0.35">
      <c r="S279" s="49"/>
    </row>
    <row r="280" spans="19:19" x14ac:dyDescent="0.35">
      <c r="S280" s="49"/>
    </row>
    <row r="281" spans="19:19" x14ac:dyDescent="0.35">
      <c r="S281" s="49"/>
    </row>
    <row r="282" spans="19:19" x14ac:dyDescent="0.35">
      <c r="S282" s="49"/>
    </row>
    <row r="283" spans="19:19" x14ac:dyDescent="0.35">
      <c r="S283" s="49"/>
    </row>
    <row r="284" spans="19:19" x14ac:dyDescent="0.35">
      <c r="S284" s="49"/>
    </row>
    <row r="285" spans="19:19" x14ac:dyDescent="0.35">
      <c r="S285" s="49"/>
    </row>
    <row r="286" spans="19:19" x14ac:dyDescent="0.35">
      <c r="S286" s="49"/>
    </row>
    <row r="287" spans="19:19" x14ac:dyDescent="0.35">
      <c r="S287" s="49"/>
    </row>
    <row r="288" spans="19:19" x14ac:dyDescent="0.35">
      <c r="S288" s="49"/>
    </row>
    <row r="289" spans="19:19" x14ac:dyDescent="0.35">
      <c r="S289" s="49"/>
    </row>
    <row r="290" spans="19:19" x14ac:dyDescent="0.35">
      <c r="S290" s="49"/>
    </row>
    <row r="291" spans="19:19" x14ac:dyDescent="0.35">
      <c r="S291" s="49"/>
    </row>
    <row r="292" spans="19:19" x14ac:dyDescent="0.35">
      <c r="S292" s="49"/>
    </row>
    <row r="293" spans="19:19" x14ac:dyDescent="0.35">
      <c r="S293" s="49"/>
    </row>
    <row r="294" spans="19:19" x14ac:dyDescent="0.35">
      <c r="S294" s="49"/>
    </row>
    <row r="295" spans="19:19" x14ac:dyDescent="0.35">
      <c r="S295" s="49"/>
    </row>
    <row r="296" spans="19:19" x14ac:dyDescent="0.35">
      <c r="S296" s="49"/>
    </row>
    <row r="297" spans="19:19" x14ac:dyDescent="0.35">
      <c r="S297" s="49"/>
    </row>
    <row r="298" spans="19:19" x14ac:dyDescent="0.35">
      <c r="S298" s="49"/>
    </row>
    <row r="299" spans="19:19" x14ac:dyDescent="0.35">
      <c r="S299" s="49"/>
    </row>
    <row r="300" spans="19:19" x14ac:dyDescent="0.35">
      <c r="S300" s="49"/>
    </row>
    <row r="301" spans="19:19" x14ac:dyDescent="0.35">
      <c r="S301" s="49"/>
    </row>
    <row r="302" spans="19:19" x14ac:dyDescent="0.35">
      <c r="S302" s="49"/>
    </row>
    <row r="303" spans="19:19" x14ac:dyDescent="0.35">
      <c r="S303" s="49"/>
    </row>
    <row r="304" spans="19:19" x14ac:dyDescent="0.35">
      <c r="S304" s="49"/>
    </row>
    <row r="305" spans="19:19" x14ac:dyDescent="0.35">
      <c r="S305" s="49"/>
    </row>
    <row r="306" spans="19:19" x14ac:dyDescent="0.35">
      <c r="S306" s="49"/>
    </row>
    <row r="307" spans="19:19" x14ac:dyDescent="0.35">
      <c r="S307" s="49"/>
    </row>
    <row r="308" spans="19:19" x14ac:dyDescent="0.35">
      <c r="S308" s="49"/>
    </row>
    <row r="309" spans="19:19" x14ac:dyDescent="0.35">
      <c r="S309" s="49"/>
    </row>
    <row r="310" spans="19:19" x14ac:dyDescent="0.35">
      <c r="S310" s="49"/>
    </row>
    <row r="311" spans="19:19" x14ac:dyDescent="0.35">
      <c r="S311" s="49"/>
    </row>
    <row r="312" spans="19:19" x14ac:dyDescent="0.35">
      <c r="S312" s="49"/>
    </row>
    <row r="313" spans="19:19" x14ac:dyDescent="0.35">
      <c r="S313" s="49"/>
    </row>
    <row r="314" spans="19:19" x14ac:dyDescent="0.35">
      <c r="S314" s="49"/>
    </row>
    <row r="315" spans="19:19" x14ac:dyDescent="0.35">
      <c r="S315" s="49"/>
    </row>
    <row r="316" spans="19:19" x14ac:dyDescent="0.35">
      <c r="S316" s="49"/>
    </row>
    <row r="317" spans="19:19" x14ac:dyDescent="0.35">
      <c r="S317" s="49"/>
    </row>
    <row r="318" spans="19:19" x14ac:dyDescent="0.35">
      <c r="S318" s="49"/>
    </row>
    <row r="319" spans="19:19" x14ac:dyDescent="0.35">
      <c r="S319" s="49"/>
    </row>
    <row r="320" spans="19:19" x14ac:dyDescent="0.35">
      <c r="S320" s="49"/>
    </row>
    <row r="321" spans="19:19" x14ac:dyDescent="0.35">
      <c r="S321" s="49"/>
    </row>
    <row r="322" spans="19:19" x14ac:dyDescent="0.35">
      <c r="S322" s="49"/>
    </row>
    <row r="323" spans="19:19" x14ac:dyDescent="0.35">
      <c r="S323" s="49"/>
    </row>
    <row r="324" spans="19:19" x14ac:dyDescent="0.35">
      <c r="S324" s="49"/>
    </row>
    <row r="325" spans="19:19" x14ac:dyDescent="0.35">
      <c r="S325" s="49"/>
    </row>
    <row r="326" spans="19:19" x14ac:dyDescent="0.35">
      <c r="S326" s="49"/>
    </row>
    <row r="327" spans="19:19" x14ac:dyDescent="0.35">
      <c r="S327" s="49"/>
    </row>
    <row r="328" spans="19:19" x14ac:dyDescent="0.35">
      <c r="S328" s="49"/>
    </row>
    <row r="329" spans="19:19" x14ac:dyDescent="0.35">
      <c r="S329" s="49"/>
    </row>
    <row r="330" spans="19:19" x14ac:dyDescent="0.35">
      <c r="S330" s="49"/>
    </row>
    <row r="331" spans="19:19" x14ac:dyDescent="0.35">
      <c r="S331" s="49"/>
    </row>
    <row r="332" spans="19:19" x14ac:dyDescent="0.35">
      <c r="S332" s="49"/>
    </row>
    <row r="333" spans="19:19" x14ac:dyDescent="0.35">
      <c r="S333" s="49"/>
    </row>
    <row r="334" spans="19:19" x14ac:dyDescent="0.35">
      <c r="S334" s="49"/>
    </row>
    <row r="335" spans="19:19" x14ac:dyDescent="0.35">
      <c r="S335" s="49"/>
    </row>
    <row r="336" spans="19:19" x14ac:dyDescent="0.35">
      <c r="S336" s="49"/>
    </row>
    <row r="337" spans="19:19" x14ac:dyDescent="0.35">
      <c r="S337" s="49"/>
    </row>
    <row r="338" spans="19:19" x14ac:dyDescent="0.35">
      <c r="S338" s="49"/>
    </row>
    <row r="339" spans="19:19" x14ac:dyDescent="0.35">
      <c r="S339" s="49"/>
    </row>
    <row r="340" spans="19:19" x14ac:dyDescent="0.35">
      <c r="S340" s="49"/>
    </row>
    <row r="341" spans="19:19" x14ac:dyDescent="0.35">
      <c r="S341" s="49"/>
    </row>
    <row r="342" spans="19:19" x14ac:dyDescent="0.35">
      <c r="S342" s="49"/>
    </row>
    <row r="343" spans="19:19" x14ac:dyDescent="0.35">
      <c r="S343" s="49"/>
    </row>
    <row r="344" spans="19:19" x14ac:dyDescent="0.35">
      <c r="S344" s="49"/>
    </row>
    <row r="345" spans="19:19" x14ac:dyDescent="0.35">
      <c r="S345" s="49"/>
    </row>
    <row r="346" spans="19:19" x14ac:dyDescent="0.35">
      <c r="S346" s="49"/>
    </row>
    <row r="347" spans="19:19" x14ac:dyDescent="0.35">
      <c r="S347" s="49"/>
    </row>
    <row r="348" spans="19:19" x14ac:dyDescent="0.35">
      <c r="S348" s="49"/>
    </row>
    <row r="349" spans="19:19" x14ac:dyDescent="0.35">
      <c r="S349" s="49"/>
    </row>
    <row r="350" spans="19:19" x14ac:dyDescent="0.35">
      <c r="S350" s="49"/>
    </row>
    <row r="351" spans="19:19" x14ac:dyDescent="0.35">
      <c r="S351" s="49"/>
    </row>
    <row r="352" spans="19:19" x14ac:dyDescent="0.35">
      <c r="S352" s="49"/>
    </row>
    <row r="353" spans="19:19" x14ac:dyDescent="0.35">
      <c r="S353" s="49"/>
    </row>
    <row r="354" spans="19:19" x14ac:dyDescent="0.35">
      <c r="S354" s="49"/>
    </row>
    <row r="355" spans="19:19" x14ac:dyDescent="0.35">
      <c r="S355" s="49"/>
    </row>
    <row r="356" spans="19:19" x14ac:dyDescent="0.35">
      <c r="S356" s="49"/>
    </row>
    <row r="357" spans="19:19" x14ac:dyDescent="0.35">
      <c r="S357" s="49"/>
    </row>
    <row r="358" spans="19:19" x14ac:dyDescent="0.35">
      <c r="S358" s="49"/>
    </row>
    <row r="359" spans="19:19" x14ac:dyDescent="0.35">
      <c r="S359" s="49"/>
    </row>
    <row r="360" spans="19:19" x14ac:dyDescent="0.35">
      <c r="S360" s="49"/>
    </row>
    <row r="361" spans="19:19" x14ac:dyDescent="0.35">
      <c r="S361" s="49"/>
    </row>
    <row r="362" spans="19:19" x14ac:dyDescent="0.35">
      <c r="S362" s="49"/>
    </row>
    <row r="363" spans="19:19" x14ac:dyDescent="0.35">
      <c r="S363" s="49"/>
    </row>
    <row r="364" spans="19:19" x14ac:dyDescent="0.35">
      <c r="S364" s="49"/>
    </row>
    <row r="365" spans="19:19" x14ac:dyDescent="0.35">
      <c r="S365" s="49"/>
    </row>
    <row r="366" spans="19:19" x14ac:dyDescent="0.35">
      <c r="S366" s="49"/>
    </row>
    <row r="367" spans="19:19" x14ac:dyDescent="0.35">
      <c r="S367" s="49"/>
    </row>
    <row r="368" spans="19:19" x14ac:dyDescent="0.35">
      <c r="S368" s="49"/>
    </row>
    <row r="369" spans="19:19" x14ac:dyDescent="0.35">
      <c r="S369" s="49"/>
    </row>
    <row r="370" spans="19:19" x14ac:dyDescent="0.35">
      <c r="S370" s="49"/>
    </row>
    <row r="371" spans="19:19" x14ac:dyDescent="0.35">
      <c r="S371" s="49"/>
    </row>
    <row r="372" spans="19:19" x14ac:dyDescent="0.35">
      <c r="S372" s="49"/>
    </row>
    <row r="373" spans="19:19" x14ac:dyDescent="0.35">
      <c r="S373" s="49"/>
    </row>
    <row r="374" spans="19:19" x14ac:dyDescent="0.35">
      <c r="S374" s="49"/>
    </row>
    <row r="375" spans="19:19" x14ac:dyDescent="0.35">
      <c r="S375" s="49"/>
    </row>
    <row r="376" spans="19:19" x14ac:dyDescent="0.35">
      <c r="S376" s="49"/>
    </row>
    <row r="377" spans="19:19" x14ac:dyDescent="0.35">
      <c r="S377" s="49"/>
    </row>
    <row r="378" spans="19:19" x14ac:dyDescent="0.35">
      <c r="S378" s="49"/>
    </row>
    <row r="379" spans="19:19" x14ac:dyDescent="0.35">
      <c r="S379" s="49"/>
    </row>
    <row r="380" spans="19:19" x14ac:dyDescent="0.35">
      <c r="S380" s="49"/>
    </row>
    <row r="381" spans="19:19" x14ac:dyDescent="0.35">
      <c r="S381" s="49"/>
    </row>
    <row r="382" spans="19:19" x14ac:dyDescent="0.35">
      <c r="S382" s="49"/>
    </row>
    <row r="383" spans="19:19" x14ac:dyDescent="0.35">
      <c r="S383" s="49"/>
    </row>
    <row r="384" spans="19:19" x14ac:dyDescent="0.35">
      <c r="S384" s="49"/>
    </row>
    <row r="385" spans="19:19" x14ac:dyDescent="0.35">
      <c r="S385" s="49"/>
    </row>
    <row r="386" spans="19:19" x14ac:dyDescent="0.35">
      <c r="S386" s="49"/>
    </row>
    <row r="387" spans="19:19" x14ac:dyDescent="0.35">
      <c r="S387" s="49"/>
    </row>
    <row r="388" spans="19:19" x14ac:dyDescent="0.35">
      <c r="S388" s="49"/>
    </row>
    <row r="389" spans="19:19" x14ac:dyDescent="0.35">
      <c r="S389" s="49"/>
    </row>
    <row r="390" spans="19:19" x14ac:dyDescent="0.35">
      <c r="S390" s="49"/>
    </row>
    <row r="391" spans="19:19" x14ac:dyDescent="0.35">
      <c r="S391" s="49"/>
    </row>
    <row r="392" spans="19:19" x14ac:dyDescent="0.35">
      <c r="S392" s="49"/>
    </row>
    <row r="393" spans="19:19" x14ac:dyDescent="0.35">
      <c r="S393" s="49"/>
    </row>
    <row r="394" spans="19:19" x14ac:dyDescent="0.35">
      <c r="S394" s="49"/>
    </row>
    <row r="395" spans="19:19" x14ac:dyDescent="0.35">
      <c r="S395" s="49"/>
    </row>
    <row r="396" spans="19:19" x14ac:dyDescent="0.35">
      <c r="S396" s="49"/>
    </row>
    <row r="397" spans="19:19" x14ac:dyDescent="0.35">
      <c r="S397" s="49"/>
    </row>
    <row r="398" spans="19:19" x14ac:dyDescent="0.35">
      <c r="S398" s="49"/>
    </row>
    <row r="399" spans="19:19" x14ac:dyDescent="0.35">
      <c r="S399" s="49"/>
    </row>
    <row r="400" spans="19:19" x14ac:dyDescent="0.35">
      <c r="S400" s="49"/>
    </row>
    <row r="401" spans="19:19" x14ac:dyDescent="0.35">
      <c r="S401" s="49"/>
    </row>
    <row r="402" spans="19:19" x14ac:dyDescent="0.35">
      <c r="S402" s="49"/>
    </row>
    <row r="403" spans="19:19" x14ac:dyDescent="0.35">
      <c r="S403" s="49"/>
    </row>
    <row r="404" spans="19:19" x14ac:dyDescent="0.35">
      <c r="S404" s="49"/>
    </row>
    <row r="405" spans="19:19" x14ac:dyDescent="0.35">
      <c r="S405" s="49"/>
    </row>
    <row r="406" spans="19:19" x14ac:dyDescent="0.35">
      <c r="S406" s="49"/>
    </row>
    <row r="407" spans="19:19" x14ac:dyDescent="0.35">
      <c r="S407" s="49"/>
    </row>
    <row r="408" spans="19:19" x14ac:dyDescent="0.35">
      <c r="S408" s="49"/>
    </row>
    <row r="409" spans="19:19" x14ac:dyDescent="0.35">
      <c r="S409" s="49"/>
    </row>
    <row r="410" spans="19:19" x14ac:dyDescent="0.35">
      <c r="S410" s="49"/>
    </row>
    <row r="411" spans="19:19" x14ac:dyDescent="0.35">
      <c r="S411" s="49"/>
    </row>
    <row r="412" spans="19:19" x14ac:dyDescent="0.35">
      <c r="S412" s="49"/>
    </row>
    <row r="413" spans="19:19" x14ac:dyDescent="0.35">
      <c r="S413" s="49"/>
    </row>
    <row r="414" spans="19:19" x14ac:dyDescent="0.35">
      <c r="S414" s="49"/>
    </row>
    <row r="415" spans="19:19" x14ac:dyDescent="0.35">
      <c r="S415" s="49"/>
    </row>
    <row r="416" spans="19:19" x14ac:dyDescent="0.35">
      <c r="S416" s="49"/>
    </row>
    <row r="417" spans="19:19" x14ac:dyDescent="0.35">
      <c r="S417" s="49"/>
    </row>
    <row r="418" spans="19:19" x14ac:dyDescent="0.35">
      <c r="S418" s="49"/>
    </row>
    <row r="419" spans="19:19" x14ac:dyDescent="0.35">
      <c r="S419" s="49"/>
    </row>
    <row r="420" spans="19:19" x14ac:dyDescent="0.35">
      <c r="S420" s="49"/>
    </row>
    <row r="421" spans="19:19" x14ac:dyDescent="0.35">
      <c r="S421" s="49"/>
    </row>
    <row r="422" spans="19:19" x14ac:dyDescent="0.35">
      <c r="S422" s="49"/>
    </row>
    <row r="423" spans="19:19" x14ac:dyDescent="0.35">
      <c r="S423" s="49"/>
    </row>
    <row r="424" spans="19:19" x14ac:dyDescent="0.35">
      <c r="S424" s="49"/>
    </row>
    <row r="425" spans="19:19" x14ac:dyDescent="0.35">
      <c r="S425" s="49"/>
    </row>
    <row r="426" spans="19:19" x14ac:dyDescent="0.35">
      <c r="S426" s="49"/>
    </row>
    <row r="427" spans="19:19" x14ac:dyDescent="0.35">
      <c r="S427" s="49"/>
    </row>
    <row r="428" spans="19:19" x14ac:dyDescent="0.35">
      <c r="S428" s="49"/>
    </row>
    <row r="429" spans="19:19" x14ac:dyDescent="0.35">
      <c r="S429" s="49"/>
    </row>
    <row r="430" spans="19:19" x14ac:dyDescent="0.35">
      <c r="S430" s="49"/>
    </row>
    <row r="431" spans="19:19" x14ac:dyDescent="0.35">
      <c r="S431" s="49"/>
    </row>
    <row r="432" spans="19:19" x14ac:dyDescent="0.35">
      <c r="S432" s="49"/>
    </row>
    <row r="433" spans="19:19" x14ac:dyDescent="0.35">
      <c r="S433" s="49"/>
    </row>
    <row r="434" spans="19:19" x14ac:dyDescent="0.35">
      <c r="S434" s="49"/>
    </row>
    <row r="435" spans="19:19" x14ac:dyDescent="0.35">
      <c r="S435" s="49"/>
    </row>
    <row r="436" spans="19:19" x14ac:dyDescent="0.35">
      <c r="S436" s="49"/>
    </row>
    <row r="437" spans="19:19" x14ac:dyDescent="0.35">
      <c r="S437" s="49"/>
    </row>
    <row r="438" spans="19:19" x14ac:dyDescent="0.35">
      <c r="S438" s="49"/>
    </row>
    <row r="439" spans="19:19" x14ac:dyDescent="0.35">
      <c r="S439" s="49"/>
    </row>
    <row r="440" spans="19:19" x14ac:dyDescent="0.35">
      <c r="S440" s="49"/>
    </row>
    <row r="441" spans="19:19" x14ac:dyDescent="0.35">
      <c r="S441" s="49"/>
    </row>
    <row r="442" spans="19:19" x14ac:dyDescent="0.35">
      <c r="S442" s="49"/>
    </row>
    <row r="443" spans="19:19" x14ac:dyDescent="0.35">
      <c r="S443" s="49"/>
    </row>
    <row r="444" spans="19:19" x14ac:dyDescent="0.35">
      <c r="S444" s="49"/>
    </row>
    <row r="445" spans="19:19" x14ac:dyDescent="0.35">
      <c r="S445" s="49"/>
    </row>
    <row r="446" spans="19:19" x14ac:dyDescent="0.35">
      <c r="S446" s="49"/>
    </row>
    <row r="447" spans="19:19" x14ac:dyDescent="0.35">
      <c r="S447" s="49"/>
    </row>
    <row r="448" spans="19:19" x14ac:dyDescent="0.35">
      <c r="S448" s="49"/>
    </row>
    <row r="449" spans="19:19" x14ac:dyDescent="0.35">
      <c r="S449" s="49"/>
    </row>
    <row r="450" spans="19:19" x14ac:dyDescent="0.35">
      <c r="S450" s="49"/>
    </row>
    <row r="451" spans="19:19" x14ac:dyDescent="0.35">
      <c r="S451" s="49"/>
    </row>
    <row r="452" spans="19:19" x14ac:dyDescent="0.35">
      <c r="S452" s="49"/>
    </row>
    <row r="453" spans="19:19" x14ac:dyDescent="0.35">
      <c r="S453" s="49"/>
    </row>
    <row r="454" spans="19:19" x14ac:dyDescent="0.35">
      <c r="S454" s="49"/>
    </row>
    <row r="455" spans="19:19" x14ac:dyDescent="0.35">
      <c r="S455" s="49"/>
    </row>
    <row r="456" spans="19:19" x14ac:dyDescent="0.35">
      <c r="S456" s="49"/>
    </row>
    <row r="457" spans="19:19" x14ac:dyDescent="0.35">
      <c r="S457" s="49"/>
    </row>
    <row r="458" spans="19:19" x14ac:dyDescent="0.35">
      <c r="S458" s="49"/>
    </row>
    <row r="459" spans="19:19" x14ac:dyDescent="0.35">
      <c r="S459" s="49"/>
    </row>
    <row r="460" spans="19:19" x14ac:dyDescent="0.35">
      <c r="S460" s="49"/>
    </row>
    <row r="461" spans="19:19" x14ac:dyDescent="0.35">
      <c r="S461" s="49"/>
    </row>
    <row r="462" spans="19:19" x14ac:dyDescent="0.35">
      <c r="S462" s="49"/>
    </row>
    <row r="463" spans="19:19" x14ac:dyDescent="0.35">
      <c r="S463" s="49"/>
    </row>
    <row r="464" spans="19:19" x14ac:dyDescent="0.35">
      <c r="S464" s="49"/>
    </row>
    <row r="465" spans="19:19" x14ac:dyDescent="0.35">
      <c r="S465" s="49"/>
    </row>
    <row r="466" spans="19:19" x14ac:dyDescent="0.35">
      <c r="S466" s="49"/>
    </row>
    <row r="467" spans="19:19" x14ac:dyDescent="0.35">
      <c r="S467" s="49"/>
    </row>
    <row r="468" spans="19:19" x14ac:dyDescent="0.35">
      <c r="S468" s="49"/>
    </row>
    <row r="469" spans="19:19" x14ac:dyDescent="0.35">
      <c r="S469" s="49"/>
    </row>
    <row r="470" spans="19:19" x14ac:dyDescent="0.35">
      <c r="S470" s="49"/>
    </row>
    <row r="471" spans="19:19" x14ac:dyDescent="0.35">
      <c r="S471" s="49"/>
    </row>
    <row r="472" spans="19:19" x14ac:dyDescent="0.35">
      <c r="S472" s="49"/>
    </row>
    <row r="473" spans="19:19" x14ac:dyDescent="0.35">
      <c r="S473" s="49"/>
    </row>
    <row r="474" spans="19:19" x14ac:dyDescent="0.35">
      <c r="S474" s="49"/>
    </row>
    <row r="475" spans="19:19" x14ac:dyDescent="0.35">
      <c r="S475" s="49"/>
    </row>
    <row r="476" spans="19:19" x14ac:dyDescent="0.35">
      <c r="S476" s="49"/>
    </row>
    <row r="477" spans="19:19" x14ac:dyDescent="0.35">
      <c r="S477" s="49"/>
    </row>
    <row r="478" spans="19:19" x14ac:dyDescent="0.35">
      <c r="S478" s="49"/>
    </row>
    <row r="479" spans="19:19" x14ac:dyDescent="0.35">
      <c r="S479" s="49"/>
    </row>
    <row r="480" spans="19:19" x14ac:dyDescent="0.35">
      <c r="S480" s="49"/>
    </row>
    <row r="481" spans="19:19" x14ac:dyDescent="0.35">
      <c r="S481" s="49"/>
    </row>
    <row r="482" spans="19:19" x14ac:dyDescent="0.35">
      <c r="S482" s="49"/>
    </row>
    <row r="483" spans="19:19" x14ac:dyDescent="0.35">
      <c r="S483" s="49"/>
    </row>
    <row r="484" spans="19:19" x14ac:dyDescent="0.35">
      <c r="S484" s="49"/>
    </row>
    <row r="485" spans="19:19" x14ac:dyDescent="0.35">
      <c r="S485" s="49"/>
    </row>
    <row r="486" spans="19:19" x14ac:dyDescent="0.35">
      <c r="S486" s="49"/>
    </row>
    <row r="487" spans="19:19" x14ac:dyDescent="0.35">
      <c r="S487" s="49"/>
    </row>
    <row r="488" spans="19:19" x14ac:dyDescent="0.35">
      <c r="S488" s="49"/>
    </row>
    <row r="489" spans="19:19" x14ac:dyDescent="0.35">
      <c r="S489" s="49"/>
    </row>
    <row r="490" spans="19:19" x14ac:dyDescent="0.35">
      <c r="S490" s="49"/>
    </row>
    <row r="491" spans="19:19" x14ac:dyDescent="0.35">
      <c r="S491" s="49"/>
    </row>
    <row r="492" spans="19:19" x14ac:dyDescent="0.35">
      <c r="S492" s="49"/>
    </row>
    <row r="493" spans="19:19" x14ac:dyDescent="0.35">
      <c r="S493" s="49"/>
    </row>
    <row r="494" spans="19:19" x14ac:dyDescent="0.35">
      <c r="S494" s="49"/>
    </row>
    <row r="495" spans="19:19" x14ac:dyDescent="0.35">
      <c r="S495" s="49"/>
    </row>
    <row r="496" spans="19:19" x14ac:dyDescent="0.35">
      <c r="S496" s="49"/>
    </row>
    <row r="497" spans="19:19" x14ac:dyDescent="0.35">
      <c r="S497" s="49"/>
    </row>
    <row r="498" spans="19:19" x14ac:dyDescent="0.35">
      <c r="S498" s="49"/>
    </row>
    <row r="499" spans="19:19" x14ac:dyDescent="0.35">
      <c r="S499" s="49"/>
    </row>
    <row r="500" spans="19:19" x14ac:dyDescent="0.35">
      <c r="S500" s="49"/>
    </row>
    <row r="501" spans="19:19" x14ac:dyDescent="0.35">
      <c r="S501" s="49"/>
    </row>
    <row r="502" spans="19:19" x14ac:dyDescent="0.35">
      <c r="S502" s="49"/>
    </row>
    <row r="503" spans="19:19" x14ac:dyDescent="0.35">
      <c r="S503" s="49"/>
    </row>
    <row r="504" spans="19:19" x14ac:dyDescent="0.35">
      <c r="S504" s="49"/>
    </row>
    <row r="505" spans="19:19" x14ac:dyDescent="0.35">
      <c r="S505" s="49"/>
    </row>
    <row r="506" spans="19:19" x14ac:dyDescent="0.35">
      <c r="S506" s="49"/>
    </row>
    <row r="507" spans="19:19" x14ac:dyDescent="0.35">
      <c r="S507" s="49"/>
    </row>
    <row r="508" spans="19:19" x14ac:dyDescent="0.35">
      <c r="S508" s="49"/>
    </row>
    <row r="509" spans="19:19" x14ac:dyDescent="0.35">
      <c r="S509" s="49"/>
    </row>
    <row r="510" spans="19:19" x14ac:dyDescent="0.35">
      <c r="S510" s="49"/>
    </row>
    <row r="511" spans="19:19" x14ac:dyDescent="0.35">
      <c r="S511" s="49"/>
    </row>
    <row r="512" spans="19:19" x14ac:dyDescent="0.35">
      <c r="S512" s="49"/>
    </row>
    <row r="513" spans="19:19" x14ac:dyDescent="0.35">
      <c r="S513" s="49"/>
    </row>
    <row r="514" spans="19:19" x14ac:dyDescent="0.35">
      <c r="S514" s="49"/>
    </row>
    <row r="515" spans="19:19" x14ac:dyDescent="0.35">
      <c r="S515" s="49"/>
    </row>
    <row r="516" spans="19:19" x14ac:dyDescent="0.35">
      <c r="S516" s="49"/>
    </row>
    <row r="517" spans="19:19" x14ac:dyDescent="0.35">
      <c r="S517" s="49"/>
    </row>
    <row r="518" spans="19:19" x14ac:dyDescent="0.35">
      <c r="S518" s="49"/>
    </row>
    <row r="519" spans="19:19" x14ac:dyDescent="0.35">
      <c r="S519" s="49"/>
    </row>
    <row r="520" spans="19:19" x14ac:dyDescent="0.35">
      <c r="S520" s="49"/>
    </row>
    <row r="521" spans="19:19" x14ac:dyDescent="0.35">
      <c r="S521" s="49"/>
    </row>
    <row r="522" spans="19:19" x14ac:dyDescent="0.35">
      <c r="S522" s="49"/>
    </row>
    <row r="523" spans="19:19" x14ac:dyDescent="0.35">
      <c r="S523" s="49"/>
    </row>
    <row r="524" spans="19:19" x14ac:dyDescent="0.35">
      <c r="S524" s="49"/>
    </row>
    <row r="525" spans="19:19" x14ac:dyDescent="0.35">
      <c r="S525" s="49"/>
    </row>
    <row r="526" spans="19:19" x14ac:dyDescent="0.35">
      <c r="S526" s="49"/>
    </row>
    <row r="527" spans="19:19" x14ac:dyDescent="0.35">
      <c r="S527" s="49"/>
    </row>
    <row r="528" spans="19:19" x14ac:dyDescent="0.35">
      <c r="S528" s="49"/>
    </row>
    <row r="529" spans="19:19" x14ac:dyDescent="0.35">
      <c r="S529" s="49"/>
    </row>
    <row r="530" spans="19:19" x14ac:dyDescent="0.35">
      <c r="S530" s="49"/>
    </row>
    <row r="531" spans="19:19" x14ac:dyDescent="0.35">
      <c r="S531" s="49"/>
    </row>
    <row r="532" spans="19:19" x14ac:dyDescent="0.35">
      <c r="S532" s="49"/>
    </row>
    <row r="533" spans="19:19" x14ac:dyDescent="0.35">
      <c r="S533" s="49"/>
    </row>
    <row r="534" spans="19:19" x14ac:dyDescent="0.35">
      <c r="S534" s="49"/>
    </row>
    <row r="535" spans="19:19" x14ac:dyDescent="0.35">
      <c r="S535" s="49"/>
    </row>
    <row r="536" spans="19:19" x14ac:dyDescent="0.35">
      <c r="S536" s="49"/>
    </row>
    <row r="537" spans="19:19" x14ac:dyDescent="0.35">
      <c r="S537" s="49"/>
    </row>
    <row r="538" spans="19:19" x14ac:dyDescent="0.35">
      <c r="S538" s="49"/>
    </row>
    <row r="539" spans="19:19" x14ac:dyDescent="0.35">
      <c r="S539" s="49"/>
    </row>
    <row r="540" spans="19:19" x14ac:dyDescent="0.35">
      <c r="S540" s="49"/>
    </row>
    <row r="541" spans="19:19" x14ac:dyDescent="0.35">
      <c r="S541" s="49"/>
    </row>
    <row r="542" spans="19:19" x14ac:dyDescent="0.35">
      <c r="S542" s="49"/>
    </row>
    <row r="543" spans="19:19" x14ac:dyDescent="0.35">
      <c r="S543" s="49"/>
    </row>
    <row r="544" spans="19:19" x14ac:dyDescent="0.35">
      <c r="S544" s="49"/>
    </row>
    <row r="545" spans="19:19" x14ac:dyDescent="0.35">
      <c r="S545" s="49"/>
    </row>
    <row r="546" spans="19:19" x14ac:dyDescent="0.35">
      <c r="S546" s="49"/>
    </row>
    <row r="547" spans="19:19" x14ac:dyDescent="0.35">
      <c r="S547" s="49"/>
    </row>
    <row r="548" spans="19:19" x14ac:dyDescent="0.35">
      <c r="S548" s="49"/>
    </row>
    <row r="549" spans="19:19" x14ac:dyDescent="0.35">
      <c r="S549" s="49"/>
    </row>
    <row r="550" spans="19:19" x14ac:dyDescent="0.35">
      <c r="S550" s="49"/>
    </row>
    <row r="551" spans="19:19" x14ac:dyDescent="0.35">
      <c r="S551" s="49"/>
    </row>
    <row r="552" spans="19:19" x14ac:dyDescent="0.35">
      <c r="S552" s="49"/>
    </row>
    <row r="553" spans="19:19" x14ac:dyDescent="0.35">
      <c r="S553" s="49"/>
    </row>
    <row r="554" spans="19:19" x14ac:dyDescent="0.35">
      <c r="S554" s="49"/>
    </row>
    <row r="555" spans="19:19" x14ac:dyDescent="0.35">
      <c r="S555" s="49"/>
    </row>
    <row r="556" spans="19:19" x14ac:dyDescent="0.35">
      <c r="S556" s="49"/>
    </row>
    <row r="557" spans="19:19" x14ac:dyDescent="0.35">
      <c r="S557" s="49"/>
    </row>
    <row r="558" spans="19:19" x14ac:dyDescent="0.35">
      <c r="S558" s="49"/>
    </row>
    <row r="559" spans="19:19" x14ac:dyDescent="0.35">
      <c r="S559" s="49"/>
    </row>
    <row r="560" spans="19:19" x14ac:dyDescent="0.35">
      <c r="S560" s="49"/>
    </row>
    <row r="561" spans="19:19" x14ac:dyDescent="0.35">
      <c r="S561" s="49"/>
    </row>
    <row r="562" spans="19:19" x14ac:dyDescent="0.35">
      <c r="S562" s="49"/>
    </row>
    <row r="563" spans="19:19" x14ac:dyDescent="0.35">
      <c r="S563" s="49"/>
    </row>
    <row r="564" spans="19:19" x14ac:dyDescent="0.35">
      <c r="S564" s="49"/>
    </row>
    <row r="565" spans="19:19" x14ac:dyDescent="0.35">
      <c r="S565" s="49"/>
    </row>
    <row r="566" spans="19:19" x14ac:dyDescent="0.35">
      <c r="S566" s="49"/>
    </row>
    <row r="567" spans="19:19" x14ac:dyDescent="0.35">
      <c r="S567" s="49"/>
    </row>
    <row r="568" spans="19:19" x14ac:dyDescent="0.35">
      <c r="S568" s="49"/>
    </row>
    <row r="569" spans="19:19" x14ac:dyDescent="0.35">
      <c r="S569" s="49"/>
    </row>
    <row r="570" spans="19:19" x14ac:dyDescent="0.35">
      <c r="S570" s="49"/>
    </row>
    <row r="571" spans="19:19" x14ac:dyDescent="0.35">
      <c r="S571" s="49"/>
    </row>
    <row r="572" spans="19:19" x14ac:dyDescent="0.35">
      <c r="S572" s="49"/>
    </row>
    <row r="573" spans="19:19" x14ac:dyDescent="0.35">
      <c r="S573" s="49"/>
    </row>
    <row r="574" spans="19:19" x14ac:dyDescent="0.35">
      <c r="S574" s="49"/>
    </row>
    <row r="575" spans="19:19" x14ac:dyDescent="0.35">
      <c r="S575" s="49"/>
    </row>
    <row r="576" spans="19:19" x14ac:dyDescent="0.35">
      <c r="S576" s="49"/>
    </row>
    <row r="577" spans="19:19" x14ac:dyDescent="0.35">
      <c r="S577" s="49"/>
    </row>
    <row r="578" spans="19:19" x14ac:dyDescent="0.35">
      <c r="S578" s="49"/>
    </row>
    <row r="579" spans="19:19" x14ac:dyDescent="0.35">
      <c r="S579" s="49"/>
    </row>
    <row r="580" spans="19:19" x14ac:dyDescent="0.35">
      <c r="S580" s="49"/>
    </row>
    <row r="581" spans="19:19" x14ac:dyDescent="0.35">
      <c r="S581" s="49"/>
    </row>
    <row r="582" spans="19:19" x14ac:dyDescent="0.35">
      <c r="S582" s="49"/>
    </row>
    <row r="583" spans="19:19" x14ac:dyDescent="0.35">
      <c r="S583" s="49"/>
    </row>
    <row r="584" spans="19:19" x14ac:dyDescent="0.35">
      <c r="S584" s="49"/>
    </row>
    <row r="585" spans="19:19" x14ac:dyDescent="0.35">
      <c r="S585" s="49"/>
    </row>
    <row r="586" spans="19:19" x14ac:dyDescent="0.35">
      <c r="S586" s="49"/>
    </row>
    <row r="587" spans="19:19" x14ac:dyDescent="0.35">
      <c r="S587" s="49"/>
    </row>
    <row r="588" spans="19:19" x14ac:dyDescent="0.35">
      <c r="S588" s="49"/>
    </row>
    <row r="589" spans="19:19" x14ac:dyDescent="0.35">
      <c r="S589" s="49"/>
    </row>
    <row r="590" spans="19:19" x14ac:dyDescent="0.35">
      <c r="S590" s="49"/>
    </row>
    <row r="591" spans="19:19" x14ac:dyDescent="0.35">
      <c r="S591" s="49"/>
    </row>
    <row r="592" spans="19:19" x14ac:dyDescent="0.35">
      <c r="S592" s="49"/>
    </row>
    <row r="593" spans="19:19" x14ac:dyDescent="0.35">
      <c r="S593" s="49"/>
    </row>
    <row r="594" spans="19:19" x14ac:dyDescent="0.35">
      <c r="S594" s="49"/>
    </row>
    <row r="595" spans="19:19" x14ac:dyDescent="0.35">
      <c r="S595" s="49"/>
    </row>
    <row r="596" spans="19:19" x14ac:dyDescent="0.35">
      <c r="S596" s="49"/>
    </row>
    <row r="597" spans="19:19" x14ac:dyDescent="0.35">
      <c r="S597" s="49"/>
    </row>
    <row r="598" spans="19:19" x14ac:dyDescent="0.35">
      <c r="S598" s="49"/>
    </row>
    <row r="599" spans="19:19" x14ac:dyDescent="0.35">
      <c r="S599" s="49"/>
    </row>
    <row r="600" spans="19:19" x14ac:dyDescent="0.35">
      <c r="S600" s="49"/>
    </row>
    <row r="601" spans="19:19" x14ac:dyDescent="0.35">
      <c r="S601" s="49"/>
    </row>
    <row r="602" spans="19:19" x14ac:dyDescent="0.35">
      <c r="S602" s="49"/>
    </row>
    <row r="603" spans="19:19" x14ac:dyDescent="0.35">
      <c r="S603" s="49"/>
    </row>
    <row r="604" spans="19:19" x14ac:dyDescent="0.35">
      <c r="S604" s="49"/>
    </row>
    <row r="605" spans="19:19" x14ac:dyDescent="0.35">
      <c r="S605" s="49"/>
    </row>
    <row r="606" spans="19:19" x14ac:dyDescent="0.35">
      <c r="S606" s="49"/>
    </row>
    <row r="607" spans="19:19" x14ac:dyDescent="0.35">
      <c r="S607" s="49"/>
    </row>
    <row r="608" spans="19:19" x14ac:dyDescent="0.35">
      <c r="S608" s="49"/>
    </row>
    <row r="609" spans="19:19" x14ac:dyDescent="0.35">
      <c r="S609" s="49"/>
    </row>
    <row r="610" spans="19:19" x14ac:dyDescent="0.35">
      <c r="S610" s="49"/>
    </row>
    <row r="611" spans="19:19" x14ac:dyDescent="0.35">
      <c r="S611" s="49"/>
    </row>
    <row r="612" spans="19:19" x14ac:dyDescent="0.35">
      <c r="S612" s="49"/>
    </row>
    <row r="613" spans="19:19" x14ac:dyDescent="0.35">
      <c r="S613" s="49"/>
    </row>
    <row r="614" spans="19:19" x14ac:dyDescent="0.35">
      <c r="S614" s="49"/>
    </row>
    <row r="615" spans="19:19" x14ac:dyDescent="0.35">
      <c r="S615" s="49"/>
    </row>
    <row r="616" spans="19:19" x14ac:dyDescent="0.35">
      <c r="S616" s="49"/>
    </row>
    <row r="617" spans="19:19" x14ac:dyDescent="0.35">
      <c r="S617" s="49"/>
    </row>
    <row r="618" spans="19:19" x14ac:dyDescent="0.35">
      <c r="S618" s="49"/>
    </row>
    <row r="619" spans="19:19" x14ac:dyDescent="0.35">
      <c r="S619" s="49"/>
    </row>
    <row r="620" spans="19:19" x14ac:dyDescent="0.35">
      <c r="S620" s="49"/>
    </row>
    <row r="621" spans="19:19" x14ac:dyDescent="0.35">
      <c r="S621" s="49"/>
    </row>
    <row r="622" spans="19:19" x14ac:dyDescent="0.35">
      <c r="S622" s="49"/>
    </row>
    <row r="623" spans="19:19" x14ac:dyDescent="0.35">
      <c r="S623" s="49"/>
    </row>
    <row r="624" spans="19:19" x14ac:dyDescent="0.35">
      <c r="S624" s="49"/>
    </row>
    <row r="625" spans="19:19" x14ac:dyDescent="0.35">
      <c r="S625" s="49"/>
    </row>
    <row r="626" spans="19:19" x14ac:dyDescent="0.35">
      <c r="S626" s="49"/>
    </row>
    <row r="627" spans="19:19" x14ac:dyDescent="0.35">
      <c r="S627" s="49"/>
    </row>
    <row r="628" spans="19:19" x14ac:dyDescent="0.35">
      <c r="S628" s="49"/>
    </row>
    <row r="629" spans="19:19" x14ac:dyDescent="0.35">
      <c r="S629" s="49"/>
    </row>
    <row r="630" spans="19:19" x14ac:dyDescent="0.35">
      <c r="S630" s="49"/>
    </row>
    <row r="631" spans="19:19" x14ac:dyDescent="0.35">
      <c r="S631" s="49"/>
    </row>
    <row r="632" spans="19:19" x14ac:dyDescent="0.35">
      <c r="S632" s="49"/>
    </row>
    <row r="633" spans="19:19" x14ac:dyDescent="0.35">
      <c r="S633" s="49"/>
    </row>
    <row r="634" spans="19:19" x14ac:dyDescent="0.35">
      <c r="S634" s="49"/>
    </row>
    <row r="635" spans="19:19" x14ac:dyDescent="0.35">
      <c r="S635" s="49"/>
    </row>
    <row r="636" spans="19:19" x14ac:dyDescent="0.35">
      <c r="S636" s="49"/>
    </row>
    <row r="637" spans="19:19" x14ac:dyDescent="0.35">
      <c r="S637" s="49"/>
    </row>
    <row r="638" spans="19:19" x14ac:dyDescent="0.35">
      <c r="S638" s="49"/>
    </row>
    <row r="639" spans="19:19" x14ac:dyDescent="0.35">
      <c r="S639" s="49"/>
    </row>
    <row r="640" spans="19:19" x14ac:dyDescent="0.35">
      <c r="S640" s="49"/>
    </row>
    <row r="641" spans="19:19" x14ac:dyDescent="0.35">
      <c r="S641" s="49"/>
    </row>
    <row r="642" spans="19:19" x14ac:dyDescent="0.35">
      <c r="S642" s="49"/>
    </row>
    <row r="643" spans="19:19" x14ac:dyDescent="0.35">
      <c r="S643" s="49"/>
    </row>
    <row r="644" spans="19:19" x14ac:dyDescent="0.35">
      <c r="S644" s="49"/>
    </row>
    <row r="645" spans="19:19" x14ac:dyDescent="0.35">
      <c r="S645" s="49"/>
    </row>
    <row r="646" spans="19:19" x14ac:dyDescent="0.35">
      <c r="S646" s="49"/>
    </row>
    <row r="647" spans="19:19" x14ac:dyDescent="0.35">
      <c r="S647" s="49"/>
    </row>
    <row r="648" spans="19:19" x14ac:dyDescent="0.35">
      <c r="S648" s="49"/>
    </row>
    <row r="649" spans="19:19" x14ac:dyDescent="0.35">
      <c r="S649" s="49"/>
    </row>
    <row r="650" spans="19:19" x14ac:dyDescent="0.35">
      <c r="S650" s="49"/>
    </row>
    <row r="651" spans="19:19" x14ac:dyDescent="0.35">
      <c r="S651" s="49"/>
    </row>
    <row r="652" spans="19:19" x14ac:dyDescent="0.35">
      <c r="S652" s="49"/>
    </row>
    <row r="653" spans="19:19" x14ac:dyDescent="0.35">
      <c r="S653" s="49"/>
    </row>
    <row r="654" spans="19:19" x14ac:dyDescent="0.35">
      <c r="S654" s="49"/>
    </row>
    <row r="655" spans="19:19" x14ac:dyDescent="0.35">
      <c r="S655" s="49"/>
    </row>
    <row r="656" spans="19:19" x14ac:dyDescent="0.35">
      <c r="S656" s="49"/>
    </row>
    <row r="657" spans="19:19" x14ac:dyDescent="0.35">
      <c r="S657" s="49"/>
    </row>
    <row r="658" spans="19:19" x14ac:dyDescent="0.35">
      <c r="S658" s="49"/>
    </row>
    <row r="659" spans="19:19" x14ac:dyDescent="0.35">
      <c r="S659" s="49"/>
    </row>
    <row r="660" spans="19:19" x14ac:dyDescent="0.35">
      <c r="S660" s="49"/>
    </row>
    <row r="661" spans="19:19" x14ac:dyDescent="0.35">
      <c r="S661" s="49"/>
    </row>
    <row r="662" spans="19:19" x14ac:dyDescent="0.35">
      <c r="S662" s="49"/>
    </row>
    <row r="663" spans="19:19" x14ac:dyDescent="0.35">
      <c r="S663" s="49"/>
    </row>
    <row r="664" spans="19:19" x14ac:dyDescent="0.35">
      <c r="S664" s="49"/>
    </row>
    <row r="665" spans="19:19" x14ac:dyDescent="0.35">
      <c r="S665" s="49"/>
    </row>
    <row r="666" spans="19:19" x14ac:dyDescent="0.35">
      <c r="S666" s="49"/>
    </row>
    <row r="667" spans="19:19" x14ac:dyDescent="0.35">
      <c r="S667" s="49"/>
    </row>
    <row r="668" spans="19:19" x14ac:dyDescent="0.35">
      <c r="S668" s="49"/>
    </row>
    <row r="669" spans="19:19" x14ac:dyDescent="0.35">
      <c r="S669" s="49"/>
    </row>
    <row r="670" spans="19:19" x14ac:dyDescent="0.35">
      <c r="S670" s="49"/>
    </row>
    <row r="671" spans="19:19" x14ac:dyDescent="0.35">
      <c r="S671" s="49"/>
    </row>
  </sheetData>
  <sortState ref="C34:E36">
    <sortCondition descending="1" ref="E34"/>
  </sortState>
  <mergeCells count="6">
    <mergeCell ref="B54:R60"/>
    <mergeCell ref="C3:N3"/>
    <mergeCell ref="D5:E5"/>
    <mergeCell ref="G7:N7"/>
    <mergeCell ref="G20:K20"/>
    <mergeCell ref="G23:N23"/>
  </mergeCells>
  <pageMargins left="0.7" right="0.7" top="0.75" bottom="0.75" header="0.3" footer="0.3"/>
  <pageSetup paperSize="9" scale="49" orientation="landscape" r:id="rId1"/>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2">
    <pageSetUpPr fitToPage="1"/>
  </sheetPr>
  <dimension ref="A1:R668"/>
  <sheetViews>
    <sheetView showGridLines="0" zoomScale="80" zoomScaleNormal="80" workbookViewId="0"/>
  </sheetViews>
  <sheetFormatPr defaultColWidth="9.1796875" defaultRowHeight="15.5" x14ac:dyDescent="0.35"/>
  <cols>
    <col min="1" max="1" width="2.81640625" style="3" customWidth="1"/>
    <col min="2" max="2" width="3.81640625" style="3" customWidth="1"/>
    <col min="3" max="3" width="58.7265625" style="3" bestFit="1" customWidth="1"/>
    <col min="4" max="4" width="31" style="3" customWidth="1"/>
    <col min="5" max="5" width="16.7265625" style="3" customWidth="1"/>
    <col min="6" max="6" width="9.1796875" style="3"/>
    <col min="7" max="7" width="12" style="3" customWidth="1"/>
    <col min="8" max="8" width="12.1796875" style="3" customWidth="1"/>
    <col min="9" max="14" width="12" style="3" customWidth="1"/>
    <col min="15" max="16" width="9.1796875" style="3"/>
    <col min="17" max="17" width="9.81640625" style="3" customWidth="1"/>
    <col min="18" max="18" width="13.1796875" style="3" bestFit="1" customWidth="1"/>
    <col min="19" max="19" width="9.26953125" style="3" bestFit="1" customWidth="1"/>
    <col min="20" max="16384" width="9.1796875" style="3"/>
  </cols>
  <sheetData>
    <row r="1" spans="2:18" ht="16" thickBot="1" x14ac:dyDescent="0.4"/>
    <row r="2" spans="2:18" x14ac:dyDescent="0.35">
      <c r="B2" s="91"/>
      <c r="C2" s="42"/>
      <c r="D2" s="42"/>
      <c r="E2" s="42"/>
      <c r="F2" s="42"/>
      <c r="G2" s="42"/>
      <c r="H2" s="42"/>
      <c r="I2" s="42"/>
      <c r="J2" s="42"/>
      <c r="K2" s="42"/>
      <c r="L2" s="42"/>
      <c r="M2" s="42"/>
      <c r="N2" s="92"/>
    </row>
    <row r="3" spans="2:18" ht="20.25" customHeight="1" x14ac:dyDescent="0.35">
      <c r="B3" s="93"/>
      <c r="C3" s="297" t="s">
        <v>253</v>
      </c>
      <c r="D3" s="297"/>
      <c r="E3" s="297"/>
      <c r="F3" s="297"/>
      <c r="G3" s="297"/>
      <c r="H3" s="297"/>
      <c r="I3" s="297"/>
      <c r="J3" s="297"/>
      <c r="K3" s="297"/>
      <c r="L3" s="297"/>
      <c r="M3" s="297"/>
      <c r="N3" s="298"/>
    </row>
    <row r="4" spans="2:18" x14ac:dyDescent="0.35">
      <c r="B4" s="93"/>
      <c r="C4" s="67" t="s">
        <v>434</v>
      </c>
      <c r="D4" s="29"/>
      <c r="E4" s="29"/>
      <c r="F4" s="5"/>
      <c r="G4" s="5"/>
      <c r="H4" s="5"/>
      <c r="I4" s="5"/>
      <c r="J4" s="5"/>
      <c r="K4" s="5"/>
      <c r="L4" s="5"/>
      <c r="M4" s="5"/>
      <c r="N4" s="20"/>
    </row>
    <row r="5" spans="2:18" ht="20.25" customHeight="1" x14ac:dyDescent="0.35">
      <c r="B5" s="93"/>
      <c r="C5" s="211" t="s">
        <v>435</v>
      </c>
      <c r="D5" s="314" t="s">
        <v>409</v>
      </c>
      <c r="E5" s="314"/>
      <c r="F5" s="5"/>
      <c r="G5" s="5"/>
      <c r="H5" s="5"/>
      <c r="I5" s="5"/>
      <c r="J5" s="5"/>
      <c r="K5" s="5"/>
      <c r="L5" s="5"/>
      <c r="M5" s="5"/>
      <c r="N5" s="20"/>
    </row>
    <row r="6" spans="2:18" x14ac:dyDescent="0.35">
      <c r="B6" s="93"/>
      <c r="C6" s="29"/>
      <c r="D6" s="29"/>
      <c r="E6" s="29"/>
      <c r="F6" s="5"/>
      <c r="G6" s="5"/>
      <c r="H6" s="5"/>
      <c r="I6" s="5"/>
      <c r="J6" s="5"/>
      <c r="K6" s="5"/>
      <c r="L6" s="5"/>
      <c r="M6" s="5"/>
      <c r="N6" s="20"/>
    </row>
    <row r="7" spans="2:18" ht="32.25" customHeight="1" x14ac:dyDescent="0.35">
      <c r="B7" s="93"/>
      <c r="C7" s="160" t="s">
        <v>43</v>
      </c>
      <c r="D7" s="218" t="s">
        <v>44</v>
      </c>
      <c r="E7" s="117" t="s">
        <v>45</v>
      </c>
      <c r="F7" s="5"/>
      <c r="G7" s="299" t="s">
        <v>46</v>
      </c>
      <c r="H7" s="299"/>
      <c r="I7" s="299"/>
      <c r="J7" s="299"/>
      <c r="K7" s="299"/>
      <c r="L7" s="299"/>
      <c r="M7" s="299"/>
      <c r="N7" s="300"/>
    </row>
    <row r="8" spans="2:18" x14ac:dyDescent="0.35">
      <c r="B8" s="93"/>
      <c r="C8" s="203" t="s">
        <v>357</v>
      </c>
      <c r="D8" s="4" t="s">
        <v>16</v>
      </c>
      <c r="E8" s="205">
        <v>2.1899999999999999E-2</v>
      </c>
      <c r="F8" s="5"/>
      <c r="G8" s="230" t="s">
        <v>47</v>
      </c>
      <c r="H8" s="248">
        <f>100%-H9-H10</f>
        <v>0.85119299999999998</v>
      </c>
      <c r="I8" s="232">
        <f>H8/SUM($H$8:$H$10)</f>
        <v>0.85119299999999998</v>
      </c>
      <c r="J8" s="230"/>
      <c r="K8" s="231"/>
      <c r="L8" s="234"/>
      <c r="M8" s="234"/>
      <c r="N8" s="20"/>
      <c r="R8" s="49"/>
    </row>
    <row r="9" spans="2:18" ht="15.75" customHeight="1" x14ac:dyDescent="0.35">
      <c r="B9" s="93"/>
      <c r="C9" s="203" t="s">
        <v>132</v>
      </c>
      <c r="D9" s="4" t="s">
        <v>110</v>
      </c>
      <c r="E9" s="205">
        <v>1.6043999999999999E-2</v>
      </c>
      <c r="F9" s="5"/>
      <c r="G9" s="230" t="s">
        <v>57</v>
      </c>
      <c r="H9" s="248">
        <f>E32+E31+E33</f>
        <v>0.11417400000000001</v>
      </c>
      <c r="I9" s="232">
        <f t="shared" ref="I9:I10" si="0">H9/SUM($H$8:$H$10)</f>
        <v>0.11417400000000001</v>
      </c>
      <c r="J9" s="230" t="s">
        <v>41</v>
      </c>
      <c r="K9" s="231">
        <f>E36</f>
        <v>0.24402499999999999</v>
      </c>
      <c r="L9" s="234"/>
      <c r="M9" s="234"/>
      <c r="N9" s="20"/>
      <c r="R9" s="49"/>
    </row>
    <row r="10" spans="2:18" x14ac:dyDescent="0.35">
      <c r="B10" s="93"/>
      <c r="C10" s="203" t="s">
        <v>134</v>
      </c>
      <c r="D10" s="4" t="s">
        <v>108</v>
      </c>
      <c r="E10" s="205">
        <v>9.495E-3</v>
      </c>
      <c r="F10" s="31"/>
      <c r="G10" s="230" t="s">
        <v>48</v>
      </c>
      <c r="H10" s="248">
        <f>E34</f>
        <v>3.4632999999999997E-2</v>
      </c>
      <c r="I10" s="232">
        <f t="shared" si="0"/>
        <v>3.4632999999999997E-2</v>
      </c>
      <c r="J10" s="230" t="s">
        <v>95</v>
      </c>
      <c r="K10" s="231">
        <f>E19+E22+E24</f>
        <v>0.25162699999999999</v>
      </c>
      <c r="L10" s="234"/>
      <c r="M10" s="234"/>
      <c r="N10" s="20"/>
      <c r="R10" s="49"/>
    </row>
    <row r="11" spans="2:18" x14ac:dyDescent="0.35">
      <c r="B11" s="93"/>
      <c r="C11" s="203" t="s">
        <v>103</v>
      </c>
      <c r="D11" s="4" t="s">
        <v>4</v>
      </c>
      <c r="E11" s="205">
        <v>9.2999999999999992E-3</v>
      </c>
      <c r="F11" s="5"/>
      <c r="G11" s="230"/>
      <c r="H11" s="230"/>
      <c r="I11" s="230"/>
      <c r="J11" s="230" t="s">
        <v>20</v>
      </c>
      <c r="K11" s="231">
        <f>E45</f>
        <v>5.2947000000000001E-2</v>
      </c>
      <c r="L11" s="234"/>
      <c r="M11" s="234"/>
      <c r="N11" s="20"/>
      <c r="R11" s="49"/>
    </row>
    <row r="12" spans="2:18" ht="15.75" customHeight="1" x14ac:dyDescent="0.35">
      <c r="B12" s="93"/>
      <c r="C12" s="203" t="s">
        <v>148</v>
      </c>
      <c r="D12" s="4" t="s">
        <v>119</v>
      </c>
      <c r="E12" s="205">
        <v>8.5789999999999998E-3</v>
      </c>
      <c r="F12" s="31"/>
      <c r="G12" s="230"/>
      <c r="H12" s="231"/>
      <c r="I12" s="230"/>
      <c r="J12" s="230" t="s">
        <v>42</v>
      </c>
      <c r="K12" s="231">
        <f>E43</f>
        <v>0.44792300000000002</v>
      </c>
      <c r="L12" s="234"/>
      <c r="M12" s="234"/>
      <c r="N12" s="20"/>
      <c r="R12" s="49"/>
    </row>
    <row r="13" spans="2:18" x14ac:dyDescent="0.35">
      <c r="B13" s="93"/>
      <c r="C13" s="203" t="s">
        <v>29</v>
      </c>
      <c r="D13" s="4" t="s">
        <v>3</v>
      </c>
      <c r="E13" s="205">
        <v>8.0129999999999993E-3</v>
      </c>
      <c r="F13" s="31"/>
      <c r="G13" s="230"/>
      <c r="H13" s="230"/>
      <c r="I13" s="230"/>
      <c r="J13" s="230"/>
      <c r="K13" s="231"/>
      <c r="L13" s="234"/>
      <c r="M13" s="234"/>
      <c r="N13" s="20"/>
      <c r="R13" s="49"/>
    </row>
    <row r="14" spans="2:18" x14ac:dyDescent="0.35">
      <c r="B14" s="93"/>
      <c r="C14" s="203" t="s">
        <v>33</v>
      </c>
      <c r="D14" s="4" t="s">
        <v>105</v>
      </c>
      <c r="E14" s="205">
        <v>7.0930000000000003E-3</v>
      </c>
      <c r="F14" s="31"/>
      <c r="G14" s="230"/>
      <c r="H14" s="230"/>
      <c r="I14" s="230"/>
      <c r="J14" s="1" t="s">
        <v>195</v>
      </c>
      <c r="K14" s="235">
        <f>E27</f>
        <v>3.4780000000000002E-3</v>
      </c>
      <c r="L14" s="234"/>
      <c r="M14" s="234"/>
      <c r="N14" s="20"/>
      <c r="R14" s="49"/>
    </row>
    <row r="15" spans="2:18" x14ac:dyDescent="0.35">
      <c r="B15" s="93"/>
      <c r="C15" s="203" t="s">
        <v>146</v>
      </c>
      <c r="D15" s="4" t="s">
        <v>105</v>
      </c>
      <c r="E15" s="205">
        <v>6.4000000000000003E-3</v>
      </c>
      <c r="F15" s="5"/>
      <c r="G15" s="234"/>
      <c r="H15" s="234"/>
      <c r="I15" s="234"/>
      <c r="J15" s="274"/>
      <c r="K15" s="1"/>
      <c r="L15" s="234"/>
      <c r="M15" s="234"/>
      <c r="N15" s="20"/>
      <c r="R15" s="49"/>
    </row>
    <row r="16" spans="2:18" x14ac:dyDescent="0.35">
      <c r="B16" s="93"/>
      <c r="C16" s="203" t="s">
        <v>36</v>
      </c>
      <c r="D16" s="4" t="s">
        <v>3</v>
      </c>
      <c r="E16" s="205">
        <v>2.9369999999999999E-3</v>
      </c>
      <c r="F16" s="5"/>
      <c r="G16" s="230"/>
      <c r="H16" s="230"/>
      <c r="I16" s="230"/>
      <c r="J16" s="230"/>
      <c r="K16" s="230"/>
      <c r="L16" s="234"/>
      <c r="M16" s="234"/>
      <c r="N16" s="20"/>
      <c r="R16" s="49"/>
    </row>
    <row r="17" spans="2:18" x14ac:dyDescent="0.35">
      <c r="B17" s="93"/>
      <c r="C17" s="203" t="s">
        <v>133</v>
      </c>
      <c r="D17" s="4" t="s">
        <v>3</v>
      </c>
      <c r="E17" s="205">
        <v>1.6000000000000001E-3</v>
      </c>
      <c r="F17" s="5"/>
      <c r="G17" s="5"/>
      <c r="H17" s="5"/>
      <c r="I17" s="5"/>
      <c r="J17" s="5"/>
      <c r="K17" s="5"/>
      <c r="L17" s="5"/>
      <c r="M17" s="5"/>
      <c r="N17" s="20"/>
      <c r="R17" s="49"/>
    </row>
    <row r="18" spans="2:18" x14ac:dyDescent="0.35">
      <c r="B18" s="93"/>
      <c r="C18" s="179"/>
      <c r="D18" s="187"/>
      <c r="E18" s="194"/>
      <c r="F18" s="5"/>
      <c r="G18" s="5"/>
      <c r="H18" s="5"/>
      <c r="I18" s="5"/>
      <c r="J18" s="5"/>
      <c r="K18" s="5"/>
      <c r="L18" s="5"/>
      <c r="M18" s="5"/>
      <c r="N18" s="20"/>
      <c r="R18" s="49"/>
    </row>
    <row r="19" spans="2:18" x14ac:dyDescent="0.35">
      <c r="B19" s="93"/>
      <c r="C19" s="216" t="s">
        <v>56</v>
      </c>
      <c r="D19" s="115"/>
      <c r="E19" s="217">
        <f>SUM(E8:E17)</f>
        <v>9.1361000000000012E-2</v>
      </c>
      <c r="F19" s="5"/>
      <c r="G19" s="5"/>
      <c r="H19" s="5"/>
      <c r="I19" s="5"/>
      <c r="J19" s="5"/>
      <c r="K19" s="5"/>
      <c r="L19" s="5"/>
      <c r="M19" s="5"/>
      <c r="N19" s="20"/>
      <c r="R19" s="49"/>
    </row>
    <row r="20" spans="2:18" ht="15.75" customHeight="1" x14ac:dyDescent="0.35">
      <c r="B20" s="93"/>
      <c r="C20" s="203"/>
      <c r="D20" s="4"/>
      <c r="E20" s="46"/>
      <c r="F20" s="5"/>
      <c r="G20" s="317" t="s">
        <v>98</v>
      </c>
      <c r="H20" s="318"/>
      <c r="I20" s="318"/>
      <c r="J20" s="318"/>
      <c r="K20" s="318"/>
      <c r="L20" s="293">
        <v>12.78</v>
      </c>
      <c r="M20" s="104"/>
      <c r="N20" s="105"/>
      <c r="R20" s="49"/>
    </row>
    <row r="21" spans="2:18" x14ac:dyDescent="0.35">
      <c r="B21" s="93"/>
      <c r="C21" s="203" t="s">
        <v>170</v>
      </c>
      <c r="D21" s="4"/>
      <c r="E21" s="205">
        <v>0.16026599999999999</v>
      </c>
      <c r="F21" s="5"/>
      <c r="G21" s="5"/>
      <c r="H21" s="5"/>
      <c r="I21" s="5"/>
      <c r="J21" s="5"/>
      <c r="K21" s="5"/>
      <c r="L21" s="5"/>
      <c r="M21" s="5"/>
      <c r="N21" s="20"/>
      <c r="R21" s="49"/>
    </row>
    <row r="22" spans="2:18" x14ac:dyDescent="0.35">
      <c r="B22" s="93"/>
      <c r="C22" s="122" t="s">
        <v>80</v>
      </c>
      <c r="D22" s="106"/>
      <c r="E22" s="182">
        <v>0.16026599999999999</v>
      </c>
      <c r="F22" s="5"/>
      <c r="G22" s="31"/>
      <c r="H22" s="31"/>
      <c r="I22" s="31"/>
      <c r="J22" s="5"/>
      <c r="K22" s="31"/>
      <c r="L22" s="5"/>
      <c r="M22" s="5"/>
      <c r="N22" s="20"/>
      <c r="R22" s="49"/>
    </row>
    <row r="23" spans="2:18" ht="15.75" customHeight="1" x14ac:dyDescent="0.35">
      <c r="B23" s="93"/>
      <c r="C23" s="212"/>
      <c r="D23" s="111"/>
      <c r="E23" s="228"/>
      <c r="F23" s="5"/>
      <c r="G23" s="299" t="s">
        <v>50</v>
      </c>
      <c r="H23" s="299"/>
      <c r="I23" s="299"/>
      <c r="J23" s="299"/>
      <c r="K23" s="299"/>
      <c r="L23" s="299"/>
      <c r="M23" s="299"/>
      <c r="N23" s="300"/>
      <c r="R23" s="49"/>
    </row>
    <row r="24" spans="2:18" x14ac:dyDescent="0.35">
      <c r="B24" s="93"/>
      <c r="C24" s="122" t="s">
        <v>66</v>
      </c>
      <c r="D24" s="106"/>
      <c r="E24" s="206">
        <v>0</v>
      </c>
      <c r="F24" s="5"/>
      <c r="G24" s="5"/>
      <c r="H24" s="5"/>
      <c r="I24" s="5"/>
      <c r="J24" s="5"/>
      <c r="K24" s="5"/>
      <c r="L24" s="5"/>
      <c r="M24" s="5"/>
      <c r="N24" s="20"/>
      <c r="R24" s="49"/>
    </row>
    <row r="25" spans="2:18" x14ac:dyDescent="0.35">
      <c r="B25" s="93"/>
      <c r="C25" s="102"/>
      <c r="D25" s="38"/>
      <c r="E25" s="215"/>
      <c r="F25" s="5"/>
      <c r="G25" s="5"/>
      <c r="H25" s="5"/>
      <c r="I25" s="5"/>
      <c r="J25" s="5"/>
      <c r="K25" s="5"/>
      <c r="L25" s="5"/>
      <c r="M25" s="5"/>
      <c r="N25" s="20"/>
      <c r="R25" s="49"/>
    </row>
    <row r="26" spans="2:18" x14ac:dyDescent="0.35">
      <c r="B26" s="93"/>
      <c r="C26" s="102" t="s">
        <v>195</v>
      </c>
      <c r="D26" s="38"/>
      <c r="E26" s="205">
        <v>3.4780000000000002E-3</v>
      </c>
      <c r="F26" s="5"/>
      <c r="G26" s="5"/>
      <c r="H26" s="5"/>
      <c r="I26" s="5"/>
      <c r="J26" s="5"/>
      <c r="K26" s="5"/>
      <c r="L26" s="5"/>
      <c r="M26" s="5"/>
      <c r="N26" s="20"/>
      <c r="R26" s="49"/>
    </row>
    <row r="27" spans="2:18" x14ac:dyDescent="0.35">
      <c r="B27" s="93"/>
      <c r="C27" s="122" t="s">
        <v>195</v>
      </c>
      <c r="D27" s="106"/>
      <c r="E27" s="182">
        <v>3.4780000000000002E-3</v>
      </c>
      <c r="F27" s="5"/>
      <c r="G27" s="5"/>
      <c r="H27" s="5"/>
      <c r="I27" s="5"/>
      <c r="J27" s="5"/>
      <c r="K27" s="5"/>
      <c r="L27" s="5"/>
      <c r="M27" s="5"/>
      <c r="N27" s="20"/>
      <c r="R27" s="49"/>
    </row>
    <row r="28" spans="2:18" s="48" customFormat="1" x14ac:dyDescent="0.35">
      <c r="B28" s="108"/>
      <c r="C28" s="202"/>
      <c r="D28" s="190"/>
      <c r="E28" s="205"/>
      <c r="F28" s="41"/>
      <c r="G28" s="41"/>
      <c r="H28" s="41"/>
      <c r="I28" s="41"/>
      <c r="J28" s="41"/>
      <c r="K28" s="41"/>
      <c r="L28" s="41"/>
      <c r="M28" s="41"/>
      <c r="N28" s="109"/>
      <c r="R28" s="110"/>
    </row>
    <row r="29" spans="2:18" x14ac:dyDescent="0.35">
      <c r="B29" s="93"/>
      <c r="C29" s="102"/>
      <c r="D29" s="190"/>
      <c r="E29" s="219"/>
      <c r="F29" s="5"/>
      <c r="G29" s="5"/>
      <c r="H29" s="5"/>
      <c r="I29" s="5"/>
      <c r="J29" s="5"/>
      <c r="K29" s="5"/>
      <c r="L29" s="5"/>
      <c r="M29" s="5"/>
      <c r="N29" s="20"/>
      <c r="R29" s="49"/>
    </row>
    <row r="30" spans="2:18" x14ac:dyDescent="0.35">
      <c r="B30" s="93"/>
      <c r="C30" s="102" t="s">
        <v>79</v>
      </c>
      <c r="D30" s="38" t="s">
        <v>359</v>
      </c>
      <c r="E30" s="205">
        <v>8.6640999999999996E-2</v>
      </c>
      <c r="F30" s="5"/>
      <c r="G30" s="5"/>
      <c r="H30" s="5"/>
      <c r="I30" s="5"/>
      <c r="J30" s="5"/>
      <c r="K30" s="5"/>
      <c r="L30" s="5"/>
      <c r="M30" s="5"/>
      <c r="N30" s="20"/>
      <c r="R30" s="49"/>
    </row>
    <row r="31" spans="2:18" x14ac:dyDescent="0.35">
      <c r="B31" s="93"/>
      <c r="C31" s="102" t="s">
        <v>312</v>
      </c>
      <c r="D31" s="38" t="s">
        <v>360</v>
      </c>
      <c r="E31" s="205">
        <v>4.3985000000000003E-2</v>
      </c>
      <c r="F31" s="5"/>
      <c r="G31" s="5"/>
      <c r="H31" s="5"/>
      <c r="I31" s="5"/>
      <c r="J31" s="5"/>
      <c r="K31" s="5"/>
      <c r="L31" s="5"/>
      <c r="M31" s="5"/>
      <c r="N31" s="20"/>
      <c r="R31" s="49"/>
    </row>
    <row r="32" spans="2:18" x14ac:dyDescent="0.35">
      <c r="B32" s="93"/>
      <c r="C32" s="102" t="s">
        <v>254</v>
      </c>
      <c r="D32" s="38" t="s">
        <v>360</v>
      </c>
      <c r="E32" s="219">
        <v>3.5206000000000001E-2</v>
      </c>
      <c r="F32" s="5"/>
      <c r="G32" s="5"/>
      <c r="H32" s="5"/>
      <c r="I32" s="5"/>
      <c r="J32" s="5"/>
      <c r="K32" s="5"/>
      <c r="L32" s="5"/>
      <c r="M32" s="5"/>
      <c r="N32" s="20"/>
      <c r="R32" s="49"/>
    </row>
    <row r="33" spans="1:18" x14ac:dyDescent="0.35">
      <c r="B33" s="93"/>
      <c r="C33" s="102" t="s">
        <v>251</v>
      </c>
      <c r="D33" s="38" t="s">
        <v>360</v>
      </c>
      <c r="E33" s="205">
        <v>3.4983E-2</v>
      </c>
      <c r="F33" s="5"/>
      <c r="G33" s="5"/>
      <c r="H33" s="5"/>
      <c r="I33" s="5"/>
      <c r="J33" s="5"/>
      <c r="K33" s="5"/>
      <c r="L33" s="5"/>
      <c r="M33" s="5"/>
      <c r="N33" s="20"/>
      <c r="R33" s="49"/>
    </row>
    <row r="34" spans="1:18" x14ac:dyDescent="0.35">
      <c r="B34" s="93"/>
      <c r="C34" s="102" t="s">
        <v>250</v>
      </c>
      <c r="D34" s="38" t="s">
        <v>358</v>
      </c>
      <c r="E34" s="205">
        <v>3.4632999999999997E-2</v>
      </c>
      <c r="F34" s="5"/>
      <c r="G34" s="5"/>
      <c r="H34" s="5"/>
      <c r="I34" s="5"/>
      <c r="J34" s="5"/>
      <c r="K34" s="5"/>
      <c r="L34" s="5"/>
      <c r="M34" s="5"/>
      <c r="N34" s="20"/>
      <c r="R34" s="49"/>
    </row>
    <row r="35" spans="1:18" x14ac:dyDescent="0.35">
      <c r="B35" s="93"/>
      <c r="C35" s="102" t="s">
        <v>69</v>
      </c>
      <c r="D35" s="38" t="s">
        <v>359</v>
      </c>
      <c r="E35" s="205">
        <v>8.5769999999999996E-3</v>
      </c>
      <c r="F35" s="5"/>
      <c r="G35" s="5"/>
      <c r="H35" s="5"/>
      <c r="I35" s="5"/>
      <c r="J35" s="5"/>
      <c r="K35" s="5"/>
      <c r="L35" s="5"/>
      <c r="M35" s="5"/>
      <c r="N35" s="20"/>
      <c r="R35" s="49"/>
    </row>
    <row r="36" spans="1:18" x14ac:dyDescent="0.35">
      <c r="B36" s="93"/>
      <c r="C36" s="122" t="s">
        <v>49</v>
      </c>
      <c r="D36" s="106"/>
      <c r="E36" s="206">
        <v>0.24402499999999999</v>
      </c>
      <c r="F36" s="5"/>
      <c r="G36" s="5"/>
      <c r="H36" s="5"/>
      <c r="I36" s="5"/>
      <c r="J36" s="5"/>
      <c r="K36" s="5"/>
      <c r="L36" s="5"/>
      <c r="M36" s="5"/>
      <c r="N36" s="20"/>
      <c r="R36" s="49"/>
    </row>
    <row r="37" spans="1:18" x14ac:dyDescent="0.35">
      <c r="B37" s="93"/>
      <c r="C37" s="102"/>
      <c r="D37" s="38"/>
      <c r="E37" s="205"/>
      <c r="F37" s="5"/>
      <c r="G37" s="5"/>
      <c r="H37" s="5"/>
      <c r="I37" s="5"/>
      <c r="J37" s="5"/>
      <c r="K37" s="5"/>
      <c r="L37" s="5"/>
      <c r="M37" s="5"/>
      <c r="N37" s="20"/>
      <c r="R37" s="49"/>
    </row>
    <row r="38" spans="1:18" x14ac:dyDescent="0.35">
      <c r="B38" s="93"/>
      <c r="C38" s="102" t="s">
        <v>215</v>
      </c>
      <c r="D38" s="38" t="s">
        <v>61</v>
      </c>
      <c r="E38" s="205">
        <v>0.27596799999999999</v>
      </c>
      <c r="F38" s="5"/>
      <c r="G38" s="5"/>
      <c r="H38" s="5"/>
      <c r="I38" s="5"/>
      <c r="J38" s="5"/>
      <c r="K38" s="5"/>
      <c r="L38" s="5"/>
      <c r="M38" s="5"/>
      <c r="N38" s="20"/>
      <c r="R38" s="49"/>
    </row>
    <row r="39" spans="1:18" x14ac:dyDescent="0.35">
      <c r="B39" s="93"/>
      <c r="C39" s="102" t="s">
        <v>190</v>
      </c>
      <c r="D39" s="38" t="s">
        <v>61</v>
      </c>
      <c r="E39" s="205">
        <v>0.13641900000000001</v>
      </c>
      <c r="F39" s="5"/>
      <c r="G39" s="5"/>
      <c r="H39" s="5"/>
      <c r="I39" s="5"/>
      <c r="J39" s="5"/>
      <c r="K39" s="5"/>
      <c r="L39" s="5"/>
      <c r="M39" s="5"/>
      <c r="N39" s="20"/>
      <c r="R39" s="49"/>
    </row>
    <row r="40" spans="1:18" x14ac:dyDescent="0.35">
      <c r="B40" s="93"/>
      <c r="C40" s="102" t="s">
        <v>101</v>
      </c>
      <c r="D40" s="38" t="s">
        <v>61</v>
      </c>
      <c r="E40" s="205">
        <v>2.3293000000000001E-2</v>
      </c>
      <c r="F40" s="5"/>
      <c r="G40" s="5"/>
      <c r="H40" s="5"/>
      <c r="I40" s="5"/>
      <c r="J40" s="5"/>
      <c r="K40" s="5"/>
      <c r="L40" s="5"/>
      <c r="M40" s="5"/>
      <c r="N40" s="20"/>
      <c r="R40" s="49"/>
    </row>
    <row r="41" spans="1:18" x14ac:dyDescent="0.35">
      <c r="B41" s="93"/>
      <c r="C41" s="102" t="s">
        <v>138</v>
      </c>
      <c r="D41" s="38" t="s">
        <v>61</v>
      </c>
      <c r="E41" s="205">
        <v>1.0645E-2</v>
      </c>
      <c r="F41" s="5"/>
      <c r="G41" s="5"/>
      <c r="H41" s="5"/>
      <c r="I41" s="5"/>
      <c r="J41" s="5"/>
      <c r="K41" s="5"/>
      <c r="L41" s="5"/>
      <c r="M41" s="5"/>
      <c r="N41" s="20"/>
      <c r="R41" s="49"/>
    </row>
    <row r="42" spans="1:18" x14ac:dyDescent="0.35">
      <c r="B42" s="93"/>
      <c r="C42" s="102" t="s">
        <v>67</v>
      </c>
      <c r="D42" s="38" t="s">
        <v>61</v>
      </c>
      <c r="E42" s="205">
        <v>1.598E-3</v>
      </c>
      <c r="F42" s="5"/>
      <c r="G42" s="5"/>
      <c r="H42" s="5"/>
      <c r="I42" s="5"/>
      <c r="J42" s="5"/>
      <c r="K42" s="5"/>
      <c r="L42" s="5"/>
      <c r="M42" s="5"/>
      <c r="N42" s="20"/>
      <c r="R42" s="49"/>
    </row>
    <row r="43" spans="1:18" x14ac:dyDescent="0.35">
      <c r="B43" s="93"/>
      <c r="C43" s="122" t="s">
        <v>42</v>
      </c>
      <c r="D43" s="106"/>
      <c r="E43" s="182">
        <v>0.44792300000000002</v>
      </c>
      <c r="F43" s="5"/>
      <c r="G43" s="5"/>
      <c r="H43" s="5"/>
      <c r="I43" s="5"/>
      <c r="J43" s="5"/>
      <c r="K43" s="5"/>
      <c r="L43" s="5"/>
      <c r="M43" s="5"/>
      <c r="N43" s="20"/>
      <c r="R43" s="49"/>
    </row>
    <row r="44" spans="1:18" x14ac:dyDescent="0.35">
      <c r="B44" s="93"/>
      <c r="C44" s="102"/>
      <c r="D44" s="38"/>
      <c r="E44" s="207"/>
      <c r="F44" s="5"/>
      <c r="G44" s="44"/>
      <c r="H44" s="5"/>
      <c r="I44" s="5"/>
      <c r="J44" s="5"/>
      <c r="K44" s="5"/>
      <c r="L44" s="5"/>
      <c r="M44" s="5"/>
      <c r="N44" s="20"/>
      <c r="R44" s="49"/>
    </row>
    <row r="45" spans="1:18" x14ac:dyDescent="0.35">
      <c r="B45" s="93"/>
      <c r="C45" s="122" t="s">
        <v>20</v>
      </c>
      <c r="D45" s="106"/>
      <c r="E45" s="206">
        <v>5.2947000000000001E-2</v>
      </c>
      <c r="F45" s="5"/>
      <c r="G45" s="5"/>
      <c r="H45" s="5"/>
      <c r="I45" s="5"/>
      <c r="J45" s="5"/>
      <c r="K45" s="5"/>
      <c r="L45" s="5"/>
      <c r="M45" s="5"/>
      <c r="N45" s="20"/>
      <c r="R45" s="49"/>
    </row>
    <row r="46" spans="1:18" x14ac:dyDescent="0.35">
      <c r="A46" s="5"/>
      <c r="B46" s="93"/>
      <c r="C46" s="203"/>
      <c r="D46" s="4"/>
      <c r="E46" s="208"/>
      <c r="F46" s="5"/>
      <c r="J46" s="5"/>
      <c r="K46" s="5"/>
      <c r="L46" s="5"/>
      <c r="M46" s="5"/>
      <c r="N46" s="20"/>
      <c r="O46" s="5"/>
      <c r="R46" s="49"/>
    </row>
    <row r="47" spans="1:18" x14ac:dyDescent="0.35">
      <c r="A47" s="5"/>
      <c r="B47" s="93"/>
      <c r="C47" s="204" t="s">
        <v>21</v>
      </c>
      <c r="D47" s="113"/>
      <c r="E47" s="209">
        <f>E45+E43+E36+E27+E24+E22+E19</f>
        <v>1</v>
      </c>
      <c r="F47" s="5"/>
      <c r="G47" s="5"/>
      <c r="H47" s="5"/>
      <c r="I47" s="5"/>
      <c r="J47" s="5"/>
      <c r="K47" s="5"/>
      <c r="L47" s="5"/>
      <c r="M47" s="5"/>
      <c r="N47" s="20"/>
      <c r="O47" s="5"/>
      <c r="R47" s="49"/>
    </row>
    <row r="48" spans="1:18" x14ac:dyDescent="0.35">
      <c r="A48" s="5"/>
      <c r="B48" s="93"/>
      <c r="F48" s="5"/>
      <c r="G48" s="5"/>
      <c r="H48" s="5"/>
      <c r="I48" s="5"/>
      <c r="J48" s="5"/>
      <c r="K48" s="5"/>
      <c r="L48" s="5"/>
      <c r="M48" s="5"/>
      <c r="N48" s="20"/>
      <c r="O48" s="5"/>
      <c r="R48" s="49"/>
    </row>
    <row r="49" spans="1:18" ht="16" thickBot="1" x14ac:dyDescent="0.4">
      <c r="A49" s="5"/>
      <c r="B49" s="96"/>
      <c r="C49" s="54"/>
      <c r="D49" s="54"/>
      <c r="E49" s="55"/>
      <c r="F49" s="45"/>
      <c r="G49" s="45"/>
      <c r="H49" s="45"/>
      <c r="I49" s="45"/>
      <c r="J49" s="45"/>
      <c r="K49" s="45"/>
      <c r="L49" s="45"/>
      <c r="M49" s="45"/>
      <c r="N49" s="116"/>
      <c r="O49" s="5"/>
      <c r="R49" s="49"/>
    </row>
    <row r="50" spans="1:18" ht="16" thickBot="1" x14ac:dyDescent="0.4">
      <c r="R50" s="49"/>
    </row>
    <row r="51" spans="1:18" ht="15" customHeight="1" x14ac:dyDescent="0.35">
      <c r="B51" s="303" t="s">
        <v>179</v>
      </c>
      <c r="C51" s="304"/>
      <c r="D51" s="304"/>
      <c r="E51" s="304"/>
      <c r="F51" s="304"/>
      <c r="G51" s="304"/>
      <c r="H51" s="304"/>
      <c r="I51" s="304"/>
      <c r="J51" s="304"/>
      <c r="K51" s="304"/>
      <c r="L51" s="304"/>
      <c r="M51" s="304"/>
      <c r="N51" s="304"/>
      <c r="O51" s="304"/>
      <c r="P51" s="304"/>
      <c r="Q51" s="304"/>
      <c r="R51" s="305"/>
    </row>
    <row r="52" spans="1:18" x14ac:dyDescent="0.35">
      <c r="B52" s="306"/>
      <c r="C52" s="307"/>
      <c r="D52" s="307"/>
      <c r="E52" s="307"/>
      <c r="F52" s="307"/>
      <c r="G52" s="307"/>
      <c r="H52" s="307"/>
      <c r="I52" s="307"/>
      <c r="J52" s="307"/>
      <c r="K52" s="307"/>
      <c r="L52" s="307"/>
      <c r="M52" s="307"/>
      <c r="N52" s="307"/>
      <c r="O52" s="307"/>
      <c r="P52" s="307"/>
      <c r="Q52" s="307"/>
      <c r="R52" s="308"/>
    </row>
    <row r="53" spans="1:18" x14ac:dyDescent="0.35">
      <c r="B53" s="306"/>
      <c r="C53" s="307"/>
      <c r="D53" s="307"/>
      <c r="E53" s="307"/>
      <c r="F53" s="307"/>
      <c r="G53" s="307"/>
      <c r="H53" s="307"/>
      <c r="I53" s="307"/>
      <c r="J53" s="307"/>
      <c r="K53" s="307"/>
      <c r="L53" s="307"/>
      <c r="M53" s="307"/>
      <c r="N53" s="307"/>
      <c r="O53" s="307"/>
      <c r="P53" s="307"/>
      <c r="Q53" s="307"/>
      <c r="R53" s="308"/>
    </row>
    <row r="54" spans="1:18" x14ac:dyDescent="0.35">
      <c r="B54" s="306"/>
      <c r="C54" s="307"/>
      <c r="D54" s="307"/>
      <c r="E54" s="307"/>
      <c r="F54" s="307"/>
      <c r="G54" s="307"/>
      <c r="H54" s="307"/>
      <c r="I54" s="307"/>
      <c r="J54" s="307"/>
      <c r="K54" s="307"/>
      <c r="L54" s="307"/>
      <c r="M54" s="307"/>
      <c r="N54" s="307"/>
      <c r="O54" s="307"/>
      <c r="P54" s="307"/>
      <c r="Q54" s="307"/>
      <c r="R54" s="308"/>
    </row>
    <row r="55" spans="1:18" x14ac:dyDescent="0.35">
      <c r="B55" s="306"/>
      <c r="C55" s="307"/>
      <c r="D55" s="307"/>
      <c r="E55" s="307"/>
      <c r="F55" s="307"/>
      <c r="G55" s="307"/>
      <c r="H55" s="307"/>
      <c r="I55" s="307"/>
      <c r="J55" s="307"/>
      <c r="K55" s="307"/>
      <c r="L55" s="307"/>
      <c r="M55" s="307"/>
      <c r="N55" s="307"/>
      <c r="O55" s="307"/>
      <c r="P55" s="307"/>
      <c r="Q55" s="307"/>
      <c r="R55" s="308"/>
    </row>
    <row r="56" spans="1:18" x14ac:dyDescent="0.35">
      <c r="B56" s="306"/>
      <c r="C56" s="307"/>
      <c r="D56" s="307"/>
      <c r="E56" s="307"/>
      <c r="F56" s="307"/>
      <c r="G56" s="307"/>
      <c r="H56" s="307"/>
      <c r="I56" s="307"/>
      <c r="J56" s="307"/>
      <c r="K56" s="307"/>
      <c r="L56" s="307"/>
      <c r="M56" s="307"/>
      <c r="N56" s="307"/>
      <c r="O56" s="307"/>
      <c r="P56" s="307"/>
      <c r="Q56" s="307"/>
      <c r="R56" s="308"/>
    </row>
    <row r="57" spans="1:18" ht="16" thickBot="1" x14ac:dyDescent="0.4">
      <c r="B57" s="309"/>
      <c r="C57" s="310"/>
      <c r="D57" s="310"/>
      <c r="E57" s="310"/>
      <c r="F57" s="310"/>
      <c r="G57" s="310"/>
      <c r="H57" s="310"/>
      <c r="I57" s="310"/>
      <c r="J57" s="310"/>
      <c r="K57" s="310"/>
      <c r="L57" s="310"/>
      <c r="M57" s="310"/>
      <c r="N57" s="310"/>
      <c r="O57" s="310"/>
      <c r="P57" s="310"/>
      <c r="Q57" s="310"/>
      <c r="R57" s="311"/>
    </row>
    <row r="58" spans="1:18" ht="16" thickBot="1" x14ac:dyDescent="0.4">
      <c r="R58" s="49"/>
    </row>
    <row r="59" spans="1:18" x14ac:dyDescent="0.35">
      <c r="B59" s="319" t="s">
        <v>199</v>
      </c>
      <c r="C59" s="320"/>
      <c r="D59" s="320"/>
      <c r="E59" s="320"/>
      <c r="F59" s="320"/>
      <c r="G59" s="320"/>
      <c r="H59" s="320"/>
      <c r="I59" s="320"/>
      <c r="J59" s="320"/>
      <c r="K59" s="320"/>
      <c r="L59" s="320"/>
      <c r="M59" s="320"/>
      <c r="N59" s="321"/>
      <c r="R59" s="49"/>
    </row>
    <row r="60" spans="1:18" x14ac:dyDescent="0.35">
      <c r="B60" s="322"/>
      <c r="C60" s="323"/>
      <c r="D60" s="323"/>
      <c r="E60" s="323"/>
      <c r="F60" s="323"/>
      <c r="G60" s="323"/>
      <c r="H60" s="323"/>
      <c r="I60" s="323"/>
      <c r="J60" s="323"/>
      <c r="K60" s="323"/>
      <c r="L60" s="323"/>
      <c r="M60" s="323"/>
      <c r="N60" s="324"/>
      <c r="R60" s="49"/>
    </row>
    <row r="61" spans="1:18" x14ac:dyDescent="0.35">
      <c r="B61" s="322"/>
      <c r="C61" s="323"/>
      <c r="D61" s="323"/>
      <c r="E61" s="323"/>
      <c r="F61" s="323"/>
      <c r="G61" s="323"/>
      <c r="H61" s="323"/>
      <c r="I61" s="323"/>
      <c r="J61" s="323"/>
      <c r="K61" s="323"/>
      <c r="L61" s="323"/>
      <c r="M61" s="323"/>
      <c r="N61" s="324"/>
      <c r="R61" s="49"/>
    </row>
    <row r="62" spans="1:18" ht="16" thickBot="1" x14ac:dyDescent="0.4">
      <c r="B62" s="325"/>
      <c r="C62" s="326"/>
      <c r="D62" s="326"/>
      <c r="E62" s="326"/>
      <c r="F62" s="326"/>
      <c r="G62" s="326"/>
      <c r="H62" s="326"/>
      <c r="I62" s="326"/>
      <c r="J62" s="326"/>
      <c r="K62" s="326"/>
      <c r="L62" s="326"/>
      <c r="M62" s="326"/>
      <c r="N62" s="327"/>
      <c r="R62" s="49"/>
    </row>
    <row r="63" spans="1:18" x14ac:dyDescent="0.35">
      <c r="R63" s="49"/>
    </row>
    <row r="64" spans="1:18" x14ac:dyDescent="0.35">
      <c r="R64" s="49"/>
    </row>
    <row r="65" spans="18:18" x14ac:dyDescent="0.35">
      <c r="R65" s="49"/>
    </row>
    <row r="66" spans="18:18" x14ac:dyDescent="0.35">
      <c r="R66" s="49"/>
    </row>
    <row r="67" spans="18:18" x14ac:dyDescent="0.35">
      <c r="R67" s="49"/>
    </row>
    <row r="68" spans="18:18" x14ac:dyDescent="0.35">
      <c r="R68" s="49"/>
    </row>
    <row r="69" spans="18:18" x14ac:dyDescent="0.35">
      <c r="R69" s="49"/>
    </row>
    <row r="70" spans="18:18" x14ac:dyDescent="0.35">
      <c r="R70" s="49"/>
    </row>
    <row r="71" spans="18:18" x14ac:dyDescent="0.35">
      <c r="R71" s="49"/>
    </row>
    <row r="72" spans="18:18" x14ac:dyDescent="0.35">
      <c r="R72" s="49"/>
    </row>
    <row r="73" spans="18:18" x14ac:dyDescent="0.35">
      <c r="R73" s="49"/>
    </row>
    <row r="74" spans="18:18" x14ac:dyDescent="0.35">
      <c r="R74" s="49"/>
    </row>
    <row r="75" spans="18:18" x14ac:dyDescent="0.35">
      <c r="R75" s="49"/>
    </row>
    <row r="76" spans="18:18" x14ac:dyDescent="0.35">
      <c r="R76" s="49"/>
    </row>
    <row r="77" spans="18:18" x14ac:dyDescent="0.35">
      <c r="R77" s="49"/>
    </row>
    <row r="78" spans="18:18" x14ac:dyDescent="0.35">
      <c r="R78" s="49"/>
    </row>
    <row r="79" spans="18:18" x14ac:dyDescent="0.35">
      <c r="R79" s="49"/>
    </row>
    <row r="80" spans="18:18" x14ac:dyDescent="0.35">
      <c r="R80" s="49"/>
    </row>
    <row r="81" spans="18:18" x14ac:dyDescent="0.35">
      <c r="R81" s="49"/>
    </row>
    <row r="82" spans="18:18" x14ac:dyDescent="0.35">
      <c r="R82" s="49"/>
    </row>
    <row r="83" spans="18:18" x14ac:dyDescent="0.35">
      <c r="R83" s="49"/>
    </row>
    <row r="84" spans="18:18" x14ac:dyDescent="0.35">
      <c r="R84" s="49"/>
    </row>
    <row r="85" spans="18:18" x14ac:dyDescent="0.35">
      <c r="R85" s="49"/>
    </row>
    <row r="86" spans="18:18" x14ac:dyDescent="0.35">
      <c r="R86" s="49"/>
    </row>
    <row r="87" spans="18:18" x14ac:dyDescent="0.35">
      <c r="R87" s="49"/>
    </row>
    <row r="88" spans="18:18" x14ac:dyDescent="0.35">
      <c r="R88" s="49"/>
    </row>
    <row r="89" spans="18:18" x14ac:dyDescent="0.35">
      <c r="R89" s="49"/>
    </row>
    <row r="90" spans="18:18" x14ac:dyDescent="0.35">
      <c r="R90" s="49"/>
    </row>
    <row r="91" spans="18:18" x14ac:dyDescent="0.35">
      <c r="R91" s="49"/>
    </row>
    <row r="92" spans="18:18" x14ac:dyDescent="0.35">
      <c r="R92" s="49"/>
    </row>
    <row r="93" spans="18:18" x14ac:dyDescent="0.35">
      <c r="R93" s="49"/>
    </row>
    <row r="94" spans="18:18" x14ac:dyDescent="0.35">
      <c r="R94" s="49"/>
    </row>
    <row r="95" spans="18:18" x14ac:dyDescent="0.35">
      <c r="R95" s="49"/>
    </row>
    <row r="96" spans="18:18" x14ac:dyDescent="0.35">
      <c r="R96" s="49"/>
    </row>
    <row r="97" spans="18:18" x14ac:dyDescent="0.35">
      <c r="R97" s="49"/>
    </row>
    <row r="98" spans="18:18" x14ac:dyDescent="0.35">
      <c r="R98" s="49"/>
    </row>
    <row r="99" spans="18:18" x14ac:dyDescent="0.35">
      <c r="R99" s="49"/>
    </row>
    <row r="100" spans="18:18" x14ac:dyDescent="0.35">
      <c r="R100" s="49"/>
    </row>
    <row r="101" spans="18:18" x14ac:dyDescent="0.35">
      <c r="R101" s="49"/>
    </row>
    <row r="102" spans="18:18" x14ac:dyDescent="0.35">
      <c r="R102" s="49"/>
    </row>
    <row r="103" spans="18:18" x14ac:dyDescent="0.35">
      <c r="R103" s="49"/>
    </row>
    <row r="104" spans="18:18" x14ac:dyDescent="0.35">
      <c r="R104" s="49"/>
    </row>
    <row r="105" spans="18:18" x14ac:dyDescent="0.35">
      <c r="R105" s="49"/>
    </row>
    <row r="106" spans="18:18" x14ac:dyDescent="0.35">
      <c r="R106" s="49"/>
    </row>
    <row r="107" spans="18:18" x14ac:dyDescent="0.35">
      <c r="R107" s="49"/>
    </row>
    <row r="108" spans="18:18" x14ac:dyDescent="0.35">
      <c r="R108" s="49"/>
    </row>
    <row r="109" spans="18:18" x14ac:dyDescent="0.35">
      <c r="R109" s="49"/>
    </row>
    <row r="110" spans="18:18" x14ac:dyDescent="0.35">
      <c r="R110" s="49"/>
    </row>
    <row r="111" spans="18:18" x14ac:dyDescent="0.35">
      <c r="R111" s="49"/>
    </row>
    <row r="112" spans="18:18" x14ac:dyDescent="0.35">
      <c r="R112" s="49"/>
    </row>
    <row r="113" spans="18:18" x14ac:dyDescent="0.35">
      <c r="R113" s="49"/>
    </row>
    <row r="114" spans="18:18" x14ac:dyDescent="0.35">
      <c r="R114" s="49"/>
    </row>
    <row r="115" spans="18:18" x14ac:dyDescent="0.35">
      <c r="R115" s="49"/>
    </row>
    <row r="116" spans="18:18" x14ac:dyDescent="0.35">
      <c r="R116" s="49"/>
    </row>
    <row r="117" spans="18:18" x14ac:dyDescent="0.35">
      <c r="R117" s="49"/>
    </row>
    <row r="118" spans="18:18" x14ac:dyDescent="0.35">
      <c r="R118" s="49"/>
    </row>
    <row r="119" spans="18:18" x14ac:dyDescent="0.35">
      <c r="R119" s="49"/>
    </row>
    <row r="120" spans="18:18" x14ac:dyDescent="0.35">
      <c r="R120" s="49"/>
    </row>
    <row r="121" spans="18:18" x14ac:dyDescent="0.35">
      <c r="R121" s="49"/>
    </row>
    <row r="122" spans="18:18" x14ac:dyDescent="0.35">
      <c r="R122" s="49"/>
    </row>
    <row r="123" spans="18:18" x14ac:dyDescent="0.35">
      <c r="R123" s="49"/>
    </row>
    <row r="124" spans="18:18" x14ac:dyDescent="0.35">
      <c r="R124" s="49"/>
    </row>
    <row r="125" spans="18:18" x14ac:dyDescent="0.35">
      <c r="R125" s="49"/>
    </row>
    <row r="126" spans="18:18" x14ac:dyDescent="0.35">
      <c r="R126" s="49"/>
    </row>
    <row r="127" spans="18:18" x14ac:dyDescent="0.35">
      <c r="R127" s="49"/>
    </row>
    <row r="128" spans="18:18" x14ac:dyDescent="0.35">
      <c r="R128" s="49"/>
    </row>
    <row r="129" spans="18:18" x14ac:dyDescent="0.35">
      <c r="R129" s="49"/>
    </row>
    <row r="130" spans="18:18" x14ac:dyDescent="0.35">
      <c r="R130" s="49"/>
    </row>
    <row r="131" spans="18:18" x14ac:dyDescent="0.35">
      <c r="R131" s="49"/>
    </row>
    <row r="132" spans="18:18" x14ac:dyDescent="0.35">
      <c r="R132" s="49"/>
    </row>
    <row r="133" spans="18:18" x14ac:dyDescent="0.35">
      <c r="R133" s="49"/>
    </row>
    <row r="134" spans="18:18" x14ac:dyDescent="0.35">
      <c r="R134" s="49"/>
    </row>
    <row r="135" spans="18:18" x14ac:dyDescent="0.35">
      <c r="R135" s="49"/>
    </row>
    <row r="136" spans="18:18" x14ac:dyDescent="0.35">
      <c r="R136" s="49"/>
    </row>
    <row r="137" spans="18:18" x14ac:dyDescent="0.35">
      <c r="R137" s="49"/>
    </row>
    <row r="138" spans="18:18" x14ac:dyDescent="0.35">
      <c r="R138" s="49"/>
    </row>
    <row r="139" spans="18:18" x14ac:dyDescent="0.35">
      <c r="R139" s="49"/>
    </row>
    <row r="140" spans="18:18" x14ac:dyDescent="0.35">
      <c r="R140" s="49"/>
    </row>
    <row r="141" spans="18:18" x14ac:dyDescent="0.35">
      <c r="R141" s="49"/>
    </row>
    <row r="142" spans="18:18" x14ac:dyDescent="0.35">
      <c r="R142" s="49"/>
    </row>
    <row r="143" spans="18:18" x14ac:dyDescent="0.35">
      <c r="R143" s="49"/>
    </row>
    <row r="144" spans="18:18" x14ac:dyDescent="0.35">
      <c r="R144" s="49"/>
    </row>
    <row r="145" spans="18:18" x14ac:dyDescent="0.35">
      <c r="R145" s="49"/>
    </row>
    <row r="146" spans="18:18" x14ac:dyDescent="0.35">
      <c r="R146" s="49"/>
    </row>
    <row r="147" spans="18:18" x14ac:dyDescent="0.35">
      <c r="R147" s="49"/>
    </row>
    <row r="148" spans="18:18" x14ac:dyDescent="0.35">
      <c r="R148" s="49"/>
    </row>
    <row r="149" spans="18:18" x14ac:dyDescent="0.35">
      <c r="R149" s="49"/>
    </row>
    <row r="150" spans="18:18" x14ac:dyDescent="0.35">
      <c r="R150" s="49"/>
    </row>
    <row r="151" spans="18:18" x14ac:dyDescent="0.35">
      <c r="R151" s="49"/>
    </row>
    <row r="152" spans="18:18" x14ac:dyDescent="0.35">
      <c r="R152" s="49"/>
    </row>
    <row r="153" spans="18:18" x14ac:dyDescent="0.35">
      <c r="R153" s="49"/>
    </row>
    <row r="154" spans="18:18" x14ac:dyDescent="0.35">
      <c r="R154" s="49"/>
    </row>
    <row r="155" spans="18:18" x14ac:dyDescent="0.35">
      <c r="R155" s="49"/>
    </row>
    <row r="156" spans="18:18" x14ac:dyDescent="0.35">
      <c r="R156" s="49"/>
    </row>
    <row r="157" spans="18:18" x14ac:dyDescent="0.35">
      <c r="R157" s="49"/>
    </row>
    <row r="158" spans="18:18" x14ac:dyDescent="0.35">
      <c r="R158" s="49"/>
    </row>
    <row r="159" spans="18:18" x14ac:dyDescent="0.35">
      <c r="R159" s="49"/>
    </row>
    <row r="160" spans="18:18" x14ac:dyDescent="0.35">
      <c r="R160" s="49"/>
    </row>
    <row r="161" spans="18:18" x14ac:dyDescent="0.35">
      <c r="R161" s="49"/>
    </row>
    <row r="162" spans="18:18" x14ac:dyDescent="0.35">
      <c r="R162" s="49"/>
    </row>
    <row r="163" spans="18:18" x14ac:dyDescent="0.35">
      <c r="R163" s="49"/>
    </row>
    <row r="164" spans="18:18" x14ac:dyDescent="0.35">
      <c r="R164" s="49"/>
    </row>
    <row r="165" spans="18:18" x14ac:dyDescent="0.35">
      <c r="R165" s="49"/>
    </row>
    <row r="166" spans="18:18" x14ac:dyDescent="0.35">
      <c r="R166" s="49"/>
    </row>
    <row r="167" spans="18:18" x14ac:dyDescent="0.35">
      <c r="R167" s="49"/>
    </row>
    <row r="168" spans="18:18" x14ac:dyDescent="0.35">
      <c r="R168" s="49"/>
    </row>
    <row r="169" spans="18:18" x14ac:dyDescent="0.35">
      <c r="R169" s="49"/>
    </row>
    <row r="170" spans="18:18" x14ac:dyDescent="0.35">
      <c r="R170" s="49"/>
    </row>
    <row r="171" spans="18:18" x14ac:dyDescent="0.35">
      <c r="R171" s="49"/>
    </row>
    <row r="172" spans="18:18" x14ac:dyDescent="0.35">
      <c r="R172" s="49"/>
    </row>
    <row r="173" spans="18:18" x14ac:dyDescent="0.35">
      <c r="R173" s="49"/>
    </row>
    <row r="174" spans="18:18" x14ac:dyDescent="0.35">
      <c r="R174" s="49"/>
    </row>
    <row r="175" spans="18:18" x14ac:dyDescent="0.35">
      <c r="R175" s="49"/>
    </row>
    <row r="176" spans="18:18" x14ac:dyDescent="0.35">
      <c r="R176" s="49"/>
    </row>
    <row r="177" spans="18:18" x14ac:dyDescent="0.35">
      <c r="R177" s="49"/>
    </row>
    <row r="178" spans="18:18" x14ac:dyDescent="0.35">
      <c r="R178" s="49"/>
    </row>
    <row r="179" spans="18:18" x14ac:dyDescent="0.35">
      <c r="R179" s="49"/>
    </row>
    <row r="180" spans="18:18" x14ac:dyDescent="0.35">
      <c r="R180" s="49"/>
    </row>
    <row r="181" spans="18:18" x14ac:dyDescent="0.35">
      <c r="R181" s="49"/>
    </row>
    <row r="182" spans="18:18" x14ac:dyDescent="0.35">
      <c r="R182" s="49"/>
    </row>
    <row r="183" spans="18:18" x14ac:dyDescent="0.35">
      <c r="R183" s="49"/>
    </row>
    <row r="184" spans="18:18" x14ac:dyDescent="0.35">
      <c r="R184" s="49"/>
    </row>
    <row r="185" spans="18:18" x14ac:dyDescent="0.35">
      <c r="R185" s="49"/>
    </row>
    <row r="186" spans="18:18" x14ac:dyDescent="0.35">
      <c r="R186" s="49"/>
    </row>
    <row r="187" spans="18:18" x14ac:dyDescent="0.35">
      <c r="R187" s="49"/>
    </row>
    <row r="188" spans="18:18" x14ac:dyDescent="0.35">
      <c r="R188" s="49"/>
    </row>
    <row r="189" spans="18:18" x14ac:dyDescent="0.35">
      <c r="R189" s="49"/>
    </row>
    <row r="190" spans="18:18" x14ac:dyDescent="0.35">
      <c r="R190" s="49"/>
    </row>
    <row r="191" spans="18:18" x14ac:dyDescent="0.35">
      <c r="R191" s="49"/>
    </row>
    <row r="192" spans="18:18" x14ac:dyDescent="0.35">
      <c r="R192" s="49"/>
    </row>
    <row r="193" spans="18:18" x14ac:dyDescent="0.35">
      <c r="R193" s="49"/>
    </row>
    <row r="194" spans="18:18" x14ac:dyDescent="0.35">
      <c r="R194" s="49"/>
    </row>
    <row r="195" spans="18:18" x14ac:dyDescent="0.35">
      <c r="R195" s="49"/>
    </row>
    <row r="196" spans="18:18" x14ac:dyDescent="0.35">
      <c r="R196" s="49"/>
    </row>
    <row r="197" spans="18:18" x14ac:dyDescent="0.35">
      <c r="R197" s="49"/>
    </row>
    <row r="198" spans="18:18" x14ac:dyDescent="0.35">
      <c r="R198" s="49"/>
    </row>
    <row r="199" spans="18:18" x14ac:dyDescent="0.35">
      <c r="R199" s="49"/>
    </row>
    <row r="200" spans="18:18" x14ac:dyDescent="0.35">
      <c r="R200" s="49"/>
    </row>
    <row r="201" spans="18:18" x14ac:dyDescent="0.35">
      <c r="R201" s="49"/>
    </row>
    <row r="202" spans="18:18" x14ac:dyDescent="0.35">
      <c r="R202" s="49"/>
    </row>
    <row r="203" spans="18:18" x14ac:dyDescent="0.35">
      <c r="R203" s="49"/>
    </row>
    <row r="204" spans="18:18" x14ac:dyDescent="0.35">
      <c r="R204" s="49"/>
    </row>
    <row r="205" spans="18:18" x14ac:dyDescent="0.35">
      <c r="R205" s="49"/>
    </row>
    <row r="206" spans="18:18" x14ac:dyDescent="0.35">
      <c r="R206" s="49"/>
    </row>
    <row r="207" spans="18:18" x14ac:dyDescent="0.35">
      <c r="R207" s="49"/>
    </row>
    <row r="208" spans="18:18" x14ac:dyDescent="0.35">
      <c r="R208" s="49"/>
    </row>
    <row r="209" spans="18:18" x14ac:dyDescent="0.35">
      <c r="R209" s="49"/>
    </row>
    <row r="210" spans="18:18" x14ac:dyDescent="0.35">
      <c r="R210" s="49"/>
    </row>
    <row r="211" spans="18:18" x14ac:dyDescent="0.35">
      <c r="R211" s="49"/>
    </row>
    <row r="212" spans="18:18" x14ac:dyDescent="0.35">
      <c r="R212" s="49"/>
    </row>
    <row r="213" spans="18:18" x14ac:dyDescent="0.35">
      <c r="R213" s="49"/>
    </row>
    <row r="214" spans="18:18" x14ac:dyDescent="0.35">
      <c r="R214" s="49"/>
    </row>
    <row r="215" spans="18:18" x14ac:dyDescent="0.35">
      <c r="R215" s="49"/>
    </row>
    <row r="216" spans="18:18" x14ac:dyDescent="0.35">
      <c r="R216" s="49"/>
    </row>
    <row r="217" spans="18:18" x14ac:dyDescent="0.35">
      <c r="R217" s="49"/>
    </row>
    <row r="218" spans="18:18" x14ac:dyDescent="0.35">
      <c r="R218" s="49"/>
    </row>
    <row r="219" spans="18:18" x14ac:dyDescent="0.35">
      <c r="R219" s="49"/>
    </row>
    <row r="220" spans="18:18" x14ac:dyDescent="0.35">
      <c r="R220" s="49"/>
    </row>
    <row r="221" spans="18:18" x14ac:dyDescent="0.35">
      <c r="R221" s="49"/>
    </row>
    <row r="222" spans="18:18" x14ac:dyDescent="0.35">
      <c r="R222" s="49"/>
    </row>
    <row r="223" spans="18:18" x14ac:dyDescent="0.35">
      <c r="R223" s="49"/>
    </row>
    <row r="224" spans="18:18" x14ac:dyDescent="0.35">
      <c r="R224" s="49"/>
    </row>
    <row r="225" spans="18:18" x14ac:dyDescent="0.35">
      <c r="R225" s="49"/>
    </row>
    <row r="226" spans="18:18" x14ac:dyDescent="0.35">
      <c r="R226" s="49"/>
    </row>
    <row r="227" spans="18:18" x14ac:dyDescent="0.35">
      <c r="R227" s="49"/>
    </row>
    <row r="228" spans="18:18" x14ac:dyDescent="0.35">
      <c r="R228" s="49"/>
    </row>
    <row r="229" spans="18:18" x14ac:dyDescent="0.35">
      <c r="R229" s="49"/>
    </row>
    <row r="230" spans="18:18" x14ac:dyDescent="0.35">
      <c r="R230" s="49"/>
    </row>
    <row r="231" spans="18:18" x14ac:dyDescent="0.35">
      <c r="R231" s="49"/>
    </row>
    <row r="232" spans="18:18" x14ac:dyDescent="0.35">
      <c r="R232" s="49"/>
    </row>
    <row r="233" spans="18:18" x14ac:dyDescent="0.35">
      <c r="R233" s="49"/>
    </row>
    <row r="234" spans="18:18" x14ac:dyDescent="0.35">
      <c r="R234" s="49"/>
    </row>
    <row r="235" spans="18:18" x14ac:dyDescent="0.35">
      <c r="R235" s="49"/>
    </row>
    <row r="236" spans="18:18" x14ac:dyDescent="0.35">
      <c r="R236" s="49"/>
    </row>
    <row r="237" spans="18:18" x14ac:dyDescent="0.35">
      <c r="R237" s="49"/>
    </row>
    <row r="238" spans="18:18" x14ac:dyDescent="0.35">
      <c r="R238" s="49"/>
    </row>
    <row r="239" spans="18:18" x14ac:dyDescent="0.35">
      <c r="R239" s="49"/>
    </row>
    <row r="240" spans="18:18" x14ac:dyDescent="0.35">
      <c r="R240" s="49"/>
    </row>
    <row r="241" spans="18:18" x14ac:dyDescent="0.35">
      <c r="R241" s="49"/>
    </row>
    <row r="242" spans="18:18" x14ac:dyDescent="0.35">
      <c r="R242" s="49"/>
    </row>
    <row r="243" spans="18:18" x14ac:dyDescent="0.35">
      <c r="R243" s="49"/>
    </row>
    <row r="244" spans="18:18" x14ac:dyDescent="0.35">
      <c r="R244" s="49"/>
    </row>
    <row r="245" spans="18:18" x14ac:dyDescent="0.35">
      <c r="R245" s="49"/>
    </row>
    <row r="246" spans="18:18" x14ac:dyDescent="0.35">
      <c r="R246" s="49"/>
    </row>
    <row r="247" spans="18:18" x14ac:dyDescent="0.35">
      <c r="R247" s="49"/>
    </row>
    <row r="248" spans="18:18" x14ac:dyDescent="0.35">
      <c r="R248" s="49"/>
    </row>
    <row r="249" spans="18:18" x14ac:dyDescent="0.35">
      <c r="R249" s="49"/>
    </row>
    <row r="250" spans="18:18" x14ac:dyDescent="0.35">
      <c r="R250" s="49"/>
    </row>
    <row r="251" spans="18:18" x14ac:dyDescent="0.35">
      <c r="R251" s="49"/>
    </row>
    <row r="252" spans="18:18" x14ac:dyDescent="0.35">
      <c r="R252" s="49"/>
    </row>
    <row r="253" spans="18:18" x14ac:dyDescent="0.35">
      <c r="R253" s="49"/>
    </row>
    <row r="254" spans="18:18" x14ac:dyDescent="0.35">
      <c r="R254" s="49"/>
    </row>
    <row r="255" spans="18:18" x14ac:dyDescent="0.35">
      <c r="R255" s="49"/>
    </row>
    <row r="256" spans="18:18" x14ac:dyDescent="0.35">
      <c r="R256" s="49"/>
    </row>
    <row r="257" spans="18:18" x14ac:dyDescent="0.35">
      <c r="R257" s="49"/>
    </row>
    <row r="258" spans="18:18" x14ac:dyDescent="0.35">
      <c r="R258" s="49"/>
    </row>
    <row r="259" spans="18:18" x14ac:dyDescent="0.35">
      <c r="R259" s="49"/>
    </row>
    <row r="260" spans="18:18" x14ac:dyDescent="0.35">
      <c r="R260" s="49"/>
    </row>
    <row r="261" spans="18:18" x14ac:dyDescent="0.35">
      <c r="R261" s="49"/>
    </row>
    <row r="262" spans="18:18" x14ac:dyDescent="0.35">
      <c r="R262" s="49"/>
    </row>
    <row r="263" spans="18:18" x14ac:dyDescent="0.35">
      <c r="R263" s="49"/>
    </row>
    <row r="264" spans="18:18" x14ac:dyDescent="0.35">
      <c r="R264" s="49"/>
    </row>
    <row r="265" spans="18:18" x14ac:dyDescent="0.35">
      <c r="R265" s="49"/>
    </row>
    <row r="266" spans="18:18" x14ac:dyDescent="0.35">
      <c r="R266" s="49"/>
    </row>
    <row r="267" spans="18:18" x14ac:dyDescent="0.35">
      <c r="R267" s="49"/>
    </row>
    <row r="268" spans="18:18" x14ac:dyDescent="0.35">
      <c r="R268" s="49"/>
    </row>
    <row r="269" spans="18:18" x14ac:dyDescent="0.35">
      <c r="R269" s="49"/>
    </row>
    <row r="270" spans="18:18" x14ac:dyDescent="0.35">
      <c r="R270" s="49"/>
    </row>
    <row r="271" spans="18:18" x14ac:dyDescent="0.35">
      <c r="R271" s="49"/>
    </row>
    <row r="272" spans="18:18" x14ac:dyDescent="0.35">
      <c r="R272" s="49"/>
    </row>
    <row r="273" spans="18:18" x14ac:dyDescent="0.35">
      <c r="R273" s="49"/>
    </row>
    <row r="274" spans="18:18" x14ac:dyDescent="0.35">
      <c r="R274" s="49"/>
    </row>
    <row r="275" spans="18:18" x14ac:dyDescent="0.35">
      <c r="R275" s="49"/>
    </row>
    <row r="276" spans="18:18" x14ac:dyDescent="0.35">
      <c r="R276" s="49"/>
    </row>
    <row r="277" spans="18:18" x14ac:dyDescent="0.35">
      <c r="R277" s="49"/>
    </row>
    <row r="278" spans="18:18" x14ac:dyDescent="0.35">
      <c r="R278" s="49"/>
    </row>
    <row r="279" spans="18:18" x14ac:dyDescent="0.35">
      <c r="R279" s="49"/>
    </row>
    <row r="280" spans="18:18" x14ac:dyDescent="0.35">
      <c r="R280" s="49"/>
    </row>
    <row r="281" spans="18:18" x14ac:dyDescent="0.35">
      <c r="R281" s="49"/>
    </row>
    <row r="282" spans="18:18" x14ac:dyDescent="0.35">
      <c r="R282" s="49"/>
    </row>
    <row r="283" spans="18:18" x14ac:dyDescent="0.35">
      <c r="R283" s="49"/>
    </row>
    <row r="284" spans="18:18" x14ac:dyDescent="0.35">
      <c r="R284" s="49"/>
    </row>
    <row r="285" spans="18:18" x14ac:dyDescent="0.35">
      <c r="R285" s="49"/>
    </row>
    <row r="286" spans="18:18" x14ac:dyDescent="0.35">
      <c r="R286" s="49"/>
    </row>
    <row r="287" spans="18:18" x14ac:dyDescent="0.35">
      <c r="R287" s="49"/>
    </row>
    <row r="288" spans="18:18" x14ac:dyDescent="0.35">
      <c r="R288" s="49"/>
    </row>
    <row r="289" spans="18:18" x14ac:dyDescent="0.35">
      <c r="R289" s="49"/>
    </row>
    <row r="290" spans="18:18" x14ac:dyDescent="0.35">
      <c r="R290" s="49"/>
    </row>
    <row r="291" spans="18:18" x14ac:dyDescent="0.35">
      <c r="R291" s="49"/>
    </row>
    <row r="292" spans="18:18" x14ac:dyDescent="0.35">
      <c r="R292" s="49"/>
    </row>
    <row r="293" spans="18:18" x14ac:dyDescent="0.35">
      <c r="R293" s="49"/>
    </row>
    <row r="294" spans="18:18" x14ac:dyDescent="0.35">
      <c r="R294" s="49"/>
    </row>
    <row r="295" spans="18:18" x14ac:dyDescent="0.35">
      <c r="R295" s="49"/>
    </row>
    <row r="296" spans="18:18" x14ac:dyDescent="0.35">
      <c r="R296" s="49"/>
    </row>
    <row r="297" spans="18:18" x14ac:dyDescent="0.35">
      <c r="R297" s="49"/>
    </row>
    <row r="298" spans="18:18" x14ac:dyDescent="0.35">
      <c r="R298" s="49"/>
    </row>
    <row r="299" spans="18:18" x14ac:dyDescent="0.35">
      <c r="R299" s="49"/>
    </row>
    <row r="300" spans="18:18" x14ac:dyDescent="0.35">
      <c r="R300" s="49"/>
    </row>
    <row r="301" spans="18:18" x14ac:dyDescent="0.35">
      <c r="R301" s="49"/>
    </row>
    <row r="302" spans="18:18" x14ac:dyDescent="0.35">
      <c r="R302" s="49"/>
    </row>
    <row r="303" spans="18:18" x14ac:dyDescent="0.35">
      <c r="R303" s="49"/>
    </row>
    <row r="304" spans="18:18" x14ac:dyDescent="0.35">
      <c r="R304" s="49"/>
    </row>
    <row r="305" spans="18:18" x14ac:dyDescent="0.35">
      <c r="R305" s="49"/>
    </row>
    <row r="306" spans="18:18" x14ac:dyDescent="0.35">
      <c r="R306" s="49"/>
    </row>
    <row r="307" spans="18:18" x14ac:dyDescent="0.35">
      <c r="R307" s="49"/>
    </row>
    <row r="308" spans="18:18" x14ac:dyDescent="0.35">
      <c r="R308" s="49"/>
    </row>
    <row r="309" spans="18:18" x14ac:dyDescent="0.35">
      <c r="R309" s="49"/>
    </row>
    <row r="310" spans="18:18" x14ac:dyDescent="0.35">
      <c r="R310" s="49"/>
    </row>
    <row r="311" spans="18:18" x14ac:dyDescent="0.35">
      <c r="R311" s="49"/>
    </row>
    <row r="312" spans="18:18" x14ac:dyDescent="0.35">
      <c r="R312" s="49"/>
    </row>
    <row r="313" spans="18:18" x14ac:dyDescent="0.35">
      <c r="R313" s="49"/>
    </row>
    <row r="314" spans="18:18" x14ac:dyDescent="0.35">
      <c r="R314" s="49"/>
    </row>
    <row r="315" spans="18:18" x14ac:dyDescent="0.35">
      <c r="R315" s="49"/>
    </row>
    <row r="316" spans="18:18" x14ac:dyDescent="0.35">
      <c r="R316" s="49"/>
    </row>
    <row r="317" spans="18:18" x14ac:dyDescent="0.35">
      <c r="R317" s="49"/>
    </row>
    <row r="318" spans="18:18" x14ac:dyDescent="0.35">
      <c r="R318" s="49"/>
    </row>
    <row r="319" spans="18:18" x14ac:dyDescent="0.35">
      <c r="R319" s="49"/>
    </row>
    <row r="320" spans="18:18" x14ac:dyDescent="0.35">
      <c r="R320" s="49"/>
    </row>
    <row r="321" spans="18:18" x14ac:dyDescent="0.35">
      <c r="R321" s="49"/>
    </row>
    <row r="322" spans="18:18" x14ac:dyDescent="0.35">
      <c r="R322" s="49"/>
    </row>
    <row r="323" spans="18:18" x14ac:dyDescent="0.35">
      <c r="R323" s="49"/>
    </row>
    <row r="324" spans="18:18" x14ac:dyDescent="0.35">
      <c r="R324" s="49"/>
    </row>
    <row r="325" spans="18:18" x14ac:dyDescent="0.35">
      <c r="R325" s="49"/>
    </row>
    <row r="326" spans="18:18" x14ac:dyDescent="0.35">
      <c r="R326" s="49"/>
    </row>
    <row r="327" spans="18:18" x14ac:dyDescent="0.35">
      <c r="R327" s="49"/>
    </row>
    <row r="328" spans="18:18" x14ac:dyDescent="0.35">
      <c r="R328" s="49"/>
    </row>
    <row r="329" spans="18:18" x14ac:dyDescent="0.35">
      <c r="R329" s="49"/>
    </row>
    <row r="330" spans="18:18" x14ac:dyDescent="0.35">
      <c r="R330" s="49"/>
    </row>
    <row r="331" spans="18:18" x14ac:dyDescent="0.35">
      <c r="R331" s="49"/>
    </row>
    <row r="332" spans="18:18" x14ac:dyDescent="0.35">
      <c r="R332" s="49"/>
    </row>
    <row r="333" spans="18:18" x14ac:dyDescent="0.35">
      <c r="R333" s="49"/>
    </row>
    <row r="334" spans="18:18" x14ac:dyDescent="0.35">
      <c r="R334" s="49"/>
    </row>
    <row r="335" spans="18:18" x14ac:dyDescent="0.35">
      <c r="R335" s="49"/>
    </row>
    <row r="336" spans="18:18" x14ac:dyDescent="0.35">
      <c r="R336" s="49"/>
    </row>
    <row r="337" spans="18:18" x14ac:dyDescent="0.35">
      <c r="R337" s="49"/>
    </row>
    <row r="338" spans="18:18" x14ac:dyDescent="0.35">
      <c r="R338" s="49"/>
    </row>
    <row r="339" spans="18:18" x14ac:dyDescent="0.35">
      <c r="R339" s="49"/>
    </row>
    <row r="340" spans="18:18" x14ac:dyDescent="0.35">
      <c r="R340" s="49"/>
    </row>
    <row r="341" spans="18:18" x14ac:dyDescent="0.35">
      <c r="R341" s="49"/>
    </row>
    <row r="342" spans="18:18" x14ac:dyDescent="0.35">
      <c r="R342" s="49"/>
    </row>
    <row r="343" spans="18:18" x14ac:dyDescent="0.35">
      <c r="R343" s="49"/>
    </row>
    <row r="344" spans="18:18" x14ac:dyDescent="0.35">
      <c r="R344" s="49"/>
    </row>
    <row r="345" spans="18:18" x14ac:dyDescent="0.35">
      <c r="R345" s="49"/>
    </row>
    <row r="346" spans="18:18" x14ac:dyDescent="0.35">
      <c r="R346" s="49"/>
    </row>
    <row r="347" spans="18:18" x14ac:dyDescent="0.35">
      <c r="R347" s="49"/>
    </row>
    <row r="348" spans="18:18" x14ac:dyDescent="0.35">
      <c r="R348" s="49"/>
    </row>
    <row r="349" spans="18:18" x14ac:dyDescent="0.35">
      <c r="R349" s="49"/>
    </row>
    <row r="350" spans="18:18" x14ac:dyDescent="0.35">
      <c r="R350" s="49"/>
    </row>
    <row r="351" spans="18:18" x14ac:dyDescent="0.35">
      <c r="R351" s="49"/>
    </row>
    <row r="352" spans="18:18" x14ac:dyDescent="0.35">
      <c r="R352" s="49"/>
    </row>
    <row r="353" spans="18:18" x14ac:dyDescent="0.35">
      <c r="R353" s="49"/>
    </row>
    <row r="354" spans="18:18" x14ac:dyDescent="0.35">
      <c r="R354" s="49"/>
    </row>
    <row r="355" spans="18:18" x14ac:dyDescent="0.35">
      <c r="R355" s="49"/>
    </row>
    <row r="356" spans="18:18" x14ac:dyDescent="0.35">
      <c r="R356" s="49"/>
    </row>
    <row r="357" spans="18:18" x14ac:dyDescent="0.35">
      <c r="R357" s="49"/>
    </row>
    <row r="358" spans="18:18" x14ac:dyDescent="0.35">
      <c r="R358" s="49"/>
    </row>
    <row r="359" spans="18:18" x14ac:dyDescent="0.35">
      <c r="R359" s="49"/>
    </row>
    <row r="360" spans="18:18" x14ac:dyDescent="0.35">
      <c r="R360" s="49"/>
    </row>
    <row r="361" spans="18:18" x14ac:dyDescent="0.35">
      <c r="R361" s="49"/>
    </row>
    <row r="362" spans="18:18" x14ac:dyDescent="0.35">
      <c r="R362" s="49"/>
    </row>
    <row r="363" spans="18:18" x14ac:dyDescent="0.35">
      <c r="R363" s="49"/>
    </row>
    <row r="364" spans="18:18" x14ac:dyDescent="0.35">
      <c r="R364" s="49"/>
    </row>
    <row r="365" spans="18:18" x14ac:dyDescent="0.35">
      <c r="R365" s="49"/>
    </row>
    <row r="366" spans="18:18" x14ac:dyDescent="0.35">
      <c r="R366" s="49"/>
    </row>
    <row r="367" spans="18:18" x14ac:dyDescent="0.35">
      <c r="R367" s="49"/>
    </row>
    <row r="368" spans="18:18" x14ac:dyDescent="0.35">
      <c r="R368" s="49"/>
    </row>
    <row r="369" spans="18:18" x14ac:dyDescent="0.35">
      <c r="R369" s="49"/>
    </row>
    <row r="370" spans="18:18" x14ac:dyDescent="0.35">
      <c r="R370" s="49"/>
    </row>
    <row r="371" spans="18:18" x14ac:dyDescent="0.35">
      <c r="R371" s="49"/>
    </row>
    <row r="372" spans="18:18" x14ac:dyDescent="0.35">
      <c r="R372" s="49"/>
    </row>
    <row r="373" spans="18:18" x14ac:dyDescent="0.35">
      <c r="R373" s="49"/>
    </row>
    <row r="374" spans="18:18" x14ac:dyDescent="0.35">
      <c r="R374" s="49"/>
    </row>
    <row r="375" spans="18:18" x14ac:dyDescent="0.35">
      <c r="R375" s="49"/>
    </row>
    <row r="376" spans="18:18" x14ac:dyDescent="0.35">
      <c r="R376" s="49"/>
    </row>
    <row r="377" spans="18:18" x14ac:dyDescent="0.35">
      <c r="R377" s="49"/>
    </row>
    <row r="378" spans="18:18" x14ac:dyDescent="0.35">
      <c r="R378" s="49"/>
    </row>
    <row r="379" spans="18:18" x14ac:dyDescent="0.35">
      <c r="R379" s="49"/>
    </row>
    <row r="380" spans="18:18" x14ac:dyDescent="0.35">
      <c r="R380" s="49"/>
    </row>
    <row r="381" spans="18:18" x14ac:dyDescent="0.35">
      <c r="R381" s="49"/>
    </row>
    <row r="382" spans="18:18" x14ac:dyDescent="0.35">
      <c r="R382" s="49"/>
    </row>
    <row r="383" spans="18:18" x14ac:dyDescent="0.35">
      <c r="R383" s="49"/>
    </row>
    <row r="384" spans="18:18" x14ac:dyDescent="0.35">
      <c r="R384" s="49"/>
    </row>
    <row r="385" spans="18:18" x14ac:dyDescent="0.35">
      <c r="R385" s="49"/>
    </row>
    <row r="386" spans="18:18" x14ac:dyDescent="0.35">
      <c r="R386" s="49"/>
    </row>
    <row r="387" spans="18:18" x14ac:dyDescent="0.35">
      <c r="R387" s="49"/>
    </row>
    <row r="388" spans="18:18" x14ac:dyDescent="0.35">
      <c r="R388" s="49"/>
    </row>
    <row r="389" spans="18:18" x14ac:dyDescent="0.35">
      <c r="R389" s="49"/>
    </row>
    <row r="390" spans="18:18" x14ac:dyDescent="0.35">
      <c r="R390" s="49"/>
    </row>
    <row r="391" spans="18:18" x14ac:dyDescent="0.35">
      <c r="R391" s="49"/>
    </row>
    <row r="392" spans="18:18" x14ac:dyDescent="0.35">
      <c r="R392" s="49"/>
    </row>
    <row r="393" spans="18:18" x14ac:dyDescent="0.35">
      <c r="R393" s="49"/>
    </row>
    <row r="394" spans="18:18" x14ac:dyDescent="0.35">
      <c r="R394" s="49"/>
    </row>
    <row r="395" spans="18:18" x14ac:dyDescent="0.35">
      <c r="R395" s="49"/>
    </row>
    <row r="396" spans="18:18" x14ac:dyDescent="0.35">
      <c r="R396" s="49"/>
    </row>
    <row r="397" spans="18:18" x14ac:dyDescent="0.35">
      <c r="R397" s="49"/>
    </row>
    <row r="398" spans="18:18" x14ac:dyDescent="0.35">
      <c r="R398" s="49"/>
    </row>
    <row r="399" spans="18:18" x14ac:dyDescent="0.35">
      <c r="R399" s="49"/>
    </row>
    <row r="400" spans="18:18" x14ac:dyDescent="0.35">
      <c r="R400" s="49"/>
    </row>
    <row r="401" spans="18:18" x14ac:dyDescent="0.35">
      <c r="R401" s="49"/>
    </row>
    <row r="402" spans="18:18" x14ac:dyDescent="0.35">
      <c r="R402" s="49"/>
    </row>
    <row r="403" spans="18:18" x14ac:dyDescent="0.35">
      <c r="R403" s="49"/>
    </row>
    <row r="404" spans="18:18" x14ac:dyDescent="0.35">
      <c r="R404" s="49"/>
    </row>
    <row r="405" spans="18:18" x14ac:dyDescent="0.35">
      <c r="R405" s="49"/>
    </row>
    <row r="406" spans="18:18" x14ac:dyDescent="0.35">
      <c r="R406" s="49"/>
    </row>
    <row r="407" spans="18:18" x14ac:dyDescent="0.35">
      <c r="R407" s="49"/>
    </row>
    <row r="408" spans="18:18" x14ac:dyDescent="0.35">
      <c r="R408" s="49"/>
    </row>
    <row r="409" spans="18:18" x14ac:dyDescent="0.35">
      <c r="R409" s="49"/>
    </row>
    <row r="410" spans="18:18" x14ac:dyDescent="0.35">
      <c r="R410" s="49"/>
    </row>
    <row r="411" spans="18:18" x14ac:dyDescent="0.35">
      <c r="R411" s="49"/>
    </row>
    <row r="412" spans="18:18" x14ac:dyDescent="0.35">
      <c r="R412" s="49"/>
    </row>
    <row r="413" spans="18:18" x14ac:dyDescent="0.35">
      <c r="R413" s="49"/>
    </row>
    <row r="414" spans="18:18" x14ac:dyDescent="0.35">
      <c r="R414" s="49"/>
    </row>
    <row r="415" spans="18:18" x14ac:dyDescent="0.35">
      <c r="R415" s="49"/>
    </row>
    <row r="416" spans="18:18" x14ac:dyDescent="0.35">
      <c r="R416" s="49"/>
    </row>
    <row r="417" spans="18:18" x14ac:dyDescent="0.35">
      <c r="R417" s="49"/>
    </row>
    <row r="418" spans="18:18" x14ac:dyDescent="0.35">
      <c r="R418" s="49"/>
    </row>
    <row r="419" spans="18:18" x14ac:dyDescent="0.35">
      <c r="R419" s="49"/>
    </row>
    <row r="420" spans="18:18" x14ac:dyDescent="0.35">
      <c r="R420" s="49"/>
    </row>
    <row r="421" spans="18:18" x14ac:dyDescent="0.35">
      <c r="R421" s="49"/>
    </row>
    <row r="422" spans="18:18" x14ac:dyDescent="0.35">
      <c r="R422" s="49"/>
    </row>
    <row r="423" spans="18:18" x14ac:dyDescent="0.35">
      <c r="R423" s="49"/>
    </row>
    <row r="424" spans="18:18" x14ac:dyDescent="0.35">
      <c r="R424" s="49"/>
    </row>
    <row r="425" spans="18:18" x14ac:dyDescent="0.35">
      <c r="R425" s="49"/>
    </row>
    <row r="426" spans="18:18" x14ac:dyDescent="0.35">
      <c r="R426" s="49"/>
    </row>
    <row r="427" spans="18:18" x14ac:dyDescent="0.35">
      <c r="R427" s="49"/>
    </row>
    <row r="428" spans="18:18" x14ac:dyDescent="0.35">
      <c r="R428" s="49"/>
    </row>
    <row r="429" spans="18:18" x14ac:dyDescent="0.35">
      <c r="R429" s="49"/>
    </row>
    <row r="430" spans="18:18" x14ac:dyDescent="0.35">
      <c r="R430" s="49"/>
    </row>
    <row r="431" spans="18:18" x14ac:dyDescent="0.35">
      <c r="R431" s="49"/>
    </row>
    <row r="432" spans="18:18" x14ac:dyDescent="0.35">
      <c r="R432" s="49"/>
    </row>
    <row r="433" spans="18:18" x14ac:dyDescent="0.35">
      <c r="R433" s="49"/>
    </row>
    <row r="434" spans="18:18" x14ac:dyDescent="0.35">
      <c r="R434" s="49"/>
    </row>
    <row r="435" spans="18:18" x14ac:dyDescent="0.35">
      <c r="R435" s="49"/>
    </row>
    <row r="436" spans="18:18" x14ac:dyDescent="0.35">
      <c r="R436" s="49"/>
    </row>
    <row r="437" spans="18:18" x14ac:dyDescent="0.35">
      <c r="R437" s="49"/>
    </row>
    <row r="438" spans="18:18" x14ac:dyDescent="0.35">
      <c r="R438" s="49"/>
    </row>
    <row r="439" spans="18:18" x14ac:dyDescent="0.35">
      <c r="R439" s="49"/>
    </row>
    <row r="440" spans="18:18" x14ac:dyDescent="0.35">
      <c r="R440" s="49"/>
    </row>
    <row r="441" spans="18:18" x14ac:dyDescent="0.35">
      <c r="R441" s="49"/>
    </row>
    <row r="442" spans="18:18" x14ac:dyDescent="0.35">
      <c r="R442" s="49"/>
    </row>
    <row r="443" spans="18:18" x14ac:dyDescent="0.35">
      <c r="R443" s="49"/>
    </row>
    <row r="444" spans="18:18" x14ac:dyDescent="0.35">
      <c r="R444" s="49"/>
    </row>
    <row r="445" spans="18:18" x14ac:dyDescent="0.35">
      <c r="R445" s="49"/>
    </row>
    <row r="446" spans="18:18" x14ac:dyDescent="0.35">
      <c r="R446" s="49"/>
    </row>
    <row r="447" spans="18:18" x14ac:dyDescent="0.35">
      <c r="R447" s="49"/>
    </row>
    <row r="448" spans="18:18" x14ac:dyDescent="0.35">
      <c r="R448" s="49"/>
    </row>
    <row r="449" spans="18:18" x14ac:dyDescent="0.35">
      <c r="R449" s="49"/>
    </row>
    <row r="450" spans="18:18" x14ac:dyDescent="0.35">
      <c r="R450" s="49"/>
    </row>
    <row r="451" spans="18:18" x14ac:dyDescent="0.35">
      <c r="R451" s="49"/>
    </row>
    <row r="452" spans="18:18" x14ac:dyDescent="0.35">
      <c r="R452" s="49"/>
    </row>
    <row r="453" spans="18:18" x14ac:dyDescent="0.35">
      <c r="R453" s="49"/>
    </row>
    <row r="454" spans="18:18" x14ac:dyDescent="0.35">
      <c r="R454" s="49"/>
    </row>
    <row r="455" spans="18:18" x14ac:dyDescent="0.35">
      <c r="R455" s="49"/>
    </row>
    <row r="456" spans="18:18" x14ac:dyDescent="0.35">
      <c r="R456" s="49"/>
    </row>
    <row r="457" spans="18:18" x14ac:dyDescent="0.35">
      <c r="R457" s="49"/>
    </row>
    <row r="458" spans="18:18" x14ac:dyDescent="0.35">
      <c r="R458" s="49"/>
    </row>
    <row r="459" spans="18:18" x14ac:dyDescent="0.35">
      <c r="R459" s="49"/>
    </row>
    <row r="460" spans="18:18" x14ac:dyDescent="0.35">
      <c r="R460" s="49"/>
    </row>
    <row r="461" spans="18:18" x14ac:dyDescent="0.35">
      <c r="R461" s="49"/>
    </row>
    <row r="462" spans="18:18" x14ac:dyDescent="0.35">
      <c r="R462" s="49"/>
    </row>
    <row r="463" spans="18:18" x14ac:dyDescent="0.35">
      <c r="R463" s="49"/>
    </row>
    <row r="464" spans="18:18" x14ac:dyDescent="0.35">
      <c r="R464" s="49"/>
    </row>
    <row r="465" spans="18:18" x14ac:dyDescent="0.35">
      <c r="R465" s="49"/>
    </row>
    <row r="466" spans="18:18" x14ac:dyDescent="0.35">
      <c r="R466" s="49"/>
    </row>
    <row r="467" spans="18:18" x14ac:dyDescent="0.35">
      <c r="R467" s="49"/>
    </row>
    <row r="468" spans="18:18" x14ac:dyDescent="0.35">
      <c r="R468" s="49"/>
    </row>
    <row r="469" spans="18:18" x14ac:dyDescent="0.35">
      <c r="R469" s="49"/>
    </row>
    <row r="470" spans="18:18" x14ac:dyDescent="0.35">
      <c r="R470" s="49"/>
    </row>
    <row r="471" spans="18:18" x14ac:dyDescent="0.35">
      <c r="R471" s="49"/>
    </row>
    <row r="472" spans="18:18" x14ac:dyDescent="0.35">
      <c r="R472" s="49"/>
    </row>
    <row r="473" spans="18:18" x14ac:dyDescent="0.35">
      <c r="R473" s="49"/>
    </row>
    <row r="474" spans="18:18" x14ac:dyDescent="0.35">
      <c r="R474" s="49"/>
    </row>
    <row r="475" spans="18:18" x14ac:dyDescent="0.35">
      <c r="R475" s="49"/>
    </row>
    <row r="476" spans="18:18" x14ac:dyDescent="0.35">
      <c r="R476" s="49"/>
    </row>
    <row r="477" spans="18:18" x14ac:dyDescent="0.35">
      <c r="R477" s="49"/>
    </row>
    <row r="478" spans="18:18" x14ac:dyDescent="0.35">
      <c r="R478" s="49"/>
    </row>
    <row r="479" spans="18:18" x14ac:dyDescent="0.35">
      <c r="R479" s="49"/>
    </row>
    <row r="480" spans="18:18" x14ac:dyDescent="0.35">
      <c r="R480" s="49"/>
    </row>
    <row r="481" spans="18:18" x14ac:dyDescent="0.35">
      <c r="R481" s="49"/>
    </row>
    <row r="482" spans="18:18" x14ac:dyDescent="0.35">
      <c r="R482" s="49"/>
    </row>
    <row r="483" spans="18:18" x14ac:dyDescent="0.35">
      <c r="R483" s="49"/>
    </row>
    <row r="484" spans="18:18" x14ac:dyDescent="0.35">
      <c r="R484" s="49"/>
    </row>
    <row r="485" spans="18:18" x14ac:dyDescent="0.35">
      <c r="R485" s="49"/>
    </row>
    <row r="486" spans="18:18" x14ac:dyDescent="0.35">
      <c r="R486" s="49"/>
    </row>
    <row r="487" spans="18:18" x14ac:dyDescent="0.35">
      <c r="R487" s="49"/>
    </row>
    <row r="488" spans="18:18" x14ac:dyDescent="0.35">
      <c r="R488" s="49"/>
    </row>
    <row r="489" spans="18:18" x14ac:dyDescent="0.35">
      <c r="R489" s="49"/>
    </row>
    <row r="490" spans="18:18" x14ac:dyDescent="0.35">
      <c r="R490" s="49"/>
    </row>
    <row r="491" spans="18:18" x14ac:dyDescent="0.35">
      <c r="R491" s="49"/>
    </row>
    <row r="492" spans="18:18" x14ac:dyDescent="0.35">
      <c r="R492" s="49"/>
    </row>
    <row r="493" spans="18:18" x14ac:dyDescent="0.35">
      <c r="R493" s="49"/>
    </row>
    <row r="494" spans="18:18" x14ac:dyDescent="0.35">
      <c r="R494" s="49"/>
    </row>
    <row r="495" spans="18:18" x14ac:dyDescent="0.35">
      <c r="R495" s="49"/>
    </row>
    <row r="496" spans="18:18" x14ac:dyDescent="0.35">
      <c r="R496" s="49"/>
    </row>
    <row r="497" spans="18:18" x14ac:dyDescent="0.35">
      <c r="R497" s="49"/>
    </row>
    <row r="498" spans="18:18" x14ac:dyDescent="0.35">
      <c r="R498" s="49"/>
    </row>
    <row r="499" spans="18:18" x14ac:dyDescent="0.35">
      <c r="R499" s="49"/>
    </row>
    <row r="500" spans="18:18" x14ac:dyDescent="0.35">
      <c r="R500" s="49"/>
    </row>
    <row r="501" spans="18:18" x14ac:dyDescent="0.35">
      <c r="R501" s="49"/>
    </row>
    <row r="502" spans="18:18" x14ac:dyDescent="0.35">
      <c r="R502" s="49"/>
    </row>
    <row r="503" spans="18:18" x14ac:dyDescent="0.35">
      <c r="R503" s="49"/>
    </row>
    <row r="504" spans="18:18" x14ac:dyDescent="0.35">
      <c r="R504" s="49"/>
    </row>
    <row r="505" spans="18:18" x14ac:dyDescent="0.35">
      <c r="R505" s="49"/>
    </row>
    <row r="506" spans="18:18" x14ac:dyDescent="0.35">
      <c r="R506" s="49"/>
    </row>
    <row r="507" spans="18:18" x14ac:dyDescent="0.35">
      <c r="R507" s="49"/>
    </row>
    <row r="508" spans="18:18" x14ac:dyDescent="0.35">
      <c r="R508" s="49"/>
    </row>
    <row r="509" spans="18:18" x14ac:dyDescent="0.35">
      <c r="R509" s="49"/>
    </row>
    <row r="510" spans="18:18" x14ac:dyDescent="0.35">
      <c r="R510" s="49"/>
    </row>
    <row r="511" spans="18:18" x14ac:dyDescent="0.35">
      <c r="R511" s="49"/>
    </row>
    <row r="512" spans="18:18" x14ac:dyDescent="0.35">
      <c r="R512" s="49"/>
    </row>
    <row r="513" spans="18:18" x14ac:dyDescent="0.35">
      <c r="R513" s="49"/>
    </row>
    <row r="514" spans="18:18" x14ac:dyDescent="0.35">
      <c r="R514" s="49"/>
    </row>
    <row r="515" spans="18:18" x14ac:dyDescent="0.35">
      <c r="R515" s="49"/>
    </row>
    <row r="516" spans="18:18" x14ac:dyDescent="0.35">
      <c r="R516" s="49"/>
    </row>
    <row r="517" spans="18:18" x14ac:dyDescent="0.35">
      <c r="R517" s="49"/>
    </row>
    <row r="518" spans="18:18" x14ac:dyDescent="0.35">
      <c r="R518" s="49"/>
    </row>
    <row r="519" spans="18:18" x14ac:dyDescent="0.35">
      <c r="R519" s="49"/>
    </row>
    <row r="520" spans="18:18" x14ac:dyDescent="0.35">
      <c r="R520" s="49"/>
    </row>
    <row r="521" spans="18:18" x14ac:dyDescent="0.35">
      <c r="R521" s="49"/>
    </row>
    <row r="522" spans="18:18" x14ac:dyDescent="0.35">
      <c r="R522" s="49"/>
    </row>
    <row r="523" spans="18:18" x14ac:dyDescent="0.35">
      <c r="R523" s="49"/>
    </row>
    <row r="524" spans="18:18" x14ac:dyDescent="0.35">
      <c r="R524" s="49"/>
    </row>
    <row r="525" spans="18:18" x14ac:dyDescent="0.35">
      <c r="R525" s="49"/>
    </row>
    <row r="526" spans="18:18" x14ac:dyDescent="0.35">
      <c r="R526" s="49"/>
    </row>
    <row r="527" spans="18:18" x14ac:dyDescent="0.35">
      <c r="R527" s="49"/>
    </row>
    <row r="528" spans="18:18" x14ac:dyDescent="0.35">
      <c r="R528" s="49"/>
    </row>
    <row r="529" spans="18:18" x14ac:dyDescent="0.35">
      <c r="R529" s="49"/>
    </row>
    <row r="530" spans="18:18" x14ac:dyDescent="0.35">
      <c r="R530" s="49"/>
    </row>
    <row r="531" spans="18:18" x14ac:dyDescent="0.35">
      <c r="R531" s="49"/>
    </row>
    <row r="532" spans="18:18" x14ac:dyDescent="0.35">
      <c r="R532" s="49"/>
    </row>
    <row r="533" spans="18:18" x14ac:dyDescent="0.35">
      <c r="R533" s="49"/>
    </row>
    <row r="534" spans="18:18" x14ac:dyDescent="0.35">
      <c r="R534" s="49"/>
    </row>
    <row r="535" spans="18:18" x14ac:dyDescent="0.35">
      <c r="R535" s="49"/>
    </row>
    <row r="536" spans="18:18" x14ac:dyDescent="0.35">
      <c r="R536" s="49"/>
    </row>
    <row r="537" spans="18:18" x14ac:dyDescent="0.35">
      <c r="R537" s="49"/>
    </row>
    <row r="538" spans="18:18" x14ac:dyDescent="0.35">
      <c r="R538" s="49"/>
    </row>
    <row r="539" spans="18:18" x14ac:dyDescent="0.35">
      <c r="R539" s="49"/>
    </row>
    <row r="540" spans="18:18" x14ac:dyDescent="0.35">
      <c r="R540" s="49"/>
    </row>
    <row r="541" spans="18:18" x14ac:dyDescent="0.35">
      <c r="R541" s="49"/>
    </row>
    <row r="542" spans="18:18" x14ac:dyDescent="0.35">
      <c r="R542" s="49"/>
    </row>
    <row r="543" spans="18:18" x14ac:dyDescent="0.35">
      <c r="R543" s="49"/>
    </row>
    <row r="544" spans="18:18" x14ac:dyDescent="0.35">
      <c r="R544" s="49"/>
    </row>
    <row r="545" spans="18:18" x14ac:dyDescent="0.35">
      <c r="R545" s="49"/>
    </row>
    <row r="546" spans="18:18" x14ac:dyDescent="0.35">
      <c r="R546" s="49"/>
    </row>
    <row r="547" spans="18:18" x14ac:dyDescent="0.35">
      <c r="R547" s="49"/>
    </row>
    <row r="548" spans="18:18" x14ac:dyDescent="0.35">
      <c r="R548" s="49"/>
    </row>
    <row r="549" spans="18:18" x14ac:dyDescent="0.35">
      <c r="R549" s="49"/>
    </row>
    <row r="550" spans="18:18" x14ac:dyDescent="0.35">
      <c r="R550" s="49"/>
    </row>
    <row r="551" spans="18:18" x14ac:dyDescent="0.35">
      <c r="R551" s="49"/>
    </row>
    <row r="552" spans="18:18" x14ac:dyDescent="0.35">
      <c r="R552" s="49"/>
    </row>
    <row r="553" spans="18:18" x14ac:dyDescent="0.35">
      <c r="R553" s="49"/>
    </row>
    <row r="554" spans="18:18" x14ac:dyDescent="0.35">
      <c r="R554" s="49"/>
    </row>
    <row r="555" spans="18:18" x14ac:dyDescent="0.35">
      <c r="R555" s="49"/>
    </row>
    <row r="556" spans="18:18" x14ac:dyDescent="0.35">
      <c r="R556" s="49"/>
    </row>
    <row r="557" spans="18:18" x14ac:dyDescent="0.35">
      <c r="R557" s="49"/>
    </row>
    <row r="558" spans="18:18" x14ac:dyDescent="0.35">
      <c r="R558" s="49"/>
    </row>
    <row r="559" spans="18:18" x14ac:dyDescent="0.35">
      <c r="R559" s="49"/>
    </row>
    <row r="560" spans="18:18" x14ac:dyDescent="0.35">
      <c r="R560" s="49"/>
    </row>
    <row r="561" spans="18:18" x14ac:dyDescent="0.35">
      <c r="R561" s="49"/>
    </row>
    <row r="562" spans="18:18" x14ac:dyDescent="0.35">
      <c r="R562" s="49"/>
    </row>
    <row r="563" spans="18:18" x14ac:dyDescent="0.35">
      <c r="R563" s="49"/>
    </row>
    <row r="564" spans="18:18" x14ac:dyDescent="0.35">
      <c r="R564" s="49"/>
    </row>
    <row r="565" spans="18:18" x14ac:dyDescent="0.35">
      <c r="R565" s="49"/>
    </row>
    <row r="566" spans="18:18" x14ac:dyDescent="0.35">
      <c r="R566" s="49"/>
    </row>
    <row r="567" spans="18:18" x14ac:dyDescent="0.35">
      <c r="R567" s="49"/>
    </row>
    <row r="568" spans="18:18" x14ac:dyDescent="0.35">
      <c r="R568" s="49"/>
    </row>
    <row r="569" spans="18:18" x14ac:dyDescent="0.35">
      <c r="R569" s="49"/>
    </row>
    <row r="570" spans="18:18" x14ac:dyDescent="0.35">
      <c r="R570" s="49"/>
    </row>
    <row r="571" spans="18:18" x14ac:dyDescent="0.35">
      <c r="R571" s="49"/>
    </row>
    <row r="572" spans="18:18" x14ac:dyDescent="0.35">
      <c r="R572" s="49"/>
    </row>
    <row r="573" spans="18:18" x14ac:dyDescent="0.35">
      <c r="R573" s="49"/>
    </row>
    <row r="574" spans="18:18" x14ac:dyDescent="0.35">
      <c r="R574" s="49"/>
    </row>
    <row r="575" spans="18:18" x14ac:dyDescent="0.35">
      <c r="R575" s="49"/>
    </row>
    <row r="576" spans="18:18" x14ac:dyDescent="0.35">
      <c r="R576" s="49"/>
    </row>
    <row r="577" spans="18:18" x14ac:dyDescent="0.35">
      <c r="R577" s="49"/>
    </row>
    <row r="578" spans="18:18" x14ac:dyDescent="0.35">
      <c r="R578" s="49"/>
    </row>
    <row r="579" spans="18:18" x14ac:dyDescent="0.35">
      <c r="R579" s="49"/>
    </row>
    <row r="580" spans="18:18" x14ac:dyDescent="0.35">
      <c r="R580" s="49"/>
    </row>
    <row r="581" spans="18:18" x14ac:dyDescent="0.35">
      <c r="R581" s="49"/>
    </row>
    <row r="582" spans="18:18" x14ac:dyDescent="0.35">
      <c r="R582" s="49"/>
    </row>
    <row r="583" spans="18:18" x14ac:dyDescent="0.35">
      <c r="R583" s="49"/>
    </row>
    <row r="584" spans="18:18" x14ac:dyDescent="0.35">
      <c r="R584" s="49"/>
    </row>
    <row r="585" spans="18:18" x14ac:dyDescent="0.35">
      <c r="R585" s="49"/>
    </row>
    <row r="586" spans="18:18" x14ac:dyDescent="0.35">
      <c r="R586" s="49"/>
    </row>
    <row r="587" spans="18:18" x14ac:dyDescent="0.35">
      <c r="R587" s="49"/>
    </row>
    <row r="588" spans="18:18" x14ac:dyDescent="0.35">
      <c r="R588" s="49"/>
    </row>
    <row r="589" spans="18:18" x14ac:dyDescent="0.35">
      <c r="R589" s="49"/>
    </row>
    <row r="590" spans="18:18" x14ac:dyDescent="0.35">
      <c r="R590" s="49"/>
    </row>
    <row r="591" spans="18:18" x14ac:dyDescent="0.35">
      <c r="R591" s="49"/>
    </row>
    <row r="592" spans="18:18" x14ac:dyDescent="0.35">
      <c r="R592" s="49"/>
    </row>
    <row r="593" spans="18:18" x14ac:dyDescent="0.35">
      <c r="R593" s="49"/>
    </row>
    <row r="594" spans="18:18" x14ac:dyDescent="0.35">
      <c r="R594" s="49"/>
    </row>
    <row r="595" spans="18:18" x14ac:dyDescent="0.35">
      <c r="R595" s="49"/>
    </row>
    <row r="596" spans="18:18" x14ac:dyDescent="0.35">
      <c r="R596" s="49"/>
    </row>
    <row r="597" spans="18:18" x14ac:dyDescent="0.35">
      <c r="R597" s="49"/>
    </row>
    <row r="598" spans="18:18" x14ac:dyDescent="0.35">
      <c r="R598" s="49"/>
    </row>
    <row r="599" spans="18:18" x14ac:dyDescent="0.35">
      <c r="R599" s="49"/>
    </row>
    <row r="600" spans="18:18" x14ac:dyDescent="0.35">
      <c r="R600" s="49"/>
    </row>
    <row r="601" spans="18:18" x14ac:dyDescent="0.35">
      <c r="R601" s="49"/>
    </row>
    <row r="602" spans="18:18" x14ac:dyDescent="0.35">
      <c r="R602" s="49"/>
    </row>
    <row r="603" spans="18:18" x14ac:dyDescent="0.35">
      <c r="R603" s="49"/>
    </row>
    <row r="604" spans="18:18" x14ac:dyDescent="0.35">
      <c r="R604" s="49"/>
    </row>
    <row r="605" spans="18:18" x14ac:dyDescent="0.35">
      <c r="R605" s="49"/>
    </row>
    <row r="606" spans="18:18" x14ac:dyDescent="0.35">
      <c r="R606" s="49"/>
    </row>
    <row r="607" spans="18:18" x14ac:dyDescent="0.35">
      <c r="R607" s="49"/>
    </row>
    <row r="608" spans="18:18" x14ac:dyDescent="0.35">
      <c r="R608" s="49"/>
    </row>
    <row r="609" spans="18:18" x14ac:dyDescent="0.35">
      <c r="R609" s="49"/>
    </row>
    <row r="610" spans="18:18" x14ac:dyDescent="0.35">
      <c r="R610" s="49"/>
    </row>
    <row r="611" spans="18:18" x14ac:dyDescent="0.35">
      <c r="R611" s="49"/>
    </row>
    <row r="612" spans="18:18" x14ac:dyDescent="0.35">
      <c r="R612" s="49"/>
    </row>
    <row r="613" spans="18:18" x14ac:dyDescent="0.35">
      <c r="R613" s="49"/>
    </row>
    <row r="614" spans="18:18" x14ac:dyDescent="0.35">
      <c r="R614" s="49"/>
    </row>
    <row r="615" spans="18:18" x14ac:dyDescent="0.35">
      <c r="R615" s="49"/>
    </row>
    <row r="616" spans="18:18" x14ac:dyDescent="0.35">
      <c r="R616" s="49"/>
    </row>
    <row r="617" spans="18:18" x14ac:dyDescent="0.35">
      <c r="R617" s="49"/>
    </row>
    <row r="618" spans="18:18" x14ac:dyDescent="0.35">
      <c r="R618" s="49"/>
    </row>
    <row r="619" spans="18:18" x14ac:dyDescent="0.35">
      <c r="R619" s="49"/>
    </row>
    <row r="620" spans="18:18" x14ac:dyDescent="0.35">
      <c r="R620" s="49"/>
    </row>
    <row r="621" spans="18:18" x14ac:dyDescent="0.35">
      <c r="R621" s="49"/>
    </row>
    <row r="622" spans="18:18" x14ac:dyDescent="0.35">
      <c r="R622" s="49"/>
    </row>
    <row r="623" spans="18:18" x14ac:dyDescent="0.35">
      <c r="R623" s="49"/>
    </row>
    <row r="624" spans="18:18" x14ac:dyDescent="0.35">
      <c r="R624" s="49"/>
    </row>
    <row r="625" spans="18:18" x14ac:dyDescent="0.35">
      <c r="R625" s="49"/>
    </row>
    <row r="626" spans="18:18" x14ac:dyDescent="0.35">
      <c r="R626" s="49"/>
    </row>
    <row r="627" spans="18:18" x14ac:dyDescent="0.35">
      <c r="R627" s="49"/>
    </row>
    <row r="628" spans="18:18" x14ac:dyDescent="0.35">
      <c r="R628" s="49"/>
    </row>
    <row r="629" spans="18:18" x14ac:dyDescent="0.35">
      <c r="R629" s="49"/>
    </row>
    <row r="630" spans="18:18" x14ac:dyDescent="0.35">
      <c r="R630" s="49"/>
    </row>
    <row r="631" spans="18:18" x14ac:dyDescent="0.35">
      <c r="R631" s="49"/>
    </row>
    <row r="632" spans="18:18" x14ac:dyDescent="0.35">
      <c r="R632" s="49"/>
    </row>
    <row r="633" spans="18:18" x14ac:dyDescent="0.35">
      <c r="R633" s="49"/>
    </row>
    <row r="634" spans="18:18" x14ac:dyDescent="0.35">
      <c r="R634" s="49"/>
    </row>
    <row r="635" spans="18:18" x14ac:dyDescent="0.35">
      <c r="R635" s="49"/>
    </row>
    <row r="636" spans="18:18" x14ac:dyDescent="0.35">
      <c r="R636" s="49"/>
    </row>
    <row r="637" spans="18:18" x14ac:dyDescent="0.35">
      <c r="R637" s="49"/>
    </row>
    <row r="638" spans="18:18" x14ac:dyDescent="0.35">
      <c r="R638" s="49"/>
    </row>
    <row r="639" spans="18:18" x14ac:dyDescent="0.35">
      <c r="R639" s="49"/>
    </row>
    <row r="640" spans="18:18" x14ac:dyDescent="0.35">
      <c r="R640" s="49"/>
    </row>
    <row r="641" spans="18:18" x14ac:dyDescent="0.35">
      <c r="R641" s="49"/>
    </row>
    <row r="642" spans="18:18" x14ac:dyDescent="0.35">
      <c r="R642" s="49"/>
    </row>
    <row r="643" spans="18:18" x14ac:dyDescent="0.35">
      <c r="R643" s="49"/>
    </row>
    <row r="644" spans="18:18" x14ac:dyDescent="0.35">
      <c r="R644" s="49"/>
    </row>
    <row r="645" spans="18:18" x14ac:dyDescent="0.35">
      <c r="R645" s="49"/>
    </row>
    <row r="646" spans="18:18" x14ac:dyDescent="0.35">
      <c r="R646" s="49"/>
    </row>
    <row r="647" spans="18:18" x14ac:dyDescent="0.35">
      <c r="R647" s="49"/>
    </row>
    <row r="648" spans="18:18" x14ac:dyDescent="0.35">
      <c r="R648" s="49"/>
    </row>
    <row r="649" spans="18:18" x14ac:dyDescent="0.35">
      <c r="R649" s="49"/>
    </row>
    <row r="650" spans="18:18" x14ac:dyDescent="0.35">
      <c r="R650" s="49"/>
    </row>
    <row r="651" spans="18:18" x14ac:dyDescent="0.35">
      <c r="R651" s="49"/>
    </row>
    <row r="652" spans="18:18" x14ac:dyDescent="0.35">
      <c r="R652" s="49"/>
    </row>
    <row r="653" spans="18:18" x14ac:dyDescent="0.35">
      <c r="R653" s="49"/>
    </row>
    <row r="654" spans="18:18" x14ac:dyDescent="0.35">
      <c r="R654" s="49"/>
    </row>
    <row r="655" spans="18:18" x14ac:dyDescent="0.35">
      <c r="R655" s="49"/>
    </row>
    <row r="656" spans="18:18" x14ac:dyDescent="0.35">
      <c r="R656" s="49"/>
    </row>
    <row r="657" spans="18:18" x14ac:dyDescent="0.35">
      <c r="R657" s="49"/>
    </row>
    <row r="658" spans="18:18" x14ac:dyDescent="0.35">
      <c r="R658" s="49"/>
    </row>
    <row r="659" spans="18:18" x14ac:dyDescent="0.35">
      <c r="R659" s="49"/>
    </row>
    <row r="660" spans="18:18" x14ac:dyDescent="0.35">
      <c r="R660" s="49"/>
    </row>
    <row r="661" spans="18:18" x14ac:dyDescent="0.35">
      <c r="R661" s="49"/>
    </row>
    <row r="662" spans="18:18" x14ac:dyDescent="0.35">
      <c r="R662" s="49"/>
    </row>
    <row r="663" spans="18:18" x14ac:dyDescent="0.35">
      <c r="R663" s="49"/>
    </row>
    <row r="664" spans="18:18" x14ac:dyDescent="0.35">
      <c r="R664" s="49"/>
    </row>
    <row r="665" spans="18:18" x14ac:dyDescent="0.35">
      <c r="R665" s="49"/>
    </row>
    <row r="666" spans="18:18" x14ac:dyDescent="0.35">
      <c r="R666" s="49"/>
    </row>
    <row r="667" spans="18:18" x14ac:dyDescent="0.35">
      <c r="R667" s="49"/>
    </row>
    <row r="668" spans="18:18" x14ac:dyDescent="0.35">
      <c r="R668" s="49"/>
    </row>
  </sheetData>
  <sortState ref="C38:E42">
    <sortCondition descending="1" ref="E38"/>
  </sortState>
  <mergeCells count="7">
    <mergeCell ref="B59:N62"/>
    <mergeCell ref="B51:R57"/>
    <mergeCell ref="C3:N3"/>
    <mergeCell ref="D5:E5"/>
    <mergeCell ref="G7:N7"/>
    <mergeCell ref="G20:K20"/>
    <mergeCell ref="G23:N23"/>
  </mergeCells>
  <pageMargins left="0.7" right="0.7" top="0.75" bottom="0.75" header="0.3" footer="0.3"/>
  <pageSetup paperSize="9" scale="10" orientation="portrait" r:id="rId1"/>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9">
    <pageSetUpPr fitToPage="1"/>
  </sheetPr>
  <dimension ref="A1:R672"/>
  <sheetViews>
    <sheetView showGridLines="0" zoomScale="75" zoomScaleNormal="75" zoomScaleSheetLayoutView="76" workbookViewId="0"/>
  </sheetViews>
  <sheetFormatPr defaultColWidth="9.1796875" defaultRowHeight="15.5" x14ac:dyDescent="0.35"/>
  <cols>
    <col min="1" max="1" width="2.81640625" style="3" customWidth="1"/>
    <col min="2" max="2" width="3.81640625" style="3" customWidth="1"/>
    <col min="3" max="3" width="55.453125" style="3" bestFit="1" customWidth="1"/>
    <col min="4" max="4" width="31.81640625" style="3" customWidth="1"/>
    <col min="5" max="5" width="16.7265625" style="3" customWidth="1"/>
    <col min="6" max="6" width="9.1796875" style="3"/>
    <col min="7" max="9" width="12" style="3" customWidth="1"/>
    <col min="10" max="10" width="26.54296875" style="3" customWidth="1"/>
    <col min="11" max="14" width="12" style="3" customWidth="1"/>
    <col min="15" max="16" width="9.1796875" style="3"/>
    <col min="17" max="17" width="9.81640625" style="3" customWidth="1"/>
    <col min="18" max="18" width="13.1796875" style="3" bestFit="1" customWidth="1"/>
    <col min="19" max="19" width="9.26953125" style="3" bestFit="1" customWidth="1"/>
    <col min="20" max="16384" width="9.1796875" style="3"/>
  </cols>
  <sheetData>
    <row r="1" spans="2:18" ht="16" thickBot="1" x14ac:dyDescent="0.4"/>
    <row r="2" spans="2:18" x14ac:dyDescent="0.35">
      <c r="B2" s="91"/>
      <c r="C2" s="42"/>
      <c r="D2" s="42"/>
      <c r="E2" s="42"/>
      <c r="F2" s="42"/>
      <c r="G2" s="42"/>
      <c r="H2" s="42"/>
      <c r="I2" s="42"/>
      <c r="J2" s="42"/>
      <c r="K2" s="42"/>
      <c r="L2" s="42"/>
      <c r="M2" s="42"/>
      <c r="N2" s="92"/>
    </row>
    <row r="3" spans="2:18" ht="20" x14ac:dyDescent="0.35">
      <c r="B3" s="93"/>
      <c r="C3" s="297" t="s">
        <v>361</v>
      </c>
      <c r="D3" s="297"/>
      <c r="E3" s="297"/>
      <c r="F3" s="297"/>
      <c r="G3" s="297"/>
      <c r="H3" s="297"/>
      <c r="I3" s="297"/>
      <c r="J3" s="297"/>
      <c r="K3" s="297"/>
      <c r="L3" s="297"/>
      <c r="M3" s="297"/>
      <c r="N3" s="298"/>
    </row>
    <row r="4" spans="2:18" x14ac:dyDescent="0.35">
      <c r="B4" s="93"/>
      <c r="C4" s="67" t="s">
        <v>434</v>
      </c>
      <c r="D4" s="29"/>
      <c r="E4" s="29"/>
      <c r="F4" s="5"/>
      <c r="G4" s="5"/>
      <c r="H4" s="5"/>
      <c r="I4" s="5"/>
      <c r="J4" s="5"/>
      <c r="K4" s="5"/>
      <c r="L4" s="5"/>
      <c r="M4" s="5"/>
      <c r="N4" s="20"/>
    </row>
    <row r="5" spans="2:18" ht="20" x14ac:dyDescent="0.35">
      <c r="B5" s="93"/>
      <c r="C5" s="211" t="s">
        <v>435</v>
      </c>
      <c r="D5" s="314" t="s">
        <v>410</v>
      </c>
      <c r="E5" s="314"/>
      <c r="F5" s="5"/>
      <c r="G5" s="5"/>
      <c r="H5" s="5"/>
      <c r="I5" s="5"/>
      <c r="J5" s="5"/>
      <c r="K5" s="5"/>
      <c r="L5" s="5"/>
      <c r="M5" s="5"/>
      <c r="N5" s="20"/>
    </row>
    <row r="6" spans="2:18" x14ac:dyDescent="0.35">
      <c r="B6" s="93"/>
      <c r="C6" s="29"/>
      <c r="D6" s="29"/>
      <c r="E6" s="29"/>
      <c r="F6" s="5"/>
      <c r="G6" s="5"/>
      <c r="H6" s="5"/>
      <c r="I6" s="5"/>
      <c r="J6" s="5"/>
      <c r="K6" s="5"/>
      <c r="L6" s="5"/>
      <c r="M6" s="5"/>
      <c r="N6" s="20"/>
    </row>
    <row r="7" spans="2:18" x14ac:dyDescent="0.35">
      <c r="B7" s="93"/>
      <c r="C7" s="95" t="s">
        <v>43</v>
      </c>
      <c r="D7" s="95" t="s">
        <v>44</v>
      </c>
      <c r="E7" s="95" t="s">
        <v>45</v>
      </c>
      <c r="F7" s="5"/>
      <c r="G7" s="299" t="s">
        <v>46</v>
      </c>
      <c r="H7" s="299"/>
      <c r="I7" s="299"/>
      <c r="J7" s="299"/>
      <c r="K7" s="299"/>
      <c r="L7" s="299"/>
      <c r="M7" s="299"/>
      <c r="N7" s="300"/>
    </row>
    <row r="8" spans="2:18" x14ac:dyDescent="0.35">
      <c r="B8" s="93"/>
      <c r="C8" s="38" t="s">
        <v>29</v>
      </c>
      <c r="D8" s="58" t="s">
        <v>3</v>
      </c>
      <c r="E8" s="6">
        <v>4.8023000000000003E-2</v>
      </c>
      <c r="F8" s="5"/>
      <c r="G8" s="164" t="s">
        <v>47</v>
      </c>
      <c r="H8" s="236">
        <f>100%-H9-H10</f>
        <v>0.96646299999999996</v>
      </c>
      <c r="I8" s="237">
        <f>H8/SUM($H$8:$H$10)</f>
        <v>0.96646299999999996</v>
      </c>
      <c r="J8" s="230"/>
      <c r="K8" s="231"/>
      <c r="L8" s="282"/>
      <c r="M8" s="282"/>
      <c r="N8" s="20"/>
      <c r="R8" s="49"/>
    </row>
    <row r="9" spans="2:18" x14ac:dyDescent="0.35">
      <c r="B9" s="93"/>
      <c r="C9" s="38" t="s">
        <v>32</v>
      </c>
      <c r="D9" s="58" t="s">
        <v>3</v>
      </c>
      <c r="E9" s="6">
        <v>4.6546999999999998E-2</v>
      </c>
      <c r="F9" s="5"/>
      <c r="G9" s="164" t="s">
        <v>57</v>
      </c>
      <c r="H9" s="236">
        <f>E36+E33+E34</f>
        <v>2.6431999999999997E-2</v>
      </c>
      <c r="I9" s="237">
        <f>H9/SUM($H$8:$H$10)</f>
        <v>2.6431999999999997E-2</v>
      </c>
      <c r="J9" s="230" t="s">
        <v>41</v>
      </c>
      <c r="K9" s="231">
        <f>E38</f>
        <v>8.5632999999999987E-2</v>
      </c>
      <c r="L9" s="282"/>
      <c r="M9" s="282"/>
      <c r="N9" s="20"/>
      <c r="R9" s="49"/>
    </row>
    <row r="10" spans="2:18" x14ac:dyDescent="0.35">
      <c r="B10" s="93"/>
      <c r="C10" s="38" t="s">
        <v>31</v>
      </c>
      <c r="D10" s="58" t="s">
        <v>6</v>
      </c>
      <c r="E10" s="6">
        <v>4.6436999999999999E-2</v>
      </c>
      <c r="F10" s="31"/>
      <c r="G10" s="164" t="s">
        <v>48</v>
      </c>
      <c r="H10" s="236">
        <f>E30</f>
        <v>7.1050000000000002E-3</v>
      </c>
      <c r="I10" s="237">
        <f>H10/SUM($H$8:$H$10)</f>
        <v>7.1050000000000002E-3</v>
      </c>
      <c r="J10" s="230" t="s">
        <v>139</v>
      </c>
      <c r="K10" s="231">
        <f>E24+E26</f>
        <v>0.77974500000000002</v>
      </c>
      <c r="L10" s="282"/>
      <c r="M10" s="282"/>
      <c r="N10" s="20"/>
      <c r="R10" s="49"/>
    </row>
    <row r="11" spans="2:18" x14ac:dyDescent="0.35">
      <c r="B11" s="93"/>
      <c r="C11" s="38" t="s">
        <v>36</v>
      </c>
      <c r="D11" s="58" t="s">
        <v>3</v>
      </c>
      <c r="E11" s="6">
        <v>3.3269E-2</v>
      </c>
      <c r="F11" s="5"/>
      <c r="G11" s="230"/>
      <c r="H11" s="230"/>
      <c r="I11" s="230"/>
      <c r="J11" s="230"/>
      <c r="K11" s="231"/>
      <c r="L11" s="282"/>
      <c r="M11" s="282"/>
      <c r="N11" s="20"/>
      <c r="R11" s="49"/>
    </row>
    <row r="12" spans="2:18" x14ac:dyDescent="0.35">
      <c r="B12" s="93"/>
      <c r="C12" s="38" t="s">
        <v>70</v>
      </c>
      <c r="D12" s="58" t="s">
        <v>12</v>
      </c>
      <c r="E12" s="6">
        <v>2.9637999999999998E-2</v>
      </c>
      <c r="F12" s="31"/>
      <c r="G12" s="230"/>
      <c r="H12" s="231"/>
      <c r="I12" s="230"/>
      <c r="J12" s="230" t="s">
        <v>20</v>
      </c>
      <c r="K12" s="231">
        <f>E49</f>
        <v>2.3256000000000002E-2</v>
      </c>
      <c r="L12" s="282"/>
      <c r="M12" s="282"/>
      <c r="N12" s="20"/>
      <c r="R12" s="49"/>
    </row>
    <row r="13" spans="2:18" x14ac:dyDescent="0.35">
      <c r="B13" s="93"/>
      <c r="C13" s="38" t="s">
        <v>191</v>
      </c>
      <c r="D13" s="58" t="s">
        <v>104</v>
      </c>
      <c r="E13" s="6">
        <v>2.8011000000000001E-2</v>
      </c>
      <c r="F13" s="31"/>
      <c r="G13" s="230"/>
      <c r="H13" s="230"/>
      <c r="I13" s="230"/>
      <c r="J13" s="230" t="s">
        <v>42</v>
      </c>
      <c r="K13" s="231">
        <f>E43</f>
        <v>9.4117999999999993E-2</v>
      </c>
      <c r="L13" s="282"/>
      <c r="M13" s="282"/>
      <c r="N13" s="20"/>
      <c r="R13" s="49"/>
    </row>
    <row r="14" spans="2:18" x14ac:dyDescent="0.35">
      <c r="B14" s="93"/>
      <c r="C14" s="38" t="s">
        <v>33</v>
      </c>
      <c r="D14" s="58" t="s">
        <v>105</v>
      </c>
      <c r="E14" s="6">
        <v>2.5607999999999999E-2</v>
      </c>
      <c r="F14" s="31"/>
      <c r="G14" s="230"/>
      <c r="H14" s="230"/>
      <c r="I14" s="230"/>
      <c r="J14" s="230" t="s">
        <v>295</v>
      </c>
      <c r="K14" s="231">
        <f>E47</f>
        <v>1.7183E-2</v>
      </c>
      <c r="L14" s="282"/>
      <c r="M14" s="282"/>
      <c r="N14" s="20"/>
      <c r="R14" s="49"/>
    </row>
    <row r="15" spans="2:18" x14ac:dyDescent="0.35">
      <c r="B15" s="93"/>
      <c r="C15" s="38" t="s">
        <v>242</v>
      </c>
      <c r="D15" s="58" t="s">
        <v>4</v>
      </c>
      <c r="E15" s="6">
        <v>2.4705000000000001E-2</v>
      </c>
      <c r="F15" s="5"/>
      <c r="G15" s="230"/>
      <c r="H15" s="230"/>
      <c r="I15" s="230"/>
      <c r="J15" s="230" t="s">
        <v>294</v>
      </c>
      <c r="K15" s="231">
        <v>1.3200000000000001E-4</v>
      </c>
      <c r="L15" s="282"/>
      <c r="M15" s="282"/>
      <c r="N15" s="20"/>
      <c r="R15" s="49"/>
    </row>
    <row r="16" spans="2:18" x14ac:dyDescent="0.35">
      <c r="B16" s="93"/>
      <c r="C16" s="38" t="s">
        <v>77</v>
      </c>
      <c r="D16" s="58" t="s">
        <v>3</v>
      </c>
      <c r="E16" s="6">
        <v>2.4306000000000001E-2</v>
      </c>
      <c r="F16" s="5"/>
      <c r="G16" s="230"/>
      <c r="H16" s="230"/>
      <c r="I16" s="230"/>
      <c r="J16" s="230"/>
      <c r="K16" s="230"/>
      <c r="L16" s="282"/>
      <c r="M16" s="282"/>
      <c r="N16" s="20"/>
      <c r="R16" s="49"/>
    </row>
    <row r="17" spans="2:18" x14ac:dyDescent="0.35">
      <c r="B17" s="93"/>
      <c r="C17" s="38" t="s">
        <v>378</v>
      </c>
      <c r="D17" s="58" t="s">
        <v>26</v>
      </c>
      <c r="E17" s="6">
        <v>2.2889999999999997E-2</v>
      </c>
      <c r="F17" s="5"/>
      <c r="G17" s="230"/>
      <c r="H17" s="230"/>
      <c r="I17" s="230"/>
      <c r="J17" s="230"/>
      <c r="K17" s="230"/>
      <c r="L17" s="282"/>
      <c r="M17" s="282"/>
      <c r="N17" s="20"/>
      <c r="R17" s="49"/>
    </row>
    <row r="18" spans="2:18" x14ac:dyDescent="0.35">
      <c r="B18" s="93"/>
      <c r="C18" s="38" t="s">
        <v>118</v>
      </c>
      <c r="D18" s="58" t="s">
        <v>110</v>
      </c>
      <c r="E18" s="6">
        <v>2.1739999999999999E-2</v>
      </c>
      <c r="F18" s="5"/>
      <c r="G18" s="5"/>
      <c r="H18" s="5"/>
      <c r="I18" s="5"/>
      <c r="J18" s="5"/>
      <c r="K18" s="5"/>
      <c r="L18" s="5"/>
      <c r="M18" s="5"/>
      <c r="N18" s="20"/>
      <c r="R18" s="49"/>
    </row>
    <row r="19" spans="2:18" x14ac:dyDescent="0.35">
      <c r="B19" s="93"/>
      <c r="C19" s="38" t="s">
        <v>262</v>
      </c>
      <c r="D19" s="58" t="s">
        <v>181</v>
      </c>
      <c r="E19" s="6">
        <v>2.1003000000000001E-2</v>
      </c>
      <c r="F19" s="5"/>
      <c r="G19" s="5"/>
      <c r="H19" s="5"/>
      <c r="I19" s="5"/>
      <c r="J19" s="5"/>
      <c r="K19" s="5"/>
      <c r="L19" s="5"/>
      <c r="M19" s="5"/>
      <c r="N19" s="20"/>
      <c r="R19" s="49"/>
    </row>
    <row r="20" spans="2:18" x14ac:dyDescent="0.35">
      <c r="B20" s="93"/>
      <c r="C20" s="38" t="s">
        <v>62</v>
      </c>
      <c r="D20" s="58" t="s">
        <v>10</v>
      </c>
      <c r="E20" s="6">
        <v>1.8751E-2</v>
      </c>
      <c r="F20" s="5"/>
      <c r="G20" s="317" t="s">
        <v>98</v>
      </c>
      <c r="H20" s="318"/>
      <c r="I20" s="318"/>
      <c r="J20" s="318"/>
      <c r="K20" s="318"/>
      <c r="L20" s="273">
        <v>12.53</v>
      </c>
      <c r="M20" s="104"/>
      <c r="N20" s="170"/>
      <c r="R20" s="49"/>
    </row>
    <row r="21" spans="2:18" ht="31" x14ac:dyDescent="0.35">
      <c r="B21" s="93"/>
      <c r="C21" s="38" t="s">
        <v>241</v>
      </c>
      <c r="D21" s="58" t="s">
        <v>109</v>
      </c>
      <c r="E21" s="6">
        <v>1.5469E-2</v>
      </c>
      <c r="F21" s="5"/>
      <c r="G21" s="5"/>
      <c r="H21" s="5"/>
      <c r="I21" s="5"/>
      <c r="J21" s="5"/>
      <c r="K21" s="5"/>
      <c r="L21" s="5"/>
      <c r="M21" s="5"/>
      <c r="N21" s="20"/>
      <c r="R21" s="49"/>
    </row>
    <row r="22" spans="2:18" x14ac:dyDescent="0.35">
      <c r="B22" s="93"/>
      <c r="C22" s="38" t="s">
        <v>365</v>
      </c>
      <c r="D22" s="58" t="s">
        <v>81</v>
      </c>
      <c r="E22" s="6">
        <v>1.3925999999999999E-2</v>
      </c>
      <c r="F22" s="5"/>
      <c r="G22" s="31"/>
      <c r="H22" s="31"/>
      <c r="I22" s="31"/>
      <c r="J22" s="5"/>
      <c r="K22" s="31"/>
      <c r="L22" s="5"/>
      <c r="M22" s="5"/>
      <c r="N22" s="20"/>
      <c r="R22" s="49"/>
    </row>
    <row r="23" spans="2:18" x14ac:dyDescent="0.35">
      <c r="B23" s="93"/>
      <c r="C23" s="38"/>
      <c r="D23" s="58"/>
      <c r="E23" s="6"/>
      <c r="F23" s="5"/>
      <c r="G23" s="299" t="s">
        <v>50</v>
      </c>
      <c r="H23" s="299"/>
      <c r="I23" s="299"/>
      <c r="J23" s="299"/>
      <c r="K23" s="299"/>
      <c r="L23" s="299"/>
      <c r="M23" s="299"/>
      <c r="N23" s="300"/>
      <c r="R23" s="49"/>
    </row>
    <row r="24" spans="2:18" x14ac:dyDescent="0.35">
      <c r="B24" s="93"/>
      <c r="C24" s="106" t="s">
        <v>56</v>
      </c>
      <c r="D24" s="106"/>
      <c r="E24" s="107">
        <f>SUM(E8:E22)</f>
        <v>0.420323</v>
      </c>
      <c r="F24" s="5"/>
      <c r="G24" s="5"/>
      <c r="H24" s="5"/>
      <c r="I24" s="5"/>
      <c r="J24" s="5"/>
      <c r="K24" s="5"/>
      <c r="L24" s="5"/>
      <c r="M24" s="5"/>
      <c r="N24" s="20"/>
      <c r="R24" s="49"/>
    </row>
    <row r="25" spans="2:18" x14ac:dyDescent="0.35">
      <c r="B25" s="93"/>
      <c r="C25" s="4"/>
      <c r="D25" s="4"/>
      <c r="E25" s="6"/>
      <c r="F25" s="5"/>
      <c r="G25" s="5"/>
      <c r="H25" s="5"/>
      <c r="I25" s="5"/>
      <c r="J25" s="5"/>
      <c r="K25" s="5"/>
      <c r="L25" s="5"/>
      <c r="M25" s="5"/>
      <c r="N25" s="20"/>
      <c r="R25" s="49"/>
    </row>
    <row r="26" spans="2:18" x14ac:dyDescent="0.35">
      <c r="B26" s="93"/>
      <c r="C26" s="106" t="s">
        <v>66</v>
      </c>
      <c r="D26" s="106"/>
      <c r="E26" s="107">
        <v>0.35942200000000002</v>
      </c>
      <c r="F26" s="31"/>
      <c r="G26" s="5"/>
      <c r="H26" s="5"/>
      <c r="I26" s="5"/>
      <c r="J26" s="5"/>
      <c r="K26" s="5"/>
      <c r="L26" s="5"/>
      <c r="M26" s="5"/>
      <c r="N26" s="20"/>
      <c r="R26" s="49"/>
    </row>
    <row r="27" spans="2:18" x14ac:dyDescent="0.35">
      <c r="B27" s="93"/>
      <c r="C27" s="38"/>
      <c r="D27" s="58"/>
      <c r="E27" s="6"/>
      <c r="F27" s="5"/>
      <c r="G27" s="5"/>
      <c r="H27" s="5"/>
      <c r="I27" s="5"/>
      <c r="J27" s="5"/>
      <c r="K27" s="5"/>
      <c r="L27" s="5"/>
      <c r="M27" s="5"/>
      <c r="N27" s="20"/>
      <c r="R27" s="49"/>
    </row>
    <row r="28" spans="2:18" s="48" customFormat="1" x14ac:dyDescent="0.35">
      <c r="B28" s="108"/>
      <c r="C28" s="106" t="s">
        <v>294</v>
      </c>
      <c r="D28" s="106"/>
      <c r="E28" s="107">
        <v>6.4999999999999994E-5</v>
      </c>
      <c r="F28" s="41"/>
      <c r="G28" s="41"/>
      <c r="H28" s="41"/>
      <c r="I28" s="41"/>
      <c r="J28" s="41"/>
      <c r="K28" s="41"/>
      <c r="L28" s="41"/>
      <c r="M28" s="41"/>
      <c r="N28" s="109"/>
      <c r="R28" s="110"/>
    </row>
    <row r="29" spans="2:18" x14ac:dyDescent="0.35">
      <c r="B29" s="93"/>
      <c r="C29" s="38"/>
      <c r="D29" s="58"/>
      <c r="E29" s="6"/>
      <c r="F29" s="5"/>
      <c r="G29" s="5"/>
      <c r="H29" s="5"/>
      <c r="I29" s="5"/>
      <c r="J29" s="5"/>
      <c r="K29" s="5"/>
      <c r="L29" s="5"/>
      <c r="M29" s="5"/>
      <c r="N29" s="20"/>
      <c r="R29" s="49"/>
    </row>
    <row r="30" spans="2:18" x14ac:dyDescent="0.35">
      <c r="B30" s="93"/>
      <c r="C30" s="38" t="s">
        <v>250</v>
      </c>
      <c r="D30" s="58" t="s">
        <v>358</v>
      </c>
      <c r="E30" s="6">
        <v>7.1050000000000002E-3</v>
      </c>
      <c r="F30" s="5"/>
      <c r="G30" s="5"/>
      <c r="H30" s="5"/>
      <c r="I30" s="5"/>
      <c r="J30" s="5"/>
      <c r="K30" s="5"/>
      <c r="L30" s="5"/>
      <c r="M30" s="5"/>
      <c r="N30" s="20"/>
      <c r="R30" s="49"/>
    </row>
    <row r="31" spans="2:18" x14ac:dyDescent="0.35">
      <c r="B31" s="93"/>
      <c r="C31" s="38" t="s">
        <v>79</v>
      </c>
      <c r="D31" s="58" t="s">
        <v>359</v>
      </c>
      <c r="E31" s="6">
        <v>7.1249999999999994E-3</v>
      </c>
      <c r="F31" s="5"/>
      <c r="G31" s="5"/>
      <c r="H31" s="5"/>
      <c r="I31" s="5"/>
      <c r="J31" s="5"/>
      <c r="K31" s="5"/>
      <c r="L31" s="5"/>
      <c r="M31" s="5"/>
      <c r="N31" s="20"/>
      <c r="R31" s="49"/>
    </row>
    <row r="32" spans="2:18" x14ac:dyDescent="0.35">
      <c r="B32" s="93"/>
      <c r="C32" s="38" t="s">
        <v>265</v>
      </c>
      <c r="D32" s="58" t="s">
        <v>359</v>
      </c>
      <c r="E32" s="6">
        <v>2.9572999999999999E-2</v>
      </c>
      <c r="F32" s="5"/>
      <c r="G32" s="5"/>
      <c r="H32" s="5"/>
      <c r="I32" s="5"/>
      <c r="J32" s="5"/>
      <c r="K32" s="5"/>
      <c r="L32" s="5"/>
      <c r="M32" s="5"/>
      <c r="N32" s="20"/>
      <c r="R32" s="49"/>
    </row>
    <row r="33" spans="1:18" x14ac:dyDescent="0.35">
      <c r="B33" s="93"/>
      <c r="C33" s="38" t="s">
        <v>254</v>
      </c>
      <c r="D33" s="58" t="s">
        <v>360</v>
      </c>
      <c r="E33" s="6">
        <v>7.2230000000000003E-3</v>
      </c>
      <c r="F33" s="5"/>
      <c r="G33" s="5"/>
      <c r="H33" s="5"/>
      <c r="I33" s="5"/>
      <c r="J33" s="5"/>
      <c r="K33" s="5"/>
      <c r="L33" s="5"/>
      <c r="M33" s="5"/>
      <c r="N33" s="20"/>
      <c r="R33" s="49"/>
    </row>
    <row r="34" spans="1:18" x14ac:dyDescent="0.35">
      <c r="B34" s="93"/>
      <c r="C34" s="38" t="s">
        <v>312</v>
      </c>
      <c r="D34" s="58" t="s">
        <v>360</v>
      </c>
      <c r="E34" s="6">
        <v>1.2031999999999999E-2</v>
      </c>
      <c r="F34" s="5"/>
      <c r="G34" s="5"/>
      <c r="H34" s="5"/>
      <c r="I34" s="5"/>
      <c r="J34" s="5"/>
      <c r="K34" s="5"/>
      <c r="L34" s="5"/>
      <c r="M34" s="5"/>
      <c r="N34" s="20"/>
      <c r="R34" s="49"/>
    </row>
    <row r="35" spans="1:18" x14ac:dyDescent="0.35">
      <c r="B35" s="93"/>
      <c r="C35" s="38" t="s">
        <v>29</v>
      </c>
      <c r="D35" s="58" t="s">
        <v>359</v>
      </c>
      <c r="E35" s="6">
        <v>5.921E-3</v>
      </c>
      <c r="F35" s="5"/>
      <c r="G35" s="5"/>
      <c r="H35" s="5"/>
      <c r="I35" s="5"/>
      <c r="J35" s="5"/>
      <c r="K35" s="5"/>
      <c r="L35" s="5"/>
      <c r="M35" s="5"/>
      <c r="N35" s="20"/>
      <c r="R35" s="49"/>
    </row>
    <row r="36" spans="1:18" x14ac:dyDescent="0.35">
      <c r="B36" s="93"/>
      <c r="C36" s="38" t="s">
        <v>251</v>
      </c>
      <c r="D36" s="58" t="s">
        <v>360</v>
      </c>
      <c r="E36" s="6">
        <v>7.1770000000000002E-3</v>
      </c>
      <c r="F36" s="5"/>
      <c r="G36" s="5"/>
      <c r="H36" s="5"/>
      <c r="I36" s="5"/>
      <c r="J36" s="5"/>
      <c r="K36" s="5"/>
      <c r="L36" s="5"/>
      <c r="M36" s="5"/>
      <c r="N36" s="20"/>
      <c r="R36" s="49"/>
    </row>
    <row r="37" spans="1:18" x14ac:dyDescent="0.35">
      <c r="B37" s="93"/>
      <c r="C37" s="38" t="s">
        <v>69</v>
      </c>
      <c r="D37" s="58" t="s">
        <v>359</v>
      </c>
      <c r="E37" s="6">
        <v>9.4769999999999993E-3</v>
      </c>
      <c r="F37" s="5"/>
      <c r="G37" s="5"/>
      <c r="H37" s="5"/>
      <c r="I37" s="5"/>
      <c r="J37" s="5"/>
      <c r="K37" s="5"/>
      <c r="L37" s="5"/>
      <c r="M37" s="5"/>
      <c r="N37" s="20"/>
      <c r="R37" s="49"/>
    </row>
    <row r="38" spans="1:18" x14ac:dyDescent="0.35">
      <c r="B38" s="93"/>
      <c r="C38" s="106" t="s">
        <v>49</v>
      </c>
      <c r="D38" s="106"/>
      <c r="E38" s="107">
        <v>8.5632999999999987E-2</v>
      </c>
      <c r="F38" s="5"/>
      <c r="G38" s="5"/>
      <c r="H38" s="5"/>
      <c r="I38" s="5"/>
      <c r="J38" s="5"/>
      <c r="K38" s="5"/>
      <c r="L38" s="5"/>
      <c r="M38" s="5"/>
      <c r="N38" s="20"/>
      <c r="R38" s="49"/>
    </row>
    <row r="39" spans="1:18" s="48" customFormat="1" x14ac:dyDescent="0.35">
      <c r="B39" s="108"/>
      <c r="C39" s="38"/>
      <c r="D39" s="4"/>
      <c r="E39" s="189"/>
      <c r="F39" s="41"/>
      <c r="G39" s="5"/>
      <c r="H39" s="5"/>
      <c r="I39" s="5"/>
      <c r="J39" s="5"/>
      <c r="K39" s="5"/>
      <c r="L39" s="41"/>
      <c r="M39" s="41"/>
      <c r="N39" s="109"/>
      <c r="R39" s="110"/>
    </row>
    <row r="40" spans="1:18" x14ac:dyDescent="0.35">
      <c r="B40" s="93"/>
      <c r="C40" s="38" t="s">
        <v>215</v>
      </c>
      <c r="D40" s="4" t="s">
        <v>61</v>
      </c>
      <c r="E40" s="189">
        <v>9.0588000000000002E-2</v>
      </c>
      <c r="F40" s="5"/>
      <c r="G40" s="5"/>
      <c r="H40" s="5"/>
      <c r="I40" s="5"/>
      <c r="J40" s="5"/>
      <c r="K40" s="5"/>
      <c r="L40" s="5"/>
      <c r="M40" s="5"/>
      <c r="N40" s="20"/>
      <c r="R40" s="49"/>
    </row>
    <row r="41" spans="1:18" x14ac:dyDescent="0.35">
      <c r="A41" s="5"/>
      <c r="B41" s="93"/>
      <c r="C41" s="38" t="s">
        <v>67</v>
      </c>
      <c r="D41" s="4" t="s">
        <v>61</v>
      </c>
      <c r="E41" s="189">
        <v>2.428E-3</v>
      </c>
      <c r="F41" s="5"/>
      <c r="G41" s="5"/>
      <c r="H41" s="5"/>
      <c r="I41" s="5"/>
      <c r="J41" s="5"/>
      <c r="K41" s="5"/>
      <c r="L41" s="5"/>
      <c r="M41" s="5"/>
      <c r="N41" s="20"/>
      <c r="O41" s="5"/>
      <c r="R41" s="49"/>
    </row>
    <row r="42" spans="1:18" x14ac:dyDescent="0.35">
      <c r="A42" s="5"/>
      <c r="B42" s="93"/>
      <c r="C42" s="38" t="s">
        <v>72</v>
      </c>
      <c r="D42" s="4" t="s">
        <v>61</v>
      </c>
      <c r="E42" s="189">
        <v>1.1019999999999999E-3</v>
      </c>
      <c r="F42" s="5"/>
      <c r="G42" s="5"/>
      <c r="H42" s="5"/>
      <c r="I42" s="5"/>
      <c r="J42" s="5"/>
      <c r="K42" s="5"/>
      <c r="L42" s="5"/>
      <c r="M42" s="5"/>
      <c r="N42" s="20"/>
      <c r="O42" s="5"/>
      <c r="R42" s="49"/>
    </row>
    <row r="43" spans="1:18" x14ac:dyDescent="0.35">
      <c r="A43" s="5"/>
      <c r="B43" s="93"/>
      <c r="C43" s="106" t="s">
        <v>42</v>
      </c>
      <c r="D43" s="106"/>
      <c r="E43" s="107">
        <v>9.4117999999999993E-2</v>
      </c>
      <c r="F43" s="5"/>
      <c r="G43" s="5"/>
      <c r="H43" s="5"/>
      <c r="I43" s="5"/>
      <c r="J43" s="5"/>
      <c r="K43" s="5"/>
      <c r="L43" s="5"/>
      <c r="M43" s="5"/>
      <c r="N43" s="20"/>
      <c r="O43" s="5"/>
      <c r="R43" s="49"/>
    </row>
    <row r="44" spans="1:18" x14ac:dyDescent="0.35">
      <c r="A44" s="5"/>
      <c r="B44" s="93"/>
      <c r="C44" s="38" t="s">
        <v>318</v>
      </c>
      <c r="D44" s="4" t="s">
        <v>61</v>
      </c>
      <c r="E44" s="189">
        <v>6.5890000000000002E-3</v>
      </c>
      <c r="F44" s="5"/>
      <c r="G44" s="5"/>
      <c r="H44" s="5"/>
      <c r="I44" s="5"/>
      <c r="J44" s="5"/>
      <c r="K44" s="5"/>
      <c r="L44" s="5"/>
      <c r="M44" s="5"/>
      <c r="N44" s="20"/>
      <c r="O44" s="5"/>
      <c r="R44" s="49"/>
    </row>
    <row r="45" spans="1:18" x14ac:dyDescent="0.35">
      <c r="A45" s="5"/>
      <c r="B45" s="93"/>
      <c r="C45" s="38" t="s">
        <v>319</v>
      </c>
      <c r="D45" s="4" t="s">
        <v>61</v>
      </c>
      <c r="E45" s="189">
        <v>4.4000000000000003E-3</v>
      </c>
      <c r="F45" s="5"/>
      <c r="G45" s="5"/>
      <c r="H45" s="5"/>
      <c r="I45" s="5"/>
      <c r="J45" s="5"/>
      <c r="K45" s="5"/>
      <c r="L45" s="5"/>
      <c r="M45" s="5"/>
      <c r="N45" s="20"/>
      <c r="O45" s="5"/>
      <c r="R45" s="49"/>
    </row>
    <row r="46" spans="1:18" x14ac:dyDescent="0.35">
      <c r="A46" s="5"/>
      <c r="B46" s="93"/>
      <c r="C46" s="38" t="s">
        <v>313</v>
      </c>
      <c r="D46" s="4" t="s">
        <v>61</v>
      </c>
      <c r="E46" s="189">
        <v>6.1939999999999999E-3</v>
      </c>
      <c r="F46" s="5"/>
      <c r="G46" s="5"/>
      <c r="H46" s="5"/>
      <c r="I46" s="5"/>
      <c r="J46" s="5"/>
      <c r="K46" s="5"/>
      <c r="L46" s="5"/>
      <c r="M46" s="5"/>
      <c r="N46" s="20"/>
      <c r="O46" s="5"/>
      <c r="R46" s="49"/>
    </row>
    <row r="47" spans="1:18" x14ac:dyDescent="0.35">
      <c r="A47" s="5"/>
      <c r="B47" s="93"/>
      <c r="C47" s="106" t="s">
        <v>295</v>
      </c>
      <c r="D47" s="106"/>
      <c r="E47" s="107">
        <v>1.7183E-2</v>
      </c>
      <c r="F47" s="5"/>
      <c r="G47" s="5"/>
      <c r="H47" s="5"/>
      <c r="I47" s="5"/>
      <c r="J47" s="5"/>
      <c r="K47" s="5"/>
      <c r="L47" s="5"/>
      <c r="M47" s="5"/>
      <c r="N47" s="20"/>
      <c r="O47" s="5"/>
      <c r="R47" s="49"/>
    </row>
    <row r="48" spans="1:18" x14ac:dyDescent="0.35">
      <c r="A48" s="5"/>
      <c r="B48" s="93"/>
      <c r="C48" s="4"/>
      <c r="D48" s="4"/>
      <c r="E48" s="32"/>
      <c r="F48" s="5"/>
      <c r="G48" s="5"/>
      <c r="H48" s="5"/>
      <c r="I48" s="5"/>
      <c r="J48" s="5"/>
      <c r="K48" s="5"/>
      <c r="L48" s="5"/>
      <c r="M48" s="5"/>
      <c r="N48" s="20"/>
      <c r="O48" s="5"/>
      <c r="R48" s="49"/>
    </row>
    <row r="49" spans="1:18" x14ac:dyDescent="0.35">
      <c r="A49" s="5"/>
      <c r="B49" s="93"/>
      <c r="C49" s="106" t="s">
        <v>20</v>
      </c>
      <c r="D49" s="106"/>
      <c r="E49" s="107">
        <v>2.3256000000000002E-2</v>
      </c>
      <c r="F49" s="5"/>
      <c r="G49" s="5"/>
      <c r="H49" s="5"/>
      <c r="I49" s="5"/>
      <c r="J49" s="5"/>
      <c r="K49" s="5"/>
      <c r="L49" s="5"/>
      <c r="M49" s="5"/>
      <c r="N49" s="20"/>
      <c r="O49" s="5"/>
      <c r="R49" s="49"/>
    </row>
    <row r="50" spans="1:18" x14ac:dyDescent="0.35">
      <c r="A50" s="5"/>
      <c r="B50" s="93"/>
      <c r="C50" s="4"/>
      <c r="D50" s="4"/>
      <c r="E50" s="32"/>
      <c r="F50" s="5"/>
      <c r="G50" s="5"/>
      <c r="H50" s="5"/>
      <c r="I50" s="5"/>
      <c r="J50" s="5"/>
      <c r="K50" s="5"/>
      <c r="L50" s="5"/>
      <c r="M50" s="5"/>
      <c r="N50" s="20"/>
      <c r="O50" s="5"/>
      <c r="R50" s="49"/>
    </row>
    <row r="51" spans="1:18" x14ac:dyDescent="0.35">
      <c r="A51" s="5"/>
      <c r="B51" s="93"/>
      <c r="C51" s="113" t="s">
        <v>21</v>
      </c>
      <c r="D51" s="113"/>
      <c r="E51" s="114">
        <f>E49+E47+E43+E38+E26+E24+E28</f>
        <v>1</v>
      </c>
      <c r="F51" s="5"/>
      <c r="G51" s="5"/>
      <c r="H51" s="5"/>
      <c r="I51" s="5"/>
      <c r="J51" s="5"/>
      <c r="K51" s="5"/>
      <c r="L51" s="5"/>
      <c r="M51" s="5"/>
      <c r="N51" s="20"/>
      <c r="O51" s="5"/>
      <c r="R51" s="49"/>
    </row>
    <row r="52" spans="1:18" x14ac:dyDescent="0.35">
      <c r="A52" s="5"/>
      <c r="B52" s="93"/>
      <c r="C52" s="5"/>
      <c r="D52" s="5"/>
      <c r="E52" s="5"/>
      <c r="F52" s="5"/>
      <c r="G52" s="5"/>
      <c r="H52" s="5"/>
      <c r="I52" s="5"/>
      <c r="J52" s="5"/>
      <c r="K52" s="5"/>
      <c r="L52" s="5"/>
      <c r="M52" s="5"/>
      <c r="N52" s="20"/>
      <c r="O52" s="5"/>
      <c r="R52" s="49"/>
    </row>
    <row r="53" spans="1:18" ht="16" thickBot="1" x14ac:dyDescent="0.4">
      <c r="A53" s="5"/>
      <c r="B53" s="96"/>
      <c r="C53" s="45"/>
      <c r="D53" s="45"/>
      <c r="E53" s="45"/>
      <c r="F53" s="45"/>
      <c r="G53" s="45"/>
      <c r="H53" s="45"/>
      <c r="I53" s="45"/>
      <c r="J53" s="45"/>
      <c r="K53" s="45"/>
      <c r="L53" s="45"/>
      <c r="M53" s="45"/>
      <c r="N53" s="116"/>
      <c r="O53" s="5"/>
      <c r="R53" s="49"/>
    </row>
    <row r="54" spans="1:18" ht="16" thickBot="1" x14ac:dyDescent="0.4">
      <c r="R54" s="49"/>
    </row>
    <row r="55" spans="1:18" x14ac:dyDescent="0.35">
      <c r="B55" s="303" t="s">
        <v>179</v>
      </c>
      <c r="C55" s="304"/>
      <c r="D55" s="304"/>
      <c r="E55" s="304"/>
      <c r="F55" s="304"/>
      <c r="G55" s="304"/>
      <c r="H55" s="304"/>
      <c r="I55" s="304"/>
      <c r="J55" s="304"/>
      <c r="K55" s="304"/>
      <c r="L55" s="304"/>
      <c r="M55" s="304"/>
      <c r="N55" s="304"/>
      <c r="O55" s="304"/>
      <c r="P55" s="304"/>
      <c r="Q55" s="304"/>
      <c r="R55" s="305"/>
    </row>
    <row r="56" spans="1:18" x14ac:dyDescent="0.35">
      <c r="B56" s="306"/>
      <c r="C56" s="307"/>
      <c r="D56" s="307"/>
      <c r="E56" s="307"/>
      <c r="F56" s="307"/>
      <c r="G56" s="307"/>
      <c r="H56" s="307"/>
      <c r="I56" s="307"/>
      <c r="J56" s="307"/>
      <c r="K56" s="307"/>
      <c r="L56" s="307"/>
      <c r="M56" s="307"/>
      <c r="N56" s="307"/>
      <c r="O56" s="307"/>
      <c r="P56" s="307"/>
      <c r="Q56" s="307"/>
      <c r="R56" s="308"/>
    </row>
    <row r="57" spans="1:18" x14ac:dyDescent="0.35">
      <c r="B57" s="306"/>
      <c r="C57" s="307"/>
      <c r="D57" s="307"/>
      <c r="E57" s="307"/>
      <c r="F57" s="307"/>
      <c r="G57" s="307"/>
      <c r="H57" s="307"/>
      <c r="I57" s="307"/>
      <c r="J57" s="307"/>
      <c r="K57" s="307"/>
      <c r="L57" s="307"/>
      <c r="M57" s="307"/>
      <c r="N57" s="307"/>
      <c r="O57" s="307"/>
      <c r="P57" s="307"/>
      <c r="Q57" s="307"/>
      <c r="R57" s="308"/>
    </row>
    <row r="58" spans="1:18" x14ac:dyDescent="0.35">
      <c r="B58" s="306"/>
      <c r="C58" s="307"/>
      <c r="D58" s="307"/>
      <c r="E58" s="307"/>
      <c r="F58" s="307"/>
      <c r="G58" s="307"/>
      <c r="H58" s="307"/>
      <c r="I58" s="307"/>
      <c r="J58" s="307"/>
      <c r="K58" s="307"/>
      <c r="L58" s="307"/>
      <c r="M58" s="307"/>
      <c r="N58" s="307"/>
      <c r="O58" s="307"/>
      <c r="P58" s="307"/>
      <c r="Q58" s="307"/>
      <c r="R58" s="308"/>
    </row>
    <row r="59" spans="1:18" x14ac:dyDescent="0.35">
      <c r="B59" s="306"/>
      <c r="C59" s="307"/>
      <c r="D59" s="307"/>
      <c r="E59" s="307"/>
      <c r="F59" s="307"/>
      <c r="G59" s="307"/>
      <c r="H59" s="307"/>
      <c r="I59" s="307"/>
      <c r="J59" s="307"/>
      <c r="K59" s="307"/>
      <c r="L59" s="307"/>
      <c r="M59" s="307"/>
      <c r="N59" s="307"/>
      <c r="O59" s="307"/>
      <c r="P59" s="307"/>
      <c r="Q59" s="307"/>
      <c r="R59" s="308"/>
    </row>
    <row r="60" spans="1:18" x14ac:dyDescent="0.35">
      <c r="B60" s="306"/>
      <c r="C60" s="307"/>
      <c r="D60" s="307"/>
      <c r="E60" s="307"/>
      <c r="F60" s="307"/>
      <c r="G60" s="307"/>
      <c r="H60" s="307"/>
      <c r="I60" s="307"/>
      <c r="J60" s="307"/>
      <c r="K60" s="307"/>
      <c r="L60" s="307"/>
      <c r="M60" s="307"/>
      <c r="N60" s="307"/>
      <c r="O60" s="307"/>
      <c r="P60" s="307"/>
      <c r="Q60" s="307"/>
      <c r="R60" s="308"/>
    </row>
    <row r="61" spans="1:18" ht="16" thickBot="1" x14ac:dyDescent="0.4">
      <c r="B61" s="309"/>
      <c r="C61" s="310"/>
      <c r="D61" s="310"/>
      <c r="E61" s="310"/>
      <c r="F61" s="310"/>
      <c r="G61" s="310"/>
      <c r="H61" s="310"/>
      <c r="I61" s="310"/>
      <c r="J61" s="310"/>
      <c r="K61" s="310"/>
      <c r="L61" s="310"/>
      <c r="M61" s="310"/>
      <c r="N61" s="310"/>
      <c r="O61" s="310"/>
      <c r="P61" s="310"/>
      <c r="Q61" s="310"/>
      <c r="R61" s="311"/>
    </row>
    <row r="62" spans="1:18" x14ac:dyDescent="0.35">
      <c r="R62" s="49"/>
    </row>
    <row r="63" spans="1:18" x14ac:dyDescent="0.35">
      <c r="R63" s="49"/>
    </row>
    <row r="64" spans="1:18" x14ac:dyDescent="0.35">
      <c r="R64" s="49"/>
    </row>
    <row r="65" spans="18:18" x14ac:dyDescent="0.35">
      <c r="R65" s="49"/>
    </row>
    <row r="66" spans="18:18" x14ac:dyDescent="0.35">
      <c r="R66" s="49"/>
    </row>
    <row r="67" spans="18:18" x14ac:dyDescent="0.35">
      <c r="R67" s="49"/>
    </row>
    <row r="68" spans="18:18" x14ac:dyDescent="0.35">
      <c r="R68" s="49"/>
    </row>
    <row r="69" spans="18:18" x14ac:dyDescent="0.35">
      <c r="R69" s="49"/>
    </row>
    <row r="70" spans="18:18" x14ac:dyDescent="0.35">
      <c r="R70" s="49"/>
    </row>
    <row r="71" spans="18:18" x14ac:dyDescent="0.35">
      <c r="R71" s="49"/>
    </row>
    <row r="72" spans="18:18" x14ac:dyDescent="0.35">
      <c r="R72" s="49"/>
    </row>
    <row r="73" spans="18:18" x14ac:dyDescent="0.35">
      <c r="R73" s="49"/>
    </row>
    <row r="74" spans="18:18" x14ac:dyDescent="0.35">
      <c r="R74" s="49"/>
    </row>
    <row r="75" spans="18:18" x14ac:dyDescent="0.35">
      <c r="R75" s="49"/>
    </row>
    <row r="76" spans="18:18" x14ac:dyDescent="0.35">
      <c r="R76" s="49"/>
    </row>
    <row r="77" spans="18:18" x14ac:dyDescent="0.35">
      <c r="R77" s="49"/>
    </row>
    <row r="78" spans="18:18" x14ac:dyDescent="0.35">
      <c r="R78" s="49"/>
    </row>
    <row r="79" spans="18:18" x14ac:dyDescent="0.35">
      <c r="R79" s="49"/>
    </row>
    <row r="80" spans="18:18" x14ac:dyDescent="0.35">
      <c r="R80" s="49"/>
    </row>
    <row r="81" spans="18:18" x14ac:dyDescent="0.35">
      <c r="R81" s="49"/>
    </row>
    <row r="82" spans="18:18" x14ac:dyDescent="0.35">
      <c r="R82" s="49"/>
    </row>
    <row r="83" spans="18:18" x14ac:dyDescent="0.35">
      <c r="R83" s="49"/>
    </row>
    <row r="84" spans="18:18" x14ac:dyDescent="0.35">
      <c r="R84" s="49"/>
    </row>
    <row r="85" spans="18:18" x14ac:dyDescent="0.35">
      <c r="R85" s="49"/>
    </row>
    <row r="86" spans="18:18" x14ac:dyDescent="0.35">
      <c r="R86" s="49"/>
    </row>
    <row r="87" spans="18:18" x14ac:dyDescent="0.35">
      <c r="R87" s="49"/>
    </row>
    <row r="88" spans="18:18" x14ac:dyDescent="0.35">
      <c r="R88" s="49"/>
    </row>
    <row r="89" spans="18:18" x14ac:dyDescent="0.35">
      <c r="R89" s="49"/>
    </row>
    <row r="90" spans="18:18" x14ac:dyDescent="0.35">
      <c r="R90" s="49"/>
    </row>
    <row r="91" spans="18:18" x14ac:dyDescent="0.35">
      <c r="R91" s="49"/>
    </row>
    <row r="92" spans="18:18" x14ac:dyDescent="0.35">
      <c r="R92" s="49"/>
    </row>
    <row r="93" spans="18:18" x14ac:dyDescent="0.35">
      <c r="R93" s="49"/>
    </row>
    <row r="94" spans="18:18" x14ac:dyDescent="0.35">
      <c r="R94" s="49"/>
    </row>
    <row r="95" spans="18:18" x14ac:dyDescent="0.35">
      <c r="R95" s="49"/>
    </row>
    <row r="96" spans="18:18" x14ac:dyDescent="0.35">
      <c r="R96" s="49"/>
    </row>
    <row r="97" spans="18:18" x14ac:dyDescent="0.35">
      <c r="R97" s="49"/>
    </row>
    <row r="98" spans="18:18" x14ac:dyDescent="0.35">
      <c r="R98" s="49"/>
    </row>
    <row r="99" spans="18:18" x14ac:dyDescent="0.35">
      <c r="R99" s="49"/>
    </row>
    <row r="100" spans="18:18" x14ac:dyDescent="0.35">
      <c r="R100" s="49"/>
    </row>
    <row r="101" spans="18:18" x14ac:dyDescent="0.35">
      <c r="R101" s="49"/>
    </row>
    <row r="102" spans="18:18" x14ac:dyDescent="0.35">
      <c r="R102" s="49"/>
    </row>
    <row r="103" spans="18:18" x14ac:dyDescent="0.35">
      <c r="R103" s="49"/>
    </row>
    <row r="104" spans="18:18" x14ac:dyDescent="0.35">
      <c r="R104" s="49"/>
    </row>
    <row r="105" spans="18:18" x14ac:dyDescent="0.35">
      <c r="R105" s="49"/>
    </row>
    <row r="106" spans="18:18" x14ac:dyDescent="0.35">
      <c r="R106" s="49"/>
    </row>
    <row r="107" spans="18:18" x14ac:dyDescent="0.35">
      <c r="R107" s="49"/>
    </row>
    <row r="108" spans="18:18" x14ac:dyDescent="0.35">
      <c r="R108" s="49"/>
    </row>
    <row r="109" spans="18:18" x14ac:dyDescent="0.35">
      <c r="R109" s="49"/>
    </row>
    <row r="110" spans="18:18" x14ac:dyDescent="0.35">
      <c r="R110" s="49"/>
    </row>
    <row r="111" spans="18:18" x14ac:dyDescent="0.35">
      <c r="R111" s="49"/>
    </row>
    <row r="112" spans="18:18" x14ac:dyDescent="0.35">
      <c r="R112" s="49"/>
    </row>
    <row r="113" spans="18:18" x14ac:dyDescent="0.35">
      <c r="R113" s="49"/>
    </row>
    <row r="114" spans="18:18" x14ac:dyDescent="0.35">
      <c r="R114" s="49"/>
    </row>
    <row r="115" spans="18:18" x14ac:dyDescent="0.35">
      <c r="R115" s="49"/>
    </row>
    <row r="116" spans="18:18" x14ac:dyDescent="0.35">
      <c r="R116" s="49"/>
    </row>
    <row r="117" spans="18:18" x14ac:dyDescent="0.35">
      <c r="R117" s="49"/>
    </row>
    <row r="118" spans="18:18" x14ac:dyDescent="0.35">
      <c r="R118" s="49"/>
    </row>
    <row r="119" spans="18:18" x14ac:dyDescent="0.35">
      <c r="R119" s="49"/>
    </row>
    <row r="120" spans="18:18" x14ac:dyDescent="0.35">
      <c r="R120" s="49"/>
    </row>
    <row r="121" spans="18:18" x14ac:dyDescent="0.35">
      <c r="R121" s="49"/>
    </row>
    <row r="122" spans="18:18" x14ac:dyDescent="0.35">
      <c r="R122" s="49"/>
    </row>
    <row r="123" spans="18:18" x14ac:dyDescent="0.35">
      <c r="R123" s="49"/>
    </row>
    <row r="124" spans="18:18" x14ac:dyDescent="0.35">
      <c r="R124" s="49"/>
    </row>
    <row r="125" spans="18:18" x14ac:dyDescent="0.35">
      <c r="R125" s="49"/>
    </row>
    <row r="126" spans="18:18" x14ac:dyDescent="0.35">
      <c r="R126" s="49"/>
    </row>
    <row r="127" spans="18:18" x14ac:dyDescent="0.35">
      <c r="R127" s="49"/>
    </row>
    <row r="128" spans="18:18" x14ac:dyDescent="0.35">
      <c r="R128" s="49"/>
    </row>
    <row r="129" spans="18:18" x14ac:dyDescent="0.35">
      <c r="R129" s="49"/>
    </row>
    <row r="130" spans="18:18" x14ac:dyDescent="0.35">
      <c r="R130" s="49"/>
    </row>
    <row r="131" spans="18:18" x14ac:dyDescent="0.35">
      <c r="R131" s="49"/>
    </row>
    <row r="132" spans="18:18" x14ac:dyDescent="0.35">
      <c r="R132" s="49"/>
    </row>
    <row r="133" spans="18:18" x14ac:dyDescent="0.35">
      <c r="R133" s="49"/>
    </row>
    <row r="134" spans="18:18" x14ac:dyDescent="0.35">
      <c r="R134" s="49"/>
    </row>
    <row r="135" spans="18:18" x14ac:dyDescent="0.35">
      <c r="R135" s="49"/>
    </row>
    <row r="136" spans="18:18" x14ac:dyDescent="0.35">
      <c r="R136" s="49"/>
    </row>
    <row r="137" spans="18:18" x14ac:dyDescent="0.35">
      <c r="R137" s="49"/>
    </row>
    <row r="138" spans="18:18" x14ac:dyDescent="0.35">
      <c r="R138" s="49"/>
    </row>
    <row r="139" spans="18:18" x14ac:dyDescent="0.35">
      <c r="R139" s="49"/>
    </row>
    <row r="140" spans="18:18" x14ac:dyDescent="0.35">
      <c r="R140" s="49"/>
    </row>
    <row r="141" spans="18:18" x14ac:dyDescent="0.35">
      <c r="R141" s="49"/>
    </row>
    <row r="142" spans="18:18" x14ac:dyDescent="0.35">
      <c r="R142" s="49"/>
    </row>
    <row r="143" spans="18:18" x14ac:dyDescent="0.35">
      <c r="R143" s="49"/>
    </row>
    <row r="144" spans="18:18" x14ac:dyDescent="0.35">
      <c r="R144" s="49"/>
    </row>
    <row r="145" spans="18:18" x14ac:dyDescent="0.35">
      <c r="R145" s="49"/>
    </row>
    <row r="146" spans="18:18" x14ac:dyDescent="0.35">
      <c r="R146" s="49"/>
    </row>
    <row r="147" spans="18:18" x14ac:dyDescent="0.35">
      <c r="R147" s="49"/>
    </row>
    <row r="148" spans="18:18" x14ac:dyDescent="0.35">
      <c r="R148" s="49"/>
    </row>
    <row r="149" spans="18:18" x14ac:dyDescent="0.35">
      <c r="R149" s="49"/>
    </row>
    <row r="150" spans="18:18" x14ac:dyDescent="0.35">
      <c r="R150" s="49"/>
    </row>
    <row r="151" spans="18:18" x14ac:dyDescent="0.35">
      <c r="R151" s="49"/>
    </row>
    <row r="152" spans="18:18" x14ac:dyDescent="0.35">
      <c r="R152" s="49"/>
    </row>
    <row r="153" spans="18:18" x14ac:dyDescent="0.35">
      <c r="R153" s="49"/>
    </row>
    <row r="154" spans="18:18" x14ac:dyDescent="0.35">
      <c r="R154" s="49"/>
    </row>
    <row r="155" spans="18:18" x14ac:dyDescent="0.35">
      <c r="R155" s="49"/>
    </row>
    <row r="156" spans="18:18" x14ac:dyDescent="0.35">
      <c r="R156" s="49"/>
    </row>
    <row r="157" spans="18:18" x14ac:dyDescent="0.35">
      <c r="R157" s="49"/>
    </row>
    <row r="158" spans="18:18" x14ac:dyDescent="0.35">
      <c r="R158" s="49"/>
    </row>
    <row r="159" spans="18:18" x14ac:dyDescent="0.35">
      <c r="R159" s="49"/>
    </row>
    <row r="160" spans="18:18" x14ac:dyDescent="0.35">
      <c r="R160" s="49"/>
    </row>
    <row r="161" spans="18:18" x14ac:dyDescent="0.35">
      <c r="R161" s="49"/>
    </row>
    <row r="162" spans="18:18" x14ac:dyDescent="0.35">
      <c r="R162" s="49"/>
    </row>
    <row r="163" spans="18:18" x14ac:dyDescent="0.35">
      <c r="R163" s="49"/>
    </row>
    <row r="164" spans="18:18" x14ac:dyDescent="0.35">
      <c r="R164" s="49"/>
    </row>
    <row r="165" spans="18:18" x14ac:dyDescent="0.35">
      <c r="R165" s="49"/>
    </row>
    <row r="166" spans="18:18" x14ac:dyDescent="0.35">
      <c r="R166" s="49"/>
    </row>
    <row r="167" spans="18:18" x14ac:dyDescent="0.35">
      <c r="R167" s="49"/>
    </row>
    <row r="168" spans="18:18" x14ac:dyDescent="0.35">
      <c r="R168" s="49"/>
    </row>
    <row r="169" spans="18:18" x14ac:dyDescent="0.35">
      <c r="R169" s="49"/>
    </row>
    <row r="170" spans="18:18" x14ac:dyDescent="0.35">
      <c r="R170" s="49"/>
    </row>
    <row r="171" spans="18:18" x14ac:dyDescent="0.35">
      <c r="R171" s="49"/>
    </row>
    <row r="172" spans="18:18" x14ac:dyDescent="0.35">
      <c r="R172" s="49"/>
    </row>
    <row r="173" spans="18:18" x14ac:dyDescent="0.35">
      <c r="R173" s="49"/>
    </row>
    <row r="174" spans="18:18" x14ac:dyDescent="0.35">
      <c r="R174" s="49"/>
    </row>
    <row r="175" spans="18:18" x14ac:dyDescent="0.35">
      <c r="R175" s="49"/>
    </row>
    <row r="176" spans="18:18" x14ac:dyDescent="0.35">
      <c r="R176" s="49"/>
    </row>
    <row r="177" spans="18:18" x14ac:dyDescent="0.35">
      <c r="R177" s="49"/>
    </row>
    <row r="178" spans="18:18" x14ac:dyDescent="0.35">
      <c r="R178" s="49"/>
    </row>
    <row r="179" spans="18:18" x14ac:dyDescent="0.35">
      <c r="R179" s="49"/>
    </row>
    <row r="180" spans="18:18" x14ac:dyDescent="0.35">
      <c r="R180" s="49"/>
    </row>
    <row r="181" spans="18:18" x14ac:dyDescent="0.35">
      <c r="R181" s="49"/>
    </row>
    <row r="182" spans="18:18" x14ac:dyDescent="0.35">
      <c r="R182" s="49"/>
    </row>
    <row r="183" spans="18:18" x14ac:dyDescent="0.35">
      <c r="R183" s="49"/>
    </row>
    <row r="184" spans="18:18" x14ac:dyDescent="0.35">
      <c r="R184" s="49"/>
    </row>
    <row r="185" spans="18:18" x14ac:dyDescent="0.35">
      <c r="R185" s="49"/>
    </row>
    <row r="186" spans="18:18" x14ac:dyDescent="0.35">
      <c r="R186" s="49"/>
    </row>
    <row r="187" spans="18:18" x14ac:dyDescent="0.35">
      <c r="R187" s="49"/>
    </row>
    <row r="188" spans="18:18" x14ac:dyDescent="0.35">
      <c r="R188" s="49"/>
    </row>
    <row r="189" spans="18:18" x14ac:dyDescent="0.35">
      <c r="R189" s="49"/>
    </row>
    <row r="190" spans="18:18" x14ac:dyDescent="0.35">
      <c r="R190" s="49"/>
    </row>
    <row r="191" spans="18:18" x14ac:dyDescent="0.35">
      <c r="R191" s="49"/>
    </row>
    <row r="192" spans="18:18" x14ac:dyDescent="0.35">
      <c r="R192" s="49"/>
    </row>
    <row r="193" spans="18:18" x14ac:dyDescent="0.35">
      <c r="R193" s="49"/>
    </row>
    <row r="194" spans="18:18" x14ac:dyDescent="0.35">
      <c r="R194" s="49"/>
    </row>
    <row r="195" spans="18:18" x14ac:dyDescent="0.35">
      <c r="R195" s="49"/>
    </row>
    <row r="196" spans="18:18" x14ac:dyDescent="0.35">
      <c r="R196" s="49"/>
    </row>
    <row r="197" spans="18:18" x14ac:dyDescent="0.35">
      <c r="R197" s="49"/>
    </row>
    <row r="198" spans="18:18" x14ac:dyDescent="0.35">
      <c r="R198" s="49"/>
    </row>
    <row r="199" spans="18:18" x14ac:dyDescent="0.35">
      <c r="R199" s="49"/>
    </row>
    <row r="200" spans="18:18" x14ac:dyDescent="0.35">
      <c r="R200" s="49"/>
    </row>
    <row r="201" spans="18:18" x14ac:dyDescent="0.35">
      <c r="R201" s="49"/>
    </row>
    <row r="202" spans="18:18" x14ac:dyDescent="0.35">
      <c r="R202" s="49"/>
    </row>
    <row r="203" spans="18:18" x14ac:dyDescent="0.35">
      <c r="R203" s="49"/>
    </row>
    <row r="204" spans="18:18" x14ac:dyDescent="0.35">
      <c r="R204" s="49"/>
    </row>
    <row r="205" spans="18:18" x14ac:dyDescent="0.35">
      <c r="R205" s="49"/>
    </row>
    <row r="206" spans="18:18" x14ac:dyDescent="0.35">
      <c r="R206" s="49"/>
    </row>
    <row r="207" spans="18:18" x14ac:dyDescent="0.35">
      <c r="R207" s="49"/>
    </row>
    <row r="208" spans="18:18" x14ac:dyDescent="0.35">
      <c r="R208" s="49"/>
    </row>
    <row r="209" spans="18:18" x14ac:dyDescent="0.35">
      <c r="R209" s="49"/>
    </row>
    <row r="210" spans="18:18" x14ac:dyDescent="0.35">
      <c r="R210" s="49"/>
    </row>
    <row r="211" spans="18:18" x14ac:dyDescent="0.35">
      <c r="R211" s="49"/>
    </row>
    <row r="212" spans="18:18" x14ac:dyDescent="0.35">
      <c r="R212" s="49"/>
    </row>
    <row r="213" spans="18:18" x14ac:dyDescent="0.35">
      <c r="R213" s="49"/>
    </row>
    <row r="214" spans="18:18" x14ac:dyDescent="0.35">
      <c r="R214" s="49"/>
    </row>
    <row r="215" spans="18:18" x14ac:dyDescent="0.35">
      <c r="R215" s="49"/>
    </row>
    <row r="216" spans="18:18" x14ac:dyDescent="0.35">
      <c r="R216" s="49"/>
    </row>
    <row r="217" spans="18:18" x14ac:dyDescent="0.35">
      <c r="R217" s="49"/>
    </row>
    <row r="218" spans="18:18" x14ac:dyDescent="0.35">
      <c r="R218" s="49"/>
    </row>
    <row r="219" spans="18:18" x14ac:dyDescent="0.35">
      <c r="R219" s="49"/>
    </row>
    <row r="220" spans="18:18" x14ac:dyDescent="0.35">
      <c r="R220" s="49"/>
    </row>
    <row r="221" spans="18:18" x14ac:dyDescent="0.35">
      <c r="R221" s="49"/>
    </row>
    <row r="222" spans="18:18" x14ac:dyDescent="0.35">
      <c r="R222" s="49"/>
    </row>
    <row r="223" spans="18:18" x14ac:dyDescent="0.35">
      <c r="R223" s="49"/>
    </row>
    <row r="224" spans="18:18" x14ac:dyDescent="0.35">
      <c r="R224" s="49"/>
    </row>
    <row r="225" spans="18:18" x14ac:dyDescent="0.35">
      <c r="R225" s="49"/>
    </row>
    <row r="226" spans="18:18" x14ac:dyDescent="0.35">
      <c r="R226" s="49"/>
    </row>
    <row r="227" spans="18:18" x14ac:dyDescent="0.35">
      <c r="R227" s="49"/>
    </row>
    <row r="228" spans="18:18" x14ac:dyDescent="0.35">
      <c r="R228" s="49"/>
    </row>
    <row r="229" spans="18:18" x14ac:dyDescent="0.35">
      <c r="R229" s="49"/>
    </row>
    <row r="230" spans="18:18" x14ac:dyDescent="0.35">
      <c r="R230" s="49"/>
    </row>
    <row r="231" spans="18:18" x14ac:dyDescent="0.35">
      <c r="R231" s="49"/>
    </row>
    <row r="232" spans="18:18" x14ac:dyDescent="0.35">
      <c r="R232" s="49"/>
    </row>
    <row r="233" spans="18:18" x14ac:dyDescent="0.35">
      <c r="R233" s="49"/>
    </row>
    <row r="234" spans="18:18" x14ac:dyDescent="0.35">
      <c r="R234" s="49"/>
    </row>
    <row r="235" spans="18:18" x14ac:dyDescent="0.35">
      <c r="R235" s="49"/>
    </row>
    <row r="236" spans="18:18" x14ac:dyDescent="0.35">
      <c r="R236" s="49"/>
    </row>
    <row r="237" spans="18:18" x14ac:dyDescent="0.35">
      <c r="R237" s="49"/>
    </row>
    <row r="238" spans="18:18" x14ac:dyDescent="0.35">
      <c r="R238" s="49"/>
    </row>
    <row r="239" spans="18:18" x14ac:dyDescent="0.35">
      <c r="R239" s="49"/>
    </row>
    <row r="240" spans="18:18" x14ac:dyDescent="0.35">
      <c r="R240" s="49"/>
    </row>
    <row r="241" spans="18:18" x14ac:dyDescent="0.35">
      <c r="R241" s="49"/>
    </row>
    <row r="242" spans="18:18" x14ac:dyDescent="0.35">
      <c r="R242" s="49"/>
    </row>
    <row r="243" spans="18:18" x14ac:dyDescent="0.35">
      <c r="R243" s="49"/>
    </row>
    <row r="244" spans="18:18" x14ac:dyDescent="0.35">
      <c r="R244" s="49"/>
    </row>
    <row r="245" spans="18:18" x14ac:dyDescent="0.35">
      <c r="R245" s="49"/>
    </row>
    <row r="246" spans="18:18" x14ac:dyDescent="0.35">
      <c r="R246" s="49"/>
    </row>
    <row r="247" spans="18:18" x14ac:dyDescent="0.35">
      <c r="R247" s="49"/>
    </row>
    <row r="248" spans="18:18" x14ac:dyDescent="0.35">
      <c r="R248" s="49"/>
    </row>
    <row r="249" spans="18:18" x14ac:dyDescent="0.35">
      <c r="R249" s="49"/>
    </row>
    <row r="250" spans="18:18" x14ac:dyDescent="0.35">
      <c r="R250" s="49"/>
    </row>
    <row r="251" spans="18:18" x14ac:dyDescent="0.35">
      <c r="R251" s="49"/>
    </row>
    <row r="252" spans="18:18" x14ac:dyDescent="0.35">
      <c r="R252" s="49"/>
    </row>
    <row r="253" spans="18:18" x14ac:dyDescent="0.35">
      <c r="R253" s="49"/>
    </row>
    <row r="254" spans="18:18" x14ac:dyDescent="0.35">
      <c r="R254" s="49"/>
    </row>
    <row r="255" spans="18:18" x14ac:dyDescent="0.35">
      <c r="R255" s="49"/>
    </row>
    <row r="256" spans="18:18" x14ac:dyDescent="0.35">
      <c r="R256" s="49"/>
    </row>
    <row r="257" spans="18:18" x14ac:dyDescent="0.35">
      <c r="R257" s="49"/>
    </row>
    <row r="258" spans="18:18" x14ac:dyDescent="0.35">
      <c r="R258" s="49"/>
    </row>
    <row r="259" spans="18:18" x14ac:dyDescent="0.35">
      <c r="R259" s="49"/>
    </row>
    <row r="260" spans="18:18" x14ac:dyDescent="0.35">
      <c r="R260" s="49"/>
    </row>
    <row r="261" spans="18:18" x14ac:dyDescent="0.35">
      <c r="R261" s="49"/>
    </row>
    <row r="262" spans="18:18" x14ac:dyDescent="0.35">
      <c r="R262" s="49"/>
    </row>
    <row r="263" spans="18:18" x14ac:dyDescent="0.35">
      <c r="R263" s="49"/>
    </row>
    <row r="264" spans="18:18" x14ac:dyDescent="0.35">
      <c r="R264" s="49"/>
    </row>
    <row r="265" spans="18:18" x14ac:dyDescent="0.35">
      <c r="R265" s="49"/>
    </row>
    <row r="266" spans="18:18" x14ac:dyDescent="0.35">
      <c r="R266" s="49"/>
    </row>
    <row r="267" spans="18:18" x14ac:dyDescent="0.35">
      <c r="R267" s="49"/>
    </row>
    <row r="268" spans="18:18" x14ac:dyDescent="0.35">
      <c r="R268" s="49"/>
    </row>
    <row r="269" spans="18:18" x14ac:dyDescent="0.35">
      <c r="R269" s="49"/>
    </row>
    <row r="270" spans="18:18" x14ac:dyDescent="0.35">
      <c r="R270" s="49"/>
    </row>
    <row r="271" spans="18:18" x14ac:dyDescent="0.35">
      <c r="R271" s="49"/>
    </row>
    <row r="272" spans="18:18" x14ac:dyDescent="0.35">
      <c r="R272" s="49"/>
    </row>
    <row r="273" spans="18:18" x14ac:dyDescent="0.35">
      <c r="R273" s="49"/>
    </row>
    <row r="274" spans="18:18" x14ac:dyDescent="0.35">
      <c r="R274" s="49"/>
    </row>
    <row r="275" spans="18:18" x14ac:dyDescent="0.35">
      <c r="R275" s="49"/>
    </row>
    <row r="276" spans="18:18" x14ac:dyDescent="0.35">
      <c r="R276" s="49"/>
    </row>
    <row r="277" spans="18:18" x14ac:dyDescent="0.35">
      <c r="R277" s="49"/>
    </row>
    <row r="278" spans="18:18" x14ac:dyDescent="0.35">
      <c r="R278" s="49"/>
    </row>
    <row r="279" spans="18:18" x14ac:dyDescent="0.35">
      <c r="R279" s="49"/>
    </row>
    <row r="280" spans="18:18" x14ac:dyDescent="0.35">
      <c r="R280" s="49"/>
    </row>
    <row r="281" spans="18:18" x14ac:dyDescent="0.35">
      <c r="R281" s="49"/>
    </row>
    <row r="282" spans="18:18" x14ac:dyDescent="0.35">
      <c r="R282" s="49"/>
    </row>
    <row r="283" spans="18:18" x14ac:dyDescent="0.35">
      <c r="R283" s="49"/>
    </row>
    <row r="284" spans="18:18" x14ac:dyDescent="0.35">
      <c r="R284" s="49"/>
    </row>
    <row r="285" spans="18:18" x14ac:dyDescent="0.35">
      <c r="R285" s="49"/>
    </row>
    <row r="286" spans="18:18" x14ac:dyDescent="0.35">
      <c r="R286" s="49"/>
    </row>
    <row r="287" spans="18:18" x14ac:dyDescent="0.35">
      <c r="R287" s="49"/>
    </row>
    <row r="288" spans="18:18" x14ac:dyDescent="0.35">
      <c r="R288" s="49"/>
    </row>
    <row r="289" spans="18:18" x14ac:dyDescent="0.35">
      <c r="R289" s="49"/>
    </row>
    <row r="290" spans="18:18" x14ac:dyDescent="0.35">
      <c r="R290" s="49"/>
    </row>
    <row r="291" spans="18:18" x14ac:dyDescent="0.35">
      <c r="R291" s="49"/>
    </row>
    <row r="292" spans="18:18" x14ac:dyDescent="0.35">
      <c r="R292" s="49"/>
    </row>
    <row r="293" spans="18:18" x14ac:dyDescent="0.35">
      <c r="R293" s="49"/>
    </row>
    <row r="294" spans="18:18" x14ac:dyDescent="0.35">
      <c r="R294" s="49"/>
    </row>
    <row r="295" spans="18:18" x14ac:dyDescent="0.35">
      <c r="R295" s="49"/>
    </row>
    <row r="296" spans="18:18" x14ac:dyDescent="0.35">
      <c r="R296" s="49"/>
    </row>
    <row r="297" spans="18:18" x14ac:dyDescent="0.35">
      <c r="R297" s="49"/>
    </row>
    <row r="298" spans="18:18" x14ac:dyDescent="0.35">
      <c r="R298" s="49"/>
    </row>
    <row r="299" spans="18:18" x14ac:dyDescent="0.35">
      <c r="R299" s="49"/>
    </row>
    <row r="300" spans="18:18" x14ac:dyDescent="0.35">
      <c r="R300" s="49"/>
    </row>
    <row r="301" spans="18:18" x14ac:dyDescent="0.35">
      <c r="R301" s="49"/>
    </row>
    <row r="302" spans="18:18" x14ac:dyDescent="0.35">
      <c r="R302" s="49"/>
    </row>
    <row r="303" spans="18:18" x14ac:dyDescent="0.35">
      <c r="R303" s="49"/>
    </row>
    <row r="304" spans="18:18" x14ac:dyDescent="0.35">
      <c r="R304" s="49"/>
    </row>
    <row r="305" spans="18:18" x14ac:dyDescent="0.35">
      <c r="R305" s="49"/>
    </row>
    <row r="306" spans="18:18" x14ac:dyDescent="0.35">
      <c r="R306" s="49"/>
    </row>
    <row r="307" spans="18:18" x14ac:dyDescent="0.35">
      <c r="R307" s="49"/>
    </row>
    <row r="308" spans="18:18" x14ac:dyDescent="0.35">
      <c r="R308" s="49"/>
    </row>
    <row r="309" spans="18:18" x14ac:dyDescent="0.35">
      <c r="R309" s="49"/>
    </row>
    <row r="310" spans="18:18" x14ac:dyDescent="0.35">
      <c r="R310" s="49"/>
    </row>
    <row r="311" spans="18:18" x14ac:dyDescent="0.35">
      <c r="R311" s="49"/>
    </row>
    <row r="312" spans="18:18" x14ac:dyDescent="0.35">
      <c r="R312" s="49"/>
    </row>
    <row r="313" spans="18:18" x14ac:dyDescent="0.35">
      <c r="R313" s="49"/>
    </row>
    <row r="314" spans="18:18" x14ac:dyDescent="0.35">
      <c r="R314" s="49"/>
    </row>
    <row r="315" spans="18:18" x14ac:dyDescent="0.35">
      <c r="R315" s="49"/>
    </row>
    <row r="316" spans="18:18" x14ac:dyDescent="0.35">
      <c r="R316" s="49"/>
    </row>
    <row r="317" spans="18:18" x14ac:dyDescent="0.35">
      <c r="R317" s="49"/>
    </row>
    <row r="318" spans="18:18" x14ac:dyDescent="0.35">
      <c r="R318" s="49"/>
    </row>
    <row r="319" spans="18:18" x14ac:dyDescent="0.35">
      <c r="R319" s="49"/>
    </row>
    <row r="320" spans="18:18" x14ac:dyDescent="0.35">
      <c r="R320" s="49"/>
    </row>
    <row r="321" spans="18:18" x14ac:dyDescent="0.35">
      <c r="R321" s="49"/>
    </row>
    <row r="322" spans="18:18" x14ac:dyDescent="0.35">
      <c r="R322" s="49"/>
    </row>
    <row r="323" spans="18:18" x14ac:dyDescent="0.35">
      <c r="R323" s="49"/>
    </row>
    <row r="324" spans="18:18" x14ac:dyDescent="0.35">
      <c r="R324" s="49"/>
    </row>
    <row r="325" spans="18:18" x14ac:dyDescent="0.35">
      <c r="R325" s="49"/>
    </row>
    <row r="326" spans="18:18" x14ac:dyDescent="0.35">
      <c r="R326" s="49"/>
    </row>
    <row r="327" spans="18:18" x14ac:dyDescent="0.35">
      <c r="R327" s="49"/>
    </row>
    <row r="328" spans="18:18" x14ac:dyDescent="0.35">
      <c r="R328" s="49"/>
    </row>
    <row r="329" spans="18:18" x14ac:dyDescent="0.35">
      <c r="R329" s="49"/>
    </row>
    <row r="330" spans="18:18" x14ac:dyDescent="0.35">
      <c r="R330" s="49"/>
    </row>
    <row r="331" spans="18:18" x14ac:dyDescent="0.35">
      <c r="R331" s="49"/>
    </row>
    <row r="332" spans="18:18" x14ac:dyDescent="0.35">
      <c r="R332" s="49"/>
    </row>
    <row r="333" spans="18:18" x14ac:dyDescent="0.35">
      <c r="R333" s="49"/>
    </row>
    <row r="334" spans="18:18" x14ac:dyDescent="0.35">
      <c r="R334" s="49"/>
    </row>
    <row r="335" spans="18:18" x14ac:dyDescent="0.35">
      <c r="R335" s="49"/>
    </row>
    <row r="336" spans="18:18" x14ac:dyDescent="0.35">
      <c r="R336" s="49"/>
    </row>
    <row r="337" spans="18:18" x14ac:dyDescent="0.35">
      <c r="R337" s="49"/>
    </row>
    <row r="338" spans="18:18" x14ac:dyDescent="0.35">
      <c r="R338" s="49"/>
    </row>
    <row r="339" spans="18:18" x14ac:dyDescent="0.35">
      <c r="R339" s="49"/>
    </row>
    <row r="340" spans="18:18" x14ac:dyDescent="0.35">
      <c r="R340" s="49"/>
    </row>
    <row r="341" spans="18:18" x14ac:dyDescent="0.35">
      <c r="R341" s="49"/>
    </row>
    <row r="342" spans="18:18" x14ac:dyDescent="0.35">
      <c r="R342" s="49"/>
    </row>
    <row r="343" spans="18:18" x14ac:dyDescent="0.35">
      <c r="R343" s="49"/>
    </row>
    <row r="344" spans="18:18" x14ac:dyDescent="0.35">
      <c r="R344" s="49"/>
    </row>
    <row r="345" spans="18:18" x14ac:dyDescent="0.35">
      <c r="R345" s="49"/>
    </row>
    <row r="346" spans="18:18" x14ac:dyDescent="0.35">
      <c r="R346" s="49"/>
    </row>
    <row r="347" spans="18:18" x14ac:dyDescent="0.35">
      <c r="R347" s="49"/>
    </row>
    <row r="348" spans="18:18" x14ac:dyDescent="0.35">
      <c r="R348" s="49"/>
    </row>
    <row r="349" spans="18:18" x14ac:dyDescent="0.35">
      <c r="R349" s="49"/>
    </row>
    <row r="350" spans="18:18" x14ac:dyDescent="0.35">
      <c r="R350" s="49"/>
    </row>
    <row r="351" spans="18:18" x14ac:dyDescent="0.35">
      <c r="R351" s="49"/>
    </row>
    <row r="352" spans="18:18" x14ac:dyDescent="0.35">
      <c r="R352" s="49"/>
    </row>
    <row r="353" spans="18:18" x14ac:dyDescent="0.35">
      <c r="R353" s="49"/>
    </row>
    <row r="354" spans="18:18" x14ac:dyDescent="0.35">
      <c r="R354" s="49"/>
    </row>
    <row r="355" spans="18:18" x14ac:dyDescent="0.35">
      <c r="R355" s="49"/>
    </row>
    <row r="356" spans="18:18" x14ac:dyDescent="0.35">
      <c r="R356" s="49"/>
    </row>
    <row r="357" spans="18:18" x14ac:dyDescent="0.35">
      <c r="R357" s="49"/>
    </row>
    <row r="358" spans="18:18" x14ac:dyDescent="0.35">
      <c r="R358" s="49"/>
    </row>
    <row r="359" spans="18:18" x14ac:dyDescent="0.35">
      <c r="R359" s="49"/>
    </row>
    <row r="360" spans="18:18" x14ac:dyDescent="0.35">
      <c r="R360" s="49"/>
    </row>
    <row r="361" spans="18:18" x14ac:dyDescent="0.35">
      <c r="R361" s="49"/>
    </row>
    <row r="362" spans="18:18" x14ac:dyDescent="0.35">
      <c r="R362" s="49"/>
    </row>
    <row r="363" spans="18:18" x14ac:dyDescent="0.35">
      <c r="R363" s="49"/>
    </row>
    <row r="364" spans="18:18" x14ac:dyDescent="0.35">
      <c r="R364" s="49"/>
    </row>
    <row r="365" spans="18:18" x14ac:dyDescent="0.35">
      <c r="R365" s="49"/>
    </row>
    <row r="366" spans="18:18" x14ac:dyDescent="0.35">
      <c r="R366" s="49"/>
    </row>
    <row r="367" spans="18:18" x14ac:dyDescent="0.35">
      <c r="R367" s="49"/>
    </row>
    <row r="368" spans="18:18" x14ac:dyDescent="0.35">
      <c r="R368" s="49"/>
    </row>
    <row r="369" spans="18:18" x14ac:dyDescent="0.35">
      <c r="R369" s="49"/>
    </row>
    <row r="370" spans="18:18" x14ac:dyDescent="0.35">
      <c r="R370" s="49"/>
    </row>
    <row r="371" spans="18:18" x14ac:dyDescent="0.35">
      <c r="R371" s="49"/>
    </row>
    <row r="372" spans="18:18" x14ac:dyDescent="0.35">
      <c r="R372" s="49"/>
    </row>
    <row r="373" spans="18:18" x14ac:dyDescent="0.35">
      <c r="R373" s="49"/>
    </row>
    <row r="374" spans="18:18" x14ac:dyDescent="0.35">
      <c r="R374" s="49"/>
    </row>
    <row r="375" spans="18:18" x14ac:dyDescent="0.35">
      <c r="R375" s="49"/>
    </row>
    <row r="376" spans="18:18" x14ac:dyDescent="0.35">
      <c r="R376" s="49"/>
    </row>
    <row r="377" spans="18:18" x14ac:dyDescent="0.35">
      <c r="R377" s="49"/>
    </row>
    <row r="378" spans="18:18" x14ac:dyDescent="0.35">
      <c r="R378" s="49"/>
    </row>
    <row r="379" spans="18:18" x14ac:dyDescent="0.35">
      <c r="R379" s="49"/>
    </row>
    <row r="380" spans="18:18" x14ac:dyDescent="0.35">
      <c r="R380" s="49"/>
    </row>
    <row r="381" spans="18:18" x14ac:dyDescent="0.35">
      <c r="R381" s="49"/>
    </row>
    <row r="382" spans="18:18" x14ac:dyDescent="0.35">
      <c r="R382" s="49"/>
    </row>
    <row r="383" spans="18:18" x14ac:dyDescent="0.35">
      <c r="R383" s="49"/>
    </row>
    <row r="384" spans="18:18" x14ac:dyDescent="0.35">
      <c r="R384" s="49"/>
    </row>
    <row r="385" spans="18:18" x14ac:dyDescent="0.35">
      <c r="R385" s="49"/>
    </row>
    <row r="386" spans="18:18" x14ac:dyDescent="0.35">
      <c r="R386" s="49"/>
    </row>
    <row r="387" spans="18:18" x14ac:dyDescent="0.35">
      <c r="R387" s="49"/>
    </row>
    <row r="388" spans="18:18" x14ac:dyDescent="0.35">
      <c r="R388" s="49"/>
    </row>
    <row r="389" spans="18:18" x14ac:dyDescent="0.35">
      <c r="R389" s="49"/>
    </row>
    <row r="390" spans="18:18" x14ac:dyDescent="0.35">
      <c r="R390" s="49"/>
    </row>
    <row r="391" spans="18:18" x14ac:dyDescent="0.35">
      <c r="R391" s="49"/>
    </row>
    <row r="392" spans="18:18" x14ac:dyDescent="0.35">
      <c r="R392" s="49"/>
    </row>
    <row r="393" spans="18:18" x14ac:dyDescent="0.35">
      <c r="R393" s="49"/>
    </row>
    <row r="394" spans="18:18" x14ac:dyDescent="0.35">
      <c r="R394" s="49"/>
    </row>
    <row r="395" spans="18:18" x14ac:dyDescent="0.35">
      <c r="R395" s="49"/>
    </row>
    <row r="396" spans="18:18" x14ac:dyDescent="0.35">
      <c r="R396" s="49"/>
    </row>
    <row r="397" spans="18:18" x14ac:dyDescent="0.35">
      <c r="R397" s="49"/>
    </row>
    <row r="398" spans="18:18" x14ac:dyDescent="0.35">
      <c r="R398" s="49"/>
    </row>
    <row r="399" spans="18:18" x14ac:dyDescent="0.35">
      <c r="R399" s="49"/>
    </row>
    <row r="400" spans="18:18" x14ac:dyDescent="0.35">
      <c r="R400" s="49"/>
    </row>
    <row r="401" spans="18:18" x14ac:dyDescent="0.35">
      <c r="R401" s="49"/>
    </row>
    <row r="402" spans="18:18" x14ac:dyDescent="0.35">
      <c r="R402" s="49"/>
    </row>
    <row r="403" spans="18:18" x14ac:dyDescent="0.35">
      <c r="R403" s="49"/>
    </row>
    <row r="404" spans="18:18" x14ac:dyDescent="0.35">
      <c r="R404" s="49"/>
    </row>
    <row r="405" spans="18:18" x14ac:dyDescent="0.35">
      <c r="R405" s="49"/>
    </row>
    <row r="406" spans="18:18" x14ac:dyDescent="0.35">
      <c r="R406" s="49"/>
    </row>
    <row r="407" spans="18:18" x14ac:dyDescent="0.35">
      <c r="R407" s="49"/>
    </row>
    <row r="408" spans="18:18" x14ac:dyDescent="0.35">
      <c r="R408" s="49"/>
    </row>
    <row r="409" spans="18:18" x14ac:dyDescent="0.35">
      <c r="R409" s="49"/>
    </row>
    <row r="410" spans="18:18" x14ac:dyDescent="0.35">
      <c r="R410" s="49"/>
    </row>
    <row r="411" spans="18:18" x14ac:dyDescent="0.35">
      <c r="R411" s="49"/>
    </row>
    <row r="412" spans="18:18" x14ac:dyDescent="0.35">
      <c r="R412" s="49"/>
    </row>
    <row r="413" spans="18:18" x14ac:dyDescent="0.35">
      <c r="R413" s="49"/>
    </row>
    <row r="414" spans="18:18" x14ac:dyDescent="0.35">
      <c r="R414" s="49"/>
    </row>
    <row r="415" spans="18:18" x14ac:dyDescent="0.35">
      <c r="R415" s="49"/>
    </row>
    <row r="416" spans="18:18" x14ac:dyDescent="0.35">
      <c r="R416" s="49"/>
    </row>
    <row r="417" spans="18:18" x14ac:dyDescent="0.35">
      <c r="R417" s="49"/>
    </row>
    <row r="418" spans="18:18" x14ac:dyDescent="0.35">
      <c r="R418" s="49"/>
    </row>
    <row r="419" spans="18:18" x14ac:dyDescent="0.35">
      <c r="R419" s="49"/>
    </row>
    <row r="420" spans="18:18" x14ac:dyDescent="0.35">
      <c r="R420" s="49"/>
    </row>
    <row r="421" spans="18:18" x14ac:dyDescent="0.35">
      <c r="R421" s="49"/>
    </row>
    <row r="422" spans="18:18" x14ac:dyDescent="0.35">
      <c r="R422" s="49"/>
    </row>
    <row r="423" spans="18:18" x14ac:dyDescent="0.35">
      <c r="R423" s="49"/>
    </row>
    <row r="424" spans="18:18" x14ac:dyDescent="0.35">
      <c r="R424" s="49"/>
    </row>
    <row r="425" spans="18:18" x14ac:dyDescent="0.35">
      <c r="R425" s="49"/>
    </row>
    <row r="426" spans="18:18" x14ac:dyDescent="0.35">
      <c r="R426" s="49"/>
    </row>
    <row r="427" spans="18:18" x14ac:dyDescent="0.35">
      <c r="R427" s="49"/>
    </row>
    <row r="428" spans="18:18" x14ac:dyDescent="0.35">
      <c r="R428" s="49"/>
    </row>
    <row r="429" spans="18:18" x14ac:dyDescent="0.35">
      <c r="R429" s="49"/>
    </row>
    <row r="430" spans="18:18" x14ac:dyDescent="0.35">
      <c r="R430" s="49"/>
    </row>
    <row r="431" spans="18:18" x14ac:dyDescent="0.35">
      <c r="R431" s="49"/>
    </row>
    <row r="432" spans="18:18" x14ac:dyDescent="0.35">
      <c r="R432" s="49"/>
    </row>
    <row r="433" spans="18:18" x14ac:dyDescent="0.35">
      <c r="R433" s="49"/>
    </row>
    <row r="434" spans="18:18" x14ac:dyDescent="0.35">
      <c r="R434" s="49"/>
    </row>
    <row r="435" spans="18:18" x14ac:dyDescent="0.35">
      <c r="R435" s="49"/>
    </row>
    <row r="436" spans="18:18" x14ac:dyDescent="0.35">
      <c r="R436" s="49"/>
    </row>
    <row r="437" spans="18:18" x14ac:dyDescent="0.35">
      <c r="R437" s="49"/>
    </row>
    <row r="438" spans="18:18" x14ac:dyDescent="0.35">
      <c r="R438" s="49"/>
    </row>
    <row r="439" spans="18:18" x14ac:dyDescent="0.35">
      <c r="R439" s="49"/>
    </row>
    <row r="440" spans="18:18" x14ac:dyDescent="0.35">
      <c r="R440" s="49"/>
    </row>
    <row r="441" spans="18:18" x14ac:dyDescent="0.35">
      <c r="R441" s="49"/>
    </row>
    <row r="442" spans="18:18" x14ac:dyDescent="0.35">
      <c r="R442" s="49"/>
    </row>
    <row r="443" spans="18:18" x14ac:dyDescent="0.35">
      <c r="R443" s="49"/>
    </row>
    <row r="444" spans="18:18" x14ac:dyDescent="0.35">
      <c r="R444" s="49"/>
    </row>
    <row r="445" spans="18:18" x14ac:dyDescent="0.35">
      <c r="R445" s="49"/>
    </row>
    <row r="446" spans="18:18" x14ac:dyDescent="0.35">
      <c r="R446" s="49"/>
    </row>
    <row r="447" spans="18:18" x14ac:dyDescent="0.35">
      <c r="R447" s="49"/>
    </row>
    <row r="448" spans="18:18" x14ac:dyDescent="0.35">
      <c r="R448" s="49"/>
    </row>
    <row r="449" spans="18:18" x14ac:dyDescent="0.35">
      <c r="R449" s="49"/>
    </row>
    <row r="450" spans="18:18" x14ac:dyDescent="0.35">
      <c r="R450" s="49"/>
    </row>
    <row r="451" spans="18:18" x14ac:dyDescent="0.35">
      <c r="R451" s="49"/>
    </row>
    <row r="452" spans="18:18" x14ac:dyDescent="0.35">
      <c r="R452" s="49"/>
    </row>
    <row r="453" spans="18:18" x14ac:dyDescent="0.35">
      <c r="R453" s="49"/>
    </row>
    <row r="454" spans="18:18" x14ac:dyDescent="0.35">
      <c r="R454" s="49"/>
    </row>
    <row r="455" spans="18:18" x14ac:dyDescent="0.35">
      <c r="R455" s="49"/>
    </row>
    <row r="456" spans="18:18" x14ac:dyDescent="0.35">
      <c r="R456" s="49"/>
    </row>
    <row r="457" spans="18:18" x14ac:dyDescent="0.35">
      <c r="R457" s="49"/>
    </row>
    <row r="458" spans="18:18" x14ac:dyDescent="0.35">
      <c r="R458" s="49"/>
    </row>
    <row r="459" spans="18:18" x14ac:dyDescent="0.35">
      <c r="R459" s="49"/>
    </row>
    <row r="460" spans="18:18" x14ac:dyDescent="0.35">
      <c r="R460" s="49"/>
    </row>
    <row r="461" spans="18:18" x14ac:dyDescent="0.35">
      <c r="R461" s="49"/>
    </row>
    <row r="462" spans="18:18" x14ac:dyDescent="0.35">
      <c r="R462" s="49"/>
    </row>
    <row r="463" spans="18:18" x14ac:dyDescent="0.35">
      <c r="R463" s="49"/>
    </row>
    <row r="464" spans="18:18" x14ac:dyDescent="0.35">
      <c r="R464" s="49"/>
    </row>
    <row r="465" spans="18:18" x14ac:dyDescent="0.35">
      <c r="R465" s="49"/>
    </row>
    <row r="466" spans="18:18" x14ac:dyDescent="0.35">
      <c r="R466" s="49"/>
    </row>
    <row r="467" spans="18:18" x14ac:dyDescent="0.35">
      <c r="R467" s="49"/>
    </row>
    <row r="468" spans="18:18" x14ac:dyDescent="0.35">
      <c r="R468" s="49"/>
    </row>
    <row r="469" spans="18:18" x14ac:dyDescent="0.35">
      <c r="R469" s="49"/>
    </row>
    <row r="470" spans="18:18" x14ac:dyDescent="0.35">
      <c r="R470" s="49"/>
    </row>
    <row r="471" spans="18:18" x14ac:dyDescent="0.35">
      <c r="R471" s="49"/>
    </row>
    <row r="472" spans="18:18" x14ac:dyDescent="0.35">
      <c r="R472" s="49"/>
    </row>
    <row r="473" spans="18:18" x14ac:dyDescent="0.35">
      <c r="R473" s="49"/>
    </row>
    <row r="474" spans="18:18" x14ac:dyDescent="0.35">
      <c r="R474" s="49"/>
    </row>
    <row r="475" spans="18:18" x14ac:dyDescent="0.35">
      <c r="R475" s="49"/>
    </row>
    <row r="476" spans="18:18" x14ac:dyDescent="0.35">
      <c r="R476" s="49"/>
    </row>
    <row r="477" spans="18:18" x14ac:dyDescent="0.35">
      <c r="R477" s="49"/>
    </row>
    <row r="478" spans="18:18" x14ac:dyDescent="0.35">
      <c r="R478" s="49"/>
    </row>
    <row r="479" spans="18:18" x14ac:dyDescent="0.35">
      <c r="R479" s="49"/>
    </row>
    <row r="480" spans="18:18" x14ac:dyDescent="0.35">
      <c r="R480" s="49"/>
    </row>
    <row r="481" spans="18:18" x14ac:dyDescent="0.35">
      <c r="R481" s="49"/>
    </row>
    <row r="482" spans="18:18" x14ac:dyDescent="0.35">
      <c r="R482" s="49"/>
    </row>
    <row r="483" spans="18:18" x14ac:dyDescent="0.35">
      <c r="R483" s="49"/>
    </row>
    <row r="484" spans="18:18" x14ac:dyDescent="0.35">
      <c r="R484" s="49"/>
    </row>
    <row r="485" spans="18:18" x14ac:dyDescent="0.35">
      <c r="R485" s="49"/>
    </row>
    <row r="486" spans="18:18" x14ac:dyDescent="0.35">
      <c r="R486" s="49"/>
    </row>
    <row r="487" spans="18:18" x14ac:dyDescent="0.35">
      <c r="R487" s="49"/>
    </row>
    <row r="488" spans="18:18" x14ac:dyDescent="0.35">
      <c r="R488" s="49"/>
    </row>
    <row r="489" spans="18:18" x14ac:dyDescent="0.35">
      <c r="R489" s="49"/>
    </row>
    <row r="490" spans="18:18" x14ac:dyDescent="0.35">
      <c r="R490" s="49"/>
    </row>
    <row r="491" spans="18:18" x14ac:dyDescent="0.35">
      <c r="R491" s="49"/>
    </row>
    <row r="492" spans="18:18" x14ac:dyDescent="0.35">
      <c r="R492" s="49"/>
    </row>
    <row r="493" spans="18:18" x14ac:dyDescent="0.35">
      <c r="R493" s="49"/>
    </row>
    <row r="494" spans="18:18" x14ac:dyDescent="0.35">
      <c r="R494" s="49"/>
    </row>
    <row r="495" spans="18:18" x14ac:dyDescent="0.35">
      <c r="R495" s="49"/>
    </row>
    <row r="496" spans="18:18" x14ac:dyDescent="0.35">
      <c r="R496" s="49"/>
    </row>
    <row r="497" spans="18:18" x14ac:dyDescent="0.35">
      <c r="R497" s="49"/>
    </row>
    <row r="498" spans="18:18" x14ac:dyDescent="0.35">
      <c r="R498" s="49"/>
    </row>
    <row r="499" spans="18:18" x14ac:dyDescent="0.35">
      <c r="R499" s="49"/>
    </row>
    <row r="500" spans="18:18" x14ac:dyDescent="0.35">
      <c r="R500" s="49"/>
    </row>
    <row r="501" spans="18:18" x14ac:dyDescent="0.35">
      <c r="R501" s="49"/>
    </row>
    <row r="502" spans="18:18" x14ac:dyDescent="0.35">
      <c r="R502" s="49"/>
    </row>
    <row r="503" spans="18:18" x14ac:dyDescent="0.35">
      <c r="R503" s="49"/>
    </row>
    <row r="504" spans="18:18" x14ac:dyDescent="0.35">
      <c r="R504" s="49"/>
    </row>
    <row r="505" spans="18:18" x14ac:dyDescent="0.35">
      <c r="R505" s="49"/>
    </row>
    <row r="506" spans="18:18" x14ac:dyDescent="0.35">
      <c r="R506" s="49"/>
    </row>
    <row r="507" spans="18:18" x14ac:dyDescent="0.35">
      <c r="R507" s="49"/>
    </row>
    <row r="508" spans="18:18" x14ac:dyDescent="0.35">
      <c r="R508" s="49"/>
    </row>
    <row r="509" spans="18:18" x14ac:dyDescent="0.35">
      <c r="R509" s="49"/>
    </row>
    <row r="510" spans="18:18" x14ac:dyDescent="0.35">
      <c r="R510" s="49"/>
    </row>
    <row r="511" spans="18:18" x14ac:dyDescent="0.35">
      <c r="R511" s="49"/>
    </row>
    <row r="512" spans="18:18" x14ac:dyDescent="0.35">
      <c r="R512" s="49"/>
    </row>
    <row r="513" spans="18:18" x14ac:dyDescent="0.35">
      <c r="R513" s="49"/>
    </row>
    <row r="514" spans="18:18" x14ac:dyDescent="0.35">
      <c r="R514" s="49"/>
    </row>
    <row r="515" spans="18:18" x14ac:dyDescent="0.35">
      <c r="R515" s="49"/>
    </row>
    <row r="516" spans="18:18" x14ac:dyDescent="0.35">
      <c r="R516" s="49"/>
    </row>
    <row r="517" spans="18:18" x14ac:dyDescent="0.35">
      <c r="R517" s="49"/>
    </row>
    <row r="518" spans="18:18" x14ac:dyDescent="0.35">
      <c r="R518" s="49"/>
    </row>
    <row r="519" spans="18:18" x14ac:dyDescent="0.35">
      <c r="R519" s="49"/>
    </row>
    <row r="520" spans="18:18" x14ac:dyDescent="0.35">
      <c r="R520" s="49"/>
    </row>
    <row r="521" spans="18:18" x14ac:dyDescent="0.35">
      <c r="R521" s="49"/>
    </row>
    <row r="522" spans="18:18" x14ac:dyDescent="0.35">
      <c r="R522" s="49"/>
    </row>
    <row r="523" spans="18:18" x14ac:dyDescent="0.35">
      <c r="R523" s="49"/>
    </row>
    <row r="524" spans="18:18" x14ac:dyDescent="0.35">
      <c r="R524" s="49"/>
    </row>
    <row r="525" spans="18:18" x14ac:dyDescent="0.35">
      <c r="R525" s="49"/>
    </row>
    <row r="526" spans="18:18" x14ac:dyDescent="0.35">
      <c r="R526" s="49"/>
    </row>
    <row r="527" spans="18:18" x14ac:dyDescent="0.35">
      <c r="R527" s="49"/>
    </row>
    <row r="528" spans="18:18" x14ac:dyDescent="0.35">
      <c r="R528" s="49"/>
    </row>
    <row r="529" spans="18:18" x14ac:dyDescent="0.35">
      <c r="R529" s="49"/>
    </row>
    <row r="530" spans="18:18" x14ac:dyDescent="0.35">
      <c r="R530" s="49"/>
    </row>
    <row r="531" spans="18:18" x14ac:dyDescent="0.35">
      <c r="R531" s="49"/>
    </row>
    <row r="532" spans="18:18" x14ac:dyDescent="0.35">
      <c r="R532" s="49"/>
    </row>
    <row r="533" spans="18:18" x14ac:dyDescent="0.35">
      <c r="R533" s="49"/>
    </row>
    <row r="534" spans="18:18" x14ac:dyDescent="0.35">
      <c r="R534" s="49"/>
    </row>
    <row r="535" spans="18:18" x14ac:dyDescent="0.35">
      <c r="R535" s="49"/>
    </row>
    <row r="536" spans="18:18" x14ac:dyDescent="0.35">
      <c r="R536" s="49"/>
    </row>
    <row r="537" spans="18:18" x14ac:dyDescent="0.35">
      <c r="R537" s="49"/>
    </row>
    <row r="538" spans="18:18" x14ac:dyDescent="0.35">
      <c r="R538" s="49"/>
    </row>
    <row r="539" spans="18:18" x14ac:dyDescent="0.35">
      <c r="R539" s="49"/>
    </row>
    <row r="540" spans="18:18" x14ac:dyDescent="0.35">
      <c r="R540" s="49"/>
    </row>
    <row r="541" spans="18:18" x14ac:dyDescent="0.35">
      <c r="R541" s="49"/>
    </row>
    <row r="542" spans="18:18" x14ac:dyDescent="0.35">
      <c r="R542" s="49"/>
    </row>
    <row r="543" spans="18:18" x14ac:dyDescent="0.35">
      <c r="R543" s="49"/>
    </row>
    <row r="544" spans="18:18" x14ac:dyDescent="0.35">
      <c r="R544" s="49"/>
    </row>
    <row r="545" spans="18:18" x14ac:dyDescent="0.35">
      <c r="R545" s="49"/>
    </row>
    <row r="546" spans="18:18" x14ac:dyDescent="0.35">
      <c r="R546" s="49"/>
    </row>
    <row r="547" spans="18:18" x14ac:dyDescent="0.35">
      <c r="R547" s="49"/>
    </row>
    <row r="548" spans="18:18" x14ac:dyDescent="0.35">
      <c r="R548" s="49"/>
    </row>
    <row r="549" spans="18:18" x14ac:dyDescent="0.35">
      <c r="R549" s="49"/>
    </row>
    <row r="550" spans="18:18" x14ac:dyDescent="0.35">
      <c r="R550" s="49"/>
    </row>
    <row r="551" spans="18:18" x14ac:dyDescent="0.35">
      <c r="R551" s="49"/>
    </row>
    <row r="552" spans="18:18" x14ac:dyDescent="0.35">
      <c r="R552" s="49"/>
    </row>
    <row r="553" spans="18:18" x14ac:dyDescent="0.35">
      <c r="R553" s="49"/>
    </row>
    <row r="554" spans="18:18" x14ac:dyDescent="0.35">
      <c r="R554" s="49"/>
    </row>
    <row r="555" spans="18:18" x14ac:dyDescent="0.35">
      <c r="R555" s="49"/>
    </row>
    <row r="556" spans="18:18" x14ac:dyDescent="0.35">
      <c r="R556" s="49"/>
    </row>
    <row r="557" spans="18:18" x14ac:dyDescent="0.35">
      <c r="R557" s="49"/>
    </row>
    <row r="558" spans="18:18" x14ac:dyDescent="0.35">
      <c r="R558" s="49"/>
    </row>
    <row r="559" spans="18:18" x14ac:dyDescent="0.35">
      <c r="R559" s="49"/>
    </row>
    <row r="560" spans="18:18" x14ac:dyDescent="0.35">
      <c r="R560" s="49"/>
    </row>
    <row r="561" spans="18:18" x14ac:dyDescent="0.35">
      <c r="R561" s="49"/>
    </row>
    <row r="562" spans="18:18" x14ac:dyDescent="0.35">
      <c r="R562" s="49"/>
    </row>
    <row r="563" spans="18:18" x14ac:dyDescent="0.35">
      <c r="R563" s="49"/>
    </row>
    <row r="564" spans="18:18" x14ac:dyDescent="0.35">
      <c r="R564" s="49"/>
    </row>
    <row r="565" spans="18:18" x14ac:dyDescent="0.35">
      <c r="R565" s="49"/>
    </row>
    <row r="566" spans="18:18" x14ac:dyDescent="0.35">
      <c r="R566" s="49"/>
    </row>
    <row r="567" spans="18:18" x14ac:dyDescent="0.35">
      <c r="R567" s="49"/>
    </row>
    <row r="568" spans="18:18" x14ac:dyDescent="0.35">
      <c r="R568" s="49"/>
    </row>
    <row r="569" spans="18:18" x14ac:dyDescent="0.35">
      <c r="R569" s="49"/>
    </row>
    <row r="570" spans="18:18" x14ac:dyDescent="0.35">
      <c r="R570" s="49"/>
    </row>
    <row r="571" spans="18:18" x14ac:dyDescent="0.35">
      <c r="R571" s="49"/>
    </row>
    <row r="572" spans="18:18" x14ac:dyDescent="0.35">
      <c r="R572" s="49"/>
    </row>
    <row r="573" spans="18:18" x14ac:dyDescent="0.35">
      <c r="R573" s="49"/>
    </row>
    <row r="574" spans="18:18" x14ac:dyDescent="0.35">
      <c r="R574" s="49"/>
    </row>
    <row r="575" spans="18:18" x14ac:dyDescent="0.35">
      <c r="R575" s="49"/>
    </row>
    <row r="576" spans="18:18" x14ac:dyDescent="0.35">
      <c r="R576" s="49"/>
    </row>
    <row r="577" spans="18:18" x14ac:dyDescent="0.35">
      <c r="R577" s="49"/>
    </row>
    <row r="578" spans="18:18" x14ac:dyDescent="0.35">
      <c r="R578" s="49"/>
    </row>
    <row r="579" spans="18:18" x14ac:dyDescent="0.35">
      <c r="R579" s="49"/>
    </row>
    <row r="580" spans="18:18" x14ac:dyDescent="0.35">
      <c r="R580" s="49"/>
    </row>
    <row r="581" spans="18:18" x14ac:dyDescent="0.35">
      <c r="R581" s="49"/>
    </row>
    <row r="582" spans="18:18" x14ac:dyDescent="0.35">
      <c r="R582" s="49"/>
    </row>
    <row r="583" spans="18:18" x14ac:dyDescent="0.35">
      <c r="R583" s="49"/>
    </row>
    <row r="584" spans="18:18" x14ac:dyDescent="0.35">
      <c r="R584" s="49"/>
    </row>
    <row r="585" spans="18:18" x14ac:dyDescent="0.35">
      <c r="R585" s="49"/>
    </row>
    <row r="586" spans="18:18" x14ac:dyDescent="0.35">
      <c r="R586" s="49"/>
    </row>
    <row r="587" spans="18:18" x14ac:dyDescent="0.35">
      <c r="R587" s="49"/>
    </row>
    <row r="588" spans="18:18" x14ac:dyDescent="0.35">
      <c r="R588" s="49"/>
    </row>
    <row r="589" spans="18:18" x14ac:dyDescent="0.35">
      <c r="R589" s="49"/>
    </row>
    <row r="590" spans="18:18" x14ac:dyDescent="0.35">
      <c r="R590" s="49"/>
    </row>
    <row r="591" spans="18:18" x14ac:dyDescent="0.35">
      <c r="R591" s="49"/>
    </row>
    <row r="592" spans="18:18" x14ac:dyDescent="0.35">
      <c r="R592" s="49"/>
    </row>
    <row r="593" spans="18:18" x14ac:dyDescent="0.35">
      <c r="R593" s="49"/>
    </row>
    <row r="594" spans="18:18" x14ac:dyDescent="0.35">
      <c r="R594" s="49"/>
    </row>
    <row r="595" spans="18:18" x14ac:dyDescent="0.35">
      <c r="R595" s="49"/>
    </row>
    <row r="596" spans="18:18" x14ac:dyDescent="0.35">
      <c r="R596" s="49"/>
    </row>
    <row r="597" spans="18:18" x14ac:dyDescent="0.35">
      <c r="R597" s="49"/>
    </row>
    <row r="598" spans="18:18" x14ac:dyDescent="0.35">
      <c r="R598" s="49"/>
    </row>
    <row r="599" spans="18:18" x14ac:dyDescent="0.35">
      <c r="R599" s="49"/>
    </row>
    <row r="600" spans="18:18" x14ac:dyDescent="0.35">
      <c r="R600" s="49"/>
    </row>
    <row r="601" spans="18:18" x14ac:dyDescent="0.35">
      <c r="R601" s="49"/>
    </row>
    <row r="602" spans="18:18" x14ac:dyDescent="0.35">
      <c r="R602" s="49"/>
    </row>
    <row r="603" spans="18:18" x14ac:dyDescent="0.35">
      <c r="R603" s="49"/>
    </row>
    <row r="604" spans="18:18" x14ac:dyDescent="0.35">
      <c r="R604" s="49"/>
    </row>
    <row r="605" spans="18:18" x14ac:dyDescent="0.35">
      <c r="R605" s="49"/>
    </row>
    <row r="606" spans="18:18" x14ac:dyDescent="0.35">
      <c r="R606" s="49"/>
    </row>
    <row r="607" spans="18:18" x14ac:dyDescent="0.35">
      <c r="R607" s="49"/>
    </row>
    <row r="608" spans="18:18" x14ac:dyDescent="0.35">
      <c r="R608" s="49"/>
    </row>
    <row r="609" spans="18:18" x14ac:dyDescent="0.35">
      <c r="R609" s="49"/>
    </row>
    <row r="610" spans="18:18" x14ac:dyDescent="0.35">
      <c r="R610" s="49"/>
    </row>
    <row r="611" spans="18:18" x14ac:dyDescent="0.35">
      <c r="R611" s="49"/>
    </row>
    <row r="612" spans="18:18" x14ac:dyDescent="0.35">
      <c r="R612" s="49"/>
    </row>
    <row r="613" spans="18:18" x14ac:dyDescent="0.35">
      <c r="R613" s="49"/>
    </row>
    <row r="614" spans="18:18" x14ac:dyDescent="0.35">
      <c r="R614" s="49"/>
    </row>
    <row r="615" spans="18:18" x14ac:dyDescent="0.35">
      <c r="R615" s="49"/>
    </row>
    <row r="616" spans="18:18" x14ac:dyDescent="0.35">
      <c r="R616" s="49"/>
    </row>
    <row r="617" spans="18:18" x14ac:dyDescent="0.35">
      <c r="R617" s="49"/>
    </row>
    <row r="618" spans="18:18" x14ac:dyDescent="0.35">
      <c r="R618" s="49"/>
    </row>
    <row r="619" spans="18:18" x14ac:dyDescent="0.35">
      <c r="R619" s="49"/>
    </row>
    <row r="620" spans="18:18" x14ac:dyDescent="0.35">
      <c r="R620" s="49"/>
    </row>
    <row r="621" spans="18:18" x14ac:dyDescent="0.35">
      <c r="R621" s="49"/>
    </row>
    <row r="622" spans="18:18" x14ac:dyDescent="0.35">
      <c r="R622" s="49"/>
    </row>
    <row r="623" spans="18:18" x14ac:dyDescent="0.35">
      <c r="R623" s="49"/>
    </row>
    <row r="624" spans="18:18" x14ac:dyDescent="0.35">
      <c r="R624" s="49"/>
    </row>
    <row r="625" spans="18:18" x14ac:dyDescent="0.35">
      <c r="R625" s="49"/>
    </row>
    <row r="626" spans="18:18" x14ac:dyDescent="0.35">
      <c r="R626" s="49"/>
    </row>
    <row r="627" spans="18:18" x14ac:dyDescent="0.35">
      <c r="R627" s="49"/>
    </row>
    <row r="628" spans="18:18" x14ac:dyDescent="0.35">
      <c r="R628" s="49"/>
    </row>
    <row r="629" spans="18:18" x14ac:dyDescent="0.35">
      <c r="R629" s="49"/>
    </row>
    <row r="630" spans="18:18" x14ac:dyDescent="0.35">
      <c r="R630" s="49"/>
    </row>
    <row r="631" spans="18:18" x14ac:dyDescent="0.35">
      <c r="R631" s="49"/>
    </row>
    <row r="632" spans="18:18" x14ac:dyDescent="0.35">
      <c r="R632" s="49"/>
    </row>
    <row r="633" spans="18:18" x14ac:dyDescent="0.35">
      <c r="R633" s="49"/>
    </row>
    <row r="634" spans="18:18" x14ac:dyDescent="0.35">
      <c r="R634" s="49"/>
    </row>
    <row r="635" spans="18:18" x14ac:dyDescent="0.35">
      <c r="R635" s="49"/>
    </row>
    <row r="636" spans="18:18" x14ac:dyDescent="0.35">
      <c r="R636" s="49"/>
    </row>
    <row r="637" spans="18:18" x14ac:dyDescent="0.35">
      <c r="R637" s="49"/>
    </row>
    <row r="638" spans="18:18" x14ac:dyDescent="0.35">
      <c r="R638" s="49"/>
    </row>
    <row r="639" spans="18:18" x14ac:dyDescent="0.35">
      <c r="R639" s="49"/>
    </row>
    <row r="640" spans="18:18" x14ac:dyDescent="0.35">
      <c r="R640" s="49"/>
    </row>
    <row r="641" spans="18:18" x14ac:dyDescent="0.35">
      <c r="R641" s="49"/>
    </row>
    <row r="642" spans="18:18" x14ac:dyDescent="0.35">
      <c r="R642" s="49"/>
    </row>
    <row r="643" spans="18:18" x14ac:dyDescent="0.35">
      <c r="R643" s="49"/>
    </row>
    <row r="644" spans="18:18" x14ac:dyDescent="0.35">
      <c r="R644" s="49"/>
    </row>
    <row r="645" spans="18:18" x14ac:dyDescent="0.35">
      <c r="R645" s="49"/>
    </row>
    <row r="646" spans="18:18" x14ac:dyDescent="0.35">
      <c r="R646" s="49"/>
    </row>
    <row r="647" spans="18:18" x14ac:dyDescent="0.35">
      <c r="R647" s="49"/>
    </row>
    <row r="648" spans="18:18" x14ac:dyDescent="0.35">
      <c r="R648" s="49"/>
    </row>
    <row r="649" spans="18:18" x14ac:dyDescent="0.35">
      <c r="R649" s="49"/>
    </row>
    <row r="650" spans="18:18" x14ac:dyDescent="0.35">
      <c r="R650" s="49"/>
    </row>
    <row r="651" spans="18:18" x14ac:dyDescent="0.35">
      <c r="R651" s="49"/>
    </row>
    <row r="652" spans="18:18" x14ac:dyDescent="0.35">
      <c r="R652" s="49"/>
    </row>
    <row r="653" spans="18:18" x14ac:dyDescent="0.35">
      <c r="R653" s="49"/>
    </row>
    <row r="654" spans="18:18" x14ac:dyDescent="0.35">
      <c r="R654" s="49"/>
    </row>
    <row r="655" spans="18:18" x14ac:dyDescent="0.35">
      <c r="R655" s="49"/>
    </row>
    <row r="656" spans="18:18" x14ac:dyDescent="0.35">
      <c r="R656" s="49"/>
    </row>
    <row r="657" spans="18:18" x14ac:dyDescent="0.35">
      <c r="R657" s="49"/>
    </row>
    <row r="658" spans="18:18" x14ac:dyDescent="0.35">
      <c r="R658" s="49"/>
    </row>
    <row r="659" spans="18:18" x14ac:dyDescent="0.35">
      <c r="R659" s="49"/>
    </row>
    <row r="660" spans="18:18" x14ac:dyDescent="0.35">
      <c r="R660" s="49"/>
    </row>
    <row r="661" spans="18:18" x14ac:dyDescent="0.35">
      <c r="R661" s="49"/>
    </row>
    <row r="662" spans="18:18" x14ac:dyDescent="0.35">
      <c r="R662" s="49"/>
    </row>
    <row r="663" spans="18:18" x14ac:dyDescent="0.35">
      <c r="R663" s="49"/>
    </row>
    <row r="664" spans="18:18" x14ac:dyDescent="0.35">
      <c r="R664" s="49"/>
    </row>
    <row r="665" spans="18:18" x14ac:dyDescent="0.35">
      <c r="R665" s="49"/>
    </row>
    <row r="666" spans="18:18" x14ac:dyDescent="0.35">
      <c r="R666" s="49"/>
    </row>
    <row r="667" spans="18:18" x14ac:dyDescent="0.35">
      <c r="R667" s="49"/>
    </row>
    <row r="668" spans="18:18" x14ac:dyDescent="0.35">
      <c r="R668" s="49"/>
    </row>
    <row r="669" spans="18:18" x14ac:dyDescent="0.35">
      <c r="R669" s="49"/>
    </row>
    <row r="670" spans="18:18" x14ac:dyDescent="0.35">
      <c r="R670" s="49"/>
    </row>
    <row r="671" spans="18:18" x14ac:dyDescent="0.35">
      <c r="R671" s="49"/>
    </row>
    <row r="672" spans="18:18" x14ac:dyDescent="0.35">
      <c r="R672" s="49"/>
    </row>
  </sheetData>
  <sortState ref="C40:E42">
    <sortCondition descending="1" ref="E40"/>
  </sortState>
  <mergeCells count="6">
    <mergeCell ref="B55:R61"/>
    <mergeCell ref="G23:N23"/>
    <mergeCell ref="C3:N3"/>
    <mergeCell ref="D5:E5"/>
    <mergeCell ref="G7:N7"/>
    <mergeCell ref="G20:K20"/>
  </mergeCells>
  <pageMargins left="0.7" right="0.7" top="0.75" bottom="0.75" header="0.3" footer="0.3"/>
  <pageSetup paperSize="9" scale="49" orientation="landscape" r:id="rId1"/>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0D5779-1004-453F-914C-73A5F7AB789E}">
  <sheetPr codeName="Sheet26">
    <pageSetUpPr fitToPage="1"/>
  </sheetPr>
  <dimension ref="A1:S652"/>
  <sheetViews>
    <sheetView showGridLines="0" zoomScale="75" zoomScaleNormal="75" zoomScaleSheetLayoutView="76" workbookViewId="0"/>
  </sheetViews>
  <sheetFormatPr defaultColWidth="9.1796875" defaultRowHeight="15.5" x14ac:dyDescent="0.35"/>
  <cols>
    <col min="1" max="1" width="2.81640625" style="3" customWidth="1"/>
    <col min="2" max="2" width="3.81640625" style="3" customWidth="1"/>
    <col min="3" max="3" width="59.1796875" style="3" bestFit="1" customWidth="1"/>
    <col min="4" max="4" width="28.453125" style="3" customWidth="1"/>
    <col min="5" max="5" width="16.7265625" style="3" customWidth="1"/>
    <col min="6" max="6" width="9.1796875" style="3"/>
    <col min="7" max="9" width="12" style="3" customWidth="1"/>
    <col min="10" max="10" width="26.54296875" style="3" customWidth="1"/>
    <col min="11" max="14" width="12" style="3" customWidth="1"/>
    <col min="15" max="16" width="9.1796875" style="3"/>
    <col min="17" max="17" width="9.81640625" style="3" customWidth="1"/>
    <col min="18" max="18" width="13.1796875" style="3" bestFit="1" customWidth="1"/>
    <col min="19" max="19" width="9.26953125" style="3" bestFit="1" customWidth="1"/>
    <col min="20" max="16384" width="9.1796875" style="3"/>
  </cols>
  <sheetData>
    <row r="1" spans="2:19" ht="16" thickBot="1" x14ac:dyDescent="0.4"/>
    <row r="2" spans="2:19" x14ac:dyDescent="0.35">
      <c r="B2" s="91"/>
      <c r="C2" s="42"/>
      <c r="D2" s="42"/>
      <c r="E2" s="42"/>
      <c r="F2" s="42"/>
      <c r="G2" s="42"/>
      <c r="H2" s="42"/>
      <c r="I2" s="42"/>
      <c r="J2" s="42"/>
      <c r="K2" s="42"/>
      <c r="L2" s="42"/>
      <c r="M2" s="42"/>
      <c r="N2" s="92"/>
      <c r="S2" s="210"/>
    </row>
    <row r="3" spans="2:19" ht="20.25" customHeight="1" x14ac:dyDescent="0.35">
      <c r="B3" s="93"/>
      <c r="C3" s="297" t="s">
        <v>196</v>
      </c>
      <c r="D3" s="297"/>
      <c r="E3" s="297"/>
      <c r="F3" s="297"/>
      <c r="G3" s="297"/>
      <c r="H3" s="297"/>
      <c r="I3" s="297"/>
      <c r="J3" s="297"/>
      <c r="K3" s="297"/>
      <c r="L3" s="297"/>
      <c r="M3" s="297"/>
      <c r="N3" s="298"/>
    </row>
    <row r="4" spans="2:19" x14ac:dyDescent="0.35">
      <c r="B4" s="93"/>
      <c r="C4" s="67" t="s">
        <v>434</v>
      </c>
      <c r="D4" s="29"/>
      <c r="E4" s="29"/>
      <c r="F4" s="5"/>
      <c r="G4" s="5"/>
      <c r="H4" s="5"/>
      <c r="I4" s="5"/>
      <c r="J4" s="5"/>
      <c r="K4" s="5"/>
      <c r="L4" s="5"/>
      <c r="M4" s="5"/>
      <c r="N4" s="20"/>
    </row>
    <row r="5" spans="2:19" ht="20.25" customHeight="1" x14ac:dyDescent="0.35">
      <c r="B5" s="93"/>
      <c r="C5" s="211" t="s">
        <v>435</v>
      </c>
      <c r="D5" s="314" t="s">
        <v>411</v>
      </c>
      <c r="E5" s="314"/>
      <c r="F5" s="5"/>
      <c r="G5" s="5"/>
      <c r="H5" s="5"/>
      <c r="I5" s="5"/>
      <c r="J5" s="5"/>
      <c r="K5" s="5"/>
      <c r="L5" s="5"/>
      <c r="M5" s="5"/>
      <c r="N5" s="20"/>
    </row>
    <row r="6" spans="2:19" x14ac:dyDescent="0.35">
      <c r="B6" s="93"/>
      <c r="C6" s="29"/>
      <c r="D6" s="29"/>
      <c r="E6" s="29"/>
      <c r="F6" s="5"/>
      <c r="G6" s="5"/>
      <c r="H6" s="5"/>
      <c r="I6" s="5"/>
      <c r="J6" s="5"/>
      <c r="K6" s="5"/>
      <c r="L6" s="5"/>
      <c r="M6" s="5"/>
      <c r="N6" s="20"/>
      <c r="P6" s="39" t="s">
        <v>22</v>
      </c>
      <c r="Q6" s="39" t="s">
        <v>2</v>
      </c>
    </row>
    <row r="7" spans="2:19" ht="32.25" customHeight="1" x14ac:dyDescent="0.35">
      <c r="B7" s="93"/>
      <c r="C7" s="95" t="s">
        <v>43</v>
      </c>
      <c r="D7" s="95" t="s">
        <v>44</v>
      </c>
      <c r="E7" s="218" t="s">
        <v>45</v>
      </c>
      <c r="F7" s="5"/>
      <c r="G7" s="5"/>
      <c r="H7" s="5"/>
      <c r="I7" s="5"/>
      <c r="J7" s="5"/>
      <c r="K7" s="5"/>
      <c r="L7" s="5"/>
      <c r="M7" s="5"/>
      <c r="N7" s="20"/>
      <c r="P7" s="285" t="s">
        <v>3</v>
      </c>
      <c r="Q7" s="284">
        <v>9.3124999999999999E-2</v>
      </c>
    </row>
    <row r="8" spans="2:19" x14ac:dyDescent="0.35">
      <c r="B8" s="93"/>
      <c r="C8" s="38" t="s">
        <v>70</v>
      </c>
      <c r="D8" s="4" t="s">
        <v>12</v>
      </c>
      <c r="E8" s="189">
        <v>5.7755000000000001E-2</v>
      </c>
      <c r="F8" s="5"/>
      <c r="G8" s="5"/>
      <c r="H8" s="5"/>
      <c r="I8" s="5"/>
      <c r="J8" s="5"/>
      <c r="K8" s="5"/>
      <c r="L8" s="5"/>
      <c r="M8" s="5"/>
      <c r="N8" s="20"/>
      <c r="P8" s="285" t="s">
        <v>12</v>
      </c>
      <c r="Q8" s="284">
        <v>5.7755000000000001E-2</v>
      </c>
      <c r="R8" s="49"/>
    </row>
    <row r="9" spans="2:19" ht="15.75" customHeight="1" x14ac:dyDescent="0.35">
      <c r="B9" s="93"/>
      <c r="C9" s="38" t="s">
        <v>29</v>
      </c>
      <c r="D9" s="4" t="s">
        <v>3</v>
      </c>
      <c r="E9" s="189">
        <v>3.3852E-2</v>
      </c>
      <c r="F9" s="5"/>
      <c r="G9" s="5"/>
      <c r="H9" s="5"/>
      <c r="I9" s="5"/>
      <c r="J9" s="5"/>
      <c r="K9" s="5"/>
      <c r="L9" s="5"/>
      <c r="M9" s="5"/>
      <c r="N9" s="20"/>
      <c r="P9" s="285" t="s">
        <v>110</v>
      </c>
      <c r="Q9" s="284">
        <v>3.7344000000000002E-2</v>
      </c>
      <c r="R9" s="49"/>
    </row>
    <row r="10" spans="2:19" x14ac:dyDescent="0.35">
      <c r="B10" s="93"/>
      <c r="C10" s="38" t="s">
        <v>31</v>
      </c>
      <c r="D10" s="4" t="s">
        <v>6</v>
      </c>
      <c r="E10" s="189">
        <v>3.2399999999999998E-2</v>
      </c>
      <c r="F10" s="31"/>
      <c r="G10" s="5"/>
      <c r="H10" s="5"/>
      <c r="I10" s="5"/>
      <c r="J10" s="5"/>
      <c r="K10" s="5"/>
      <c r="L10" s="5"/>
      <c r="M10" s="5"/>
      <c r="N10" s="20"/>
      <c r="P10" s="285" t="s">
        <v>26</v>
      </c>
      <c r="Q10" s="284">
        <v>3.4512000000000001E-2</v>
      </c>
      <c r="R10" s="49"/>
    </row>
    <row r="11" spans="2:19" x14ac:dyDescent="0.35">
      <c r="B11" s="93"/>
      <c r="C11" s="38" t="s">
        <v>32</v>
      </c>
      <c r="D11" s="4" t="s">
        <v>3</v>
      </c>
      <c r="E11" s="189">
        <v>2.7653999999999998E-2</v>
      </c>
      <c r="F11" s="5"/>
      <c r="G11" s="5"/>
      <c r="H11" s="5"/>
      <c r="I11" s="5"/>
      <c r="J11" s="5"/>
      <c r="K11" s="5"/>
      <c r="L11" s="5"/>
      <c r="M11" s="5"/>
      <c r="N11" s="20"/>
      <c r="P11" s="285" t="s">
        <v>4</v>
      </c>
      <c r="Q11" s="284">
        <v>3.3807000000000004E-2</v>
      </c>
      <c r="R11" s="49"/>
    </row>
    <row r="12" spans="2:19" ht="15.75" customHeight="1" x14ac:dyDescent="0.35">
      <c r="B12" s="93"/>
      <c r="C12" s="38" t="s">
        <v>36</v>
      </c>
      <c r="D12" s="4" t="s">
        <v>3</v>
      </c>
      <c r="E12" s="189">
        <v>2.2721999999999999E-2</v>
      </c>
      <c r="F12" s="31"/>
      <c r="G12" s="5"/>
      <c r="H12" s="5"/>
      <c r="I12" s="5"/>
      <c r="J12" s="5"/>
      <c r="K12" s="5"/>
      <c r="L12" s="5"/>
      <c r="M12" s="5"/>
      <c r="N12" s="20"/>
      <c r="P12" s="285" t="s">
        <v>6</v>
      </c>
      <c r="Q12" s="284">
        <v>3.2399999999999998E-2</v>
      </c>
      <c r="R12" s="49"/>
    </row>
    <row r="13" spans="2:19" x14ac:dyDescent="0.35">
      <c r="B13" s="93"/>
      <c r="C13" s="38" t="s">
        <v>225</v>
      </c>
      <c r="D13" s="4" t="s">
        <v>26</v>
      </c>
      <c r="E13" s="189">
        <v>1.8734000000000001E-2</v>
      </c>
      <c r="F13" s="31"/>
      <c r="G13" s="5"/>
      <c r="H13" s="5"/>
      <c r="I13" s="5"/>
      <c r="J13" s="5"/>
      <c r="K13" s="5"/>
      <c r="L13" s="5"/>
      <c r="M13" s="5"/>
      <c r="N13" s="20"/>
      <c r="P13" s="285" t="s">
        <v>105</v>
      </c>
      <c r="Q13" s="284">
        <v>2.9913000000000006E-2</v>
      </c>
      <c r="R13" s="49"/>
    </row>
    <row r="14" spans="2:19" x14ac:dyDescent="0.35">
      <c r="B14" s="93"/>
      <c r="C14" s="38" t="s">
        <v>30</v>
      </c>
      <c r="D14" s="4" t="s">
        <v>115</v>
      </c>
      <c r="E14" s="189">
        <v>1.8126E-2</v>
      </c>
      <c r="F14" s="31"/>
      <c r="G14" s="5"/>
      <c r="H14" s="5"/>
      <c r="I14" s="5"/>
      <c r="J14" s="5"/>
      <c r="K14" s="5"/>
      <c r="L14" s="5"/>
      <c r="M14" s="5"/>
      <c r="N14" s="20"/>
      <c r="P14" s="285" t="s">
        <v>109</v>
      </c>
      <c r="Q14" s="284">
        <v>2.0577000000000002E-2</v>
      </c>
      <c r="R14" s="49"/>
    </row>
    <row r="15" spans="2:19" x14ac:dyDescent="0.35">
      <c r="B15" s="93"/>
      <c r="C15" s="38" t="s">
        <v>94</v>
      </c>
      <c r="D15" s="4" t="s">
        <v>110</v>
      </c>
      <c r="E15" s="189">
        <v>1.6664000000000002E-2</v>
      </c>
      <c r="F15" s="5"/>
      <c r="G15" s="5"/>
      <c r="H15" s="5"/>
      <c r="I15" s="5"/>
      <c r="J15" s="5"/>
      <c r="K15" s="5"/>
      <c r="L15" s="5"/>
      <c r="M15" s="5"/>
      <c r="N15" s="20"/>
      <c r="P15" s="285" t="s">
        <v>11</v>
      </c>
      <c r="Q15" s="284">
        <v>2.0140000000000002E-2</v>
      </c>
      <c r="R15" s="49"/>
    </row>
    <row r="16" spans="2:19" x14ac:dyDescent="0.35">
      <c r="B16" s="93"/>
      <c r="C16" s="38" t="s">
        <v>143</v>
      </c>
      <c r="D16" s="4" t="s">
        <v>122</v>
      </c>
      <c r="E16" s="189">
        <v>1.5906E-2</v>
      </c>
      <c r="F16" s="5"/>
      <c r="G16" s="5"/>
      <c r="H16" s="5"/>
      <c r="I16" s="5"/>
      <c r="J16" s="5"/>
      <c r="K16" s="5"/>
      <c r="L16" s="5"/>
      <c r="M16" s="5"/>
      <c r="N16" s="20"/>
      <c r="P16" s="285" t="s">
        <v>115</v>
      </c>
      <c r="Q16" s="284">
        <v>1.8126E-2</v>
      </c>
      <c r="R16" s="49"/>
    </row>
    <row r="17" spans="2:18" x14ac:dyDescent="0.35">
      <c r="B17" s="93"/>
      <c r="C17" s="38" t="s">
        <v>378</v>
      </c>
      <c r="D17" s="4" t="s">
        <v>26</v>
      </c>
      <c r="E17" s="189">
        <v>1.5778E-2</v>
      </c>
      <c r="F17" s="5"/>
      <c r="G17" s="5"/>
      <c r="H17" s="5"/>
      <c r="I17" s="5"/>
      <c r="J17" s="5"/>
      <c r="K17" s="5"/>
      <c r="L17" s="5"/>
      <c r="M17" s="5"/>
      <c r="N17" s="20"/>
      <c r="P17" s="285" t="s">
        <v>117</v>
      </c>
      <c r="Q17" s="284">
        <v>1.7885999999999999E-2</v>
      </c>
      <c r="R17" s="49"/>
    </row>
    <row r="18" spans="2:18" x14ac:dyDescent="0.35">
      <c r="B18" s="93"/>
      <c r="C18" s="38" t="s">
        <v>28</v>
      </c>
      <c r="D18" s="4" t="s">
        <v>105</v>
      </c>
      <c r="E18" s="189">
        <v>1.5726E-2</v>
      </c>
      <c r="F18" s="5"/>
      <c r="G18" s="5"/>
      <c r="H18" s="5"/>
      <c r="I18" s="5"/>
      <c r="J18" s="5"/>
      <c r="K18" s="5"/>
      <c r="L18" s="5"/>
      <c r="M18" s="5"/>
      <c r="N18" s="20"/>
      <c r="P18" s="285" t="s">
        <v>84</v>
      </c>
      <c r="Q18" s="284">
        <v>1.6271000000000001E-2</v>
      </c>
      <c r="R18" s="49"/>
    </row>
    <row r="19" spans="2:18" x14ac:dyDescent="0.35">
      <c r="B19" s="93"/>
      <c r="C19" s="38" t="s">
        <v>73</v>
      </c>
      <c r="D19" s="4" t="s">
        <v>11</v>
      </c>
      <c r="E19" s="189">
        <v>1.5206000000000001E-2</v>
      </c>
      <c r="F19" s="5"/>
      <c r="G19" s="5"/>
      <c r="H19" s="5"/>
      <c r="I19" s="5"/>
      <c r="J19" s="5"/>
      <c r="K19" s="5"/>
      <c r="L19" s="5"/>
      <c r="M19" s="5"/>
      <c r="N19" s="20"/>
      <c r="P19" s="285" t="s">
        <v>122</v>
      </c>
      <c r="Q19" s="284">
        <v>1.5906E-2</v>
      </c>
      <c r="R19" s="49"/>
    </row>
    <row r="20" spans="2:18" ht="15.75" customHeight="1" x14ac:dyDescent="0.35">
      <c r="B20" s="93"/>
      <c r="C20" s="38" t="s">
        <v>74</v>
      </c>
      <c r="D20" s="4" t="s">
        <v>4</v>
      </c>
      <c r="E20" s="189">
        <v>1.2573000000000001E-2</v>
      </c>
      <c r="F20" s="5"/>
      <c r="G20" s="5"/>
      <c r="H20" s="5"/>
      <c r="I20" s="5"/>
      <c r="J20" s="5"/>
      <c r="K20" s="5"/>
      <c r="L20" s="5"/>
      <c r="M20" s="5"/>
      <c r="N20" s="20"/>
      <c r="P20" s="285" t="s">
        <v>104</v>
      </c>
      <c r="Q20" s="284">
        <v>1.4281E-2</v>
      </c>
      <c r="R20" s="49"/>
    </row>
    <row r="21" spans="2:18" x14ac:dyDescent="0.35">
      <c r="B21" s="93"/>
      <c r="C21" s="38" t="s">
        <v>345</v>
      </c>
      <c r="D21" s="4" t="s">
        <v>10</v>
      </c>
      <c r="E21" s="189">
        <v>1.2555999999999999E-2</v>
      </c>
      <c r="F21" s="5"/>
      <c r="G21" s="5"/>
      <c r="H21" s="5"/>
      <c r="I21" s="5"/>
      <c r="J21" s="5"/>
      <c r="K21" s="5"/>
      <c r="L21" s="5"/>
      <c r="M21" s="5"/>
      <c r="N21" s="20"/>
      <c r="P21" s="285" t="s">
        <v>108</v>
      </c>
      <c r="Q21" s="284">
        <v>1.2652999999999999E-2</v>
      </c>
      <c r="R21" s="49"/>
    </row>
    <row r="22" spans="2:18" x14ac:dyDescent="0.35">
      <c r="B22" s="93"/>
      <c r="C22" s="38" t="s">
        <v>34</v>
      </c>
      <c r="D22" s="4" t="s">
        <v>23</v>
      </c>
      <c r="E22" s="189">
        <v>1.2502999999999997E-2</v>
      </c>
      <c r="F22" s="5"/>
      <c r="G22" s="31"/>
      <c r="H22" s="31"/>
      <c r="I22" s="31"/>
      <c r="J22" s="5"/>
      <c r="K22" s="31"/>
      <c r="L22" s="5"/>
      <c r="M22" s="5"/>
      <c r="N22" s="20"/>
      <c r="P22" s="285" t="s">
        <v>10</v>
      </c>
      <c r="Q22" s="284">
        <v>1.2555999999999999E-2</v>
      </c>
      <c r="R22" s="49"/>
    </row>
    <row r="23" spans="2:18" ht="15.75" customHeight="1" x14ac:dyDescent="0.35">
      <c r="B23" s="93"/>
      <c r="C23" s="38"/>
      <c r="D23" s="4"/>
      <c r="E23" s="6"/>
      <c r="F23" s="5"/>
      <c r="G23" s="31"/>
      <c r="H23" s="31"/>
      <c r="I23" s="31"/>
      <c r="J23" s="5"/>
      <c r="K23" s="31"/>
      <c r="L23" s="5"/>
      <c r="M23" s="5"/>
      <c r="N23" s="20"/>
      <c r="P23" s="285" t="s">
        <v>23</v>
      </c>
      <c r="Q23" s="284">
        <v>1.2502999999999997E-2</v>
      </c>
      <c r="R23" s="49"/>
    </row>
    <row r="24" spans="2:18" x14ac:dyDescent="0.35">
      <c r="B24" s="93"/>
      <c r="C24" s="106" t="s">
        <v>56</v>
      </c>
      <c r="D24" s="106"/>
      <c r="E24" s="107">
        <v>0.32815500000000003</v>
      </c>
      <c r="F24" s="5"/>
      <c r="G24" s="5"/>
      <c r="H24" s="5"/>
      <c r="I24" s="5"/>
      <c r="J24" s="5"/>
      <c r="K24" s="5"/>
      <c r="L24" s="5"/>
      <c r="M24" s="5"/>
      <c r="N24" s="20"/>
      <c r="P24" s="285" t="s">
        <v>114</v>
      </c>
      <c r="Q24" s="284">
        <v>1.1436E-2</v>
      </c>
      <c r="R24" s="49"/>
    </row>
    <row r="25" spans="2:18" x14ac:dyDescent="0.35">
      <c r="B25" s="93"/>
      <c r="C25" s="4"/>
      <c r="D25" s="4"/>
      <c r="E25" s="6"/>
      <c r="F25" s="5"/>
      <c r="G25" s="5"/>
      <c r="H25" s="5"/>
      <c r="I25" s="5"/>
      <c r="J25" s="5"/>
      <c r="K25" s="5"/>
      <c r="L25" s="5"/>
      <c r="M25" s="5"/>
      <c r="N25" s="20"/>
      <c r="P25" s="285" t="s">
        <v>15</v>
      </c>
      <c r="Q25" s="284">
        <v>9.9729999999999992E-3</v>
      </c>
      <c r="R25" s="49"/>
    </row>
    <row r="26" spans="2:18" x14ac:dyDescent="0.35">
      <c r="B26" s="93"/>
      <c r="C26" s="106" t="s">
        <v>66</v>
      </c>
      <c r="D26" s="106"/>
      <c r="E26" s="178">
        <v>0.218801</v>
      </c>
      <c r="F26" s="31"/>
      <c r="G26" s="5"/>
      <c r="H26" s="5"/>
      <c r="I26" s="5"/>
      <c r="J26" s="5"/>
      <c r="K26" s="5"/>
      <c r="L26" s="5"/>
      <c r="M26" s="5"/>
      <c r="N26" s="20"/>
      <c r="P26" s="285" t="s">
        <v>129</v>
      </c>
      <c r="Q26" s="284">
        <v>9.4120000000000002E-3</v>
      </c>
      <c r="R26" s="49"/>
    </row>
    <row r="27" spans="2:18" x14ac:dyDescent="0.35">
      <c r="B27" s="93"/>
      <c r="C27" s="38"/>
      <c r="D27" s="58"/>
      <c r="E27" s="6"/>
      <c r="F27" s="5"/>
      <c r="G27" s="5"/>
      <c r="H27" s="5"/>
      <c r="I27" s="5"/>
      <c r="J27" s="5"/>
      <c r="K27" s="5"/>
      <c r="L27" s="5"/>
      <c r="M27" s="5"/>
      <c r="N27" s="20"/>
      <c r="P27" s="285" t="s">
        <v>111</v>
      </c>
      <c r="Q27" s="284">
        <v>8.6220000000000012E-3</v>
      </c>
      <c r="R27" s="49"/>
    </row>
    <row r="28" spans="2:18" s="48" customFormat="1" ht="13.5" customHeight="1" x14ac:dyDescent="0.35">
      <c r="B28" s="108"/>
      <c r="C28" s="106" t="s">
        <v>58</v>
      </c>
      <c r="D28" s="106"/>
      <c r="E28" s="178">
        <v>0.156699</v>
      </c>
      <c r="F28" s="41"/>
      <c r="G28" s="41"/>
      <c r="H28" s="41"/>
      <c r="I28" s="41"/>
      <c r="J28" s="41"/>
      <c r="K28" s="41"/>
      <c r="L28" s="41"/>
      <c r="M28" s="41"/>
      <c r="N28" s="109"/>
      <c r="P28" s="285" t="s">
        <v>16</v>
      </c>
      <c r="Q28" s="284">
        <v>7.7949999999999998E-3</v>
      </c>
      <c r="R28" s="110"/>
    </row>
    <row r="29" spans="2:18" x14ac:dyDescent="0.35">
      <c r="B29" s="93"/>
      <c r="C29" s="38"/>
      <c r="D29" s="38"/>
      <c r="E29" s="38"/>
      <c r="F29" s="5"/>
      <c r="G29" s="5"/>
      <c r="H29" s="5"/>
      <c r="I29" s="5"/>
      <c r="J29" s="5"/>
      <c r="K29" s="5"/>
      <c r="L29" s="5"/>
      <c r="M29" s="5"/>
      <c r="N29" s="20"/>
      <c r="P29" s="285" t="s">
        <v>116</v>
      </c>
      <c r="Q29" s="284">
        <v>5.2509999999999996E-3</v>
      </c>
      <c r="R29" s="49"/>
    </row>
    <row r="30" spans="2:18" x14ac:dyDescent="0.35">
      <c r="B30" s="93"/>
      <c r="C30" s="38" t="s">
        <v>215</v>
      </c>
      <c r="D30" s="4" t="s">
        <v>61</v>
      </c>
      <c r="E30" s="189">
        <v>0.241254</v>
      </c>
      <c r="F30" s="5"/>
      <c r="G30" s="5"/>
      <c r="H30" s="5"/>
      <c r="I30" s="5"/>
      <c r="J30" s="5"/>
      <c r="K30" s="5"/>
      <c r="L30" s="5"/>
      <c r="M30" s="5"/>
      <c r="N30" s="20"/>
      <c r="P30" s="285" t="s">
        <v>128</v>
      </c>
      <c r="Q30" s="284">
        <v>4.8240000000000002E-3</v>
      </c>
      <c r="R30" s="49"/>
    </row>
    <row r="31" spans="2:18" x14ac:dyDescent="0.35">
      <c r="B31" s="93"/>
      <c r="C31" s="106" t="s">
        <v>42</v>
      </c>
      <c r="D31" s="106"/>
      <c r="E31" s="107">
        <v>0.241254</v>
      </c>
      <c r="F31" s="5"/>
      <c r="G31" s="5"/>
      <c r="H31" s="5"/>
      <c r="I31" s="5"/>
      <c r="J31" s="5"/>
      <c r="K31" s="5"/>
      <c r="L31" s="5"/>
      <c r="M31" s="5"/>
      <c r="N31" s="20"/>
      <c r="P31" s="285" t="s">
        <v>83</v>
      </c>
      <c r="Q31" s="284">
        <v>3.7390000000000001E-3</v>
      </c>
      <c r="R31" s="49"/>
    </row>
    <row r="32" spans="2:18" x14ac:dyDescent="0.35">
      <c r="B32" s="93"/>
      <c r="C32" s="111"/>
      <c r="D32" s="111"/>
      <c r="E32" s="112"/>
      <c r="F32" s="5"/>
      <c r="G32" s="5"/>
      <c r="H32" s="5"/>
      <c r="I32" s="5"/>
      <c r="J32" s="5"/>
      <c r="K32" s="5"/>
      <c r="L32" s="5"/>
      <c r="M32" s="5"/>
      <c r="N32" s="20"/>
      <c r="P32" s="285" t="s">
        <v>82</v>
      </c>
      <c r="Q32" s="284">
        <v>3.0879999999999996E-3</v>
      </c>
      <c r="R32" s="49"/>
    </row>
    <row r="33" spans="1:18" x14ac:dyDescent="0.35">
      <c r="B33" s="93"/>
      <c r="C33" s="106" t="s">
        <v>20</v>
      </c>
      <c r="D33" s="106"/>
      <c r="E33" s="107">
        <v>5.5091000000000001E-2</v>
      </c>
      <c r="F33" s="5"/>
      <c r="G33" s="5"/>
      <c r="H33" s="5"/>
      <c r="I33" s="5"/>
      <c r="J33" s="5"/>
      <c r="K33" s="5"/>
      <c r="L33" s="5"/>
      <c r="M33" s="5"/>
      <c r="N33" s="20"/>
      <c r="P33" s="285" t="s">
        <v>93</v>
      </c>
      <c r="Q33" s="284">
        <v>1.562E-3</v>
      </c>
      <c r="R33" s="49"/>
    </row>
    <row r="34" spans="1:18" x14ac:dyDescent="0.35">
      <c r="B34" s="93"/>
      <c r="C34" s="4"/>
      <c r="D34" s="4"/>
      <c r="E34" s="32"/>
      <c r="F34" s="5"/>
      <c r="G34" s="5"/>
      <c r="H34" s="5"/>
      <c r="I34" s="5"/>
      <c r="J34" s="5"/>
      <c r="K34" s="5"/>
      <c r="L34" s="5"/>
      <c r="M34" s="5"/>
      <c r="N34" s="20"/>
      <c r="P34" s="285" t="s">
        <v>25</v>
      </c>
      <c r="Q34" s="284">
        <v>9.2699999999999998E-4</v>
      </c>
      <c r="R34" s="49"/>
    </row>
    <row r="35" spans="1:18" x14ac:dyDescent="0.35">
      <c r="B35" s="93"/>
      <c r="C35" s="113" t="s">
        <v>21</v>
      </c>
      <c r="D35" s="113"/>
      <c r="E35" s="114">
        <f>E33+E31+E28+E26+E24</f>
        <v>1</v>
      </c>
      <c r="F35" s="5"/>
      <c r="G35" s="5"/>
      <c r="H35" s="5"/>
      <c r="I35" s="5"/>
      <c r="J35" s="5"/>
      <c r="K35" s="5"/>
      <c r="L35" s="5"/>
      <c r="M35" s="5"/>
      <c r="N35" s="20"/>
      <c r="P35" s="285" t="s">
        <v>75</v>
      </c>
      <c r="Q35" s="284">
        <v>5.7200000000000003E-4</v>
      </c>
      <c r="R35" s="49"/>
    </row>
    <row r="36" spans="1:18" x14ac:dyDescent="0.35">
      <c r="B36" s="93"/>
      <c r="F36" s="5"/>
      <c r="G36" s="5"/>
      <c r="H36" s="5"/>
      <c r="I36" s="5"/>
      <c r="J36" s="5"/>
      <c r="K36" s="5"/>
      <c r="L36" s="5"/>
      <c r="M36" s="5"/>
      <c r="N36" s="20"/>
      <c r="P36" s="283"/>
      <c r="Q36" s="286"/>
      <c r="R36" s="49"/>
    </row>
    <row r="37" spans="1:18" ht="16" thickBot="1" x14ac:dyDescent="0.4">
      <c r="A37" s="5"/>
      <c r="B37" s="96"/>
      <c r="C37" s="45"/>
      <c r="D37" s="45"/>
      <c r="E37" s="45"/>
      <c r="F37" s="45"/>
      <c r="G37" s="45"/>
      <c r="H37" s="45"/>
      <c r="I37" s="45"/>
      <c r="J37" s="45"/>
      <c r="K37" s="45"/>
      <c r="L37" s="45"/>
      <c r="M37" s="45"/>
      <c r="N37" s="116"/>
      <c r="O37" s="5"/>
      <c r="R37" s="49"/>
    </row>
    <row r="38" spans="1:18" ht="16" thickBot="1" x14ac:dyDescent="0.4">
      <c r="R38" s="49"/>
    </row>
    <row r="39" spans="1:18" ht="15" customHeight="1" x14ac:dyDescent="0.35">
      <c r="B39" s="303" t="s">
        <v>179</v>
      </c>
      <c r="C39" s="304"/>
      <c r="D39" s="304"/>
      <c r="E39" s="304"/>
      <c r="F39" s="304"/>
      <c r="G39" s="304"/>
      <c r="H39" s="304"/>
      <c r="I39" s="304"/>
      <c r="J39" s="304"/>
      <c r="K39" s="304"/>
      <c r="L39" s="304"/>
      <c r="M39" s="304"/>
      <c r="N39" s="304"/>
      <c r="O39" s="304"/>
      <c r="P39" s="304"/>
      <c r="Q39" s="304"/>
      <c r="R39" s="305"/>
    </row>
    <row r="40" spans="1:18" x14ac:dyDescent="0.35">
      <c r="B40" s="306"/>
      <c r="C40" s="307"/>
      <c r="D40" s="307"/>
      <c r="E40" s="307"/>
      <c r="F40" s="307"/>
      <c r="G40" s="307"/>
      <c r="H40" s="307"/>
      <c r="I40" s="307"/>
      <c r="J40" s="307"/>
      <c r="K40" s="307"/>
      <c r="L40" s="307"/>
      <c r="M40" s="307"/>
      <c r="N40" s="307"/>
      <c r="O40" s="307"/>
      <c r="P40" s="307"/>
      <c r="Q40" s="307"/>
      <c r="R40" s="308"/>
    </row>
    <row r="41" spans="1:18" x14ac:dyDescent="0.35">
      <c r="B41" s="306"/>
      <c r="C41" s="307"/>
      <c r="D41" s="307"/>
      <c r="E41" s="307"/>
      <c r="F41" s="307"/>
      <c r="G41" s="307"/>
      <c r="H41" s="307"/>
      <c r="I41" s="307"/>
      <c r="J41" s="307"/>
      <c r="K41" s="307"/>
      <c r="L41" s="307"/>
      <c r="M41" s="307"/>
      <c r="N41" s="307"/>
      <c r="O41" s="307"/>
      <c r="P41" s="307"/>
      <c r="Q41" s="307"/>
      <c r="R41" s="308"/>
    </row>
    <row r="42" spans="1:18" x14ac:dyDescent="0.35">
      <c r="B42" s="306"/>
      <c r="C42" s="307"/>
      <c r="D42" s="307"/>
      <c r="E42" s="307"/>
      <c r="F42" s="307"/>
      <c r="G42" s="307"/>
      <c r="H42" s="307"/>
      <c r="I42" s="307"/>
      <c r="J42" s="307"/>
      <c r="K42" s="307"/>
      <c r="L42" s="307"/>
      <c r="M42" s="307"/>
      <c r="N42" s="307"/>
      <c r="O42" s="307"/>
      <c r="P42" s="307"/>
      <c r="Q42" s="307"/>
      <c r="R42" s="308"/>
    </row>
    <row r="43" spans="1:18" x14ac:dyDescent="0.35">
      <c r="B43" s="306"/>
      <c r="C43" s="307"/>
      <c r="D43" s="307"/>
      <c r="E43" s="307"/>
      <c r="F43" s="307"/>
      <c r="G43" s="307"/>
      <c r="H43" s="307"/>
      <c r="I43" s="307"/>
      <c r="J43" s="307"/>
      <c r="K43" s="307"/>
      <c r="L43" s="307"/>
      <c r="M43" s="307"/>
      <c r="N43" s="307"/>
      <c r="O43" s="307"/>
      <c r="P43" s="307"/>
      <c r="Q43" s="307"/>
      <c r="R43" s="308"/>
    </row>
    <row r="44" spans="1:18" x14ac:dyDescent="0.35">
      <c r="B44" s="306"/>
      <c r="C44" s="307"/>
      <c r="D44" s="307"/>
      <c r="E44" s="307"/>
      <c r="F44" s="307"/>
      <c r="G44" s="307"/>
      <c r="H44" s="307"/>
      <c r="I44" s="307"/>
      <c r="J44" s="307"/>
      <c r="K44" s="307"/>
      <c r="L44" s="307"/>
      <c r="M44" s="307"/>
      <c r="N44" s="307"/>
      <c r="O44" s="307"/>
      <c r="P44" s="307"/>
      <c r="Q44" s="307"/>
      <c r="R44" s="308"/>
    </row>
    <row r="45" spans="1:18" ht="16" thickBot="1" x14ac:dyDescent="0.4">
      <c r="B45" s="309"/>
      <c r="C45" s="310"/>
      <c r="D45" s="310"/>
      <c r="E45" s="310"/>
      <c r="F45" s="310"/>
      <c r="G45" s="310"/>
      <c r="H45" s="310"/>
      <c r="I45" s="310"/>
      <c r="J45" s="310"/>
      <c r="K45" s="310"/>
      <c r="L45" s="310"/>
      <c r="M45" s="310"/>
      <c r="N45" s="310"/>
      <c r="O45" s="310"/>
      <c r="P45" s="310"/>
      <c r="Q45" s="310"/>
      <c r="R45" s="311"/>
    </row>
    <row r="46" spans="1:18" x14ac:dyDescent="0.35">
      <c r="R46" s="49"/>
    </row>
    <row r="47" spans="1:18" x14ac:dyDescent="0.35">
      <c r="R47" s="49"/>
    </row>
    <row r="48" spans="1:18" x14ac:dyDescent="0.35">
      <c r="R48" s="49"/>
    </row>
    <row r="49" spans="18:18" x14ac:dyDescent="0.35">
      <c r="R49" s="49"/>
    </row>
    <row r="50" spans="18:18" x14ac:dyDescent="0.35">
      <c r="R50" s="49"/>
    </row>
    <row r="51" spans="18:18" x14ac:dyDescent="0.35">
      <c r="R51" s="49"/>
    </row>
    <row r="52" spans="18:18" x14ac:dyDescent="0.35">
      <c r="R52" s="49"/>
    </row>
    <row r="53" spans="18:18" x14ac:dyDescent="0.35">
      <c r="R53" s="49"/>
    </row>
    <row r="54" spans="18:18" x14ac:dyDescent="0.35">
      <c r="R54" s="49"/>
    </row>
    <row r="55" spans="18:18" x14ac:dyDescent="0.35">
      <c r="R55" s="49"/>
    </row>
    <row r="56" spans="18:18" x14ac:dyDescent="0.35">
      <c r="R56" s="49"/>
    </row>
    <row r="57" spans="18:18" x14ac:dyDescent="0.35">
      <c r="R57" s="49"/>
    </row>
    <row r="58" spans="18:18" x14ac:dyDescent="0.35">
      <c r="R58" s="49"/>
    </row>
    <row r="59" spans="18:18" x14ac:dyDescent="0.35">
      <c r="R59" s="49"/>
    </row>
    <row r="60" spans="18:18" x14ac:dyDescent="0.35">
      <c r="R60" s="49"/>
    </row>
    <row r="61" spans="18:18" x14ac:dyDescent="0.35">
      <c r="R61" s="49"/>
    </row>
    <row r="62" spans="18:18" x14ac:dyDescent="0.35">
      <c r="R62" s="49"/>
    </row>
    <row r="63" spans="18:18" x14ac:dyDescent="0.35">
      <c r="R63" s="49"/>
    </row>
    <row r="64" spans="18:18" x14ac:dyDescent="0.35">
      <c r="R64" s="49"/>
    </row>
    <row r="65" spans="18:18" x14ac:dyDescent="0.35">
      <c r="R65" s="49"/>
    </row>
    <row r="66" spans="18:18" x14ac:dyDescent="0.35">
      <c r="R66" s="49"/>
    </row>
    <row r="67" spans="18:18" x14ac:dyDescent="0.35">
      <c r="R67" s="49"/>
    </row>
    <row r="68" spans="18:18" x14ac:dyDescent="0.35">
      <c r="R68" s="49"/>
    </row>
    <row r="69" spans="18:18" x14ac:dyDescent="0.35">
      <c r="R69" s="49"/>
    </row>
    <row r="70" spans="18:18" x14ac:dyDescent="0.35">
      <c r="R70" s="49"/>
    </row>
    <row r="71" spans="18:18" x14ac:dyDescent="0.35">
      <c r="R71" s="49"/>
    </row>
    <row r="72" spans="18:18" x14ac:dyDescent="0.35">
      <c r="R72" s="49"/>
    </row>
    <row r="73" spans="18:18" x14ac:dyDescent="0.35">
      <c r="R73" s="49"/>
    </row>
    <row r="74" spans="18:18" x14ac:dyDescent="0.35">
      <c r="R74" s="49"/>
    </row>
    <row r="75" spans="18:18" x14ac:dyDescent="0.35">
      <c r="R75" s="49"/>
    </row>
    <row r="76" spans="18:18" x14ac:dyDescent="0.35">
      <c r="R76" s="49"/>
    </row>
    <row r="77" spans="18:18" x14ac:dyDescent="0.35">
      <c r="R77" s="49"/>
    </row>
    <row r="78" spans="18:18" x14ac:dyDescent="0.35">
      <c r="R78" s="49"/>
    </row>
    <row r="79" spans="18:18" x14ac:dyDescent="0.35">
      <c r="R79" s="49"/>
    </row>
    <row r="80" spans="18:18" x14ac:dyDescent="0.35">
      <c r="R80" s="49"/>
    </row>
    <row r="81" spans="18:18" x14ac:dyDescent="0.35">
      <c r="R81" s="49"/>
    </row>
    <row r="82" spans="18:18" x14ac:dyDescent="0.35">
      <c r="R82" s="49"/>
    </row>
    <row r="83" spans="18:18" x14ac:dyDescent="0.35">
      <c r="R83" s="49"/>
    </row>
    <row r="84" spans="18:18" x14ac:dyDescent="0.35">
      <c r="R84" s="49"/>
    </row>
    <row r="85" spans="18:18" x14ac:dyDescent="0.35">
      <c r="R85" s="49"/>
    </row>
    <row r="86" spans="18:18" x14ac:dyDescent="0.35">
      <c r="R86" s="49"/>
    </row>
    <row r="87" spans="18:18" x14ac:dyDescent="0.35">
      <c r="R87" s="49"/>
    </row>
    <row r="88" spans="18:18" x14ac:dyDescent="0.35">
      <c r="R88" s="49"/>
    </row>
    <row r="89" spans="18:18" x14ac:dyDescent="0.35">
      <c r="R89" s="49"/>
    </row>
    <row r="90" spans="18:18" x14ac:dyDescent="0.35">
      <c r="R90" s="49"/>
    </row>
    <row r="91" spans="18:18" x14ac:dyDescent="0.35">
      <c r="R91" s="49"/>
    </row>
    <row r="92" spans="18:18" x14ac:dyDescent="0.35">
      <c r="R92" s="49"/>
    </row>
    <row r="93" spans="18:18" x14ac:dyDescent="0.35">
      <c r="R93" s="49"/>
    </row>
    <row r="94" spans="18:18" x14ac:dyDescent="0.35">
      <c r="R94" s="49"/>
    </row>
    <row r="95" spans="18:18" x14ac:dyDescent="0.35">
      <c r="R95" s="49"/>
    </row>
    <row r="96" spans="18:18" x14ac:dyDescent="0.35">
      <c r="R96" s="49"/>
    </row>
    <row r="97" spans="18:18" x14ac:dyDescent="0.35">
      <c r="R97" s="49"/>
    </row>
    <row r="98" spans="18:18" x14ac:dyDescent="0.35">
      <c r="R98" s="49"/>
    </row>
    <row r="99" spans="18:18" x14ac:dyDescent="0.35">
      <c r="R99" s="49"/>
    </row>
    <row r="100" spans="18:18" x14ac:dyDescent="0.35">
      <c r="R100" s="49"/>
    </row>
    <row r="101" spans="18:18" x14ac:dyDescent="0.35">
      <c r="R101" s="49"/>
    </row>
    <row r="102" spans="18:18" x14ac:dyDescent="0.35">
      <c r="R102" s="49"/>
    </row>
    <row r="103" spans="18:18" x14ac:dyDescent="0.35">
      <c r="R103" s="49"/>
    </row>
    <row r="104" spans="18:18" x14ac:dyDescent="0.35">
      <c r="R104" s="49"/>
    </row>
    <row r="105" spans="18:18" x14ac:dyDescent="0.35">
      <c r="R105" s="49"/>
    </row>
    <row r="106" spans="18:18" x14ac:dyDescent="0.35">
      <c r="R106" s="49"/>
    </row>
    <row r="107" spans="18:18" x14ac:dyDescent="0.35">
      <c r="R107" s="49"/>
    </row>
    <row r="108" spans="18:18" x14ac:dyDescent="0.35">
      <c r="R108" s="49"/>
    </row>
    <row r="109" spans="18:18" x14ac:dyDescent="0.35">
      <c r="R109" s="49"/>
    </row>
    <row r="110" spans="18:18" x14ac:dyDescent="0.35">
      <c r="R110" s="49"/>
    </row>
    <row r="111" spans="18:18" x14ac:dyDescent="0.35">
      <c r="R111" s="49"/>
    </row>
    <row r="112" spans="18:18" x14ac:dyDescent="0.35">
      <c r="R112" s="49"/>
    </row>
    <row r="113" spans="18:18" x14ac:dyDescent="0.35">
      <c r="R113" s="49"/>
    </row>
    <row r="114" spans="18:18" x14ac:dyDescent="0.35">
      <c r="R114" s="49"/>
    </row>
    <row r="115" spans="18:18" x14ac:dyDescent="0.35">
      <c r="R115" s="49"/>
    </row>
    <row r="116" spans="18:18" x14ac:dyDescent="0.35">
      <c r="R116" s="49"/>
    </row>
    <row r="117" spans="18:18" x14ac:dyDescent="0.35">
      <c r="R117" s="49"/>
    </row>
    <row r="118" spans="18:18" x14ac:dyDescent="0.35">
      <c r="R118" s="49"/>
    </row>
    <row r="119" spans="18:18" x14ac:dyDescent="0.35">
      <c r="R119" s="49"/>
    </row>
    <row r="120" spans="18:18" x14ac:dyDescent="0.35">
      <c r="R120" s="49"/>
    </row>
    <row r="121" spans="18:18" x14ac:dyDescent="0.35">
      <c r="R121" s="49"/>
    </row>
    <row r="122" spans="18:18" x14ac:dyDescent="0.35">
      <c r="R122" s="49"/>
    </row>
    <row r="123" spans="18:18" x14ac:dyDescent="0.35">
      <c r="R123" s="49"/>
    </row>
    <row r="124" spans="18:18" x14ac:dyDescent="0.35">
      <c r="R124" s="49"/>
    </row>
    <row r="125" spans="18:18" x14ac:dyDescent="0.35">
      <c r="R125" s="49"/>
    </row>
    <row r="126" spans="18:18" x14ac:dyDescent="0.35">
      <c r="R126" s="49"/>
    </row>
    <row r="127" spans="18:18" x14ac:dyDescent="0.35">
      <c r="R127" s="49"/>
    </row>
    <row r="128" spans="18:18" x14ac:dyDescent="0.35">
      <c r="R128" s="49"/>
    </row>
    <row r="129" spans="18:18" x14ac:dyDescent="0.35">
      <c r="R129" s="49"/>
    </row>
    <row r="130" spans="18:18" x14ac:dyDescent="0.35">
      <c r="R130" s="49"/>
    </row>
    <row r="131" spans="18:18" x14ac:dyDescent="0.35">
      <c r="R131" s="49"/>
    </row>
    <row r="132" spans="18:18" x14ac:dyDescent="0.35">
      <c r="R132" s="49"/>
    </row>
    <row r="133" spans="18:18" x14ac:dyDescent="0.35">
      <c r="R133" s="49"/>
    </row>
    <row r="134" spans="18:18" x14ac:dyDescent="0.35">
      <c r="R134" s="49"/>
    </row>
    <row r="135" spans="18:18" x14ac:dyDescent="0.35">
      <c r="R135" s="49"/>
    </row>
    <row r="136" spans="18:18" x14ac:dyDescent="0.35">
      <c r="R136" s="49"/>
    </row>
    <row r="137" spans="18:18" x14ac:dyDescent="0.35">
      <c r="R137" s="49"/>
    </row>
    <row r="138" spans="18:18" x14ac:dyDescent="0.35">
      <c r="R138" s="49"/>
    </row>
    <row r="139" spans="18:18" x14ac:dyDescent="0.35">
      <c r="R139" s="49"/>
    </row>
    <row r="140" spans="18:18" x14ac:dyDescent="0.35">
      <c r="R140" s="49"/>
    </row>
    <row r="141" spans="18:18" x14ac:dyDescent="0.35">
      <c r="R141" s="49"/>
    </row>
    <row r="142" spans="18:18" x14ac:dyDescent="0.35">
      <c r="R142" s="49"/>
    </row>
    <row r="143" spans="18:18" x14ac:dyDescent="0.35">
      <c r="R143" s="49"/>
    </row>
    <row r="144" spans="18:18" x14ac:dyDescent="0.35">
      <c r="R144" s="49"/>
    </row>
    <row r="145" spans="18:18" x14ac:dyDescent="0.35">
      <c r="R145" s="49"/>
    </row>
    <row r="146" spans="18:18" x14ac:dyDescent="0.35">
      <c r="R146" s="49"/>
    </row>
    <row r="147" spans="18:18" x14ac:dyDescent="0.35">
      <c r="R147" s="49"/>
    </row>
    <row r="148" spans="18:18" x14ac:dyDescent="0.35">
      <c r="R148" s="49"/>
    </row>
    <row r="149" spans="18:18" x14ac:dyDescent="0.35">
      <c r="R149" s="49"/>
    </row>
    <row r="150" spans="18:18" x14ac:dyDescent="0.35">
      <c r="R150" s="49"/>
    </row>
    <row r="151" spans="18:18" x14ac:dyDescent="0.35">
      <c r="R151" s="49"/>
    </row>
    <row r="152" spans="18:18" x14ac:dyDescent="0.35">
      <c r="R152" s="49"/>
    </row>
    <row r="153" spans="18:18" x14ac:dyDescent="0.35">
      <c r="R153" s="49"/>
    </row>
    <row r="154" spans="18:18" x14ac:dyDescent="0.35">
      <c r="R154" s="49"/>
    </row>
    <row r="155" spans="18:18" x14ac:dyDescent="0.35">
      <c r="R155" s="49"/>
    </row>
    <row r="156" spans="18:18" x14ac:dyDescent="0.35">
      <c r="R156" s="49"/>
    </row>
    <row r="157" spans="18:18" x14ac:dyDescent="0.35">
      <c r="R157" s="49"/>
    </row>
    <row r="158" spans="18:18" x14ac:dyDescent="0.35">
      <c r="R158" s="49"/>
    </row>
    <row r="159" spans="18:18" x14ac:dyDescent="0.35">
      <c r="R159" s="49"/>
    </row>
    <row r="160" spans="18:18" x14ac:dyDescent="0.35">
      <c r="R160" s="49"/>
    </row>
    <row r="161" spans="18:18" x14ac:dyDescent="0.35">
      <c r="R161" s="49"/>
    </row>
    <row r="162" spans="18:18" x14ac:dyDescent="0.35">
      <c r="R162" s="49"/>
    </row>
    <row r="163" spans="18:18" x14ac:dyDescent="0.35">
      <c r="R163" s="49"/>
    </row>
    <row r="164" spans="18:18" x14ac:dyDescent="0.35">
      <c r="R164" s="49"/>
    </row>
    <row r="165" spans="18:18" x14ac:dyDescent="0.35">
      <c r="R165" s="49"/>
    </row>
    <row r="166" spans="18:18" x14ac:dyDescent="0.35">
      <c r="R166" s="49"/>
    </row>
    <row r="167" spans="18:18" x14ac:dyDescent="0.35">
      <c r="R167" s="49"/>
    </row>
    <row r="168" spans="18:18" x14ac:dyDescent="0.35">
      <c r="R168" s="49"/>
    </row>
    <row r="169" spans="18:18" x14ac:dyDescent="0.35">
      <c r="R169" s="49"/>
    </row>
    <row r="170" spans="18:18" x14ac:dyDescent="0.35">
      <c r="R170" s="49"/>
    </row>
    <row r="171" spans="18:18" x14ac:dyDescent="0.35">
      <c r="R171" s="49"/>
    </row>
    <row r="172" spans="18:18" x14ac:dyDescent="0.35">
      <c r="R172" s="49"/>
    </row>
    <row r="173" spans="18:18" x14ac:dyDescent="0.35">
      <c r="R173" s="49"/>
    </row>
    <row r="174" spans="18:18" x14ac:dyDescent="0.35">
      <c r="R174" s="49"/>
    </row>
    <row r="175" spans="18:18" x14ac:dyDescent="0.35">
      <c r="R175" s="49"/>
    </row>
    <row r="176" spans="18:18" x14ac:dyDescent="0.35">
      <c r="R176" s="49"/>
    </row>
    <row r="177" spans="18:18" x14ac:dyDescent="0.35">
      <c r="R177" s="49"/>
    </row>
    <row r="178" spans="18:18" x14ac:dyDescent="0.35">
      <c r="R178" s="49"/>
    </row>
    <row r="179" spans="18:18" x14ac:dyDescent="0.35">
      <c r="R179" s="49"/>
    </row>
    <row r="180" spans="18:18" x14ac:dyDescent="0.35">
      <c r="R180" s="49"/>
    </row>
    <row r="181" spans="18:18" x14ac:dyDescent="0.35">
      <c r="R181" s="49"/>
    </row>
    <row r="182" spans="18:18" x14ac:dyDescent="0.35">
      <c r="R182" s="49"/>
    </row>
    <row r="183" spans="18:18" x14ac:dyDescent="0.35">
      <c r="R183" s="49"/>
    </row>
    <row r="184" spans="18:18" x14ac:dyDescent="0.35">
      <c r="R184" s="49"/>
    </row>
    <row r="185" spans="18:18" x14ac:dyDescent="0.35">
      <c r="R185" s="49"/>
    </row>
    <row r="186" spans="18:18" x14ac:dyDescent="0.35">
      <c r="R186" s="49"/>
    </row>
    <row r="187" spans="18:18" x14ac:dyDescent="0.35">
      <c r="R187" s="49"/>
    </row>
    <row r="188" spans="18:18" x14ac:dyDescent="0.35">
      <c r="R188" s="49"/>
    </row>
    <row r="189" spans="18:18" x14ac:dyDescent="0.35">
      <c r="R189" s="49"/>
    </row>
    <row r="190" spans="18:18" x14ac:dyDescent="0.35">
      <c r="R190" s="49"/>
    </row>
    <row r="191" spans="18:18" x14ac:dyDescent="0.35">
      <c r="R191" s="49"/>
    </row>
    <row r="192" spans="18:18" x14ac:dyDescent="0.35">
      <c r="R192" s="49"/>
    </row>
    <row r="193" spans="18:18" x14ac:dyDescent="0.35">
      <c r="R193" s="49"/>
    </row>
    <row r="194" spans="18:18" x14ac:dyDescent="0.35">
      <c r="R194" s="49"/>
    </row>
    <row r="195" spans="18:18" x14ac:dyDescent="0.35">
      <c r="R195" s="49"/>
    </row>
    <row r="196" spans="18:18" x14ac:dyDescent="0.35">
      <c r="R196" s="49"/>
    </row>
    <row r="197" spans="18:18" x14ac:dyDescent="0.35">
      <c r="R197" s="49"/>
    </row>
    <row r="198" spans="18:18" x14ac:dyDescent="0.35">
      <c r="R198" s="49"/>
    </row>
    <row r="199" spans="18:18" x14ac:dyDescent="0.35">
      <c r="R199" s="49"/>
    </row>
    <row r="200" spans="18:18" x14ac:dyDescent="0.35">
      <c r="R200" s="49"/>
    </row>
    <row r="201" spans="18:18" x14ac:dyDescent="0.35">
      <c r="R201" s="49"/>
    </row>
    <row r="202" spans="18:18" x14ac:dyDescent="0.35">
      <c r="R202" s="49"/>
    </row>
    <row r="203" spans="18:18" x14ac:dyDescent="0.35">
      <c r="R203" s="49"/>
    </row>
    <row r="204" spans="18:18" x14ac:dyDescent="0.35">
      <c r="R204" s="49"/>
    </row>
    <row r="205" spans="18:18" x14ac:dyDescent="0.35">
      <c r="R205" s="49"/>
    </row>
    <row r="206" spans="18:18" x14ac:dyDescent="0.35">
      <c r="R206" s="49"/>
    </row>
    <row r="207" spans="18:18" x14ac:dyDescent="0.35">
      <c r="R207" s="49"/>
    </row>
    <row r="208" spans="18:18" x14ac:dyDescent="0.35">
      <c r="R208" s="49"/>
    </row>
    <row r="209" spans="18:18" x14ac:dyDescent="0.35">
      <c r="R209" s="49"/>
    </row>
    <row r="210" spans="18:18" x14ac:dyDescent="0.35">
      <c r="R210" s="49"/>
    </row>
    <row r="211" spans="18:18" x14ac:dyDescent="0.35">
      <c r="R211" s="49"/>
    </row>
    <row r="212" spans="18:18" x14ac:dyDescent="0.35">
      <c r="R212" s="49"/>
    </row>
    <row r="213" spans="18:18" x14ac:dyDescent="0.35">
      <c r="R213" s="49"/>
    </row>
    <row r="214" spans="18:18" x14ac:dyDescent="0.35">
      <c r="R214" s="49"/>
    </row>
    <row r="215" spans="18:18" x14ac:dyDescent="0.35">
      <c r="R215" s="49"/>
    </row>
    <row r="216" spans="18:18" x14ac:dyDescent="0.35">
      <c r="R216" s="49"/>
    </row>
    <row r="217" spans="18:18" x14ac:dyDescent="0.35">
      <c r="R217" s="49"/>
    </row>
    <row r="218" spans="18:18" x14ac:dyDescent="0.35">
      <c r="R218" s="49"/>
    </row>
    <row r="219" spans="18:18" x14ac:dyDescent="0.35">
      <c r="R219" s="49"/>
    </row>
    <row r="220" spans="18:18" x14ac:dyDescent="0.35">
      <c r="R220" s="49"/>
    </row>
    <row r="221" spans="18:18" x14ac:dyDescent="0.35">
      <c r="R221" s="49"/>
    </row>
    <row r="222" spans="18:18" x14ac:dyDescent="0.35">
      <c r="R222" s="49"/>
    </row>
    <row r="223" spans="18:18" x14ac:dyDescent="0.35">
      <c r="R223" s="49"/>
    </row>
    <row r="224" spans="18:18" x14ac:dyDescent="0.35">
      <c r="R224" s="49"/>
    </row>
    <row r="225" spans="18:18" x14ac:dyDescent="0.35">
      <c r="R225" s="49"/>
    </row>
    <row r="226" spans="18:18" x14ac:dyDescent="0.35">
      <c r="R226" s="49"/>
    </row>
    <row r="227" spans="18:18" x14ac:dyDescent="0.35">
      <c r="R227" s="49"/>
    </row>
    <row r="228" spans="18:18" x14ac:dyDescent="0.35">
      <c r="R228" s="49"/>
    </row>
    <row r="229" spans="18:18" x14ac:dyDescent="0.35">
      <c r="R229" s="49"/>
    </row>
    <row r="230" spans="18:18" x14ac:dyDescent="0.35">
      <c r="R230" s="49"/>
    </row>
    <row r="231" spans="18:18" x14ac:dyDescent="0.35">
      <c r="R231" s="49"/>
    </row>
    <row r="232" spans="18:18" x14ac:dyDescent="0.35">
      <c r="R232" s="49"/>
    </row>
    <row r="233" spans="18:18" x14ac:dyDescent="0.35">
      <c r="R233" s="49"/>
    </row>
    <row r="234" spans="18:18" x14ac:dyDescent="0.35">
      <c r="R234" s="49"/>
    </row>
    <row r="235" spans="18:18" x14ac:dyDescent="0.35">
      <c r="R235" s="49"/>
    </row>
    <row r="236" spans="18:18" x14ac:dyDescent="0.35">
      <c r="R236" s="49"/>
    </row>
    <row r="237" spans="18:18" x14ac:dyDescent="0.35">
      <c r="R237" s="49"/>
    </row>
    <row r="238" spans="18:18" x14ac:dyDescent="0.35">
      <c r="R238" s="49"/>
    </row>
    <row r="239" spans="18:18" x14ac:dyDescent="0.35">
      <c r="R239" s="49"/>
    </row>
    <row r="240" spans="18:18" x14ac:dyDescent="0.35">
      <c r="R240" s="49"/>
    </row>
    <row r="241" spans="18:18" x14ac:dyDescent="0.35">
      <c r="R241" s="49"/>
    </row>
    <row r="242" spans="18:18" x14ac:dyDescent="0.35">
      <c r="R242" s="49"/>
    </row>
    <row r="243" spans="18:18" x14ac:dyDescent="0.35">
      <c r="R243" s="49"/>
    </row>
    <row r="244" spans="18:18" x14ac:dyDescent="0.35">
      <c r="R244" s="49"/>
    </row>
    <row r="245" spans="18:18" x14ac:dyDescent="0.35">
      <c r="R245" s="49"/>
    </row>
    <row r="246" spans="18:18" x14ac:dyDescent="0.35">
      <c r="R246" s="49"/>
    </row>
    <row r="247" spans="18:18" x14ac:dyDescent="0.35">
      <c r="R247" s="49"/>
    </row>
    <row r="248" spans="18:18" x14ac:dyDescent="0.35">
      <c r="R248" s="49"/>
    </row>
    <row r="249" spans="18:18" x14ac:dyDescent="0.35">
      <c r="R249" s="49"/>
    </row>
    <row r="250" spans="18:18" x14ac:dyDescent="0.35">
      <c r="R250" s="49"/>
    </row>
    <row r="251" spans="18:18" x14ac:dyDescent="0.35">
      <c r="R251" s="49"/>
    </row>
    <row r="252" spans="18:18" x14ac:dyDescent="0.35">
      <c r="R252" s="49"/>
    </row>
    <row r="253" spans="18:18" x14ac:dyDescent="0.35">
      <c r="R253" s="49"/>
    </row>
    <row r="254" spans="18:18" x14ac:dyDescent="0.35">
      <c r="R254" s="49"/>
    </row>
    <row r="255" spans="18:18" x14ac:dyDescent="0.35">
      <c r="R255" s="49"/>
    </row>
    <row r="256" spans="18:18" x14ac:dyDescent="0.35">
      <c r="R256" s="49"/>
    </row>
    <row r="257" spans="18:18" x14ac:dyDescent="0.35">
      <c r="R257" s="49"/>
    </row>
    <row r="258" spans="18:18" x14ac:dyDescent="0.35">
      <c r="R258" s="49"/>
    </row>
    <row r="259" spans="18:18" x14ac:dyDescent="0.35">
      <c r="R259" s="49"/>
    </row>
    <row r="260" spans="18:18" x14ac:dyDescent="0.35">
      <c r="R260" s="49"/>
    </row>
    <row r="261" spans="18:18" x14ac:dyDescent="0.35">
      <c r="R261" s="49"/>
    </row>
    <row r="262" spans="18:18" x14ac:dyDescent="0.35">
      <c r="R262" s="49"/>
    </row>
    <row r="263" spans="18:18" x14ac:dyDescent="0.35">
      <c r="R263" s="49"/>
    </row>
    <row r="264" spans="18:18" x14ac:dyDescent="0.35">
      <c r="R264" s="49"/>
    </row>
    <row r="265" spans="18:18" x14ac:dyDescent="0.35">
      <c r="R265" s="49"/>
    </row>
    <row r="266" spans="18:18" x14ac:dyDescent="0.35">
      <c r="R266" s="49"/>
    </row>
    <row r="267" spans="18:18" x14ac:dyDescent="0.35">
      <c r="R267" s="49"/>
    </row>
    <row r="268" spans="18:18" x14ac:dyDescent="0.35">
      <c r="R268" s="49"/>
    </row>
    <row r="269" spans="18:18" x14ac:dyDescent="0.35">
      <c r="R269" s="49"/>
    </row>
    <row r="270" spans="18:18" x14ac:dyDescent="0.35">
      <c r="R270" s="49"/>
    </row>
    <row r="271" spans="18:18" x14ac:dyDescent="0.35">
      <c r="R271" s="49"/>
    </row>
    <row r="272" spans="18:18" x14ac:dyDescent="0.35">
      <c r="R272" s="49"/>
    </row>
    <row r="273" spans="18:18" x14ac:dyDescent="0.35">
      <c r="R273" s="49"/>
    </row>
    <row r="274" spans="18:18" x14ac:dyDescent="0.35">
      <c r="R274" s="49"/>
    </row>
    <row r="275" spans="18:18" x14ac:dyDescent="0.35">
      <c r="R275" s="49"/>
    </row>
    <row r="276" spans="18:18" x14ac:dyDescent="0.35">
      <c r="R276" s="49"/>
    </row>
    <row r="277" spans="18:18" x14ac:dyDescent="0.35">
      <c r="R277" s="49"/>
    </row>
    <row r="278" spans="18:18" x14ac:dyDescent="0.35">
      <c r="R278" s="49"/>
    </row>
    <row r="279" spans="18:18" x14ac:dyDescent="0.35">
      <c r="R279" s="49"/>
    </row>
    <row r="280" spans="18:18" x14ac:dyDescent="0.35">
      <c r="R280" s="49"/>
    </row>
    <row r="281" spans="18:18" x14ac:dyDescent="0.35">
      <c r="R281" s="49"/>
    </row>
    <row r="282" spans="18:18" x14ac:dyDescent="0.35">
      <c r="R282" s="49"/>
    </row>
    <row r="283" spans="18:18" x14ac:dyDescent="0.35">
      <c r="R283" s="49"/>
    </row>
    <row r="284" spans="18:18" x14ac:dyDescent="0.35">
      <c r="R284" s="49"/>
    </row>
    <row r="285" spans="18:18" x14ac:dyDescent="0.35">
      <c r="R285" s="49"/>
    </row>
    <row r="286" spans="18:18" x14ac:dyDescent="0.35">
      <c r="R286" s="49"/>
    </row>
    <row r="287" spans="18:18" x14ac:dyDescent="0.35">
      <c r="R287" s="49"/>
    </row>
    <row r="288" spans="18:18" x14ac:dyDescent="0.35">
      <c r="R288" s="49"/>
    </row>
    <row r="289" spans="18:18" x14ac:dyDescent="0.35">
      <c r="R289" s="49"/>
    </row>
    <row r="290" spans="18:18" x14ac:dyDescent="0.35">
      <c r="R290" s="49"/>
    </row>
    <row r="291" spans="18:18" x14ac:dyDescent="0.35">
      <c r="R291" s="49"/>
    </row>
    <row r="292" spans="18:18" x14ac:dyDescent="0.35">
      <c r="R292" s="49"/>
    </row>
    <row r="293" spans="18:18" x14ac:dyDescent="0.35">
      <c r="R293" s="49"/>
    </row>
    <row r="294" spans="18:18" x14ac:dyDescent="0.35">
      <c r="R294" s="49"/>
    </row>
    <row r="295" spans="18:18" x14ac:dyDescent="0.35">
      <c r="R295" s="49"/>
    </row>
    <row r="296" spans="18:18" x14ac:dyDescent="0.35">
      <c r="R296" s="49"/>
    </row>
    <row r="297" spans="18:18" x14ac:dyDescent="0.35">
      <c r="R297" s="49"/>
    </row>
    <row r="298" spans="18:18" x14ac:dyDescent="0.35">
      <c r="R298" s="49"/>
    </row>
    <row r="299" spans="18:18" x14ac:dyDescent="0.35">
      <c r="R299" s="49"/>
    </row>
    <row r="300" spans="18:18" x14ac:dyDescent="0.35">
      <c r="R300" s="49"/>
    </row>
    <row r="301" spans="18:18" x14ac:dyDescent="0.35">
      <c r="R301" s="49"/>
    </row>
    <row r="302" spans="18:18" x14ac:dyDescent="0.35">
      <c r="R302" s="49"/>
    </row>
    <row r="303" spans="18:18" x14ac:dyDescent="0.35">
      <c r="R303" s="49"/>
    </row>
    <row r="304" spans="18:18" x14ac:dyDescent="0.35">
      <c r="R304" s="49"/>
    </row>
    <row r="305" spans="18:18" x14ac:dyDescent="0.35">
      <c r="R305" s="49"/>
    </row>
    <row r="306" spans="18:18" x14ac:dyDescent="0.35">
      <c r="R306" s="49"/>
    </row>
    <row r="307" spans="18:18" x14ac:dyDescent="0.35">
      <c r="R307" s="49"/>
    </row>
    <row r="308" spans="18:18" x14ac:dyDescent="0.35">
      <c r="R308" s="49"/>
    </row>
    <row r="309" spans="18:18" x14ac:dyDescent="0.35">
      <c r="R309" s="49"/>
    </row>
    <row r="310" spans="18:18" x14ac:dyDescent="0.35">
      <c r="R310" s="49"/>
    </row>
    <row r="311" spans="18:18" x14ac:dyDescent="0.35">
      <c r="R311" s="49"/>
    </row>
    <row r="312" spans="18:18" x14ac:dyDescent="0.35">
      <c r="R312" s="49"/>
    </row>
    <row r="313" spans="18:18" x14ac:dyDescent="0.35">
      <c r="R313" s="49"/>
    </row>
    <row r="314" spans="18:18" x14ac:dyDescent="0.35">
      <c r="R314" s="49"/>
    </row>
    <row r="315" spans="18:18" x14ac:dyDescent="0.35">
      <c r="R315" s="49"/>
    </row>
    <row r="316" spans="18:18" x14ac:dyDescent="0.35">
      <c r="R316" s="49"/>
    </row>
    <row r="317" spans="18:18" x14ac:dyDescent="0.35">
      <c r="R317" s="49"/>
    </row>
    <row r="318" spans="18:18" x14ac:dyDescent="0.35">
      <c r="R318" s="49"/>
    </row>
    <row r="319" spans="18:18" x14ac:dyDescent="0.35">
      <c r="R319" s="49"/>
    </row>
    <row r="320" spans="18:18" x14ac:dyDescent="0.35">
      <c r="R320" s="49"/>
    </row>
    <row r="321" spans="18:18" x14ac:dyDescent="0.35">
      <c r="R321" s="49"/>
    </row>
    <row r="322" spans="18:18" x14ac:dyDescent="0.35">
      <c r="R322" s="49"/>
    </row>
    <row r="323" spans="18:18" x14ac:dyDescent="0.35">
      <c r="R323" s="49"/>
    </row>
    <row r="324" spans="18:18" x14ac:dyDescent="0.35">
      <c r="R324" s="49"/>
    </row>
    <row r="325" spans="18:18" x14ac:dyDescent="0.35">
      <c r="R325" s="49"/>
    </row>
    <row r="326" spans="18:18" x14ac:dyDescent="0.35">
      <c r="R326" s="49"/>
    </row>
    <row r="327" spans="18:18" x14ac:dyDescent="0.35">
      <c r="R327" s="49"/>
    </row>
    <row r="328" spans="18:18" x14ac:dyDescent="0.35">
      <c r="R328" s="49"/>
    </row>
    <row r="329" spans="18:18" x14ac:dyDescent="0.35">
      <c r="R329" s="49"/>
    </row>
    <row r="330" spans="18:18" x14ac:dyDescent="0.35">
      <c r="R330" s="49"/>
    </row>
    <row r="331" spans="18:18" x14ac:dyDescent="0.35">
      <c r="R331" s="49"/>
    </row>
    <row r="332" spans="18:18" x14ac:dyDescent="0.35">
      <c r="R332" s="49"/>
    </row>
    <row r="333" spans="18:18" x14ac:dyDescent="0.35">
      <c r="R333" s="49"/>
    </row>
    <row r="334" spans="18:18" x14ac:dyDescent="0.35">
      <c r="R334" s="49"/>
    </row>
    <row r="335" spans="18:18" x14ac:dyDescent="0.35">
      <c r="R335" s="49"/>
    </row>
    <row r="336" spans="18:18" x14ac:dyDescent="0.35">
      <c r="R336" s="49"/>
    </row>
    <row r="337" spans="18:18" x14ac:dyDescent="0.35">
      <c r="R337" s="49"/>
    </row>
    <row r="338" spans="18:18" x14ac:dyDescent="0.35">
      <c r="R338" s="49"/>
    </row>
    <row r="339" spans="18:18" x14ac:dyDescent="0.35">
      <c r="R339" s="49"/>
    </row>
    <row r="340" spans="18:18" x14ac:dyDescent="0.35">
      <c r="R340" s="49"/>
    </row>
    <row r="341" spans="18:18" x14ac:dyDescent="0.35">
      <c r="R341" s="49"/>
    </row>
    <row r="342" spans="18:18" x14ac:dyDescent="0.35">
      <c r="R342" s="49"/>
    </row>
    <row r="343" spans="18:18" x14ac:dyDescent="0.35">
      <c r="R343" s="49"/>
    </row>
    <row r="344" spans="18:18" x14ac:dyDescent="0.35">
      <c r="R344" s="49"/>
    </row>
    <row r="345" spans="18:18" x14ac:dyDescent="0.35">
      <c r="R345" s="49"/>
    </row>
    <row r="346" spans="18:18" x14ac:dyDescent="0.35">
      <c r="R346" s="49"/>
    </row>
    <row r="347" spans="18:18" x14ac:dyDescent="0.35">
      <c r="R347" s="49"/>
    </row>
    <row r="348" spans="18:18" x14ac:dyDescent="0.35">
      <c r="R348" s="49"/>
    </row>
    <row r="349" spans="18:18" x14ac:dyDescent="0.35">
      <c r="R349" s="49"/>
    </row>
    <row r="350" spans="18:18" x14ac:dyDescent="0.35">
      <c r="R350" s="49"/>
    </row>
    <row r="351" spans="18:18" x14ac:dyDescent="0.35">
      <c r="R351" s="49"/>
    </row>
    <row r="352" spans="18:18" x14ac:dyDescent="0.35">
      <c r="R352" s="49"/>
    </row>
    <row r="353" spans="18:18" x14ac:dyDescent="0.35">
      <c r="R353" s="49"/>
    </row>
    <row r="354" spans="18:18" x14ac:dyDescent="0.35">
      <c r="R354" s="49"/>
    </row>
    <row r="355" spans="18:18" x14ac:dyDescent="0.35">
      <c r="R355" s="49"/>
    </row>
    <row r="356" spans="18:18" x14ac:dyDescent="0.35">
      <c r="R356" s="49"/>
    </row>
    <row r="357" spans="18:18" x14ac:dyDescent="0.35">
      <c r="R357" s="49"/>
    </row>
    <row r="358" spans="18:18" x14ac:dyDescent="0.35">
      <c r="R358" s="49"/>
    </row>
    <row r="359" spans="18:18" x14ac:dyDescent="0.35">
      <c r="R359" s="49"/>
    </row>
    <row r="360" spans="18:18" x14ac:dyDescent="0.35">
      <c r="R360" s="49"/>
    </row>
    <row r="361" spans="18:18" x14ac:dyDescent="0.35">
      <c r="R361" s="49"/>
    </row>
    <row r="362" spans="18:18" x14ac:dyDescent="0.35">
      <c r="R362" s="49"/>
    </row>
    <row r="363" spans="18:18" x14ac:dyDescent="0.35">
      <c r="R363" s="49"/>
    </row>
    <row r="364" spans="18:18" x14ac:dyDescent="0.35">
      <c r="R364" s="49"/>
    </row>
    <row r="365" spans="18:18" x14ac:dyDescent="0.35">
      <c r="R365" s="49"/>
    </row>
    <row r="366" spans="18:18" x14ac:dyDescent="0.35">
      <c r="R366" s="49"/>
    </row>
    <row r="367" spans="18:18" x14ac:dyDescent="0.35">
      <c r="R367" s="49"/>
    </row>
    <row r="368" spans="18:18" x14ac:dyDescent="0.35">
      <c r="R368" s="49"/>
    </row>
    <row r="369" spans="18:18" x14ac:dyDescent="0.35">
      <c r="R369" s="49"/>
    </row>
    <row r="370" spans="18:18" x14ac:dyDescent="0.35">
      <c r="R370" s="49"/>
    </row>
    <row r="371" spans="18:18" x14ac:dyDescent="0.35">
      <c r="R371" s="49"/>
    </row>
    <row r="372" spans="18:18" x14ac:dyDescent="0.35">
      <c r="R372" s="49"/>
    </row>
    <row r="373" spans="18:18" x14ac:dyDescent="0.35">
      <c r="R373" s="49"/>
    </row>
    <row r="374" spans="18:18" x14ac:dyDescent="0.35">
      <c r="R374" s="49"/>
    </row>
    <row r="375" spans="18:18" x14ac:dyDescent="0.35">
      <c r="R375" s="49"/>
    </row>
    <row r="376" spans="18:18" x14ac:dyDescent="0.35">
      <c r="R376" s="49"/>
    </row>
    <row r="377" spans="18:18" x14ac:dyDescent="0.35">
      <c r="R377" s="49"/>
    </row>
    <row r="378" spans="18:18" x14ac:dyDescent="0.35">
      <c r="R378" s="49"/>
    </row>
    <row r="379" spans="18:18" x14ac:dyDescent="0.35">
      <c r="R379" s="49"/>
    </row>
    <row r="380" spans="18:18" x14ac:dyDescent="0.35">
      <c r="R380" s="49"/>
    </row>
    <row r="381" spans="18:18" x14ac:dyDescent="0.35">
      <c r="R381" s="49"/>
    </row>
    <row r="382" spans="18:18" x14ac:dyDescent="0.35">
      <c r="R382" s="49"/>
    </row>
    <row r="383" spans="18:18" x14ac:dyDescent="0.35">
      <c r="R383" s="49"/>
    </row>
    <row r="384" spans="18:18" x14ac:dyDescent="0.35">
      <c r="R384" s="49"/>
    </row>
    <row r="385" spans="18:18" x14ac:dyDescent="0.35">
      <c r="R385" s="49"/>
    </row>
    <row r="386" spans="18:18" x14ac:dyDescent="0.35">
      <c r="R386" s="49"/>
    </row>
    <row r="387" spans="18:18" x14ac:dyDescent="0.35">
      <c r="R387" s="49"/>
    </row>
    <row r="388" spans="18:18" x14ac:dyDescent="0.35">
      <c r="R388" s="49"/>
    </row>
    <row r="389" spans="18:18" x14ac:dyDescent="0.35">
      <c r="R389" s="49"/>
    </row>
    <row r="390" spans="18:18" x14ac:dyDescent="0.35">
      <c r="R390" s="49"/>
    </row>
    <row r="391" spans="18:18" x14ac:dyDescent="0.35">
      <c r="R391" s="49"/>
    </row>
    <row r="392" spans="18:18" x14ac:dyDescent="0.35">
      <c r="R392" s="49"/>
    </row>
    <row r="393" spans="18:18" x14ac:dyDescent="0.35">
      <c r="R393" s="49"/>
    </row>
    <row r="394" spans="18:18" x14ac:dyDescent="0.35">
      <c r="R394" s="49"/>
    </row>
    <row r="395" spans="18:18" x14ac:dyDescent="0.35">
      <c r="R395" s="49"/>
    </row>
    <row r="396" spans="18:18" x14ac:dyDescent="0.35">
      <c r="R396" s="49"/>
    </row>
    <row r="397" spans="18:18" x14ac:dyDescent="0.35">
      <c r="R397" s="49"/>
    </row>
    <row r="398" spans="18:18" x14ac:dyDescent="0.35">
      <c r="R398" s="49"/>
    </row>
    <row r="399" spans="18:18" x14ac:dyDescent="0.35">
      <c r="R399" s="49"/>
    </row>
    <row r="400" spans="18:18" x14ac:dyDescent="0.35">
      <c r="R400" s="49"/>
    </row>
    <row r="401" spans="18:18" x14ac:dyDescent="0.35">
      <c r="R401" s="49"/>
    </row>
    <row r="402" spans="18:18" x14ac:dyDescent="0.35">
      <c r="R402" s="49"/>
    </row>
    <row r="403" spans="18:18" x14ac:dyDescent="0.35">
      <c r="R403" s="49"/>
    </row>
    <row r="404" spans="18:18" x14ac:dyDescent="0.35">
      <c r="R404" s="49"/>
    </row>
    <row r="405" spans="18:18" x14ac:dyDescent="0.35">
      <c r="R405" s="49"/>
    </row>
    <row r="406" spans="18:18" x14ac:dyDescent="0.35">
      <c r="R406" s="49"/>
    </row>
    <row r="407" spans="18:18" x14ac:dyDescent="0.35">
      <c r="R407" s="49"/>
    </row>
    <row r="408" spans="18:18" x14ac:dyDescent="0.35">
      <c r="R408" s="49"/>
    </row>
    <row r="409" spans="18:18" x14ac:dyDescent="0.35">
      <c r="R409" s="49"/>
    </row>
    <row r="410" spans="18:18" x14ac:dyDescent="0.35">
      <c r="R410" s="49"/>
    </row>
    <row r="411" spans="18:18" x14ac:dyDescent="0.35">
      <c r="R411" s="49"/>
    </row>
    <row r="412" spans="18:18" x14ac:dyDescent="0.35">
      <c r="R412" s="49"/>
    </row>
    <row r="413" spans="18:18" x14ac:dyDescent="0.35">
      <c r="R413" s="49"/>
    </row>
    <row r="414" spans="18:18" x14ac:dyDescent="0.35">
      <c r="R414" s="49"/>
    </row>
    <row r="415" spans="18:18" x14ac:dyDescent="0.35">
      <c r="R415" s="49"/>
    </row>
    <row r="416" spans="18:18" x14ac:dyDescent="0.35">
      <c r="R416" s="49"/>
    </row>
    <row r="417" spans="18:18" x14ac:dyDescent="0.35">
      <c r="R417" s="49"/>
    </row>
    <row r="418" spans="18:18" x14ac:dyDescent="0.35">
      <c r="R418" s="49"/>
    </row>
    <row r="419" spans="18:18" x14ac:dyDescent="0.35">
      <c r="R419" s="49"/>
    </row>
    <row r="420" spans="18:18" x14ac:dyDescent="0.35">
      <c r="R420" s="49"/>
    </row>
    <row r="421" spans="18:18" x14ac:dyDescent="0.35">
      <c r="R421" s="49"/>
    </row>
    <row r="422" spans="18:18" x14ac:dyDescent="0.35">
      <c r="R422" s="49"/>
    </row>
    <row r="423" spans="18:18" x14ac:dyDescent="0.35">
      <c r="R423" s="49"/>
    </row>
    <row r="424" spans="18:18" x14ac:dyDescent="0.35">
      <c r="R424" s="49"/>
    </row>
    <row r="425" spans="18:18" x14ac:dyDescent="0.35">
      <c r="R425" s="49"/>
    </row>
    <row r="426" spans="18:18" x14ac:dyDescent="0.35">
      <c r="R426" s="49"/>
    </row>
    <row r="427" spans="18:18" x14ac:dyDescent="0.35">
      <c r="R427" s="49"/>
    </row>
    <row r="428" spans="18:18" x14ac:dyDescent="0.35">
      <c r="R428" s="49"/>
    </row>
    <row r="429" spans="18:18" x14ac:dyDescent="0.35">
      <c r="R429" s="49"/>
    </row>
    <row r="430" spans="18:18" x14ac:dyDescent="0.35">
      <c r="R430" s="49"/>
    </row>
    <row r="431" spans="18:18" x14ac:dyDescent="0.35">
      <c r="R431" s="49"/>
    </row>
    <row r="432" spans="18:18" x14ac:dyDescent="0.35">
      <c r="R432" s="49"/>
    </row>
    <row r="433" spans="18:18" x14ac:dyDescent="0.35">
      <c r="R433" s="49"/>
    </row>
    <row r="434" spans="18:18" x14ac:dyDescent="0.35">
      <c r="R434" s="49"/>
    </row>
    <row r="435" spans="18:18" x14ac:dyDescent="0.35">
      <c r="R435" s="49"/>
    </row>
    <row r="436" spans="18:18" x14ac:dyDescent="0.35">
      <c r="R436" s="49"/>
    </row>
    <row r="437" spans="18:18" x14ac:dyDescent="0.35">
      <c r="R437" s="49"/>
    </row>
    <row r="438" spans="18:18" x14ac:dyDescent="0.35">
      <c r="R438" s="49"/>
    </row>
    <row r="439" spans="18:18" x14ac:dyDescent="0.35">
      <c r="R439" s="49"/>
    </row>
    <row r="440" spans="18:18" x14ac:dyDescent="0.35">
      <c r="R440" s="49"/>
    </row>
    <row r="441" spans="18:18" x14ac:dyDescent="0.35">
      <c r="R441" s="49"/>
    </row>
    <row r="442" spans="18:18" x14ac:dyDescent="0.35">
      <c r="R442" s="49"/>
    </row>
    <row r="443" spans="18:18" x14ac:dyDescent="0.35">
      <c r="R443" s="49"/>
    </row>
    <row r="444" spans="18:18" x14ac:dyDescent="0.35">
      <c r="R444" s="49"/>
    </row>
    <row r="445" spans="18:18" x14ac:dyDescent="0.35">
      <c r="R445" s="49"/>
    </row>
    <row r="446" spans="18:18" x14ac:dyDescent="0.35">
      <c r="R446" s="49"/>
    </row>
    <row r="447" spans="18:18" x14ac:dyDescent="0.35">
      <c r="R447" s="49"/>
    </row>
    <row r="448" spans="18:18" x14ac:dyDescent="0.35">
      <c r="R448" s="49"/>
    </row>
    <row r="449" spans="18:18" x14ac:dyDescent="0.35">
      <c r="R449" s="49"/>
    </row>
    <row r="450" spans="18:18" x14ac:dyDescent="0.35">
      <c r="R450" s="49"/>
    </row>
    <row r="451" spans="18:18" x14ac:dyDescent="0.35">
      <c r="R451" s="49"/>
    </row>
    <row r="452" spans="18:18" x14ac:dyDescent="0.35">
      <c r="R452" s="49"/>
    </row>
    <row r="453" spans="18:18" x14ac:dyDescent="0.35">
      <c r="R453" s="49"/>
    </row>
    <row r="454" spans="18:18" x14ac:dyDescent="0.35">
      <c r="R454" s="49"/>
    </row>
    <row r="455" spans="18:18" x14ac:dyDescent="0.35">
      <c r="R455" s="49"/>
    </row>
    <row r="456" spans="18:18" x14ac:dyDescent="0.35">
      <c r="R456" s="49"/>
    </row>
    <row r="457" spans="18:18" x14ac:dyDescent="0.35">
      <c r="R457" s="49"/>
    </row>
    <row r="458" spans="18:18" x14ac:dyDescent="0.35">
      <c r="R458" s="49"/>
    </row>
    <row r="459" spans="18:18" x14ac:dyDescent="0.35">
      <c r="R459" s="49"/>
    </row>
    <row r="460" spans="18:18" x14ac:dyDescent="0.35">
      <c r="R460" s="49"/>
    </row>
    <row r="461" spans="18:18" x14ac:dyDescent="0.35">
      <c r="R461" s="49"/>
    </row>
    <row r="462" spans="18:18" x14ac:dyDescent="0.35">
      <c r="R462" s="49"/>
    </row>
    <row r="463" spans="18:18" x14ac:dyDescent="0.35">
      <c r="R463" s="49"/>
    </row>
    <row r="464" spans="18:18" x14ac:dyDescent="0.35">
      <c r="R464" s="49"/>
    </row>
    <row r="465" spans="18:18" x14ac:dyDescent="0.35">
      <c r="R465" s="49"/>
    </row>
    <row r="466" spans="18:18" x14ac:dyDescent="0.35">
      <c r="R466" s="49"/>
    </row>
    <row r="467" spans="18:18" x14ac:dyDescent="0.35">
      <c r="R467" s="49"/>
    </row>
    <row r="468" spans="18:18" x14ac:dyDescent="0.35">
      <c r="R468" s="49"/>
    </row>
    <row r="469" spans="18:18" x14ac:dyDescent="0.35">
      <c r="R469" s="49"/>
    </row>
    <row r="470" spans="18:18" x14ac:dyDescent="0.35">
      <c r="R470" s="49"/>
    </row>
    <row r="471" spans="18:18" x14ac:dyDescent="0.35">
      <c r="R471" s="49"/>
    </row>
    <row r="472" spans="18:18" x14ac:dyDescent="0.35">
      <c r="R472" s="49"/>
    </row>
    <row r="473" spans="18:18" x14ac:dyDescent="0.35">
      <c r="R473" s="49"/>
    </row>
    <row r="474" spans="18:18" x14ac:dyDescent="0.35">
      <c r="R474" s="49"/>
    </row>
    <row r="475" spans="18:18" x14ac:dyDescent="0.35">
      <c r="R475" s="49"/>
    </row>
    <row r="476" spans="18:18" x14ac:dyDescent="0.35">
      <c r="R476" s="49"/>
    </row>
    <row r="477" spans="18:18" x14ac:dyDescent="0.35">
      <c r="R477" s="49"/>
    </row>
    <row r="478" spans="18:18" x14ac:dyDescent="0.35">
      <c r="R478" s="49"/>
    </row>
    <row r="479" spans="18:18" x14ac:dyDescent="0.35">
      <c r="R479" s="49"/>
    </row>
    <row r="480" spans="18:18" x14ac:dyDescent="0.35">
      <c r="R480" s="49"/>
    </row>
    <row r="481" spans="18:18" x14ac:dyDescent="0.35">
      <c r="R481" s="49"/>
    </row>
    <row r="482" spans="18:18" x14ac:dyDescent="0.35">
      <c r="R482" s="49"/>
    </row>
    <row r="483" spans="18:18" x14ac:dyDescent="0.35">
      <c r="R483" s="49"/>
    </row>
    <row r="484" spans="18:18" x14ac:dyDescent="0.35">
      <c r="R484" s="49"/>
    </row>
    <row r="485" spans="18:18" x14ac:dyDescent="0.35">
      <c r="R485" s="49"/>
    </row>
    <row r="486" spans="18:18" x14ac:dyDescent="0.35">
      <c r="R486" s="49"/>
    </row>
    <row r="487" spans="18:18" x14ac:dyDescent="0.35">
      <c r="R487" s="49"/>
    </row>
    <row r="488" spans="18:18" x14ac:dyDescent="0.35">
      <c r="R488" s="49"/>
    </row>
    <row r="489" spans="18:18" x14ac:dyDescent="0.35">
      <c r="R489" s="49"/>
    </row>
    <row r="490" spans="18:18" x14ac:dyDescent="0.35">
      <c r="R490" s="49"/>
    </row>
    <row r="491" spans="18:18" x14ac:dyDescent="0.35">
      <c r="R491" s="49"/>
    </row>
    <row r="492" spans="18:18" x14ac:dyDescent="0.35">
      <c r="R492" s="49"/>
    </row>
    <row r="493" spans="18:18" x14ac:dyDescent="0.35">
      <c r="R493" s="49"/>
    </row>
    <row r="494" spans="18:18" x14ac:dyDescent="0.35">
      <c r="R494" s="49"/>
    </row>
    <row r="495" spans="18:18" x14ac:dyDescent="0.35">
      <c r="R495" s="49"/>
    </row>
    <row r="496" spans="18:18" x14ac:dyDescent="0.35">
      <c r="R496" s="49"/>
    </row>
    <row r="497" spans="18:18" x14ac:dyDescent="0.35">
      <c r="R497" s="49"/>
    </row>
    <row r="498" spans="18:18" x14ac:dyDescent="0.35">
      <c r="R498" s="49"/>
    </row>
    <row r="499" spans="18:18" x14ac:dyDescent="0.35">
      <c r="R499" s="49"/>
    </row>
    <row r="500" spans="18:18" x14ac:dyDescent="0.35">
      <c r="R500" s="49"/>
    </row>
    <row r="501" spans="18:18" x14ac:dyDescent="0.35">
      <c r="R501" s="49"/>
    </row>
    <row r="502" spans="18:18" x14ac:dyDescent="0.35">
      <c r="R502" s="49"/>
    </row>
    <row r="503" spans="18:18" x14ac:dyDescent="0.35">
      <c r="R503" s="49"/>
    </row>
    <row r="504" spans="18:18" x14ac:dyDescent="0.35">
      <c r="R504" s="49"/>
    </row>
    <row r="505" spans="18:18" x14ac:dyDescent="0.35">
      <c r="R505" s="49"/>
    </row>
    <row r="506" spans="18:18" x14ac:dyDescent="0.35">
      <c r="R506" s="49"/>
    </row>
    <row r="507" spans="18:18" x14ac:dyDescent="0.35">
      <c r="R507" s="49"/>
    </row>
    <row r="508" spans="18:18" x14ac:dyDescent="0.35">
      <c r="R508" s="49"/>
    </row>
    <row r="509" spans="18:18" x14ac:dyDescent="0.35">
      <c r="R509" s="49"/>
    </row>
    <row r="510" spans="18:18" x14ac:dyDescent="0.35">
      <c r="R510" s="49"/>
    </row>
    <row r="511" spans="18:18" x14ac:dyDescent="0.35">
      <c r="R511" s="49"/>
    </row>
    <row r="512" spans="18:18" x14ac:dyDescent="0.35">
      <c r="R512" s="49"/>
    </row>
    <row r="513" spans="18:18" x14ac:dyDescent="0.35">
      <c r="R513" s="49"/>
    </row>
    <row r="514" spans="18:18" x14ac:dyDescent="0.35">
      <c r="R514" s="49"/>
    </row>
    <row r="515" spans="18:18" x14ac:dyDescent="0.35">
      <c r="R515" s="49"/>
    </row>
    <row r="516" spans="18:18" x14ac:dyDescent="0.35">
      <c r="R516" s="49"/>
    </row>
    <row r="517" spans="18:18" x14ac:dyDescent="0.35">
      <c r="R517" s="49"/>
    </row>
    <row r="518" spans="18:18" x14ac:dyDescent="0.35">
      <c r="R518" s="49"/>
    </row>
    <row r="519" spans="18:18" x14ac:dyDescent="0.35">
      <c r="R519" s="49"/>
    </row>
    <row r="520" spans="18:18" x14ac:dyDescent="0.35">
      <c r="R520" s="49"/>
    </row>
    <row r="521" spans="18:18" x14ac:dyDescent="0.35">
      <c r="R521" s="49"/>
    </row>
    <row r="522" spans="18:18" x14ac:dyDescent="0.35">
      <c r="R522" s="49"/>
    </row>
    <row r="523" spans="18:18" x14ac:dyDescent="0.35">
      <c r="R523" s="49"/>
    </row>
    <row r="524" spans="18:18" x14ac:dyDescent="0.35">
      <c r="R524" s="49"/>
    </row>
    <row r="525" spans="18:18" x14ac:dyDescent="0.35">
      <c r="R525" s="49"/>
    </row>
    <row r="526" spans="18:18" x14ac:dyDescent="0.35">
      <c r="R526" s="49"/>
    </row>
    <row r="527" spans="18:18" x14ac:dyDescent="0.35">
      <c r="R527" s="49"/>
    </row>
    <row r="528" spans="18:18" x14ac:dyDescent="0.35">
      <c r="R528" s="49"/>
    </row>
    <row r="529" spans="18:18" x14ac:dyDescent="0.35">
      <c r="R529" s="49"/>
    </row>
    <row r="530" spans="18:18" x14ac:dyDescent="0.35">
      <c r="R530" s="49"/>
    </row>
    <row r="531" spans="18:18" x14ac:dyDescent="0.35">
      <c r="R531" s="49"/>
    </row>
    <row r="532" spans="18:18" x14ac:dyDescent="0.35">
      <c r="R532" s="49"/>
    </row>
    <row r="533" spans="18:18" x14ac:dyDescent="0.35">
      <c r="R533" s="49"/>
    </row>
    <row r="534" spans="18:18" x14ac:dyDescent="0.35">
      <c r="R534" s="49"/>
    </row>
    <row r="535" spans="18:18" x14ac:dyDescent="0.35">
      <c r="R535" s="49"/>
    </row>
    <row r="536" spans="18:18" x14ac:dyDescent="0.35">
      <c r="R536" s="49"/>
    </row>
    <row r="537" spans="18:18" x14ac:dyDescent="0.35">
      <c r="R537" s="49"/>
    </row>
    <row r="538" spans="18:18" x14ac:dyDescent="0.35">
      <c r="R538" s="49"/>
    </row>
    <row r="539" spans="18:18" x14ac:dyDescent="0.35">
      <c r="R539" s="49"/>
    </row>
    <row r="540" spans="18:18" x14ac:dyDescent="0.35">
      <c r="R540" s="49"/>
    </row>
    <row r="541" spans="18:18" x14ac:dyDescent="0.35">
      <c r="R541" s="49"/>
    </row>
    <row r="542" spans="18:18" x14ac:dyDescent="0.35">
      <c r="R542" s="49"/>
    </row>
    <row r="543" spans="18:18" x14ac:dyDescent="0.35">
      <c r="R543" s="49"/>
    </row>
    <row r="544" spans="18:18" x14ac:dyDescent="0.35">
      <c r="R544" s="49"/>
    </row>
    <row r="545" spans="18:18" x14ac:dyDescent="0.35">
      <c r="R545" s="49"/>
    </row>
    <row r="546" spans="18:18" x14ac:dyDescent="0.35">
      <c r="R546" s="49"/>
    </row>
    <row r="547" spans="18:18" x14ac:dyDescent="0.35">
      <c r="R547" s="49"/>
    </row>
    <row r="548" spans="18:18" x14ac:dyDescent="0.35">
      <c r="R548" s="49"/>
    </row>
    <row r="549" spans="18:18" x14ac:dyDescent="0.35">
      <c r="R549" s="49"/>
    </row>
    <row r="550" spans="18:18" x14ac:dyDescent="0.35">
      <c r="R550" s="49"/>
    </row>
    <row r="551" spans="18:18" x14ac:dyDescent="0.35">
      <c r="R551" s="49"/>
    </row>
    <row r="552" spans="18:18" x14ac:dyDescent="0.35">
      <c r="R552" s="49"/>
    </row>
    <row r="553" spans="18:18" x14ac:dyDescent="0.35">
      <c r="R553" s="49"/>
    </row>
    <row r="554" spans="18:18" x14ac:dyDescent="0.35">
      <c r="R554" s="49"/>
    </row>
    <row r="555" spans="18:18" x14ac:dyDescent="0.35">
      <c r="R555" s="49"/>
    </row>
    <row r="556" spans="18:18" x14ac:dyDescent="0.35">
      <c r="R556" s="49"/>
    </row>
    <row r="557" spans="18:18" x14ac:dyDescent="0.35">
      <c r="R557" s="49"/>
    </row>
    <row r="558" spans="18:18" x14ac:dyDescent="0.35">
      <c r="R558" s="49"/>
    </row>
    <row r="559" spans="18:18" x14ac:dyDescent="0.35">
      <c r="R559" s="49"/>
    </row>
    <row r="560" spans="18:18" x14ac:dyDescent="0.35">
      <c r="R560" s="49"/>
    </row>
    <row r="561" spans="18:18" x14ac:dyDescent="0.35">
      <c r="R561" s="49"/>
    </row>
    <row r="562" spans="18:18" x14ac:dyDescent="0.35">
      <c r="R562" s="49"/>
    </row>
    <row r="563" spans="18:18" x14ac:dyDescent="0.35">
      <c r="R563" s="49"/>
    </row>
    <row r="564" spans="18:18" x14ac:dyDescent="0.35">
      <c r="R564" s="49"/>
    </row>
    <row r="565" spans="18:18" x14ac:dyDescent="0.35">
      <c r="R565" s="49"/>
    </row>
    <row r="566" spans="18:18" x14ac:dyDescent="0.35">
      <c r="R566" s="49"/>
    </row>
    <row r="567" spans="18:18" x14ac:dyDescent="0.35">
      <c r="R567" s="49"/>
    </row>
    <row r="568" spans="18:18" x14ac:dyDescent="0.35">
      <c r="R568" s="49"/>
    </row>
    <row r="569" spans="18:18" x14ac:dyDescent="0.35">
      <c r="R569" s="49"/>
    </row>
    <row r="570" spans="18:18" x14ac:dyDescent="0.35">
      <c r="R570" s="49"/>
    </row>
    <row r="571" spans="18:18" x14ac:dyDescent="0.35">
      <c r="R571" s="49"/>
    </row>
    <row r="572" spans="18:18" x14ac:dyDescent="0.35">
      <c r="R572" s="49"/>
    </row>
    <row r="573" spans="18:18" x14ac:dyDescent="0.35">
      <c r="R573" s="49"/>
    </row>
    <row r="574" spans="18:18" x14ac:dyDescent="0.35">
      <c r="R574" s="49"/>
    </row>
    <row r="575" spans="18:18" x14ac:dyDescent="0.35">
      <c r="R575" s="49"/>
    </row>
    <row r="576" spans="18:18" x14ac:dyDescent="0.35">
      <c r="R576" s="49"/>
    </row>
    <row r="577" spans="18:18" x14ac:dyDescent="0.35">
      <c r="R577" s="49"/>
    </row>
    <row r="578" spans="18:18" x14ac:dyDescent="0.35">
      <c r="R578" s="49"/>
    </row>
    <row r="579" spans="18:18" x14ac:dyDescent="0.35">
      <c r="R579" s="49"/>
    </row>
    <row r="580" spans="18:18" x14ac:dyDescent="0.35">
      <c r="R580" s="49"/>
    </row>
    <row r="581" spans="18:18" x14ac:dyDescent="0.35">
      <c r="R581" s="49"/>
    </row>
    <row r="582" spans="18:18" x14ac:dyDescent="0.35">
      <c r="R582" s="49"/>
    </row>
    <row r="583" spans="18:18" x14ac:dyDescent="0.35">
      <c r="R583" s="49"/>
    </row>
    <row r="584" spans="18:18" x14ac:dyDescent="0.35">
      <c r="R584" s="49"/>
    </row>
    <row r="585" spans="18:18" x14ac:dyDescent="0.35">
      <c r="R585" s="49"/>
    </row>
    <row r="586" spans="18:18" x14ac:dyDescent="0.35">
      <c r="R586" s="49"/>
    </row>
    <row r="587" spans="18:18" x14ac:dyDescent="0.35">
      <c r="R587" s="49"/>
    </row>
    <row r="588" spans="18:18" x14ac:dyDescent="0.35">
      <c r="R588" s="49"/>
    </row>
    <row r="589" spans="18:18" x14ac:dyDescent="0.35">
      <c r="R589" s="49"/>
    </row>
    <row r="590" spans="18:18" x14ac:dyDescent="0.35">
      <c r="R590" s="49"/>
    </row>
    <row r="591" spans="18:18" x14ac:dyDescent="0.35">
      <c r="R591" s="49"/>
    </row>
    <row r="592" spans="18:18" x14ac:dyDescent="0.35">
      <c r="R592" s="49"/>
    </row>
    <row r="593" spans="18:18" x14ac:dyDescent="0.35">
      <c r="R593" s="49"/>
    </row>
    <row r="594" spans="18:18" x14ac:dyDescent="0.35">
      <c r="R594" s="49"/>
    </row>
    <row r="595" spans="18:18" x14ac:dyDescent="0.35">
      <c r="R595" s="49"/>
    </row>
    <row r="596" spans="18:18" x14ac:dyDescent="0.35">
      <c r="R596" s="49"/>
    </row>
    <row r="597" spans="18:18" x14ac:dyDescent="0.35">
      <c r="R597" s="49"/>
    </row>
    <row r="598" spans="18:18" x14ac:dyDescent="0.35">
      <c r="R598" s="49"/>
    </row>
    <row r="599" spans="18:18" x14ac:dyDescent="0.35">
      <c r="R599" s="49"/>
    </row>
    <row r="600" spans="18:18" x14ac:dyDescent="0.35">
      <c r="R600" s="49"/>
    </row>
    <row r="601" spans="18:18" x14ac:dyDescent="0.35">
      <c r="R601" s="49"/>
    </row>
    <row r="602" spans="18:18" x14ac:dyDescent="0.35">
      <c r="R602" s="49"/>
    </row>
    <row r="603" spans="18:18" x14ac:dyDescent="0.35">
      <c r="R603" s="49"/>
    </row>
    <row r="604" spans="18:18" x14ac:dyDescent="0.35">
      <c r="R604" s="49"/>
    </row>
    <row r="605" spans="18:18" x14ac:dyDescent="0.35">
      <c r="R605" s="49"/>
    </row>
    <row r="606" spans="18:18" x14ac:dyDescent="0.35">
      <c r="R606" s="49"/>
    </row>
    <row r="607" spans="18:18" x14ac:dyDescent="0.35">
      <c r="R607" s="49"/>
    </row>
    <row r="608" spans="18:18" x14ac:dyDescent="0.35">
      <c r="R608" s="49"/>
    </row>
    <row r="609" spans="18:18" x14ac:dyDescent="0.35">
      <c r="R609" s="49"/>
    </row>
    <row r="610" spans="18:18" x14ac:dyDescent="0.35">
      <c r="R610" s="49"/>
    </row>
    <row r="611" spans="18:18" x14ac:dyDescent="0.35">
      <c r="R611" s="49"/>
    </row>
    <row r="612" spans="18:18" x14ac:dyDescent="0.35">
      <c r="R612" s="49"/>
    </row>
    <row r="613" spans="18:18" x14ac:dyDescent="0.35">
      <c r="R613" s="49"/>
    </row>
    <row r="614" spans="18:18" x14ac:dyDescent="0.35">
      <c r="R614" s="49"/>
    </row>
    <row r="615" spans="18:18" x14ac:dyDescent="0.35">
      <c r="R615" s="49"/>
    </row>
    <row r="616" spans="18:18" x14ac:dyDescent="0.35">
      <c r="R616" s="49"/>
    </row>
    <row r="617" spans="18:18" x14ac:dyDescent="0.35">
      <c r="R617" s="49"/>
    </row>
    <row r="618" spans="18:18" x14ac:dyDescent="0.35">
      <c r="R618" s="49"/>
    </row>
    <row r="619" spans="18:18" x14ac:dyDescent="0.35">
      <c r="R619" s="49"/>
    </row>
    <row r="620" spans="18:18" x14ac:dyDescent="0.35">
      <c r="R620" s="49"/>
    </row>
    <row r="621" spans="18:18" x14ac:dyDescent="0.35">
      <c r="R621" s="49"/>
    </row>
    <row r="622" spans="18:18" x14ac:dyDescent="0.35">
      <c r="R622" s="49"/>
    </row>
    <row r="623" spans="18:18" x14ac:dyDescent="0.35">
      <c r="R623" s="49"/>
    </row>
    <row r="624" spans="18:18" x14ac:dyDescent="0.35">
      <c r="R624" s="49"/>
    </row>
    <row r="625" spans="18:18" x14ac:dyDescent="0.35">
      <c r="R625" s="49"/>
    </row>
    <row r="626" spans="18:18" x14ac:dyDescent="0.35">
      <c r="R626" s="49"/>
    </row>
    <row r="627" spans="18:18" x14ac:dyDescent="0.35">
      <c r="R627" s="49"/>
    </row>
    <row r="628" spans="18:18" x14ac:dyDescent="0.35">
      <c r="R628" s="49"/>
    </row>
    <row r="629" spans="18:18" x14ac:dyDescent="0.35">
      <c r="R629" s="49"/>
    </row>
    <row r="630" spans="18:18" x14ac:dyDescent="0.35">
      <c r="R630" s="49"/>
    </row>
    <row r="631" spans="18:18" x14ac:dyDescent="0.35">
      <c r="R631" s="49"/>
    </row>
    <row r="632" spans="18:18" x14ac:dyDescent="0.35">
      <c r="R632" s="49"/>
    </row>
    <row r="633" spans="18:18" x14ac:dyDescent="0.35">
      <c r="R633" s="49"/>
    </row>
    <row r="634" spans="18:18" x14ac:dyDescent="0.35">
      <c r="R634" s="49"/>
    </row>
    <row r="635" spans="18:18" x14ac:dyDescent="0.35">
      <c r="R635" s="49"/>
    </row>
    <row r="636" spans="18:18" x14ac:dyDescent="0.35">
      <c r="R636" s="49"/>
    </row>
    <row r="637" spans="18:18" x14ac:dyDescent="0.35">
      <c r="R637" s="49"/>
    </row>
    <row r="638" spans="18:18" x14ac:dyDescent="0.35">
      <c r="R638" s="49"/>
    </row>
    <row r="639" spans="18:18" x14ac:dyDescent="0.35">
      <c r="R639" s="49"/>
    </row>
    <row r="640" spans="18:18" x14ac:dyDescent="0.35">
      <c r="R640" s="49"/>
    </row>
    <row r="641" spans="18:18" x14ac:dyDescent="0.35">
      <c r="R641" s="49"/>
    </row>
    <row r="642" spans="18:18" x14ac:dyDescent="0.35">
      <c r="R642" s="49"/>
    </row>
    <row r="643" spans="18:18" x14ac:dyDescent="0.35">
      <c r="R643" s="49"/>
    </row>
    <row r="644" spans="18:18" x14ac:dyDescent="0.35">
      <c r="R644" s="49"/>
    </row>
    <row r="645" spans="18:18" x14ac:dyDescent="0.35">
      <c r="R645" s="49"/>
    </row>
    <row r="646" spans="18:18" x14ac:dyDescent="0.35">
      <c r="R646" s="49"/>
    </row>
    <row r="647" spans="18:18" x14ac:dyDescent="0.35">
      <c r="R647" s="49"/>
    </row>
    <row r="648" spans="18:18" x14ac:dyDescent="0.35">
      <c r="R648" s="49"/>
    </row>
    <row r="649" spans="18:18" x14ac:dyDescent="0.35">
      <c r="R649" s="49"/>
    </row>
    <row r="650" spans="18:18" x14ac:dyDescent="0.35">
      <c r="R650" s="49"/>
    </row>
    <row r="651" spans="18:18" x14ac:dyDescent="0.35">
      <c r="R651" s="49"/>
    </row>
    <row r="652" spans="18:18" x14ac:dyDescent="0.35">
      <c r="R652" s="49"/>
    </row>
  </sheetData>
  <sortState ref="P7:Q35">
    <sortCondition descending="1" ref="Q7"/>
  </sortState>
  <mergeCells count="3">
    <mergeCell ref="B39:R45"/>
    <mergeCell ref="C3:N3"/>
    <mergeCell ref="D5:E5"/>
  </mergeCells>
  <pageMargins left="0.7" right="0.7" top="0.75" bottom="0.75" header="0.3" footer="0.3"/>
  <pageSetup paperSize="9" scale="49" orientation="landscape" r:id="rId1"/>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027A8C-0A2A-41E5-A1EA-0146AF1510D8}">
  <sheetPr codeName="Sheet27">
    <pageSetUpPr fitToPage="1"/>
  </sheetPr>
  <dimension ref="A1:S654"/>
  <sheetViews>
    <sheetView showGridLines="0" zoomScale="75" zoomScaleNormal="75" zoomScaleSheetLayoutView="76" workbookViewId="0"/>
  </sheetViews>
  <sheetFormatPr defaultColWidth="9.1796875" defaultRowHeight="15.5" x14ac:dyDescent="0.35"/>
  <cols>
    <col min="1" max="1" width="2.81640625" style="3" customWidth="1"/>
    <col min="2" max="2" width="3.81640625" style="3" customWidth="1"/>
    <col min="3" max="3" width="59.1796875" style="3" bestFit="1" customWidth="1"/>
    <col min="4" max="4" width="28.453125" style="3" customWidth="1"/>
    <col min="5" max="5" width="16.7265625" style="3" customWidth="1"/>
    <col min="6" max="6" width="9.1796875" style="3"/>
    <col min="7" max="9" width="12" style="3" customWidth="1"/>
    <col min="10" max="10" width="26.54296875" style="3" customWidth="1"/>
    <col min="11" max="14" width="12" style="3" customWidth="1"/>
    <col min="15" max="16" width="9.1796875" style="3"/>
    <col min="17" max="17" width="9.81640625" style="3" customWidth="1"/>
    <col min="18" max="18" width="13.1796875" style="3" bestFit="1" customWidth="1"/>
    <col min="19" max="19" width="9.26953125" style="3" bestFit="1" customWidth="1"/>
    <col min="20" max="16384" width="9.1796875" style="3"/>
  </cols>
  <sheetData>
    <row r="1" spans="2:19" ht="16" thickBot="1" x14ac:dyDescent="0.4"/>
    <row r="2" spans="2:19" x14ac:dyDescent="0.35">
      <c r="B2" s="91"/>
      <c r="C2" s="42"/>
      <c r="D2" s="42"/>
      <c r="E2" s="42"/>
      <c r="F2" s="42"/>
      <c r="G2" s="42"/>
      <c r="H2" s="42"/>
      <c r="I2" s="42"/>
      <c r="J2" s="42"/>
      <c r="K2" s="42"/>
      <c r="L2" s="42"/>
      <c r="M2" s="42"/>
      <c r="N2" s="92"/>
      <c r="S2" s="210"/>
    </row>
    <row r="3" spans="2:19" ht="20.25" customHeight="1" x14ac:dyDescent="0.35">
      <c r="B3" s="93"/>
      <c r="C3" s="297" t="s">
        <v>224</v>
      </c>
      <c r="D3" s="297" t="s">
        <v>224</v>
      </c>
      <c r="E3" s="297" t="s">
        <v>224</v>
      </c>
      <c r="F3" s="297" t="s">
        <v>224</v>
      </c>
      <c r="G3" s="297" t="s">
        <v>224</v>
      </c>
      <c r="H3" s="297" t="s">
        <v>224</v>
      </c>
      <c r="I3" s="297" t="s">
        <v>224</v>
      </c>
      <c r="J3" s="297" t="s">
        <v>224</v>
      </c>
      <c r="K3" s="297" t="s">
        <v>224</v>
      </c>
      <c r="L3" s="297" t="s">
        <v>224</v>
      </c>
      <c r="M3" s="297" t="s">
        <v>224</v>
      </c>
      <c r="N3" s="298" t="s">
        <v>224</v>
      </c>
    </row>
    <row r="4" spans="2:19" x14ac:dyDescent="0.35">
      <c r="B4" s="93"/>
      <c r="C4" s="67" t="s">
        <v>434</v>
      </c>
      <c r="D4" s="29"/>
      <c r="E4" s="29"/>
      <c r="F4" s="5"/>
      <c r="G4" s="5"/>
      <c r="H4" s="5"/>
      <c r="I4" s="5"/>
      <c r="J4" s="5"/>
      <c r="K4" s="5"/>
      <c r="L4" s="5"/>
      <c r="M4" s="5"/>
      <c r="N4" s="20"/>
    </row>
    <row r="5" spans="2:19" ht="20.25" customHeight="1" x14ac:dyDescent="0.35">
      <c r="B5" s="93"/>
      <c r="C5" s="211" t="s">
        <v>435</v>
      </c>
      <c r="D5" s="314" t="s">
        <v>412</v>
      </c>
      <c r="E5" s="314"/>
      <c r="F5" s="5"/>
      <c r="G5" s="5"/>
      <c r="H5" s="5"/>
      <c r="I5" s="5"/>
      <c r="J5" s="5"/>
      <c r="K5" s="5"/>
      <c r="L5" s="5"/>
      <c r="M5" s="5"/>
      <c r="N5" s="20"/>
    </row>
    <row r="6" spans="2:19" x14ac:dyDescent="0.35">
      <c r="B6" s="93"/>
      <c r="C6" s="29"/>
      <c r="D6" s="29"/>
      <c r="E6" s="29"/>
      <c r="F6" s="5"/>
      <c r="G6" s="5"/>
      <c r="H6" s="5"/>
      <c r="I6" s="5"/>
      <c r="J6" s="5"/>
      <c r="K6" s="5"/>
      <c r="L6" s="5"/>
      <c r="M6" s="5"/>
      <c r="N6" s="20"/>
      <c r="P6" s="39" t="s">
        <v>22</v>
      </c>
      <c r="Q6" s="39" t="s">
        <v>2</v>
      </c>
    </row>
    <row r="7" spans="2:19" ht="32.25" customHeight="1" x14ac:dyDescent="0.35">
      <c r="B7" s="93"/>
      <c r="C7" s="95" t="s">
        <v>43</v>
      </c>
      <c r="D7" s="95" t="s">
        <v>44</v>
      </c>
      <c r="E7" s="95" t="s">
        <v>45</v>
      </c>
      <c r="F7" s="5"/>
      <c r="G7" s="5"/>
      <c r="H7" s="5"/>
      <c r="I7" s="5"/>
      <c r="J7" s="5"/>
      <c r="K7" s="5"/>
      <c r="L7" s="5"/>
      <c r="M7" s="5"/>
      <c r="N7" s="20"/>
      <c r="P7" s="288" t="s">
        <v>3</v>
      </c>
      <c r="Q7" s="287">
        <v>9.5009999999999983E-2</v>
      </c>
    </row>
    <row r="8" spans="2:19" x14ac:dyDescent="0.35">
      <c r="B8" s="93"/>
      <c r="C8" s="38" t="s">
        <v>29</v>
      </c>
      <c r="D8" s="38" t="s">
        <v>3</v>
      </c>
      <c r="E8" s="6">
        <v>2.9192999999999997E-2</v>
      </c>
      <c r="F8" s="5"/>
      <c r="G8" s="5"/>
      <c r="H8" s="5"/>
      <c r="I8" s="5"/>
      <c r="J8" s="5"/>
      <c r="K8" s="5"/>
      <c r="L8" s="5"/>
      <c r="M8" s="5"/>
      <c r="N8" s="20"/>
      <c r="P8" s="288" t="s">
        <v>26</v>
      </c>
      <c r="Q8" s="287">
        <v>3.5720000000000002E-2</v>
      </c>
      <c r="R8" s="49"/>
    </row>
    <row r="9" spans="2:19" ht="15.75" customHeight="1" x14ac:dyDescent="0.35">
      <c r="B9" s="93"/>
      <c r="C9" s="38" t="s">
        <v>32</v>
      </c>
      <c r="D9" s="38" t="s">
        <v>3</v>
      </c>
      <c r="E9" s="6">
        <v>2.3694E-2</v>
      </c>
      <c r="F9" s="5"/>
      <c r="G9" s="5"/>
      <c r="H9" s="5"/>
      <c r="I9" s="5"/>
      <c r="J9" s="5"/>
      <c r="K9" s="5"/>
      <c r="L9" s="5"/>
      <c r="M9" s="5"/>
      <c r="N9" s="20"/>
      <c r="P9" s="288" t="s">
        <v>4</v>
      </c>
      <c r="Q9" s="287">
        <v>2.9175999999999994E-2</v>
      </c>
      <c r="R9" s="49"/>
    </row>
    <row r="10" spans="2:19" x14ac:dyDescent="0.35">
      <c r="B10" s="93"/>
      <c r="C10" s="38" t="s">
        <v>31</v>
      </c>
      <c r="D10" s="38" t="s">
        <v>6</v>
      </c>
      <c r="E10" s="6">
        <v>2.2511E-2</v>
      </c>
      <c r="F10" s="31"/>
      <c r="G10" s="5"/>
      <c r="H10" s="5"/>
      <c r="I10" s="5"/>
      <c r="J10" s="5"/>
      <c r="K10" s="5"/>
      <c r="L10" s="5"/>
      <c r="M10" s="5"/>
      <c r="N10" s="20"/>
      <c r="P10" s="288" t="s">
        <v>105</v>
      </c>
      <c r="Q10" s="287">
        <v>2.8470000000000006E-2</v>
      </c>
      <c r="R10" s="49"/>
    </row>
    <row r="11" spans="2:19" x14ac:dyDescent="0.35">
      <c r="B11" s="93"/>
      <c r="C11" s="38" t="s">
        <v>36</v>
      </c>
      <c r="D11" s="38" t="s">
        <v>3</v>
      </c>
      <c r="E11" s="6">
        <v>1.8487000000000003E-2</v>
      </c>
      <c r="F11" s="5"/>
      <c r="G11" s="5"/>
      <c r="H11" s="5"/>
      <c r="I11" s="5"/>
      <c r="J11" s="5"/>
      <c r="K11" s="5"/>
      <c r="L11" s="5"/>
      <c r="M11" s="5"/>
      <c r="N11" s="20"/>
      <c r="P11" s="288" t="s">
        <v>109</v>
      </c>
      <c r="Q11" s="287">
        <v>2.7674999999999998E-2</v>
      </c>
      <c r="R11" s="49"/>
    </row>
    <row r="12" spans="2:19" ht="15.75" customHeight="1" x14ac:dyDescent="0.35">
      <c r="B12" s="93"/>
      <c r="C12" s="38" t="s">
        <v>28</v>
      </c>
      <c r="D12" s="38" t="s">
        <v>105</v>
      </c>
      <c r="E12" s="6">
        <v>1.2494000000000002E-2</v>
      </c>
      <c r="F12" s="31"/>
      <c r="G12" s="5"/>
      <c r="H12" s="5"/>
      <c r="I12" s="5"/>
      <c r="J12" s="5"/>
      <c r="K12" s="5"/>
      <c r="L12" s="5"/>
      <c r="M12" s="5"/>
      <c r="N12" s="20"/>
      <c r="P12" s="288" t="s">
        <v>84</v>
      </c>
      <c r="Q12" s="287">
        <v>2.5172E-2</v>
      </c>
      <c r="R12" s="49"/>
    </row>
    <row r="13" spans="2:19" x14ac:dyDescent="0.35">
      <c r="B13" s="93"/>
      <c r="C13" s="38" t="s">
        <v>33</v>
      </c>
      <c r="D13" s="38" t="s">
        <v>105</v>
      </c>
      <c r="E13" s="6">
        <v>1.1073000000000003E-2</v>
      </c>
      <c r="F13" s="31"/>
      <c r="G13" s="5"/>
      <c r="H13" s="5"/>
      <c r="I13" s="5"/>
      <c r="J13" s="5"/>
      <c r="K13" s="5"/>
      <c r="L13" s="5"/>
      <c r="M13" s="5"/>
      <c r="N13" s="20"/>
      <c r="P13" s="288" t="s">
        <v>110</v>
      </c>
      <c r="Q13" s="287">
        <v>2.4858999999999999E-2</v>
      </c>
      <c r="R13" s="49"/>
    </row>
    <row r="14" spans="2:19" x14ac:dyDescent="0.35">
      <c r="B14" s="93"/>
      <c r="C14" s="38" t="s">
        <v>73</v>
      </c>
      <c r="D14" s="38" t="s">
        <v>11</v>
      </c>
      <c r="E14" s="6">
        <v>1.0532E-2</v>
      </c>
      <c r="F14" s="31"/>
      <c r="G14" s="5"/>
      <c r="H14" s="5"/>
      <c r="I14" s="5"/>
      <c r="J14" s="5"/>
      <c r="K14" s="5"/>
      <c r="L14" s="5"/>
      <c r="M14" s="5"/>
      <c r="N14" s="20"/>
      <c r="P14" s="288" t="s">
        <v>16</v>
      </c>
      <c r="Q14" s="287">
        <v>2.4046999999999999E-2</v>
      </c>
      <c r="R14" s="49"/>
    </row>
    <row r="15" spans="2:19" x14ac:dyDescent="0.35">
      <c r="B15" s="93"/>
      <c r="C15" s="38" t="s">
        <v>94</v>
      </c>
      <c r="D15" s="38" t="s">
        <v>110</v>
      </c>
      <c r="E15" s="6">
        <v>1.0107E-2</v>
      </c>
      <c r="F15" s="5"/>
      <c r="G15" s="5"/>
      <c r="H15" s="5"/>
      <c r="I15" s="5"/>
      <c r="J15" s="5"/>
      <c r="K15" s="5"/>
      <c r="L15" s="5"/>
      <c r="M15" s="5"/>
      <c r="N15" s="20"/>
      <c r="P15" s="288" t="s">
        <v>6</v>
      </c>
      <c r="Q15" s="287">
        <v>2.2511E-2</v>
      </c>
      <c r="R15" s="49"/>
    </row>
    <row r="16" spans="2:19" x14ac:dyDescent="0.35">
      <c r="B16" s="93"/>
      <c r="C16" s="38" t="s">
        <v>357</v>
      </c>
      <c r="D16" s="38" t="s">
        <v>16</v>
      </c>
      <c r="E16" s="6">
        <v>8.8509999999999995E-3</v>
      </c>
      <c r="F16" s="5"/>
      <c r="G16" s="5"/>
      <c r="H16" s="5"/>
      <c r="I16" s="5"/>
      <c r="J16" s="5"/>
      <c r="K16" s="5"/>
      <c r="L16" s="5"/>
      <c r="M16" s="5"/>
      <c r="N16" s="20"/>
      <c r="P16" s="288" t="s">
        <v>108</v>
      </c>
      <c r="Q16" s="287">
        <v>1.4814000000000001E-2</v>
      </c>
      <c r="R16" s="49"/>
    </row>
    <row r="17" spans="2:18" x14ac:dyDescent="0.35">
      <c r="B17" s="93"/>
      <c r="C17" s="38" t="s">
        <v>378</v>
      </c>
      <c r="D17" s="38" t="s">
        <v>26</v>
      </c>
      <c r="E17" s="6">
        <v>8.6999999999999994E-3</v>
      </c>
      <c r="F17" s="5"/>
      <c r="G17" s="5"/>
      <c r="H17" s="5"/>
      <c r="I17" s="5"/>
      <c r="J17" s="5"/>
      <c r="K17" s="5"/>
      <c r="L17" s="5"/>
      <c r="M17" s="5"/>
      <c r="N17" s="20"/>
      <c r="P17" s="288" t="s">
        <v>111</v>
      </c>
      <c r="Q17" s="287">
        <v>1.085E-2</v>
      </c>
      <c r="R17" s="49"/>
    </row>
    <row r="18" spans="2:18" x14ac:dyDescent="0.35">
      <c r="B18" s="93"/>
      <c r="C18" s="38" t="s">
        <v>118</v>
      </c>
      <c r="D18" s="38" t="s">
        <v>110</v>
      </c>
      <c r="E18" s="6">
        <v>7.5080000000000008E-3</v>
      </c>
      <c r="F18" s="5"/>
      <c r="G18" s="5"/>
      <c r="H18" s="5"/>
      <c r="I18" s="5"/>
      <c r="J18" s="5"/>
      <c r="K18" s="5"/>
      <c r="L18" s="5"/>
      <c r="M18" s="5"/>
      <c r="N18" s="20"/>
      <c r="P18" s="288" t="s">
        <v>23</v>
      </c>
      <c r="Q18" s="287">
        <v>1.0578999999999998E-2</v>
      </c>
      <c r="R18" s="49"/>
    </row>
    <row r="19" spans="2:18" x14ac:dyDescent="0.35">
      <c r="B19" s="93"/>
      <c r="C19" s="38" t="s">
        <v>362</v>
      </c>
      <c r="D19" s="38" t="s">
        <v>84</v>
      </c>
      <c r="E19" s="6">
        <v>7.4549999999999998E-3</v>
      </c>
      <c r="F19" s="5"/>
      <c r="G19" s="5"/>
      <c r="H19" s="5"/>
      <c r="I19" s="5"/>
      <c r="J19" s="5"/>
      <c r="K19" s="5"/>
      <c r="L19" s="5"/>
      <c r="M19" s="5"/>
      <c r="N19" s="20"/>
      <c r="P19" s="288" t="s">
        <v>11</v>
      </c>
      <c r="Q19" s="287">
        <v>1.0501999999999997E-2</v>
      </c>
      <c r="R19" s="49"/>
    </row>
    <row r="20" spans="2:18" ht="15.75" customHeight="1" x14ac:dyDescent="0.35">
      <c r="B20" s="93"/>
      <c r="C20" s="38" t="s">
        <v>231</v>
      </c>
      <c r="D20" s="38" t="s">
        <v>26</v>
      </c>
      <c r="E20" s="6">
        <v>7.332E-3</v>
      </c>
      <c r="F20" s="5"/>
      <c r="G20" s="5"/>
      <c r="H20" s="5"/>
      <c r="I20" s="5"/>
      <c r="J20" s="5"/>
      <c r="K20" s="5"/>
      <c r="L20" s="5"/>
      <c r="M20" s="5"/>
      <c r="N20" s="20"/>
      <c r="P20" s="288" t="s">
        <v>115</v>
      </c>
      <c r="Q20" s="287">
        <v>9.670999999999999E-3</v>
      </c>
      <c r="R20" s="49"/>
    </row>
    <row r="21" spans="2:18" x14ac:dyDescent="0.35">
      <c r="B21" s="93"/>
      <c r="C21" s="38" t="s">
        <v>205</v>
      </c>
      <c r="D21" s="38" t="s">
        <v>109</v>
      </c>
      <c r="E21" s="6">
        <v>6.9839999999999998E-3</v>
      </c>
      <c r="F21" s="5"/>
      <c r="G21" s="5"/>
      <c r="H21" s="5"/>
      <c r="I21" s="5"/>
      <c r="J21" s="5"/>
      <c r="K21" s="5"/>
      <c r="L21" s="5"/>
      <c r="M21" s="5"/>
      <c r="N21" s="20"/>
      <c r="P21" s="288" t="s">
        <v>81</v>
      </c>
      <c r="Q21" s="287">
        <v>9.4149999999999998E-3</v>
      </c>
      <c r="R21" s="49"/>
    </row>
    <row r="22" spans="2:18" x14ac:dyDescent="0.35">
      <c r="B22" s="93"/>
      <c r="C22" s="38" t="s">
        <v>70</v>
      </c>
      <c r="D22" s="38" t="s">
        <v>12</v>
      </c>
      <c r="E22" s="6">
        <v>6.8690000000000001E-3</v>
      </c>
      <c r="F22" s="5"/>
      <c r="G22" s="31"/>
      <c r="H22" s="31"/>
      <c r="I22" s="31"/>
      <c r="J22" s="5"/>
      <c r="K22" s="31"/>
      <c r="L22" s="5"/>
      <c r="M22" s="5"/>
      <c r="N22" s="20"/>
      <c r="P22" s="288" t="s">
        <v>116</v>
      </c>
      <c r="Q22" s="287">
        <v>9.2899999999999996E-3</v>
      </c>
      <c r="R22" s="49"/>
    </row>
    <row r="23" spans="2:18" ht="15.75" customHeight="1" x14ac:dyDescent="0.35">
      <c r="B23" s="93"/>
      <c r="C23" s="38"/>
      <c r="D23" s="4"/>
      <c r="E23" s="6"/>
      <c r="F23" s="5"/>
      <c r="G23" s="31"/>
      <c r="H23" s="31"/>
      <c r="I23" s="31"/>
      <c r="J23" s="5"/>
      <c r="K23" s="31"/>
      <c r="L23" s="5"/>
      <c r="M23" s="5"/>
      <c r="N23" s="20"/>
      <c r="P23" s="288" t="s">
        <v>119</v>
      </c>
      <c r="Q23" s="287">
        <v>9.0849999999999993E-3</v>
      </c>
      <c r="R23" s="49"/>
    </row>
    <row r="24" spans="2:18" x14ac:dyDescent="0.35">
      <c r="B24" s="93"/>
      <c r="C24" s="106" t="s">
        <v>56</v>
      </c>
      <c r="D24" s="106"/>
      <c r="E24" s="107">
        <v>0.19179000000000002</v>
      </c>
      <c r="F24" s="5"/>
      <c r="G24" s="5"/>
      <c r="H24" s="5"/>
      <c r="I24" s="5"/>
      <c r="J24" s="5"/>
      <c r="K24" s="5"/>
      <c r="L24" s="5"/>
      <c r="M24" s="5"/>
      <c r="N24" s="20"/>
      <c r="P24" s="288" t="s">
        <v>13</v>
      </c>
      <c r="Q24" s="287">
        <v>8.8179999999999994E-3</v>
      </c>
      <c r="R24" s="49"/>
    </row>
    <row r="25" spans="2:18" x14ac:dyDescent="0.35">
      <c r="B25" s="93"/>
      <c r="C25" s="4"/>
      <c r="D25" s="4"/>
      <c r="E25" s="6"/>
      <c r="F25" s="5"/>
      <c r="G25" s="5"/>
      <c r="H25" s="5"/>
      <c r="I25" s="5"/>
      <c r="J25" s="5"/>
      <c r="K25" s="5"/>
      <c r="L25" s="5"/>
      <c r="M25" s="5"/>
      <c r="N25" s="20"/>
      <c r="P25" s="288" t="s">
        <v>75</v>
      </c>
      <c r="Q25" s="287">
        <v>8.7329999999999994E-3</v>
      </c>
      <c r="R25" s="49"/>
    </row>
    <row r="26" spans="2:18" x14ac:dyDescent="0.35">
      <c r="B26" s="93"/>
      <c r="C26" s="106" t="s">
        <v>66</v>
      </c>
      <c r="D26" s="106"/>
      <c r="E26" s="107">
        <v>0.31484900000000005</v>
      </c>
      <c r="F26" s="31"/>
      <c r="G26" s="5"/>
      <c r="H26" s="5"/>
      <c r="I26" s="5"/>
      <c r="J26" s="5"/>
      <c r="K26" s="5"/>
      <c r="L26" s="5"/>
      <c r="M26" s="5"/>
      <c r="N26" s="20"/>
      <c r="P26" s="288" t="s">
        <v>124</v>
      </c>
      <c r="Q26" s="287">
        <v>7.8609999999999999E-3</v>
      </c>
      <c r="R26" s="49"/>
    </row>
    <row r="27" spans="2:18" x14ac:dyDescent="0.35">
      <c r="B27" s="93"/>
      <c r="C27" s="38"/>
      <c r="D27" s="58"/>
      <c r="E27" s="6"/>
      <c r="F27" s="5"/>
      <c r="G27" s="5"/>
      <c r="H27" s="5"/>
      <c r="I27" s="5"/>
      <c r="J27" s="5"/>
      <c r="K27" s="5"/>
      <c r="L27" s="5"/>
      <c r="M27" s="5"/>
      <c r="N27" s="20"/>
      <c r="P27" s="288" t="s">
        <v>82</v>
      </c>
      <c r="Q27" s="287">
        <v>7.5810000000000001E-3</v>
      </c>
      <c r="R27" s="49"/>
    </row>
    <row r="28" spans="2:18" s="48" customFormat="1" ht="13.5" customHeight="1" x14ac:dyDescent="0.35">
      <c r="B28" s="108"/>
      <c r="C28" s="106" t="s">
        <v>58</v>
      </c>
      <c r="D28" s="106"/>
      <c r="E28" s="178">
        <v>0.162497</v>
      </c>
      <c r="F28" s="41"/>
      <c r="G28" s="41"/>
      <c r="H28" s="41"/>
      <c r="I28" s="41"/>
      <c r="J28" s="41"/>
      <c r="K28" s="41"/>
      <c r="L28" s="41"/>
      <c r="M28" s="41"/>
      <c r="N28" s="109"/>
      <c r="P28" s="288" t="s">
        <v>12</v>
      </c>
      <c r="Q28" s="287">
        <v>6.8690000000000001E-3</v>
      </c>
      <c r="R28" s="110"/>
    </row>
    <row r="29" spans="2:18" x14ac:dyDescent="0.35">
      <c r="B29" s="93"/>
      <c r="C29" s="38"/>
      <c r="D29" s="38"/>
      <c r="E29" s="6"/>
      <c r="F29" s="5"/>
      <c r="G29" s="5"/>
      <c r="H29" s="5"/>
      <c r="I29" s="5"/>
      <c r="J29" s="5"/>
      <c r="K29" s="5"/>
      <c r="L29" s="5"/>
      <c r="M29" s="5"/>
      <c r="N29" s="20"/>
      <c r="P29" s="288" t="s">
        <v>106</v>
      </c>
      <c r="Q29" s="287">
        <v>6.3819999999999997E-3</v>
      </c>
      <c r="R29" s="49"/>
    </row>
    <row r="30" spans="2:18" x14ac:dyDescent="0.35">
      <c r="B30" s="93"/>
      <c r="C30" s="38" t="s">
        <v>222</v>
      </c>
      <c r="D30" s="38" t="s">
        <v>221</v>
      </c>
      <c r="E30" s="6">
        <v>8.0632999999999996E-2</v>
      </c>
      <c r="F30" s="5"/>
      <c r="G30" s="5"/>
      <c r="H30" s="5"/>
      <c r="I30" s="5"/>
      <c r="J30" s="5"/>
      <c r="K30" s="5"/>
      <c r="L30" s="5"/>
      <c r="M30" s="5"/>
      <c r="N30" s="20"/>
      <c r="P30" s="288" t="s">
        <v>24</v>
      </c>
      <c r="Q30" s="287">
        <v>6.3239999999999998E-3</v>
      </c>
      <c r="R30" s="49"/>
    </row>
    <row r="31" spans="2:18" x14ac:dyDescent="0.35">
      <c r="B31" s="93"/>
      <c r="C31" s="38" t="s">
        <v>223</v>
      </c>
      <c r="D31" s="38" t="s">
        <v>221</v>
      </c>
      <c r="E31" s="6">
        <v>5.2257999999999999E-2</v>
      </c>
      <c r="F31" s="5"/>
      <c r="G31" s="5"/>
      <c r="H31" s="5"/>
      <c r="I31" s="5"/>
      <c r="J31" s="5"/>
      <c r="K31" s="5"/>
      <c r="L31" s="5"/>
      <c r="M31" s="5"/>
      <c r="N31" s="20"/>
      <c r="P31" s="288" t="s">
        <v>83</v>
      </c>
      <c r="Q31" s="287">
        <v>6.2399999999999999E-3</v>
      </c>
      <c r="R31" s="49"/>
    </row>
    <row r="32" spans="2:18" x14ac:dyDescent="0.35">
      <c r="B32" s="93"/>
      <c r="C32" s="106" t="s">
        <v>220</v>
      </c>
      <c r="D32" s="106"/>
      <c r="E32" s="178">
        <v>0.13289100000000001</v>
      </c>
      <c r="F32" s="5"/>
      <c r="G32" s="5"/>
      <c r="H32" s="5"/>
      <c r="I32" s="5"/>
      <c r="J32" s="5"/>
      <c r="K32" s="5"/>
      <c r="L32" s="5"/>
      <c r="M32" s="5"/>
      <c r="N32" s="20"/>
      <c r="P32" s="288" t="s">
        <v>117</v>
      </c>
      <c r="Q32" s="287">
        <v>5.9360000000000003E-3</v>
      </c>
      <c r="R32" s="49"/>
    </row>
    <row r="33" spans="1:18" x14ac:dyDescent="0.35">
      <c r="B33" s="93"/>
      <c r="C33" s="38"/>
      <c r="D33" s="4"/>
      <c r="E33" s="189"/>
      <c r="F33" s="5"/>
      <c r="G33" s="5"/>
      <c r="H33" s="5"/>
      <c r="I33" s="5"/>
      <c r="J33" s="5"/>
      <c r="K33" s="5"/>
      <c r="L33" s="5"/>
      <c r="M33" s="5"/>
      <c r="N33" s="20"/>
      <c r="P33" s="288" t="s">
        <v>104</v>
      </c>
      <c r="Q33" s="287">
        <v>5.195E-3</v>
      </c>
      <c r="R33" s="49"/>
    </row>
    <row r="34" spans="1:18" x14ac:dyDescent="0.35">
      <c r="B34" s="93"/>
      <c r="C34" s="38" t="s">
        <v>215</v>
      </c>
      <c r="D34" s="4" t="s">
        <v>61</v>
      </c>
      <c r="E34" s="189">
        <v>8.0810000000000007E-2</v>
      </c>
      <c r="F34" s="5"/>
      <c r="G34" s="5"/>
      <c r="H34" s="5"/>
      <c r="I34" s="5"/>
      <c r="J34" s="5"/>
      <c r="K34" s="5"/>
      <c r="L34" s="5"/>
      <c r="M34" s="5"/>
      <c r="N34" s="20"/>
      <c r="P34" s="288" t="s">
        <v>122</v>
      </c>
      <c r="Q34" s="287">
        <v>4.901E-3</v>
      </c>
      <c r="R34" s="49"/>
    </row>
    <row r="35" spans="1:18" x14ac:dyDescent="0.35">
      <c r="B35" s="93"/>
      <c r="C35" s="106" t="s">
        <v>42</v>
      </c>
      <c r="D35" s="106"/>
      <c r="E35" s="107">
        <v>8.0810000000000007E-2</v>
      </c>
      <c r="F35" s="5"/>
      <c r="G35" s="5"/>
      <c r="H35" s="5"/>
      <c r="I35" s="5"/>
      <c r="J35" s="5"/>
      <c r="K35" s="5"/>
      <c r="L35" s="5"/>
      <c r="M35" s="5"/>
      <c r="N35" s="20"/>
      <c r="P35" s="288" t="s">
        <v>144</v>
      </c>
      <c r="Q35" s="287">
        <v>4.829E-3</v>
      </c>
      <c r="R35" s="49"/>
    </row>
    <row r="36" spans="1:18" x14ac:dyDescent="0.35">
      <c r="B36" s="93"/>
      <c r="C36" s="111"/>
      <c r="D36" s="111"/>
      <c r="E36" s="112"/>
      <c r="F36" s="5"/>
      <c r="G36" s="5"/>
      <c r="H36" s="5"/>
      <c r="I36" s="5"/>
      <c r="J36" s="5"/>
      <c r="K36" s="5"/>
      <c r="L36" s="5"/>
      <c r="M36" s="5"/>
      <c r="N36" s="20"/>
      <c r="P36" s="288" t="s">
        <v>125</v>
      </c>
      <c r="Q36" s="287">
        <v>4.8170000000000001E-3</v>
      </c>
      <c r="R36" s="49"/>
    </row>
    <row r="37" spans="1:18" x14ac:dyDescent="0.35">
      <c r="B37" s="93"/>
      <c r="C37" s="38" t="s">
        <v>219</v>
      </c>
      <c r="D37" s="38" t="s">
        <v>221</v>
      </c>
      <c r="E37" s="189">
        <v>9.0870000000000006E-2</v>
      </c>
      <c r="F37" s="5"/>
      <c r="G37" s="5"/>
      <c r="H37" s="5"/>
      <c r="I37" s="5"/>
      <c r="J37" s="5"/>
      <c r="K37" s="5"/>
      <c r="L37" s="5"/>
      <c r="M37" s="5"/>
      <c r="N37" s="20"/>
      <c r="P37" s="288" t="s">
        <v>10</v>
      </c>
      <c r="Q37" s="287">
        <v>4.6889999999999996E-3</v>
      </c>
      <c r="R37" s="49"/>
    </row>
    <row r="38" spans="1:18" x14ac:dyDescent="0.35">
      <c r="B38" s="93"/>
      <c r="C38" s="106" t="s">
        <v>218</v>
      </c>
      <c r="D38" s="106"/>
      <c r="E38" s="107">
        <v>9.0870000000000006E-2</v>
      </c>
      <c r="F38" s="5"/>
      <c r="G38" s="5"/>
      <c r="H38" s="5"/>
      <c r="I38" s="5"/>
      <c r="J38" s="5"/>
      <c r="K38" s="5"/>
      <c r="L38" s="5"/>
      <c r="M38" s="5"/>
      <c r="N38" s="20"/>
      <c r="P38" s="288" t="s">
        <v>135</v>
      </c>
      <c r="Q38" s="287">
        <v>3.6900000000000001E-3</v>
      </c>
      <c r="R38" s="49"/>
    </row>
    <row r="39" spans="1:18" x14ac:dyDescent="0.35">
      <c r="B39" s="93"/>
      <c r="C39" s="111"/>
      <c r="D39" s="111"/>
      <c r="E39" s="112"/>
      <c r="F39" s="5"/>
      <c r="G39" s="5"/>
      <c r="H39" s="5"/>
      <c r="I39" s="5"/>
      <c r="J39" s="5"/>
      <c r="K39" s="5"/>
      <c r="L39" s="5"/>
      <c r="M39" s="5"/>
      <c r="N39" s="20"/>
      <c r="P39" s="288" t="s">
        <v>112</v>
      </c>
      <c r="Q39" s="287">
        <v>3.4129999999999998E-3</v>
      </c>
      <c r="R39" s="49"/>
    </row>
    <row r="40" spans="1:18" x14ac:dyDescent="0.35">
      <c r="B40" s="93"/>
      <c r="C40" s="106" t="s">
        <v>20</v>
      </c>
      <c r="D40" s="106"/>
      <c r="E40" s="107">
        <v>2.6293E-2</v>
      </c>
      <c r="F40" s="5"/>
      <c r="G40" s="5"/>
      <c r="H40" s="5"/>
      <c r="I40" s="5"/>
      <c r="J40" s="5"/>
      <c r="K40" s="5"/>
      <c r="L40" s="5"/>
      <c r="M40" s="5"/>
      <c r="N40" s="20"/>
      <c r="P40" s="288" t="s">
        <v>131</v>
      </c>
      <c r="Q40" s="287">
        <v>3.3609999999999998E-3</v>
      </c>
      <c r="R40" s="49"/>
    </row>
    <row r="41" spans="1:18" x14ac:dyDescent="0.35">
      <c r="B41" s="93"/>
      <c r="C41" s="4"/>
      <c r="D41" s="4"/>
      <c r="E41" s="32"/>
      <c r="F41" s="5"/>
      <c r="G41" s="5"/>
      <c r="H41" s="5"/>
      <c r="I41" s="5"/>
      <c r="J41" s="5"/>
      <c r="K41" s="5"/>
      <c r="L41" s="5"/>
      <c r="M41" s="5"/>
      <c r="N41" s="20"/>
      <c r="P41" s="288" t="s">
        <v>321</v>
      </c>
      <c r="Q41" s="287">
        <v>3.1900000000000001E-3</v>
      </c>
      <c r="R41" s="49"/>
    </row>
    <row r="42" spans="1:18" s="48" customFormat="1" x14ac:dyDescent="0.35">
      <c r="B42" s="108"/>
      <c r="C42" s="113" t="s">
        <v>21</v>
      </c>
      <c r="D42" s="113"/>
      <c r="E42" s="114">
        <f>E40+E38+E35+E32+E28+E26+E24</f>
        <v>1</v>
      </c>
      <c r="F42" s="41"/>
      <c r="G42" s="5"/>
      <c r="H42" s="5"/>
      <c r="I42" s="5"/>
      <c r="J42" s="5"/>
      <c r="K42" s="5"/>
      <c r="L42" s="41"/>
      <c r="M42" s="41"/>
      <c r="N42" s="109"/>
      <c r="P42" s="288" t="s">
        <v>25</v>
      </c>
      <c r="Q42" s="287">
        <v>2.9350000000000001E-3</v>
      </c>
      <c r="R42" s="110"/>
    </row>
    <row r="43" spans="1:18" x14ac:dyDescent="0.35">
      <c r="B43" s="93"/>
      <c r="F43" s="5"/>
      <c r="G43" s="5"/>
      <c r="H43" s="5"/>
      <c r="I43" s="5"/>
      <c r="J43" s="5"/>
      <c r="K43" s="5"/>
      <c r="L43" s="5"/>
      <c r="M43" s="5"/>
      <c r="N43" s="20"/>
      <c r="P43" s="288" t="s">
        <v>120</v>
      </c>
      <c r="Q43" s="287">
        <v>2.712E-3</v>
      </c>
      <c r="R43" s="49"/>
    </row>
    <row r="44" spans="1:18" x14ac:dyDescent="0.35">
      <c r="A44" s="5"/>
      <c r="B44" s="93"/>
      <c r="F44" s="5"/>
      <c r="G44" s="5"/>
      <c r="H44" s="5"/>
      <c r="I44" s="5"/>
      <c r="J44" s="5"/>
      <c r="K44" s="5"/>
      <c r="L44" s="5"/>
      <c r="M44" s="5"/>
      <c r="N44" s="20"/>
      <c r="O44" s="5"/>
      <c r="P44" s="288" t="s">
        <v>380</v>
      </c>
      <c r="Q44" s="287">
        <v>1.322E-3</v>
      </c>
      <c r="R44" s="49"/>
    </row>
    <row r="45" spans="1:18" ht="16" thickBot="1" x14ac:dyDescent="0.4">
      <c r="A45" s="5"/>
      <c r="B45" s="96"/>
      <c r="C45" s="45"/>
      <c r="D45" s="45"/>
      <c r="E45" s="45"/>
      <c r="F45" s="45"/>
      <c r="G45" s="45"/>
      <c r="H45" s="45"/>
      <c r="I45" s="45"/>
      <c r="J45" s="45"/>
      <c r="K45" s="45"/>
      <c r="L45" s="45"/>
      <c r="M45" s="45"/>
      <c r="N45" s="116"/>
      <c r="O45" s="5"/>
      <c r="P45" s="292" t="s">
        <v>15</v>
      </c>
      <c r="Q45" s="291">
        <v>-5.00000000000023E-6</v>
      </c>
      <c r="R45" s="49"/>
    </row>
    <row r="46" spans="1:18" x14ac:dyDescent="0.35">
      <c r="P46" s="221"/>
      <c r="Q46" s="224"/>
      <c r="R46" s="49"/>
    </row>
    <row r="47" spans="1:18" ht="15" customHeight="1" thickBot="1" x14ac:dyDescent="0.4"/>
    <row r="48" spans="1:18" ht="103.5" customHeight="1" thickBot="1" x14ac:dyDescent="0.4">
      <c r="B48" s="328" t="s">
        <v>179</v>
      </c>
      <c r="C48" s="329"/>
      <c r="D48" s="329"/>
      <c r="E48" s="329"/>
      <c r="F48" s="329"/>
      <c r="G48" s="329"/>
      <c r="H48" s="329"/>
      <c r="I48" s="329"/>
      <c r="J48" s="329"/>
      <c r="K48" s="329"/>
      <c r="L48" s="329"/>
      <c r="M48" s="329"/>
      <c r="N48" s="329"/>
      <c r="O48" s="329"/>
      <c r="P48" s="329"/>
      <c r="Q48" s="329"/>
      <c r="R48" s="330"/>
    </row>
    <row r="49" spans="18:18" x14ac:dyDescent="0.35">
      <c r="R49" s="49"/>
    </row>
    <row r="50" spans="18:18" x14ac:dyDescent="0.35">
      <c r="R50" s="49"/>
    </row>
    <row r="51" spans="18:18" x14ac:dyDescent="0.35">
      <c r="R51" s="49"/>
    </row>
    <row r="52" spans="18:18" x14ac:dyDescent="0.35">
      <c r="R52" s="49"/>
    </row>
    <row r="53" spans="18:18" x14ac:dyDescent="0.35">
      <c r="R53" s="49"/>
    </row>
    <row r="54" spans="18:18" x14ac:dyDescent="0.35">
      <c r="R54" s="49"/>
    </row>
    <row r="55" spans="18:18" x14ac:dyDescent="0.35">
      <c r="R55" s="49"/>
    </row>
    <row r="56" spans="18:18" x14ac:dyDescent="0.35">
      <c r="R56" s="49"/>
    </row>
    <row r="57" spans="18:18" x14ac:dyDescent="0.35">
      <c r="R57" s="49"/>
    </row>
    <row r="58" spans="18:18" x14ac:dyDescent="0.35">
      <c r="R58" s="49"/>
    </row>
    <row r="59" spans="18:18" x14ac:dyDescent="0.35">
      <c r="R59" s="49"/>
    </row>
    <row r="60" spans="18:18" x14ac:dyDescent="0.35">
      <c r="R60" s="49"/>
    </row>
    <row r="61" spans="18:18" x14ac:dyDescent="0.35">
      <c r="R61" s="49"/>
    </row>
    <row r="62" spans="18:18" x14ac:dyDescent="0.35">
      <c r="R62" s="49"/>
    </row>
    <row r="63" spans="18:18" x14ac:dyDescent="0.35">
      <c r="R63" s="49"/>
    </row>
    <row r="64" spans="18:18" x14ac:dyDescent="0.35">
      <c r="R64" s="49"/>
    </row>
    <row r="65" spans="18:18" x14ac:dyDescent="0.35">
      <c r="R65" s="49"/>
    </row>
    <row r="66" spans="18:18" x14ac:dyDescent="0.35">
      <c r="R66" s="49"/>
    </row>
    <row r="67" spans="18:18" x14ac:dyDescent="0.35">
      <c r="R67" s="49"/>
    </row>
    <row r="68" spans="18:18" x14ac:dyDescent="0.35">
      <c r="R68" s="49"/>
    </row>
    <row r="69" spans="18:18" x14ac:dyDescent="0.35">
      <c r="R69" s="49"/>
    </row>
    <row r="70" spans="18:18" x14ac:dyDescent="0.35">
      <c r="R70" s="49"/>
    </row>
    <row r="71" spans="18:18" x14ac:dyDescent="0.35">
      <c r="R71" s="49"/>
    </row>
    <row r="72" spans="18:18" x14ac:dyDescent="0.35">
      <c r="R72" s="49"/>
    </row>
    <row r="73" spans="18:18" x14ac:dyDescent="0.35">
      <c r="R73" s="49"/>
    </row>
    <row r="74" spans="18:18" x14ac:dyDescent="0.35">
      <c r="R74" s="49"/>
    </row>
    <row r="75" spans="18:18" x14ac:dyDescent="0.35">
      <c r="R75" s="49"/>
    </row>
    <row r="76" spans="18:18" x14ac:dyDescent="0.35">
      <c r="R76" s="49"/>
    </row>
    <row r="77" spans="18:18" x14ac:dyDescent="0.35">
      <c r="R77" s="49"/>
    </row>
    <row r="78" spans="18:18" x14ac:dyDescent="0.35">
      <c r="R78" s="49"/>
    </row>
    <row r="79" spans="18:18" x14ac:dyDescent="0.35">
      <c r="R79" s="49"/>
    </row>
    <row r="80" spans="18:18" x14ac:dyDescent="0.35">
      <c r="R80" s="49"/>
    </row>
    <row r="81" spans="18:18" x14ac:dyDescent="0.35">
      <c r="R81" s="49"/>
    </row>
    <row r="82" spans="18:18" x14ac:dyDescent="0.35">
      <c r="R82" s="49"/>
    </row>
    <row r="83" spans="18:18" x14ac:dyDescent="0.35">
      <c r="R83" s="49"/>
    </row>
    <row r="84" spans="18:18" x14ac:dyDescent="0.35">
      <c r="R84" s="49"/>
    </row>
    <row r="85" spans="18:18" x14ac:dyDescent="0.35">
      <c r="R85" s="49"/>
    </row>
    <row r="86" spans="18:18" x14ac:dyDescent="0.35">
      <c r="R86" s="49"/>
    </row>
    <row r="87" spans="18:18" x14ac:dyDescent="0.35">
      <c r="R87" s="49"/>
    </row>
    <row r="88" spans="18:18" x14ac:dyDescent="0.35">
      <c r="R88" s="49"/>
    </row>
    <row r="89" spans="18:18" x14ac:dyDescent="0.35">
      <c r="R89" s="49"/>
    </row>
    <row r="90" spans="18:18" x14ac:dyDescent="0.35">
      <c r="R90" s="49"/>
    </row>
    <row r="91" spans="18:18" x14ac:dyDescent="0.35">
      <c r="R91" s="49"/>
    </row>
    <row r="92" spans="18:18" x14ac:dyDescent="0.35">
      <c r="R92" s="49"/>
    </row>
    <row r="93" spans="18:18" x14ac:dyDescent="0.35">
      <c r="R93" s="49"/>
    </row>
    <row r="94" spans="18:18" x14ac:dyDescent="0.35">
      <c r="R94" s="49"/>
    </row>
    <row r="95" spans="18:18" x14ac:dyDescent="0.35">
      <c r="R95" s="49"/>
    </row>
    <row r="96" spans="18:18" x14ac:dyDescent="0.35">
      <c r="R96" s="49"/>
    </row>
    <row r="97" spans="18:18" x14ac:dyDescent="0.35">
      <c r="R97" s="49"/>
    </row>
    <row r="98" spans="18:18" x14ac:dyDescent="0.35">
      <c r="R98" s="49"/>
    </row>
    <row r="99" spans="18:18" x14ac:dyDescent="0.35">
      <c r="R99" s="49"/>
    </row>
    <row r="100" spans="18:18" x14ac:dyDescent="0.35">
      <c r="R100" s="49"/>
    </row>
    <row r="101" spans="18:18" x14ac:dyDescent="0.35">
      <c r="R101" s="49"/>
    </row>
    <row r="102" spans="18:18" x14ac:dyDescent="0.35">
      <c r="R102" s="49"/>
    </row>
    <row r="103" spans="18:18" x14ac:dyDescent="0.35">
      <c r="R103" s="49"/>
    </row>
    <row r="104" spans="18:18" x14ac:dyDescent="0.35">
      <c r="R104" s="49"/>
    </row>
    <row r="105" spans="18:18" x14ac:dyDescent="0.35">
      <c r="R105" s="49"/>
    </row>
    <row r="106" spans="18:18" x14ac:dyDescent="0.35">
      <c r="R106" s="49"/>
    </row>
    <row r="107" spans="18:18" x14ac:dyDescent="0.35">
      <c r="R107" s="49"/>
    </row>
    <row r="108" spans="18:18" x14ac:dyDescent="0.35">
      <c r="R108" s="49"/>
    </row>
    <row r="109" spans="18:18" x14ac:dyDescent="0.35">
      <c r="R109" s="49"/>
    </row>
    <row r="110" spans="18:18" x14ac:dyDescent="0.35">
      <c r="R110" s="49"/>
    </row>
    <row r="111" spans="18:18" x14ac:dyDescent="0.35">
      <c r="R111" s="49"/>
    </row>
    <row r="112" spans="18:18" x14ac:dyDescent="0.35">
      <c r="R112" s="49"/>
    </row>
    <row r="113" spans="18:18" x14ac:dyDescent="0.35">
      <c r="R113" s="49"/>
    </row>
    <row r="114" spans="18:18" x14ac:dyDescent="0.35">
      <c r="R114" s="49"/>
    </row>
    <row r="115" spans="18:18" x14ac:dyDescent="0.35">
      <c r="R115" s="49"/>
    </row>
    <row r="116" spans="18:18" x14ac:dyDescent="0.35">
      <c r="R116" s="49"/>
    </row>
    <row r="117" spans="18:18" x14ac:dyDescent="0.35">
      <c r="R117" s="49"/>
    </row>
    <row r="118" spans="18:18" x14ac:dyDescent="0.35">
      <c r="R118" s="49"/>
    </row>
    <row r="119" spans="18:18" x14ac:dyDescent="0.35">
      <c r="R119" s="49"/>
    </row>
    <row r="120" spans="18:18" x14ac:dyDescent="0.35">
      <c r="R120" s="49"/>
    </row>
    <row r="121" spans="18:18" x14ac:dyDescent="0.35">
      <c r="R121" s="49"/>
    </row>
    <row r="122" spans="18:18" x14ac:dyDescent="0.35">
      <c r="R122" s="49"/>
    </row>
    <row r="123" spans="18:18" x14ac:dyDescent="0.35">
      <c r="R123" s="49"/>
    </row>
    <row r="124" spans="18:18" x14ac:dyDescent="0.35">
      <c r="R124" s="49"/>
    </row>
    <row r="125" spans="18:18" x14ac:dyDescent="0.35">
      <c r="R125" s="49"/>
    </row>
    <row r="126" spans="18:18" x14ac:dyDescent="0.35">
      <c r="R126" s="49"/>
    </row>
    <row r="127" spans="18:18" x14ac:dyDescent="0.35">
      <c r="R127" s="49"/>
    </row>
    <row r="128" spans="18:18" x14ac:dyDescent="0.35">
      <c r="R128" s="49"/>
    </row>
    <row r="129" spans="18:18" x14ac:dyDescent="0.35">
      <c r="R129" s="49"/>
    </row>
    <row r="130" spans="18:18" x14ac:dyDescent="0.35">
      <c r="R130" s="49"/>
    </row>
    <row r="131" spans="18:18" x14ac:dyDescent="0.35">
      <c r="R131" s="49"/>
    </row>
    <row r="132" spans="18:18" x14ac:dyDescent="0.35">
      <c r="R132" s="49"/>
    </row>
    <row r="133" spans="18:18" x14ac:dyDescent="0.35">
      <c r="R133" s="49"/>
    </row>
    <row r="134" spans="18:18" x14ac:dyDescent="0.35">
      <c r="R134" s="49"/>
    </row>
    <row r="135" spans="18:18" x14ac:dyDescent="0.35">
      <c r="R135" s="49"/>
    </row>
    <row r="136" spans="18:18" x14ac:dyDescent="0.35">
      <c r="R136" s="49"/>
    </row>
    <row r="137" spans="18:18" x14ac:dyDescent="0.35">
      <c r="R137" s="49"/>
    </row>
    <row r="138" spans="18:18" x14ac:dyDescent="0.35">
      <c r="R138" s="49"/>
    </row>
    <row r="139" spans="18:18" x14ac:dyDescent="0.35">
      <c r="R139" s="49"/>
    </row>
    <row r="140" spans="18:18" x14ac:dyDescent="0.35">
      <c r="R140" s="49"/>
    </row>
    <row r="141" spans="18:18" x14ac:dyDescent="0.35">
      <c r="R141" s="49"/>
    </row>
    <row r="142" spans="18:18" x14ac:dyDescent="0.35">
      <c r="R142" s="49"/>
    </row>
    <row r="143" spans="18:18" x14ac:dyDescent="0.35">
      <c r="R143" s="49"/>
    </row>
    <row r="144" spans="18:18" x14ac:dyDescent="0.35">
      <c r="R144" s="49"/>
    </row>
    <row r="145" spans="18:18" x14ac:dyDescent="0.35">
      <c r="R145" s="49"/>
    </row>
    <row r="146" spans="18:18" x14ac:dyDescent="0.35">
      <c r="R146" s="49"/>
    </row>
    <row r="147" spans="18:18" x14ac:dyDescent="0.35">
      <c r="R147" s="49"/>
    </row>
    <row r="148" spans="18:18" x14ac:dyDescent="0.35">
      <c r="R148" s="49"/>
    </row>
    <row r="149" spans="18:18" x14ac:dyDescent="0.35">
      <c r="R149" s="49"/>
    </row>
    <row r="150" spans="18:18" x14ac:dyDescent="0.35">
      <c r="R150" s="49"/>
    </row>
    <row r="151" spans="18:18" x14ac:dyDescent="0.35">
      <c r="R151" s="49"/>
    </row>
    <row r="152" spans="18:18" x14ac:dyDescent="0.35">
      <c r="R152" s="49"/>
    </row>
    <row r="153" spans="18:18" x14ac:dyDescent="0.35">
      <c r="R153" s="49"/>
    </row>
    <row r="154" spans="18:18" x14ac:dyDescent="0.35">
      <c r="R154" s="49"/>
    </row>
    <row r="155" spans="18:18" x14ac:dyDescent="0.35">
      <c r="R155" s="49"/>
    </row>
    <row r="156" spans="18:18" x14ac:dyDescent="0.35">
      <c r="R156" s="49"/>
    </row>
    <row r="157" spans="18:18" x14ac:dyDescent="0.35">
      <c r="R157" s="49"/>
    </row>
    <row r="158" spans="18:18" x14ac:dyDescent="0.35">
      <c r="R158" s="49"/>
    </row>
    <row r="159" spans="18:18" x14ac:dyDescent="0.35">
      <c r="R159" s="49"/>
    </row>
    <row r="160" spans="18:18" x14ac:dyDescent="0.35">
      <c r="R160" s="49"/>
    </row>
    <row r="161" spans="18:18" x14ac:dyDescent="0.35">
      <c r="R161" s="49"/>
    </row>
    <row r="162" spans="18:18" x14ac:dyDescent="0.35">
      <c r="R162" s="49"/>
    </row>
    <row r="163" spans="18:18" x14ac:dyDescent="0.35">
      <c r="R163" s="49"/>
    </row>
    <row r="164" spans="18:18" x14ac:dyDescent="0.35">
      <c r="R164" s="49"/>
    </row>
    <row r="165" spans="18:18" x14ac:dyDescent="0.35">
      <c r="R165" s="49"/>
    </row>
    <row r="166" spans="18:18" x14ac:dyDescent="0.35">
      <c r="R166" s="49"/>
    </row>
    <row r="167" spans="18:18" x14ac:dyDescent="0.35">
      <c r="R167" s="49"/>
    </row>
    <row r="168" spans="18:18" x14ac:dyDescent="0.35">
      <c r="R168" s="49"/>
    </row>
    <row r="169" spans="18:18" x14ac:dyDescent="0.35">
      <c r="R169" s="49"/>
    </row>
    <row r="170" spans="18:18" x14ac:dyDescent="0.35">
      <c r="R170" s="49"/>
    </row>
    <row r="171" spans="18:18" x14ac:dyDescent="0.35">
      <c r="R171" s="49"/>
    </row>
    <row r="172" spans="18:18" x14ac:dyDescent="0.35">
      <c r="R172" s="49"/>
    </row>
    <row r="173" spans="18:18" x14ac:dyDescent="0.35">
      <c r="R173" s="49"/>
    </row>
    <row r="174" spans="18:18" x14ac:dyDescent="0.35">
      <c r="R174" s="49"/>
    </row>
    <row r="175" spans="18:18" x14ac:dyDescent="0.35">
      <c r="R175" s="49"/>
    </row>
    <row r="176" spans="18:18" x14ac:dyDescent="0.35">
      <c r="R176" s="49"/>
    </row>
    <row r="177" spans="18:18" x14ac:dyDescent="0.35">
      <c r="R177" s="49"/>
    </row>
    <row r="178" spans="18:18" x14ac:dyDescent="0.35">
      <c r="R178" s="49"/>
    </row>
    <row r="179" spans="18:18" x14ac:dyDescent="0.35">
      <c r="R179" s="49"/>
    </row>
    <row r="180" spans="18:18" x14ac:dyDescent="0.35">
      <c r="R180" s="49"/>
    </row>
    <row r="181" spans="18:18" x14ac:dyDescent="0.35">
      <c r="R181" s="49"/>
    </row>
    <row r="182" spans="18:18" x14ac:dyDescent="0.35">
      <c r="R182" s="49"/>
    </row>
    <row r="183" spans="18:18" x14ac:dyDescent="0.35">
      <c r="R183" s="49"/>
    </row>
    <row r="184" spans="18:18" x14ac:dyDescent="0.35">
      <c r="R184" s="49"/>
    </row>
    <row r="185" spans="18:18" x14ac:dyDescent="0.35">
      <c r="R185" s="49"/>
    </row>
    <row r="186" spans="18:18" x14ac:dyDescent="0.35">
      <c r="R186" s="49"/>
    </row>
    <row r="187" spans="18:18" x14ac:dyDescent="0.35">
      <c r="R187" s="49"/>
    </row>
    <row r="188" spans="18:18" x14ac:dyDescent="0.35">
      <c r="R188" s="49"/>
    </row>
    <row r="189" spans="18:18" x14ac:dyDescent="0.35">
      <c r="R189" s="49"/>
    </row>
    <row r="190" spans="18:18" x14ac:dyDescent="0.35">
      <c r="R190" s="49"/>
    </row>
    <row r="191" spans="18:18" x14ac:dyDescent="0.35">
      <c r="R191" s="49"/>
    </row>
    <row r="192" spans="18:18" x14ac:dyDescent="0.35">
      <c r="R192" s="49"/>
    </row>
    <row r="193" spans="18:18" x14ac:dyDescent="0.35">
      <c r="R193" s="49"/>
    </row>
    <row r="194" spans="18:18" x14ac:dyDescent="0.35">
      <c r="R194" s="49"/>
    </row>
    <row r="195" spans="18:18" x14ac:dyDescent="0.35">
      <c r="R195" s="49"/>
    </row>
    <row r="196" spans="18:18" x14ac:dyDescent="0.35">
      <c r="R196" s="49"/>
    </row>
    <row r="197" spans="18:18" x14ac:dyDescent="0.35">
      <c r="R197" s="49"/>
    </row>
    <row r="198" spans="18:18" x14ac:dyDescent="0.35">
      <c r="R198" s="49"/>
    </row>
    <row r="199" spans="18:18" x14ac:dyDescent="0.35">
      <c r="R199" s="49"/>
    </row>
    <row r="200" spans="18:18" x14ac:dyDescent="0.35">
      <c r="R200" s="49"/>
    </row>
    <row r="201" spans="18:18" x14ac:dyDescent="0.35">
      <c r="R201" s="49"/>
    </row>
    <row r="202" spans="18:18" x14ac:dyDescent="0.35">
      <c r="R202" s="49"/>
    </row>
    <row r="203" spans="18:18" x14ac:dyDescent="0.35">
      <c r="R203" s="49"/>
    </row>
    <row r="204" spans="18:18" x14ac:dyDescent="0.35">
      <c r="R204" s="49"/>
    </row>
    <row r="205" spans="18:18" x14ac:dyDescent="0.35">
      <c r="R205" s="49"/>
    </row>
    <row r="206" spans="18:18" x14ac:dyDescent="0.35">
      <c r="R206" s="49"/>
    </row>
    <row r="207" spans="18:18" x14ac:dyDescent="0.35">
      <c r="R207" s="49"/>
    </row>
    <row r="208" spans="18:18" x14ac:dyDescent="0.35">
      <c r="R208" s="49"/>
    </row>
    <row r="209" spans="18:18" x14ac:dyDescent="0.35">
      <c r="R209" s="49"/>
    </row>
    <row r="210" spans="18:18" x14ac:dyDescent="0.35">
      <c r="R210" s="49"/>
    </row>
    <row r="211" spans="18:18" x14ac:dyDescent="0.35">
      <c r="R211" s="49"/>
    </row>
    <row r="212" spans="18:18" x14ac:dyDescent="0.35">
      <c r="R212" s="49"/>
    </row>
    <row r="213" spans="18:18" x14ac:dyDescent="0.35">
      <c r="R213" s="49"/>
    </row>
    <row r="214" spans="18:18" x14ac:dyDescent="0.35">
      <c r="R214" s="49"/>
    </row>
    <row r="215" spans="18:18" x14ac:dyDescent="0.35">
      <c r="R215" s="49"/>
    </row>
    <row r="216" spans="18:18" x14ac:dyDescent="0.35">
      <c r="R216" s="49"/>
    </row>
    <row r="217" spans="18:18" x14ac:dyDescent="0.35">
      <c r="R217" s="49"/>
    </row>
    <row r="218" spans="18:18" x14ac:dyDescent="0.35">
      <c r="R218" s="49"/>
    </row>
    <row r="219" spans="18:18" x14ac:dyDescent="0.35">
      <c r="R219" s="49"/>
    </row>
    <row r="220" spans="18:18" x14ac:dyDescent="0.35">
      <c r="R220" s="49"/>
    </row>
    <row r="221" spans="18:18" x14ac:dyDescent="0.35">
      <c r="R221" s="49"/>
    </row>
    <row r="222" spans="18:18" x14ac:dyDescent="0.35">
      <c r="R222" s="49"/>
    </row>
    <row r="223" spans="18:18" x14ac:dyDescent="0.35">
      <c r="R223" s="49"/>
    </row>
    <row r="224" spans="18:18" x14ac:dyDescent="0.35">
      <c r="R224" s="49"/>
    </row>
    <row r="225" spans="18:18" x14ac:dyDescent="0.35">
      <c r="R225" s="49"/>
    </row>
    <row r="226" spans="18:18" x14ac:dyDescent="0.35">
      <c r="R226" s="49"/>
    </row>
    <row r="227" spans="18:18" x14ac:dyDescent="0.35">
      <c r="R227" s="49"/>
    </row>
    <row r="228" spans="18:18" x14ac:dyDescent="0.35">
      <c r="R228" s="49"/>
    </row>
    <row r="229" spans="18:18" x14ac:dyDescent="0.35">
      <c r="R229" s="49"/>
    </row>
    <row r="230" spans="18:18" x14ac:dyDescent="0.35">
      <c r="R230" s="49"/>
    </row>
    <row r="231" spans="18:18" x14ac:dyDescent="0.35">
      <c r="R231" s="49"/>
    </row>
    <row r="232" spans="18:18" x14ac:dyDescent="0.35">
      <c r="R232" s="49"/>
    </row>
    <row r="233" spans="18:18" x14ac:dyDescent="0.35">
      <c r="R233" s="49"/>
    </row>
    <row r="234" spans="18:18" x14ac:dyDescent="0.35">
      <c r="R234" s="49"/>
    </row>
    <row r="235" spans="18:18" x14ac:dyDescent="0.35">
      <c r="R235" s="49"/>
    </row>
    <row r="236" spans="18:18" x14ac:dyDescent="0.35">
      <c r="R236" s="49"/>
    </row>
    <row r="237" spans="18:18" x14ac:dyDescent="0.35">
      <c r="R237" s="49"/>
    </row>
    <row r="238" spans="18:18" x14ac:dyDescent="0.35">
      <c r="R238" s="49"/>
    </row>
    <row r="239" spans="18:18" x14ac:dyDescent="0.35">
      <c r="R239" s="49"/>
    </row>
    <row r="240" spans="18:18" x14ac:dyDescent="0.35">
      <c r="R240" s="49"/>
    </row>
    <row r="241" spans="18:18" x14ac:dyDescent="0.35">
      <c r="R241" s="49"/>
    </row>
    <row r="242" spans="18:18" x14ac:dyDescent="0.35">
      <c r="R242" s="49"/>
    </row>
    <row r="243" spans="18:18" x14ac:dyDescent="0.35">
      <c r="R243" s="49"/>
    </row>
    <row r="244" spans="18:18" x14ac:dyDescent="0.35">
      <c r="R244" s="49"/>
    </row>
    <row r="245" spans="18:18" x14ac:dyDescent="0.35">
      <c r="R245" s="49"/>
    </row>
    <row r="246" spans="18:18" x14ac:dyDescent="0.35">
      <c r="R246" s="49"/>
    </row>
    <row r="247" spans="18:18" x14ac:dyDescent="0.35">
      <c r="R247" s="49"/>
    </row>
    <row r="248" spans="18:18" x14ac:dyDescent="0.35">
      <c r="R248" s="49"/>
    </row>
    <row r="249" spans="18:18" x14ac:dyDescent="0.35">
      <c r="R249" s="49"/>
    </row>
    <row r="250" spans="18:18" x14ac:dyDescent="0.35">
      <c r="R250" s="49"/>
    </row>
    <row r="251" spans="18:18" x14ac:dyDescent="0.35">
      <c r="R251" s="49"/>
    </row>
    <row r="252" spans="18:18" x14ac:dyDescent="0.35">
      <c r="R252" s="49"/>
    </row>
    <row r="253" spans="18:18" x14ac:dyDescent="0.35">
      <c r="R253" s="49"/>
    </row>
    <row r="254" spans="18:18" x14ac:dyDescent="0.35">
      <c r="R254" s="49"/>
    </row>
    <row r="255" spans="18:18" x14ac:dyDescent="0.35">
      <c r="R255" s="49"/>
    </row>
    <row r="256" spans="18:18" x14ac:dyDescent="0.35">
      <c r="R256" s="49"/>
    </row>
    <row r="257" spans="18:18" x14ac:dyDescent="0.35">
      <c r="R257" s="49"/>
    </row>
    <row r="258" spans="18:18" x14ac:dyDescent="0.35">
      <c r="R258" s="49"/>
    </row>
    <row r="259" spans="18:18" x14ac:dyDescent="0.35">
      <c r="R259" s="49"/>
    </row>
    <row r="260" spans="18:18" x14ac:dyDescent="0.35">
      <c r="R260" s="49"/>
    </row>
    <row r="261" spans="18:18" x14ac:dyDescent="0.35">
      <c r="R261" s="49"/>
    </row>
    <row r="262" spans="18:18" x14ac:dyDescent="0.35">
      <c r="R262" s="49"/>
    </row>
    <row r="263" spans="18:18" x14ac:dyDescent="0.35">
      <c r="R263" s="49"/>
    </row>
    <row r="264" spans="18:18" x14ac:dyDescent="0.35">
      <c r="R264" s="49"/>
    </row>
    <row r="265" spans="18:18" x14ac:dyDescent="0.35">
      <c r="R265" s="49"/>
    </row>
    <row r="266" spans="18:18" x14ac:dyDescent="0.35">
      <c r="R266" s="49"/>
    </row>
    <row r="267" spans="18:18" x14ac:dyDescent="0.35">
      <c r="R267" s="49"/>
    </row>
    <row r="268" spans="18:18" x14ac:dyDescent="0.35">
      <c r="R268" s="49"/>
    </row>
    <row r="269" spans="18:18" x14ac:dyDescent="0.35">
      <c r="R269" s="49"/>
    </row>
    <row r="270" spans="18:18" x14ac:dyDescent="0.35">
      <c r="R270" s="49"/>
    </row>
    <row r="271" spans="18:18" x14ac:dyDescent="0.35">
      <c r="R271" s="49"/>
    </row>
    <row r="272" spans="18:18" x14ac:dyDescent="0.35">
      <c r="R272" s="49"/>
    </row>
    <row r="273" spans="18:18" x14ac:dyDescent="0.35">
      <c r="R273" s="49"/>
    </row>
    <row r="274" spans="18:18" x14ac:dyDescent="0.35">
      <c r="R274" s="49"/>
    </row>
    <row r="275" spans="18:18" x14ac:dyDescent="0.35">
      <c r="R275" s="49"/>
    </row>
    <row r="276" spans="18:18" x14ac:dyDescent="0.35">
      <c r="R276" s="49"/>
    </row>
    <row r="277" spans="18:18" x14ac:dyDescent="0.35">
      <c r="R277" s="49"/>
    </row>
    <row r="278" spans="18:18" x14ac:dyDescent="0.35">
      <c r="R278" s="49"/>
    </row>
    <row r="279" spans="18:18" x14ac:dyDescent="0.35">
      <c r="R279" s="49"/>
    </row>
    <row r="280" spans="18:18" x14ac:dyDescent="0.35">
      <c r="R280" s="49"/>
    </row>
    <row r="281" spans="18:18" x14ac:dyDescent="0.35">
      <c r="R281" s="49"/>
    </row>
    <row r="282" spans="18:18" x14ac:dyDescent="0.35">
      <c r="R282" s="49"/>
    </row>
    <row r="283" spans="18:18" x14ac:dyDescent="0.35">
      <c r="R283" s="49"/>
    </row>
    <row r="284" spans="18:18" x14ac:dyDescent="0.35">
      <c r="R284" s="49"/>
    </row>
    <row r="285" spans="18:18" x14ac:dyDescent="0.35">
      <c r="R285" s="49"/>
    </row>
    <row r="286" spans="18:18" x14ac:dyDescent="0.35">
      <c r="R286" s="49"/>
    </row>
    <row r="287" spans="18:18" x14ac:dyDescent="0.35">
      <c r="R287" s="49"/>
    </row>
    <row r="288" spans="18:18" x14ac:dyDescent="0.35">
      <c r="R288" s="49"/>
    </row>
    <row r="289" spans="18:18" x14ac:dyDescent="0.35">
      <c r="R289" s="49"/>
    </row>
    <row r="290" spans="18:18" x14ac:dyDescent="0.35">
      <c r="R290" s="49"/>
    </row>
    <row r="291" spans="18:18" x14ac:dyDescent="0.35">
      <c r="R291" s="49"/>
    </row>
    <row r="292" spans="18:18" x14ac:dyDescent="0.35">
      <c r="R292" s="49"/>
    </row>
    <row r="293" spans="18:18" x14ac:dyDescent="0.35">
      <c r="R293" s="49"/>
    </row>
    <row r="294" spans="18:18" x14ac:dyDescent="0.35">
      <c r="R294" s="49"/>
    </row>
    <row r="295" spans="18:18" x14ac:dyDescent="0.35">
      <c r="R295" s="49"/>
    </row>
    <row r="296" spans="18:18" x14ac:dyDescent="0.35">
      <c r="R296" s="49"/>
    </row>
    <row r="297" spans="18:18" x14ac:dyDescent="0.35">
      <c r="R297" s="49"/>
    </row>
    <row r="298" spans="18:18" x14ac:dyDescent="0.35">
      <c r="R298" s="49"/>
    </row>
    <row r="299" spans="18:18" x14ac:dyDescent="0.35">
      <c r="R299" s="49"/>
    </row>
    <row r="300" spans="18:18" x14ac:dyDescent="0.35">
      <c r="R300" s="49"/>
    </row>
    <row r="301" spans="18:18" x14ac:dyDescent="0.35">
      <c r="R301" s="49"/>
    </row>
    <row r="302" spans="18:18" x14ac:dyDescent="0.35">
      <c r="R302" s="49"/>
    </row>
    <row r="303" spans="18:18" x14ac:dyDescent="0.35">
      <c r="R303" s="49"/>
    </row>
    <row r="304" spans="18:18" x14ac:dyDescent="0.35">
      <c r="R304" s="49"/>
    </row>
    <row r="305" spans="18:18" x14ac:dyDescent="0.35">
      <c r="R305" s="49"/>
    </row>
    <row r="306" spans="18:18" x14ac:dyDescent="0.35">
      <c r="R306" s="49"/>
    </row>
    <row r="307" spans="18:18" x14ac:dyDescent="0.35">
      <c r="R307" s="49"/>
    </row>
    <row r="308" spans="18:18" x14ac:dyDescent="0.35">
      <c r="R308" s="49"/>
    </row>
    <row r="309" spans="18:18" x14ac:dyDescent="0.35">
      <c r="R309" s="49"/>
    </row>
    <row r="310" spans="18:18" x14ac:dyDescent="0.35">
      <c r="R310" s="49"/>
    </row>
    <row r="311" spans="18:18" x14ac:dyDescent="0.35">
      <c r="R311" s="49"/>
    </row>
    <row r="312" spans="18:18" x14ac:dyDescent="0.35">
      <c r="R312" s="49"/>
    </row>
    <row r="313" spans="18:18" x14ac:dyDescent="0.35">
      <c r="R313" s="49"/>
    </row>
    <row r="314" spans="18:18" x14ac:dyDescent="0.35">
      <c r="R314" s="49"/>
    </row>
    <row r="315" spans="18:18" x14ac:dyDescent="0.35">
      <c r="R315" s="49"/>
    </row>
    <row r="316" spans="18:18" x14ac:dyDescent="0.35">
      <c r="R316" s="49"/>
    </row>
    <row r="317" spans="18:18" x14ac:dyDescent="0.35">
      <c r="R317" s="49"/>
    </row>
    <row r="318" spans="18:18" x14ac:dyDescent="0.35">
      <c r="R318" s="49"/>
    </row>
    <row r="319" spans="18:18" x14ac:dyDescent="0.35">
      <c r="R319" s="49"/>
    </row>
    <row r="320" spans="18:18" x14ac:dyDescent="0.35">
      <c r="R320" s="49"/>
    </row>
    <row r="321" spans="18:18" x14ac:dyDescent="0.35">
      <c r="R321" s="49"/>
    </row>
    <row r="322" spans="18:18" x14ac:dyDescent="0.35">
      <c r="R322" s="49"/>
    </row>
    <row r="323" spans="18:18" x14ac:dyDescent="0.35">
      <c r="R323" s="49"/>
    </row>
    <row r="324" spans="18:18" x14ac:dyDescent="0.35">
      <c r="R324" s="49"/>
    </row>
    <row r="325" spans="18:18" x14ac:dyDescent="0.35">
      <c r="R325" s="49"/>
    </row>
    <row r="326" spans="18:18" x14ac:dyDescent="0.35">
      <c r="R326" s="49"/>
    </row>
    <row r="327" spans="18:18" x14ac:dyDescent="0.35">
      <c r="R327" s="49"/>
    </row>
    <row r="328" spans="18:18" x14ac:dyDescent="0.35">
      <c r="R328" s="49"/>
    </row>
    <row r="329" spans="18:18" x14ac:dyDescent="0.35">
      <c r="R329" s="49"/>
    </row>
    <row r="330" spans="18:18" x14ac:dyDescent="0.35">
      <c r="R330" s="49"/>
    </row>
    <row r="331" spans="18:18" x14ac:dyDescent="0.35">
      <c r="R331" s="49"/>
    </row>
    <row r="332" spans="18:18" x14ac:dyDescent="0.35">
      <c r="R332" s="49"/>
    </row>
    <row r="333" spans="18:18" x14ac:dyDescent="0.35">
      <c r="R333" s="49"/>
    </row>
    <row r="334" spans="18:18" x14ac:dyDescent="0.35">
      <c r="R334" s="49"/>
    </row>
    <row r="335" spans="18:18" x14ac:dyDescent="0.35">
      <c r="R335" s="49"/>
    </row>
    <row r="336" spans="18:18" x14ac:dyDescent="0.35">
      <c r="R336" s="49"/>
    </row>
    <row r="337" spans="18:18" x14ac:dyDescent="0.35">
      <c r="R337" s="49"/>
    </row>
    <row r="338" spans="18:18" x14ac:dyDescent="0.35">
      <c r="R338" s="49"/>
    </row>
    <row r="339" spans="18:18" x14ac:dyDescent="0.35">
      <c r="R339" s="49"/>
    </row>
    <row r="340" spans="18:18" x14ac:dyDescent="0.35">
      <c r="R340" s="49"/>
    </row>
    <row r="341" spans="18:18" x14ac:dyDescent="0.35">
      <c r="R341" s="49"/>
    </row>
    <row r="342" spans="18:18" x14ac:dyDescent="0.35">
      <c r="R342" s="49"/>
    </row>
    <row r="343" spans="18:18" x14ac:dyDescent="0.35">
      <c r="R343" s="49"/>
    </row>
    <row r="344" spans="18:18" x14ac:dyDescent="0.35">
      <c r="R344" s="49"/>
    </row>
    <row r="345" spans="18:18" x14ac:dyDescent="0.35">
      <c r="R345" s="49"/>
    </row>
    <row r="346" spans="18:18" x14ac:dyDescent="0.35">
      <c r="R346" s="49"/>
    </row>
    <row r="347" spans="18:18" x14ac:dyDescent="0.35">
      <c r="R347" s="49"/>
    </row>
    <row r="348" spans="18:18" x14ac:dyDescent="0.35">
      <c r="R348" s="49"/>
    </row>
    <row r="349" spans="18:18" x14ac:dyDescent="0.35">
      <c r="R349" s="49"/>
    </row>
    <row r="350" spans="18:18" x14ac:dyDescent="0.35">
      <c r="R350" s="49"/>
    </row>
    <row r="351" spans="18:18" x14ac:dyDescent="0.35">
      <c r="R351" s="49"/>
    </row>
    <row r="352" spans="18:18" x14ac:dyDescent="0.35">
      <c r="R352" s="49"/>
    </row>
    <row r="353" spans="18:18" x14ac:dyDescent="0.35">
      <c r="R353" s="49"/>
    </row>
    <row r="354" spans="18:18" x14ac:dyDescent="0.35">
      <c r="R354" s="49"/>
    </row>
    <row r="355" spans="18:18" x14ac:dyDescent="0.35">
      <c r="R355" s="49"/>
    </row>
    <row r="356" spans="18:18" x14ac:dyDescent="0.35">
      <c r="R356" s="49"/>
    </row>
    <row r="357" spans="18:18" x14ac:dyDescent="0.35">
      <c r="R357" s="49"/>
    </row>
    <row r="358" spans="18:18" x14ac:dyDescent="0.35">
      <c r="R358" s="49"/>
    </row>
    <row r="359" spans="18:18" x14ac:dyDescent="0.35">
      <c r="R359" s="49"/>
    </row>
    <row r="360" spans="18:18" x14ac:dyDescent="0.35">
      <c r="R360" s="49"/>
    </row>
    <row r="361" spans="18:18" x14ac:dyDescent="0.35">
      <c r="R361" s="49"/>
    </row>
    <row r="362" spans="18:18" x14ac:dyDescent="0.35">
      <c r="R362" s="49"/>
    </row>
    <row r="363" spans="18:18" x14ac:dyDescent="0.35">
      <c r="R363" s="49"/>
    </row>
    <row r="364" spans="18:18" x14ac:dyDescent="0.35">
      <c r="R364" s="49"/>
    </row>
    <row r="365" spans="18:18" x14ac:dyDescent="0.35">
      <c r="R365" s="49"/>
    </row>
    <row r="366" spans="18:18" x14ac:dyDescent="0.35">
      <c r="R366" s="49"/>
    </row>
    <row r="367" spans="18:18" x14ac:dyDescent="0.35">
      <c r="R367" s="49"/>
    </row>
    <row r="368" spans="18:18" x14ac:dyDescent="0.35">
      <c r="R368" s="49"/>
    </row>
    <row r="369" spans="18:18" x14ac:dyDescent="0.35">
      <c r="R369" s="49"/>
    </row>
    <row r="370" spans="18:18" x14ac:dyDescent="0.35">
      <c r="R370" s="49"/>
    </row>
    <row r="371" spans="18:18" x14ac:dyDescent="0.35">
      <c r="R371" s="49"/>
    </row>
    <row r="372" spans="18:18" x14ac:dyDescent="0.35">
      <c r="R372" s="49"/>
    </row>
    <row r="373" spans="18:18" x14ac:dyDescent="0.35">
      <c r="R373" s="49"/>
    </row>
    <row r="374" spans="18:18" x14ac:dyDescent="0.35">
      <c r="R374" s="49"/>
    </row>
    <row r="375" spans="18:18" x14ac:dyDescent="0.35">
      <c r="R375" s="49"/>
    </row>
    <row r="376" spans="18:18" x14ac:dyDescent="0.35">
      <c r="R376" s="49"/>
    </row>
    <row r="377" spans="18:18" x14ac:dyDescent="0.35">
      <c r="R377" s="49"/>
    </row>
    <row r="378" spans="18:18" x14ac:dyDescent="0.35">
      <c r="R378" s="49"/>
    </row>
    <row r="379" spans="18:18" x14ac:dyDescent="0.35">
      <c r="R379" s="49"/>
    </row>
    <row r="380" spans="18:18" x14ac:dyDescent="0.35">
      <c r="R380" s="49"/>
    </row>
    <row r="381" spans="18:18" x14ac:dyDescent="0.35">
      <c r="R381" s="49"/>
    </row>
    <row r="382" spans="18:18" x14ac:dyDescent="0.35">
      <c r="R382" s="49"/>
    </row>
    <row r="383" spans="18:18" x14ac:dyDescent="0.35">
      <c r="R383" s="49"/>
    </row>
    <row r="384" spans="18:18" x14ac:dyDescent="0.35">
      <c r="R384" s="49"/>
    </row>
    <row r="385" spans="18:18" x14ac:dyDescent="0.35">
      <c r="R385" s="49"/>
    </row>
    <row r="386" spans="18:18" x14ac:dyDescent="0.35">
      <c r="R386" s="49"/>
    </row>
    <row r="387" spans="18:18" x14ac:dyDescent="0.35">
      <c r="R387" s="49"/>
    </row>
    <row r="388" spans="18:18" x14ac:dyDescent="0.35">
      <c r="R388" s="49"/>
    </row>
    <row r="389" spans="18:18" x14ac:dyDescent="0.35">
      <c r="R389" s="49"/>
    </row>
    <row r="390" spans="18:18" x14ac:dyDescent="0.35">
      <c r="R390" s="49"/>
    </row>
    <row r="391" spans="18:18" x14ac:dyDescent="0.35">
      <c r="R391" s="49"/>
    </row>
    <row r="392" spans="18:18" x14ac:dyDescent="0.35">
      <c r="R392" s="49"/>
    </row>
    <row r="393" spans="18:18" x14ac:dyDescent="0.35">
      <c r="R393" s="49"/>
    </row>
    <row r="394" spans="18:18" x14ac:dyDescent="0.35">
      <c r="R394" s="49"/>
    </row>
    <row r="395" spans="18:18" x14ac:dyDescent="0.35">
      <c r="R395" s="49"/>
    </row>
    <row r="396" spans="18:18" x14ac:dyDescent="0.35">
      <c r="R396" s="49"/>
    </row>
    <row r="397" spans="18:18" x14ac:dyDescent="0.35">
      <c r="R397" s="49"/>
    </row>
    <row r="398" spans="18:18" x14ac:dyDescent="0.35">
      <c r="R398" s="49"/>
    </row>
    <row r="399" spans="18:18" x14ac:dyDescent="0.35">
      <c r="R399" s="49"/>
    </row>
    <row r="400" spans="18:18" x14ac:dyDescent="0.35">
      <c r="R400" s="49"/>
    </row>
    <row r="401" spans="18:18" x14ac:dyDescent="0.35">
      <c r="R401" s="49"/>
    </row>
    <row r="402" spans="18:18" x14ac:dyDescent="0.35">
      <c r="R402" s="49"/>
    </row>
    <row r="403" spans="18:18" x14ac:dyDescent="0.35">
      <c r="R403" s="49"/>
    </row>
    <row r="404" spans="18:18" x14ac:dyDescent="0.35">
      <c r="R404" s="49"/>
    </row>
    <row r="405" spans="18:18" x14ac:dyDescent="0.35">
      <c r="R405" s="49"/>
    </row>
    <row r="406" spans="18:18" x14ac:dyDescent="0.35">
      <c r="R406" s="49"/>
    </row>
    <row r="407" spans="18:18" x14ac:dyDescent="0.35">
      <c r="R407" s="49"/>
    </row>
    <row r="408" spans="18:18" x14ac:dyDescent="0.35">
      <c r="R408" s="49"/>
    </row>
    <row r="409" spans="18:18" x14ac:dyDescent="0.35">
      <c r="R409" s="49"/>
    </row>
    <row r="410" spans="18:18" x14ac:dyDescent="0.35">
      <c r="R410" s="49"/>
    </row>
    <row r="411" spans="18:18" x14ac:dyDescent="0.35">
      <c r="R411" s="49"/>
    </row>
    <row r="412" spans="18:18" x14ac:dyDescent="0.35">
      <c r="R412" s="49"/>
    </row>
    <row r="413" spans="18:18" x14ac:dyDescent="0.35">
      <c r="R413" s="49"/>
    </row>
    <row r="414" spans="18:18" x14ac:dyDescent="0.35">
      <c r="R414" s="49"/>
    </row>
    <row r="415" spans="18:18" x14ac:dyDescent="0.35">
      <c r="R415" s="49"/>
    </row>
    <row r="416" spans="18:18" x14ac:dyDescent="0.35">
      <c r="R416" s="49"/>
    </row>
    <row r="417" spans="18:18" x14ac:dyDescent="0.35">
      <c r="R417" s="49"/>
    </row>
    <row r="418" spans="18:18" x14ac:dyDescent="0.35">
      <c r="R418" s="49"/>
    </row>
    <row r="419" spans="18:18" x14ac:dyDescent="0.35">
      <c r="R419" s="49"/>
    </row>
    <row r="420" spans="18:18" x14ac:dyDescent="0.35">
      <c r="R420" s="49"/>
    </row>
    <row r="421" spans="18:18" x14ac:dyDescent="0.35">
      <c r="R421" s="49"/>
    </row>
    <row r="422" spans="18:18" x14ac:dyDescent="0.35">
      <c r="R422" s="49"/>
    </row>
    <row r="423" spans="18:18" x14ac:dyDescent="0.35">
      <c r="R423" s="49"/>
    </row>
    <row r="424" spans="18:18" x14ac:dyDescent="0.35">
      <c r="R424" s="49"/>
    </row>
    <row r="425" spans="18:18" x14ac:dyDescent="0.35">
      <c r="R425" s="49"/>
    </row>
    <row r="426" spans="18:18" x14ac:dyDescent="0.35">
      <c r="R426" s="49"/>
    </row>
    <row r="427" spans="18:18" x14ac:dyDescent="0.35">
      <c r="R427" s="49"/>
    </row>
    <row r="428" spans="18:18" x14ac:dyDescent="0.35">
      <c r="R428" s="49"/>
    </row>
    <row r="429" spans="18:18" x14ac:dyDescent="0.35">
      <c r="R429" s="49"/>
    </row>
    <row r="430" spans="18:18" x14ac:dyDescent="0.35">
      <c r="R430" s="49"/>
    </row>
    <row r="431" spans="18:18" x14ac:dyDescent="0.35">
      <c r="R431" s="49"/>
    </row>
    <row r="432" spans="18:18" x14ac:dyDescent="0.35">
      <c r="R432" s="49"/>
    </row>
    <row r="433" spans="18:18" x14ac:dyDescent="0.35">
      <c r="R433" s="49"/>
    </row>
    <row r="434" spans="18:18" x14ac:dyDescent="0.35">
      <c r="R434" s="49"/>
    </row>
    <row r="435" spans="18:18" x14ac:dyDescent="0.35">
      <c r="R435" s="49"/>
    </row>
    <row r="436" spans="18:18" x14ac:dyDescent="0.35">
      <c r="R436" s="49"/>
    </row>
    <row r="437" spans="18:18" x14ac:dyDescent="0.35">
      <c r="R437" s="49"/>
    </row>
    <row r="438" spans="18:18" x14ac:dyDescent="0.35">
      <c r="R438" s="49"/>
    </row>
    <row r="439" spans="18:18" x14ac:dyDescent="0.35">
      <c r="R439" s="49"/>
    </row>
    <row r="440" spans="18:18" x14ac:dyDescent="0.35">
      <c r="R440" s="49"/>
    </row>
    <row r="441" spans="18:18" x14ac:dyDescent="0.35">
      <c r="R441" s="49"/>
    </row>
    <row r="442" spans="18:18" x14ac:dyDescent="0.35">
      <c r="R442" s="49"/>
    </row>
    <row r="443" spans="18:18" x14ac:dyDescent="0.35">
      <c r="R443" s="49"/>
    </row>
    <row r="444" spans="18:18" x14ac:dyDescent="0.35">
      <c r="R444" s="49"/>
    </row>
    <row r="445" spans="18:18" x14ac:dyDescent="0.35">
      <c r="R445" s="49"/>
    </row>
    <row r="446" spans="18:18" x14ac:dyDescent="0.35">
      <c r="R446" s="49"/>
    </row>
    <row r="447" spans="18:18" x14ac:dyDescent="0.35">
      <c r="R447" s="49"/>
    </row>
    <row r="448" spans="18:18" x14ac:dyDescent="0.35">
      <c r="R448" s="49"/>
    </row>
    <row r="449" spans="18:18" x14ac:dyDescent="0.35">
      <c r="R449" s="49"/>
    </row>
    <row r="450" spans="18:18" x14ac:dyDescent="0.35">
      <c r="R450" s="49"/>
    </row>
    <row r="451" spans="18:18" x14ac:dyDescent="0.35">
      <c r="R451" s="49"/>
    </row>
    <row r="452" spans="18:18" x14ac:dyDescent="0.35">
      <c r="R452" s="49"/>
    </row>
    <row r="453" spans="18:18" x14ac:dyDescent="0.35">
      <c r="R453" s="49"/>
    </row>
    <row r="454" spans="18:18" x14ac:dyDescent="0.35">
      <c r="R454" s="49"/>
    </row>
    <row r="455" spans="18:18" x14ac:dyDescent="0.35">
      <c r="R455" s="49"/>
    </row>
    <row r="456" spans="18:18" x14ac:dyDescent="0.35">
      <c r="R456" s="49"/>
    </row>
    <row r="457" spans="18:18" x14ac:dyDescent="0.35">
      <c r="R457" s="49"/>
    </row>
    <row r="458" spans="18:18" x14ac:dyDescent="0.35">
      <c r="R458" s="49"/>
    </row>
    <row r="459" spans="18:18" x14ac:dyDescent="0.35">
      <c r="R459" s="49"/>
    </row>
    <row r="460" spans="18:18" x14ac:dyDescent="0.35">
      <c r="R460" s="49"/>
    </row>
    <row r="461" spans="18:18" x14ac:dyDescent="0.35">
      <c r="R461" s="49"/>
    </row>
    <row r="462" spans="18:18" x14ac:dyDescent="0.35">
      <c r="R462" s="49"/>
    </row>
    <row r="463" spans="18:18" x14ac:dyDescent="0.35">
      <c r="R463" s="49"/>
    </row>
    <row r="464" spans="18:18" x14ac:dyDescent="0.35">
      <c r="R464" s="49"/>
    </row>
    <row r="465" spans="18:18" x14ac:dyDescent="0.35">
      <c r="R465" s="49"/>
    </row>
    <row r="466" spans="18:18" x14ac:dyDescent="0.35">
      <c r="R466" s="49"/>
    </row>
    <row r="467" spans="18:18" x14ac:dyDescent="0.35">
      <c r="R467" s="49"/>
    </row>
    <row r="468" spans="18:18" x14ac:dyDescent="0.35">
      <c r="R468" s="49"/>
    </row>
    <row r="469" spans="18:18" x14ac:dyDescent="0.35">
      <c r="R469" s="49"/>
    </row>
    <row r="470" spans="18:18" x14ac:dyDescent="0.35">
      <c r="R470" s="49"/>
    </row>
    <row r="471" spans="18:18" x14ac:dyDescent="0.35">
      <c r="R471" s="49"/>
    </row>
    <row r="472" spans="18:18" x14ac:dyDescent="0.35">
      <c r="R472" s="49"/>
    </row>
    <row r="473" spans="18:18" x14ac:dyDescent="0.35">
      <c r="R473" s="49"/>
    </row>
    <row r="474" spans="18:18" x14ac:dyDescent="0.35">
      <c r="R474" s="49"/>
    </row>
    <row r="475" spans="18:18" x14ac:dyDescent="0.35">
      <c r="R475" s="49"/>
    </row>
    <row r="476" spans="18:18" x14ac:dyDescent="0.35">
      <c r="R476" s="49"/>
    </row>
    <row r="477" spans="18:18" x14ac:dyDescent="0.35">
      <c r="R477" s="49"/>
    </row>
    <row r="478" spans="18:18" x14ac:dyDescent="0.35">
      <c r="R478" s="49"/>
    </row>
    <row r="479" spans="18:18" x14ac:dyDescent="0.35">
      <c r="R479" s="49"/>
    </row>
    <row r="480" spans="18:18" x14ac:dyDescent="0.35">
      <c r="R480" s="49"/>
    </row>
    <row r="481" spans="18:18" x14ac:dyDescent="0.35">
      <c r="R481" s="49"/>
    </row>
    <row r="482" spans="18:18" x14ac:dyDescent="0.35">
      <c r="R482" s="49"/>
    </row>
    <row r="483" spans="18:18" x14ac:dyDescent="0.35">
      <c r="R483" s="49"/>
    </row>
    <row r="484" spans="18:18" x14ac:dyDescent="0.35">
      <c r="R484" s="49"/>
    </row>
    <row r="485" spans="18:18" x14ac:dyDescent="0.35">
      <c r="R485" s="49"/>
    </row>
    <row r="486" spans="18:18" x14ac:dyDescent="0.35">
      <c r="R486" s="49"/>
    </row>
    <row r="487" spans="18:18" x14ac:dyDescent="0.35">
      <c r="R487" s="49"/>
    </row>
    <row r="488" spans="18:18" x14ac:dyDescent="0.35">
      <c r="R488" s="49"/>
    </row>
    <row r="489" spans="18:18" x14ac:dyDescent="0.35">
      <c r="R489" s="49"/>
    </row>
    <row r="490" spans="18:18" x14ac:dyDescent="0.35">
      <c r="R490" s="49"/>
    </row>
    <row r="491" spans="18:18" x14ac:dyDescent="0.35">
      <c r="R491" s="49"/>
    </row>
    <row r="492" spans="18:18" x14ac:dyDescent="0.35">
      <c r="R492" s="49"/>
    </row>
    <row r="493" spans="18:18" x14ac:dyDescent="0.35">
      <c r="R493" s="49"/>
    </row>
    <row r="494" spans="18:18" x14ac:dyDescent="0.35">
      <c r="R494" s="49"/>
    </row>
    <row r="495" spans="18:18" x14ac:dyDescent="0.35">
      <c r="R495" s="49"/>
    </row>
    <row r="496" spans="18:18" x14ac:dyDescent="0.35">
      <c r="R496" s="49"/>
    </row>
    <row r="497" spans="18:18" x14ac:dyDescent="0.35">
      <c r="R497" s="49"/>
    </row>
    <row r="498" spans="18:18" x14ac:dyDescent="0.35">
      <c r="R498" s="49"/>
    </row>
    <row r="499" spans="18:18" x14ac:dyDescent="0.35">
      <c r="R499" s="49"/>
    </row>
    <row r="500" spans="18:18" x14ac:dyDescent="0.35">
      <c r="R500" s="49"/>
    </row>
    <row r="501" spans="18:18" x14ac:dyDescent="0.35">
      <c r="R501" s="49"/>
    </row>
    <row r="502" spans="18:18" x14ac:dyDescent="0.35">
      <c r="R502" s="49"/>
    </row>
    <row r="503" spans="18:18" x14ac:dyDescent="0.35">
      <c r="R503" s="49"/>
    </row>
    <row r="504" spans="18:18" x14ac:dyDescent="0.35">
      <c r="R504" s="49"/>
    </row>
    <row r="505" spans="18:18" x14ac:dyDescent="0.35">
      <c r="R505" s="49"/>
    </row>
    <row r="506" spans="18:18" x14ac:dyDescent="0.35">
      <c r="R506" s="49"/>
    </row>
    <row r="507" spans="18:18" x14ac:dyDescent="0.35">
      <c r="R507" s="49"/>
    </row>
    <row r="508" spans="18:18" x14ac:dyDescent="0.35">
      <c r="R508" s="49"/>
    </row>
    <row r="509" spans="18:18" x14ac:dyDescent="0.35">
      <c r="R509" s="49"/>
    </row>
    <row r="510" spans="18:18" x14ac:dyDescent="0.35">
      <c r="R510" s="49"/>
    </row>
    <row r="511" spans="18:18" x14ac:dyDescent="0.35">
      <c r="R511" s="49"/>
    </row>
    <row r="512" spans="18:18" x14ac:dyDescent="0.35">
      <c r="R512" s="49"/>
    </row>
    <row r="513" spans="18:18" x14ac:dyDescent="0.35">
      <c r="R513" s="49"/>
    </row>
    <row r="514" spans="18:18" x14ac:dyDescent="0.35">
      <c r="R514" s="49"/>
    </row>
    <row r="515" spans="18:18" x14ac:dyDescent="0.35">
      <c r="R515" s="49"/>
    </row>
    <row r="516" spans="18:18" x14ac:dyDescent="0.35">
      <c r="R516" s="49"/>
    </row>
    <row r="517" spans="18:18" x14ac:dyDescent="0.35">
      <c r="R517" s="49"/>
    </row>
    <row r="518" spans="18:18" x14ac:dyDescent="0.35">
      <c r="R518" s="49"/>
    </row>
    <row r="519" spans="18:18" x14ac:dyDescent="0.35">
      <c r="R519" s="49"/>
    </row>
    <row r="520" spans="18:18" x14ac:dyDescent="0.35">
      <c r="R520" s="49"/>
    </row>
    <row r="521" spans="18:18" x14ac:dyDescent="0.35">
      <c r="R521" s="49"/>
    </row>
    <row r="522" spans="18:18" x14ac:dyDescent="0.35">
      <c r="R522" s="49"/>
    </row>
    <row r="523" spans="18:18" x14ac:dyDescent="0.35">
      <c r="R523" s="49"/>
    </row>
    <row r="524" spans="18:18" x14ac:dyDescent="0.35">
      <c r="R524" s="49"/>
    </row>
    <row r="525" spans="18:18" x14ac:dyDescent="0.35">
      <c r="R525" s="49"/>
    </row>
    <row r="526" spans="18:18" x14ac:dyDescent="0.35">
      <c r="R526" s="49"/>
    </row>
    <row r="527" spans="18:18" x14ac:dyDescent="0.35">
      <c r="R527" s="49"/>
    </row>
    <row r="528" spans="18:18" x14ac:dyDescent="0.35">
      <c r="R528" s="49"/>
    </row>
    <row r="529" spans="18:18" x14ac:dyDescent="0.35">
      <c r="R529" s="49"/>
    </row>
    <row r="530" spans="18:18" x14ac:dyDescent="0.35">
      <c r="R530" s="49"/>
    </row>
    <row r="531" spans="18:18" x14ac:dyDescent="0.35">
      <c r="R531" s="49"/>
    </row>
    <row r="532" spans="18:18" x14ac:dyDescent="0.35">
      <c r="R532" s="49"/>
    </row>
    <row r="533" spans="18:18" x14ac:dyDescent="0.35">
      <c r="R533" s="49"/>
    </row>
    <row r="534" spans="18:18" x14ac:dyDescent="0.35">
      <c r="R534" s="49"/>
    </row>
    <row r="535" spans="18:18" x14ac:dyDescent="0.35">
      <c r="R535" s="49"/>
    </row>
    <row r="536" spans="18:18" x14ac:dyDescent="0.35">
      <c r="R536" s="49"/>
    </row>
    <row r="537" spans="18:18" x14ac:dyDescent="0.35">
      <c r="R537" s="49"/>
    </row>
    <row r="538" spans="18:18" x14ac:dyDescent="0.35">
      <c r="R538" s="49"/>
    </row>
    <row r="539" spans="18:18" x14ac:dyDescent="0.35">
      <c r="R539" s="49"/>
    </row>
    <row r="540" spans="18:18" x14ac:dyDescent="0.35">
      <c r="R540" s="49"/>
    </row>
    <row r="541" spans="18:18" x14ac:dyDescent="0.35">
      <c r="R541" s="49"/>
    </row>
    <row r="542" spans="18:18" x14ac:dyDescent="0.35">
      <c r="R542" s="49"/>
    </row>
    <row r="543" spans="18:18" x14ac:dyDescent="0.35">
      <c r="R543" s="49"/>
    </row>
    <row r="544" spans="18:18" x14ac:dyDescent="0.35">
      <c r="R544" s="49"/>
    </row>
    <row r="545" spans="18:18" x14ac:dyDescent="0.35">
      <c r="R545" s="49"/>
    </row>
    <row r="546" spans="18:18" x14ac:dyDescent="0.35">
      <c r="R546" s="49"/>
    </row>
    <row r="547" spans="18:18" x14ac:dyDescent="0.35">
      <c r="R547" s="49"/>
    </row>
    <row r="548" spans="18:18" x14ac:dyDescent="0.35">
      <c r="R548" s="49"/>
    </row>
    <row r="549" spans="18:18" x14ac:dyDescent="0.35">
      <c r="R549" s="49"/>
    </row>
    <row r="550" spans="18:18" x14ac:dyDescent="0.35">
      <c r="R550" s="49"/>
    </row>
    <row r="551" spans="18:18" x14ac:dyDescent="0.35">
      <c r="R551" s="49"/>
    </row>
    <row r="552" spans="18:18" x14ac:dyDescent="0.35">
      <c r="R552" s="49"/>
    </row>
    <row r="553" spans="18:18" x14ac:dyDescent="0.35">
      <c r="R553" s="49"/>
    </row>
    <row r="554" spans="18:18" x14ac:dyDescent="0.35">
      <c r="R554" s="49"/>
    </row>
    <row r="555" spans="18:18" x14ac:dyDescent="0.35">
      <c r="R555" s="49"/>
    </row>
    <row r="556" spans="18:18" x14ac:dyDescent="0.35">
      <c r="R556" s="49"/>
    </row>
    <row r="557" spans="18:18" x14ac:dyDescent="0.35">
      <c r="R557" s="49"/>
    </row>
    <row r="558" spans="18:18" x14ac:dyDescent="0.35">
      <c r="R558" s="49"/>
    </row>
    <row r="559" spans="18:18" x14ac:dyDescent="0.35">
      <c r="R559" s="49"/>
    </row>
    <row r="560" spans="18:18" x14ac:dyDescent="0.35">
      <c r="R560" s="49"/>
    </row>
    <row r="561" spans="18:18" x14ac:dyDescent="0.35">
      <c r="R561" s="49"/>
    </row>
    <row r="562" spans="18:18" x14ac:dyDescent="0.35">
      <c r="R562" s="49"/>
    </row>
    <row r="563" spans="18:18" x14ac:dyDescent="0.35">
      <c r="R563" s="49"/>
    </row>
    <row r="564" spans="18:18" x14ac:dyDescent="0.35">
      <c r="R564" s="49"/>
    </row>
    <row r="565" spans="18:18" x14ac:dyDescent="0.35">
      <c r="R565" s="49"/>
    </row>
    <row r="566" spans="18:18" x14ac:dyDescent="0.35">
      <c r="R566" s="49"/>
    </row>
    <row r="567" spans="18:18" x14ac:dyDescent="0.35">
      <c r="R567" s="49"/>
    </row>
    <row r="568" spans="18:18" x14ac:dyDescent="0.35">
      <c r="R568" s="49"/>
    </row>
    <row r="569" spans="18:18" x14ac:dyDescent="0.35">
      <c r="R569" s="49"/>
    </row>
    <row r="570" spans="18:18" x14ac:dyDescent="0.35">
      <c r="R570" s="49"/>
    </row>
    <row r="571" spans="18:18" x14ac:dyDescent="0.35">
      <c r="R571" s="49"/>
    </row>
    <row r="572" spans="18:18" x14ac:dyDescent="0.35">
      <c r="R572" s="49"/>
    </row>
    <row r="573" spans="18:18" x14ac:dyDescent="0.35">
      <c r="R573" s="49"/>
    </row>
    <row r="574" spans="18:18" x14ac:dyDescent="0.35">
      <c r="R574" s="49"/>
    </row>
    <row r="575" spans="18:18" x14ac:dyDescent="0.35">
      <c r="R575" s="49"/>
    </row>
    <row r="576" spans="18:18" x14ac:dyDescent="0.35">
      <c r="R576" s="49"/>
    </row>
    <row r="577" spans="18:18" x14ac:dyDescent="0.35">
      <c r="R577" s="49"/>
    </row>
    <row r="578" spans="18:18" x14ac:dyDescent="0.35">
      <c r="R578" s="49"/>
    </row>
    <row r="579" spans="18:18" x14ac:dyDescent="0.35">
      <c r="R579" s="49"/>
    </row>
    <row r="580" spans="18:18" x14ac:dyDescent="0.35">
      <c r="R580" s="49"/>
    </row>
    <row r="581" spans="18:18" x14ac:dyDescent="0.35">
      <c r="R581" s="49"/>
    </row>
    <row r="582" spans="18:18" x14ac:dyDescent="0.35">
      <c r="R582" s="49"/>
    </row>
    <row r="583" spans="18:18" x14ac:dyDescent="0.35">
      <c r="R583" s="49"/>
    </row>
    <row r="584" spans="18:18" x14ac:dyDescent="0.35">
      <c r="R584" s="49"/>
    </row>
    <row r="585" spans="18:18" x14ac:dyDescent="0.35">
      <c r="R585" s="49"/>
    </row>
    <row r="586" spans="18:18" x14ac:dyDescent="0.35">
      <c r="R586" s="49"/>
    </row>
    <row r="587" spans="18:18" x14ac:dyDescent="0.35">
      <c r="R587" s="49"/>
    </row>
    <row r="588" spans="18:18" x14ac:dyDescent="0.35">
      <c r="R588" s="49"/>
    </row>
    <row r="589" spans="18:18" x14ac:dyDescent="0.35">
      <c r="R589" s="49"/>
    </row>
    <row r="590" spans="18:18" x14ac:dyDescent="0.35">
      <c r="R590" s="49"/>
    </row>
    <row r="591" spans="18:18" x14ac:dyDescent="0.35">
      <c r="R591" s="49"/>
    </row>
    <row r="592" spans="18:18" x14ac:dyDescent="0.35">
      <c r="R592" s="49"/>
    </row>
    <row r="593" spans="18:18" x14ac:dyDescent="0.35">
      <c r="R593" s="49"/>
    </row>
    <row r="594" spans="18:18" x14ac:dyDescent="0.35">
      <c r="R594" s="49"/>
    </row>
    <row r="595" spans="18:18" x14ac:dyDescent="0.35">
      <c r="R595" s="49"/>
    </row>
    <row r="596" spans="18:18" x14ac:dyDescent="0.35">
      <c r="R596" s="49"/>
    </row>
    <row r="597" spans="18:18" x14ac:dyDescent="0.35">
      <c r="R597" s="49"/>
    </row>
    <row r="598" spans="18:18" x14ac:dyDescent="0.35">
      <c r="R598" s="49"/>
    </row>
    <row r="599" spans="18:18" x14ac:dyDescent="0.35">
      <c r="R599" s="49"/>
    </row>
    <row r="600" spans="18:18" x14ac:dyDescent="0.35">
      <c r="R600" s="49"/>
    </row>
    <row r="601" spans="18:18" x14ac:dyDescent="0.35">
      <c r="R601" s="49"/>
    </row>
    <row r="602" spans="18:18" x14ac:dyDescent="0.35">
      <c r="R602" s="49"/>
    </row>
    <row r="603" spans="18:18" x14ac:dyDescent="0.35">
      <c r="R603" s="49"/>
    </row>
    <row r="604" spans="18:18" x14ac:dyDescent="0.35">
      <c r="R604" s="49"/>
    </row>
    <row r="605" spans="18:18" x14ac:dyDescent="0.35">
      <c r="R605" s="49"/>
    </row>
    <row r="606" spans="18:18" x14ac:dyDescent="0.35">
      <c r="R606" s="49"/>
    </row>
    <row r="607" spans="18:18" x14ac:dyDescent="0.35">
      <c r="R607" s="49"/>
    </row>
    <row r="608" spans="18:18" x14ac:dyDescent="0.35">
      <c r="R608" s="49"/>
    </row>
    <row r="609" spans="18:18" x14ac:dyDescent="0.35">
      <c r="R609" s="49"/>
    </row>
    <row r="610" spans="18:18" x14ac:dyDescent="0.35">
      <c r="R610" s="49"/>
    </row>
    <row r="611" spans="18:18" x14ac:dyDescent="0.35">
      <c r="R611" s="49"/>
    </row>
    <row r="612" spans="18:18" x14ac:dyDescent="0.35">
      <c r="R612" s="49"/>
    </row>
    <row r="613" spans="18:18" x14ac:dyDescent="0.35">
      <c r="R613" s="49"/>
    </row>
    <row r="614" spans="18:18" x14ac:dyDescent="0.35">
      <c r="R614" s="49"/>
    </row>
    <row r="615" spans="18:18" x14ac:dyDescent="0.35">
      <c r="R615" s="49"/>
    </row>
    <row r="616" spans="18:18" x14ac:dyDescent="0.35">
      <c r="R616" s="49"/>
    </row>
    <row r="617" spans="18:18" x14ac:dyDescent="0.35">
      <c r="R617" s="49"/>
    </row>
    <row r="618" spans="18:18" x14ac:dyDescent="0.35">
      <c r="R618" s="49"/>
    </row>
    <row r="619" spans="18:18" x14ac:dyDescent="0.35">
      <c r="R619" s="49"/>
    </row>
    <row r="620" spans="18:18" x14ac:dyDescent="0.35">
      <c r="R620" s="49"/>
    </row>
    <row r="621" spans="18:18" x14ac:dyDescent="0.35">
      <c r="R621" s="49"/>
    </row>
    <row r="622" spans="18:18" x14ac:dyDescent="0.35">
      <c r="R622" s="49"/>
    </row>
    <row r="623" spans="18:18" x14ac:dyDescent="0.35">
      <c r="R623" s="49"/>
    </row>
    <row r="624" spans="18:18" x14ac:dyDescent="0.35">
      <c r="R624" s="49"/>
    </row>
    <row r="625" spans="18:18" x14ac:dyDescent="0.35">
      <c r="R625" s="49"/>
    </row>
    <row r="626" spans="18:18" x14ac:dyDescent="0.35">
      <c r="R626" s="49"/>
    </row>
    <row r="627" spans="18:18" x14ac:dyDescent="0.35">
      <c r="R627" s="49"/>
    </row>
    <row r="628" spans="18:18" x14ac:dyDescent="0.35">
      <c r="R628" s="49"/>
    </row>
    <row r="629" spans="18:18" x14ac:dyDescent="0.35">
      <c r="R629" s="49"/>
    </row>
    <row r="630" spans="18:18" x14ac:dyDescent="0.35">
      <c r="R630" s="49"/>
    </row>
    <row r="631" spans="18:18" x14ac:dyDescent="0.35">
      <c r="R631" s="49"/>
    </row>
    <row r="632" spans="18:18" x14ac:dyDescent="0.35">
      <c r="R632" s="49"/>
    </row>
    <row r="633" spans="18:18" x14ac:dyDescent="0.35">
      <c r="R633" s="49"/>
    </row>
    <row r="634" spans="18:18" x14ac:dyDescent="0.35">
      <c r="R634" s="49"/>
    </row>
    <row r="635" spans="18:18" x14ac:dyDescent="0.35">
      <c r="R635" s="49"/>
    </row>
    <row r="636" spans="18:18" x14ac:dyDescent="0.35">
      <c r="R636" s="49"/>
    </row>
    <row r="637" spans="18:18" x14ac:dyDescent="0.35">
      <c r="R637" s="49"/>
    </row>
    <row r="638" spans="18:18" x14ac:dyDescent="0.35">
      <c r="R638" s="49"/>
    </row>
    <row r="639" spans="18:18" x14ac:dyDescent="0.35">
      <c r="R639" s="49"/>
    </row>
    <row r="640" spans="18:18" x14ac:dyDescent="0.35">
      <c r="R640" s="49"/>
    </row>
    <row r="641" spans="18:18" x14ac:dyDescent="0.35">
      <c r="R641" s="49"/>
    </row>
    <row r="642" spans="18:18" x14ac:dyDescent="0.35">
      <c r="R642" s="49"/>
    </row>
    <row r="643" spans="18:18" x14ac:dyDescent="0.35">
      <c r="R643" s="49"/>
    </row>
    <row r="644" spans="18:18" x14ac:dyDescent="0.35">
      <c r="R644" s="49"/>
    </row>
    <row r="645" spans="18:18" x14ac:dyDescent="0.35">
      <c r="R645" s="49"/>
    </row>
    <row r="646" spans="18:18" x14ac:dyDescent="0.35">
      <c r="R646" s="49"/>
    </row>
    <row r="647" spans="18:18" x14ac:dyDescent="0.35">
      <c r="R647" s="49"/>
    </row>
    <row r="648" spans="18:18" x14ac:dyDescent="0.35">
      <c r="R648" s="49"/>
    </row>
    <row r="649" spans="18:18" x14ac:dyDescent="0.35">
      <c r="R649" s="49"/>
    </row>
    <row r="650" spans="18:18" x14ac:dyDescent="0.35">
      <c r="R650" s="49"/>
    </row>
    <row r="651" spans="18:18" x14ac:dyDescent="0.35">
      <c r="R651" s="49"/>
    </row>
    <row r="652" spans="18:18" x14ac:dyDescent="0.35">
      <c r="R652" s="49"/>
    </row>
    <row r="653" spans="18:18" x14ac:dyDescent="0.35">
      <c r="R653" s="49"/>
    </row>
    <row r="654" spans="18:18" x14ac:dyDescent="0.35">
      <c r="R654" s="49"/>
    </row>
  </sheetData>
  <sortState ref="P8:Q43">
    <sortCondition descending="1" ref="Q43"/>
  </sortState>
  <mergeCells count="3">
    <mergeCell ref="C3:N3"/>
    <mergeCell ref="D5:E5"/>
    <mergeCell ref="B48:R48"/>
  </mergeCells>
  <pageMargins left="0.7" right="0.7" top="0.75" bottom="0.75" header="0.3" footer="0.3"/>
  <pageSetup paperSize="9" scale="49" orientation="landscape" r:id="rId1"/>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3">
    <pageSetUpPr fitToPage="1"/>
  </sheetPr>
  <dimension ref="B1:R702"/>
  <sheetViews>
    <sheetView showGridLines="0" zoomScale="75" zoomScaleNormal="75" workbookViewId="0"/>
  </sheetViews>
  <sheetFormatPr defaultColWidth="9.1796875" defaultRowHeight="15.5" x14ac:dyDescent="0.35"/>
  <cols>
    <col min="1" max="1" width="2.81640625" style="3" customWidth="1"/>
    <col min="2" max="2" width="3.81640625" style="3" customWidth="1"/>
    <col min="3" max="3" width="59.1796875" style="3" bestFit="1" customWidth="1"/>
    <col min="4" max="4" width="15.453125" style="3" bestFit="1" customWidth="1"/>
    <col min="5" max="5" width="9.1796875" style="3"/>
    <col min="6" max="6" width="10.7265625" style="3" customWidth="1"/>
    <col min="7" max="7" width="10.54296875" style="3" bestFit="1" customWidth="1"/>
    <col min="8" max="9" width="9.1796875" style="3"/>
    <col min="10" max="11" width="16.453125" style="3" customWidth="1"/>
    <col min="12" max="12" width="9.1796875" style="3"/>
    <col min="13" max="13" width="2" style="3" customWidth="1"/>
    <col min="14" max="15" width="9.1796875" style="3"/>
    <col min="16" max="16" width="9.81640625" style="3" customWidth="1"/>
    <col min="17" max="18" width="9.26953125" style="3" bestFit="1" customWidth="1"/>
    <col min="19" max="16384" width="9.1796875" style="3"/>
  </cols>
  <sheetData>
    <row r="1" spans="2:16" ht="16" thickBot="1" x14ac:dyDescent="0.4"/>
    <row r="2" spans="2:16" x14ac:dyDescent="0.35">
      <c r="B2" s="91"/>
      <c r="C2" s="42"/>
      <c r="D2" s="42"/>
      <c r="E2" s="42"/>
      <c r="F2" s="42"/>
      <c r="G2" s="42"/>
      <c r="H2" s="42"/>
      <c r="I2" s="42"/>
      <c r="J2" s="42"/>
      <c r="K2" s="42"/>
      <c r="L2" s="42"/>
      <c r="M2" s="92"/>
    </row>
    <row r="3" spans="2:16" ht="20.25" customHeight="1" x14ac:dyDescent="0.35">
      <c r="B3" s="93"/>
      <c r="C3" s="297" t="s">
        <v>156</v>
      </c>
      <c r="D3" s="297"/>
      <c r="E3" s="297"/>
      <c r="F3" s="297"/>
      <c r="G3" s="297"/>
      <c r="H3" s="297"/>
      <c r="I3" s="297"/>
      <c r="J3" s="297"/>
      <c r="K3" s="297"/>
      <c r="L3" s="297"/>
      <c r="M3" s="298"/>
    </row>
    <row r="4" spans="2:16" x14ac:dyDescent="0.35">
      <c r="B4" s="93"/>
      <c r="C4" s="67" t="s">
        <v>434</v>
      </c>
      <c r="D4" s="29"/>
      <c r="E4" s="29"/>
      <c r="F4" s="5"/>
      <c r="G4" s="5"/>
      <c r="H4" s="5"/>
      <c r="I4" s="5"/>
      <c r="J4" s="5"/>
      <c r="K4" s="5"/>
      <c r="L4" s="5"/>
      <c r="M4" s="20"/>
    </row>
    <row r="5" spans="2:16" ht="20.25" customHeight="1" x14ac:dyDescent="0.35">
      <c r="B5" s="93"/>
      <c r="C5" s="211" t="s">
        <v>435</v>
      </c>
      <c r="D5" s="94" t="s">
        <v>413</v>
      </c>
      <c r="E5" s="19"/>
      <c r="F5" s="5"/>
      <c r="G5" s="5"/>
      <c r="H5" s="5"/>
      <c r="I5" s="5"/>
      <c r="J5" s="5"/>
      <c r="K5" s="5"/>
      <c r="L5" s="5"/>
      <c r="M5" s="20"/>
    </row>
    <row r="6" spans="2:16" x14ac:dyDescent="0.35">
      <c r="B6" s="93"/>
      <c r="C6" s="5"/>
      <c r="D6" s="5"/>
      <c r="E6" s="5"/>
      <c r="F6" s="5"/>
      <c r="G6" s="5"/>
      <c r="H6" s="5"/>
      <c r="I6" s="5"/>
      <c r="J6" s="5"/>
      <c r="K6" s="5"/>
      <c r="L6" s="5"/>
      <c r="M6" s="20"/>
    </row>
    <row r="7" spans="2:16" ht="32.25" customHeight="1" x14ac:dyDescent="0.35">
      <c r="B7" s="93"/>
      <c r="C7" s="95" t="s">
        <v>43</v>
      </c>
      <c r="D7" s="95" t="s">
        <v>45</v>
      </c>
      <c r="E7" s="5"/>
      <c r="F7" s="299" t="s">
        <v>50</v>
      </c>
      <c r="G7" s="299"/>
      <c r="H7" s="299"/>
      <c r="I7" s="299"/>
      <c r="J7" s="299"/>
      <c r="K7" s="299"/>
      <c r="L7" s="299"/>
      <c r="M7" s="300"/>
    </row>
    <row r="8" spans="2:16" x14ac:dyDescent="0.35">
      <c r="B8" s="93"/>
      <c r="C8" s="38" t="s">
        <v>176</v>
      </c>
      <c r="D8" s="190">
        <v>0.12970599999999999</v>
      </c>
      <c r="E8" s="29"/>
      <c r="F8" s="5"/>
      <c r="G8" s="31"/>
      <c r="H8" s="5"/>
      <c r="I8" s="5"/>
      <c r="J8" s="47"/>
      <c r="K8" s="5"/>
      <c r="L8" s="5"/>
      <c r="M8" s="20"/>
      <c r="P8" s="49"/>
    </row>
    <row r="9" spans="2:16" x14ac:dyDescent="0.35">
      <c r="B9" s="93"/>
      <c r="C9" s="102" t="s">
        <v>172</v>
      </c>
      <c r="D9" s="174">
        <v>9.4866000000000006E-2</v>
      </c>
      <c r="E9" s="5"/>
      <c r="F9" s="5"/>
      <c r="G9" s="5"/>
      <c r="H9" s="5"/>
      <c r="I9" s="5" t="s">
        <v>51</v>
      </c>
      <c r="J9" s="47">
        <f>D11</f>
        <v>0.31705299999999997</v>
      </c>
      <c r="K9" s="5"/>
      <c r="L9" s="5"/>
      <c r="M9" s="20"/>
      <c r="P9" s="49"/>
    </row>
    <row r="10" spans="2:16" x14ac:dyDescent="0.35">
      <c r="B10" s="93"/>
      <c r="C10" s="102" t="s">
        <v>173</v>
      </c>
      <c r="D10" s="174">
        <v>9.2480999999999994E-2</v>
      </c>
      <c r="E10" s="5"/>
      <c r="F10" s="5"/>
      <c r="G10" s="5"/>
      <c r="H10" s="5"/>
      <c r="I10" s="5" t="s">
        <v>53</v>
      </c>
      <c r="J10" s="47">
        <f>D16</f>
        <v>0.64575700000000003</v>
      </c>
      <c r="K10" s="5"/>
      <c r="L10" s="5"/>
      <c r="M10" s="20"/>
      <c r="P10" s="49"/>
    </row>
    <row r="11" spans="2:16" x14ac:dyDescent="0.35">
      <c r="B11" s="93"/>
      <c r="C11" s="7" t="s">
        <v>52</v>
      </c>
      <c r="D11" s="8">
        <f>SUM(D8:D10)</f>
        <v>0.31705299999999997</v>
      </c>
      <c r="E11" s="5"/>
      <c r="F11" s="5"/>
      <c r="G11" s="5"/>
      <c r="H11" s="5"/>
      <c r="I11" s="5" t="s">
        <v>20</v>
      </c>
      <c r="J11" s="47">
        <f>D18</f>
        <v>3.7190000000000001E-2</v>
      </c>
      <c r="K11" s="5"/>
      <c r="L11" s="5"/>
      <c r="M11" s="20"/>
      <c r="P11" s="49"/>
    </row>
    <row r="12" spans="2:16" x14ac:dyDescent="0.35">
      <c r="B12" s="93"/>
      <c r="C12" s="102"/>
      <c r="D12" s="38"/>
      <c r="E12" s="5"/>
      <c r="F12" s="5"/>
      <c r="G12" s="5"/>
      <c r="H12" s="5"/>
      <c r="K12" s="5"/>
      <c r="L12" s="5"/>
      <c r="M12" s="20"/>
      <c r="P12" s="49"/>
    </row>
    <row r="13" spans="2:16" ht="15.75" customHeight="1" x14ac:dyDescent="0.35">
      <c r="B13" s="93"/>
      <c r="C13" s="4" t="s">
        <v>175</v>
      </c>
      <c r="D13" s="174">
        <v>0.57486199999999998</v>
      </c>
      <c r="E13" s="5"/>
      <c r="F13" s="5"/>
      <c r="G13" s="5"/>
      <c r="H13" s="5"/>
      <c r="I13" s="5"/>
      <c r="J13" s="47"/>
      <c r="K13" s="5"/>
      <c r="L13" s="5"/>
      <c r="M13" s="20"/>
      <c r="P13" s="49"/>
    </row>
    <row r="14" spans="2:16" ht="15.75" customHeight="1" x14ac:dyDescent="0.35">
      <c r="B14" s="93"/>
      <c r="C14" s="4" t="s">
        <v>174</v>
      </c>
      <c r="D14" s="174">
        <v>5.8944000000000003E-2</v>
      </c>
      <c r="E14" s="5"/>
      <c r="F14" s="5"/>
      <c r="G14" s="5"/>
      <c r="H14" s="5"/>
      <c r="I14" s="5"/>
      <c r="J14" s="47"/>
      <c r="K14" s="5"/>
      <c r="L14" s="5"/>
      <c r="M14" s="20"/>
      <c r="P14" s="49"/>
    </row>
    <row r="15" spans="2:16" x14ac:dyDescent="0.35">
      <c r="B15" s="93"/>
      <c r="C15" s="4" t="s">
        <v>202</v>
      </c>
      <c r="D15" s="174">
        <v>1.1951E-2</v>
      </c>
      <c r="E15" s="5"/>
      <c r="F15" s="5"/>
      <c r="G15" s="5"/>
      <c r="H15" s="5"/>
      <c r="I15" s="5"/>
      <c r="J15" s="103"/>
      <c r="K15" s="5"/>
      <c r="L15" s="5"/>
      <c r="M15" s="20"/>
      <c r="P15" s="49"/>
    </row>
    <row r="16" spans="2:16" x14ac:dyDescent="0.35">
      <c r="B16" s="93"/>
      <c r="C16" s="7" t="s">
        <v>19</v>
      </c>
      <c r="D16" s="8">
        <f>SUM(D13:D15)</f>
        <v>0.64575700000000003</v>
      </c>
      <c r="E16" s="5"/>
      <c r="F16" s="5"/>
      <c r="G16" s="5"/>
      <c r="H16" s="5"/>
      <c r="I16" s="5"/>
      <c r="J16" s="5"/>
      <c r="K16" s="5"/>
      <c r="L16" s="5"/>
      <c r="M16" s="20"/>
      <c r="P16" s="49"/>
    </row>
    <row r="17" spans="2:18" ht="15.75" customHeight="1" x14ac:dyDescent="0.35">
      <c r="B17" s="93"/>
      <c r="C17" s="4"/>
      <c r="D17" s="6"/>
      <c r="E17" s="5"/>
      <c r="F17" s="5"/>
      <c r="G17" s="5"/>
      <c r="H17" s="5"/>
      <c r="I17" s="5"/>
      <c r="J17" s="5"/>
      <c r="K17" s="5"/>
      <c r="L17" s="5"/>
      <c r="M17" s="20"/>
      <c r="P17" s="49"/>
    </row>
    <row r="18" spans="2:18" x14ac:dyDescent="0.35">
      <c r="B18" s="93"/>
      <c r="C18" s="7" t="s">
        <v>20</v>
      </c>
      <c r="D18" s="199">
        <v>3.7190000000000001E-2</v>
      </c>
      <c r="E18" s="5"/>
      <c r="F18" s="5"/>
      <c r="G18" s="5"/>
      <c r="H18" s="5"/>
      <c r="I18" s="5"/>
      <c r="J18" s="5"/>
      <c r="K18" s="5"/>
      <c r="L18" s="5"/>
      <c r="M18" s="20"/>
      <c r="P18" s="49"/>
    </row>
    <row r="19" spans="2:18" x14ac:dyDescent="0.35">
      <c r="B19" s="93"/>
      <c r="C19" s="4"/>
      <c r="D19" s="6"/>
      <c r="E19" s="5"/>
      <c r="F19" s="5"/>
      <c r="G19" s="5"/>
      <c r="H19" s="5"/>
      <c r="I19" s="5"/>
      <c r="J19" s="5"/>
      <c r="K19" s="5"/>
      <c r="L19" s="5"/>
      <c r="M19" s="20"/>
      <c r="P19" s="49"/>
    </row>
    <row r="20" spans="2:18" x14ac:dyDescent="0.35">
      <c r="B20" s="93"/>
      <c r="C20" s="9" t="s">
        <v>54</v>
      </c>
      <c r="D20" s="10">
        <f>SUM(D18,D16,D11)</f>
        <v>1</v>
      </c>
      <c r="E20" s="5"/>
      <c r="F20" s="5"/>
      <c r="G20" s="5"/>
      <c r="H20" s="5"/>
      <c r="I20" s="5"/>
      <c r="J20" s="5"/>
      <c r="K20" s="5"/>
      <c r="L20" s="5"/>
      <c r="M20" s="20"/>
      <c r="P20" s="49"/>
    </row>
    <row r="21" spans="2:18" x14ac:dyDescent="0.35">
      <c r="B21" s="93"/>
      <c r="E21" s="5"/>
      <c r="F21" s="5"/>
      <c r="G21" s="5"/>
      <c r="H21" s="5"/>
      <c r="I21" s="5"/>
      <c r="J21" s="5"/>
      <c r="K21" s="5"/>
      <c r="L21" s="5"/>
      <c r="M21" s="20"/>
      <c r="P21" s="49"/>
    </row>
    <row r="22" spans="2:18" x14ac:dyDescent="0.35">
      <c r="B22" s="93"/>
      <c r="E22" s="5"/>
      <c r="F22" s="5"/>
      <c r="G22" s="5"/>
      <c r="H22" s="5"/>
      <c r="I22" s="5"/>
      <c r="J22" s="5"/>
      <c r="K22" s="5"/>
      <c r="L22" s="5"/>
      <c r="M22" s="20"/>
      <c r="P22" s="49"/>
    </row>
    <row r="23" spans="2:18" ht="15" customHeight="1" x14ac:dyDescent="0.35">
      <c r="B23" s="93"/>
      <c r="C23" s="331"/>
      <c r="D23" s="331"/>
      <c r="E23" s="331"/>
      <c r="F23" s="331"/>
      <c r="G23" s="331"/>
      <c r="H23" s="5"/>
      <c r="I23" s="5"/>
      <c r="J23" s="5"/>
      <c r="K23" s="5"/>
      <c r="L23" s="5"/>
      <c r="M23" s="11"/>
      <c r="P23" s="49"/>
    </row>
    <row r="24" spans="2:18" ht="16" thickBot="1" x14ac:dyDescent="0.4">
      <c r="B24" s="96"/>
      <c r="C24" s="301"/>
      <c r="D24" s="301"/>
      <c r="E24" s="301"/>
      <c r="F24" s="301"/>
      <c r="G24" s="301"/>
      <c r="H24" s="301"/>
      <c r="I24" s="301"/>
      <c r="J24" s="301"/>
      <c r="K24" s="301"/>
      <c r="L24" s="301"/>
      <c r="M24" s="302"/>
      <c r="P24" s="49"/>
    </row>
    <row r="25" spans="2:18" ht="16" thickBot="1" x14ac:dyDescent="0.4">
      <c r="P25" s="49"/>
    </row>
    <row r="26" spans="2:18" ht="15" customHeight="1" x14ac:dyDescent="0.35">
      <c r="B26" s="303" t="s">
        <v>179</v>
      </c>
      <c r="C26" s="304"/>
      <c r="D26" s="304"/>
      <c r="E26" s="304"/>
      <c r="F26" s="304"/>
      <c r="G26" s="304"/>
      <c r="H26" s="304"/>
      <c r="I26" s="304"/>
      <c r="J26" s="304"/>
      <c r="K26" s="304"/>
      <c r="L26" s="304"/>
      <c r="M26" s="304"/>
      <c r="N26" s="304"/>
      <c r="O26" s="304"/>
      <c r="P26" s="304"/>
      <c r="Q26" s="304"/>
      <c r="R26" s="305"/>
    </row>
    <row r="27" spans="2:18" x14ac:dyDescent="0.35">
      <c r="B27" s="306"/>
      <c r="C27" s="307"/>
      <c r="D27" s="307"/>
      <c r="E27" s="307"/>
      <c r="F27" s="307"/>
      <c r="G27" s="307"/>
      <c r="H27" s="307"/>
      <c r="I27" s="307"/>
      <c r="J27" s="307"/>
      <c r="K27" s="307"/>
      <c r="L27" s="307"/>
      <c r="M27" s="307"/>
      <c r="N27" s="307"/>
      <c r="O27" s="307"/>
      <c r="P27" s="307"/>
      <c r="Q27" s="307"/>
      <c r="R27" s="308"/>
    </row>
    <row r="28" spans="2:18" x14ac:dyDescent="0.35">
      <c r="B28" s="306"/>
      <c r="C28" s="307"/>
      <c r="D28" s="307"/>
      <c r="E28" s="307"/>
      <c r="F28" s="307"/>
      <c r="G28" s="307"/>
      <c r="H28" s="307"/>
      <c r="I28" s="307"/>
      <c r="J28" s="307"/>
      <c r="K28" s="307"/>
      <c r="L28" s="307"/>
      <c r="M28" s="307"/>
      <c r="N28" s="307"/>
      <c r="O28" s="307"/>
      <c r="P28" s="307"/>
      <c r="Q28" s="307"/>
      <c r="R28" s="308"/>
    </row>
    <row r="29" spans="2:18" x14ac:dyDescent="0.35">
      <c r="B29" s="306"/>
      <c r="C29" s="307"/>
      <c r="D29" s="307"/>
      <c r="E29" s="307"/>
      <c r="F29" s="307"/>
      <c r="G29" s="307"/>
      <c r="H29" s="307"/>
      <c r="I29" s="307"/>
      <c r="J29" s="307"/>
      <c r="K29" s="307"/>
      <c r="L29" s="307"/>
      <c r="M29" s="307"/>
      <c r="N29" s="307"/>
      <c r="O29" s="307"/>
      <c r="P29" s="307"/>
      <c r="Q29" s="307"/>
      <c r="R29" s="308"/>
    </row>
    <row r="30" spans="2:18" x14ac:dyDescent="0.35">
      <c r="B30" s="306"/>
      <c r="C30" s="307"/>
      <c r="D30" s="307"/>
      <c r="E30" s="307"/>
      <c r="F30" s="307"/>
      <c r="G30" s="307"/>
      <c r="H30" s="307"/>
      <c r="I30" s="307"/>
      <c r="J30" s="307"/>
      <c r="K30" s="307"/>
      <c r="L30" s="307"/>
      <c r="M30" s="307"/>
      <c r="N30" s="307"/>
      <c r="O30" s="307"/>
      <c r="P30" s="307"/>
      <c r="Q30" s="307"/>
      <c r="R30" s="308"/>
    </row>
    <row r="31" spans="2:18" x14ac:dyDescent="0.35">
      <c r="B31" s="306"/>
      <c r="C31" s="307"/>
      <c r="D31" s="307"/>
      <c r="E31" s="307"/>
      <c r="F31" s="307"/>
      <c r="G31" s="307"/>
      <c r="H31" s="307"/>
      <c r="I31" s="307"/>
      <c r="J31" s="307"/>
      <c r="K31" s="307"/>
      <c r="L31" s="307"/>
      <c r="M31" s="307"/>
      <c r="N31" s="307"/>
      <c r="O31" s="307"/>
      <c r="P31" s="307"/>
      <c r="Q31" s="307"/>
      <c r="R31" s="308"/>
    </row>
    <row r="32" spans="2:18" ht="16" thickBot="1" x14ac:dyDescent="0.4">
      <c r="B32" s="309"/>
      <c r="C32" s="310"/>
      <c r="D32" s="310"/>
      <c r="E32" s="310"/>
      <c r="F32" s="310"/>
      <c r="G32" s="310"/>
      <c r="H32" s="310"/>
      <c r="I32" s="310"/>
      <c r="J32" s="310"/>
      <c r="K32" s="310"/>
      <c r="L32" s="310"/>
      <c r="M32" s="310"/>
      <c r="N32" s="310"/>
      <c r="O32" s="310"/>
      <c r="P32" s="310"/>
      <c r="Q32" s="310"/>
      <c r="R32" s="311"/>
    </row>
    <row r="33" spans="3:16" x14ac:dyDescent="0.35">
      <c r="P33" s="49"/>
    </row>
    <row r="34" spans="3:16" x14ac:dyDescent="0.35">
      <c r="C34" s="290"/>
      <c r="D34" s="289"/>
      <c r="P34" s="49"/>
    </row>
    <row r="35" spans="3:16" x14ac:dyDescent="0.35">
      <c r="C35" s="290"/>
      <c r="D35" s="289"/>
      <c r="P35" s="49"/>
    </row>
    <row r="36" spans="3:16" x14ac:dyDescent="0.35">
      <c r="C36" s="290"/>
      <c r="D36" s="289"/>
      <c r="P36" s="49"/>
    </row>
    <row r="37" spans="3:16" x14ac:dyDescent="0.35">
      <c r="C37" s="290"/>
      <c r="D37" s="289"/>
      <c r="P37" s="49"/>
    </row>
    <row r="38" spans="3:16" x14ac:dyDescent="0.35">
      <c r="C38" s="290"/>
      <c r="D38" s="289"/>
      <c r="P38" s="49"/>
    </row>
    <row r="39" spans="3:16" x14ac:dyDescent="0.35">
      <c r="C39" s="290"/>
      <c r="D39" s="289"/>
      <c r="P39" s="49"/>
    </row>
    <row r="40" spans="3:16" x14ac:dyDescent="0.35">
      <c r="C40" s="223"/>
      <c r="D40" s="222"/>
      <c r="P40" s="49"/>
    </row>
    <row r="41" spans="3:16" x14ac:dyDescent="0.35">
      <c r="C41" s="223"/>
      <c r="D41" s="222"/>
      <c r="P41" s="49"/>
    </row>
    <row r="42" spans="3:16" x14ac:dyDescent="0.35">
      <c r="C42" s="168"/>
      <c r="D42" s="238"/>
      <c r="P42" s="49"/>
    </row>
    <row r="43" spans="3:16" x14ac:dyDescent="0.35">
      <c r="C43" s="168"/>
      <c r="D43" s="169"/>
      <c r="P43" s="49"/>
    </row>
    <row r="44" spans="3:16" x14ac:dyDescent="0.35">
      <c r="C44" s="168"/>
      <c r="D44" s="169"/>
      <c r="P44" s="49"/>
    </row>
    <row r="45" spans="3:16" x14ac:dyDescent="0.35">
      <c r="D45" s="169"/>
      <c r="P45" s="49"/>
    </row>
    <row r="46" spans="3:16" x14ac:dyDescent="0.35">
      <c r="P46" s="49"/>
    </row>
    <row r="47" spans="3:16" x14ac:dyDescent="0.35">
      <c r="P47" s="49"/>
    </row>
    <row r="48" spans="3:16" x14ac:dyDescent="0.35">
      <c r="P48" s="49"/>
    </row>
    <row r="49" spans="16:16" x14ac:dyDescent="0.35">
      <c r="P49" s="49"/>
    </row>
    <row r="50" spans="16:16" x14ac:dyDescent="0.35">
      <c r="P50" s="49"/>
    </row>
    <row r="51" spans="16:16" x14ac:dyDescent="0.35">
      <c r="P51" s="49"/>
    </row>
    <row r="52" spans="16:16" x14ac:dyDescent="0.35">
      <c r="P52" s="49"/>
    </row>
    <row r="53" spans="16:16" x14ac:dyDescent="0.35">
      <c r="P53" s="49"/>
    </row>
    <row r="54" spans="16:16" x14ac:dyDescent="0.35">
      <c r="P54" s="49"/>
    </row>
    <row r="55" spans="16:16" x14ac:dyDescent="0.35">
      <c r="P55" s="49"/>
    </row>
    <row r="56" spans="16:16" x14ac:dyDescent="0.35">
      <c r="P56" s="49"/>
    </row>
    <row r="57" spans="16:16" x14ac:dyDescent="0.35">
      <c r="P57" s="49"/>
    </row>
    <row r="58" spans="16:16" x14ac:dyDescent="0.35">
      <c r="P58" s="49"/>
    </row>
    <row r="59" spans="16:16" x14ac:dyDescent="0.35">
      <c r="P59" s="49"/>
    </row>
    <row r="60" spans="16:16" x14ac:dyDescent="0.35">
      <c r="P60" s="49"/>
    </row>
    <row r="61" spans="16:16" x14ac:dyDescent="0.35">
      <c r="P61" s="49"/>
    </row>
    <row r="62" spans="16:16" x14ac:dyDescent="0.35">
      <c r="P62" s="49"/>
    </row>
    <row r="63" spans="16:16" x14ac:dyDescent="0.35">
      <c r="P63" s="49"/>
    </row>
    <row r="64" spans="16:16" x14ac:dyDescent="0.35">
      <c r="P64" s="49"/>
    </row>
    <row r="65" spans="16:16" x14ac:dyDescent="0.35">
      <c r="P65" s="49"/>
    </row>
    <row r="66" spans="16:16" x14ac:dyDescent="0.35">
      <c r="P66" s="49"/>
    </row>
    <row r="67" spans="16:16" x14ac:dyDescent="0.35">
      <c r="P67" s="49"/>
    </row>
    <row r="68" spans="16:16" x14ac:dyDescent="0.35">
      <c r="P68" s="49"/>
    </row>
    <row r="69" spans="16:16" x14ac:dyDescent="0.35">
      <c r="P69" s="49"/>
    </row>
    <row r="70" spans="16:16" x14ac:dyDescent="0.35">
      <c r="P70" s="49"/>
    </row>
    <row r="71" spans="16:16" x14ac:dyDescent="0.35">
      <c r="P71" s="49"/>
    </row>
    <row r="72" spans="16:16" x14ac:dyDescent="0.35">
      <c r="P72" s="49"/>
    </row>
    <row r="73" spans="16:16" x14ac:dyDescent="0.35">
      <c r="P73" s="49"/>
    </row>
    <row r="74" spans="16:16" x14ac:dyDescent="0.35">
      <c r="P74" s="49"/>
    </row>
    <row r="75" spans="16:16" x14ac:dyDescent="0.35">
      <c r="P75" s="49"/>
    </row>
    <row r="76" spans="16:16" x14ac:dyDescent="0.35">
      <c r="P76" s="49"/>
    </row>
    <row r="77" spans="16:16" x14ac:dyDescent="0.35">
      <c r="P77" s="49"/>
    </row>
    <row r="78" spans="16:16" x14ac:dyDescent="0.35">
      <c r="P78" s="49"/>
    </row>
    <row r="79" spans="16:16" x14ac:dyDescent="0.35">
      <c r="P79" s="49"/>
    </row>
    <row r="80" spans="16:16" x14ac:dyDescent="0.35">
      <c r="P80" s="49"/>
    </row>
    <row r="81" spans="16:16" x14ac:dyDescent="0.35">
      <c r="P81" s="49"/>
    </row>
    <row r="82" spans="16:16" x14ac:dyDescent="0.35">
      <c r="P82" s="49"/>
    </row>
    <row r="83" spans="16:16" x14ac:dyDescent="0.35">
      <c r="P83" s="49"/>
    </row>
    <row r="84" spans="16:16" x14ac:dyDescent="0.35">
      <c r="P84" s="49"/>
    </row>
    <row r="85" spans="16:16" x14ac:dyDescent="0.35">
      <c r="P85" s="49"/>
    </row>
    <row r="86" spans="16:16" x14ac:dyDescent="0.35">
      <c r="P86" s="49"/>
    </row>
    <row r="87" spans="16:16" x14ac:dyDescent="0.35">
      <c r="P87" s="49"/>
    </row>
    <row r="88" spans="16:16" x14ac:dyDescent="0.35">
      <c r="P88" s="49"/>
    </row>
    <row r="89" spans="16:16" x14ac:dyDescent="0.35">
      <c r="P89" s="49"/>
    </row>
    <row r="90" spans="16:16" x14ac:dyDescent="0.35">
      <c r="P90" s="49"/>
    </row>
    <row r="91" spans="16:16" x14ac:dyDescent="0.35">
      <c r="P91" s="49"/>
    </row>
    <row r="92" spans="16:16" x14ac:dyDescent="0.35">
      <c r="P92" s="49"/>
    </row>
    <row r="93" spans="16:16" x14ac:dyDescent="0.35">
      <c r="P93" s="49"/>
    </row>
    <row r="94" spans="16:16" x14ac:dyDescent="0.35">
      <c r="P94" s="49"/>
    </row>
    <row r="95" spans="16:16" x14ac:dyDescent="0.35">
      <c r="P95" s="49"/>
    </row>
    <row r="96" spans="16:16" x14ac:dyDescent="0.35">
      <c r="P96" s="49"/>
    </row>
    <row r="97" spans="16:16" x14ac:dyDescent="0.35">
      <c r="P97" s="49"/>
    </row>
    <row r="98" spans="16:16" x14ac:dyDescent="0.35">
      <c r="P98" s="49"/>
    </row>
    <row r="99" spans="16:16" x14ac:dyDescent="0.35">
      <c r="P99" s="49"/>
    </row>
    <row r="100" spans="16:16" x14ac:dyDescent="0.35">
      <c r="P100" s="49"/>
    </row>
    <row r="101" spans="16:16" x14ac:dyDescent="0.35">
      <c r="P101" s="49"/>
    </row>
    <row r="102" spans="16:16" x14ac:dyDescent="0.35">
      <c r="P102" s="49"/>
    </row>
    <row r="103" spans="16:16" x14ac:dyDescent="0.35">
      <c r="P103" s="49"/>
    </row>
    <row r="104" spans="16:16" x14ac:dyDescent="0.35">
      <c r="P104" s="49"/>
    </row>
    <row r="105" spans="16:16" x14ac:dyDescent="0.35">
      <c r="P105" s="49"/>
    </row>
    <row r="106" spans="16:16" x14ac:dyDescent="0.35">
      <c r="P106" s="49"/>
    </row>
    <row r="107" spans="16:16" x14ac:dyDescent="0.35">
      <c r="P107" s="49"/>
    </row>
    <row r="108" spans="16:16" x14ac:dyDescent="0.35">
      <c r="P108" s="49"/>
    </row>
    <row r="109" spans="16:16" x14ac:dyDescent="0.35">
      <c r="P109" s="49"/>
    </row>
    <row r="110" spans="16:16" x14ac:dyDescent="0.35">
      <c r="P110" s="49"/>
    </row>
    <row r="111" spans="16:16" x14ac:dyDescent="0.35">
      <c r="P111" s="49"/>
    </row>
    <row r="112" spans="16:16" x14ac:dyDescent="0.35">
      <c r="P112" s="49"/>
    </row>
    <row r="113" spans="16:16" x14ac:dyDescent="0.35">
      <c r="P113" s="49"/>
    </row>
    <row r="114" spans="16:16" x14ac:dyDescent="0.35">
      <c r="P114" s="49"/>
    </row>
    <row r="115" spans="16:16" x14ac:dyDescent="0.35">
      <c r="P115" s="49"/>
    </row>
    <row r="116" spans="16:16" x14ac:dyDescent="0.35">
      <c r="P116" s="49"/>
    </row>
    <row r="117" spans="16:16" x14ac:dyDescent="0.35">
      <c r="P117" s="49"/>
    </row>
    <row r="118" spans="16:16" x14ac:dyDescent="0.35">
      <c r="P118" s="49"/>
    </row>
    <row r="119" spans="16:16" x14ac:dyDescent="0.35">
      <c r="P119" s="49"/>
    </row>
    <row r="120" spans="16:16" x14ac:dyDescent="0.35">
      <c r="P120" s="49"/>
    </row>
    <row r="121" spans="16:16" x14ac:dyDescent="0.35">
      <c r="P121" s="49"/>
    </row>
    <row r="122" spans="16:16" x14ac:dyDescent="0.35">
      <c r="P122" s="49"/>
    </row>
    <row r="123" spans="16:16" x14ac:dyDescent="0.35">
      <c r="P123" s="49"/>
    </row>
    <row r="124" spans="16:16" x14ac:dyDescent="0.35">
      <c r="P124" s="49"/>
    </row>
    <row r="125" spans="16:16" x14ac:dyDescent="0.35">
      <c r="P125" s="49"/>
    </row>
    <row r="126" spans="16:16" x14ac:dyDescent="0.35">
      <c r="P126" s="49"/>
    </row>
    <row r="127" spans="16:16" x14ac:dyDescent="0.35">
      <c r="P127" s="49"/>
    </row>
    <row r="128" spans="16:16" x14ac:dyDescent="0.35">
      <c r="P128" s="49"/>
    </row>
    <row r="129" spans="16:16" x14ac:dyDescent="0.35">
      <c r="P129" s="49"/>
    </row>
    <row r="130" spans="16:16" x14ac:dyDescent="0.35">
      <c r="P130" s="49"/>
    </row>
    <row r="131" spans="16:16" x14ac:dyDescent="0.35">
      <c r="P131" s="49"/>
    </row>
    <row r="132" spans="16:16" x14ac:dyDescent="0.35">
      <c r="P132" s="49"/>
    </row>
    <row r="133" spans="16:16" x14ac:dyDescent="0.35">
      <c r="P133" s="49"/>
    </row>
    <row r="134" spans="16:16" x14ac:dyDescent="0.35">
      <c r="P134" s="49"/>
    </row>
    <row r="135" spans="16:16" x14ac:dyDescent="0.35">
      <c r="P135" s="49"/>
    </row>
    <row r="136" spans="16:16" x14ac:dyDescent="0.35">
      <c r="P136" s="49"/>
    </row>
    <row r="137" spans="16:16" x14ac:dyDescent="0.35">
      <c r="P137" s="49"/>
    </row>
    <row r="138" spans="16:16" x14ac:dyDescent="0.35">
      <c r="P138" s="49"/>
    </row>
    <row r="139" spans="16:16" x14ac:dyDescent="0.35">
      <c r="P139" s="49"/>
    </row>
    <row r="140" spans="16:16" x14ac:dyDescent="0.35">
      <c r="P140" s="49"/>
    </row>
    <row r="141" spans="16:16" x14ac:dyDescent="0.35">
      <c r="P141" s="49"/>
    </row>
    <row r="142" spans="16:16" x14ac:dyDescent="0.35">
      <c r="P142" s="49"/>
    </row>
    <row r="143" spans="16:16" x14ac:dyDescent="0.35">
      <c r="P143" s="49"/>
    </row>
    <row r="144" spans="16:16" x14ac:dyDescent="0.35">
      <c r="P144" s="49"/>
    </row>
    <row r="145" spans="16:16" x14ac:dyDescent="0.35">
      <c r="P145" s="49"/>
    </row>
    <row r="146" spans="16:16" x14ac:dyDescent="0.35">
      <c r="P146" s="49"/>
    </row>
    <row r="147" spans="16:16" x14ac:dyDescent="0.35">
      <c r="P147" s="49"/>
    </row>
    <row r="148" spans="16:16" x14ac:dyDescent="0.35">
      <c r="P148" s="49"/>
    </row>
    <row r="149" spans="16:16" x14ac:dyDescent="0.35">
      <c r="P149" s="49"/>
    </row>
    <row r="150" spans="16:16" x14ac:dyDescent="0.35">
      <c r="P150" s="49"/>
    </row>
    <row r="151" spans="16:16" x14ac:dyDescent="0.35">
      <c r="P151" s="49"/>
    </row>
    <row r="152" spans="16:16" x14ac:dyDescent="0.35">
      <c r="P152" s="49"/>
    </row>
    <row r="153" spans="16:16" x14ac:dyDescent="0.35">
      <c r="P153" s="49"/>
    </row>
    <row r="154" spans="16:16" x14ac:dyDescent="0.35">
      <c r="P154" s="49"/>
    </row>
    <row r="155" spans="16:16" x14ac:dyDescent="0.35">
      <c r="P155" s="49"/>
    </row>
    <row r="156" spans="16:16" x14ac:dyDescent="0.35">
      <c r="P156" s="49"/>
    </row>
    <row r="157" spans="16:16" x14ac:dyDescent="0.35">
      <c r="P157" s="49"/>
    </row>
    <row r="158" spans="16:16" x14ac:dyDescent="0.35">
      <c r="P158" s="49"/>
    </row>
    <row r="159" spans="16:16" x14ac:dyDescent="0.35">
      <c r="P159" s="49"/>
    </row>
    <row r="160" spans="16:16" x14ac:dyDescent="0.35">
      <c r="P160" s="49"/>
    </row>
    <row r="161" spans="16:16" x14ac:dyDescent="0.35">
      <c r="P161" s="49"/>
    </row>
    <row r="162" spans="16:16" x14ac:dyDescent="0.35">
      <c r="P162" s="49"/>
    </row>
    <row r="163" spans="16:16" x14ac:dyDescent="0.35">
      <c r="P163" s="49"/>
    </row>
    <row r="164" spans="16:16" x14ac:dyDescent="0.35">
      <c r="P164" s="49"/>
    </row>
    <row r="165" spans="16:16" x14ac:dyDescent="0.35">
      <c r="P165" s="49"/>
    </row>
    <row r="166" spans="16:16" x14ac:dyDescent="0.35">
      <c r="P166" s="49"/>
    </row>
    <row r="167" spans="16:16" x14ac:dyDescent="0.35">
      <c r="P167" s="49"/>
    </row>
    <row r="168" spans="16:16" x14ac:dyDescent="0.35">
      <c r="P168" s="49"/>
    </row>
    <row r="169" spans="16:16" x14ac:dyDescent="0.35">
      <c r="P169" s="49"/>
    </row>
    <row r="170" spans="16:16" x14ac:dyDescent="0.35">
      <c r="P170" s="49"/>
    </row>
    <row r="171" spans="16:16" x14ac:dyDescent="0.35">
      <c r="P171" s="49"/>
    </row>
    <row r="172" spans="16:16" x14ac:dyDescent="0.35">
      <c r="P172" s="49"/>
    </row>
    <row r="173" spans="16:16" x14ac:dyDescent="0.35">
      <c r="P173" s="49"/>
    </row>
    <row r="174" spans="16:16" x14ac:dyDescent="0.35">
      <c r="P174" s="49"/>
    </row>
    <row r="175" spans="16:16" x14ac:dyDescent="0.35">
      <c r="P175" s="49"/>
    </row>
    <row r="176" spans="16:16" x14ac:dyDescent="0.35">
      <c r="P176" s="49"/>
    </row>
    <row r="177" spans="16:16" x14ac:dyDescent="0.35">
      <c r="P177" s="49"/>
    </row>
    <row r="178" spans="16:16" x14ac:dyDescent="0.35">
      <c r="P178" s="49"/>
    </row>
    <row r="179" spans="16:16" x14ac:dyDescent="0.35">
      <c r="P179" s="49"/>
    </row>
    <row r="180" spans="16:16" x14ac:dyDescent="0.35">
      <c r="P180" s="49"/>
    </row>
    <row r="181" spans="16:16" x14ac:dyDescent="0.35">
      <c r="P181" s="49"/>
    </row>
    <row r="182" spans="16:16" x14ac:dyDescent="0.35">
      <c r="P182" s="49"/>
    </row>
    <row r="183" spans="16:16" x14ac:dyDescent="0.35">
      <c r="P183" s="49"/>
    </row>
    <row r="184" spans="16:16" x14ac:dyDescent="0.35">
      <c r="P184" s="49"/>
    </row>
    <row r="185" spans="16:16" x14ac:dyDescent="0.35">
      <c r="P185" s="49"/>
    </row>
    <row r="186" spans="16:16" x14ac:dyDescent="0.35">
      <c r="P186" s="49"/>
    </row>
    <row r="187" spans="16:16" x14ac:dyDescent="0.35">
      <c r="P187" s="49"/>
    </row>
    <row r="188" spans="16:16" x14ac:dyDescent="0.35">
      <c r="P188" s="49"/>
    </row>
    <row r="189" spans="16:16" x14ac:dyDescent="0.35">
      <c r="P189" s="49"/>
    </row>
    <row r="190" spans="16:16" x14ac:dyDescent="0.35">
      <c r="P190" s="49"/>
    </row>
    <row r="191" spans="16:16" x14ac:dyDescent="0.35">
      <c r="P191" s="49"/>
    </row>
    <row r="192" spans="16:16" x14ac:dyDescent="0.35">
      <c r="P192" s="49"/>
    </row>
    <row r="193" spans="16:16" x14ac:dyDescent="0.35">
      <c r="P193" s="49"/>
    </row>
    <row r="194" spans="16:16" x14ac:dyDescent="0.35">
      <c r="P194" s="49"/>
    </row>
    <row r="195" spans="16:16" x14ac:dyDescent="0.35">
      <c r="P195" s="49"/>
    </row>
    <row r="196" spans="16:16" x14ac:dyDescent="0.35">
      <c r="P196" s="49"/>
    </row>
    <row r="197" spans="16:16" x14ac:dyDescent="0.35">
      <c r="P197" s="49"/>
    </row>
    <row r="198" spans="16:16" x14ac:dyDescent="0.35">
      <c r="P198" s="49"/>
    </row>
    <row r="199" spans="16:16" x14ac:dyDescent="0.35">
      <c r="P199" s="49"/>
    </row>
    <row r="200" spans="16:16" x14ac:dyDescent="0.35">
      <c r="P200" s="49"/>
    </row>
    <row r="201" spans="16:16" x14ac:dyDescent="0.35">
      <c r="P201" s="49"/>
    </row>
    <row r="202" spans="16:16" x14ac:dyDescent="0.35">
      <c r="P202" s="49"/>
    </row>
    <row r="203" spans="16:16" x14ac:dyDescent="0.35">
      <c r="P203" s="49"/>
    </row>
    <row r="204" spans="16:16" x14ac:dyDescent="0.35">
      <c r="P204" s="49"/>
    </row>
    <row r="205" spans="16:16" x14ac:dyDescent="0.35">
      <c r="P205" s="49"/>
    </row>
    <row r="206" spans="16:16" x14ac:dyDescent="0.35">
      <c r="P206" s="49"/>
    </row>
    <row r="207" spans="16:16" x14ac:dyDescent="0.35">
      <c r="P207" s="49"/>
    </row>
    <row r="208" spans="16:16" x14ac:dyDescent="0.35">
      <c r="P208" s="49"/>
    </row>
    <row r="209" spans="16:16" x14ac:dyDescent="0.35">
      <c r="P209" s="49"/>
    </row>
    <row r="210" spans="16:16" x14ac:dyDescent="0.35">
      <c r="P210" s="49"/>
    </row>
    <row r="211" spans="16:16" x14ac:dyDescent="0.35">
      <c r="P211" s="49"/>
    </row>
    <row r="212" spans="16:16" x14ac:dyDescent="0.35">
      <c r="P212" s="49"/>
    </row>
    <row r="213" spans="16:16" x14ac:dyDescent="0.35">
      <c r="P213" s="49"/>
    </row>
    <row r="214" spans="16:16" x14ac:dyDescent="0.35">
      <c r="P214" s="49"/>
    </row>
    <row r="215" spans="16:16" x14ac:dyDescent="0.35">
      <c r="P215" s="49"/>
    </row>
    <row r="216" spans="16:16" x14ac:dyDescent="0.35">
      <c r="P216" s="49"/>
    </row>
    <row r="217" spans="16:16" x14ac:dyDescent="0.35">
      <c r="P217" s="49"/>
    </row>
    <row r="218" spans="16:16" x14ac:dyDescent="0.35">
      <c r="P218" s="49"/>
    </row>
    <row r="219" spans="16:16" x14ac:dyDescent="0.35">
      <c r="P219" s="49"/>
    </row>
    <row r="220" spans="16:16" x14ac:dyDescent="0.35">
      <c r="P220" s="49"/>
    </row>
    <row r="221" spans="16:16" x14ac:dyDescent="0.35">
      <c r="P221" s="49"/>
    </row>
    <row r="222" spans="16:16" x14ac:dyDescent="0.35">
      <c r="P222" s="49"/>
    </row>
    <row r="223" spans="16:16" x14ac:dyDescent="0.35">
      <c r="P223" s="49"/>
    </row>
    <row r="224" spans="16:16" x14ac:dyDescent="0.35">
      <c r="P224" s="49"/>
    </row>
    <row r="225" spans="16:16" x14ac:dyDescent="0.35">
      <c r="P225" s="49"/>
    </row>
    <row r="226" spans="16:16" x14ac:dyDescent="0.35">
      <c r="P226" s="49"/>
    </row>
    <row r="227" spans="16:16" x14ac:dyDescent="0.35">
      <c r="P227" s="49"/>
    </row>
    <row r="228" spans="16:16" x14ac:dyDescent="0.35">
      <c r="P228" s="49"/>
    </row>
    <row r="229" spans="16:16" x14ac:dyDescent="0.35">
      <c r="P229" s="49"/>
    </row>
    <row r="230" spans="16:16" x14ac:dyDescent="0.35">
      <c r="P230" s="49"/>
    </row>
    <row r="231" spans="16:16" x14ac:dyDescent="0.35">
      <c r="P231" s="49"/>
    </row>
    <row r="232" spans="16:16" x14ac:dyDescent="0.35">
      <c r="P232" s="49"/>
    </row>
    <row r="233" spans="16:16" x14ac:dyDescent="0.35">
      <c r="P233" s="49"/>
    </row>
    <row r="234" spans="16:16" x14ac:dyDescent="0.35">
      <c r="P234" s="49"/>
    </row>
    <row r="235" spans="16:16" x14ac:dyDescent="0.35">
      <c r="P235" s="49"/>
    </row>
    <row r="236" spans="16:16" x14ac:dyDescent="0.35">
      <c r="P236" s="49"/>
    </row>
    <row r="237" spans="16:16" x14ac:dyDescent="0.35">
      <c r="P237" s="49"/>
    </row>
    <row r="238" spans="16:16" x14ac:dyDescent="0.35">
      <c r="P238" s="49"/>
    </row>
    <row r="239" spans="16:16" x14ac:dyDescent="0.35">
      <c r="P239" s="49"/>
    </row>
    <row r="240" spans="16:16" x14ac:dyDescent="0.35">
      <c r="P240" s="49"/>
    </row>
    <row r="241" spans="16:16" x14ac:dyDescent="0.35">
      <c r="P241" s="49"/>
    </row>
    <row r="242" spans="16:16" x14ac:dyDescent="0.35">
      <c r="P242" s="49"/>
    </row>
    <row r="243" spans="16:16" x14ac:dyDescent="0.35">
      <c r="P243" s="49"/>
    </row>
    <row r="244" spans="16:16" x14ac:dyDescent="0.35">
      <c r="P244" s="49"/>
    </row>
    <row r="245" spans="16:16" x14ac:dyDescent="0.35">
      <c r="P245" s="49"/>
    </row>
    <row r="246" spans="16:16" x14ac:dyDescent="0.35">
      <c r="P246" s="49"/>
    </row>
    <row r="247" spans="16:16" x14ac:dyDescent="0.35">
      <c r="P247" s="49"/>
    </row>
    <row r="248" spans="16:16" x14ac:dyDescent="0.35">
      <c r="P248" s="49"/>
    </row>
    <row r="249" spans="16:16" x14ac:dyDescent="0.35">
      <c r="P249" s="49"/>
    </row>
    <row r="250" spans="16:16" x14ac:dyDescent="0.35">
      <c r="P250" s="49"/>
    </row>
    <row r="251" spans="16:16" x14ac:dyDescent="0.35">
      <c r="P251" s="49"/>
    </row>
    <row r="252" spans="16:16" x14ac:dyDescent="0.35">
      <c r="P252" s="49"/>
    </row>
    <row r="253" spans="16:16" x14ac:dyDescent="0.35">
      <c r="P253" s="49"/>
    </row>
    <row r="254" spans="16:16" x14ac:dyDescent="0.35">
      <c r="P254" s="49"/>
    </row>
    <row r="255" spans="16:16" x14ac:dyDescent="0.35">
      <c r="P255" s="49"/>
    </row>
    <row r="256" spans="16:16" x14ac:dyDescent="0.35">
      <c r="P256" s="49"/>
    </row>
    <row r="257" spans="16:16" x14ac:dyDescent="0.35">
      <c r="P257" s="49"/>
    </row>
    <row r="258" spans="16:16" x14ac:dyDescent="0.35">
      <c r="P258" s="49"/>
    </row>
    <row r="259" spans="16:16" x14ac:dyDescent="0.35">
      <c r="P259" s="49"/>
    </row>
    <row r="260" spans="16:16" x14ac:dyDescent="0.35">
      <c r="P260" s="49"/>
    </row>
    <row r="261" spans="16:16" x14ac:dyDescent="0.35">
      <c r="P261" s="49"/>
    </row>
    <row r="262" spans="16:16" x14ac:dyDescent="0.35">
      <c r="P262" s="49"/>
    </row>
    <row r="263" spans="16:16" x14ac:dyDescent="0.35">
      <c r="P263" s="49"/>
    </row>
    <row r="264" spans="16:16" x14ac:dyDescent="0.35">
      <c r="P264" s="49"/>
    </row>
    <row r="265" spans="16:16" x14ac:dyDescent="0.35">
      <c r="P265" s="49"/>
    </row>
    <row r="266" spans="16:16" x14ac:dyDescent="0.35">
      <c r="P266" s="49"/>
    </row>
    <row r="267" spans="16:16" x14ac:dyDescent="0.35">
      <c r="P267" s="49"/>
    </row>
    <row r="268" spans="16:16" x14ac:dyDescent="0.35">
      <c r="P268" s="49"/>
    </row>
    <row r="269" spans="16:16" x14ac:dyDescent="0.35">
      <c r="P269" s="49"/>
    </row>
    <row r="270" spans="16:16" x14ac:dyDescent="0.35">
      <c r="P270" s="49"/>
    </row>
    <row r="271" spans="16:16" x14ac:dyDescent="0.35">
      <c r="P271" s="49"/>
    </row>
    <row r="272" spans="16:16" x14ac:dyDescent="0.35">
      <c r="P272" s="49"/>
    </row>
    <row r="273" spans="16:16" x14ac:dyDescent="0.35">
      <c r="P273" s="49"/>
    </row>
    <row r="274" spans="16:16" x14ac:dyDescent="0.35">
      <c r="P274" s="49"/>
    </row>
    <row r="275" spans="16:16" x14ac:dyDescent="0.35">
      <c r="P275" s="49"/>
    </row>
    <row r="276" spans="16:16" x14ac:dyDescent="0.35">
      <c r="P276" s="49"/>
    </row>
    <row r="277" spans="16:16" x14ac:dyDescent="0.35">
      <c r="P277" s="49"/>
    </row>
    <row r="278" spans="16:16" x14ac:dyDescent="0.35">
      <c r="P278" s="49"/>
    </row>
    <row r="279" spans="16:16" x14ac:dyDescent="0.35">
      <c r="P279" s="49"/>
    </row>
    <row r="280" spans="16:16" x14ac:dyDescent="0.35">
      <c r="P280" s="49"/>
    </row>
    <row r="281" spans="16:16" x14ac:dyDescent="0.35">
      <c r="P281" s="49"/>
    </row>
    <row r="282" spans="16:16" x14ac:dyDescent="0.35">
      <c r="P282" s="49"/>
    </row>
    <row r="283" spans="16:16" x14ac:dyDescent="0.35">
      <c r="P283" s="49"/>
    </row>
    <row r="284" spans="16:16" x14ac:dyDescent="0.35">
      <c r="P284" s="49"/>
    </row>
    <row r="285" spans="16:16" x14ac:dyDescent="0.35">
      <c r="P285" s="49"/>
    </row>
    <row r="286" spans="16:16" x14ac:dyDescent="0.35">
      <c r="P286" s="49"/>
    </row>
    <row r="287" spans="16:16" x14ac:dyDescent="0.35">
      <c r="P287" s="49"/>
    </row>
    <row r="288" spans="16:16" x14ac:dyDescent="0.35">
      <c r="P288" s="49"/>
    </row>
    <row r="289" spans="16:16" x14ac:dyDescent="0.35">
      <c r="P289" s="49"/>
    </row>
    <row r="290" spans="16:16" x14ac:dyDescent="0.35">
      <c r="P290" s="49"/>
    </row>
    <row r="291" spans="16:16" x14ac:dyDescent="0.35">
      <c r="P291" s="49"/>
    </row>
    <row r="292" spans="16:16" x14ac:dyDescent="0.35">
      <c r="P292" s="49"/>
    </row>
    <row r="293" spans="16:16" x14ac:dyDescent="0.35">
      <c r="P293" s="49"/>
    </row>
    <row r="294" spans="16:16" x14ac:dyDescent="0.35">
      <c r="P294" s="49"/>
    </row>
    <row r="295" spans="16:16" x14ac:dyDescent="0.35">
      <c r="P295" s="49"/>
    </row>
    <row r="296" spans="16:16" x14ac:dyDescent="0.35">
      <c r="P296" s="49"/>
    </row>
    <row r="297" spans="16:16" x14ac:dyDescent="0.35">
      <c r="P297" s="49"/>
    </row>
    <row r="298" spans="16:16" x14ac:dyDescent="0.35">
      <c r="P298" s="49"/>
    </row>
    <row r="299" spans="16:16" x14ac:dyDescent="0.35">
      <c r="P299" s="49"/>
    </row>
    <row r="300" spans="16:16" x14ac:dyDescent="0.35">
      <c r="P300" s="49"/>
    </row>
    <row r="301" spans="16:16" x14ac:dyDescent="0.35">
      <c r="P301" s="49"/>
    </row>
    <row r="302" spans="16:16" x14ac:dyDescent="0.35">
      <c r="P302" s="49"/>
    </row>
    <row r="303" spans="16:16" x14ac:dyDescent="0.35">
      <c r="P303" s="49"/>
    </row>
    <row r="304" spans="16:16" x14ac:dyDescent="0.35">
      <c r="P304" s="49"/>
    </row>
    <row r="305" spans="16:16" x14ac:dyDescent="0.35">
      <c r="P305" s="49"/>
    </row>
    <row r="306" spans="16:16" x14ac:dyDescent="0.35">
      <c r="P306" s="49"/>
    </row>
    <row r="307" spans="16:16" x14ac:dyDescent="0.35">
      <c r="P307" s="49"/>
    </row>
    <row r="308" spans="16:16" x14ac:dyDescent="0.35">
      <c r="P308" s="49"/>
    </row>
    <row r="309" spans="16:16" x14ac:dyDescent="0.35">
      <c r="P309" s="49"/>
    </row>
    <row r="310" spans="16:16" x14ac:dyDescent="0.35">
      <c r="P310" s="49"/>
    </row>
    <row r="311" spans="16:16" x14ac:dyDescent="0.35">
      <c r="P311" s="49"/>
    </row>
    <row r="312" spans="16:16" x14ac:dyDescent="0.35">
      <c r="P312" s="49"/>
    </row>
    <row r="313" spans="16:16" x14ac:dyDescent="0.35">
      <c r="P313" s="49"/>
    </row>
    <row r="314" spans="16:16" x14ac:dyDescent="0.35">
      <c r="P314" s="49"/>
    </row>
    <row r="315" spans="16:16" x14ac:dyDescent="0.35">
      <c r="P315" s="49"/>
    </row>
    <row r="316" spans="16:16" x14ac:dyDescent="0.35">
      <c r="P316" s="49"/>
    </row>
    <row r="317" spans="16:16" x14ac:dyDescent="0.35">
      <c r="P317" s="49"/>
    </row>
    <row r="318" spans="16:16" x14ac:dyDescent="0.35">
      <c r="P318" s="49"/>
    </row>
    <row r="319" spans="16:16" x14ac:dyDescent="0.35">
      <c r="P319" s="49"/>
    </row>
    <row r="320" spans="16:16" x14ac:dyDescent="0.35">
      <c r="P320" s="49"/>
    </row>
    <row r="321" spans="16:16" x14ac:dyDescent="0.35">
      <c r="P321" s="49"/>
    </row>
    <row r="322" spans="16:16" x14ac:dyDescent="0.35">
      <c r="P322" s="49"/>
    </row>
    <row r="323" spans="16:16" x14ac:dyDescent="0.35">
      <c r="P323" s="49"/>
    </row>
    <row r="324" spans="16:16" x14ac:dyDescent="0.35">
      <c r="P324" s="49"/>
    </row>
    <row r="325" spans="16:16" x14ac:dyDescent="0.35">
      <c r="P325" s="49"/>
    </row>
    <row r="326" spans="16:16" x14ac:dyDescent="0.35">
      <c r="P326" s="49"/>
    </row>
    <row r="327" spans="16:16" x14ac:dyDescent="0.35">
      <c r="P327" s="49"/>
    </row>
    <row r="328" spans="16:16" x14ac:dyDescent="0.35">
      <c r="P328" s="49"/>
    </row>
    <row r="329" spans="16:16" x14ac:dyDescent="0.35">
      <c r="P329" s="49"/>
    </row>
    <row r="330" spans="16:16" x14ac:dyDescent="0.35">
      <c r="P330" s="49"/>
    </row>
    <row r="331" spans="16:16" x14ac:dyDescent="0.35">
      <c r="P331" s="49"/>
    </row>
    <row r="332" spans="16:16" x14ac:dyDescent="0.35">
      <c r="P332" s="49"/>
    </row>
    <row r="333" spans="16:16" x14ac:dyDescent="0.35">
      <c r="P333" s="49"/>
    </row>
    <row r="334" spans="16:16" x14ac:dyDescent="0.35">
      <c r="P334" s="49"/>
    </row>
    <row r="335" spans="16:16" x14ac:dyDescent="0.35">
      <c r="P335" s="49"/>
    </row>
    <row r="336" spans="16:16" x14ac:dyDescent="0.35">
      <c r="P336" s="49"/>
    </row>
    <row r="337" spans="16:16" x14ac:dyDescent="0.35">
      <c r="P337" s="49"/>
    </row>
    <row r="338" spans="16:16" x14ac:dyDescent="0.35">
      <c r="P338" s="49"/>
    </row>
    <row r="339" spans="16:16" x14ac:dyDescent="0.35">
      <c r="P339" s="49"/>
    </row>
    <row r="340" spans="16:16" x14ac:dyDescent="0.35">
      <c r="P340" s="49"/>
    </row>
    <row r="341" spans="16:16" x14ac:dyDescent="0.35">
      <c r="P341" s="49"/>
    </row>
    <row r="342" spans="16:16" x14ac:dyDescent="0.35">
      <c r="P342" s="49"/>
    </row>
    <row r="343" spans="16:16" x14ac:dyDescent="0.35">
      <c r="P343" s="49"/>
    </row>
    <row r="344" spans="16:16" x14ac:dyDescent="0.35">
      <c r="P344" s="49"/>
    </row>
    <row r="345" spans="16:16" x14ac:dyDescent="0.35">
      <c r="P345" s="49"/>
    </row>
    <row r="346" spans="16:16" x14ac:dyDescent="0.35">
      <c r="P346" s="49"/>
    </row>
    <row r="347" spans="16:16" x14ac:dyDescent="0.35">
      <c r="P347" s="49"/>
    </row>
    <row r="348" spans="16:16" x14ac:dyDescent="0.35">
      <c r="P348" s="49"/>
    </row>
    <row r="349" spans="16:16" x14ac:dyDescent="0.35">
      <c r="P349" s="49"/>
    </row>
    <row r="350" spans="16:16" x14ac:dyDescent="0.35">
      <c r="P350" s="49"/>
    </row>
    <row r="351" spans="16:16" x14ac:dyDescent="0.35">
      <c r="P351" s="49"/>
    </row>
    <row r="352" spans="16:16" x14ac:dyDescent="0.35">
      <c r="P352" s="49"/>
    </row>
    <row r="353" spans="16:16" x14ac:dyDescent="0.35">
      <c r="P353" s="49"/>
    </row>
    <row r="354" spans="16:16" x14ac:dyDescent="0.35">
      <c r="P354" s="49"/>
    </row>
    <row r="355" spans="16:16" x14ac:dyDescent="0.35">
      <c r="P355" s="49"/>
    </row>
    <row r="356" spans="16:16" x14ac:dyDescent="0.35">
      <c r="P356" s="49"/>
    </row>
    <row r="357" spans="16:16" x14ac:dyDescent="0.35">
      <c r="P357" s="49"/>
    </row>
    <row r="358" spans="16:16" x14ac:dyDescent="0.35">
      <c r="P358" s="49"/>
    </row>
    <row r="359" spans="16:16" x14ac:dyDescent="0.35">
      <c r="P359" s="49"/>
    </row>
    <row r="360" spans="16:16" x14ac:dyDescent="0.35">
      <c r="P360" s="49"/>
    </row>
    <row r="361" spans="16:16" x14ac:dyDescent="0.35">
      <c r="P361" s="49"/>
    </row>
    <row r="362" spans="16:16" x14ac:dyDescent="0.35">
      <c r="P362" s="49"/>
    </row>
    <row r="363" spans="16:16" x14ac:dyDescent="0.35">
      <c r="P363" s="49"/>
    </row>
    <row r="364" spans="16:16" x14ac:dyDescent="0.35">
      <c r="P364" s="49"/>
    </row>
    <row r="365" spans="16:16" x14ac:dyDescent="0.35">
      <c r="P365" s="49"/>
    </row>
    <row r="366" spans="16:16" x14ac:dyDescent="0.35">
      <c r="P366" s="49"/>
    </row>
    <row r="367" spans="16:16" x14ac:dyDescent="0.35">
      <c r="P367" s="49"/>
    </row>
    <row r="368" spans="16:16" x14ac:dyDescent="0.35">
      <c r="P368" s="49"/>
    </row>
    <row r="369" spans="16:16" x14ac:dyDescent="0.35">
      <c r="P369" s="49"/>
    </row>
    <row r="370" spans="16:16" x14ac:dyDescent="0.35">
      <c r="P370" s="49"/>
    </row>
    <row r="371" spans="16:16" x14ac:dyDescent="0.35">
      <c r="P371" s="49"/>
    </row>
    <row r="372" spans="16:16" x14ac:dyDescent="0.35">
      <c r="P372" s="49"/>
    </row>
    <row r="373" spans="16:16" x14ac:dyDescent="0.35">
      <c r="P373" s="49"/>
    </row>
    <row r="374" spans="16:16" x14ac:dyDescent="0.35">
      <c r="P374" s="49"/>
    </row>
    <row r="375" spans="16:16" x14ac:dyDescent="0.35">
      <c r="P375" s="49"/>
    </row>
    <row r="376" spans="16:16" x14ac:dyDescent="0.35">
      <c r="P376" s="49"/>
    </row>
    <row r="377" spans="16:16" x14ac:dyDescent="0.35">
      <c r="P377" s="49"/>
    </row>
    <row r="378" spans="16:16" x14ac:dyDescent="0.35">
      <c r="P378" s="49"/>
    </row>
    <row r="379" spans="16:16" x14ac:dyDescent="0.35">
      <c r="P379" s="49"/>
    </row>
    <row r="380" spans="16:16" x14ac:dyDescent="0.35">
      <c r="P380" s="49"/>
    </row>
    <row r="381" spans="16:16" x14ac:dyDescent="0.35">
      <c r="P381" s="49"/>
    </row>
    <row r="382" spans="16:16" x14ac:dyDescent="0.35">
      <c r="P382" s="49"/>
    </row>
    <row r="383" spans="16:16" x14ac:dyDescent="0.35">
      <c r="P383" s="49"/>
    </row>
    <row r="384" spans="16:16" x14ac:dyDescent="0.35">
      <c r="P384" s="49"/>
    </row>
    <row r="385" spans="16:16" x14ac:dyDescent="0.35">
      <c r="P385" s="49"/>
    </row>
    <row r="386" spans="16:16" x14ac:dyDescent="0.35">
      <c r="P386" s="49"/>
    </row>
    <row r="387" spans="16:16" x14ac:dyDescent="0.35">
      <c r="P387" s="49"/>
    </row>
    <row r="388" spans="16:16" x14ac:dyDescent="0.35">
      <c r="P388" s="49"/>
    </row>
    <row r="389" spans="16:16" x14ac:dyDescent="0.35">
      <c r="P389" s="49"/>
    </row>
    <row r="390" spans="16:16" x14ac:dyDescent="0.35">
      <c r="P390" s="49"/>
    </row>
    <row r="391" spans="16:16" x14ac:dyDescent="0.35">
      <c r="P391" s="49"/>
    </row>
    <row r="392" spans="16:16" x14ac:dyDescent="0.35">
      <c r="P392" s="49"/>
    </row>
    <row r="393" spans="16:16" x14ac:dyDescent="0.35">
      <c r="P393" s="49"/>
    </row>
    <row r="394" spans="16:16" x14ac:dyDescent="0.35">
      <c r="P394" s="49"/>
    </row>
    <row r="395" spans="16:16" x14ac:dyDescent="0.35">
      <c r="P395" s="49"/>
    </row>
    <row r="396" spans="16:16" x14ac:dyDescent="0.35">
      <c r="P396" s="49"/>
    </row>
    <row r="397" spans="16:16" x14ac:dyDescent="0.35">
      <c r="P397" s="49"/>
    </row>
    <row r="398" spans="16:16" x14ac:dyDescent="0.35">
      <c r="P398" s="49"/>
    </row>
    <row r="399" spans="16:16" x14ac:dyDescent="0.35">
      <c r="P399" s="49"/>
    </row>
    <row r="400" spans="16:16" x14ac:dyDescent="0.35">
      <c r="P400" s="49"/>
    </row>
    <row r="401" spans="16:16" x14ac:dyDescent="0.35">
      <c r="P401" s="49"/>
    </row>
    <row r="402" spans="16:16" x14ac:dyDescent="0.35">
      <c r="P402" s="49"/>
    </row>
    <row r="403" spans="16:16" x14ac:dyDescent="0.35">
      <c r="P403" s="49"/>
    </row>
    <row r="404" spans="16:16" x14ac:dyDescent="0.35">
      <c r="P404" s="49"/>
    </row>
    <row r="405" spans="16:16" x14ac:dyDescent="0.35">
      <c r="P405" s="49"/>
    </row>
    <row r="406" spans="16:16" x14ac:dyDescent="0.35">
      <c r="P406" s="49"/>
    </row>
    <row r="407" spans="16:16" x14ac:dyDescent="0.35">
      <c r="P407" s="49"/>
    </row>
    <row r="408" spans="16:16" x14ac:dyDescent="0.35">
      <c r="P408" s="49"/>
    </row>
    <row r="409" spans="16:16" x14ac:dyDescent="0.35">
      <c r="P409" s="49"/>
    </row>
    <row r="410" spans="16:16" x14ac:dyDescent="0.35">
      <c r="P410" s="49"/>
    </row>
    <row r="411" spans="16:16" x14ac:dyDescent="0.35">
      <c r="P411" s="49"/>
    </row>
    <row r="412" spans="16:16" x14ac:dyDescent="0.35">
      <c r="P412" s="49"/>
    </row>
    <row r="413" spans="16:16" x14ac:dyDescent="0.35">
      <c r="P413" s="49"/>
    </row>
    <row r="414" spans="16:16" x14ac:dyDescent="0.35">
      <c r="P414" s="49"/>
    </row>
    <row r="415" spans="16:16" x14ac:dyDescent="0.35">
      <c r="P415" s="49"/>
    </row>
    <row r="416" spans="16:16" x14ac:dyDescent="0.35">
      <c r="P416" s="49"/>
    </row>
    <row r="417" spans="16:16" x14ac:dyDescent="0.35">
      <c r="P417" s="49"/>
    </row>
    <row r="418" spans="16:16" x14ac:dyDescent="0.35">
      <c r="P418" s="49"/>
    </row>
    <row r="419" spans="16:16" x14ac:dyDescent="0.35">
      <c r="P419" s="49"/>
    </row>
    <row r="420" spans="16:16" x14ac:dyDescent="0.35">
      <c r="P420" s="49"/>
    </row>
    <row r="421" spans="16:16" x14ac:dyDescent="0.35">
      <c r="P421" s="49"/>
    </row>
    <row r="422" spans="16:16" x14ac:dyDescent="0.35">
      <c r="P422" s="49"/>
    </row>
    <row r="423" spans="16:16" x14ac:dyDescent="0.35">
      <c r="P423" s="49"/>
    </row>
    <row r="424" spans="16:16" x14ac:dyDescent="0.35">
      <c r="P424" s="49"/>
    </row>
    <row r="425" spans="16:16" x14ac:dyDescent="0.35">
      <c r="P425" s="49"/>
    </row>
    <row r="426" spans="16:16" x14ac:dyDescent="0.35">
      <c r="P426" s="49"/>
    </row>
    <row r="427" spans="16:16" x14ac:dyDescent="0.35">
      <c r="P427" s="49"/>
    </row>
    <row r="428" spans="16:16" x14ac:dyDescent="0.35">
      <c r="P428" s="49"/>
    </row>
    <row r="429" spans="16:16" x14ac:dyDescent="0.35">
      <c r="P429" s="49"/>
    </row>
    <row r="430" spans="16:16" x14ac:dyDescent="0.35">
      <c r="P430" s="49"/>
    </row>
    <row r="431" spans="16:16" x14ac:dyDescent="0.35">
      <c r="P431" s="49"/>
    </row>
    <row r="432" spans="16:16" x14ac:dyDescent="0.35">
      <c r="P432" s="49"/>
    </row>
    <row r="433" spans="16:16" x14ac:dyDescent="0.35">
      <c r="P433" s="49"/>
    </row>
    <row r="434" spans="16:16" x14ac:dyDescent="0.35">
      <c r="P434" s="49"/>
    </row>
    <row r="435" spans="16:16" x14ac:dyDescent="0.35">
      <c r="P435" s="49"/>
    </row>
    <row r="436" spans="16:16" x14ac:dyDescent="0.35">
      <c r="P436" s="49"/>
    </row>
    <row r="437" spans="16:16" x14ac:dyDescent="0.35">
      <c r="P437" s="49"/>
    </row>
    <row r="438" spans="16:16" x14ac:dyDescent="0.35">
      <c r="P438" s="49"/>
    </row>
    <row r="439" spans="16:16" x14ac:dyDescent="0.35">
      <c r="P439" s="49"/>
    </row>
    <row r="440" spans="16:16" x14ac:dyDescent="0.35">
      <c r="P440" s="49"/>
    </row>
    <row r="441" spans="16:16" x14ac:dyDescent="0.35">
      <c r="P441" s="49"/>
    </row>
    <row r="442" spans="16:16" x14ac:dyDescent="0.35">
      <c r="P442" s="49"/>
    </row>
    <row r="443" spans="16:16" x14ac:dyDescent="0.35">
      <c r="P443" s="49"/>
    </row>
    <row r="444" spans="16:16" x14ac:dyDescent="0.35">
      <c r="P444" s="49"/>
    </row>
    <row r="445" spans="16:16" x14ac:dyDescent="0.35">
      <c r="P445" s="49"/>
    </row>
    <row r="446" spans="16:16" x14ac:dyDescent="0.35">
      <c r="P446" s="49"/>
    </row>
    <row r="447" spans="16:16" x14ac:dyDescent="0.35">
      <c r="P447" s="49"/>
    </row>
    <row r="448" spans="16:16" x14ac:dyDescent="0.35">
      <c r="P448" s="49"/>
    </row>
    <row r="449" spans="16:16" x14ac:dyDescent="0.35">
      <c r="P449" s="49"/>
    </row>
    <row r="450" spans="16:16" x14ac:dyDescent="0.35">
      <c r="P450" s="49"/>
    </row>
    <row r="451" spans="16:16" x14ac:dyDescent="0.35">
      <c r="P451" s="49"/>
    </row>
    <row r="452" spans="16:16" x14ac:dyDescent="0.35">
      <c r="P452" s="49"/>
    </row>
    <row r="453" spans="16:16" x14ac:dyDescent="0.35">
      <c r="P453" s="49"/>
    </row>
    <row r="454" spans="16:16" x14ac:dyDescent="0.35">
      <c r="P454" s="49"/>
    </row>
    <row r="455" spans="16:16" x14ac:dyDescent="0.35">
      <c r="P455" s="49"/>
    </row>
    <row r="456" spans="16:16" x14ac:dyDescent="0.35">
      <c r="P456" s="49"/>
    </row>
    <row r="457" spans="16:16" x14ac:dyDescent="0.35">
      <c r="P457" s="49"/>
    </row>
    <row r="458" spans="16:16" x14ac:dyDescent="0.35">
      <c r="P458" s="49"/>
    </row>
    <row r="459" spans="16:16" x14ac:dyDescent="0.35">
      <c r="P459" s="49"/>
    </row>
    <row r="460" spans="16:16" x14ac:dyDescent="0.35">
      <c r="P460" s="49"/>
    </row>
    <row r="461" spans="16:16" x14ac:dyDescent="0.35">
      <c r="P461" s="49"/>
    </row>
    <row r="462" spans="16:16" x14ac:dyDescent="0.35">
      <c r="P462" s="49"/>
    </row>
    <row r="463" spans="16:16" x14ac:dyDescent="0.35">
      <c r="P463" s="49"/>
    </row>
    <row r="464" spans="16:16" x14ac:dyDescent="0.35">
      <c r="P464" s="49"/>
    </row>
    <row r="465" spans="16:16" x14ac:dyDescent="0.35">
      <c r="P465" s="49"/>
    </row>
    <row r="466" spans="16:16" x14ac:dyDescent="0.35">
      <c r="P466" s="49"/>
    </row>
    <row r="467" spans="16:16" x14ac:dyDescent="0.35">
      <c r="P467" s="49"/>
    </row>
    <row r="468" spans="16:16" x14ac:dyDescent="0.35">
      <c r="P468" s="49"/>
    </row>
    <row r="469" spans="16:16" x14ac:dyDescent="0.35">
      <c r="P469" s="49"/>
    </row>
    <row r="470" spans="16:16" x14ac:dyDescent="0.35">
      <c r="P470" s="49"/>
    </row>
    <row r="471" spans="16:16" x14ac:dyDescent="0.35">
      <c r="P471" s="49"/>
    </row>
    <row r="472" spans="16:16" x14ac:dyDescent="0.35">
      <c r="P472" s="49"/>
    </row>
    <row r="473" spans="16:16" x14ac:dyDescent="0.35">
      <c r="P473" s="49"/>
    </row>
    <row r="474" spans="16:16" x14ac:dyDescent="0.35">
      <c r="P474" s="49"/>
    </row>
    <row r="475" spans="16:16" x14ac:dyDescent="0.35">
      <c r="P475" s="49"/>
    </row>
    <row r="476" spans="16:16" x14ac:dyDescent="0.35">
      <c r="P476" s="49"/>
    </row>
    <row r="477" spans="16:16" x14ac:dyDescent="0.35">
      <c r="P477" s="49"/>
    </row>
    <row r="478" spans="16:16" x14ac:dyDescent="0.35">
      <c r="P478" s="49"/>
    </row>
    <row r="479" spans="16:16" x14ac:dyDescent="0.35">
      <c r="P479" s="49"/>
    </row>
    <row r="480" spans="16:16" x14ac:dyDescent="0.35">
      <c r="P480" s="49"/>
    </row>
    <row r="481" spans="16:16" x14ac:dyDescent="0.35">
      <c r="P481" s="49"/>
    </row>
    <row r="482" spans="16:16" x14ac:dyDescent="0.35">
      <c r="P482" s="49"/>
    </row>
    <row r="483" spans="16:16" x14ac:dyDescent="0.35">
      <c r="P483" s="49"/>
    </row>
    <row r="484" spans="16:16" x14ac:dyDescent="0.35">
      <c r="P484" s="49"/>
    </row>
    <row r="485" spans="16:16" x14ac:dyDescent="0.35">
      <c r="P485" s="49"/>
    </row>
    <row r="486" spans="16:16" x14ac:dyDescent="0.35">
      <c r="P486" s="49"/>
    </row>
    <row r="487" spans="16:16" x14ac:dyDescent="0.35">
      <c r="P487" s="49"/>
    </row>
    <row r="488" spans="16:16" x14ac:dyDescent="0.35">
      <c r="P488" s="49"/>
    </row>
    <row r="489" spans="16:16" x14ac:dyDescent="0.35">
      <c r="P489" s="49"/>
    </row>
    <row r="490" spans="16:16" x14ac:dyDescent="0.35">
      <c r="P490" s="49"/>
    </row>
    <row r="491" spans="16:16" x14ac:dyDescent="0.35">
      <c r="P491" s="49"/>
    </row>
    <row r="492" spans="16:16" x14ac:dyDescent="0.35">
      <c r="P492" s="49"/>
    </row>
    <row r="493" spans="16:16" x14ac:dyDescent="0.35">
      <c r="P493" s="49"/>
    </row>
    <row r="494" spans="16:16" x14ac:dyDescent="0.35">
      <c r="P494" s="49"/>
    </row>
    <row r="495" spans="16:16" x14ac:dyDescent="0.35">
      <c r="P495" s="49"/>
    </row>
    <row r="496" spans="16:16" x14ac:dyDescent="0.35">
      <c r="P496" s="49"/>
    </row>
    <row r="497" spans="16:16" x14ac:dyDescent="0.35">
      <c r="P497" s="49"/>
    </row>
    <row r="498" spans="16:16" x14ac:dyDescent="0.35">
      <c r="P498" s="49"/>
    </row>
    <row r="499" spans="16:16" x14ac:dyDescent="0.35">
      <c r="P499" s="49"/>
    </row>
    <row r="500" spans="16:16" x14ac:dyDescent="0.35">
      <c r="P500" s="49"/>
    </row>
    <row r="501" spans="16:16" x14ac:dyDescent="0.35">
      <c r="P501" s="49"/>
    </row>
    <row r="502" spans="16:16" x14ac:dyDescent="0.35">
      <c r="P502" s="49"/>
    </row>
    <row r="503" spans="16:16" x14ac:dyDescent="0.35">
      <c r="P503" s="49"/>
    </row>
    <row r="504" spans="16:16" x14ac:dyDescent="0.35">
      <c r="P504" s="49"/>
    </row>
    <row r="505" spans="16:16" x14ac:dyDescent="0.35">
      <c r="P505" s="49"/>
    </row>
    <row r="506" spans="16:16" x14ac:dyDescent="0.35">
      <c r="P506" s="49"/>
    </row>
    <row r="507" spans="16:16" x14ac:dyDescent="0.35">
      <c r="P507" s="49"/>
    </row>
    <row r="508" spans="16:16" x14ac:dyDescent="0.35">
      <c r="P508" s="49"/>
    </row>
    <row r="509" spans="16:16" x14ac:dyDescent="0.35">
      <c r="P509" s="49"/>
    </row>
    <row r="510" spans="16:16" x14ac:dyDescent="0.35">
      <c r="P510" s="49"/>
    </row>
    <row r="511" spans="16:16" x14ac:dyDescent="0.35">
      <c r="P511" s="49"/>
    </row>
    <row r="512" spans="16:16" x14ac:dyDescent="0.35">
      <c r="P512" s="49"/>
    </row>
    <row r="513" spans="16:16" x14ac:dyDescent="0.35">
      <c r="P513" s="49"/>
    </row>
    <row r="514" spans="16:16" x14ac:dyDescent="0.35">
      <c r="P514" s="49"/>
    </row>
    <row r="515" spans="16:16" x14ac:dyDescent="0.35">
      <c r="P515" s="49"/>
    </row>
    <row r="516" spans="16:16" x14ac:dyDescent="0.35">
      <c r="P516" s="49"/>
    </row>
    <row r="517" spans="16:16" x14ac:dyDescent="0.35">
      <c r="P517" s="49"/>
    </row>
    <row r="518" spans="16:16" x14ac:dyDescent="0.35">
      <c r="P518" s="49"/>
    </row>
    <row r="519" spans="16:16" x14ac:dyDescent="0.35">
      <c r="P519" s="49"/>
    </row>
    <row r="520" spans="16:16" x14ac:dyDescent="0.35">
      <c r="P520" s="49"/>
    </row>
    <row r="521" spans="16:16" x14ac:dyDescent="0.35">
      <c r="P521" s="49"/>
    </row>
    <row r="522" spans="16:16" x14ac:dyDescent="0.35">
      <c r="P522" s="49"/>
    </row>
    <row r="523" spans="16:16" x14ac:dyDescent="0.35">
      <c r="P523" s="49"/>
    </row>
    <row r="524" spans="16:16" x14ac:dyDescent="0.35">
      <c r="P524" s="49"/>
    </row>
    <row r="525" spans="16:16" x14ac:dyDescent="0.35">
      <c r="P525" s="49"/>
    </row>
    <row r="526" spans="16:16" x14ac:dyDescent="0.35">
      <c r="P526" s="49"/>
    </row>
    <row r="527" spans="16:16" x14ac:dyDescent="0.35">
      <c r="P527" s="49"/>
    </row>
    <row r="528" spans="16:16" x14ac:dyDescent="0.35">
      <c r="P528" s="49"/>
    </row>
    <row r="529" spans="16:16" x14ac:dyDescent="0.35">
      <c r="P529" s="49"/>
    </row>
    <row r="530" spans="16:16" x14ac:dyDescent="0.35">
      <c r="P530" s="49"/>
    </row>
    <row r="531" spans="16:16" x14ac:dyDescent="0.35">
      <c r="P531" s="49"/>
    </row>
    <row r="532" spans="16:16" x14ac:dyDescent="0.35">
      <c r="P532" s="49"/>
    </row>
    <row r="533" spans="16:16" x14ac:dyDescent="0.35">
      <c r="P533" s="49"/>
    </row>
    <row r="534" spans="16:16" x14ac:dyDescent="0.35">
      <c r="P534" s="49"/>
    </row>
    <row r="535" spans="16:16" x14ac:dyDescent="0.35">
      <c r="P535" s="49"/>
    </row>
    <row r="536" spans="16:16" x14ac:dyDescent="0.35">
      <c r="P536" s="49"/>
    </row>
    <row r="537" spans="16:16" x14ac:dyDescent="0.35">
      <c r="P537" s="49"/>
    </row>
    <row r="538" spans="16:16" x14ac:dyDescent="0.35">
      <c r="P538" s="49"/>
    </row>
    <row r="539" spans="16:16" x14ac:dyDescent="0.35">
      <c r="P539" s="49"/>
    </row>
    <row r="540" spans="16:16" x14ac:dyDescent="0.35">
      <c r="P540" s="49"/>
    </row>
    <row r="541" spans="16:16" x14ac:dyDescent="0.35">
      <c r="P541" s="49"/>
    </row>
    <row r="542" spans="16:16" x14ac:dyDescent="0.35">
      <c r="P542" s="49"/>
    </row>
    <row r="543" spans="16:16" x14ac:dyDescent="0.35">
      <c r="P543" s="49"/>
    </row>
    <row r="544" spans="16:16" x14ac:dyDescent="0.35">
      <c r="P544" s="49"/>
    </row>
    <row r="545" spans="16:16" x14ac:dyDescent="0.35">
      <c r="P545" s="49"/>
    </row>
    <row r="546" spans="16:16" x14ac:dyDescent="0.35">
      <c r="P546" s="49"/>
    </row>
    <row r="547" spans="16:16" x14ac:dyDescent="0.35">
      <c r="P547" s="49"/>
    </row>
    <row r="548" spans="16:16" x14ac:dyDescent="0.35">
      <c r="P548" s="49"/>
    </row>
    <row r="549" spans="16:16" x14ac:dyDescent="0.35">
      <c r="P549" s="49"/>
    </row>
    <row r="550" spans="16:16" x14ac:dyDescent="0.35">
      <c r="P550" s="49"/>
    </row>
    <row r="551" spans="16:16" x14ac:dyDescent="0.35">
      <c r="P551" s="49"/>
    </row>
    <row r="552" spans="16:16" x14ac:dyDescent="0.35">
      <c r="P552" s="49"/>
    </row>
    <row r="553" spans="16:16" x14ac:dyDescent="0.35">
      <c r="P553" s="49"/>
    </row>
    <row r="554" spans="16:16" x14ac:dyDescent="0.35">
      <c r="P554" s="49"/>
    </row>
    <row r="555" spans="16:16" x14ac:dyDescent="0.35">
      <c r="P555" s="49"/>
    </row>
    <row r="556" spans="16:16" x14ac:dyDescent="0.35">
      <c r="P556" s="49"/>
    </row>
    <row r="557" spans="16:16" x14ac:dyDescent="0.35">
      <c r="P557" s="49"/>
    </row>
    <row r="558" spans="16:16" x14ac:dyDescent="0.35">
      <c r="P558" s="49"/>
    </row>
    <row r="559" spans="16:16" x14ac:dyDescent="0.35">
      <c r="P559" s="49"/>
    </row>
    <row r="560" spans="16:16" x14ac:dyDescent="0.35">
      <c r="P560" s="49"/>
    </row>
    <row r="561" spans="16:16" x14ac:dyDescent="0.35">
      <c r="P561" s="49"/>
    </row>
    <row r="562" spans="16:16" x14ac:dyDescent="0.35">
      <c r="P562" s="49"/>
    </row>
    <row r="563" spans="16:16" x14ac:dyDescent="0.35">
      <c r="P563" s="49"/>
    </row>
    <row r="564" spans="16:16" x14ac:dyDescent="0.35">
      <c r="P564" s="49"/>
    </row>
    <row r="565" spans="16:16" x14ac:dyDescent="0.35">
      <c r="P565" s="49"/>
    </row>
    <row r="566" spans="16:16" x14ac:dyDescent="0.35">
      <c r="P566" s="49"/>
    </row>
    <row r="567" spans="16:16" x14ac:dyDescent="0.35">
      <c r="P567" s="49"/>
    </row>
    <row r="568" spans="16:16" x14ac:dyDescent="0.35">
      <c r="P568" s="49"/>
    </row>
    <row r="569" spans="16:16" x14ac:dyDescent="0.35">
      <c r="P569" s="49"/>
    </row>
    <row r="570" spans="16:16" x14ac:dyDescent="0.35">
      <c r="P570" s="49"/>
    </row>
    <row r="571" spans="16:16" x14ac:dyDescent="0.35">
      <c r="P571" s="49"/>
    </row>
    <row r="572" spans="16:16" x14ac:dyDescent="0.35">
      <c r="P572" s="49"/>
    </row>
    <row r="573" spans="16:16" x14ac:dyDescent="0.35">
      <c r="P573" s="49"/>
    </row>
    <row r="574" spans="16:16" x14ac:dyDescent="0.35">
      <c r="P574" s="49"/>
    </row>
    <row r="575" spans="16:16" x14ac:dyDescent="0.35">
      <c r="P575" s="49"/>
    </row>
    <row r="576" spans="16:16" x14ac:dyDescent="0.35">
      <c r="P576" s="49"/>
    </row>
    <row r="577" spans="16:16" x14ac:dyDescent="0.35">
      <c r="P577" s="49"/>
    </row>
    <row r="578" spans="16:16" x14ac:dyDescent="0.35">
      <c r="P578" s="49"/>
    </row>
    <row r="579" spans="16:16" x14ac:dyDescent="0.35">
      <c r="P579" s="49"/>
    </row>
    <row r="580" spans="16:16" x14ac:dyDescent="0.35">
      <c r="P580" s="49"/>
    </row>
    <row r="581" spans="16:16" x14ac:dyDescent="0.35">
      <c r="P581" s="49"/>
    </row>
    <row r="582" spans="16:16" x14ac:dyDescent="0.35">
      <c r="P582" s="49"/>
    </row>
    <row r="583" spans="16:16" x14ac:dyDescent="0.35">
      <c r="P583" s="49"/>
    </row>
    <row r="584" spans="16:16" x14ac:dyDescent="0.35">
      <c r="P584" s="49"/>
    </row>
    <row r="585" spans="16:16" x14ac:dyDescent="0.35">
      <c r="P585" s="49"/>
    </row>
    <row r="586" spans="16:16" x14ac:dyDescent="0.35">
      <c r="P586" s="49"/>
    </row>
    <row r="587" spans="16:16" x14ac:dyDescent="0.35">
      <c r="P587" s="49"/>
    </row>
    <row r="588" spans="16:16" x14ac:dyDescent="0.35">
      <c r="P588" s="49"/>
    </row>
    <row r="589" spans="16:16" x14ac:dyDescent="0.35">
      <c r="P589" s="49"/>
    </row>
    <row r="590" spans="16:16" x14ac:dyDescent="0.35">
      <c r="P590" s="49"/>
    </row>
    <row r="591" spans="16:16" x14ac:dyDescent="0.35">
      <c r="P591" s="49"/>
    </row>
    <row r="592" spans="16:16" x14ac:dyDescent="0.35">
      <c r="P592" s="49"/>
    </row>
    <row r="593" spans="16:16" x14ac:dyDescent="0.35">
      <c r="P593" s="49"/>
    </row>
    <row r="594" spans="16:16" x14ac:dyDescent="0.35">
      <c r="P594" s="49"/>
    </row>
    <row r="595" spans="16:16" x14ac:dyDescent="0.35">
      <c r="P595" s="49"/>
    </row>
    <row r="596" spans="16:16" x14ac:dyDescent="0.35">
      <c r="P596" s="49"/>
    </row>
    <row r="597" spans="16:16" x14ac:dyDescent="0.35">
      <c r="P597" s="49"/>
    </row>
    <row r="598" spans="16:16" x14ac:dyDescent="0.35">
      <c r="P598" s="49"/>
    </row>
    <row r="599" spans="16:16" x14ac:dyDescent="0.35">
      <c r="P599" s="49"/>
    </row>
    <row r="600" spans="16:16" x14ac:dyDescent="0.35">
      <c r="P600" s="49"/>
    </row>
    <row r="601" spans="16:16" x14ac:dyDescent="0.35">
      <c r="P601" s="49"/>
    </row>
    <row r="602" spans="16:16" x14ac:dyDescent="0.35">
      <c r="P602" s="49"/>
    </row>
    <row r="603" spans="16:16" x14ac:dyDescent="0.35">
      <c r="P603" s="49"/>
    </row>
    <row r="604" spans="16:16" x14ac:dyDescent="0.35">
      <c r="P604" s="49"/>
    </row>
    <row r="605" spans="16:16" x14ac:dyDescent="0.35">
      <c r="P605" s="49"/>
    </row>
    <row r="606" spans="16:16" x14ac:dyDescent="0.35">
      <c r="P606" s="49"/>
    </row>
    <row r="607" spans="16:16" x14ac:dyDescent="0.35">
      <c r="P607" s="49"/>
    </row>
    <row r="608" spans="16:16" x14ac:dyDescent="0.35">
      <c r="P608" s="49"/>
    </row>
    <row r="609" spans="16:16" x14ac:dyDescent="0.35">
      <c r="P609" s="49"/>
    </row>
    <row r="610" spans="16:16" x14ac:dyDescent="0.35">
      <c r="P610" s="49"/>
    </row>
    <row r="611" spans="16:16" x14ac:dyDescent="0.35">
      <c r="P611" s="49"/>
    </row>
    <row r="612" spans="16:16" x14ac:dyDescent="0.35">
      <c r="P612" s="49"/>
    </row>
    <row r="613" spans="16:16" x14ac:dyDescent="0.35">
      <c r="P613" s="49"/>
    </row>
    <row r="614" spans="16:16" x14ac:dyDescent="0.35">
      <c r="P614" s="49"/>
    </row>
    <row r="615" spans="16:16" x14ac:dyDescent="0.35">
      <c r="P615" s="49"/>
    </row>
    <row r="616" spans="16:16" x14ac:dyDescent="0.35">
      <c r="P616" s="49"/>
    </row>
    <row r="617" spans="16:16" x14ac:dyDescent="0.35">
      <c r="P617" s="49"/>
    </row>
    <row r="618" spans="16:16" x14ac:dyDescent="0.35">
      <c r="P618" s="49"/>
    </row>
    <row r="619" spans="16:16" x14ac:dyDescent="0.35">
      <c r="P619" s="49"/>
    </row>
    <row r="620" spans="16:16" x14ac:dyDescent="0.35">
      <c r="P620" s="49"/>
    </row>
    <row r="621" spans="16:16" x14ac:dyDescent="0.35">
      <c r="P621" s="49"/>
    </row>
    <row r="622" spans="16:16" x14ac:dyDescent="0.35">
      <c r="P622" s="49"/>
    </row>
    <row r="623" spans="16:16" x14ac:dyDescent="0.35">
      <c r="P623" s="49"/>
    </row>
    <row r="624" spans="16:16" x14ac:dyDescent="0.35">
      <c r="P624" s="49"/>
    </row>
    <row r="625" spans="16:16" x14ac:dyDescent="0.35">
      <c r="P625" s="49"/>
    </row>
    <row r="626" spans="16:16" x14ac:dyDescent="0.35">
      <c r="P626" s="49"/>
    </row>
    <row r="627" spans="16:16" x14ac:dyDescent="0.35">
      <c r="P627" s="49"/>
    </row>
    <row r="628" spans="16:16" x14ac:dyDescent="0.35">
      <c r="P628" s="49"/>
    </row>
    <row r="629" spans="16:16" x14ac:dyDescent="0.35">
      <c r="P629" s="49"/>
    </row>
    <row r="630" spans="16:16" x14ac:dyDescent="0.35">
      <c r="P630" s="49"/>
    </row>
    <row r="631" spans="16:16" x14ac:dyDescent="0.35">
      <c r="P631" s="49"/>
    </row>
    <row r="632" spans="16:16" x14ac:dyDescent="0.35">
      <c r="P632" s="49"/>
    </row>
    <row r="633" spans="16:16" x14ac:dyDescent="0.35">
      <c r="P633" s="49"/>
    </row>
    <row r="634" spans="16:16" x14ac:dyDescent="0.35">
      <c r="P634" s="49"/>
    </row>
    <row r="635" spans="16:16" x14ac:dyDescent="0.35">
      <c r="P635" s="49"/>
    </row>
    <row r="636" spans="16:16" x14ac:dyDescent="0.35">
      <c r="P636" s="49"/>
    </row>
    <row r="637" spans="16:16" x14ac:dyDescent="0.35">
      <c r="P637" s="49"/>
    </row>
    <row r="638" spans="16:16" x14ac:dyDescent="0.35">
      <c r="P638" s="49"/>
    </row>
    <row r="639" spans="16:16" x14ac:dyDescent="0.35">
      <c r="P639" s="49"/>
    </row>
    <row r="640" spans="16:16" x14ac:dyDescent="0.35">
      <c r="P640" s="49"/>
    </row>
    <row r="641" spans="16:16" x14ac:dyDescent="0.35">
      <c r="P641" s="49"/>
    </row>
    <row r="642" spans="16:16" x14ac:dyDescent="0.35">
      <c r="P642" s="49"/>
    </row>
    <row r="643" spans="16:16" x14ac:dyDescent="0.35">
      <c r="P643" s="49"/>
    </row>
    <row r="644" spans="16:16" x14ac:dyDescent="0.35">
      <c r="P644" s="49"/>
    </row>
    <row r="645" spans="16:16" x14ac:dyDescent="0.35">
      <c r="P645" s="49"/>
    </row>
    <row r="646" spans="16:16" x14ac:dyDescent="0.35">
      <c r="P646" s="49"/>
    </row>
    <row r="647" spans="16:16" x14ac:dyDescent="0.35">
      <c r="P647" s="49"/>
    </row>
    <row r="648" spans="16:16" x14ac:dyDescent="0.35">
      <c r="P648" s="49"/>
    </row>
    <row r="649" spans="16:16" x14ac:dyDescent="0.35">
      <c r="P649" s="49"/>
    </row>
    <row r="650" spans="16:16" x14ac:dyDescent="0.35">
      <c r="P650" s="49"/>
    </row>
    <row r="651" spans="16:16" x14ac:dyDescent="0.35">
      <c r="P651" s="49"/>
    </row>
    <row r="652" spans="16:16" x14ac:dyDescent="0.35">
      <c r="P652" s="49"/>
    </row>
    <row r="653" spans="16:16" x14ac:dyDescent="0.35">
      <c r="P653" s="49"/>
    </row>
    <row r="654" spans="16:16" x14ac:dyDescent="0.35">
      <c r="P654" s="49"/>
    </row>
    <row r="655" spans="16:16" x14ac:dyDescent="0.35">
      <c r="P655" s="49"/>
    </row>
    <row r="656" spans="16:16" x14ac:dyDescent="0.35">
      <c r="P656" s="49"/>
    </row>
    <row r="657" spans="16:16" x14ac:dyDescent="0.35">
      <c r="P657" s="49"/>
    </row>
    <row r="658" spans="16:16" x14ac:dyDescent="0.35">
      <c r="P658" s="49"/>
    </row>
    <row r="659" spans="16:16" x14ac:dyDescent="0.35">
      <c r="P659" s="49"/>
    </row>
    <row r="660" spans="16:16" x14ac:dyDescent="0.35">
      <c r="P660" s="49"/>
    </row>
    <row r="661" spans="16:16" x14ac:dyDescent="0.35">
      <c r="P661" s="49"/>
    </row>
    <row r="662" spans="16:16" x14ac:dyDescent="0.35">
      <c r="P662" s="49"/>
    </row>
    <row r="663" spans="16:16" x14ac:dyDescent="0.35">
      <c r="P663" s="49"/>
    </row>
    <row r="664" spans="16:16" x14ac:dyDescent="0.35">
      <c r="P664" s="49"/>
    </row>
    <row r="665" spans="16:16" x14ac:dyDescent="0.35">
      <c r="P665" s="49"/>
    </row>
    <row r="666" spans="16:16" x14ac:dyDescent="0.35">
      <c r="P666" s="49"/>
    </row>
    <row r="667" spans="16:16" x14ac:dyDescent="0.35">
      <c r="P667" s="49"/>
    </row>
    <row r="668" spans="16:16" x14ac:dyDescent="0.35">
      <c r="P668" s="49"/>
    </row>
    <row r="669" spans="16:16" x14ac:dyDescent="0.35">
      <c r="P669" s="49"/>
    </row>
    <row r="670" spans="16:16" x14ac:dyDescent="0.35">
      <c r="P670" s="49"/>
    </row>
    <row r="671" spans="16:16" x14ac:dyDescent="0.35">
      <c r="P671" s="49"/>
    </row>
    <row r="672" spans="16:16" x14ac:dyDescent="0.35">
      <c r="P672" s="49"/>
    </row>
    <row r="673" spans="16:16" x14ac:dyDescent="0.35">
      <c r="P673" s="49"/>
    </row>
    <row r="674" spans="16:16" x14ac:dyDescent="0.35">
      <c r="P674" s="49"/>
    </row>
    <row r="675" spans="16:16" x14ac:dyDescent="0.35">
      <c r="P675" s="49"/>
    </row>
    <row r="676" spans="16:16" x14ac:dyDescent="0.35">
      <c r="P676" s="49"/>
    </row>
    <row r="677" spans="16:16" x14ac:dyDescent="0.35">
      <c r="P677" s="49"/>
    </row>
    <row r="678" spans="16:16" x14ac:dyDescent="0.35">
      <c r="P678" s="49"/>
    </row>
    <row r="679" spans="16:16" x14ac:dyDescent="0.35">
      <c r="P679" s="49"/>
    </row>
    <row r="680" spans="16:16" x14ac:dyDescent="0.35">
      <c r="P680" s="49"/>
    </row>
    <row r="681" spans="16:16" x14ac:dyDescent="0.35">
      <c r="P681" s="49"/>
    </row>
    <row r="682" spans="16:16" x14ac:dyDescent="0.35">
      <c r="P682" s="49"/>
    </row>
    <row r="683" spans="16:16" x14ac:dyDescent="0.35">
      <c r="P683" s="49"/>
    </row>
    <row r="684" spans="16:16" x14ac:dyDescent="0.35">
      <c r="P684" s="49"/>
    </row>
    <row r="685" spans="16:16" x14ac:dyDescent="0.35">
      <c r="P685" s="49"/>
    </row>
    <row r="686" spans="16:16" x14ac:dyDescent="0.35">
      <c r="P686" s="49"/>
    </row>
    <row r="687" spans="16:16" x14ac:dyDescent="0.35">
      <c r="P687" s="49"/>
    </row>
    <row r="688" spans="16:16" x14ac:dyDescent="0.35">
      <c r="P688" s="49"/>
    </row>
    <row r="689" spans="16:16" x14ac:dyDescent="0.35">
      <c r="P689" s="49"/>
    </row>
    <row r="690" spans="16:16" x14ac:dyDescent="0.35">
      <c r="P690" s="49"/>
    </row>
    <row r="691" spans="16:16" x14ac:dyDescent="0.35">
      <c r="P691" s="49"/>
    </row>
    <row r="692" spans="16:16" x14ac:dyDescent="0.35">
      <c r="P692" s="49"/>
    </row>
    <row r="693" spans="16:16" x14ac:dyDescent="0.35">
      <c r="P693" s="49"/>
    </row>
    <row r="694" spans="16:16" x14ac:dyDescent="0.35">
      <c r="P694" s="49"/>
    </row>
    <row r="695" spans="16:16" x14ac:dyDescent="0.35">
      <c r="P695" s="49"/>
    </row>
    <row r="696" spans="16:16" x14ac:dyDescent="0.35">
      <c r="P696" s="49"/>
    </row>
    <row r="697" spans="16:16" x14ac:dyDescent="0.35">
      <c r="P697" s="49"/>
    </row>
    <row r="698" spans="16:16" x14ac:dyDescent="0.35">
      <c r="P698" s="49"/>
    </row>
    <row r="699" spans="16:16" x14ac:dyDescent="0.35">
      <c r="P699" s="49"/>
    </row>
    <row r="700" spans="16:16" x14ac:dyDescent="0.35">
      <c r="P700" s="49"/>
    </row>
    <row r="701" spans="16:16" x14ac:dyDescent="0.35">
      <c r="P701" s="49"/>
    </row>
    <row r="702" spans="16:16" x14ac:dyDescent="0.35">
      <c r="P702" s="49"/>
    </row>
  </sheetData>
  <sortState ref="C13:D15">
    <sortCondition descending="1" ref="D13"/>
  </sortState>
  <mergeCells count="5">
    <mergeCell ref="C3:M3"/>
    <mergeCell ref="F7:M7"/>
    <mergeCell ref="C24:M24"/>
    <mergeCell ref="C23:G23"/>
    <mergeCell ref="B26:R32"/>
  </mergeCells>
  <pageMargins left="0.7" right="0.7" top="0.75" bottom="0.75" header="0.3" footer="0.3"/>
  <pageSetup paperSize="9" scale="10" orientation="portrait" r:id="rId1"/>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4">
    <pageSetUpPr fitToPage="1"/>
  </sheetPr>
  <dimension ref="B1:S704"/>
  <sheetViews>
    <sheetView showGridLines="0" zoomScale="75" zoomScaleNormal="75" workbookViewId="0"/>
  </sheetViews>
  <sheetFormatPr defaultColWidth="9.1796875" defaultRowHeight="15.5" x14ac:dyDescent="0.35"/>
  <cols>
    <col min="1" max="1" width="2.81640625" style="3" customWidth="1"/>
    <col min="2" max="2" width="3.81640625" style="3" customWidth="1"/>
    <col min="3" max="3" width="59.1796875" style="3" bestFit="1" customWidth="1"/>
    <col min="4" max="4" width="15.453125" style="3" bestFit="1" customWidth="1"/>
    <col min="5" max="5" width="9.1796875" style="3"/>
    <col min="6" max="6" width="10.7265625" style="3" customWidth="1"/>
    <col min="7" max="7" width="10.54296875" style="3" bestFit="1" customWidth="1"/>
    <col min="8" max="9" width="9.1796875" style="3"/>
    <col min="10" max="11" width="16.453125" style="3" customWidth="1"/>
    <col min="12" max="18" width="9.1796875" style="3"/>
    <col min="19" max="19" width="9.81640625" style="3" customWidth="1"/>
    <col min="20" max="21" width="9.26953125" style="3" bestFit="1" customWidth="1"/>
    <col min="22" max="16384" width="9.1796875" style="3"/>
  </cols>
  <sheetData>
    <row r="1" spans="2:19" ht="16" thickBot="1" x14ac:dyDescent="0.4"/>
    <row r="2" spans="2:19" x14ac:dyDescent="0.35">
      <c r="B2" s="91"/>
      <c r="C2" s="42"/>
      <c r="D2" s="42"/>
      <c r="E2" s="42"/>
      <c r="F2" s="42"/>
      <c r="G2" s="42"/>
      <c r="H2" s="42"/>
      <c r="I2" s="42"/>
      <c r="J2" s="42"/>
      <c r="K2" s="42"/>
      <c r="L2" s="42"/>
      <c r="M2" s="92"/>
    </row>
    <row r="3" spans="2:19" ht="20.25" customHeight="1" x14ac:dyDescent="0.35">
      <c r="B3" s="93"/>
      <c r="C3" s="297" t="s">
        <v>155</v>
      </c>
      <c r="D3" s="297"/>
      <c r="E3" s="297"/>
      <c r="F3" s="297"/>
      <c r="G3" s="297"/>
      <c r="H3" s="297"/>
      <c r="I3" s="297"/>
      <c r="J3" s="297"/>
      <c r="K3" s="297"/>
      <c r="L3" s="297"/>
      <c r="M3" s="298"/>
    </row>
    <row r="4" spans="2:19" x14ac:dyDescent="0.35">
      <c r="B4" s="93"/>
      <c r="C4" s="67" t="s">
        <v>434</v>
      </c>
      <c r="D4" s="29"/>
      <c r="E4" s="29"/>
      <c r="F4" s="5"/>
      <c r="G4" s="5"/>
      <c r="H4" s="5"/>
      <c r="I4" s="5"/>
      <c r="J4" s="5"/>
      <c r="K4" s="5"/>
      <c r="L4" s="5"/>
      <c r="M4" s="20"/>
    </row>
    <row r="5" spans="2:19" ht="20.25" customHeight="1" x14ac:dyDescent="0.35">
      <c r="B5" s="93"/>
      <c r="C5" s="211" t="s">
        <v>435</v>
      </c>
      <c r="D5" s="94" t="s">
        <v>414</v>
      </c>
      <c r="E5" s="19"/>
      <c r="F5" s="5"/>
      <c r="G5" s="5"/>
      <c r="H5" s="5"/>
      <c r="I5" s="5"/>
      <c r="J5" s="5"/>
      <c r="K5" s="5"/>
      <c r="L5" s="5"/>
      <c r="M5" s="20"/>
    </row>
    <row r="6" spans="2:19" x14ac:dyDescent="0.35">
      <c r="B6" s="93"/>
      <c r="C6" s="5"/>
      <c r="D6" s="5"/>
      <c r="E6" s="5"/>
      <c r="F6" s="5"/>
      <c r="G6" s="5"/>
      <c r="H6" s="5"/>
      <c r="I6" s="5"/>
      <c r="J6" s="5"/>
      <c r="K6" s="5"/>
      <c r="L6" s="5"/>
      <c r="M6" s="20"/>
    </row>
    <row r="7" spans="2:19" ht="32.25" customHeight="1" x14ac:dyDescent="0.35">
      <c r="B7" s="93"/>
      <c r="C7" s="95" t="s">
        <v>43</v>
      </c>
      <c r="D7" s="95" t="s">
        <v>45</v>
      </c>
      <c r="E7" s="5"/>
      <c r="F7" s="299" t="s">
        <v>50</v>
      </c>
      <c r="G7" s="299"/>
      <c r="H7" s="299"/>
      <c r="I7" s="299"/>
      <c r="J7" s="299"/>
      <c r="K7" s="299"/>
      <c r="L7" s="299"/>
      <c r="M7" s="300"/>
    </row>
    <row r="8" spans="2:19" x14ac:dyDescent="0.35">
      <c r="B8" s="93"/>
      <c r="C8" s="38" t="s">
        <v>176</v>
      </c>
      <c r="D8" s="190">
        <v>7.9662999999999998E-2</v>
      </c>
      <c r="E8" s="5"/>
      <c r="F8" s="5"/>
      <c r="G8" s="31"/>
      <c r="H8" s="5"/>
      <c r="I8" s="97" t="s">
        <v>51</v>
      </c>
      <c r="J8" s="98">
        <f>D11</f>
        <v>0.48775799999999997</v>
      </c>
      <c r="K8" s="5"/>
      <c r="L8" s="5"/>
      <c r="M8" s="20"/>
      <c r="S8" s="49"/>
    </row>
    <row r="9" spans="2:19" ht="15.75" customHeight="1" x14ac:dyDescent="0.35">
      <c r="B9" s="93"/>
      <c r="C9" s="4" t="s">
        <v>173</v>
      </c>
      <c r="D9" s="174">
        <v>0.27548299999999998</v>
      </c>
      <c r="E9" s="5"/>
      <c r="F9" s="5"/>
      <c r="G9" s="5"/>
      <c r="H9" s="5"/>
      <c r="I9" s="97" t="s">
        <v>53</v>
      </c>
      <c r="J9" s="99">
        <f>D17</f>
        <v>0.47427799999999998</v>
      </c>
      <c r="K9" s="5"/>
      <c r="L9" s="5"/>
      <c r="M9" s="20"/>
      <c r="S9" s="49"/>
    </row>
    <row r="10" spans="2:19" x14ac:dyDescent="0.35">
      <c r="B10" s="93"/>
      <c r="C10" s="4" t="s">
        <v>172</v>
      </c>
      <c r="D10" s="174">
        <v>0.13261200000000001</v>
      </c>
      <c r="E10" s="5"/>
      <c r="F10" s="5"/>
      <c r="G10" s="5"/>
      <c r="H10" s="5"/>
      <c r="I10" s="97" t="s">
        <v>20</v>
      </c>
      <c r="J10" s="99">
        <f>D19</f>
        <v>3.7963999999999998E-2</v>
      </c>
      <c r="K10" s="5"/>
      <c r="L10" s="5"/>
      <c r="M10" s="20"/>
      <c r="S10" s="49"/>
    </row>
    <row r="11" spans="2:19" ht="15.75" customHeight="1" x14ac:dyDescent="0.35">
      <c r="B11" s="93"/>
      <c r="C11" s="7" t="s">
        <v>52</v>
      </c>
      <c r="D11" s="8">
        <f>SUM(D8:D10)</f>
        <v>0.48775799999999997</v>
      </c>
      <c r="E11" s="5"/>
      <c r="F11" s="5"/>
      <c r="G11" s="5"/>
      <c r="H11" s="5"/>
      <c r="K11" s="5"/>
      <c r="L11" s="5"/>
      <c r="M11" s="20"/>
      <c r="S11" s="49"/>
    </row>
    <row r="12" spans="2:19" x14ac:dyDescent="0.35">
      <c r="B12" s="93"/>
      <c r="C12" s="38"/>
      <c r="D12" s="38"/>
      <c r="E12" s="5"/>
      <c r="F12" s="5"/>
      <c r="G12" s="5"/>
      <c r="H12" s="5"/>
      <c r="K12" s="5"/>
      <c r="L12" s="5"/>
      <c r="M12" s="20"/>
      <c r="S12" s="49"/>
    </row>
    <row r="13" spans="2:19" ht="15.75" customHeight="1" x14ac:dyDescent="0.35">
      <c r="B13" s="93"/>
      <c r="C13" s="4" t="s">
        <v>175</v>
      </c>
      <c r="D13" s="174">
        <v>0.387355</v>
      </c>
      <c r="E13" s="5"/>
      <c r="F13" s="5"/>
      <c r="G13" s="5"/>
      <c r="H13" s="5"/>
      <c r="I13" s="97"/>
      <c r="J13" s="97"/>
      <c r="K13" s="5"/>
      <c r="L13" s="5"/>
      <c r="M13" s="20"/>
      <c r="S13" s="49"/>
    </row>
    <row r="14" spans="2:19" x14ac:dyDescent="0.35">
      <c r="B14" s="93"/>
      <c r="C14" s="4" t="s">
        <v>174</v>
      </c>
      <c r="D14" s="174">
        <v>8.6923E-2</v>
      </c>
      <c r="E14" s="5"/>
      <c r="F14" s="5"/>
      <c r="G14" s="5"/>
      <c r="H14" s="5"/>
      <c r="I14" s="5"/>
      <c r="J14" s="5"/>
      <c r="K14" s="5"/>
      <c r="L14" s="5"/>
      <c r="M14" s="20"/>
      <c r="S14" s="49"/>
    </row>
    <row r="15" spans="2:19" x14ac:dyDescent="0.35">
      <c r="B15" s="93"/>
      <c r="C15" s="4"/>
      <c r="D15" s="174"/>
      <c r="E15" s="5"/>
      <c r="F15" s="5"/>
      <c r="G15" s="5"/>
      <c r="H15" s="5"/>
      <c r="I15" s="5"/>
      <c r="J15" s="5"/>
      <c r="K15" s="5"/>
      <c r="L15" s="5"/>
      <c r="M15" s="20"/>
      <c r="S15" s="49"/>
    </row>
    <row r="16" spans="2:19" x14ac:dyDescent="0.35">
      <c r="B16" s="93"/>
      <c r="C16" s="4"/>
      <c r="D16" s="6"/>
      <c r="E16" s="5"/>
      <c r="F16" s="5"/>
      <c r="G16" s="5"/>
      <c r="H16" s="5"/>
      <c r="I16" s="5"/>
      <c r="J16" s="5"/>
      <c r="K16" s="5"/>
      <c r="L16" s="5"/>
      <c r="M16" s="20"/>
      <c r="S16" s="49"/>
    </row>
    <row r="17" spans="2:19" x14ac:dyDescent="0.35">
      <c r="B17" s="93"/>
      <c r="C17" s="7" t="s">
        <v>19</v>
      </c>
      <c r="D17" s="8">
        <f>SUM(D13:D16)</f>
        <v>0.47427799999999998</v>
      </c>
      <c r="E17" s="5"/>
      <c r="F17" s="5"/>
      <c r="G17" s="5"/>
      <c r="H17" s="5"/>
      <c r="I17" s="5"/>
      <c r="J17" s="5"/>
      <c r="K17" s="5"/>
      <c r="L17" s="5"/>
      <c r="M17" s="20"/>
      <c r="S17" s="49"/>
    </row>
    <row r="18" spans="2:19" x14ac:dyDescent="0.35">
      <c r="B18" s="93"/>
      <c r="C18" s="4"/>
      <c r="D18" s="6"/>
      <c r="E18" s="5"/>
      <c r="F18" s="5"/>
      <c r="G18" s="5"/>
      <c r="H18" s="5"/>
      <c r="I18" s="5"/>
      <c r="J18" s="5"/>
      <c r="K18" s="5"/>
      <c r="L18" s="5"/>
      <c r="M18" s="20"/>
      <c r="S18" s="49"/>
    </row>
    <row r="19" spans="2:19" x14ac:dyDescent="0.35">
      <c r="B19" s="93"/>
      <c r="C19" s="7" t="s">
        <v>20</v>
      </c>
      <c r="D19" s="199">
        <v>3.7963999999999998E-2</v>
      </c>
      <c r="E19" s="5"/>
      <c r="F19" s="5"/>
      <c r="G19" s="5"/>
      <c r="H19" s="5"/>
      <c r="I19" s="5"/>
      <c r="J19" s="5"/>
      <c r="K19" s="5"/>
      <c r="L19" s="5"/>
      <c r="M19" s="20"/>
      <c r="S19" s="49"/>
    </row>
    <row r="20" spans="2:19" x14ac:dyDescent="0.35">
      <c r="B20" s="93"/>
      <c r="C20" s="4"/>
      <c r="D20" s="6"/>
      <c r="E20" s="5"/>
      <c r="F20" s="5"/>
      <c r="G20" s="5"/>
      <c r="H20" s="5"/>
      <c r="I20" s="5"/>
      <c r="J20" s="5"/>
      <c r="K20" s="5"/>
      <c r="L20" s="5"/>
      <c r="M20" s="20"/>
      <c r="S20" s="49"/>
    </row>
    <row r="21" spans="2:19" x14ac:dyDescent="0.35">
      <c r="B21" s="93"/>
      <c r="C21" s="9" t="s">
        <v>54</v>
      </c>
      <c r="D21" s="10">
        <f>SUM(D19,D17,D11)</f>
        <v>1</v>
      </c>
      <c r="E21" s="5"/>
      <c r="F21" s="5"/>
      <c r="G21" s="5"/>
      <c r="H21" s="5"/>
      <c r="I21" s="5"/>
      <c r="J21" s="5"/>
      <c r="K21" s="5"/>
      <c r="L21" s="5"/>
      <c r="M21" s="20"/>
      <c r="S21" s="49"/>
    </row>
    <row r="22" spans="2:19" ht="15.75" customHeight="1" x14ac:dyDescent="0.35">
      <c r="B22" s="93"/>
      <c r="E22" s="5"/>
      <c r="F22" s="5"/>
      <c r="G22" s="5"/>
      <c r="H22" s="5"/>
      <c r="I22" s="5"/>
      <c r="J22" s="5"/>
      <c r="K22" s="5"/>
      <c r="L22" s="5"/>
      <c r="M22" s="20"/>
      <c r="S22" s="49"/>
    </row>
    <row r="23" spans="2:19" x14ac:dyDescent="0.35">
      <c r="B23" s="93"/>
      <c r="C23" s="33"/>
      <c r="D23" s="34"/>
      <c r="E23" s="5"/>
      <c r="F23" s="5"/>
      <c r="G23" s="5"/>
      <c r="H23" s="5"/>
      <c r="I23" s="5"/>
      <c r="J23" s="5"/>
      <c r="K23" s="5"/>
      <c r="L23" s="5"/>
      <c r="M23" s="20"/>
      <c r="S23" s="49"/>
    </row>
    <row r="24" spans="2:19" x14ac:dyDescent="0.35">
      <c r="B24" s="93"/>
      <c r="C24" s="90"/>
      <c r="D24" s="90"/>
      <c r="E24" s="5"/>
      <c r="F24" s="31"/>
      <c r="G24" s="5"/>
      <c r="H24" s="5"/>
      <c r="I24" s="5"/>
      <c r="J24" s="5"/>
      <c r="K24" s="5"/>
      <c r="L24" s="5"/>
      <c r="M24" s="20"/>
      <c r="S24" s="49"/>
    </row>
    <row r="25" spans="2:19" x14ac:dyDescent="0.35">
      <c r="B25" s="93"/>
      <c r="C25" s="90"/>
      <c r="D25" s="90"/>
      <c r="E25" s="5"/>
      <c r="F25" s="31"/>
      <c r="G25" s="5"/>
      <c r="H25" s="5"/>
      <c r="I25" s="5"/>
      <c r="J25" s="5"/>
      <c r="K25" s="5"/>
      <c r="L25" s="5"/>
      <c r="M25" s="20"/>
      <c r="S25" s="49"/>
    </row>
    <row r="26" spans="2:19" ht="16" thickBot="1" x14ac:dyDescent="0.4">
      <c r="B26" s="96"/>
      <c r="C26" s="100"/>
      <c r="D26" s="100"/>
      <c r="E26" s="100"/>
      <c r="F26" s="100"/>
      <c r="G26" s="100"/>
      <c r="H26" s="100"/>
      <c r="I26" s="100"/>
      <c r="J26" s="100"/>
      <c r="K26" s="100"/>
      <c r="L26" s="100"/>
      <c r="M26" s="101"/>
      <c r="S26" s="49"/>
    </row>
    <row r="27" spans="2:19" ht="16" thickBot="1" x14ac:dyDescent="0.4">
      <c r="S27" s="49"/>
    </row>
    <row r="28" spans="2:19" ht="15" customHeight="1" x14ac:dyDescent="0.35">
      <c r="B28" s="303" t="s">
        <v>179</v>
      </c>
      <c r="C28" s="304"/>
      <c r="D28" s="304"/>
      <c r="E28" s="304"/>
      <c r="F28" s="304"/>
      <c r="G28" s="304"/>
      <c r="H28" s="304"/>
      <c r="I28" s="304"/>
      <c r="J28" s="304"/>
      <c r="K28" s="304"/>
      <c r="L28" s="304"/>
      <c r="M28" s="304"/>
      <c r="N28" s="304"/>
      <c r="O28" s="304"/>
      <c r="P28" s="304"/>
      <c r="Q28" s="304"/>
      <c r="R28" s="305"/>
      <c r="S28" s="49"/>
    </row>
    <row r="29" spans="2:19" x14ac:dyDescent="0.35">
      <c r="B29" s="306"/>
      <c r="C29" s="307"/>
      <c r="D29" s="307"/>
      <c r="E29" s="307"/>
      <c r="F29" s="307"/>
      <c r="G29" s="307"/>
      <c r="H29" s="307"/>
      <c r="I29" s="307"/>
      <c r="J29" s="307"/>
      <c r="K29" s="307"/>
      <c r="L29" s="307"/>
      <c r="M29" s="307"/>
      <c r="N29" s="307"/>
      <c r="O29" s="307"/>
      <c r="P29" s="307"/>
      <c r="Q29" s="307"/>
      <c r="R29" s="308"/>
      <c r="S29" s="49"/>
    </row>
    <row r="30" spans="2:19" x14ac:dyDescent="0.35">
      <c r="B30" s="306"/>
      <c r="C30" s="307"/>
      <c r="D30" s="307"/>
      <c r="E30" s="307"/>
      <c r="F30" s="307"/>
      <c r="G30" s="307"/>
      <c r="H30" s="307"/>
      <c r="I30" s="307"/>
      <c r="J30" s="307"/>
      <c r="K30" s="307"/>
      <c r="L30" s="307"/>
      <c r="M30" s="307"/>
      <c r="N30" s="307"/>
      <c r="O30" s="307"/>
      <c r="P30" s="307"/>
      <c r="Q30" s="307"/>
      <c r="R30" s="308"/>
      <c r="S30" s="49"/>
    </row>
    <row r="31" spans="2:19" x14ac:dyDescent="0.35">
      <c r="B31" s="306"/>
      <c r="C31" s="307"/>
      <c r="D31" s="307"/>
      <c r="E31" s="307"/>
      <c r="F31" s="307"/>
      <c r="G31" s="307"/>
      <c r="H31" s="307"/>
      <c r="I31" s="307"/>
      <c r="J31" s="307"/>
      <c r="K31" s="307"/>
      <c r="L31" s="307"/>
      <c r="M31" s="307"/>
      <c r="N31" s="307"/>
      <c r="O31" s="307"/>
      <c r="P31" s="307"/>
      <c r="Q31" s="307"/>
      <c r="R31" s="308"/>
      <c r="S31" s="49"/>
    </row>
    <row r="32" spans="2:19" x14ac:dyDescent="0.35">
      <c r="B32" s="306"/>
      <c r="C32" s="307"/>
      <c r="D32" s="307"/>
      <c r="E32" s="307"/>
      <c r="F32" s="307"/>
      <c r="G32" s="307"/>
      <c r="H32" s="307"/>
      <c r="I32" s="307"/>
      <c r="J32" s="307"/>
      <c r="K32" s="307"/>
      <c r="L32" s="307"/>
      <c r="M32" s="307"/>
      <c r="N32" s="307"/>
      <c r="O32" s="307"/>
      <c r="P32" s="307"/>
      <c r="Q32" s="307"/>
      <c r="R32" s="308"/>
      <c r="S32" s="49"/>
    </row>
    <row r="33" spans="2:19" x14ac:dyDescent="0.35">
      <c r="B33" s="306"/>
      <c r="C33" s="307"/>
      <c r="D33" s="307"/>
      <c r="E33" s="307"/>
      <c r="F33" s="307"/>
      <c r="G33" s="307"/>
      <c r="H33" s="307"/>
      <c r="I33" s="307"/>
      <c r="J33" s="307"/>
      <c r="K33" s="307"/>
      <c r="L33" s="307"/>
      <c r="M33" s="307"/>
      <c r="N33" s="307"/>
      <c r="O33" s="307"/>
      <c r="P33" s="307"/>
      <c r="Q33" s="307"/>
      <c r="R33" s="308"/>
      <c r="S33" s="49"/>
    </row>
    <row r="34" spans="2:19" ht="16" thickBot="1" x14ac:dyDescent="0.4">
      <c r="B34" s="309"/>
      <c r="C34" s="310"/>
      <c r="D34" s="310"/>
      <c r="E34" s="310"/>
      <c r="F34" s="310"/>
      <c r="G34" s="310"/>
      <c r="H34" s="310"/>
      <c r="I34" s="310"/>
      <c r="J34" s="310"/>
      <c r="K34" s="310"/>
      <c r="L34" s="310"/>
      <c r="M34" s="310"/>
      <c r="N34" s="310"/>
      <c r="O34" s="310"/>
      <c r="P34" s="310"/>
      <c r="Q34" s="310"/>
      <c r="R34" s="311"/>
      <c r="S34" s="49"/>
    </row>
    <row r="35" spans="2:19" x14ac:dyDescent="0.35">
      <c r="S35" s="49"/>
    </row>
    <row r="36" spans="2:19" x14ac:dyDescent="0.35">
      <c r="C36" s="223"/>
      <c r="D36" s="222"/>
      <c r="S36" s="49"/>
    </row>
    <row r="37" spans="2:19" x14ac:dyDescent="0.35">
      <c r="C37" s="223"/>
      <c r="D37" s="222"/>
      <c r="S37" s="49"/>
    </row>
    <row r="38" spans="2:19" x14ac:dyDescent="0.35">
      <c r="C38" s="223"/>
      <c r="D38" s="222"/>
      <c r="S38" s="49"/>
    </row>
    <row r="39" spans="2:19" x14ac:dyDescent="0.35">
      <c r="C39" s="223"/>
      <c r="D39" s="222"/>
      <c r="S39" s="49"/>
    </row>
    <row r="40" spans="2:19" x14ac:dyDescent="0.35">
      <c r="C40" s="223"/>
      <c r="D40" s="222"/>
      <c r="S40" s="49"/>
    </row>
    <row r="41" spans="2:19" x14ac:dyDescent="0.35">
      <c r="C41" s="223"/>
      <c r="D41" s="222"/>
      <c r="S41" s="49"/>
    </row>
    <row r="42" spans="2:19" x14ac:dyDescent="0.35">
      <c r="C42" s="223"/>
      <c r="D42" s="222"/>
      <c r="S42" s="49"/>
    </row>
    <row r="43" spans="2:19" x14ac:dyDescent="0.35">
      <c r="S43" s="49"/>
    </row>
    <row r="44" spans="2:19" x14ac:dyDescent="0.35">
      <c r="S44" s="49"/>
    </row>
    <row r="45" spans="2:19" x14ac:dyDescent="0.35">
      <c r="S45" s="49"/>
    </row>
    <row r="46" spans="2:19" x14ac:dyDescent="0.35">
      <c r="S46" s="49"/>
    </row>
    <row r="47" spans="2:19" x14ac:dyDescent="0.35">
      <c r="S47" s="49"/>
    </row>
    <row r="48" spans="2:19" x14ac:dyDescent="0.35">
      <c r="S48" s="49"/>
    </row>
    <row r="49" spans="19:19" x14ac:dyDescent="0.35">
      <c r="S49" s="49"/>
    </row>
    <row r="50" spans="19:19" x14ac:dyDescent="0.35">
      <c r="S50" s="49"/>
    </row>
    <row r="51" spans="19:19" x14ac:dyDescent="0.35">
      <c r="S51" s="49"/>
    </row>
    <row r="52" spans="19:19" x14ac:dyDescent="0.35">
      <c r="S52" s="49"/>
    </row>
    <row r="53" spans="19:19" x14ac:dyDescent="0.35">
      <c r="S53" s="49"/>
    </row>
    <row r="54" spans="19:19" x14ac:dyDescent="0.35">
      <c r="S54" s="49"/>
    </row>
    <row r="55" spans="19:19" x14ac:dyDescent="0.35">
      <c r="S55" s="49"/>
    </row>
    <row r="56" spans="19:19" x14ac:dyDescent="0.35">
      <c r="S56" s="49"/>
    </row>
    <row r="57" spans="19:19" x14ac:dyDescent="0.35">
      <c r="S57" s="49"/>
    </row>
    <row r="58" spans="19:19" x14ac:dyDescent="0.35">
      <c r="S58" s="49"/>
    </row>
    <row r="59" spans="19:19" x14ac:dyDescent="0.35">
      <c r="S59" s="49"/>
    </row>
    <row r="60" spans="19:19" x14ac:dyDescent="0.35">
      <c r="S60" s="49"/>
    </row>
    <row r="61" spans="19:19" x14ac:dyDescent="0.35">
      <c r="S61" s="49"/>
    </row>
    <row r="62" spans="19:19" x14ac:dyDescent="0.35">
      <c r="S62" s="49"/>
    </row>
    <row r="63" spans="19:19" x14ac:dyDescent="0.35">
      <c r="S63" s="49"/>
    </row>
    <row r="64" spans="19:19" x14ac:dyDescent="0.35">
      <c r="S64" s="49"/>
    </row>
    <row r="65" spans="19:19" x14ac:dyDescent="0.35">
      <c r="S65" s="49"/>
    </row>
    <row r="66" spans="19:19" x14ac:dyDescent="0.35">
      <c r="S66" s="49"/>
    </row>
    <row r="67" spans="19:19" x14ac:dyDescent="0.35">
      <c r="S67" s="49"/>
    </row>
    <row r="68" spans="19:19" x14ac:dyDescent="0.35">
      <c r="S68" s="49"/>
    </row>
    <row r="69" spans="19:19" x14ac:dyDescent="0.35">
      <c r="S69" s="49"/>
    </row>
    <row r="70" spans="19:19" x14ac:dyDescent="0.35">
      <c r="S70" s="49"/>
    </row>
    <row r="71" spans="19:19" x14ac:dyDescent="0.35">
      <c r="S71" s="49"/>
    </row>
    <row r="72" spans="19:19" x14ac:dyDescent="0.35">
      <c r="S72" s="49"/>
    </row>
    <row r="73" spans="19:19" x14ac:dyDescent="0.35">
      <c r="S73" s="49"/>
    </row>
    <row r="74" spans="19:19" x14ac:dyDescent="0.35">
      <c r="S74" s="49"/>
    </row>
    <row r="75" spans="19:19" x14ac:dyDescent="0.35">
      <c r="S75" s="49"/>
    </row>
    <row r="76" spans="19:19" x14ac:dyDescent="0.35">
      <c r="S76" s="49"/>
    </row>
    <row r="77" spans="19:19" x14ac:dyDescent="0.35">
      <c r="S77" s="49"/>
    </row>
    <row r="78" spans="19:19" x14ac:dyDescent="0.35">
      <c r="S78" s="49"/>
    </row>
    <row r="79" spans="19:19" x14ac:dyDescent="0.35">
      <c r="S79" s="49"/>
    </row>
    <row r="80" spans="19:19" x14ac:dyDescent="0.35">
      <c r="S80" s="49"/>
    </row>
    <row r="81" spans="19:19" x14ac:dyDescent="0.35">
      <c r="S81" s="49"/>
    </row>
    <row r="82" spans="19:19" x14ac:dyDescent="0.35">
      <c r="S82" s="49"/>
    </row>
    <row r="83" spans="19:19" x14ac:dyDescent="0.35">
      <c r="S83" s="49"/>
    </row>
    <row r="84" spans="19:19" x14ac:dyDescent="0.35">
      <c r="S84" s="49"/>
    </row>
    <row r="85" spans="19:19" x14ac:dyDescent="0.35">
      <c r="S85" s="49"/>
    </row>
    <row r="86" spans="19:19" x14ac:dyDescent="0.35">
      <c r="S86" s="49"/>
    </row>
    <row r="87" spans="19:19" x14ac:dyDescent="0.35">
      <c r="S87" s="49"/>
    </row>
    <row r="88" spans="19:19" x14ac:dyDescent="0.35">
      <c r="S88" s="49"/>
    </row>
    <row r="89" spans="19:19" x14ac:dyDescent="0.35">
      <c r="S89" s="49"/>
    </row>
    <row r="90" spans="19:19" x14ac:dyDescent="0.35">
      <c r="S90" s="49"/>
    </row>
    <row r="91" spans="19:19" x14ac:dyDescent="0.35">
      <c r="S91" s="49"/>
    </row>
    <row r="92" spans="19:19" x14ac:dyDescent="0.35">
      <c r="S92" s="49"/>
    </row>
    <row r="93" spans="19:19" x14ac:dyDescent="0.35">
      <c r="S93" s="49"/>
    </row>
    <row r="94" spans="19:19" x14ac:dyDescent="0.35">
      <c r="S94" s="49"/>
    </row>
    <row r="95" spans="19:19" x14ac:dyDescent="0.35">
      <c r="S95" s="49"/>
    </row>
    <row r="96" spans="19:19" x14ac:dyDescent="0.35">
      <c r="S96" s="49"/>
    </row>
    <row r="97" spans="19:19" x14ac:dyDescent="0.35">
      <c r="S97" s="49"/>
    </row>
    <row r="98" spans="19:19" x14ac:dyDescent="0.35">
      <c r="S98" s="49"/>
    </row>
    <row r="99" spans="19:19" x14ac:dyDescent="0.35">
      <c r="S99" s="49"/>
    </row>
    <row r="100" spans="19:19" x14ac:dyDescent="0.35">
      <c r="S100" s="49"/>
    </row>
    <row r="101" spans="19:19" x14ac:dyDescent="0.35">
      <c r="S101" s="49"/>
    </row>
    <row r="102" spans="19:19" x14ac:dyDescent="0.35">
      <c r="S102" s="49"/>
    </row>
    <row r="103" spans="19:19" x14ac:dyDescent="0.35">
      <c r="S103" s="49"/>
    </row>
    <row r="104" spans="19:19" x14ac:dyDescent="0.35">
      <c r="S104" s="49"/>
    </row>
    <row r="105" spans="19:19" x14ac:dyDescent="0.35">
      <c r="S105" s="49"/>
    </row>
    <row r="106" spans="19:19" x14ac:dyDescent="0.35">
      <c r="S106" s="49"/>
    </row>
    <row r="107" spans="19:19" x14ac:dyDescent="0.35">
      <c r="S107" s="49"/>
    </row>
    <row r="108" spans="19:19" x14ac:dyDescent="0.35">
      <c r="S108" s="49"/>
    </row>
    <row r="109" spans="19:19" x14ac:dyDescent="0.35">
      <c r="S109" s="49"/>
    </row>
    <row r="110" spans="19:19" x14ac:dyDescent="0.35">
      <c r="S110" s="49"/>
    </row>
    <row r="111" spans="19:19" x14ac:dyDescent="0.35">
      <c r="S111" s="49"/>
    </row>
    <row r="112" spans="19:19" x14ac:dyDescent="0.35">
      <c r="S112" s="49"/>
    </row>
    <row r="113" spans="19:19" x14ac:dyDescent="0.35">
      <c r="S113" s="49"/>
    </row>
    <row r="114" spans="19:19" x14ac:dyDescent="0.35">
      <c r="S114" s="49"/>
    </row>
    <row r="115" spans="19:19" x14ac:dyDescent="0.35">
      <c r="S115" s="49"/>
    </row>
    <row r="116" spans="19:19" x14ac:dyDescent="0.35">
      <c r="S116" s="49"/>
    </row>
    <row r="117" spans="19:19" x14ac:dyDescent="0.35">
      <c r="S117" s="49"/>
    </row>
    <row r="118" spans="19:19" x14ac:dyDescent="0.35">
      <c r="S118" s="49"/>
    </row>
    <row r="119" spans="19:19" x14ac:dyDescent="0.35">
      <c r="S119" s="49"/>
    </row>
    <row r="120" spans="19:19" x14ac:dyDescent="0.35">
      <c r="S120" s="49"/>
    </row>
    <row r="121" spans="19:19" x14ac:dyDescent="0.35">
      <c r="S121" s="49"/>
    </row>
    <row r="122" spans="19:19" x14ac:dyDescent="0.35">
      <c r="S122" s="49"/>
    </row>
    <row r="123" spans="19:19" x14ac:dyDescent="0.35">
      <c r="S123" s="49"/>
    </row>
    <row r="124" spans="19:19" x14ac:dyDescent="0.35">
      <c r="S124" s="49"/>
    </row>
    <row r="125" spans="19:19" x14ac:dyDescent="0.35">
      <c r="S125" s="49"/>
    </row>
    <row r="126" spans="19:19" x14ac:dyDescent="0.35">
      <c r="S126" s="49"/>
    </row>
    <row r="127" spans="19:19" x14ac:dyDescent="0.35">
      <c r="S127" s="49"/>
    </row>
    <row r="128" spans="19:19" x14ac:dyDescent="0.35">
      <c r="S128" s="49"/>
    </row>
    <row r="129" spans="19:19" x14ac:dyDescent="0.35">
      <c r="S129" s="49"/>
    </row>
    <row r="130" spans="19:19" x14ac:dyDescent="0.35">
      <c r="S130" s="49"/>
    </row>
    <row r="131" spans="19:19" x14ac:dyDescent="0.35">
      <c r="S131" s="49"/>
    </row>
    <row r="132" spans="19:19" x14ac:dyDescent="0.35">
      <c r="S132" s="49"/>
    </row>
    <row r="133" spans="19:19" x14ac:dyDescent="0.35">
      <c r="S133" s="49"/>
    </row>
    <row r="134" spans="19:19" x14ac:dyDescent="0.35">
      <c r="S134" s="49"/>
    </row>
    <row r="135" spans="19:19" x14ac:dyDescent="0.35">
      <c r="S135" s="49"/>
    </row>
    <row r="136" spans="19:19" x14ac:dyDescent="0.35">
      <c r="S136" s="49"/>
    </row>
    <row r="137" spans="19:19" x14ac:dyDescent="0.35">
      <c r="S137" s="49"/>
    </row>
    <row r="138" spans="19:19" x14ac:dyDescent="0.35">
      <c r="S138" s="49"/>
    </row>
    <row r="139" spans="19:19" x14ac:dyDescent="0.35">
      <c r="S139" s="49"/>
    </row>
    <row r="140" spans="19:19" x14ac:dyDescent="0.35">
      <c r="S140" s="49"/>
    </row>
    <row r="141" spans="19:19" x14ac:dyDescent="0.35">
      <c r="S141" s="49"/>
    </row>
    <row r="142" spans="19:19" x14ac:dyDescent="0.35">
      <c r="S142" s="49"/>
    </row>
    <row r="143" spans="19:19" x14ac:dyDescent="0.35">
      <c r="S143" s="49"/>
    </row>
    <row r="144" spans="19:19" x14ac:dyDescent="0.35">
      <c r="S144" s="49"/>
    </row>
    <row r="145" spans="19:19" x14ac:dyDescent="0.35">
      <c r="S145" s="49"/>
    </row>
    <row r="146" spans="19:19" x14ac:dyDescent="0.35">
      <c r="S146" s="49"/>
    </row>
    <row r="147" spans="19:19" x14ac:dyDescent="0.35">
      <c r="S147" s="49"/>
    </row>
    <row r="148" spans="19:19" x14ac:dyDescent="0.35">
      <c r="S148" s="49"/>
    </row>
    <row r="149" spans="19:19" x14ac:dyDescent="0.35">
      <c r="S149" s="49"/>
    </row>
    <row r="150" spans="19:19" x14ac:dyDescent="0.35">
      <c r="S150" s="49"/>
    </row>
    <row r="151" spans="19:19" x14ac:dyDescent="0.35">
      <c r="S151" s="49"/>
    </row>
    <row r="152" spans="19:19" x14ac:dyDescent="0.35">
      <c r="S152" s="49"/>
    </row>
    <row r="153" spans="19:19" x14ac:dyDescent="0.35">
      <c r="S153" s="49"/>
    </row>
    <row r="154" spans="19:19" x14ac:dyDescent="0.35">
      <c r="S154" s="49"/>
    </row>
    <row r="155" spans="19:19" x14ac:dyDescent="0.35">
      <c r="S155" s="49"/>
    </row>
    <row r="156" spans="19:19" x14ac:dyDescent="0.35">
      <c r="S156" s="49"/>
    </row>
    <row r="157" spans="19:19" x14ac:dyDescent="0.35">
      <c r="S157" s="49"/>
    </row>
    <row r="158" spans="19:19" x14ac:dyDescent="0.35">
      <c r="S158" s="49"/>
    </row>
    <row r="159" spans="19:19" x14ac:dyDescent="0.35">
      <c r="S159" s="49"/>
    </row>
    <row r="160" spans="19:19" x14ac:dyDescent="0.35">
      <c r="S160" s="49"/>
    </row>
    <row r="161" spans="19:19" x14ac:dyDescent="0.35">
      <c r="S161" s="49"/>
    </row>
    <row r="162" spans="19:19" x14ac:dyDescent="0.35">
      <c r="S162" s="49"/>
    </row>
    <row r="163" spans="19:19" x14ac:dyDescent="0.35">
      <c r="S163" s="49"/>
    </row>
    <row r="164" spans="19:19" x14ac:dyDescent="0.35">
      <c r="S164" s="49"/>
    </row>
    <row r="165" spans="19:19" x14ac:dyDescent="0.35">
      <c r="S165" s="49"/>
    </row>
    <row r="166" spans="19:19" x14ac:dyDescent="0.35">
      <c r="S166" s="49"/>
    </row>
    <row r="167" spans="19:19" x14ac:dyDescent="0.35">
      <c r="S167" s="49"/>
    </row>
    <row r="168" spans="19:19" x14ac:dyDescent="0.35">
      <c r="S168" s="49"/>
    </row>
    <row r="169" spans="19:19" x14ac:dyDescent="0.35">
      <c r="S169" s="49"/>
    </row>
    <row r="170" spans="19:19" x14ac:dyDescent="0.35">
      <c r="S170" s="49"/>
    </row>
    <row r="171" spans="19:19" x14ac:dyDescent="0.35">
      <c r="S171" s="49"/>
    </row>
    <row r="172" spans="19:19" x14ac:dyDescent="0.35">
      <c r="S172" s="49"/>
    </row>
    <row r="173" spans="19:19" x14ac:dyDescent="0.35">
      <c r="S173" s="49"/>
    </row>
    <row r="174" spans="19:19" x14ac:dyDescent="0.35">
      <c r="S174" s="49"/>
    </row>
    <row r="175" spans="19:19" x14ac:dyDescent="0.35">
      <c r="S175" s="49"/>
    </row>
    <row r="176" spans="19:19" x14ac:dyDescent="0.35">
      <c r="S176" s="49"/>
    </row>
    <row r="177" spans="19:19" x14ac:dyDescent="0.35">
      <c r="S177" s="49"/>
    </row>
    <row r="178" spans="19:19" x14ac:dyDescent="0.35">
      <c r="S178" s="49"/>
    </row>
    <row r="179" spans="19:19" x14ac:dyDescent="0.35">
      <c r="S179" s="49"/>
    </row>
    <row r="180" spans="19:19" x14ac:dyDescent="0.35">
      <c r="S180" s="49"/>
    </row>
    <row r="181" spans="19:19" x14ac:dyDescent="0.35">
      <c r="S181" s="49"/>
    </row>
    <row r="182" spans="19:19" x14ac:dyDescent="0.35">
      <c r="S182" s="49"/>
    </row>
    <row r="183" spans="19:19" x14ac:dyDescent="0.35">
      <c r="S183" s="49"/>
    </row>
    <row r="184" spans="19:19" x14ac:dyDescent="0.35">
      <c r="S184" s="49"/>
    </row>
    <row r="185" spans="19:19" x14ac:dyDescent="0.35">
      <c r="S185" s="49"/>
    </row>
    <row r="186" spans="19:19" x14ac:dyDescent="0.35">
      <c r="S186" s="49"/>
    </row>
    <row r="187" spans="19:19" x14ac:dyDescent="0.35">
      <c r="S187" s="49"/>
    </row>
    <row r="188" spans="19:19" x14ac:dyDescent="0.35">
      <c r="S188" s="49"/>
    </row>
    <row r="189" spans="19:19" x14ac:dyDescent="0.35">
      <c r="S189" s="49"/>
    </row>
    <row r="190" spans="19:19" x14ac:dyDescent="0.35">
      <c r="S190" s="49"/>
    </row>
    <row r="191" spans="19:19" x14ac:dyDescent="0.35">
      <c r="S191" s="49"/>
    </row>
    <row r="192" spans="19:19" x14ac:dyDescent="0.35">
      <c r="S192" s="49"/>
    </row>
    <row r="193" spans="19:19" x14ac:dyDescent="0.35">
      <c r="S193" s="49"/>
    </row>
    <row r="194" spans="19:19" x14ac:dyDescent="0.35">
      <c r="S194" s="49"/>
    </row>
    <row r="195" spans="19:19" x14ac:dyDescent="0.35">
      <c r="S195" s="49"/>
    </row>
    <row r="196" spans="19:19" x14ac:dyDescent="0.35">
      <c r="S196" s="49"/>
    </row>
    <row r="197" spans="19:19" x14ac:dyDescent="0.35">
      <c r="S197" s="49"/>
    </row>
    <row r="198" spans="19:19" x14ac:dyDescent="0.35">
      <c r="S198" s="49"/>
    </row>
    <row r="199" spans="19:19" x14ac:dyDescent="0.35">
      <c r="S199" s="49"/>
    </row>
    <row r="200" spans="19:19" x14ac:dyDescent="0.35">
      <c r="S200" s="49"/>
    </row>
    <row r="201" spans="19:19" x14ac:dyDescent="0.35">
      <c r="S201" s="49"/>
    </row>
    <row r="202" spans="19:19" x14ac:dyDescent="0.35">
      <c r="S202" s="49"/>
    </row>
    <row r="203" spans="19:19" x14ac:dyDescent="0.35">
      <c r="S203" s="49"/>
    </row>
    <row r="204" spans="19:19" x14ac:dyDescent="0.35">
      <c r="S204" s="49"/>
    </row>
    <row r="205" spans="19:19" x14ac:dyDescent="0.35">
      <c r="S205" s="49"/>
    </row>
    <row r="206" spans="19:19" x14ac:dyDescent="0.35">
      <c r="S206" s="49"/>
    </row>
    <row r="207" spans="19:19" x14ac:dyDescent="0.35">
      <c r="S207" s="49"/>
    </row>
    <row r="208" spans="19:19" x14ac:dyDescent="0.35">
      <c r="S208" s="49"/>
    </row>
    <row r="209" spans="19:19" x14ac:dyDescent="0.35">
      <c r="S209" s="49"/>
    </row>
    <row r="210" spans="19:19" x14ac:dyDescent="0.35">
      <c r="S210" s="49"/>
    </row>
    <row r="211" spans="19:19" x14ac:dyDescent="0.35">
      <c r="S211" s="49"/>
    </row>
    <row r="212" spans="19:19" x14ac:dyDescent="0.35">
      <c r="S212" s="49"/>
    </row>
    <row r="213" spans="19:19" x14ac:dyDescent="0.35">
      <c r="S213" s="49"/>
    </row>
    <row r="214" spans="19:19" x14ac:dyDescent="0.35">
      <c r="S214" s="49"/>
    </row>
    <row r="215" spans="19:19" x14ac:dyDescent="0.35">
      <c r="S215" s="49"/>
    </row>
    <row r="216" spans="19:19" x14ac:dyDescent="0.35">
      <c r="S216" s="49"/>
    </row>
    <row r="217" spans="19:19" x14ac:dyDescent="0.35">
      <c r="S217" s="49"/>
    </row>
    <row r="218" spans="19:19" x14ac:dyDescent="0.35">
      <c r="S218" s="49"/>
    </row>
    <row r="219" spans="19:19" x14ac:dyDescent="0.35">
      <c r="S219" s="49"/>
    </row>
    <row r="220" spans="19:19" x14ac:dyDescent="0.35">
      <c r="S220" s="49"/>
    </row>
    <row r="221" spans="19:19" x14ac:dyDescent="0.35">
      <c r="S221" s="49"/>
    </row>
    <row r="222" spans="19:19" x14ac:dyDescent="0.35">
      <c r="S222" s="49"/>
    </row>
    <row r="223" spans="19:19" x14ac:dyDescent="0.35">
      <c r="S223" s="49"/>
    </row>
    <row r="224" spans="19:19" x14ac:dyDescent="0.35">
      <c r="S224" s="49"/>
    </row>
    <row r="225" spans="19:19" x14ac:dyDescent="0.35">
      <c r="S225" s="49"/>
    </row>
    <row r="226" spans="19:19" x14ac:dyDescent="0.35">
      <c r="S226" s="49"/>
    </row>
    <row r="227" spans="19:19" x14ac:dyDescent="0.35">
      <c r="S227" s="49"/>
    </row>
    <row r="228" spans="19:19" x14ac:dyDescent="0.35">
      <c r="S228" s="49"/>
    </row>
    <row r="229" spans="19:19" x14ac:dyDescent="0.35">
      <c r="S229" s="49"/>
    </row>
    <row r="230" spans="19:19" x14ac:dyDescent="0.35">
      <c r="S230" s="49"/>
    </row>
    <row r="231" spans="19:19" x14ac:dyDescent="0.35">
      <c r="S231" s="49"/>
    </row>
    <row r="232" spans="19:19" x14ac:dyDescent="0.35">
      <c r="S232" s="49"/>
    </row>
    <row r="233" spans="19:19" x14ac:dyDescent="0.35">
      <c r="S233" s="49"/>
    </row>
    <row r="234" spans="19:19" x14ac:dyDescent="0.35">
      <c r="S234" s="49"/>
    </row>
    <row r="235" spans="19:19" x14ac:dyDescent="0.35">
      <c r="S235" s="49"/>
    </row>
    <row r="236" spans="19:19" x14ac:dyDescent="0.35">
      <c r="S236" s="49"/>
    </row>
    <row r="237" spans="19:19" x14ac:dyDescent="0.35">
      <c r="S237" s="49"/>
    </row>
    <row r="238" spans="19:19" x14ac:dyDescent="0.35">
      <c r="S238" s="49"/>
    </row>
    <row r="239" spans="19:19" x14ac:dyDescent="0.35">
      <c r="S239" s="49"/>
    </row>
    <row r="240" spans="19:19" x14ac:dyDescent="0.35">
      <c r="S240" s="49"/>
    </row>
    <row r="241" spans="19:19" x14ac:dyDescent="0.35">
      <c r="S241" s="49"/>
    </row>
    <row r="242" spans="19:19" x14ac:dyDescent="0.35">
      <c r="S242" s="49"/>
    </row>
    <row r="243" spans="19:19" x14ac:dyDescent="0.35">
      <c r="S243" s="49"/>
    </row>
    <row r="244" spans="19:19" x14ac:dyDescent="0.35">
      <c r="S244" s="49"/>
    </row>
    <row r="245" spans="19:19" x14ac:dyDescent="0.35">
      <c r="S245" s="49"/>
    </row>
    <row r="246" spans="19:19" x14ac:dyDescent="0.35">
      <c r="S246" s="49"/>
    </row>
    <row r="247" spans="19:19" x14ac:dyDescent="0.35">
      <c r="S247" s="49"/>
    </row>
    <row r="248" spans="19:19" x14ac:dyDescent="0.35">
      <c r="S248" s="49"/>
    </row>
    <row r="249" spans="19:19" x14ac:dyDescent="0.35">
      <c r="S249" s="49"/>
    </row>
    <row r="250" spans="19:19" x14ac:dyDescent="0.35">
      <c r="S250" s="49"/>
    </row>
    <row r="251" spans="19:19" x14ac:dyDescent="0.35">
      <c r="S251" s="49"/>
    </row>
    <row r="252" spans="19:19" x14ac:dyDescent="0.35">
      <c r="S252" s="49"/>
    </row>
    <row r="253" spans="19:19" x14ac:dyDescent="0.35">
      <c r="S253" s="49"/>
    </row>
    <row r="254" spans="19:19" x14ac:dyDescent="0.35">
      <c r="S254" s="49"/>
    </row>
    <row r="255" spans="19:19" x14ac:dyDescent="0.35">
      <c r="S255" s="49"/>
    </row>
    <row r="256" spans="19:19" x14ac:dyDescent="0.35">
      <c r="S256" s="49"/>
    </row>
    <row r="257" spans="19:19" x14ac:dyDescent="0.35">
      <c r="S257" s="49"/>
    </row>
    <row r="258" spans="19:19" x14ac:dyDescent="0.35">
      <c r="S258" s="49"/>
    </row>
    <row r="259" spans="19:19" x14ac:dyDescent="0.35">
      <c r="S259" s="49"/>
    </row>
    <row r="260" spans="19:19" x14ac:dyDescent="0.35">
      <c r="S260" s="49"/>
    </row>
    <row r="261" spans="19:19" x14ac:dyDescent="0.35">
      <c r="S261" s="49"/>
    </row>
    <row r="262" spans="19:19" x14ac:dyDescent="0.35">
      <c r="S262" s="49"/>
    </row>
    <row r="263" spans="19:19" x14ac:dyDescent="0.35">
      <c r="S263" s="49"/>
    </row>
    <row r="264" spans="19:19" x14ac:dyDescent="0.35">
      <c r="S264" s="49"/>
    </row>
    <row r="265" spans="19:19" x14ac:dyDescent="0.35">
      <c r="S265" s="49"/>
    </row>
    <row r="266" spans="19:19" x14ac:dyDescent="0.35">
      <c r="S266" s="49"/>
    </row>
    <row r="267" spans="19:19" x14ac:dyDescent="0.35">
      <c r="S267" s="49"/>
    </row>
    <row r="268" spans="19:19" x14ac:dyDescent="0.35">
      <c r="S268" s="49"/>
    </row>
    <row r="269" spans="19:19" x14ac:dyDescent="0.35">
      <c r="S269" s="49"/>
    </row>
    <row r="270" spans="19:19" x14ac:dyDescent="0.35">
      <c r="S270" s="49"/>
    </row>
    <row r="271" spans="19:19" x14ac:dyDescent="0.35">
      <c r="S271" s="49"/>
    </row>
    <row r="272" spans="19:19" x14ac:dyDescent="0.35">
      <c r="S272" s="49"/>
    </row>
    <row r="273" spans="19:19" x14ac:dyDescent="0.35">
      <c r="S273" s="49"/>
    </row>
    <row r="274" spans="19:19" x14ac:dyDescent="0.35">
      <c r="S274" s="49"/>
    </row>
    <row r="275" spans="19:19" x14ac:dyDescent="0.35">
      <c r="S275" s="49"/>
    </row>
    <row r="276" spans="19:19" x14ac:dyDescent="0.35">
      <c r="S276" s="49"/>
    </row>
    <row r="277" spans="19:19" x14ac:dyDescent="0.35">
      <c r="S277" s="49"/>
    </row>
    <row r="278" spans="19:19" x14ac:dyDescent="0.35">
      <c r="S278" s="49"/>
    </row>
    <row r="279" spans="19:19" x14ac:dyDescent="0.35">
      <c r="S279" s="49"/>
    </row>
    <row r="280" spans="19:19" x14ac:dyDescent="0.35">
      <c r="S280" s="49"/>
    </row>
    <row r="281" spans="19:19" x14ac:dyDescent="0.35">
      <c r="S281" s="49"/>
    </row>
    <row r="282" spans="19:19" x14ac:dyDescent="0.35">
      <c r="S282" s="49"/>
    </row>
    <row r="283" spans="19:19" x14ac:dyDescent="0.35">
      <c r="S283" s="49"/>
    </row>
    <row r="284" spans="19:19" x14ac:dyDescent="0.35">
      <c r="S284" s="49"/>
    </row>
    <row r="285" spans="19:19" x14ac:dyDescent="0.35">
      <c r="S285" s="49"/>
    </row>
    <row r="286" spans="19:19" x14ac:dyDescent="0.35">
      <c r="S286" s="49"/>
    </row>
    <row r="287" spans="19:19" x14ac:dyDescent="0.35">
      <c r="S287" s="49"/>
    </row>
    <row r="288" spans="19:19" x14ac:dyDescent="0.35">
      <c r="S288" s="49"/>
    </row>
    <row r="289" spans="19:19" x14ac:dyDescent="0.35">
      <c r="S289" s="49"/>
    </row>
    <row r="290" spans="19:19" x14ac:dyDescent="0.35">
      <c r="S290" s="49"/>
    </row>
    <row r="291" spans="19:19" x14ac:dyDescent="0.35">
      <c r="S291" s="49"/>
    </row>
    <row r="292" spans="19:19" x14ac:dyDescent="0.35">
      <c r="S292" s="49"/>
    </row>
    <row r="293" spans="19:19" x14ac:dyDescent="0.35">
      <c r="S293" s="49"/>
    </row>
    <row r="294" spans="19:19" x14ac:dyDescent="0.35">
      <c r="S294" s="49"/>
    </row>
    <row r="295" spans="19:19" x14ac:dyDescent="0.35">
      <c r="S295" s="49"/>
    </row>
    <row r="296" spans="19:19" x14ac:dyDescent="0.35">
      <c r="S296" s="49"/>
    </row>
    <row r="297" spans="19:19" x14ac:dyDescent="0.35">
      <c r="S297" s="49"/>
    </row>
    <row r="298" spans="19:19" x14ac:dyDescent="0.35">
      <c r="S298" s="49"/>
    </row>
    <row r="299" spans="19:19" x14ac:dyDescent="0.35">
      <c r="S299" s="49"/>
    </row>
    <row r="300" spans="19:19" x14ac:dyDescent="0.35">
      <c r="S300" s="49"/>
    </row>
    <row r="301" spans="19:19" x14ac:dyDescent="0.35">
      <c r="S301" s="49"/>
    </row>
    <row r="302" spans="19:19" x14ac:dyDescent="0.35">
      <c r="S302" s="49"/>
    </row>
    <row r="303" spans="19:19" x14ac:dyDescent="0.35">
      <c r="S303" s="49"/>
    </row>
    <row r="304" spans="19:19" x14ac:dyDescent="0.35">
      <c r="S304" s="49"/>
    </row>
    <row r="305" spans="19:19" x14ac:dyDescent="0.35">
      <c r="S305" s="49"/>
    </row>
    <row r="306" spans="19:19" x14ac:dyDescent="0.35">
      <c r="S306" s="49"/>
    </row>
    <row r="307" spans="19:19" x14ac:dyDescent="0.35">
      <c r="S307" s="49"/>
    </row>
    <row r="308" spans="19:19" x14ac:dyDescent="0.35">
      <c r="S308" s="49"/>
    </row>
    <row r="309" spans="19:19" x14ac:dyDescent="0.35">
      <c r="S309" s="49"/>
    </row>
    <row r="310" spans="19:19" x14ac:dyDescent="0.35">
      <c r="S310" s="49"/>
    </row>
    <row r="311" spans="19:19" x14ac:dyDescent="0.35">
      <c r="S311" s="49"/>
    </row>
    <row r="312" spans="19:19" x14ac:dyDescent="0.35">
      <c r="S312" s="49"/>
    </row>
    <row r="313" spans="19:19" x14ac:dyDescent="0.35">
      <c r="S313" s="49"/>
    </row>
    <row r="314" spans="19:19" x14ac:dyDescent="0.35">
      <c r="S314" s="49"/>
    </row>
    <row r="315" spans="19:19" x14ac:dyDescent="0.35">
      <c r="S315" s="49"/>
    </row>
    <row r="316" spans="19:19" x14ac:dyDescent="0.35">
      <c r="S316" s="49"/>
    </row>
    <row r="317" spans="19:19" x14ac:dyDescent="0.35">
      <c r="S317" s="49"/>
    </row>
    <row r="318" spans="19:19" x14ac:dyDescent="0.35">
      <c r="S318" s="49"/>
    </row>
    <row r="319" spans="19:19" x14ac:dyDescent="0.35">
      <c r="S319" s="49"/>
    </row>
    <row r="320" spans="19:19" x14ac:dyDescent="0.35">
      <c r="S320" s="49"/>
    </row>
    <row r="321" spans="19:19" x14ac:dyDescent="0.35">
      <c r="S321" s="49"/>
    </row>
    <row r="322" spans="19:19" x14ac:dyDescent="0.35">
      <c r="S322" s="49"/>
    </row>
    <row r="323" spans="19:19" x14ac:dyDescent="0.35">
      <c r="S323" s="49"/>
    </row>
    <row r="324" spans="19:19" x14ac:dyDescent="0.35">
      <c r="S324" s="49"/>
    </row>
    <row r="325" spans="19:19" x14ac:dyDescent="0.35">
      <c r="S325" s="49"/>
    </row>
    <row r="326" spans="19:19" x14ac:dyDescent="0.35">
      <c r="S326" s="49"/>
    </row>
    <row r="327" spans="19:19" x14ac:dyDescent="0.35">
      <c r="S327" s="49"/>
    </row>
    <row r="328" spans="19:19" x14ac:dyDescent="0.35">
      <c r="S328" s="49"/>
    </row>
    <row r="329" spans="19:19" x14ac:dyDescent="0.35">
      <c r="S329" s="49"/>
    </row>
    <row r="330" spans="19:19" x14ac:dyDescent="0.35">
      <c r="S330" s="49"/>
    </row>
    <row r="331" spans="19:19" x14ac:dyDescent="0.35">
      <c r="S331" s="49"/>
    </row>
    <row r="332" spans="19:19" x14ac:dyDescent="0.35">
      <c r="S332" s="49"/>
    </row>
    <row r="333" spans="19:19" x14ac:dyDescent="0.35">
      <c r="S333" s="49"/>
    </row>
    <row r="334" spans="19:19" x14ac:dyDescent="0.35">
      <c r="S334" s="49"/>
    </row>
    <row r="335" spans="19:19" x14ac:dyDescent="0.35">
      <c r="S335" s="49"/>
    </row>
    <row r="336" spans="19:19" x14ac:dyDescent="0.35">
      <c r="S336" s="49"/>
    </row>
    <row r="337" spans="19:19" x14ac:dyDescent="0.35">
      <c r="S337" s="49"/>
    </row>
    <row r="338" spans="19:19" x14ac:dyDescent="0.35">
      <c r="S338" s="49"/>
    </row>
    <row r="339" spans="19:19" x14ac:dyDescent="0.35">
      <c r="S339" s="49"/>
    </row>
    <row r="340" spans="19:19" x14ac:dyDescent="0.35">
      <c r="S340" s="49"/>
    </row>
    <row r="341" spans="19:19" x14ac:dyDescent="0.35">
      <c r="S341" s="49"/>
    </row>
    <row r="342" spans="19:19" x14ac:dyDescent="0.35">
      <c r="S342" s="49"/>
    </row>
    <row r="343" spans="19:19" x14ac:dyDescent="0.35">
      <c r="S343" s="49"/>
    </row>
    <row r="344" spans="19:19" x14ac:dyDescent="0.35">
      <c r="S344" s="49"/>
    </row>
    <row r="345" spans="19:19" x14ac:dyDescent="0.35">
      <c r="S345" s="49"/>
    </row>
    <row r="346" spans="19:19" x14ac:dyDescent="0.35">
      <c r="S346" s="49"/>
    </row>
    <row r="347" spans="19:19" x14ac:dyDescent="0.35">
      <c r="S347" s="49"/>
    </row>
    <row r="348" spans="19:19" x14ac:dyDescent="0.35">
      <c r="S348" s="49"/>
    </row>
    <row r="349" spans="19:19" x14ac:dyDescent="0.35">
      <c r="S349" s="49"/>
    </row>
    <row r="350" spans="19:19" x14ac:dyDescent="0.35">
      <c r="S350" s="49"/>
    </row>
    <row r="351" spans="19:19" x14ac:dyDescent="0.35">
      <c r="S351" s="49"/>
    </row>
    <row r="352" spans="19:19" x14ac:dyDescent="0.35">
      <c r="S352" s="49"/>
    </row>
    <row r="353" spans="19:19" x14ac:dyDescent="0.35">
      <c r="S353" s="49"/>
    </row>
    <row r="354" spans="19:19" x14ac:dyDescent="0.35">
      <c r="S354" s="49"/>
    </row>
    <row r="355" spans="19:19" x14ac:dyDescent="0.35">
      <c r="S355" s="49"/>
    </row>
    <row r="356" spans="19:19" x14ac:dyDescent="0.35">
      <c r="S356" s="49"/>
    </row>
    <row r="357" spans="19:19" x14ac:dyDescent="0.35">
      <c r="S357" s="49"/>
    </row>
    <row r="358" spans="19:19" x14ac:dyDescent="0.35">
      <c r="S358" s="49"/>
    </row>
    <row r="359" spans="19:19" x14ac:dyDescent="0.35">
      <c r="S359" s="49"/>
    </row>
    <row r="360" spans="19:19" x14ac:dyDescent="0.35">
      <c r="S360" s="49"/>
    </row>
    <row r="361" spans="19:19" x14ac:dyDescent="0.35">
      <c r="S361" s="49"/>
    </row>
    <row r="362" spans="19:19" x14ac:dyDescent="0.35">
      <c r="S362" s="49"/>
    </row>
    <row r="363" spans="19:19" x14ac:dyDescent="0.35">
      <c r="S363" s="49"/>
    </row>
    <row r="364" spans="19:19" x14ac:dyDescent="0.35">
      <c r="S364" s="49"/>
    </row>
    <row r="365" spans="19:19" x14ac:dyDescent="0.35">
      <c r="S365" s="49"/>
    </row>
    <row r="366" spans="19:19" x14ac:dyDescent="0.35">
      <c r="S366" s="49"/>
    </row>
    <row r="367" spans="19:19" x14ac:dyDescent="0.35">
      <c r="S367" s="49"/>
    </row>
    <row r="368" spans="19:19" x14ac:dyDescent="0.35">
      <c r="S368" s="49"/>
    </row>
    <row r="369" spans="19:19" x14ac:dyDescent="0.35">
      <c r="S369" s="49"/>
    </row>
    <row r="370" spans="19:19" x14ac:dyDescent="0.35">
      <c r="S370" s="49"/>
    </row>
    <row r="371" spans="19:19" x14ac:dyDescent="0.35">
      <c r="S371" s="49"/>
    </row>
    <row r="372" spans="19:19" x14ac:dyDescent="0.35">
      <c r="S372" s="49"/>
    </row>
    <row r="373" spans="19:19" x14ac:dyDescent="0.35">
      <c r="S373" s="49"/>
    </row>
    <row r="374" spans="19:19" x14ac:dyDescent="0.35">
      <c r="S374" s="49"/>
    </row>
    <row r="375" spans="19:19" x14ac:dyDescent="0.35">
      <c r="S375" s="49"/>
    </row>
    <row r="376" spans="19:19" x14ac:dyDescent="0.35">
      <c r="S376" s="49"/>
    </row>
    <row r="377" spans="19:19" x14ac:dyDescent="0.35">
      <c r="S377" s="49"/>
    </row>
    <row r="378" spans="19:19" x14ac:dyDescent="0.35">
      <c r="S378" s="49"/>
    </row>
    <row r="379" spans="19:19" x14ac:dyDescent="0.35">
      <c r="S379" s="49"/>
    </row>
    <row r="380" spans="19:19" x14ac:dyDescent="0.35">
      <c r="S380" s="49"/>
    </row>
    <row r="381" spans="19:19" x14ac:dyDescent="0.35">
      <c r="S381" s="49"/>
    </row>
    <row r="382" spans="19:19" x14ac:dyDescent="0.35">
      <c r="S382" s="49"/>
    </row>
    <row r="383" spans="19:19" x14ac:dyDescent="0.35">
      <c r="S383" s="49"/>
    </row>
    <row r="384" spans="19:19" x14ac:dyDescent="0.35">
      <c r="S384" s="49"/>
    </row>
    <row r="385" spans="19:19" x14ac:dyDescent="0.35">
      <c r="S385" s="49"/>
    </row>
    <row r="386" spans="19:19" x14ac:dyDescent="0.35">
      <c r="S386" s="49"/>
    </row>
    <row r="387" spans="19:19" x14ac:dyDescent="0.35">
      <c r="S387" s="49"/>
    </row>
    <row r="388" spans="19:19" x14ac:dyDescent="0.35">
      <c r="S388" s="49"/>
    </row>
    <row r="389" spans="19:19" x14ac:dyDescent="0.35">
      <c r="S389" s="49"/>
    </row>
    <row r="390" spans="19:19" x14ac:dyDescent="0.35">
      <c r="S390" s="49"/>
    </row>
    <row r="391" spans="19:19" x14ac:dyDescent="0.35">
      <c r="S391" s="49"/>
    </row>
    <row r="392" spans="19:19" x14ac:dyDescent="0.35">
      <c r="S392" s="49"/>
    </row>
    <row r="393" spans="19:19" x14ac:dyDescent="0.35">
      <c r="S393" s="49"/>
    </row>
    <row r="394" spans="19:19" x14ac:dyDescent="0.35">
      <c r="S394" s="49"/>
    </row>
    <row r="395" spans="19:19" x14ac:dyDescent="0.35">
      <c r="S395" s="49"/>
    </row>
    <row r="396" spans="19:19" x14ac:dyDescent="0.35">
      <c r="S396" s="49"/>
    </row>
    <row r="397" spans="19:19" x14ac:dyDescent="0.35">
      <c r="S397" s="49"/>
    </row>
    <row r="398" spans="19:19" x14ac:dyDescent="0.35">
      <c r="S398" s="49"/>
    </row>
    <row r="399" spans="19:19" x14ac:dyDescent="0.35">
      <c r="S399" s="49"/>
    </row>
    <row r="400" spans="19:19" x14ac:dyDescent="0.35">
      <c r="S400" s="49"/>
    </row>
    <row r="401" spans="19:19" x14ac:dyDescent="0.35">
      <c r="S401" s="49"/>
    </row>
    <row r="402" spans="19:19" x14ac:dyDescent="0.35">
      <c r="S402" s="49"/>
    </row>
    <row r="403" spans="19:19" x14ac:dyDescent="0.35">
      <c r="S403" s="49"/>
    </row>
    <row r="404" spans="19:19" x14ac:dyDescent="0.35">
      <c r="S404" s="49"/>
    </row>
    <row r="405" spans="19:19" x14ac:dyDescent="0.35">
      <c r="S405" s="49"/>
    </row>
    <row r="406" spans="19:19" x14ac:dyDescent="0.35">
      <c r="S406" s="49"/>
    </row>
    <row r="407" spans="19:19" x14ac:dyDescent="0.35">
      <c r="S407" s="49"/>
    </row>
    <row r="408" spans="19:19" x14ac:dyDescent="0.35">
      <c r="S408" s="49"/>
    </row>
    <row r="409" spans="19:19" x14ac:dyDescent="0.35">
      <c r="S409" s="49"/>
    </row>
    <row r="410" spans="19:19" x14ac:dyDescent="0.35">
      <c r="S410" s="49"/>
    </row>
    <row r="411" spans="19:19" x14ac:dyDescent="0.35">
      <c r="S411" s="49"/>
    </row>
    <row r="412" spans="19:19" x14ac:dyDescent="0.35">
      <c r="S412" s="49"/>
    </row>
    <row r="413" spans="19:19" x14ac:dyDescent="0.35">
      <c r="S413" s="49"/>
    </row>
    <row r="414" spans="19:19" x14ac:dyDescent="0.35">
      <c r="S414" s="49"/>
    </row>
    <row r="415" spans="19:19" x14ac:dyDescent="0.35">
      <c r="S415" s="49"/>
    </row>
    <row r="416" spans="19:19" x14ac:dyDescent="0.35">
      <c r="S416" s="49"/>
    </row>
    <row r="417" spans="19:19" x14ac:dyDescent="0.35">
      <c r="S417" s="49"/>
    </row>
    <row r="418" spans="19:19" x14ac:dyDescent="0.35">
      <c r="S418" s="49"/>
    </row>
    <row r="419" spans="19:19" x14ac:dyDescent="0.35">
      <c r="S419" s="49"/>
    </row>
    <row r="420" spans="19:19" x14ac:dyDescent="0.35">
      <c r="S420" s="49"/>
    </row>
    <row r="421" spans="19:19" x14ac:dyDescent="0.35">
      <c r="S421" s="49"/>
    </row>
    <row r="422" spans="19:19" x14ac:dyDescent="0.35">
      <c r="S422" s="49"/>
    </row>
    <row r="423" spans="19:19" x14ac:dyDescent="0.35">
      <c r="S423" s="49"/>
    </row>
    <row r="424" spans="19:19" x14ac:dyDescent="0.35">
      <c r="S424" s="49"/>
    </row>
    <row r="425" spans="19:19" x14ac:dyDescent="0.35">
      <c r="S425" s="49"/>
    </row>
    <row r="426" spans="19:19" x14ac:dyDescent="0.35">
      <c r="S426" s="49"/>
    </row>
    <row r="427" spans="19:19" x14ac:dyDescent="0.35">
      <c r="S427" s="49"/>
    </row>
    <row r="428" spans="19:19" x14ac:dyDescent="0.35">
      <c r="S428" s="49"/>
    </row>
    <row r="429" spans="19:19" x14ac:dyDescent="0.35">
      <c r="S429" s="49"/>
    </row>
    <row r="430" spans="19:19" x14ac:dyDescent="0.35">
      <c r="S430" s="49"/>
    </row>
    <row r="431" spans="19:19" x14ac:dyDescent="0.35">
      <c r="S431" s="49"/>
    </row>
    <row r="432" spans="19:19" x14ac:dyDescent="0.35">
      <c r="S432" s="49"/>
    </row>
    <row r="433" spans="19:19" x14ac:dyDescent="0.35">
      <c r="S433" s="49"/>
    </row>
    <row r="434" spans="19:19" x14ac:dyDescent="0.35">
      <c r="S434" s="49"/>
    </row>
    <row r="435" spans="19:19" x14ac:dyDescent="0.35">
      <c r="S435" s="49"/>
    </row>
    <row r="436" spans="19:19" x14ac:dyDescent="0.35">
      <c r="S436" s="49"/>
    </row>
    <row r="437" spans="19:19" x14ac:dyDescent="0.35">
      <c r="S437" s="49"/>
    </row>
    <row r="438" spans="19:19" x14ac:dyDescent="0.35">
      <c r="S438" s="49"/>
    </row>
    <row r="439" spans="19:19" x14ac:dyDescent="0.35">
      <c r="S439" s="49"/>
    </row>
    <row r="440" spans="19:19" x14ac:dyDescent="0.35">
      <c r="S440" s="49"/>
    </row>
    <row r="441" spans="19:19" x14ac:dyDescent="0.35">
      <c r="S441" s="49"/>
    </row>
    <row r="442" spans="19:19" x14ac:dyDescent="0.35">
      <c r="S442" s="49"/>
    </row>
    <row r="443" spans="19:19" x14ac:dyDescent="0.35">
      <c r="S443" s="49"/>
    </row>
    <row r="444" spans="19:19" x14ac:dyDescent="0.35">
      <c r="S444" s="49"/>
    </row>
    <row r="445" spans="19:19" x14ac:dyDescent="0.35">
      <c r="S445" s="49"/>
    </row>
    <row r="446" spans="19:19" x14ac:dyDescent="0.35">
      <c r="S446" s="49"/>
    </row>
    <row r="447" spans="19:19" x14ac:dyDescent="0.35">
      <c r="S447" s="49"/>
    </row>
    <row r="448" spans="19:19" x14ac:dyDescent="0.35">
      <c r="S448" s="49"/>
    </row>
    <row r="449" spans="19:19" x14ac:dyDescent="0.35">
      <c r="S449" s="49"/>
    </row>
    <row r="450" spans="19:19" x14ac:dyDescent="0.35">
      <c r="S450" s="49"/>
    </row>
    <row r="451" spans="19:19" x14ac:dyDescent="0.35">
      <c r="S451" s="49"/>
    </row>
    <row r="452" spans="19:19" x14ac:dyDescent="0.35">
      <c r="S452" s="49"/>
    </row>
    <row r="453" spans="19:19" x14ac:dyDescent="0.35">
      <c r="S453" s="49"/>
    </row>
    <row r="454" spans="19:19" x14ac:dyDescent="0.35">
      <c r="S454" s="49"/>
    </row>
    <row r="455" spans="19:19" x14ac:dyDescent="0.35">
      <c r="S455" s="49"/>
    </row>
    <row r="456" spans="19:19" x14ac:dyDescent="0.35">
      <c r="S456" s="49"/>
    </row>
    <row r="457" spans="19:19" x14ac:dyDescent="0.35">
      <c r="S457" s="49"/>
    </row>
    <row r="458" spans="19:19" x14ac:dyDescent="0.35">
      <c r="S458" s="49"/>
    </row>
    <row r="459" spans="19:19" x14ac:dyDescent="0.35">
      <c r="S459" s="49"/>
    </row>
    <row r="460" spans="19:19" x14ac:dyDescent="0.35">
      <c r="S460" s="49"/>
    </row>
    <row r="461" spans="19:19" x14ac:dyDescent="0.35">
      <c r="S461" s="49"/>
    </row>
    <row r="462" spans="19:19" x14ac:dyDescent="0.35">
      <c r="S462" s="49"/>
    </row>
    <row r="463" spans="19:19" x14ac:dyDescent="0.35">
      <c r="S463" s="49"/>
    </row>
    <row r="464" spans="19:19" x14ac:dyDescent="0.35">
      <c r="S464" s="49"/>
    </row>
    <row r="465" spans="19:19" x14ac:dyDescent="0.35">
      <c r="S465" s="49"/>
    </row>
    <row r="466" spans="19:19" x14ac:dyDescent="0.35">
      <c r="S466" s="49"/>
    </row>
    <row r="467" spans="19:19" x14ac:dyDescent="0.35">
      <c r="S467" s="49"/>
    </row>
    <row r="468" spans="19:19" x14ac:dyDescent="0.35">
      <c r="S468" s="49"/>
    </row>
    <row r="469" spans="19:19" x14ac:dyDescent="0.35">
      <c r="S469" s="49"/>
    </row>
    <row r="470" spans="19:19" x14ac:dyDescent="0.35">
      <c r="S470" s="49"/>
    </row>
    <row r="471" spans="19:19" x14ac:dyDescent="0.35">
      <c r="S471" s="49"/>
    </row>
    <row r="472" spans="19:19" x14ac:dyDescent="0.35">
      <c r="S472" s="49"/>
    </row>
    <row r="473" spans="19:19" x14ac:dyDescent="0.35">
      <c r="S473" s="49"/>
    </row>
    <row r="474" spans="19:19" x14ac:dyDescent="0.35">
      <c r="S474" s="49"/>
    </row>
    <row r="475" spans="19:19" x14ac:dyDescent="0.35">
      <c r="S475" s="49"/>
    </row>
    <row r="476" spans="19:19" x14ac:dyDescent="0.35">
      <c r="S476" s="49"/>
    </row>
    <row r="477" spans="19:19" x14ac:dyDescent="0.35">
      <c r="S477" s="49"/>
    </row>
    <row r="478" spans="19:19" x14ac:dyDescent="0.35">
      <c r="S478" s="49"/>
    </row>
    <row r="479" spans="19:19" x14ac:dyDescent="0.35">
      <c r="S479" s="49"/>
    </row>
    <row r="480" spans="19:19" x14ac:dyDescent="0.35">
      <c r="S480" s="49"/>
    </row>
    <row r="481" spans="19:19" x14ac:dyDescent="0.35">
      <c r="S481" s="49"/>
    </row>
    <row r="482" spans="19:19" x14ac:dyDescent="0.35">
      <c r="S482" s="49"/>
    </row>
    <row r="483" spans="19:19" x14ac:dyDescent="0.35">
      <c r="S483" s="49"/>
    </row>
    <row r="484" spans="19:19" x14ac:dyDescent="0.35">
      <c r="S484" s="49"/>
    </row>
    <row r="485" spans="19:19" x14ac:dyDescent="0.35">
      <c r="S485" s="49"/>
    </row>
    <row r="486" spans="19:19" x14ac:dyDescent="0.35">
      <c r="S486" s="49"/>
    </row>
    <row r="487" spans="19:19" x14ac:dyDescent="0.35">
      <c r="S487" s="49"/>
    </row>
    <row r="488" spans="19:19" x14ac:dyDescent="0.35">
      <c r="S488" s="49"/>
    </row>
    <row r="489" spans="19:19" x14ac:dyDescent="0.35">
      <c r="S489" s="49"/>
    </row>
    <row r="490" spans="19:19" x14ac:dyDescent="0.35">
      <c r="S490" s="49"/>
    </row>
    <row r="491" spans="19:19" x14ac:dyDescent="0.35">
      <c r="S491" s="49"/>
    </row>
    <row r="492" spans="19:19" x14ac:dyDescent="0.35">
      <c r="S492" s="49"/>
    </row>
    <row r="493" spans="19:19" x14ac:dyDescent="0.35">
      <c r="S493" s="49"/>
    </row>
    <row r="494" spans="19:19" x14ac:dyDescent="0.35">
      <c r="S494" s="49"/>
    </row>
    <row r="495" spans="19:19" x14ac:dyDescent="0.35">
      <c r="S495" s="49"/>
    </row>
    <row r="496" spans="19:19" x14ac:dyDescent="0.35">
      <c r="S496" s="49"/>
    </row>
    <row r="497" spans="19:19" x14ac:dyDescent="0.35">
      <c r="S497" s="49"/>
    </row>
    <row r="498" spans="19:19" x14ac:dyDescent="0.35">
      <c r="S498" s="49"/>
    </row>
    <row r="499" spans="19:19" x14ac:dyDescent="0.35">
      <c r="S499" s="49"/>
    </row>
    <row r="500" spans="19:19" x14ac:dyDescent="0.35">
      <c r="S500" s="49"/>
    </row>
    <row r="501" spans="19:19" x14ac:dyDescent="0.35">
      <c r="S501" s="49"/>
    </row>
    <row r="502" spans="19:19" x14ac:dyDescent="0.35">
      <c r="S502" s="49"/>
    </row>
    <row r="503" spans="19:19" x14ac:dyDescent="0.35">
      <c r="S503" s="49"/>
    </row>
    <row r="504" spans="19:19" x14ac:dyDescent="0.35">
      <c r="S504" s="49"/>
    </row>
    <row r="505" spans="19:19" x14ac:dyDescent="0.35">
      <c r="S505" s="49"/>
    </row>
    <row r="506" spans="19:19" x14ac:dyDescent="0.35">
      <c r="S506" s="49"/>
    </row>
    <row r="507" spans="19:19" x14ac:dyDescent="0.35">
      <c r="S507" s="49"/>
    </row>
    <row r="508" spans="19:19" x14ac:dyDescent="0.35">
      <c r="S508" s="49"/>
    </row>
    <row r="509" spans="19:19" x14ac:dyDescent="0.35">
      <c r="S509" s="49"/>
    </row>
    <row r="510" spans="19:19" x14ac:dyDescent="0.35">
      <c r="S510" s="49"/>
    </row>
    <row r="511" spans="19:19" x14ac:dyDescent="0.35">
      <c r="S511" s="49"/>
    </row>
    <row r="512" spans="19:19" x14ac:dyDescent="0.35">
      <c r="S512" s="49"/>
    </row>
    <row r="513" spans="19:19" x14ac:dyDescent="0.35">
      <c r="S513" s="49"/>
    </row>
    <row r="514" spans="19:19" x14ac:dyDescent="0.35">
      <c r="S514" s="49"/>
    </row>
    <row r="515" spans="19:19" x14ac:dyDescent="0.35">
      <c r="S515" s="49"/>
    </row>
    <row r="516" spans="19:19" x14ac:dyDescent="0.35">
      <c r="S516" s="49"/>
    </row>
    <row r="517" spans="19:19" x14ac:dyDescent="0.35">
      <c r="S517" s="49"/>
    </row>
    <row r="518" spans="19:19" x14ac:dyDescent="0.35">
      <c r="S518" s="49"/>
    </row>
    <row r="519" spans="19:19" x14ac:dyDescent="0.35">
      <c r="S519" s="49"/>
    </row>
    <row r="520" spans="19:19" x14ac:dyDescent="0.35">
      <c r="S520" s="49"/>
    </row>
    <row r="521" spans="19:19" x14ac:dyDescent="0.35">
      <c r="S521" s="49"/>
    </row>
    <row r="522" spans="19:19" x14ac:dyDescent="0.35">
      <c r="S522" s="49"/>
    </row>
    <row r="523" spans="19:19" x14ac:dyDescent="0.35">
      <c r="S523" s="49"/>
    </row>
    <row r="524" spans="19:19" x14ac:dyDescent="0.35">
      <c r="S524" s="49"/>
    </row>
    <row r="525" spans="19:19" x14ac:dyDescent="0.35">
      <c r="S525" s="49"/>
    </row>
    <row r="526" spans="19:19" x14ac:dyDescent="0.35">
      <c r="S526" s="49"/>
    </row>
    <row r="527" spans="19:19" x14ac:dyDescent="0.35">
      <c r="S527" s="49"/>
    </row>
    <row r="528" spans="19:19" x14ac:dyDescent="0.35">
      <c r="S528" s="49"/>
    </row>
    <row r="529" spans="19:19" x14ac:dyDescent="0.35">
      <c r="S529" s="49"/>
    </row>
    <row r="530" spans="19:19" x14ac:dyDescent="0.35">
      <c r="S530" s="49"/>
    </row>
    <row r="531" spans="19:19" x14ac:dyDescent="0.35">
      <c r="S531" s="49"/>
    </row>
    <row r="532" spans="19:19" x14ac:dyDescent="0.35">
      <c r="S532" s="49"/>
    </row>
    <row r="533" spans="19:19" x14ac:dyDescent="0.35">
      <c r="S533" s="49"/>
    </row>
    <row r="534" spans="19:19" x14ac:dyDescent="0.35">
      <c r="S534" s="49"/>
    </row>
    <row r="535" spans="19:19" x14ac:dyDescent="0.35">
      <c r="S535" s="49"/>
    </row>
    <row r="536" spans="19:19" x14ac:dyDescent="0.35">
      <c r="S536" s="49"/>
    </row>
    <row r="537" spans="19:19" x14ac:dyDescent="0.35">
      <c r="S537" s="49"/>
    </row>
    <row r="538" spans="19:19" x14ac:dyDescent="0.35">
      <c r="S538" s="49"/>
    </row>
    <row r="539" spans="19:19" x14ac:dyDescent="0.35">
      <c r="S539" s="49"/>
    </row>
    <row r="540" spans="19:19" x14ac:dyDescent="0.35">
      <c r="S540" s="49"/>
    </row>
    <row r="541" spans="19:19" x14ac:dyDescent="0.35">
      <c r="S541" s="49"/>
    </row>
    <row r="542" spans="19:19" x14ac:dyDescent="0.35">
      <c r="S542" s="49"/>
    </row>
    <row r="543" spans="19:19" x14ac:dyDescent="0.35">
      <c r="S543" s="49"/>
    </row>
    <row r="544" spans="19:19" x14ac:dyDescent="0.35">
      <c r="S544" s="49"/>
    </row>
    <row r="545" spans="19:19" x14ac:dyDescent="0.35">
      <c r="S545" s="49"/>
    </row>
    <row r="546" spans="19:19" x14ac:dyDescent="0.35">
      <c r="S546" s="49"/>
    </row>
    <row r="547" spans="19:19" x14ac:dyDescent="0.35">
      <c r="S547" s="49"/>
    </row>
    <row r="548" spans="19:19" x14ac:dyDescent="0.35">
      <c r="S548" s="49"/>
    </row>
    <row r="549" spans="19:19" x14ac:dyDescent="0.35">
      <c r="S549" s="49"/>
    </row>
    <row r="550" spans="19:19" x14ac:dyDescent="0.35">
      <c r="S550" s="49"/>
    </row>
    <row r="551" spans="19:19" x14ac:dyDescent="0.35">
      <c r="S551" s="49"/>
    </row>
    <row r="552" spans="19:19" x14ac:dyDescent="0.35">
      <c r="S552" s="49"/>
    </row>
    <row r="553" spans="19:19" x14ac:dyDescent="0.35">
      <c r="S553" s="49"/>
    </row>
    <row r="554" spans="19:19" x14ac:dyDescent="0.35">
      <c r="S554" s="49"/>
    </row>
    <row r="555" spans="19:19" x14ac:dyDescent="0.35">
      <c r="S555" s="49"/>
    </row>
    <row r="556" spans="19:19" x14ac:dyDescent="0.35">
      <c r="S556" s="49"/>
    </row>
    <row r="557" spans="19:19" x14ac:dyDescent="0.35">
      <c r="S557" s="49"/>
    </row>
    <row r="558" spans="19:19" x14ac:dyDescent="0.35">
      <c r="S558" s="49"/>
    </row>
    <row r="559" spans="19:19" x14ac:dyDescent="0.35">
      <c r="S559" s="49"/>
    </row>
    <row r="560" spans="19:19" x14ac:dyDescent="0.35">
      <c r="S560" s="49"/>
    </row>
    <row r="561" spans="19:19" x14ac:dyDescent="0.35">
      <c r="S561" s="49"/>
    </row>
    <row r="562" spans="19:19" x14ac:dyDescent="0.35">
      <c r="S562" s="49"/>
    </row>
    <row r="563" spans="19:19" x14ac:dyDescent="0.35">
      <c r="S563" s="49"/>
    </row>
    <row r="564" spans="19:19" x14ac:dyDescent="0.35">
      <c r="S564" s="49"/>
    </row>
    <row r="565" spans="19:19" x14ac:dyDescent="0.35">
      <c r="S565" s="49"/>
    </row>
    <row r="566" spans="19:19" x14ac:dyDescent="0.35">
      <c r="S566" s="49"/>
    </row>
    <row r="567" spans="19:19" x14ac:dyDescent="0.35">
      <c r="S567" s="49"/>
    </row>
    <row r="568" spans="19:19" x14ac:dyDescent="0.35">
      <c r="S568" s="49"/>
    </row>
    <row r="569" spans="19:19" x14ac:dyDescent="0.35">
      <c r="S569" s="49"/>
    </row>
    <row r="570" spans="19:19" x14ac:dyDescent="0.35">
      <c r="S570" s="49"/>
    </row>
    <row r="571" spans="19:19" x14ac:dyDescent="0.35">
      <c r="S571" s="49"/>
    </row>
    <row r="572" spans="19:19" x14ac:dyDescent="0.35">
      <c r="S572" s="49"/>
    </row>
    <row r="573" spans="19:19" x14ac:dyDescent="0.35">
      <c r="S573" s="49"/>
    </row>
    <row r="574" spans="19:19" x14ac:dyDescent="0.35">
      <c r="S574" s="49"/>
    </row>
    <row r="575" spans="19:19" x14ac:dyDescent="0.35">
      <c r="S575" s="49"/>
    </row>
    <row r="576" spans="19:19" x14ac:dyDescent="0.35">
      <c r="S576" s="49"/>
    </row>
    <row r="577" spans="19:19" x14ac:dyDescent="0.35">
      <c r="S577" s="49"/>
    </row>
    <row r="578" spans="19:19" x14ac:dyDescent="0.35">
      <c r="S578" s="49"/>
    </row>
    <row r="579" spans="19:19" x14ac:dyDescent="0.35">
      <c r="S579" s="49"/>
    </row>
    <row r="580" spans="19:19" x14ac:dyDescent="0.35">
      <c r="S580" s="49"/>
    </row>
    <row r="581" spans="19:19" x14ac:dyDescent="0.35">
      <c r="S581" s="49"/>
    </row>
    <row r="582" spans="19:19" x14ac:dyDescent="0.35">
      <c r="S582" s="49"/>
    </row>
    <row r="583" spans="19:19" x14ac:dyDescent="0.35">
      <c r="S583" s="49"/>
    </row>
    <row r="584" spans="19:19" x14ac:dyDescent="0.35">
      <c r="S584" s="49"/>
    </row>
    <row r="585" spans="19:19" x14ac:dyDescent="0.35">
      <c r="S585" s="49"/>
    </row>
    <row r="586" spans="19:19" x14ac:dyDescent="0.35">
      <c r="S586" s="49"/>
    </row>
    <row r="587" spans="19:19" x14ac:dyDescent="0.35">
      <c r="S587" s="49"/>
    </row>
    <row r="588" spans="19:19" x14ac:dyDescent="0.35">
      <c r="S588" s="49"/>
    </row>
    <row r="589" spans="19:19" x14ac:dyDescent="0.35">
      <c r="S589" s="49"/>
    </row>
    <row r="590" spans="19:19" x14ac:dyDescent="0.35">
      <c r="S590" s="49"/>
    </row>
    <row r="591" spans="19:19" x14ac:dyDescent="0.35">
      <c r="S591" s="49"/>
    </row>
    <row r="592" spans="19:19" x14ac:dyDescent="0.35">
      <c r="S592" s="49"/>
    </row>
    <row r="593" spans="19:19" x14ac:dyDescent="0.35">
      <c r="S593" s="49"/>
    </row>
    <row r="594" spans="19:19" x14ac:dyDescent="0.35">
      <c r="S594" s="49"/>
    </row>
    <row r="595" spans="19:19" x14ac:dyDescent="0.35">
      <c r="S595" s="49"/>
    </row>
    <row r="596" spans="19:19" x14ac:dyDescent="0.35">
      <c r="S596" s="49"/>
    </row>
    <row r="597" spans="19:19" x14ac:dyDescent="0.35">
      <c r="S597" s="49"/>
    </row>
    <row r="598" spans="19:19" x14ac:dyDescent="0.35">
      <c r="S598" s="49"/>
    </row>
    <row r="599" spans="19:19" x14ac:dyDescent="0.35">
      <c r="S599" s="49"/>
    </row>
    <row r="600" spans="19:19" x14ac:dyDescent="0.35">
      <c r="S600" s="49"/>
    </row>
    <row r="601" spans="19:19" x14ac:dyDescent="0.35">
      <c r="S601" s="49"/>
    </row>
    <row r="602" spans="19:19" x14ac:dyDescent="0.35">
      <c r="S602" s="49"/>
    </row>
    <row r="603" spans="19:19" x14ac:dyDescent="0.35">
      <c r="S603" s="49"/>
    </row>
    <row r="604" spans="19:19" x14ac:dyDescent="0.35">
      <c r="S604" s="49"/>
    </row>
    <row r="605" spans="19:19" x14ac:dyDescent="0.35">
      <c r="S605" s="49"/>
    </row>
    <row r="606" spans="19:19" x14ac:dyDescent="0.35">
      <c r="S606" s="49"/>
    </row>
    <row r="607" spans="19:19" x14ac:dyDescent="0.35">
      <c r="S607" s="49"/>
    </row>
    <row r="608" spans="19:19" x14ac:dyDescent="0.35">
      <c r="S608" s="49"/>
    </row>
    <row r="609" spans="19:19" x14ac:dyDescent="0.35">
      <c r="S609" s="49"/>
    </row>
    <row r="610" spans="19:19" x14ac:dyDescent="0.35">
      <c r="S610" s="49"/>
    </row>
    <row r="611" spans="19:19" x14ac:dyDescent="0.35">
      <c r="S611" s="49"/>
    </row>
    <row r="612" spans="19:19" x14ac:dyDescent="0.35">
      <c r="S612" s="49"/>
    </row>
    <row r="613" spans="19:19" x14ac:dyDescent="0.35">
      <c r="S613" s="49"/>
    </row>
    <row r="614" spans="19:19" x14ac:dyDescent="0.35">
      <c r="S614" s="49"/>
    </row>
    <row r="615" spans="19:19" x14ac:dyDescent="0.35">
      <c r="S615" s="49"/>
    </row>
    <row r="616" spans="19:19" x14ac:dyDescent="0.35">
      <c r="S616" s="49"/>
    </row>
    <row r="617" spans="19:19" x14ac:dyDescent="0.35">
      <c r="S617" s="49"/>
    </row>
    <row r="618" spans="19:19" x14ac:dyDescent="0.35">
      <c r="S618" s="49"/>
    </row>
    <row r="619" spans="19:19" x14ac:dyDescent="0.35">
      <c r="S619" s="49"/>
    </row>
    <row r="620" spans="19:19" x14ac:dyDescent="0.35">
      <c r="S620" s="49"/>
    </row>
    <row r="621" spans="19:19" x14ac:dyDescent="0.35">
      <c r="S621" s="49"/>
    </row>
    <row r="622" spans="19:19" x14ac:dyDescent="0.35">
      <c r="S622" s="49"/>
    </row>
    <row r="623" spans="19:19" x14ac:dyDescent="0.35">
      <c r="S623" s="49"/>
    </row>
    <row r="624" spans="19:19" x14ac:dyDescent="0.35">
      <c r="S624" s="49"/>
    </row>
    <row r="625" spans="19:19" x14ac:dyDescent="0.35">
      <c r="S625" s="49"/>
    </row>
    <row r="626" spans="19:19" x14ac:dyDescent="0.35">
      <c r="S626" s="49"/>
    </row>
    <row r="627" spans="19:19" x14ac:dyDescent="0.35">
      <c r="S627" s="49"/>
    </row>
    <row r="628" spans="19:19" x14ac:dyDescent="0.35">
      <c r="S628" s="49"/>
    </row>
    <row r="629" spans="19:19" x14ac:dyDescent="0.35">
      <c r="S629" s="49"/>
    </row>
    <row r="630" spans="19:19" x14ac:dyDescent="0.35">
      <c r="S630" s="49"/>
    </row>
    <row r="631" spans="19:19" x14ac:dyDescent="0.35">
      <c r="S631" s="49"/>
    </row>
    <row r="632" spans="19:19" x14ac:dyDescent="0.35">
      <c r="S632" s="49"/>
    </row>
    <row r="633" spans="19:19" x14ac:dyDescent="0.35">
      <c r="S633" s="49"/>
    </row>
    <row r="634" spans="19:19" x14ac:dyDescent="0.35">
      <c r="S634" s="49"/>
    </row>
    <row r="635" spans="19:19" x14ac:dyDescent="0.35">
      <c r="S635" s="49"/>
    </row>
    <row r="636" spans="19:19" x14ac:dyDescent="0.35">
      <c r="S636" s="49"/>
    </row>
    <row r="637" spans="19:19" x14ac:dyDescent="0.35">
      <c r="S637" s="49"/>
    </row>
    <row r="638" spans="19:19" x14ac:dyDescent="0.35">
      <c r="S638" s="49"/>
    </row>
    <row r="639" spans="19:19" x14ac:dyDescent="0.35">
      <c r="S639" s="49"/>
    </row>
    <row r="640" spans="19:19" x14ac:dyDescent="0.35">
      <c r="S640" s="49"/>
    </row>
    <row r="641" spans="19:19" x14ac:dyDescent="0.35">
      <c r="S641" s="49"/>
    </row>
    <row r="642" spans="19:19" x14ac:dyDescent="0.35">
      <c r="S642" s="49"/>
    </row>
    <row r="643" spans="19:19" x14ac:dyDescent="0.35">
      <c r="S643" s="49"/>
    </row>
    <row r="644" spans="19:19" x14ac:dyDescent="0.35">
      <c r="S644" s="49"/>
    </row>
    <row r="645" spans="19:19" x14ac:dyDescent="0.35">
      <c r="S645" s="49"/>
    </row>
    <row r="646" spans="19:19" x14ac:dyDescent="0.35">
      <c r="S646" s="49"/>
    </row>
    <row r="647" spans="19:19" x14ac:dyDescent="0.35">
      <c r="S647" s="49"/>
    </row>
    <row r="648" spans="19:19" x14ac:dyDescent="0.35">
      <c r="S648" s="49"/>
    </row>
    <row r="649" spans="19:19" x14ac:dyDescent="0.35">
      <c r="S649" s="49"/>
    </row>
    <row r="650" spans="19:19" x14ac:dyDescent="0.35">
      <c r="S650" s="49"/>
    </row>
    <row r="651" spans="19:19" x14ac:dyDescent="0.35">
      <c r="S651" s="49"/>
    </row>
    <row r="652" spans="19:19" x14ac:dyDescent="0.35">
      <c r="S652" s="49"/>
    </row>
    <row r="653" spans="19:19" x14ac:dyDescent="0.35">
      <c r="S653" s="49"/>
    </row>
    <row r="654" spans="19:19" x14ac:dyDescent="0.35">
      <c r="S654" s="49"/>
    </row>
    <row r="655" spans="19:19" x14ac:dyDescent="0.35">
      <c r="S655" s="49"/>
    </row>
    <row r="656" spans="19:19" x14ac:dyDescent="0.35">
      <c r="S656" s="49"/>
    </row>
    <row r="657" spans="19:19" x14ac:dyDescent="0.35">
      <c r="S657" s="49"/>
    </row>
    <row r="658" spans="19:19" x14ac:dyDescent="0.35">
      <c r="S658" s="49"/>
    </row>
    <row r="659" spans="19:19" x14ac:dyDescent="0.35">
      <c r="S659" s="49"/>
    </row>
    <row r="660" spans="19:19" x14ac:dyDescent="0.35">
      <c r="S660" s="49"/>
    </row>
    <row r="661" spans="19:19" x14ac:dyDescent="0.35">
      <c r="S661" s="49"/>
    </row>
    <row r="662" spans="19:19" x14ac:dyDescent="0.35">
      <c r="S662" s="49"/>
    </row>
    <row r="663" spans="19:19" x14ac:dyDescent="0.35">
      <c r="S663" s="49"/>
    </row>
    <row r="664" spans="19:19" x14ac:dyDescent="0.35">
      <c r="S664" s="49"/>
    </row>
    <row r="665" spans="19:19" x14ac:dyDescent="0.35">
      <c r="S665" s="49"/>
    </row>
    <row r="666" spans="19:19" x14ac:dyDescent="0.35">
      <c r="S666" s="49"/>
    </row>
    <row r="667" spans="19:19" x14ac:dyDescent="0.35">
      <c r="S667" s="49"/>
    </row>
    <row r="668" spans="19:19" x14ac:dyDescent="0.35">
      <c r="S668" s="49"/>
    </row>
    <row r="669" spans="19:19" x14ac:dyDescent="0.35">
      <c r="S669" s="49"/>
    </row>
    <row r="670" spans="19:19" x14ac:dyDescent="0.35">
      <c r="S670" s="49"/>
    </row>
    <row r="671" spans="19:19" x14ac:dyDescent="0.35">
      <c r="S671" s="49"/>
    </row>
    <row r="672" spans="19:19" x14ac:dyDescent="0.35">
      <c r="S672" s="49"/>
    </row>
    <row r="673" spans="19:19" x14ac:dyDescent="0.35">
      <c r="S673" s="49"/>
    </row>
    <row r="674" spans="19:19" x14ac:dyDescent="0.35">
      <c r="S674" s="49"/>
    </row>
    <row r="675" spans="19:19" x14ac:dyDescent="0.35">
      <c r="S675" s="49"/>
    </row>
    <row r="676" spans="19:19" x14ac:dyDescent="0.35">
      <c r="S676" s="49"/>
    </row>
    <row r="677" spans="19:19" x14ac:dyDescent="0.35">
      <c r="S677" s="49"/>
    </row>
    <row r="678" spans="19:19" x14ac:dyDescent="0.35">
      <c r="S678" s="49"/>
    </row>
    <row r="679" spans="19:19" x14ac:dyDescent="0.35">
      <c r="S679" s="49"/>
    </row>
    <row r="680" spans="19:19" x14ac:dyDescent="0.35">
      <c r="S680" s="49"/>
    </row>
    <row r="681" spans="19:19" x14ac:dyDescent="0.35">
      <c r="S681" s="49"/>
    </row>
    <row r="682" spans="19:19" x14ac:dyDescent="0.35">
      <c r="S682" s="49"/>
    </row>
    <row r="683" spans="19:19" x14ac:dyDescent="0.35">
      <c r="S683" s="49"/>
    </row>
    <row r="684" spans="19:19" x14ac:dyDescent="0.35">
      <c r="S684" s="49"/>
    </row>
    <row r="685" spans="19:19" x14ac:dyDescent="0.35">
      <c r="S685" s="49"/>
    </row>
    <row r="686" spans="19:19" x14ac:dyDescent="0.35">
      <c r="S686" s="49"/>
    </row>
    <row r="687" spans="19:19" x14ac:dyDescent="0.35">
      <c r="S687" s="49"/>
    </row>
    <row r="688" spans="19:19" x14ac:dyDescent="0.35">
      <c r="S688" s="49"/>
    </row>
    <row r="689" spans="19:19" x14ac:dyDescent="0.35">
      <c r="S689" s="49"/>
    </row>
    <row r="690" spans="19:19" x14ac:dyDescent="0.35">
      <c r="S690" s="49"/>
    </row>
    <row r="691" spans="19:19" x14ac:dyDescent="0.35">
      <c r="S691" s="49"/>
    </row>
    <row r="692" spans="19:19" x14ac:dyDescent="0.35">
      <c r="S692" s="49"/>
    </row>
    <row r="693" spans="19:19" x14ac:dyDescent="0.35">
      <c r="S693" s="49"/>
    </row>
    <row r="694" spans="19:19" x14ac:dyDescent="0.35">
      <c r="S694" s="49"/>
    </row>
    <row r="695" spans="19:19" x14ac:dyDescent="0.35">
      <c r="S695" s="49"/>
    </row>
    <row r="696" spans="19:19" x14ac:dyDescent="0.35">
      <c r="S696" s="49"/>
    </row>
    <row r="697" spans="19:19" x14ac:dyDescent="0.35">
      <c r="S697" s="49"/>
    </row>
    <row r="698" spans="19:19" x14ac:dyDescent="0.35">
      <c r="S698" s="49"/>
    </row>
    <row r="699" spans="19:19" x14ac:dyDescent="0.35">
      <c r="S699" s="49"/>
    </row>
    <row r="700" spans="19:19" x14ac:dyDescent="0.35">
      <c r="S700" s="49"/>
    </row>
    <row r="701" spans="19:19" x14ac:dyDescent="0.35">
      <c r="S701" s="49"/>
    </row>
    <row r="702" spans="19:19" x14ac:dyDescent="0.35">
      <c r="S702" s="49"/>
    </row>
    <row r="703" spans="19:19" x14ac:dyDescent="0.35">
      <c r="S703" s="49"/>
    </row>
    <row r="704" spans="19:19" x14ac:dyDescent="0.35">
      <c r="S704" s="49"/>
    </row>
  </sheetData>
  <sortState ref="C9:D10">
    <sortCondition descending="1" ref="D8"/>
  </sortState>
  <mergeCells count="3">
    <mergeCell ref="C3:M3"/>
    <mergeCell ref="F7:M7"/>
    <mergeCell ref="B28:R34"/>
  </mergeCells>
  <pageMargins left="0.7" right="0.7" top="0.75" bottom="0.75" header="0.3" footer="0.3"/>
  <pageSetup paperSize="9" scale="10" orientation="portrait" r:id="rId1"/>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15">
    <pageSetUpPr fitToPage="1"/>
  </sheetPr>
  <dimension ref="B1:S700"/>
  <sheetViews>
    <sheetView showGridLines="0" zoomScale="75" zoomScaleNormal="75" workbookViewId="0"/>
  </sheetViews>
  <sheetFormatPr defaultColWidth="9.1796875" defaultRowHeight="15.5" x14ac:dyDescent="0.35"/>
  <cols>
    <col min="1" max="1" width="2.81640625" style="3" customWidth="1"/>
    <col min="2" max="2" width="3.81640625" style="3" customWidth="1"/>
    <col min="3" max="3" width="59.1796875" style="3" bestFit="1" customWidth="1"/>
    <col min="4" max="4" width="15.453125" style="3" bestFit="1" customWidth="1"/>
    <col min="5" max="5" width="9.1796875" style="3"/>
    <col min="6" max="6" width="10.7265625" style="3" customWidth="1"/>
    <col min="7" max="7" width="10.54296875" style="3" bestFit="1" customWidth="1"/>
    <col min="8" max="9" width="9.1796875" style="3"/>
    <col min="10" max="11" width="16.453125" style="3" customWidth="1"/>
    <col min="12" max="18" width="9.1796875" style="3"/>
    <col min="19" max="19" width="9.81640625" style="3" customWidth="1"/>
    <col min="20" max="21" width="9.26953125" style="3" bestFit="1" customWidth="1"/>
    <col min="22" max="16384" width="9.1796875" style="3"/>
  </cols>
  <sheetData>
    <row r="1" spans="2:19" ht="16" thickBot="1" x14ac:dyDescent="0.4"/>
    <row r="2" spans="2:19" x14ac:dyDescent="0.35">
      <c r="B2" s="91"/>
      <c r="C2" s="42"/>
      <c r="D2" s="42"/>
      <c r="E2" s="42"/>
      <c r="F2" s="42"/>
      <c r="G2" s="42"/>
      <c r="H2" s="42"/>
      <c r="I2" s="42"/>
      <c r="J2" s="42"/>
      <c r="K2" s="42"/>
      <c r="L2" s="42"/>
      <c r="M2" s="92"/>
    </row>
    <row r="3" spans="2:19" ht="20.25" customHeight="1" x14ac:dyDescent="0.35">
      <c r="B3" s="93"/>
      <c r="C3" s="297" t="s">
        <v>171</v>
      </c>
      <c r="D3" s="297"/>
      <c r="E3" s="297"/>
      <c r="F3" s="297"/>
      <c r="G3" s="297"/>
      <c r="H3" s="297"/>
      <c r="I3" s="297"/>
      <c r="J3" s="297"/>
      <c r="K3" s="297"/>
      <c r="L3" s="297"/>
      <c r="M3" s="298"/>
    </row>
    <row r="4" spans="2:19" x14ac:dyDescent="0.35">
      <c r="B4" s="93"/>
      <c r="C4" s="67" t="s">
        <v>434</v>
      </c>
      <c r="D4" s="29"/>
      <c r="E4" s="29"/>
      <c r="F4" s="5"/>
      <c r="G4" s="5"/>
      <c r="H4" s="5"/>
      <c r="I4" s="5"/>
      <c r="J4" s="5"/>
      <c r="K4" s="5"/>
      <c r="L4" s="5"/>
      <c r="M4" s="20"/>
    </row>
    <row r="5" spans="2:19" ht="20.25" customHeight="1" x14ac:dyDescent="0.35">
      <c r="B5" s="93"/>
      <c r="C5" s="211" t="s">
        <v>435</v>
      </c>
      <c r="D5" s="94" t="s">
        <v>415</v>
      </c>
      <c r="E5" s="19"/>
      <c r="F5" s="5"/>
      <c r="G5" s="5"/>
      <c r="H5" s="5"/>
      <c r="I5" s="5"/>
      <c r="J5" s="5"/>
      <c r="K5" s="5"/>
      <c r="L5" s="5"/>
      <c r="M5" s="20"/>
    </row>
    <row r="6" spans="2:19" x14ac:dyDescent="0.35">
      <c r="B6" s="93"/>
      <c r="C6" s="5"/>
      <c r="D6" s="5"/>
      <c r="E6" s="5"/>
      <c r="F6" s="5"/>
      <c r="G6" s="5"/>
      <c r="H6" s="5"/>
      <c r="I6" s="5"/>
      <c r="J6" s="5"/>
      <c r="K6" s="5"/>
      <c r="L6" s="5"/>
      <c r="M6" s="20"/>
    </row>
    <row r="7" spans="2:19" x14ac:dyDescent="0.35">
      <c r="B7" s="93"/>
      <c r="C7" s="95" t="s">
        <v>43</v>
      </c>
      <c r="D7" s="95" t="s">
        <v>45</v>
      </c>
      <c r="E7" s="5"/>
      <c r="F7" s="299" t="s">
        <v>50</v>
      </c>
      <c r="G7" s="299"/>
      <c r="H7" s="299"/>
      <c r="I7" s="299"/>
      <c r="J7" s="299"/>
      <c r="K7" s="299"/>
      <c r="L7" s="299"/>
      <c r="M7" s="300"/>
    </row>
    <row r="8" spans="2:19" x14ac:dyDescent="0.35">
      <c r="B8" s="93"/>
      <c r="C8" s="38" t="s">
        <v>176</v>
      </c>
      <c r="D8" s="189">
        <v>7.9135999999999998E-2</v>
      </c>
      <c r="E8" s="5"/>
      <c r="F8" s="5"/>
      <c r="G8" s="31"/>
      <c r="H8" s="5"/>
      <c r="I8" s="5" t="s">
        <v>51</v>
      </c>
      <c r="J8" s="47">
        <f>D11</f>
        <v>0.74074200000000001</v>
      </c>
      <c r="K8" s="5"/>
      <c r="L8" s="5"/>
      <c r="M8" s="20"/>
      <c r="S8" s="49"/>
    </row>
    <row r="9" spans="2:19" ht="15.75" customHeight="1" x14ac:dyDescent="0.35">
      <c r="B9" s="93"/>
      <c r="C9" s="4" t="s">
        <v>172</v>
      </c>
      <c r="D9" s="174">
        <v>0.31447399999999998</v>
      </c>
      <c r="E9" s="5"/>
      <c r="F9" s="5"/>
      <c r="G9" s="5"/>
      <c r="H9" s="5"/>
      <c r="I9" s="5" t="s">
        <v>53</v>
      </c>
      <c r="J9" s="47">
        <f>D14</f>
        <v>0.23987600000000001</v>
      </c>
      <c r="K9" s="5"/>
      <c r="L9" s="5"/>
      <c r="M9" s="20"/>
      <c r="S9" s="49"/>
    </row>
    <row r="10" spans="2:19" x14ac:dyDescent="0.35">
      <c r="B10" s="93"/>
      <c r="C10" s="4" t="s">
        <v>173</v>
      </c>
      <c r="D10" s="174">
        <v>0.347132</v>
      </c>
      <c r="E10" s="5"/>
      <c r="F10" s="5"/>
      <c r="G10" s="5"/>
      <c r="H10" s="5"/>
      <c r="I10" s="5" t="s">
        <v>20</v>
      </c>
      <c r="J10" s="47">
        <f>D16</f>
        <v>1.9382E-2</v>
      </c>
      <c r="K10" s="5"/>
      <c r="L10" s="5"/>
      <c r="M10" s="20"/>
      <c r="S10" s="49"/>
    </row>
    <row r="11" spans="2:19" x14ac:dyDescent="0.35">
      <c r="B11" s="93"/>
      <c r="C11" s="7" t="s">
        <v>52</v>
      </c>
      <c r="D11" s="8">
        <f>SUM(D8:D10)</f>
        <v>0.74074200000000001</v>
      </c>
      <c r="E11" s="5"/>
      <c r="F11" s="5"/>
      <c r="G11" s="5"/>
      <c r="H11" s="5"/>
      <c r="K11" s="5"/>
      <c r="L11" s="5"/>
      <c r="M11" s="20"/>
      <c r="S11" s="49"/>
    </row>
    <row r="12" spans="2:19" x14ac:dyDescent="0.35">
      <c r="B12" s="93"/>
      <c r="C12" s="4"/>
      <c r="D12" s="6"/>
      <c r="E12" s="5"/>
      <c r="F12" s="5"/>
      <c r="G12" s="5"/>
      <c r="H12" s="5"/>
      <c r="I12" s="5"/>
      <c r="J12" s="5"/>
      <c r="K12" s="5"/>
      <c r="L12" s="5"/>
      <c r="M12" s="20"/>
      <c r="S12" s="49"/>
    </row>
    <row r="13" spans="2:19" x14ac:dyDescent="0.35">
      <c r="B13" s="93"/>
      <c r="C13" s="4" t="s">
        <v>175</v>
      </c>
      <c r="D13" s="174">
        <v>0.23987600000000001</v>
      </c>
      <c r="E13" s="5"/>
      <c r="F13" s="5"/>
      <c r="G13" s="5"/>
      <c r="H13" s="5"/>
      <c r="I13" s="5"/>
      <c r="J13" s="5"/>
      <c r="K13" s="5"/>
      <c r="L13" s="5"/>
      <c r="M13" s="20"/>
      <c r="S13" s="49"/>
    </row>
    <row r="14" spans="2:19" x14ac:dyDescent="0.35">
      <c r="B14" s="93"/>
      <c r="C14" s="7" t="s">
        <v>19</v>
      </c>
      <c r="D14" s="8">
        <v>0.23987600000000001</v>
      </c>
      <c r="E14" s="5"/>
      <c r="F14" s="5"/>
      <c r="G14" s="5"/>
      <c r="H14" s="5"/>
      <c r="I14" s="5"/>
      <c r="J14" s="5"/>
      <c r="K14" s="5"/>
      <c r="L14" s="5"/>
      <c r="M14" s="20"/>
      <c r="S14" s="49"/>
    </row>
    <row r="15" spans="2:19" x14ac:dyDescent="0.35">
      <c r="B15" s="93"/>
      <c r="C15" s="4"/>
      <c r="D15" s="6"/>
      <c r="E15" s="5"/>
      <c r="F15" s="5"/>
      <c r="G15" s="5"/>
      <c r="H15" s="5"/>
      <c r="I15" s="5"/>
      <c r="J15" s="5"/>
      <c r="K15" s="5"/>
      <c r="L15" s="5"/>
      <c r="M15" s="20"/>
      <c r="S15" s="49"/>
    </row>
    <row r="16" spans="2:19" x14ac:dyDescent="0.35">
      <c r="B16" s="93"/>
      <c r="C16" s="7" t="s">
        <v>20</v>
      </c>
      <c r="D16" s="199">
        <v>1.9382E-2</v>
      </c>
      <c r="E16" s="5"/>
      <c r="F16" s="5"/>
      <c r="G16" s="5"/>
      <c r="H16" s="5"/>
      <c r="I16" s="5"/>
      <c r="J16" s="5"/>
      <c r="K16" s="5"/>
      <c r="L16" s="5"/>
      <c r="M16" s="20"/>
      <c r="S16" s="49"/>
    </row>
    <row r="17" spans="2:19" x14ac:dyDescent="0.35">
      <c r="B17" s="93"/>
      <c r="C17" s="4"/>
      <c r="D17" s="6"/>
      <c r="E17" s="5"/>
      <c r="F17" s="5"/>
      <c r="G17" s="5"/>
      <c r="H17" s="5"/>
      <c r="I17" s="5"/>
      <c r="J17" s="5"/>
      <c r="K17" s="5"/>
      <c r="L17" s="5"/>
      <c r="M17" s="20"/>
      <c r="S17" s="49"/>
    </row>
    <row r="18" spans="2:19" x14ac:dyDescent="0.35">
      <c r="B18" s="93"/>
      <c r="C18" s="9" t="s">
        <v>54</v>
      </c>
      <c r="D18" s="10">
        <f>D16+D14+D11</f>
        <v>1</v>
      </c>
      <c r="E18" s="5"/>
      <c r="F18" s="5"/>
      <c r="G18" s="5"/>
      <c r="H18" s="5"/>
      <c r="I18" s="5"/>
      <c r="J18" s="5"/>
      <c r="K18" s="5"/>
      <c r="L18" s="5"/>
      <c r="M18" s="20"/>
      <c r="S18" s="49"/>
    </row>
    <row r="19" spans="2:19" x14ac:dyDescent="0.35">
      <c r="B19" s="93"/>
      <c r="E19" s="5"/>
      <c r="F19" s="5"/>
      <c r="G19" s="5"/>
      <c r="H19" s="5"/>
      <c r="I19" s="5"/>
      <c r="J19" s="5"/>
      <c r="K19" s="5"/>
      <c r="L19" s="5"/>
      <c r="M19" s="20"/>
      <c r="S19" s="49"/>
    </row>
    <row r="20" spans="2:19" x14ac:dyDescent="0.35">
      <c r="B20" s="93"/>
      <c r="E20" s="5"/>
      <c r="F20" s="5"/>
      <c r="G20" s="5"/>
      <c r="H20" s="5"/>
      <c r="I20" s="5"/>
      <c r="J20" s="5"/>
      <c r="K20" s="5"/>
      <c r="L20" s="5"/>
      <c r="M20" s="20"/>
      <c r="S20" s="49"/>
    </row>
    <row r="21" spans="2:19" x14ac:dyDescent="0.35">
      <c r="B21" s="93"/>
      <c r="E21" s="5"/>
      <c r="F21" s="5"/>
      <c r="G21" s="5"/>
      <c r="H21" s="5"/>
      <c r="I21" s="5"/>
      <c r="J21" s="5"/>
      <c r="K21" s="5"/>
      <c r="L21" s="5"/>
      <c r="M21" s="20"/>
      <c r="S21" s="49"/>
    </row>
    <row r="22" spans="2:19" ht="16" thickBot="1" x14ac:dyDescent="0.4">
      <c r="B22" s="96"/>
      <c r="C22" s="301"/>
      <c r="D22" s="301"/>
      <c r="E22" s="301"/>
      <c r="F22" s="301"/>
      <c r="G22" s="301"/>
      <c r="H22" s="301"/>
      <c r="I22" s="301"/>
      <c r="J22" s="301"/>
      <c r="K22" s="301"/>
      <c r="L22" s="301"/>
      <c r="M22" s="302"/>
      <c r="S22" s="49"/>
    </row>
    <row r="23" spans="2:19" ht="16" thickBot="1" x14ac:dyDescent="0.4">
      <c r="S23" s="49"/>
    </row>
    <row r="24" spans="2:19" ht="15" customHeight="1" x14ac:dyDescent="0.35">
      <c r="B24" s="303" t="s">
        <v>179</v>
      </c>
      <c r="C24" s="304"/>
      <c r="D24" s="304"/>
      <c r="E24" s="304"/>
      <c r="F24" s="304"/>
      <c r="G24" s="304"/>
      <c r="H24" s="304"/>
      <c r="I24" s="304"/>
      <c r="J24" s="304"/>
      <c r="K24" s="304"/>
      <c r="L24" s="304"/>
      <c r="M24" s="304"/>
      <c r="N24" s="304"/>
      <c r="O24" s="304"/>
      <c r="P24" s="304"/>
      <c r="Q24" s="304"/>
      <c r="R24" s="305"/>
      <c r="S24" s="49"/>
    </row>
    <row r="25" spans="2:19" x14ac:dyDescent="0.35">
      <c r="B25" s="306"/>
      <c r="C25" s="307"/>
      <c r="D25" s="307"/>
      <c r="E25" s="307"/>
      <c r="F25" s="307"/>
      <c r="G25" s="307"/>
      <c r="H25" s="307"/>
      <c r="I25" s="307"/>
      <c r="J25" s="307"/>
      <c r="K25" s="307"/>
      <c r="L25" s="307"/>
      <c r="M25" s="307"/>
      <c r="N25" s="307"/>
      <c r="O25" s="307"/>
      <c r="P25" s="307"/>
      <c r="Q25" s="307"/>
      <c r="R25" s="308"/>
      <c r="S25" s="49"/>
    </row>
    <row r="26" spans="2:19" x14ac:dyDescent="0.35">
      <c r="B26" s="306"/>
      <c r="C26" s="307"/>
      <c r="D26" s="307"/>
      <c r="E26" s="307"/>
      <c r="F26" s="307"/>
      <c r="G26" s="307"/>
      <c r="H26" s="307"/>
      <c r="I26" s="307"/>
      <c r="J26" s="307"/>
      <c r="K26" s="307"/>
      <c r="L26" s="307"/>
      <c r="M26" s="307"/>
      <c r="N26" s="307"/>
      <c r="O26" s="307"/>
      <c r="P26" s="307"/>
      <c r="Q26" s="307"/>
      <c r="R26" s="308"/>
      <c r="S26" s="49"/>
    </row>
    <row r="27" spans="2:19" x14ac:dyDescent="0.35">
      <c r="B27" s="306"/>
      <c r="C27" s="307"/>
      <c r="D27" s="307"/>
      <c r="E27" s="307"/>
      <c r="F27" s="307"/>
      <c r="G27" s="307"/>
      <c r="H27" s="307"/>
      <c r="I27" s="307"/>
      <c r="J27" s="307"/>
      <c r="K27" s="307"/>
      <c r="L27" s="307"/>
      <c r="M27" s="307"/>
      <c r="N27" s="307"/>
      <c r="O27" s="307"/>
      <c r="P27" s="307"/>
      <c r="Q27" s="307"/>
      <c r="R27" s="308"/>
      <c r="S27" s="49"/>
    </row>
    <row r="28" spans="2:19" x14ac:dyDescent="0.35">
      <c r="B28" s="306"/>
      <c r="C28" s="307"/>
      <c r="D28" s="307"/>
      <c r="E28" s="307"/>
      <c r="F28" s="307"/>
      <c r="G28" s="307"/>
      <c r="H28" s="307"/>
      <c r="I28" s="307"/>
      <c r="J28" s="307"/>
      <c r="K28" s="307"/>
      <c r="L28" s="307"/>
      <c r="M28" s="307"/>
      <c r="N28" s="307"/>
      <c r="O28" s="307"/>
      <c r="P28" s="307"/>
      <c r="Q28" s="307"/>
      <c r="R28" s="308"/>
      <c r="S28" s="49"/>
    </row>
    <row r="29" spans="2:19" x14ac:dyDescent="0.35">
      <c r="B29" s="306"/>
      <c r="C29" s="307"/>
      <c r="D29" s="307"/>
      <c r="E29" s="307"/>
      <c r="F29" s="307"/>
      <c r="G29" s="307"/>
      <c r="H29" s="307"/>
      <c r="I29" s="307"/>
      <c r="J29" s="307"/>
      <c r="K29" s="307"/>
      <c r="L29" s="307"/>
      <c r="M29" s="307"/>
      <c r="N29" s="307"/>
      <c r="O29" s="307"/>
      <c r="P29" s="307"/>
      <c r="Q29" s="307"/>
      <c r="R29" s="308"/>
      <c r="S29" s="49"/>
    </row>
    <row r="30" spans="2:19" ht="16" thickBot="1" x14ac:dyDescent="0.4">
      <c r="B30" s="309"/>
      <c r="C30" s="310"/>
      <c r="D30" s="310"/>
      <c r="E30" s="310"/>
      <c r="F30" s="310"/>
      <c r="G30" s="310"/>
      <c r="H30" s="310"/>
      <c r="I30" s="310"/>
      <c r="J30" s="310"/>
      <c r="K30" s="310"/>
      <c r="L30" s="310"/>
      <c r="M30" s="310"/>
      <c r="N30" s="310"/>
      <c r="O30" s="310"/>
      <c r="P30" s="310"/>
      <c r="Q30" s="310"/>
      <c r="R30" s="311"/>
      <c r="S30" s="49"/>
    </row>
    <row r="31" spans="2:19" x14ac:dyDescent="0.35">
      <c r="S31" s="49"/>
    </row>
    <row r="32" spans="2:19" x14ac:dyDescent="0.35">
      <c r="C32" s="223"/>
      <c r="D32" s="222"/>
      <c r="S32" s="49"/>
    </row>
    <row r="33" spans="3:19" x14ac:dyDescent="0.35">
      <c r="C33" s="223"/>
      <c r="D33" s="222"/>
      <c r="S33" s="49"/>
    </row>
    <row r="34" spans="3:19" x14ac:dyDescent="0.35">
      <c r="C34" s="223"/>
      <c r="D34" s="222"/>
      <c r="S34" s="49"/>
    </row>
    <row r="35" spans="3:19" x14ac:dyDescent="0.35">
      <c r="C35" s="223"/>
      <c r="D35" s="222"/>
      <c r="S35" s="49"/>
    </row>
    <row r="36" spans="3:19" x14ac:dyDescent="0.35">
      <c r="C36" s="223"/>
      <c r="D36" s="222"/>
      <c r="S36" s="49"/>
    </row>
    <row r="37" spans="3:19" x14ac:dyDescent="0.35">
      <c r="D37" s="238"/>
      <c r="S37" s="49"/>
    </row>
    <row r="38" spans="3:19" x14ac:dyDescent="0.35">
      <c r="S38" s="49"/>
    </row>
    <row r="39" spans="3:19" x14ac:dyDescent="0.35">
      <c r="S39" s="49"/>
    </row>
    <row r="40" spans="3:19" x14ac:dyDescent="0.35">
      <c r="S40" s="49"/>
    </row>
    <row r="41" spans="3:19" x14ac:dyDescent="0.35">
      <c r="S41" s="49"/>
    </row>
    <row r="42" spans="3:19" x14ac:dyDescent="0.35">
      <c r="S42" s="49"/>
    </row>
    <row r="43" spans="3:19" x14ac:dyDescent="0.35">
      <c r="S43" s="49"/>
    </row>
    <row r="44" spans="3:19" x14ac:dyDescent="0.35">
      <c r="S44" s="49"/>
    </row>
    <row r="45" spans="3:19" x14ac:dyDescent="0.35">
      <c r="S45" s="49"/>
    </row>
    <row r="46" spans="3:19" x14ac:dyDescent="0.35">
      <c r="S46" s="49"/>
    </row>
    <row r="47" spans="3:19" x14ac:dyDescent="0.35">
      <c r="S47" s="49"/>
    </row>
    <row r="48" spans="3:19" x14ac:dyDescent="0.35">
      <c r="S48" s="49"/>
    </row>
    <row r="49" spans="19:19" x14ac:dyDescent="0.35">
      <c r="S49" s="49"/>
    </row>
    <row r="50" spans="19:19" x14ac:dyDescent="0.35">
      <c r="S50" s="49"/>
    </row>
    <row r="51" spans="19:19" x14ac:dyDescent="0.35">
      <c r="S51" s="49"/>
    </row>
    <row r="52" spans="19:19" x14ac:dyDescent="0.35">
      <c r="S52" s="49"/>
    </row>
    <row r="53" spans="19:19" x14ac:dyDescent="0.35">
      <c r="S53" s="49"/>
    </row>
    <row r="54" spans="19:19" x14ac:dyDescent="0.35">
      <c r="S54" s="49"/>
    </row>
    <row r="55" spans="19:19" x14ac:dyDescent="0.35">
      <c r="S55" s="49"/>
    </row>
    <row r="56" spans="19:19" x14ac:dyDescent="0.35">
      <c r="S56" s="49"/>
    </row>
    <row r="57" spans="19:19" x14ac:dyDescent="0.35">
      <c r="S57" s="49"/>
    </row>
    <row r="58" spans="19:19" x14ac:dyDescent="0.35">
      <c r="S58" s="49"/>
    </row>
    <row r="59" spans="19:19" x14ac:dyDescent="0.35">
      <c r="S59" s="49"/>
    </row>
    <row r="60" spans="19:19" x14ac:dyDescent="0.35">
      <c r="S60" s="49"/>
    </row>
    <row r="61" spans="19:19" x14ac:dyDescent="0.35">
      <c r="S61" s="49"/>
    </row>
    <row r="62" spans="19:19" x14ac:dyDescent="0.35">
      <c r="S62" s="49"/>
    </row>
    <row r="63" spans="19:19" x14ac:dyDescent="0.35">
      <c r="S63" s="49"/>
    </row>
    <row r="64" spans="19:19" x14ac:dyDescent="0.35">
      <c r="S64" s="49"/>
    </row>
    <row r="65" spans="19:19" x14ac:dyDescent="0.35">
      <c r="S65" s="49"/>
    </row>
    <row r="66" spans="19:19" x14ac:dyDescent="0.35">
      <c r="S66" s="49"/>
    </row>
    <row r="67" spans="19:19" x14ac:dyDescent="0.35">
      <c r="S67" s="49"/>
    </row>
    <row r="68" spans="19:19" x14ac:dyDescent="0.35">
      <c r="S68" s="49"/>
    </row>
    <row r="69" spans="19:19" x14ac:dyDescent="0.35">
      <c r="S69" s="49"/>
    </row>
    <row r="70" spans="19:19" x14ac:dyDescent="0.35">
      <c r="S70" s="49"/>
    </row>
    <row r="71" spans="19:19" x14ac:dyDescent="0.35">
      <c r="S71" s="49"/>
    </row>
    <row r="72" spans="19:19" x14ac:dyDescent="0.35">
      <c r="S72" s="49"/>
    </row>
    <row r="73" spans="19:19" x14ac:dyDescent="0.35">
      <c r="S73" s="49"/>
    </row>
    <row r="74" spans="19:19" x14ac:dyDescent="0.35">
      <c r="S74" s="49"/>
    </row>
    <row r="75" spans="19:19" x14ac:dyDescent="0.35">
      <c r="S75" s="49"/>
    </row>
    <row r="76" spans="19:19" x14ac:dyDescent="0.35">
      <c r="S76" s="49"/>
    </row>
    <row r="77" spans="19:19" x14ac:dyDescent="0.35">
      <c r="S77" s="49"/>
    </row>
    <row r="78" spans="19:19" x14ac:dyDescent="0.35">
      <c r="S78" s="49"/>
    </row>
    <row r="79" spans="19:19" x14ac:dyDescent="0.35">
      <c r="S79" s="49"/>
    </row>
    <row r="80" spans="19:19" x14ac:dyDescent="0.35">
      <c r="S80" s="49"/>
    </row>
    <row r="81" spans="19:19" x14ac:dyDescent="0.35">
      <c r="S81" s="49"/>
    </row>
    <row r="82" spans="19:19" x14ac:dyDescent="0.35">
      <c r="S82" s="49"/>
    </row>
    <row r="83" spans="19:19" x14ac:dyDescent="0.35">
      <c r="S83" s="49"/>
    </row>
    <row r="84" spans="19:19" x14ac:dyDescent="0.35">
      <c r="S84" s="49"/>
    </row>
    <row r="85" spans="19:19" x14ac:dyDescent="0.35">
      <c r="S85" s="49"/>
    </row>
    <row r="86" spans="19:19" x14ac:dyDescent="0.35">
      <c r="S86" s="49"/>
    </row>
    <row r="87" spans="19:19" x14ac:dyDescent="0.35">
      <c r="S87" s="49"/>
    </row>
    <row r="88" spans="19:19" x14ac:dyDescent="0.35">
      <c r="S88" s="49"/>
    </row>
    <row r="89" spans="19:19" x14ac:dyDescent="0.35">
      <c r="S89" s="49"/>
    </row>
    <row r="90" spans="19:19" x14ac:dyDescent="0.35">
      <c r="S90" s="49"/>
    </row>
    <row r="91" spans="19:19" x14ac:dyDescent="0.35">
      <c r="S91" s="49"/>
    </row>
    <row r="92" spans="19:19" x14ac:dyDescent="0.35">
      <c r="S92" s="49"/>
    </row>
    <row r="93" spans="19:19" x14ac:dyDescent="0.35">
      <c r="S93" s="49"/>
    </row>
    <row r="94" spans="19:19" x14ac:dyDescent="0.35">
      <c r="S94" s="49"/>
    </row>
    <row r="95" spans="19:19" x14ac:dyDescent="0.35">
      <c r="S95" s="49"/>
    </row>
    <row r="96" spans="19:19" x14ac:dyDescent="0.35">
      <c r="S96" s="49"/>
    </row>
    <row r="97" spans="19:19" x14ac:dyDescent="0.35">
      <c r="S97" s="49"/>
    </row>
    <row r="98" spans="19:19" x14ac:dyDescent="0.35">
      <c r="S98" s="49"/>
    </row>
    <row r="99" spans="19:19" x14ac:dyDescent="0.35">
      <c r="S99" s="49"/>
    </row>
    <row r="100" spans="19:19" x14ac:dyDescent="0.35">
      <c r="S100" s="49"/>
    </row>
    <row r="101" spans="19:19" x14ac:dyDescent="0.35">
      <c r="S101" s="49"/>
    </row>
    <row r="102" spans="19:19" x14ac:dyDescent="0.35">
      <c r="S102" s="49"/>
    </row>
    <row r="103" spans="19:19" x14ac:dyDescent="0.35">
      <c r="S103" s="49"/>
    </row>
    <row r="104" spans="19:19" x14ac:dyDescent="0.35">
      <c r="S104" s="49"/>
    </row>
    <row r="105" spans="19:19" x14ac:dyDescent="0.35">
      <c r="S105" s="49"/>
    </row>
    <row r="106" spans="19:19" x14ac:dyDescent="0.35">
      <c r="S106" s="49"/>
    </row>
    <row r="107" spans="19:19" x14ac:dyDescent="0.35">
      <c r="S107" s="49"/>
    </row>
    <row r="108" spans="19:19" x14ac:dyDescent="0.35">
      <c r="S108" s="49"/>
    </row>
    <row r="109" spans="19:19" x14ac:dyDescent="0.35">
      <c r="S109" s="49"/>
    </row>
    <row r="110" spans="19:19" x14ac:dyDescent="0.35">
      <c r="S110" s="49"/>
    </row>
    <row r="111" spans="19:19" x14ac:dyDescent="0.35">
      <c r="S111" s="49"/>
    </row>
    <row r="112" spans="19:19" x14ac:dyDescent="0.35">
      <c r="S112" s="49"/>
    </row>
    <row r="113" spans="19:19" x14ac:dyDescent="0.35">
      <c r="S113" s="49"/>
    </row>
    <row r="114" spans="19:19" x14ac:dyDescent="0.35">
      <c r="S114" s="49"/>
    </row>
    <row r="115" spans="19:19" x14ac:dyDescent="0.35">
      <c r="S115" s="49"/>
    </row>
    <row r="116" spans="19:19" x14ac:dyDescent="0.35">
      <c r="S116" s="49"/>
    </row>
    <row r="117" spans="19:19" x14ac:dyDescent="0.35">
      <c r="S117" s="49"/>
    </row>
    <row r="118" spans="19:19" x14ac:dyDescent="0.35">
      <c r="S118" s="49"/>
    </row>
    <row r="119" spans="19:19" x14ac:dyDescent="0.35">
      <c r="S119" s="49"/>
    </row>
    <row r="120" spans="19:19" x14ac:dyDescent="0.35">
      <c r="S120" s="49"/>
    </row>
    <row r="121" spans="19:19" x14ac:dyDescent="0.35">
      <c r="S121" s="49"/>
    </row>
    <row r="122" spans="19:19" x14ac:dyDescent="0.35">
      <c r="S122" s="49"/>
    </row>
    <row r="123" spans="19:19" x14ac:dyDescent="0.35">
      <c r="S123" s="49"/>
    </row>
    <row r="124" spans="19:19" x14ac:dyDescent="0.35">
      <c r="S124" s="49"/>
    </row>
    <row r="125" spans="19:19" x14ac:dyDescent="0.35">
      <c r="S125" s="49"/>
    </row>
    <row r="126" spans="19:19" x14ac:dyDescent="0.35">
      <c r="S126" s="49"/>
    </row>
    <row r="127" spans="19:19" x14ac:dyDescent="0.35">
      <c r="S127" s="49"/>
    </row>
    <row r="128" spans="19:19" x14ac:dyDescent="0.35">
      <c r="S128" s="49"/>
    </row>
    <row r="129" spans="19:19" x14ac:dyDescent="0.35">
      <c r="S129" s="49"/>
    </row>
    <row r="130" spans="19:19" x14ac:dyDescent="0.35">
      <c r="S130" s="49"/>
    </row>
    <row r="131" spans="19:19" x14ac:dyDescent="0.35">
      <c r="S131" s="49"/>
    </row>
    <row r="132" spans="19:19" x14ac:dyDescent="0.35">
      <c r="S132" s="49"/>
    </row>
    <row r="133" spans="19:19" x14ac:dyDescent="0.35">
      <c r="S133" s="49"/>
    </row>
    <row r="134" spans="19:19" x14ac:dyDescent="0.35">
      <c r="S134" s="49"/>
    </row>
    <row r="135" spans="19:19" x14ac:dyDescent="0.35">
      <c r="S135" s="49"/>
    </row>
    <row r="136" spans="19:19" x14ac:dyDescent="0.35">
      <c r="S136" s="49"/>
    </row>
    <row r="137" spans="19:19" x14ac:dyDescent="0.35">
      <c r="S137" s="49"/>
    </row>
    <row r="138" spans="19:19" x14ac:dyDescent="0.35">
      <c r="S138" s="49"/>
    </row>
    <row r="139" spans="19:19" x14ac:dyDescent="0.35">
      <c r="S139" s="49"/>
    </row>
    <row r="140" spans="19:19" x14ac:dyDescent="0.35">
      <c r="S140" s="49"/>
    </row>
    <row r="141" spans="19:19" x14ac:dyDescent="0.35">
      <c r="S141" s="49"/>
    </row>
    <row r="142" spans="19:19" x14ac:dyDescent="0.35">
      <c r="S142" s="49"/>
    </row>
    <row r="143" spans="19:19" x14ac:dyDescent="0.35">
      <c r="S143" s="49"/>
    </row>
    <row r="144" spans="19:19" x14ac:dyDescent="0.35">
      <c r="S144" s="49"/>
    </row>
    <row r="145" spans="19:19" x14ac:dyDescent="0.35">
      <c r="S145" s="49"/>
    </row>
    <row r="146" spans="19:19" x14ac:dyDescent="0.35">
      <c r="S146" s="49"/>
    </row>
    <row r="147" spans="19:19" x14ac:dyDescent="0.35">
      <c r="S147" s="49"/>
    </row>
    <row r="148" spans="19:19" x14ac:dyDescent="0.35">
      <c r="S148" s="49"/>
    </row>
    <row r="149" spans="19:19" x14ac:dyDescent="0.35">
      <c r="S149" s="49"/>
    </row>
    <row r="150" spans="19:19" x14ac:dyDescent="0.35">
      <c r="S150" s="49"/>
    </row>
    <row r="151" spans="19:19" x14ac:dyDescent="0.35">
      <c r="S151" s="49"/>
    </row>
    <row r="152" spans="19:19" x14ac:dyDescent="0.35">
      <c r="S152" s="49"/>
    </row>
    <row r="153" spans="19:19" x14ac:dyDescent="0.35">
      <c r="S153" s="49"/>
    </row>
    <row r="154" spans="19:19" x14ac:dyDescent="0.35">
      <c r="S154" s="49"/>
    </row>
    <row r="155" spans="19:19" x14ac:dyDescent="0.35">
      <c r="S155" s="49"/>
    </row>
    <row r="156" spans="19:19" x14ac:dyDescent="0.35">
      <c r="S156" s="49"/>
    </row>
    <row r="157" spans="19:19" x14ac:dyDescent="0.35">
      <c r="S157" s="49"/>
    </row>
    <row r="158" spans="19:19" x14ac:dyDescent="0.35">
      <c r="S158" s="49"/>
    </row>
    <row r="159" spans="19:19" x14ac:dyDescent="0.35">
      <c r="S159" s="49"/>
    </row>
    <row r="160" spans="19:19" x14ac:dyDescent="0.35">
      <c r="S160" s="49"/>
    </row>
    <row r="161" spans="19:19" x14ac:dyDescent="0.35">
      <c r="S161" s="49"/>
    </row>
    <row r="162" spans="19:19" x14ac:dyDescent="0.35">
      <c r="S162" s="49"/>
    </row>
    <row r="163" spans="19:19" x14ac:dyDescent="0.35">
      <c r="S163" s="49"/>
    </row>
    <row r="164" spans="19:19" x14ac:dyDescent="0.35">
      <c r="S164" s="49"/>
    </row>
    <row r="165" spans="19:19" x14ac:dyDescent="0.35">
      <c r="S165" s="49"/>
    </row>
    <row r="166" spans="19:19" x14ac:dyDescent="0.35">
      <c r="S166" s="49"/>
    </row>
    <row r="167" spans="19:19" x14ac:dyDescent="0.35">
      <c r="S167" s="49"/>
    </row>
    <row r="168" spans="19:19" x14ac:dyDescent="0.35">
      <c r="S168" s="49"/>
    </row>
    <row r="169" spans="19:19" x14ac:dyDescent="0.35">
      <c r="S169" s="49"/>
    </row>
    <row r="170" spans="19:19" x14ac:dyDescent="0.35">
      <c r="S170" s="49"/>
    </row>
    <row r="171" spans="19:19" x14ac:dyDescent="0.35">
      <c r="S171" s="49"/>
    </row>
    <row r="172" spans="19:19" x14ac:dyDescent="0.35">
      <c r="S172" s="49"/>
    </row>
    <row r="173" spans="19:19" x14ac:dyDescent="0.35">
      <c r="S173" s="49"/>
    </row>
    <row r="174" spans="19:19" x14ac:dyDescent="0.35">
      <c r="S174" s="49"/>
    </row>
    <row r="175" spans="19:19" x14ac:dyDescent="0.35">
      <c r="S175" s="49"/>
    </row>
    <row r="176" spans="19:19" x14ac:dyDescent="0.35">
      <c r="S176" s="49"/>
    </row>
    <row r="177" spans="19:19" x14ac:dyDescent="0.35">
      <c r="S177" s="49"/>
    </row>
    <row r="178" spans="19:19" x14ac:dyDescent="0.35">
      <c r="S178" s="49"/>
    </row>
    <row r="179" spans="19:19" x14ac:dyDescent="0.35">
      <c r="S179" s="49"/>
    </row>
    <row r="180" spans="19:19" x14ac:dyDescent="0.35">
      <c r="S180" s="49"/>
    </row>
    <row r="181" spans="19:19" x14ac:dyDescent="0.35">
      <c r="S181" s="49"/>
    </row>
    <row r="182" spans="19:19" x14ac:dyDescent="0.35">
      <c r="S182" s="49"/>
    </row>
    <row r="183" spans="19:19" x14ac:dyDescent="0.35">
      <c r="S183" s="49"/>
    </row>
    <row r="184" spans="19:19" x14ac:dyDescent="0.35">
      <c r="S184" s="49"/>
    </row>
    <row r="185" spans="19:19" x14ac:dyDescent="0.35">
      <c r="S185" s="49"/>
    </row>
    <row r="186" spans="19:19" x14ac:dyDescent="0.35">
      <c r="S186" s="49"/>
    </row>
    <row r="187" spans="19:19" x14ac:dyDescent="0.35">
      <c r="S187" s="49"/>
    </row>
    <row r="188" spans="19:19" x14ac:dyDescent="0.35">
      <c r="S188" s="49"/>
    </row>
    <row r="189" spans="19:19" x14ac:dyDescent="0.35">
      <c r="S189" s="49"/>
    </row>
    <row r="190" spans="19:19" x14ac:dyDescent="0.35">
      <c r="S190" s="49"/>
    </row>
    <row r="191" spans="19:19" x14ac:dyDescent="0.35">
      <c r="S191" s="49"/>
    </row>
    <row r="192" spans="19:19" x14ac:dyDescent="0.35">
      <c r="S192" s="49"/>
    </row>
    <row r="193" spans="19:19" x14ac:dyDescent="0.35">
      <c r="S193" s="49"/>
    </row>
    <row r="194" spans="19:19" x14ac:dyDescent="0.35">
      <c r="S194" s="49"/>
    </row>
    <row r="195" spans="19:19" x14ac:dyDescent="0.35">
      <c r="S195" s="49"/>
    </row>
    <row r="196" spans="19:19" x14ac:dyDescent="0.35">
      <c r="S196" s="49"/>
    </row>
    <row r="197" spans="19:19" x14ac:dyDescent="0.35">
      <c r="S197" s="49"/>
    </row>
    <row r="198" spans="19:19" x14ac:dyDescent="0.35">
      <c r="S198" s="49"/>
    </row>
    <row r="199" spans="19:19" x14ac:dyDescent="0.35">
      <c r="S199" s="49"/>
    </row>
    <row r="200" spans="19:19" x14ac:dyDescent="0.35">
      <c r="S200" s="49"/>
    </row>
    <row r="201" spans="19:19" x14ac:dyDescent="0.35">
      <c r="S201" s="49"/>
    </row>
    <row r="202" spans="19:19" x14ac:dyDescent="0.35">
      <c r="S202" s="49"/>
    </row>
    <row r="203" spans="19:19" x14ac:dyDescent="0.35">
      <c r="S203" s="49"/>
    </row>
    <row r="204" spans="19:19" x14ac:dyDescent="0.35">
      <c r="S204" s="49"/>
    </row>
    <row r="205" spans="19:19" x14ac:dyDescent="0.35">
      <c r="S205" s="49"/>
    </row>
    <row r="206" spans="19:19" x14ac:dyDescent="0.35">
      <c r="S206" s="49"/>
    </row>
    <row r="207" spans="19:19" x14ac:dyDescent="0.35">
      <c r="S207" s="49"/>
    </row>
    <row r="208" spans="19:19" x14ac:dyDescent="0.35">
      <c r="S208" s="49"/>
    </row>
    <row r="209" spans="19:19" x14ac:dyDescent="0.35">
      <c r="S209" s="49"/>
    </row>
    <row r="210" spans="19:19" x14ac:dyDescent="0.35">
      <c r="S210" s="49"/>
    </row>
    <row r="211" spans="19:19" x14ac:dyDescent="0.35">
      <c r="S211" s="49"/>
    </row>
    <row r="212" spans="19:19" x14ac:dyDescent="0.35">
      <c r="S212" s="49"/>
    </row>
    <row r="213" spans="19:19" x14ac:dyDescent="0.35">
      <c r="S213" s="49"/>
    </row>
    <row r="214" spans="19:19" x14ac:dyDescent="0.35">
      <c r="S214" s="49"/>
    </row>
    <row r="215" spans="19:19" x14ac:dyDescent="0.35">
      <c r="S215" s="49"/>
    </row>
    <row r="216" spans="19:19" x14ac:dyDescent="0.35">
      <c r="S216" s="49"/>
    </row>
    <row r="217" spans="19:19" x14ac:dyDescent="0.35">
      <c r="S217" s="49"/>
    </row>
    <row r="218" spans="19:19" x14ac:dyDescent="0.35">
      <c r="S218" s="49"/>
    </row>
    <row r="219" spans="19:19" x14ac:dyDescent="0.35">
      <c r="S219" s="49"/>
    </row>
    <row r="220" spans="19:19" x14ac:dyDescent="0.35">
      <c r="S220" s="49"/>
    </row>
    <row r="221" spans="19:19" x14ac:dyDescent="0.35">
      <c r="S221" s="49"/>
    </row>
    <row r="222" spans="19:19" x14ac:dyDescent="0.35">
      <c r="S222" s="49"/>
    </row>
    <row r="223" spans="19:19" x14ac:dyDescent="0.35">
      <c r="S223" s="49"/>
    </row>
    <row r="224" spans="19:19" x14ac:dyDescent="0.35">
      <c r="S224" s="49"/>
    </row>
    <row r="225" spans="19:19" x14ac:dyDescent="0.35">
      <c r="S225" s="49"/>
    </row>
    <row r="226" spans="19:19" x14ac:dyDescent="0.35">
      <c r="S226" s="49"/>
    </row>
    <row r="227" spans="19:19" x14ac:dyDescent="0.35">
      <c r="S227" s="49"/>
    </row>
    <row r="228" spans="19:19" x14ac:dyDescent="0.35">
      <c r="S228" s="49"/>
    </row>
    <row r="229" spans="19:19" x14ac:dyDescent="0.35">
      <c r="S229" s="49"/>
    </row>
    <row r="230" spans="19:19" x14ac:dyDescent="0.35">
      <c r="S230" s="49"/>
    </row>
    <row r="231" spans="19:19" x14ac:dyDescent="0.35">
      <c r="S231" s="49"/>
    </row>
    <row r="232" spans="19:19" x14ac:dyDescent="0.35">
      <c r="S232" s="49"/>
    </row>
    <row r="233" spans="19:19" x14ac:dyDescent="0.35">
      <c r="S233" s="49"/>
    </row>
    <row r="234" spans="19:19" x14ac:dyDescent="0.35">
      <c r="S234" s="49"/>
    </row>
    <row r="235" spans="19:19" x14ac:dyDescent="0.35">
      <c r="S235" s="49"/>
    </row>
    <row r="236" spans="19:19" x14ac:dyDescent="0.35">
      <c r="S236" s="49"/>
    </row>
    <row r="237" spans="19:19" x14ac:dyDescent="0.35">
      <c r="S237" s="49"/>
    </row>
    <row r="238" spans="19:19" x14ac:dyDescent="0.35">
      <c r="S238" s="49"/>
    </row>
    <row r="239" spans="19:19" x14ac:dyDescent="0.35">
      <c r="S239" s="49"/>
    </row>
    <row r="240" spans="19:19" x14ac:dyDescent="0.35">
      <c r="S240" s="49"/>
    </row>
    <row r="241" spans="19:19" x14ac:dyDescent="0.35">
      <c r="S241" s="49"/>
    </row>
    <row r="242" spans="19:19" x14ac:dyDescent="0.35">
      <c r="S242" s="49"/>
    </row>
    <row r="243" spans="19:19" x14ac:dyDescent="0.35">
      <c r="S243" s="49"/>
    </row>
    <row r="244" spans="19:19" x14ac:dyDescent="0.35">
      <c r="S244" s="49"/>
    </row>
    <row r="245" spans="19:19" x14ac:dyDescent="0.35">
      <c r="S245" s="49"/>
    </row>
    <row r="246" spans="19:19" x14ac:dyDescent="0.35">
      <c r="S246" s="49"/>
    </row>
    <row r="247" spans="19:19" x14ac:dyDescent="0.35">
      <c r="S247" s="49"/>
    </row>
    <row r="248" spans="19:19" x14ac:dyDescent="0.35">
      <c r="S248" s="49"/>
    </row>
    <row r="249" spans="19:19" x14ac:dyDescent="0.35">
      <c r="S249" s="49"/>
    </row>
    <row r="250" spans="19:19" x14ac:dyDescent="0.35">
      <c r="S250" s="49"/>
    </row>
    <row r="251" spans="19:19" x14ac:dyDescent="0.35">
      <c r="S251" s="49"/>
    </row>
    <row r="252" spans="19:19" x14ac:dyDescent="0.35">
      <c r="S252" s="49"/>
    </row>
    <row r="253" spans="19:19" x14ac:dyDescent="0.35">
      <c r="S253" s="49"/>
    </row>
    <row r="254" spans="19:19" x14ac:dyDescent="0.35">
      <c r="S254" s="49"/>
    </row>
    <row r="255" spans="19:19" x14ac:dyDescent="0.35">
      <c r="S255" s="49"/>
    </row>
    <row r="256" spans="19:19" x14ac:dyDescent="0.35">
      <c r="S256" s="49"/>
    </row>
    <row r="257" spans="19:19" x14ac:dyDescent="0.35">
      <c r="S257" s="49"/>
    </row>
    <row r="258" spans="19:19" x14ac:dyDescent="0.35">
      <c r="S258" s="49"/>
    </row>
    <row r="259" spans="19:19" x14ac:dyDescent="0.35">
      <c r="S259" s="49"/>
    </row>
    <row r="260" spans="19:19" x14ac:dyDescent="0.35">
      <c r="S260" s="49"/>
    </row>
    <row r="261" spans="19:19" x14ac:dyDescent="0.35">
      <c r="S261" s="49"/>
    </row>
    <row r="262" spans="19:19" x14ac:dyDescent="0.35">
      <c r="S262" s="49"/>
    </row>
    <row r="263" spans="19:19" x14ac:dyDescent="0.35">
      <c r="S263" s="49"/>
    </row>
    <row r="264" spans="19:19" x14ac:dyDescent="0.35">
      <c r="S264" s="49"/>
    </row>
    <row r="265" spans="19:19" x14ac:dyDescent="0.35">
      <c r="S265" s="49"/>
    </row>
    <row r="266" spans="19:19" x14ac:dyDescent="0.35">
      <c r="S266" s="49"/>
    </row>
    <row r="267" spans="19:19" x14ac:dyDescent="0.35">
      <c r="S267" s="49"/>
    </row>
    <row r="268" spans="19:19" x14ac:dyDescent="0.35">
      <c r="S268" s="49"/>
    </row>
    <row r="269" spans="19:19" x14ac:dyDescent="0.35">
      <c r="S269" s="49"/>
    </row>
    <row r="270" spans="19:19" x14ac:dyDescent="0.35">
      <c r="S270" s="49"/>
    </row>
    <row r="271" spans="19:19" x14ac:dyDescent="0.35">
      <c r="S271" s="49"/>
    </row>
    <row r="272" spans="19:19" x14ac:dyDescent="0.35">
      <c r="S272" s="49"/>
    </row>
    <row r="273" spans="19:19" x14ac:dyDescent="0.35">
      <c r="S273" s="49"/>
    </row>
    <row r="274" spans="19:19" x14ac:dyDescent="0.35">
      <c r="S274" s="49"/>
    </row>
    <row r="275" spans="19:19" x14ac:dyDescent="0.35">
      <c r="S275" s="49"/>
    </row>
    <row r="276" spans="19:19" x14ac:dyDescent="0.35">
      <c r="S276" s="49"/>
    </row>
    <row r="277" spans="19:19" x14ac:dyDescent="0.35">
      <c r="S277" s="49"/>
    </row>
    <row r="278" spans="19:19" x14ac:dyDescent="0.35">
      <c r="S278" s="49"/>
    </row>
    <row r="279" spans="19:19" x14ac:dyDescent="0.35">
      <c r="S279" s="49"/>
    </row>
    <row r="280" spans="19:19" x14ac:dyDescent="0.35">
      <c r="S280" s="49"/>
    </row>
    <row r="281" spans="19:19" x14ac:dyDescent="0.35">
      <c r="S281" s="49"/>
    </row>
    <row r="282" spans="19:19" x14ac:dyDescent="0.35">
      <c r="S282" s="49"/>
    </row>
    <row r="283" spans="19:19" x14ac:dyDescent="0.35">
      <c r="S283" s="49"/>
    </row>
    <row r="284" spans="19:19" x14ac:dyDescent="0.35">
      <c r="S284" s="49"/>
    </row>
    <row r="285" spans="19:19" x14ac:dyDescent="0.35">
      <c r="S285" s="49"/>
    </row>
    <row r="286" spans="19:19" x14ac:dyDescent="0.35">
      <c r="S286" s="49"/>
    </row>
    <row r="287" spans="19:19" x14ac:dyDescent="0.35">
      <c r="S287" s="49"/>
    </row>
    <row r="288" spans="19:19" x14ac:dyDescent="0.35">
      <c r="S288" s="49"/>
    </row>
    <row r="289" spans="19:19" x14ac:dyDescent="0.35">
      <c r="S289" s="49"/>
    </row>
    <row r="290" spans="19:19" x14ac:dyDescent="0.35">
      <c r="S290" s="49"/>
    </row>
    <row r="291" spans="19:19" x14ac:dyDescent="0.35">
      <c r="S291" s="49"/>
    </row>
    <row r="292" spans="19:19" x14ac:dyDescent="0.35">
      <c r="S292" s="49"/>
    </row>
    <row r="293" spans="19:19" x14ac:dyDescent="0.35">
      <c r="S293" s="49"/>
    </row>
    <row r="294" spans="19:19" x14ac:dyDescent="0.35">
      <c r="S294" s="49"/>
    </row>
    <row r="295" spans="19:19" x14ac:dyDescent="0.35">
      <c r="S295" s="49"/>
    </row>
    <row r="296" spans="19:19" x14ac:dyDescent="0.35">
      <c r="S296" s="49"/>
    </row>
    <row r="297" spans="19:19" x14ac:dyDescent="0.35">
      <c r="S297" s="49"/>
    </row>
    <row r="298" spans="19:19" x14ac:dyDescent="0.35">
      <c r="S298" s="49"/>
    </row>
    <row r="299" spans="19:19" x14ac:dyDescent="0.35">
      <c r="S299" s="49"/>
    </row>
    <row r="300" spans="19:19" x14ac:dyDescent="0.35">
      <c r="S300" s="49"/>
    </row>
    <row r="301" spans="19:19" x14ac:dyDescent="0.35">
      <c r="S301" s="49"/>
    </row>
    <row r="302" spans="19:19" x14ac:dyDescent="0.35">
      <c r="S302" s="49"/>
    </row>
    <row r="303" spans="19:19" x14ac:dyDescent="0.35">
      <c r="S303" s="49"/>
    </row>
    <row r="304" spans="19:19" x14ac:dyDescent="0.35">
      <c r="S304" s="49"/>
    </row>
    <row r="305" spans="19:19" x14ac:dyDescent="0.35">
      <c r="S305" s="49"/>
    </row>
    <row r="306" spans="19:19" x14ac:dyDescent="0.35">
      <c r="S306" s="49"/>
    </row>
    <row r="307" spans="19:19" x14ac:dyDescent="0.35">
      <c r="S307" s="49"/>
    </row>
    <row r="308" spans="19:19" x14ac:dyDescent="0.35">
      <c r="S308" s="49"/>
    </row>
    <row r="309" spans="19:19" x14ac:dyDescent="0.35">
      <c r="S309" s="49"/>
    </row>
    <row r="310" spans="19:19" x14ac:dyDescent="0.35">
      <c r="S310" s="49"/>
    </row>
    <row r="311" spans="19:19" x14ac:dyDescent="0.35">
      <c r="S311" s="49"/>
    </row>
    <row r="312" spans="19:19" x14ac:dyDescent="0.35">
      <c r="S312" s="49"/>
    </row>
    <row r="313" spans="19:19" x14ac:dyDescent="0.35">
      <c r="S313" s="49"/>
    </row>
    <row r="314" spans="19:19" x14ac:dyDescent="0.35">
      <c r="S314" s="49"/>
    </row>
    <row r="315" spans="19:19" x14ac:dyDescent="0.35">
      <c r="S315" s="49"/>
    </row>
    <row r="316" spans="19:19" x14ac:dyDescent="0.35">
      <c r="S316" s="49"/>
    </row>
    <row r="317" spans="19:19" x14ac:dyDescent="0.35">
      <c r="S317" s="49"/>
    </row>
    <row r="318" spans="19:19" x14ac:dyDescent="0.35">
      <c r="S318" s="49"/>
    </row>
    <row r="319" spans="19:19" x14ac:dyDescent="0.35">
      <c r="S319" s="49"/>
    </row>
    <row r="320" spans="19:19" x14ac:dyDescent="0.35">
      <c r="S320" s="49"/>
    </row>
    <row r="321" spans="19:19" x14ac:dyDescent="0.35">
      <c r="S321" s="49"/>
    </row>
    <row r="322" spans="19:19" x14ac:dyDescent="0.35">
      <c r="S322" s="49"/>
    </row>
    <row r="323" spans="19:19" x14ac:dyDescent="0.35">
      <c r="S323" s="49"/>
    </row>
    <row r="324" spans="19:19" x14ac:dyDescent="0.35">
      <c r="S324" s="49"/>
    </row>
    <row r="325" spans="19:19" x14ac:dyDescent="0.35">
      <c r="S325" s="49"/>
    </row>
    <row r="326" spans="19:19" x14ac:dyDescent="0.35">
      <c r="S326" s="49"/>
    </row>
    <row r="327" spans="19:19" x14ac:dyDescent="0.35">
      <c r="S327" s="49"/>
    </row>
    <row r="328" spans="19:19" x14ac:dyDescent="0.35">
      <c r="S328" s="49"/>
    </row>
    <row r="329" spans="19:19" x14ac:dyDescent="0.35">
      <c r="S329" s="49"/>
    </row>
    <row r="330" spans="19:19" x14ac:dyDescent="0.35">
      <c r="S330" s="49"/>
    </row>
    <row r="331" spans="19:19" x14ac:dyDescent="0.35">
      <c r="S331" s="49"/>
    </row>
    <row r="332" spans="19:19" x14ac:dyDescent="0.35">
      <c r="S332" s="49"/>
    </row>
    <row r="333" spans="19:19" x14ac:dyDescent="0.35">
      <c r="S333" s="49"/>
    </row>
    <row r="334" spans="19:19" x14ac:dyDescent="0.35">
      <c r="S334" s="49"/>
    </row>
    <row r="335" spans="19:19" x14ac:dyDescent="0.35">
      <c r="S335" s="49"/>
    </row>
    <row r="336" spans="19:19" x14ac:dyDescent="0.35">
      <c r="S336" s="49"/>
    </row>
    <row r="337" spans="19:19" x14ac:dyDescent="0.35">
      <c r="S337" s="49"/>
    </row>
    <row r="338" spans="19:19" x14ac:dyDescent="0.35">
      <c r="S338" s="49"/>
    </row>
    <row r="339" spans="19:19" x14ac:dyDescent="0.35">
      <c r="S339" s="49"/>
    </row>
    <row r="340" spans="19:19" x14ac:dyDescent="0.35">
      <c r="S340" s="49"/>
    </row>
    <row r="341" spans="19:19" x14ac:dyDescent="0.35">
      <c r="S341" s="49"/>
    </row>
    <row r="342" spans="19:19" x14ac:dyDescent="0.35">
      <c r="S342" s="49"/>
    </row>
    <row r="343" spans="19:19" x14ac:dyDescent="0.35">
      <c r="S343" s="49"/>
    </row>
    <row r="344" spans="19:19" x14ac:dyDescent="0.35">
      <c r="S344" s="49"/>
    </row>
    <row r="345" spans="19:19" x14ac:dyDescent="0.35">
      <c r="S345" s="49"/>
    </row>
    <row r="346" spans="19:19" x14ac:dyDescent="0.35">
      <c r="S346" s="49"/>
    </row>
    <row r="347" spans="19:19" x14ac:dyDescent="0.35">
      <c r="S347" s="49"/>
    </row>
    <row r="348" spans="19:19" x14ac:dyDescent="0.35">
      <c r="S348" s="49"/>
    </row>
    <row r="349" spans="19:19" x14ac:dyDescent="0.35">
      <c r="S349" s="49"/>
    </row>
    <row r="350" spans="19:19" x14ac:dyDescent="0.35">
      <c r="S350" s="49"/>
    </row>
    <row r="351" spans="19:19" x14ac:dyDescent="0.35">
      <c r="S351" s="49"/>
    </row>
    <row r="352" spans="19:19" x14ac:dyDescent="0.35">
      <c r="S352" s="49"/>
    </row>
    <row r="353" spans="19:19" x14ac:dyDescent="0.35">
      <c r="S353" s="49"/>
    </row>
    <row r="354" spans="19:19" x14ac:dyDescent="0.35">
      <c r="S354" s="49"/>
    </row>
    <row r="355" spans="19:19" x14ac:dyDescent="0.35">
      <c r="S355" s="49"/>
    </row>
    <row r="356" spans="19:19" x14ac:dyDescent="0.35">
      <c r="S356" s="49"/>
    </row>
    <row r="357" spans="19:19" x14ac:dyDescent="0.35">
      <c r="S357" s="49"/>
    </row>
    <row r="358" spans="19:19" x14ac:dyDescent="0.35">
      <c r="S358" s="49"/>
    </row>
    <row r="359" spans="19:19" x14ac:dyDescent="0.35">
      <c r="S359" s="49"/>
    </row>
    <row r="360" spans="19:19" x14ac:dyDescent="0.35">
      <c r="S360" s="49"/>
    </row>
    <row r="361" spans="19:19" x14ac:dyDescent="0.35">
      <c r="S361" s="49"/>
    </row>
    <row r="362" spans="19:19" x14ac:dyDescent="0.35">
      <c r="S362" s="49"/>
    </row>
    <row r="363" spans="19:19" x14ac:dyDescent="0.35">
      <c r="S363" s="49"/>
    </row>
    <row r="364" spans="19:19" x14ac:dyDescent="0.35">
      <c r="S364" s="49"/>
    </row>
    <row r="365" spans="19:19" x14ac:dyDescent="0.35">
      <c r="S365" s="49"/>
    </row>
    <row r="366" spans="19:19" x14ac:dyDescent="0.35">
      <c r="S366" s="49"/>
    </row>
    <row r="367" spans="19:19" x14ac:dyDescent="0.35">
      <c r="S367" s="49"/>
    </row>
    <row r="368" spans="19:19" x14ac:dyDescent="0.35">
      <c r="S368" s="49"/>
    </row>
    <row r="369" spans="19:19" x14ac:dyDescent="0.35">
      <c r="S369" s="49"/>
    </row>
    <row r="370" spans="19:19" x14ac:dyDescent="0.35">
      <c r="S370" s="49"/>
    </row>
    <row r="371" spans="19:19" x14ac:dyDescent="0.35">
      <c r="S371" s="49"/>
    </row>
    <row r="372" spans="19:19" x14ac:dyDescent="0.35">
      <c r="S372" s="49"/>
    </row>
    <row r="373" spans="19:19" x14ac:dyDescent="0.35">
      <c r="S373" s="49"/>
    </row>
    <row r="374" spans="19:19" x14ac:dyDescent="0.35">
      <c r="S374" s="49"/>
    </row>
    <row r="375" spans="19:19" x14ac:dyDescent="0.35">
      <c r="S375" s="49"/>
    </row>
    <row r="376" spans="19:19" x14ac:dyDescent="0.35">
      <c r="S376" s="49"/>
    </row>
    <row r="377" spans="19:19" x14ac:dyDescent="0.35">
      <c r="S377" s="49"/>
    </row>
    <row r="378" spans="19:19" x14ac:dyDescent="0.35">
      <c r="S378" s="49"/>
    </row>
    <row r="379" spans="19:19" x14ac:dyDescent="0.35">
      <c r="S379" s="49"/>
    </row>
    <row r="380" spans="19:19" x14ac:dyDescent="0.35">
      <c r="S380" s="49"/>
    </row>
    <row r="381" spans="19:19" x14ac:dyDescent="0.35">
      <c r="S381" s="49"/>
    </row>
    <row r="382" spans="19:19" x14ac:dyDescent="0.35">
      <c r="S382" s="49"/>
    </row>
    <row r="383" spans="19:19" x14ac:dyDescent="0.35">
      <c r="S383" s="49"/>
    </row>
    <row r="384" spans="19:19" x14ac:dyDescent="0.35">
      <c r="S384" s="49"/>
    </row>
    <row r="385" spans="19:19" x14ac:dyDescent="0.35">
      <c r="S385" s="49"/>
    </row>
    <row r="386" spans="19:19" x14ac:dyDescent="0.35">
      <c r="S386" s="49"/>
    </row>
    <row r="387" spans="19:19" x14ac:dyDescent="0.35">
      <c r="S387" s="49"/>
    </row>
    <row r="388" spans="19:19" x14ac:dyDescent="0.35">
      <c r="S388" s="49"/>
    </row>
    <row r="389" spans="19:19" x14ac:dyDescent="0.35">
      <c r="S389" s="49"/>
    </row>
    <row r="390" spans="19:19" x14ac:dyDescent="0.35">
      <c r="S390" s="49"/>
    </row>
    <row r="391" spans="19:19" x14ac:dyDescent="0.35">
      <c r="S391" s="49"/>
    </row>
    <row r="392" spans="19:19" x14ac:dyDescent="0.35">
      <c r="S392" s="49"/>
    </row>
    <row r="393" spans="19:19" x14ac:dyDescent="0.35">
      <c r="S393" s="49"/>
    </row>
    <row r="394" spans="19:19" x14ac:dyDescent="0.35">
      <c r="S394" s="49"/>
    </row>
    <row r="395" spans="19:19" x14ac:dyDescent="0.35">
      <c r="S395" s="49"/>
    </row>
    <row r="396" spans="19:19" x14ac:dyDescent="0.35">
      <c r="S396" s="49"/>
    </row>
    <row r="397" spans="19:19" x14ac:dyDescent="0.35">
      <c r="S397" s="49"/>
    </row>
    <row r="398" spans="19:19" x14ac:dyDescent="0.35">
      <c r="S398" s="49"/>
    </row>
    <row r="399" spans="19:19" x14ac:dyDescent="0.35">
      <c r="S399" s="49"/>
    </row>
    <row r="400" spans="19:19" x14ac:dyDescent="0.35">
      <c r="S400" s="49"/>
    </row>
    <row r="401" spans="19:19" x14ac:dyDescent="0.35">
      <c r="S401" s="49"/>
    </row>
    <row r="402" spans="19:19" x14ac:dyDescent="0.35">
      <c r="S402" s="49"/>
    </row>
    <row r="403" spans="19:19" x14ac:dyDescent="0.35">
      <c r="S403" s="49"/>
    </row>
    <row r="404" spans="19:19" x14ac:dyDescent="0.35">
      <c r="S404" s="49"/>
    </row>
    <row r="405" spans="19:19" x14ac:dyDescent="0.35">
      <c r="S405" s="49"/>
    </row>
    <row r="406" spans="19:19" x14ac:dyDescent="0.35">
      <c r="S406" s="49"/>
    </row>
    <row r="407" spans="19:19" x14ac:dyDescent="0.35">
      <c r="S407" s="49"/>
    </row>
    <row r="408" spans="19:19" x14ac:dyDescent="0.35">
      <c r="S408" s="49"/>
    </row>
    <row r="409" spans="19:19" x14ac:dyDescent="0.35">
      <c r="S409" s="49"/>
    </row>
    <row r="410" spans="19:19" x14ac:dyDescent="0.35">
      <c r="S410" s="49"/>
    </row>
    <row r="411" spans="19:19" x14ac:dyDescent="0.35">
      <c r="S411" s="49"/>
    </row>
    <row r="412" spans="19:19" x14ac:dyDescent="0.35">
      <c r="S412" s="49"/>
    </row>
    <row r="413" spans="19:19" x14ac:dyDescent="0.35">
      <c r="S413" s="49"/>
    </row>
    <row r="414" spans="19:19" x14ac:dyDescent="0.35">
      <c r="S414" s="49"/>
    </row>
    <row r="415" spans="19:19" x14ac:dyDescent="0.35">
      <c r="S415" s="49"/>
    </row>
    <row r="416" spans="19:19" x14ac:dyDescent="0.35">
      <c r="S416" s="49"/>
    </row>
    <row r="417" spans="19:19" x14ac:dyDescent="0.35">
      <c r="S417" s="49"/>
    </row>
    <row r="418" spans="19:19" x14ac:dyDescent="0.35">
      <c r="S418" s="49"/>
    </row>
    <row r="419" spans="19:19" x14ac:dyDescent="0.35">
      <c r="S419" s="49"/>
    </row>
    <row r="420" spans="19:19" x14ac:dyDescent="0.35">
      <c r="S420" s="49"/>
    </row>
    <row r="421" spans="19:19" x14ac:dyDescent="0.35">
      <c r="S421" s="49"/>
    </row>
    <row r="422" spans="19:19" x14ac:dyDescent="0.35">
      <c r="S422" s="49"/>
    </row>
    <row r="423" spans="19:19" x14ac:dyDescent="0.35">
      <c r="S423" s="49"/>
    </row>
    <row r="424" spans="19:19" x14ac:dyDescent="0.35">
      <c r="S424" s="49"/>
    </row>
    <row r="425" spans="19:19" x14ac:dyDescent="0.35">
      <c r="S425" s="49"/>
    </row>
    <row r="426" spans="19:19" x14ac:dyDescent="0.35">
      <c r="S426" s="49"/>
    </row>
    <row r="427" spans="19:19" x14ac:dyDescent="0.35">
      <c r="S427" s="49"/>
    </row>
    <row r="428" spans="19:19" x14ac:dyDescent="0.35">
      <c r="S428" s="49"/>
    </row>
    <row r="429" spans="19:19" x14ac:dyDescent="0.35">
      <c r="S429" s="49"/>
    </row>
    <row r="430" spans="19:19" x14ac:dyDescent="0.35">
      <c r="S430" s="49"/>
    </row>
    <row r="431" spans="19:19" x14ac:dyDescent="0.35">
      <c r="S431" s="49"/>
    </row>
    <row r="432" spans="19:19" x14ac:dyDescent="0.35">
      <c r="S432" s="49"/>
    </row>
    <row r="433" spans="19:19" x14ac:dyDescent="0.35">
      <c r="S433" s="49"/>
    </row>
    <row r="434" spans="19:19" x14ac:dyDescent="0.35">
      <c r="S434" s="49"/>
    </row>
    <row r="435" spans="19:19" x14ac:dyDescent="0.35">
      <c r="S435" s="49"/>
    </row>
    <row r="436" spans="19:19" x14ac:dyDescent="0.35">
      <c r="S436" s="49"/>
    </row>
    <row r="437" spans="19:19" x14ac:dyDescent="0.35">
      <c r="S437" s="49"/>
    </row>
    <row r="438" spans="19:19" x14ac:dyDescent="0.35">
      <c r="S438" s="49"/>
    </row>
    <row r="439" spans="19:19" x14ac:dyDescent="0.35">
      <c r="S439" s="49"/>
    </row>
    <row r="440" spans="19:19" x14ac:dyDescent="0.35">
      <c r="S440" s="49"/>
    </row>
    <row r="441" spans="19:19" x14ac:dyDescent="0.35">
      <c r="S441" s="49"/>
    </row>
    <row r="442" spans="19:19" x14ac:dyDescent="0.35">
      <c r="S442" s="49"/>
    </row>
    <row r="443" spans="19:19" x14ac:dyDescent="0.35">
      <c r="S443" s="49"/>
    </row>
    <row r="444" spans="19:19" x14ac:dyDescent="0.35">
      <c r="S444" s="49"/>
    </row>
    <row r="445" spans="19:19" x14ac:dyDescent="0.35">
      <c r="S445" s="49"/>
    </row>
    <row r="446" spans="19:19" x14ac:dyDescent="0.35">
      <c r="S446" s="49"/>
    </row>
    <row r="447" spans="19:19" x14ac:dyDescent="0.35">
      <c r="S447" s="49"/>
    </row>
    <row r="448" spans="19:19" x14ac:dyDescent="0.35">
      <c r="S448" s="49"/>
    </row>
    <row r="449" spans="19:19" x14ac:dyDescent="0.35">
      <c r="S449" s="49"/>
    </row>
    <row r="450" spans="19:19" x14ac:dyDescent="0.35">
      <c r="S450" s="49"/>
    </row>
    <row r="451" spans="19:19" x14ac:dyDescent="0.35">
      <c r="S451" s="49"/>
    </row>
    <row r="452" spans="19:19" x14ac:dyDescent="0.35">
      <c r="S452" s="49"/>
    </row>
    <row r="453" spans="19:19" x14ac:dyDescent="0.35">
      <c r="S453" s="49"/>
    </row>
    <row r="454" spans="19:19" x14ac:dyDescent="0.35">
      <c r="S454" s="49"/>
    </row>
    <row r="455" spans="19:19" x14ac:dyDescent="0.35">
      <c r="S455" s="49"/>
    </row>
    <row r="456" spans="19:19" x14ac:dyDescent="0.35">
      <c r="S456" s="49"/>
    </row>
    <row r="457" spans="19:19" x14ac:dyDescent="0.35">
      <c r="S457" s="49"/>
    </row>
    <row r="458" spans="19:19" x14ac:dyDescent="0.35">
      <c r="S458" s="49"/>
    </row>
    <row r="459" spans="19:19" x14ac:dyDescent="0.35">
      <c r="S459" s="49"/>
    </row>
    <row r="460" spans="19:19" x14ac:dyDescent="0.35">
      <c r="S460" s="49"/>
    </row>
    <row r="461" spans="19:19" x14ac:dyDescent="0.35">
      <c r="S461" s="49"/>
    </row>
    <row r="462" spans="19:19" x14ac:dyDescent="0.35">
      <c r="S462" s="49"/>
    </row>
    <row r="463" spans="19:19" x14ac:dyDescent="0.35">
      <c r="S463" s="49"/>
    </row>
    <row r="464" spans="19:19" x14ac:dyDescent="0.35">
      <c r="S464" s="49"/>
    </row>
    <row r="465" spans="19:19" x14ac:dyDescent="0.35">
      <c r="S465" s="49"/>
    </row>
    <row r="466" spans="19:19" x14ac:dyDescent="0.35">
      <c r="S466" s="49"/>
    </row>
    <row r="467" spans="19:19" x14ac:dyDescent="0.35">
      <c r="S467" s="49"/>
    </row>
    <row r="468" spans="19:19" x14ac:dyDescent="0.35">
      <c r="S468" s="49"/>
    </row>
    <row r="469" spans="19:19" x14ac:dyDescent="0.35">
      <c r="S469" s="49"/>
    </row>
    <row r="470" spans="19:19" x14ac:dyDescent="0.35">
      <c r="S470" s="49"/>
    </row>
    <row r="471" spans="19:19" x14ac:dyDescent="0.35">
      <c r="S471" s="49"/>
    </row>
    <row r="472" spans="19:19" x14ac:dyDescent="0.35">
      <c r="S472" s="49"/>
    </row>
    <row r="473" spans="19:19" x14ac:dyDescent="0.35">
      <c r="S473" s="49"/>
    </row>
    <row r="474" spans="19:19" x14ac:dyDescent="0.35">
      <c r="S474" s="49"/>
    </row>
    <row r="475" spans="19:19" x14ac:dyDescent="0.35">
      <c r="S475" s="49"/>
    </row>
    <row r="476" spans="19:19" x14ac:dyDescent="0.35">
      <c r="S476" s="49"/>
    </row>
    <row r="477" spans="19:19" x14ac:dyDescent="0.35">
      <c r="S477" s="49"/>
    </row>
    <row r="478" spans="19:19" x14ac:dyDescent="0.35">
      <c r="S478" s="49"/>
    </row>
    <row r="479" spans="19:19" x14ac:dyDescent="0.35">
      <c r="S479" s="49"/>
    </row>
    <row r="480" spans="19:19" x14ac:dyDescent="0.35">
      <c r="S480" s="49"/>
    </row>
    <row r="481" spans="19:19" x14ac:dyDescent="0.35">
      <c r="S481" s="49"/>
    </row>
    <row r="482" spans="19:19" x14ac:dyDescent="0.35">
      <c r="S482" s="49"/>
    </row>
    <row r="483" spans="19:19" x14ac:dyDescent="0.35">
      <c r="S483" s="49"/>
    </row>
    <row r="484" spans="19:19" x14ac:dyDescent="0.35">
      <c r="S484" s="49"/>
    </row>
    <row r="485" spans="19:19" x14ac:dyDescent="0.35">
      <c r="S485" s="49"/>
    </row>
    <row r="486" spans="19:19" x14ac:dyDescent="0.35">
      <c r="S486" s="49"/>
    </row>
    <row r="487" spans="19:19" x14ac:dyDescent="0.35">
      <c r="S487" s="49"/>
    </row>
    <row r="488" spans="19:19" x14ac:dyDescent="0.35">
      <c r="S488" s="49"/>
    </row>
    <row r="489" spans="19:19" x14ac:dyDescent="0.35">
      <c r="S489" s="49"/>
    </row>
    <row r="490" spans="19:19" x14ac:dyDescent="0.35">
      <c r="S490" s="49"/>
    </row>
    <row r="491" spans="19:19" x14ac:dyDescent="0.35">
      <c r="S491" s="49"/>
    </row>
    <row r="492" spans="19:19" x14ac:dyDescent="0.35">
      <c r="S492" s="49"/>
    </row>
    <row r="493" spans="19:19" x14ac:dyDescent="0.35">
      <c r="S493" s="49"/>
    </row>
    <row r="494" spans="19:19" x14ac:dyDescent="0.35">
      <c r="S494" s="49"/>
    </row>
    <row r="495" spans="19:19" x14ac:dyDescent="0.35">
      <c r="S495" s="49"/>
    </row>
    <row r="496" spans="19:19" x14ac:dyDescent="0.35">
      <c r="S496" s="49"/>
    </row>
    <row r="497" spans="19:19" x14ac:dyDescent="0.35">
      <c r="S497" s="49"/>
    </row>
    <row r="498" spans="19:19" x14ac:dyDescent="0.35">
      <c r="S498" s="49"/>
    </row>
    <row r="499" spans="19:19" x14ac:dyDescent="0.35">
      <c r="S499" s="49"/>
    </row>
    <row r="500" spans="19:19" x14ac:dyDescent="0.35">
      <c r="S500" s="49"/>
    </row>
    <row r="501" spans="19:19" x14ac:dyDescent="0.35">
      <c r="S501" s="49"/>
    </row>
    <row r="502" spans="19:19" x14ac:dyDescent="0.35">
      <c r="S502" s="49"/>
    </row>
    <row r="503" spans="19:19" x14ac:dyDescent="0.35">
      <c r="S503" s="49"/>
    </row>
    <row r="504" spans="19:19" x14ac:dyDescent="0.35">
      <c r="S504" s="49"/>
    </row>
    <row r="505" spans="19:19" x14ac:dyDescent="0.35">
      <c r="S505" s="49"/>
    </row>
    <row r="506" spans="19:19" x14ac:dyDescent="0.35">
      <c r="S506" s="49"/>
    </row>
    <row r="507" spans="19:19" x14ac:dyDescent="0.35">
      <c r="S507" s="49"/>
    </row>
    <row r="508" spans="19:19" x14ac:dyDescent="0.35">
      <c r="S508" s="49"/>
    </row>
    <row r="509" spans="19:19" x14ac:dyDescent="0.35">
      <c r="S509" s="49"/>
    </row>
    <row r="510" spans="19:19" x14ac:dyDescent="0.35">
      <c r="S510" s="49"/>
    </row>
    <row r="511" spans="19:19" x14ac:dyDescent="0.35">
      <c r="S511" s="49"/>
    </row>
    <row r="512" spans="19:19" x14ac:dyDescent="0.35">
      <c r="S512" s="49"/>
    </row>
    <row r="513" spans="19:19" x14ac:dyDescent="0.35">
      <c r="S513" s="49"/>
    </row>
    <row r="514" spans="19:19" x14ac:dyDescent="0.35">
      <c r="S514" s="49"/>
    </row>
    <row r="515" spans="19:19" x14ac:dyDescent="0.35">
      <c r="S515" s="49"/>
    </row>
    <row r="516" spans="19:19" x14ac:dyDescent="0.35">
      <c r="S516" s="49"/>
    </row>
    <row r="517" spans="19:19" x14ac:dyDescent="0.35">
      <c r="S517" s="49"/>
    </row>
    <row r="518" spans="19:19" x14ac:dyDescent="0.35">
      <c r="S518" s="49"/>
    </row>
    <row r="519" spans="19:19" x14ac:dyDescent="0.35">
      <c r="S519" s="49"/>
    </row>
    <row r="520" spans="19:19" x14ac:dyDescent="0.35">
      <c r="S520" s="49"/>
    </row>
    <row r="521" spans="19:19" x14ac:dyDescent="0.35">
      <c r="S521" s="49"/>
    </row>
    <row r="522" spans="19:19" x14ac:dyDescent="0.35">
      <c r="S522" s="49"/>
    </row>
    <row r="523" spans="19:19" x14ac:dyDescent="0.35">
      <c r="S523" s="49"/>
    </row>
    <row r="524" spans="19:19" x14ac:dyDescent="0.35">
      <c r="S524" s="49"/>
    </row>
    <row r="525" spans="19:19" x14ac:dyDescent="0.35">
      <c r="S525" s="49"/>
    </row>
    <row r="526" spans="19:19" x14ac:dyDescent="0.35">
      <c r="S526" s="49"/>
    </row>
    <row r="527" spans="19:19" x14ac:dyDescent="0.35">
      <c r="S527" s="49"/>
    </row>
    <row r="528" spans="19:19" x14ac:dyDescent="0.35">
      <c r="S528" s="49"/>
    </row>
    <row r="529" spans="19:19" x14ac:dyDescent="0.35">
      <c r="S529" s="49"/>
    </row>
    <row r="530" spans="19:19" x14ac:dyDescent="0.35">
      <c r="S530" s="49"/>
    </row>
    <row r="531" spans="19:19" x14ac:dyDescent="0.35">
      <c r="S531" s="49"/>
    </row>
    <row r="532" spans="19:19" x14ac:dyDescent="0.35">
      <c r="S532" s="49"/>
    </row>
    <row r="533" spans="19:19" x14ac:dyDescent="0.35">
      <c r="S533" s="49"/>
    </row>
    <row r="534" spans="19:19" x14ac:dyDescent="0.35">
      <c r="S534" s="49"/>
    </row>
    <row r="535" spans="19:19" x14ac:dyDescent="0.35">
      <c r="S535" s="49"/>
    </row>
    <row r="536" spans="19:19" x14ac:dyDescent="0.35">
      <c r="S536" s="49"/>
    </row>
    <row r="537" spans="19:19" x14ac:dyDescent="0.35">
      <c r="S537" s="49"/>
    </row>
    <row r="538" spans="19:19" x14ac:dyDescent="0.35">
      <c r="S538" s="49"/>
    </row>
    <row r="539" spans="19:19" x14ac:dyDescent="0.35">
      <c r="S539" s="49"/>
    </row>
    <row r="540" spans="19:19" x14ac:dyDescent="0.35">
      <c r="S540" s="49"/>
    </row>
    <row r="541" spans="19:19" x14ac:dyDescent="0.35">
      <c r="S541" s="49"/>
    </row>
    <row r="542" spans="19:19" x14ac:dyDescent="0.35">
      <c r="S542" s="49"/>
    </row>
    <row r="543" spans="19:19" x14ac:dyDescent="0.35">
      <c r="S543" s="49"/>
    </row>
    <row r="544" spans="19:19" x14ac:dyDescent="0.35">
      <c r="S544" s="49"/>
    </row>
    <row r="545" spans="19:19" x14ac:dyDescent="0.35">
      <c r="S545" s="49"/>
    </row>
    <row r="546" spans="19:19" x14ac:dyDescent="0.35">
      <c r="S546" s="49"/>
    </row>
    <row r="547" spans="19:19" x14ac:dyDescent="0.35">
      <c r="S547" s="49"/>
    </row>
    <row r="548" spans="19:19" x14ac:dyDescent="0.35">
      <c r="S548" s="49"/>
    </row>
    <row r="549" spans="19:19" x14ac:dyDescent="0.35">
      <c r="S549" s="49"/>
    </row>
    <row r="550" spans="19:19" x14ac:dyDescent="0.35">
      <c r="S550" s="49"/>
    </row>
    <row r="551" spans="19:19" x14ac:dyDescent="0.35">
      <c r="S551" s="49"/>
    </row>
    <row r="552" spans="19:19" x14ac:dyDescent="0.35">
      <c r="S552" s="49"/>
    </row>
    <row r="553" spans="19:19" x14ac:dyDescent="0.35">
      <c r="S553" s="49"/>
    </row>
    <row r="554" spans="19:19" x14ac:dyDescent="0.35">
      <c r="S554" s="49"/>
    </row>
    <row r="555" spans="19:19" x14ac:dyDescent="0.35">
      <c r="S555" s="49"/>
    </row>
    <row r="556" spans="19:19" x14ac:dyDescent="0.35">
      <c r="S556" s="49"/>
    </row>
    <row r="557" spans="19:19" x14ac:dyDescent="0.35">
      <c r="S557" s="49"/>
    </row>
    <row r="558" spans="19:19" x14ac:dyDescent="0.35">
      <c r="S558" s="49"/>
    </row>
    <row r="559" spans="19:19" x14ac:dyDescent="0.35">
      <c r="S559" s="49"/>
    </row>
    <row r="560" spans="19:19" x14ac:dyDescent="0.35">
      <c r="S560" s="49"/>
    </row>
    <row r="561" spans="19:19" x14ac:dyDescent="0.35">
      <c r="S561" s="49"/>
    </row>
    <row r="562" spans="19:19" x14ac:dyDescent="0.35">
      <c r="S562" s="49"/>
    </row>
    <row r="563" spans="19:19" x14ac:dyDescent="0.35">
      <c r="S563" s="49"/>
    </row>
    <row r="564" spans="19:19" x14ac:dyDescent="0.35">
      <c r="S564" s="49"/>
    </row>
    <row r="565" spans="19:19" x14ac:dyDescent="0.35">
      <c r="S565" s="49"/>
    </row>
    <row r="566" spans="19:19" x14ac:dyDescent="0.35">
      <c r="S566" s="49"/>
    </row>
    <row r="567" spans="19:19" x14ac:dyDescent="0.35">
      <c r="S567" s="49"/>
    </row>
    <row r="568" spans="19:19" x14ac:dyDescent="0.35">
      <c r="S568" s="49"/>
    </row>
    <row r="569" spans="19:19" x14ac:dyDescent="0.35">
      <c r="S569" s="49"/>
    </row>
    <row r="570" spans="19:19" x14ac:dyDescent="0.35">
      <c r="S570" s="49"/>
    </row>
    <row r="571" spans="19:19" x14ac:dyDescent="0.35">
      <c r="S571" s="49"/>
    </row>
    <row r="572" spans="19:19" x14ac:dyDescent="0.35">
      <c r="S572" s="49"/>
    </row>
    <row r="573" spans="19:19" x14ac:dyDescent="0.35">
      <c r="S573" s="49"/>
    </row>
    <row r="574" spans="19:19" x14ac:dyDescent="0.35">
      <c r="S574" s="49"/>
    </row>
    <row r="575" spans="19:19" x14ac:dyDescent="0.35">
      <c r="S575" s="49"/>
    </row>
    <row r="576" spans="19:19" x14ac:dyDescent="0.35">
      <c r="S576" s="49"/>
    </row>
    <row r="577" spans="19:19" x14ac:dyDescent="0.35">
      <c r="S577" s="49"/>
    </row>
    <row r="578" spans="19:19" x14ac:dyDescent="0.35">
      <c r="S578" s="49"/>
    </row>
    <row r="579" spans="19:19" x14ac:dyDescent="0.35">
      <c r="S579" s="49"/>
    </row>
    <row r="580" spans="19:19" x14ac:dyDescent="0.35">
      <c r="S580" s="49"/>
    </row>
    <row r="581" spans="19:19" x14ac:dyDescent="0.35">
      <c r="S581" s="49"/>
    </row>
    <row r="582" spans="19:19" x14ac:dyDescent="0.35">
      <c r="S582" s="49"/>
    </row>
    <row r="583" spans="19:19" x14ac:dyDescent="0.35">
      <c r="S583" s="49"/>
    </row>
    <row r="584" spans="19:19" x14ac:dyDescent="0.35">
      <c r="S584" s="49"/>
    </row>
    <row r="585" spans="19:19" x14ac:dyDescent="0.35">
      <c r="S585" s="49"/>
    </row>
    <row r="586" spans="19:19" x14ac:dyDescent="0.35">
      <c r="S586" s="49"/>
    </row>
    <row r="587" spans="19:19" x14ac:dyDescent="0.35">
      <c r="S587" s="49"/>
    </row>
    <row r="588" spans="19:19" x14ac:dyDescent="0.35">
      <c r="S588" s="49"/>
    </row>
    <row r="589" spans="19:19" x14ac:dyDescent="0.35">
      <c r="S589" s="49"/>
    </row>
    <row r="590" spans="19:19" x14ac:dyDescent="0.35">
      <c r="S590" s="49"/>
    </row>
    <row r="591" spans="19:19" x14ac:dyDescent="0.35">
      <c r="S591" s="49"/>
    </row>
    <row r="592" spans="19:19" x14ac:dyDescent="0.35">
      <c r="S592" s="49"/>
    </row>
    <row r="593" spans="19:19" x14ac:dyDescent="0.35">
      <c r="S593" s="49"/>
    </row>
    <row r="594" spans="19:19" x14ac:dyDescent="0.35">
      <c r="S594" s="49"/>
    </row>
    <row r="595" spans="19:19" x14ac:dyDescent="0.35">
      <c r="S595" s="49"/>
    </row>
    <row r="596" spans="19:19" x14ac:dyDescent="0.35">
      <c r="S596" s="49"/>
    </row>
    <row r="597" spans="19:19" x14ac:dyDescent="0.35">
      <c r="S597" s="49"/>
    </row>
    <row r="598" spans="19:19" x14ac:dyDescent="0.35">
      <c r="S598" s="49"/>
    </row>
    <row r="599" spans="19:19" x14ac:dyDescent="0.35">
      <c r="S599" s="49"/>
    </row>
    <row r="600" spans="19:19" x14ac:dyDescent="0.35">
      <c r="S600" s="49"/>
    </row>
    <row r="601" spans="19:19" x14ac:dyDescent="0.35">
      <c r="S601" s="49"/>
    </row>
    <row r="602" spans="19:19" x14ac:dyDescent="0.35">
      <c r="S602" s="49"/>
    </row>
    <row r="603" spans="19:19" x14ac:dyDescent="0.35">
      <c r="S603" s="49"/>
    </row>
    <row r="604" spans="19:19" x14ac:dyDescent="0.35">
      <c r="S604" s="49"/>
    </row>
    <row r="605" spans="19:19" x14ac:dyDescent="0.35">
      <c r="S605" s="49"/>
    </row>
    <row r="606" spans="19:19" x14ac:dyDescent="0.35">
      <c r="S606" s="49"/>
    </row>
    <row r="607" spans="19:19" x14ac:dyDescent="0.35">
      <c r="S607" s="49"/>
    </row>
    <row r="608" spans="19:19" x14ac:dyDescent="0.35">
      <c r="S608" s="49"/>
    </row>
    <row r="609" spans="19:19" x14ac:dyDescent="0.35">
      <c r="S609" s="49"/>
    </row>
    <row r="610" spans="19:19" x14ac:dyDescent="0.35">
      <c r="S610" s="49"/>
    </row>
    <row r="611" spans="19:19" x14ac:dyDescent="0.35">
      <c r="S611" s="49"/>
    </row>
    <row r="612" spans="19:19" x14ac:dyDescent="0.35">
      <c r="S612" s="49"/>
    </row>
    <row r="613" spans="19:19" x14ac:dyDescent="0.35">
      <c r="S613" s="49"/>
    </row>
    <row r="614" spans="19:19" x14ac:dyDescent="0.35">
      <c r="S614" s="49"/>
    </row>
    <row r="615" spans="19:19" x14ac:dyDescent="0.35">
      <c r="S615" s="49"/>
    </row>
    <row r="616" spans="19:19" x14ac:dyDescent="0.35">
      <c r="S616" s="49"/>
    </row>
    <row r="617" spans="19:19" x14ac:dyDescent="0.35">
      <c r="S617" s="49"/>
    </row>
    <row r="618" spans="19:19" x14ac:dyDescent="0.35">
      <c r="S618" s="49"/>
    </row>
    <row r="619" spans="19:19" x14ac:dyDescent="0.35">
      <c r="S619" s="49"/>
    </row>
    <row r="620" spans="19:19" x14ac:dyDescent="0.35">
      <c r="S620" s="49"/>
    </row>
    <row r="621" spans="19:19" x14ac:dyDescent="0.35">
      <c r="S621" s="49"/>
    </row>
    <row r="622" spans="19:19" x14ac:dyDescent="0.35">
      <c r="S622" s="49"/>
    </row>
    <row r="623" spans="19:19" x14ac:dyDescent="0.35">
      <c r="S623" s="49"/>
    </row>
    <row r="624" spans="19:19" x14ac:dyDescent="0.35">
      <c r="S624" s="49"/>
    </row>
    <row r="625" spans="19:19" x14ac:dyDescent="0.35">
      <c r="S625" s="49"/>
    </row>
    <row r="626" spans="19:19" x14ac:dyDescent="0.35">
      <c r="S626" s="49"/>
    </row>
    <row r="627" spans="19:19" x14ac:dyDescent="0.35">
      <c r="S627" s="49"/>
    </row>
    <row r="628" spans="19:19" x14ac:dyDescent="0.35">
      <c r="S628" s="49"/>
    </row>
    <row r="629" spans="19:19" x14ac:dyDescent="0.35">
      <c r="S629" s="49"/>
    </row>
    <row r="630" spans="19:19" x14ac:dyDescent="0.35">
      <c r="S630" s="49"/>
    </row>
    <row r="631" spans="19:19" x14ac:dyDescent="0.35">
      <c r="S631" s="49"/>
    </row>
    <row r="632" spans="19:19" x14ac:dyDescent="0.35">
      <c r="S632" s="49"/>
    </row>
    <row r="633" spans="19:19" x14ac:dyDescent="0.35">
      <c r="S633" s="49"/>
    </row>
    <row r="634" spans="19:19" x14ac:dyDescent="0.35">
      <c r="S634" s="49"/>
    </row>
    <row r="635" spans="19:19" x14ac:dyDescent="0.35">
      <c r="S635" s="49"/>
    </row>
    <row r="636" spans="19:19" x14ac:dyDescent="0.35">
      <c r="S636" s="49"/>
    </row>
    <row r="637" spans="19:19" x14ac:dyDescent="0.35">
      <c r="S637" s="49"/>
    </row>
    <row r="638" spans="19:19" x14ac:dyDescent="0.35">
      <c r="S638" s="49"/>
    </row>
    <row r="639" spans="19:19" x14ac:dyDescent="0.35">
      <c r="S639" s="49"/>
    </row>
    <row r="640" spans="19:19" x14ac:dyDescent="0.35">
      <c r="S640" s="49"/>
    </row>
    <row r="641" spans="19:19" x14ac:dyDescent="0.35">
      <c r="S641" s="49"/>
    </row>
    <row r="642" spans="19:19" x14ac:dyDescent="0.35">
      <c r="S642" s="49"/>
    </row>
    <row r="643" spans="19:19" x14ac:dyDescent="0.35">
      <c r="S643" s="49"/>
    </row>
    <row r="644" spans="19:19" x14ac:dyDescent="0.35">
      <c r="S644" s="49"/>
    </row>
    <row r="645" spans="19:19" x14ac:dyDescent="0.35">
      <c r="S645" s="49"/>
    </row>
    <row r="646" spans="19:19" x14ac:dyDescent="0.35">
      <c r="S646" s="49"/>
    </row>
    <row r="647" spans="19:19" x14ac:dyDescent="0.35">
      <c r="S647" s="49"/>
    </row>
    <row r="648" spans="19:19" x14ac:dyDescent="0.35">
      <c r="S648" s="49"/>
    </row>
    <row r="649" spans="19:19" x14ac:dyDescent="0.35">
      <c r="S649" s="49"/>
    </row>
    <row r="650" spans="19:19" x14ac:dyDescent="0.35">
      <c r="S650" s="49"/>
    </row>
    <row r="651" spans="19:19" x14ac:dyDescent="0.35">
      <c r="S651" s="49"/>
    </row>
    <row r="652" spans="19:19" x14ac:dyDescent="0.35">
      <c r="S652" s="49"/>
    </row>
    <row r="653" spans="19:19" x14ac:dyDescent="0.35">
      <c r="S653" s="49"/>
    </row>
    <row r="654" spans="19:19" x14ac:dyDescent="0.35">
      <c r="S654" s="49"/>
    </row>
    <row r="655" spans="19:19" x14ac:dyDescent="0.35">
      <c r="S655" s="49"/>
    </row>
    <row r="656" spans="19:19" x14ac:dyDescent="0.35">
      <c r="S656" s="49"/>
    </row>
    <row r="657" spans="19:19" x14ac:dyDescent="0.35">
      <c r="S657" s="49"/>
    </row>
    <row r="658" spans="19:19" x14ac:dyDescent="0.35">
      <c r="S658" s="49"/>
    </row>
    <row r="659" spans="19:19" x14ac:dyDescent="0.35">
      <c r="S659" s="49"/>
    </row>
    <row r="660" spans="19:19" x14ac:dyDescent="0.35">
      <c r="S660" s="49"/>
    </row>
    <row r="661" spans="19:19" x14ac:dyDescent="0.35">
      <c r="S661" s="49"/>
    </row>
    <row r="662" spans="19:19" x14ac:dyDescent="0.35">
      <c r="S662" s="49"/>
    </row>
    <row r="663" spans="19:19" x14ac:dyDescent="0.35">
      <c r="S663" s="49"/>
    </row>
    <row r="664" spans="19:19" x14ac:dyDescent="0.35">
      <c r="S664" s="49"/>
    </row>
    <row r="665" spans="19:19" x14ac:dyDescent="0.35">
      <c r="S665" s="49"/>
    </row>
    <row r="666" spans="19:19" x14ac:dyDescent="0.35">
      <c r="S666" s="49"/>
    </row>
    <row r="667" spans="19:19" x14ac:dyDescent="0.35">
      <c r="S667" s="49"/>
    </row>
    <row r="668" spans="19:19" x14ac:dyDescent="0.35">
      <c r="S668" s="49"/>
    </row>
    <row r="669" spans="19:19" x14ac:dyDescent="0.35">
      <c r="S669" s="49"/>
    </row>
    <row r="670" spans="19:19" x14ac:dyDescent="0.35">
      <c r="S670" s="49"/>
    </row>
    <row r="671" spans="19:19" x14ac:dyDescent="0.35">
      <c r="S671" s="49"/>
    </row>
    <row r="672" spans="19:19" x14ac:dyDescent="0.35">
      <c r="S672" s="49"/>
    </row>
    <row r="673" spans="19:19" x14ac:dyDescent="0.35">
      <c r="S673" s="49"/>
    </row>
    <row r="674" spans="19:19" x14ac:dyDescent="0.35">
      <c r="S674" s="49"/>
    </row>
    <row r="675" spans="19:19" x14ac:dyDescent="0.35">
      <c r="S675" s="49"/>
    </row>
    <row r="676" spans="19:19" x14ac:dyDescent="0.35">
      <c r="S676" s="49"/>
    </row>
    <row r="677" spans="19:19" x14ac:dyDescent="0.35">
      <c r="S677" s="49"/>
    </row>
    <row r="678" spans="19:19" x14ac:dyDescent="0.35">
      <c r="S678" s="49"/>
    </row>
    <row r="679" spans="19:19" x14ac:dyDescent="0.35">
      <c r="S679" s="49"/>
    </row>
    <row r="680" spans="19:19" x14ac:dyDescent="0.35">
      <c r="S680" s="49"/>
    </row>
    <row r="681" spans="19:19" x14ac:dyDescent="0.35">
      <c r="S681" s="49"/>
    </row>
    <row r="682" spans="19:19" x14ac:dyDescent="0.35">
      <c r="S682" s="49"/>
    </row>
    <row r="683" spans="19:19" x14ac:dyDescent="0.35">
      <c r="S683" s="49"/>
    </row>
    <row r="684" spans="19:19" x14ac:dyDescent="0.35">
      <c r="S684" s="49"/>
    </row>
    <row r="685" spans="19:19" x14ac:dyDescent="0.35">
      <c r="S685" s="49"/>
    </row>
    <row r="686" spans="19:19" x14ac:dyDescent="0.35">
      <c r="S686" s="49"/>
    </row>
    <row r="687" spans="19:19" x14ac:dyDescent="0.35">
      <c r="S687" s="49"/>
    </row>
    <row r="688" spans="19:19" x14ac:dyDescent="0.35">
      <c r="S688" s="49"/>
    </row>
    <row r="689" spans="19:19" x14ac:dyDescent="0.35">
      <c r="S689" s="49"/>
    </row>
    <row r="690" spans="19:19" x14ac:dyDescent="0.35">
      <c r="S690" s="49"/>
    </row>
    <row r="691" spans="19:19" x14ac:dyDescent="0.35">
      <c r="S691" s="49"/>
    </row>
    <row r="692" spans="19:19" x14ac:dyDescent="0.35">
      <c r="S692" s="49"/>
    </row>
    <row r="693" spans="19:19" x14ac:dyDescent="0.35">
      <c r="S693" s="49"/>
    </row>
    <row r="694" spans="19:19" x14ac:dyDescent="0.35">
      <c r="S694" s="49"/>
    </row>
    <row r="695" spans="19:19" x14ac:dyDescent="0.35">
      <c r="S695" s="49"/>
    </row>
    <row r="696" spans="19:19" x14ac:dyDescent="0.35">
      <c r="S696" s="49"/>
    </row>
    <row r="697" spans="19:19" x14ac:dyDescent="0.35">
      <c r="S697" s="49"/>
    </row>
    <row r="698" spans="19:19" x14ac:dyDescent="0.35">
      <c r="S698" s="49"/>
    </row>
    <row r="699" spans="19:19" x14ac:dyDescent="0.35">
      <c r="S699" s="49"/>
    </row>
    <row r="700" spans="19:19" x14ac:dyDescent="0.35">
      <c r="S700" s="49"/>
    </row>
  </sheetData>
  <sortState ref="C8:D10">
    <sortCondition descending="1" ref="D8"/>
  </sortState>
  <mergeCells count="4">
    <mergeCell ref="C3:M3"/>
    <mergeCell ref="F7:M7"/>
    <mergeCell ref="C22:M22"/>
    <mergeCell ref="B24:R30"/>
  </mergeCells>
  <pageMargins left="0.7" right="0.7" top="0.75" bottom="0.75" header="0.3" footer="0.3"/>
  <pageSetup paperSize="9" scale="45" orientation="portrait" r:id="rId1"/>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9A930F-2305-4DF1-BC63-58EDED27F53E}">
  <dimension ref="B1:N43"/>
  <sheetViews>
    <sheetView showGridLines="0" zoomScale="75" zoomScaleNormal="75" workbookViewId="0"/>
  </sheetViews>
  <sheetFormatPr defaultRowHeight="14.5" x14ac:dyDescent="0.35"/>
  <cols>
    <col min="1" max="1" width="2.81640625" customWidth="1"/>
    <col min="2" max="2" width="3.81640625" customWidth="1"/>
    <col min="3" max="3" width="51.453125" bestFit="1" customWidth="1"/>
    <col min="4" max="4" width="13.7265625" customWidth="1"/>
    <col min="5" max="5" width="16.7265625" customWidth="1"/>
    <col min="7" max="7" width="10.7265625" customWidth="1"/>
    <col min="8" max="8" width="9.54296875" customWidth="1"/>
    <col min="9" max="10" width="9.26953125" customWidth="1"/>
    <col min="11" max="12" width="16.453125" customWidth="1"/>
  </cols>
  <sheetData>
    <row r="1" spans="2:14" ht="15.75" customHeight="1" thickBot="1" x14ac:dyDescent="0.4"/>
    <row r="2" spans="2:14" ht="15" customHeight="1" x14ac:dyDescent="0.35">
      <c r="B2" s="249"/>
      <c r="C2" s="250"/>
      <c r="D2" s="250"/>
      <c r="E2" s="250"/>
      <c r="F2" s="250"/>
      <c r="G2" s="250"/>
      <c r="H2" s="250"/>
      <c r="I2" s="250"/>
      <c r="J2" s="250"/>
      <c r="K2" s="250"/>
      <c r="L2" s="250"/>
      <c r="M2" s="250"/>
      <c r="N2" s="251"/>
    </row>
    <row r="3" spans="2:14" ht="20.25" customHeight="1" x14ac:dyDescent="0.35">
      <c r="B3" s="252"/>
      <c r="C3" s="332" t="s">
        <v>354</v>
      </c>
      <c r="D3" s="333"/>
      <c r="E3" s="333"/>
      <c r="F3" s="333"/>
      <c r="G3" s="333"/>
      <c r="H3" s="333"/>
      <c r="I3" s="333"/>
      <c r="J3" s="333"/>
      <c r="K3" s="333"/>
      <c r="L3" s="333"/>
      <c r="M3" s="333"/>
      <c r="N3" s="334"/>
    </row>
    <row r="4" spans="2:14" ht="15.75" customHeight="1" x14ac:dyDescent="0.35">
      <c r="B4" s="252"/>
      <c r="C4" s="277"/>
      <c r="D4" s="253"/>
      <c r="E4" s="253"/>
      <c r="F4" s="253"/>
      <c r="G4" s="253"/>
      <c r="H4" s="253"/>
      <c r="I4" s="253"/>
      <c r="J4" s="253"/>
      <c r="K4" s="253"/>
      <c r="L4" s="253"/>
      <c r="M4" s="253"/>
      <c r="N4" s="254"/>
    </row>
    <row r="5" spans="2:14" ht="18" customHeight="1" x14ac:dyDescent="0.35">
      <c r="B5" s="252"/>
      <c r="C5" s="211" t="s">
        <v>435</v>
      </c>
      <c r="D5" s="335" t="s">
        <v>416</v>
      </c>
      <c r="E5" s="336"/>
      <c r="F5" s="253"/>
      <c r="G5" s="253"/>
      <c r="H5" s="253"/>
      <c r="I5" s="253"/>
      <c r="J5" s="253"/>
      <c r="K5" s="253"/>
      <c r="L5" s="253"/>
      <c r="M5" s="253"/>
      <c r="N5" s="254"/>
    </row>
    <row r="6" spans="2:14" ht="15" customHeight="1" x14ac:dyDescent="0.35">
      <c r="B6" s="252"/>
      <c r="C6" s="253"/>
      <c r="D6" s="253"/>
      <c r="E6" s="253"/>
      <c r="F6" s="253"/>
      <c r="G6" s="253"/>
      <c r="H6" s="253"/>
      <c r="I6" s="253"/>
      <c r="J6" s="253"/>
      <c r="K6" s="253"/>
      <c r="L6" s="253"/>
      <c r="M6" s="253"/>
      <c r="N6" s="254"/>
    </row>
    <row r="7" spans="2:14" ht="32.25" customHeight="1" x14ac:dyDescent="0.35">
      <c r="B7" s="252"/>
      <c r="C7" s="255" t="s">
        <v>43</v>
      </c>
      <c r="D7" s="256" t="s">
        <v>327</v>
      </c>
      <c r="E7" s="257" t="s">
        <v>45</v>
      </c>
      <c r="F7" s="253"/>
      <c r="G7" s="337" t="s">
        <v>46</v>
      </c>
      <c r="H7" s="338"/>
      <c r="I7" s="338"/>
      <c r="J7" s="338"/>
      <c r="K7" s="338"/>
      <c r="L7" s="338"/>
      <c r="M7" s="338"/>
      <c r="N7" s="339"/>
    </row>
    <row r="8" spans="2:14" ht="15" customHeight="1" x14ac:dyDescent="0.35">
      <c r="B8" s="252"/>
      <c r="C8" s="258" t="s">
        <v>347</v>
      </c>
      <c r="D8" s="259"/>
      <c r="E8" s="260">
        <v>0.45447100000000001</v>
      </c>
      <c r="F8" s="253"/>
      <c r="G8" s="278" t="s">
        <v>328</v>
      </c>
      <c r="H8" s="279">
        <v>1</v>
      </c>
      <c r="I8" s="295"/>
      <c r="J8" s="295" t="s">
        <v>0</v>
      </c>
      <c r="K8" s="295" t="s">
        <v>45</v>
      </c>
      <c r="L8" s="295"/>
      <c r="M8" s="253"/>
      <c r="N8" s="254"/>
    </row>
    <row r="9" spans="2:14" ht="15" customHeight="1" x14ac:dyDescent="0.35">
      <c r="B9" s="252"/>
      <c r="C9" s="258" t="s">
        <v>329</v>
      </c>
      <c r="D9" s="259"/>
      <c r="E9" s="260">
        <v>0.71819900000000003</v>
      </c>
      <c r="F9" s="253"/>
      <c r="G9" s="253"/>
      <c r="H9" s="253"/>
      <c r="I9" s="295"/>
      <c r="J9" s="295" t="s">
        <v>20</v>
      </c>
      <c r="K9" s="296">
        <f>E14</f>
        <v>-0.175151</v>
      </c>
      <c r="L9" s="295"/>
      <c r="M9" s="253"/>
      <c r="N9" s="254"/>
    </row>
    <row r="10" spans="2:14" ht="15.75" customHeight="1" x14ac:dyDescent="0.35">
      <c r="B10" s="252"/>
      <c r="C10" s="261" t="s">
        <v>331</v>
      </c>
      <c r="D10" s="262"/>
      <c r="E10" s="263">
        <v>1.1726700000000001</v>
      </c>
      <c r="F10" s="253"/>
      <c r="G10" s="253"/>
      <c r="H10" s="253"/>
      <c r="I10" s="295"/>
      <c r="J10" s="295" t="s">
        <v>330</v>
      </c>
      <c r="K10" s="296">
        <f>E12</f>
        <v>2.4810000000000001E-3</v>
      </c>
      <c r="L10" s="295"/>
      <c r="M10" s="253"/>
      <c r="N10" s="254"/>
    </row>
    <row r="11" spans="2:14" ht="15" customHeight="1" x14ac:dyDescent="0.35">
      <c r="B11" s="252"/>
      <c r="C11" s="258" t="s">
        <v>99</v>
      </c>
      <c r="D11" s="259"/>
      <c r="E11" s="260">
        <v>2.4810000000000001E-3</v>
      </c>
      <c r="F11" s="253"/>
      <c r="G11" s="253"/>
      <c r="H11" s="253"/>
      <c r="I11" s="295"/>
      <c r="J11" s="295" t="s">
        <v>213</v>
      </c>
      <c r="K11" s="296">
        <f>E10</f>
        <v>1.1726700000000001</v>
      </c>
      <c r="L11" s="295"/>
      <c r="M11" s="253"/>
      <c r="N11" s="254"/>
    </row>
    <row r="12" spans="2:14" ht="15.75" customHeight="1" x14ac:dyDescent="0.35">
      <c r="B12" s="252"/>
      <c r="C12" s="261" t="s">
        <v>100</v>
      </c>
      <c r="D12" s="262"/>
      <c r="E12" s="263">
        <v>2.4810000000000001E-3</v>
      </c>
      <c r="F12" s="253"/>
      <c r="G12" s="253"/>
      <c r="H12" s="253"/>
      <c r="I12" s="295"/>
      <c r="J12" s="295"/>
      <c r="K12" s="295"/>
      <c r="L12" s="295"/>
      <c r="M12" s="253"/>
      <c r="N12" s="254"/>
    </row>
    <row r="13" spans="2:14" ht="15" customHeight="1" x14ac:dyDescent="0.35">
      <c r="B13" s="252"/>
      <c r="C13" s="258"/>
      <c r="D13" s="259"/>
      <c r="E13" s="260"/>
      <c r="F13" s="253"/>
      <c r="G13" s="253"/>
      <c r="H13" s="253"/>
      <c r="I13" s="295"/>
      <c r="J13" s="295"/>
      <c r="K13" s="295"/>
      <c r="L13" s="295"/>
      <c r="M13" s="253"/>
      <c r="N13" s="254"/>
    </row>
    <row r="14" spans="2:14" ht="15.75" customHeight="1" x14ac:dyDescent="0.35">
      <c r="B14" s="252"/>
      <c r="C14" s="261" t="s">
        <v>20</v>
      </c>
      <c r="D14" s="262"/>
      <c r="E14" s="263">
        <v>-0.175151</v>
      </c>
      <c r="F14" s="253"/>
      <c r="G14" s="253"/>
      <c r="H14" s="253"/>
      <c r="I14" s="295"/>
      <c r="J14" s="295"/>
      <c r="K14" s="295"/>
      <c r="L14" s="295"/>
      <c r="M14" s="253"/>
      <c r="N14" s="254"/>
    </row>
    <row r="15" spans="2:14" ht="15" customHeight="1" x14ac:dyDescent="0.35">
      <c r="B15" s="252"/>
      <c r="C15" s="258"/>
      <c r="D15" s="259"/>
      <c r="E15" s="260"/>
      <c r="F15" s="253"/>
      <c r="G15" s="253"/>
      <c r="H15" s="253"/>
      <c r="I15" s="295"/>
      <c r="J15" s="295"/>
      <c r="K15" s="295"/>
      <c r="L15" s="295"/>
      <c r="M15" s="253"/>
      <c r="N15" s="254"/>
    </row>
    <row r="16" spans="2:14" ht="15" customHeight="1" x14ac:dyDescent="0.35">
      <c r="B16" s="252"/>
      <c r="C16" s="264" t="s">
        <v>21</v>
      </c>
      <c r="D16" s="265"/>
      <c r="E16" s="266">
        <v>1</v>
      </c>
      <c r="F16" s="253"/>
      <c r="G16" s="253"/>
      <c r="H16" s="253"/>
      <c r="I16" s="295"/>
      <c r="J16" s="295"/>
      <c r="K16" s="295"/>
      <c r="L16" s="295"/>
      <c r="M16" s="253"/>
      <c r="N16" s="254"/>
    </row>
    <row r="17" spans="2:14" ht="15" customHeight="1" x14ac:dyDescent="0.35">
      <c r="B17" s="252"/>
      <c r="C17" s="253"/>
      <c r="D17" s="253"/>
      <c r="E17" s="253"/>
      <c r="F17" s="253"/>
      <c r="G17" s="253"/>
      <c r="H17" s="253"/>
      <c r="I17" s="295"/>
      <c r="J17" s="295"/>
      <c r="K17" s="295"/>
      <c r="L17" s="295"/>
      <c r="M17" s="253"/>
      <c r="N17" s="254"/>
    </row>
    <row r="18" spans="2:14" ht="15" customHeight="1" x14ac:dyDescent="0.35">
      <c r="B18" s="252"/>
      <c r="C18" s="253"/>
      <c r="D18" s="253"/>
      <c r="E18" s="253"/>
      <c r="F18" s="253"/>
      <c r="G18" s="253"/>
      <c r="H18" s="253"/>
      <c r="I18" s="253"/>
      <c r="J18" s="253"/>
      <c r="K18" s="253"/>
      <c r="L18" s="253"/>
      <c r="M18" s="253"/>
      <c r="N18" s="254"/>
    </row>
    <row r="19" spans="2:14" ht="15" customHeight="1" x14ac:dyDescent="0.35">
      <c r="B19" s="252"/>
      <c r="C19" s="253"/>
      <c r="D19" s="253"/>
      <c r="E19" s="253"/>
      <c r="F19" s="253"/>
      <c r="G19" s="253"/>
      <c r="H19" s="253"/>
      <c r="I19" s="253"/>
      <c r="J19" s="253"/>
      <c r="K19" s="253"/>
      <c r="L19" s="253"/>
      <c r="M19" s="253"/>
      <c r="N19" s="254"/>
    </row>
    <row r="20" spans="2:14" ht="15" customHeight="1" x14ac:dyDescent="0.35">
      <c r="B20" s="252"/>
      <c r="C20" s="253"/>
      <c r="D20" s="253"/>
      <c r="E20" s="253"/>
      <c r="F20" s="253"/>
      <c r="G20" s="253"/>
      <c r="H20" s="253"/>
      <c r="I20" s="253"/>
      <c r="J20" s="253"/>
      <c r="K20" s="253"/>
      <c r="L20" s="253"/>
      <c r="M20" s="253"/>
      <c r="N20" s="254"/>
    </row>
    <row r="21" spans="2:14" ht="15" customHeight="1" x14ac:dyDescent="0.35">
      <c r="B21" s="252"/>
      <c r="C21" s="253"/>
      <c r="D21" s="253"/>
      <c r="E21" s="253"/>
      <c r="F21" s="253"/>
      <c r="G21" s="253"/>
      <c r="H21" s="253"/>
      <c r="I21" s="253"/>
      <c r="J21" s="253"/>
      <c r="K21" s="253"/>
      <c r="L21" s="253"/>
      <c r="M21" s="253"/>
      <c r="N21" s="254"/>
    </row>
    <row r="22" spans="2:14" ht="15" customHeight="1" x14ac:dyDescent="0.35">
      <c r="B22" s="252"/>
      <c r="C22" s="253"/>
      <c r="D22" s="253"/>
      <c r="E22" s="253"/>
      <c r="F22" s="253"/>
      <c r="G22" s="253"/>
      <c r="H22" s="253"/>
      <c r="I22" s="253"/>
      <c r="J22" s="253"/>
      <c r="K22" s="253"/>
      <c r="L22" s="253"/>
      <c r="M22" s="253"/>
      <c r="N22" s="254"/>
    </row>
    <row r="23" spans="2:14" ht="15" customHeight="1" x14ac:dyDescent="0.35">
      <c r="B23" s="252"/>
      <c r="C23" s="253"/>
      <c r="D23" s="253"/>
      <c r="E23" s="253"/>
      <c r="F23" s="253"/>
      <c r="G23" s="253"/>
      <c r="H23" s="253"/>
      <c r="I23" s="253"/>
      <c r="J23" s="253"/>
      <c r="K23" s="253"/>
      <c r="L23" s="253"/>
      <c r="M23" s="253"/>
      <c r="N23" s="254"/>
    </row>
    <row r="24" spans="2:14" ht="15" customHeight="1" x14ac:dyDescent="0.35">
      <c r="B24" s="252"/>
      <c r="C24" s="253"/>
      <c r="D24" s="253"/>
      <c r="E24" s="253"/>
      <c r="F24" s="253"/>
      <c r="G24" s="337" t="s">
        <v>98</v>
      </c>
      <c r="H24" s="338"/>
      <c r="I24" s="338"/>
      <c r="J24" s="338"/>
      <c r="K24" s="338"/>
      <c r="L24" s="294"/>
      <c r="M24" s="267"/>
      <c r="N24" s="268"/>
    </row>
    <row r="25" spans="2:14" ht="15" customHeight="1" x14ac:dyDescent="0.35">
      <c r="B25" s="252"/>
      <c r="C25" s="253"/>
      <c r="D25" s="253"/>
      <c r="E25" s="253"/>
      <c r="F25" s="253"/>
      <c r="G25" s="253"/>
      <c r="H25" s="253"/>
      <c r="I25" s="253"/>
      <c r="J25" s="253"/>
      <c r="K25" s="253"/>
      <c r="L25" s="253"/>
      <c r="M25" s="253"/>
      <c r="N25" s="254"/>
    </row>
    <row r="26" spans="2:14" ht="15" customHeight="1" x14ac:dyDescent="0.35">
      <c r="B26" s="252"/>
      <c r="C26" s="253"/>
      <c r="D26" s="253"/>
      <c r="E26" s="253"/>
      <c r="F26" s="253"/>
      <c r="G26" s="337" t="s">
        <v>50</v>
      </c>
      <c r="H26" s="338"/>
      <c r="I26" s="338"/>
      <c r="J26" s="338"/>
      <c r="K26" s="338"/>
      <c r="L26" s="338"/>
      <c r="M26" s="338"/>
      <c r="N26" s="339"/>
    </row>
    <row r="27" spans="2:14" ht="15" customHeight="1" x14ac:dyDescent="0.35">
      <c r="B27" s="252"/>
      <c r="C27" s="253"/>
      <c r="D27" s="253"/>
      <c r="E27" s="253"/>
      <c r="F27" s="253"/>
      <c r="G27" s="253"/>
      <c r="H27" s="253"/>
      <c r="I27" s="253"/>
      <c r="J27" s="253"/>
      <c r="K27" s="253"/>
      <c r="L27" s="253"/>
      <c r="M27" s="253"/>
      <c r="N27" s="254"/>
    </row>
    <row r="28" spans="2:14" ht="15" customHeight="1" x14ac:dyDescent="0.35">
      <c r="B28" s="252"/>
      <c r="C28" s="253"/>
      <c r="D28" s="253"/>
      <c r="E28" s="253"/>
      <c r="F28" s="253"/>
      <c r="G28" s="253"/>
      <c r="H28" s="253"/>
      <c r="I28" s="253"/>
      <c r="J28" s="253"/>
      <c r="K28" s="253"/>
      <c r="L28" s="253"/>
      <c r="M28" s="253"/>
      <c r="N28" s="254"/>
    </row>
    <row r="29" spans="2:14" ht="15" customHeight="1" x14ac:dyDescent="0.35">
      <c r="B29" s="252"/>
      <c r="C29" s="253"/>
      <c r="D29" s="253"/>
      <c r="E29" s="253"/>
      <c r="F29" s="253"/>
      <c r="G29" s="253"/>
      <c r="H29" s="253"/>
      <c r="I29" s="253"/>
      <c r="J29" s="253"/>
      <c r="K29" s="253"/>
      <c r="L29" s="253"/>
      <c r="M29" s="253"/>
      <c r="N29" s="254"/>
    </row>
    <row r="30" spans="2:14" ht="15" customHeight="1" x14ac:dyDescent="0.35">
      <c r="B30" s="252"/>
      <c r="C30" s="253"/>
      <c r="D30" s="253"/>
      <c r="E30" s="253"/>
      <c r="F30" s="253"/>
      <c r="G30" s="253"/>
      <c r="H30" s="253"/>
      <c r="I30" s="253"/>
      <c r="J30" s="253"/>
      <c r="K30" s="253"/>
      <c r="L30" s="253"/>
      <c r="M30" s="253"/>
      <c r="N30" s="254"/>
    </row>
    <row r="31" spans="2:14" ht="15" customHeight="1" x14ac:dyDescent="0.35">
      <c r="B31" s="252"/>
      <c r="C31" s="253"/>
      <c r="D31" s="253"/>
      <c r="E31" s="253"/>
      <c r="F31" s="253"/>
      <c r="G31" s="253"/>
      <c r="H31" s="253"/>
      <c r="I31" s="253"/>
      <c r="J31" s="253"/>
      <c r="K31" s="253"/>
      <c r="L31" s="253"/>
      <c r="M31" s="253"/>
      <c r="N31" s="254"/>
    </row>
    <row r="32" spans="2:14" ht="15" customHeight="1" x14ac:dyDescent="0.35">
      <c r="B32" s="252"/>
      <c r="C32" s="253"/>
      <c r="D32" s="253"/>
      <c r="E32" s="253"/>
      <c r="F32" s="253"/>
      <c r="G32" s="253"/>
      <c r="H32" s="253"/>
      <c r="I32" s="253"/>
      <c r="J32" s="253"/>
      <c r="K32" s="253"/>
      <c r="L32" s="253"/>
      <c r="M32" s="253"/>
      <c r="N32" s="254"/>
    </row>
    <row r="33" spans="2:14" ht="15" customHeight="1" x14ac:dyDescent="0.35">
      <c r="B33" s="252"/>
      <c r="C33" s="253"/>
      <c r="D33" s="253"/>
      <c r="E33" s="253"/>
      <c r="F33" s="253"/>
      <c r="G33" s="253"/>
      <c r="H33" s="253"/>
      <c r="I33" s="253"/>
      <c r="J33" s="253"/>
      <c r="K33" s="253"/>
      <c r="L33" s="253"/>
      <c r="M33" s="253"/>
      <c r="N33" s="254"/>
    </row>
    <row r="34" spans="2:14" ht="15" customHeight="1" x14ac:dyDescent="0.35">
      <c r="B34" s="252"/>
      <c r="C34" s="253"/>
      <c r="D34" s="253"/>
      <c r="E34" s="253"/>
      <c r="F34" s="253"/>
      <c r="G34" s="253"/>
      <c r="H34" s="253"/>
      <c r="I34" s="253"/>
      <c r="J34" s="253"/>
      <c r="K34" s="253"/>
      <c r="L34" s="253"/>
      <c r="M34" s="253"/>
      <c r="N34" s="254"/>
    </row>
    <row r="35" spans="2:14" ht="15" customHeight="1" x14ac:dyDescent="0.35">
      <c r="B35" s="252"/>
      <c r="C35" s="253"/>
      <c r="D35" s="253"/>
      <c r="E35" s="253"/>
      <c r="F35" s="253"/>
      <c r="G35" s="253"/>
      <c r="H35" s="253"/>
      <c r="I35" s="253"/>
      <c r="J35" s="253"/>
      <c r="K35" s="253"/>
      <c r="L35" s="253"/>
      <c r="M35" s="253"/>
      <c r="N35" s="254"/>
    </row>
    <row r="36" spans="2:14" ht="15" customHeight="1" x14ac:dyDescent="0.35">
      <c r="B36" s="252"/>
      <c r="C36" s="253"/>
      <c r="D36" s="253"/>
      <c r="E36" s="253"/>
      <c r="F36" s="253"/>
      <c r="G36" s="253"/>
      <c r="H36" s="253"/>
      <c r="I36" s="253"/>
      <c r="J36" s="253"/>
      <c r="K36" s="253"/>
      <c r="L36" s="253"/>
      <c r="M36" s="253"/>
      <c r="N36" s="254"/>
    </row>
    <row r="37" spans="2:14" ht="15" customHeight="1" x14ac:dyDescent="0.35">
      <c r="B37" s="252"/>
      <c r="C37" s="253"/>
      <c r="D37" s="253"/>
      <c r="E37" s="253"/>
      <c r="F37" s="253"/>
      <c r="G37" s="253"/>
      <c r="H37" s="253"/>
      <c r="I37" s="253"/>
      <c r="J37" s="253"/>
      <c r="K37" s="253"/>
      <c r="L37" s="253"/>
      <c r="M37" s="253"/>
      <c r="N37" s="254"/>
    </row>
    <row r="38" spans="2:14" ht="15" customHeight="1" x14ac:dyDescent="0.35">
      <c r="B38" s="252"/>
      <c r="C38" s="253"/>
      <c r="D38" s="253"/>
      <c r="E38" s="253"/>
      <c r="F38" s="253"/>
      <c r="G38" s="253"/>
      <c r="H38" s="253"/>
      <c r="I38" s="253"/>
      <c r="J38" s="253"/>
      <c r="K38" s="253"/>
      <c r="L38" s="253"/>
      <c r="M38" s="253"/>
      <c r="N38" s="254"/>
    </row>
    <row r="39" spans="2:14" ht="15" customHeight="1" x14ac:dyDescent="0.35">
      <c r="B39" s="252"/>
      <c r="C39" s="253"/>
      <c r="D39" s="253"/>
      <c r="E39" s="253"/>
      <c r="F39" s="253"/>
      <c r="G39" s="253"/>
      <c r="H39" s="253"/>
      <c r="I39" s="253"/>
      <c r="J39" s="253"/>
      <c r="K39" s="253"/>
      <c r="L39" s="253"/>
      <c r="M39" s="253"/>
      <c r="N39" s="254"/>
    </row>
    <row r="40" spans="2:14" ht="15" customHeight="1" x14ac:dyDescent="0.35">
      <c r="B40" s="252"/>
      <c r="C40" s="253"/>
      <c r="D40" s="253"/>
      <c r="E40" s="253"/>
      <c r="F40" s="253"/>
      <c r="G40" s="253"/>
      <c r="H40" s="253"/>
      <c r="I40" s="253"/>
      <c r="J40" s="253"/>
      <c r="K40" s="253"/>
      <c r="L40" s="253"/>
      <c r="M40" s="253"/>
      <c r="N40" s="254"/>
    </row>
    <row r="41" spans="2:14" ht="15" customHeight="1" x14ac:dyDescent="0.35">
      <c r="B41" s="252"/>
      <c r="C41" s="253"/>
      <c r="D41" s="253"/>
      <c r="E41" s="253"/>
      <c r="F41" s="253"/>
      <c r="G41" s="253"/>
      <c r="H41" s="253"/>
      <c r="I41" s="253"/>
      <c r="J41" s="253"/>
      <c r="K41" s="253"/>
      <c r="L41" s="253"/>
      <c r="M41" s="253"/>
      <c r="N41" s="254"/>
    </row>
    <row r="42" spans="2:14" ht="15" customHeight="1" x14ac:dyDescent="0.35">
      <c r="B42" s="252"/>
      <c r="C42" s="253"/>
      <c r="D42" s="253"/>
      <c r="E42" s="253"/>
      <c r="F42" s="253"/>
      <c r="G42" s="253"/>
      <c r="H42" s="253"/>
      <c r="I42" s="253"/>
      <c r="J42" s="253"/>
      <c r="K42" s="253"/>
      <c r="L42" s="253"/>
      <c r="M42" s="253"/>
      <c r="N42" s="254"/>
    </row>
    <row r="43" spans="2:14" ht="15" thickBot="1" x14ac:dyDescent="0.4">
      <c r="B43" s="269"/>
      <c r="C43" s="270"/>
      <c r="D43" s="270"/>
      <c r="E43" s="270"/>
      <c r="F43" s="270"/>
      <c r="G43" s="270"/>
      <c r="H43" s="270"/>
      <c r="I43" s="270"/>
      <c r="J43" s="270"/>
      <c r="K43" s="270"/>
      <c r="L43" s="270"/>
      <c r="M43" s="270"/>
      <c r="N43" s="271"/>
    </row>
  </sheetData>
  <mergeCells count="5">
    <mergeCell ref="C3:N3"/>
    <mergeCell ref="D5:E5"/>
    <mergeCell ref="G7:N7"/>
    <mergeCell ref="G24:K24"/>
    <mergeCell ref="G26:N26"/>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16"/>
  <dimension ref="A1:X58"/>
  <sheetViews>
    <sheetView showGridLines="0" zoomScale="75" zoomScaleNormal="75" workbookViewId="0"/>
  </sheetViews>
  <sheetFormatPr defaultColWidth="9.1796875" defaultRowHeight="14.5" x14ac:dyDescent="0.35"/>
  <cols>
    <col min="1" max="1" width="2.81640625" style="19" customWidth="1"/>
    <col min="2" max="2" width="3.81640625" style="19" customWidth="1"/>
    <col min="3" max="3" width="59.1796875" style="19" bestFit="1" customWidth="1"/>
    <col min="4" max="4" width="28.26953125" style="19" customWidth="1"/>
    <col min="5" max="5" width="10.453125" style="19" bestFit="1" customWidth="1"/>
    <col min="6" max="18" width="9.1796875" style="19"/>
    <col min="19" max="19" width="9.81640625" style="19" customWidth="1"/>
    <col min="20" max="16384" width="9.1796875" style="19"/>
  </cols>
  <sheetData>
    <row r="1" spans="1:24" ht="15.75" customHeight="1" thickBot="1" x14ac:dyDescent="0.4">
      <c r="A1" s="3"/>
    </row>
    <row r="2" spans="1:24" ht="15" customHeight="1" x14ac:dyDescent="0.35">
      <c r="B2" s="77"/>
      <c r="C2" s="78"/>
      <c r="D2" s="78"/>
      <c r="E2" s="78"/>
      <c r="F2" s="78"/>
      <c r="G2" s="78"/>
      <c r="H2" s="78"/>
      <c r="I2" s="78"/>
      <c r="J2" s="78"/>
      <c r="K2" s="78"/>
      <c r="L2" s="78"/>
      <c r="M2" s="78"/>
      <c r="N2" s="78"/>
      <c r="O2" s="78"/>
      <c r="P2" s="78"/>
      <c r="Q2" s="78"/>
      <c r="R2" s="78"/>
      <c r="S2" s="78"/>
      <c r="T2" s="21"/>
    </row>
    <row r="3" spans="1:24" ht="20.25" customHeight="1" x14ac:dyDescent="0.35">
      <c r="B3" s="79"/>
      <c r="C3" s="312" t="s">
        <v>154</v>
      </c>
      <c r="D3" s="312"/>
      <c r="E3" s="312"/>
      <c r="F3" s="312"/>
      <c r="G3" s="312"/>
      <c r="H3" s="312"/>
      <c r="I3" s="312"/>
      <c r="J3" s="312"/>
      <c r="K3" s="312"/>
      <c r="L3" s="312"/>
      <c r="M3" s="312"/>
      <c r="N3" s="312"/>
      <c r="O3" s="312"/>
      <c r="P3" s="312"/>
      <c r="Q3" s="312"/>
      <c r="R3" s="312"/>
      <c r="S3" s="312"/>
      <c r="T3" s="22"/>
    </row>
    <row r="4" spans="1:24" ht="15.75" customHeight="1" x14ac:dyDescent="0.35">
      <c r="B4" s="79"/>
      <c r="C4" s="67" t="s">
        <v>434</v>
      </c>
      <c r="D4" s="29"/>
      <c r="E4" s="29"/>
      <c r="F4" s="29"/>
      <c r="G4" s="29"/>
      <c r="H4" s="29"/>
      <c r="I4" s="29"/>
      <c r="J4" s="29"/>
      <c r="K4" s="29"/>
      <c r="L4" s="29"/>
      <c r="M4" s="29"/>
      <c r="N4" s="29"/>
      <c r="O4" s="29"/>
      <c r="P4" s="29"/>
      <c r="Q4" s="29"/>
      <c r="R4" s="29"/>
      <c r="S4" s="29"/>
      <c r="T4" s="22"/>
    </row>
    <row r="5" spans="1:24" ht="18" customHeight="1" x14ac:dyDescent="0.35">
      <c r="B5" s="79"/>
      <c r="C5" s="211" t="s">
        <v>435</v>
      </c>
      <c r="D5" s="314" t="s">
        <v>417</v>
      </c>
      <c r="E5" s="314"/>
      <c r="F5" s="29"/>
      <c r="G5" s="29"/>
      <c r="H5" s="29"/>
      <c r="I5" s="29"/>
      <c r="J5" s="29"/>
      <c r="K5" s="29"/>
      <c r="L5" s="29"/>
      <c r="M5" s="29"/>
      <c r="N5" s="29"/>
      <c r="O5" s="29"/>
      <c r="P5" s="29"/>
      <c r="Q5" s="29"/>
      <c r="R5" s="29"/>
      <c r="S5" s="29"/>
      <c r="T5" s="22"/>
    </row>
    <row r="6" spans="1:24" ht="15" customHeight="1" x14ac:dyDescent="0.35">
      <c r="B6" s="79"/>
      <c r="C6" s="29"/>
      <c r="D6" s="29"/>
      <c r="E6" s="29"/>
      <c r="F6" s="29"/>
      <c r="G6" s="29"/>
      <c r="H6" s="29"/>
      <c r="I6" s="29"/>
      <c r="J6" s="29"/>
      <c r="K6" s="29"/>
      <c r="L6" s="29"/>
      <c r="M6" s="29"/>
      <c r="N6" s="29"/>
      <c r="O6" s="29"/>
      <c r="P6" s="29"/>
      <c r="Q6" s="29"/>
      <c r="R6" s="29"/>
      <c r="S6" s="29"/>
      <c r="T6" s="22"/>
    </row>
    <row r="7" spans="1:24" ht="32.25" customHeight="1" x14ac:dyDescent="0.35">
      <c r="B7" s="79"/>
      <c r="C7" s="68" t="s">
        <v>0</v>
      </c>
      <c r="D7" s="69" t="s">
        <v>1</v>
      </c>
      <c r="E7" s="70" t="s">
        <v>2</v>
      </c>
      <c r="F7" s="29"/>
      <c r="G7" s="29"/>
      <c r="H7" s="29"/>
      <c r="I7" s="29"/>
      <c r="J7" s="29"/>
      <c r="K7" s="29"/>
      <c r="L7" s="29"/>
      <c r="M7" s="29"/>
      <c r="N7" s="29"/>
      <c r="O7" s="29"/>
      <c r="P7" s="29"/>
      <c r="Q7" s="29"/>
      <c r="R7" s="29"/>
      <c r="S7" s="29"/>
      <c r="T7" s="22"/>
      <c r="W7" s="39" t="s">
        <v>22</v>
      </c>
      <c r="X7" s="39" t="s">
        <v>2</v>
      </c>
    </row>
    <row r="8" spans="1:24" ht="15" customHeight="1" x14ac:dyDescent="0.35">
      <c r="B8" s="79"/>
      <c r="C8" s="184" t="s">
        <v>29</v>
      </c>
      <c r="D8" s="185" t="s">
        <v>3</v>
      </c>
      <c r="E8" s="186">
        <v>0.133021</v>
      </c>
      <c r="F8" s="29"/>
      <c r="G8" s="29"/>
      <c r="H8" s="29"/>
      <c r="I8" s="29"/>
      <c r="J8" s="29"/>
      <c r="K8" s="29"/>
      <c r="L8" s="29"/>
      <c r="M8" s="29"/>
      <c r="N8" s="29"/>
      <c r="O8" s="29"/>
      <c r="P8" s="29"/>
      <c r="Q8" s="29"/>
      <c r="R8" s="29"/>
      <c r="S8" s="29"/>
      <c r="T8" s="22"/>
      <c r="W8" s="166" t="s">
        <v>3</v>
      </c>
      <c r="X8" s="167">
        <v>0.317303</v>
      </c>
    </row>
    <row r="9" spans="1:24" ht="15.75" customHeight="1" x14ac:dyDescent="0.35">
      <c r="B9" s="79"/>
      <c r="C9" s="180" t="s">
        <v>32</v>
      </c>
      <c r="D9" s="187" t="s">
        <v>3</v>
      </c>
      <c r="E9" s="188">
        <v>9.1493000000000005E-2</v>
      </c>
      <c r="F9" s="29"/>
      <c r="G9" s="29"/>
      <c r="H9" s="29"/>
      <c r="I9" s="29"/>
      <c r="J9" s="29"/>
      <c r="K9" s="29"/>
      <c r="L9" s="29"/>
      <c r="M9" s="29"/>
      <c r="N9" s="29"/>
      <c r="O9" s="29"/>
      <c r="P9" s="29"/>
      <c r="Q9" s="29"/>
      <c r="R9" s="29"/>
      <c r="S9" s="29"/>
      <c r="T9" s="22"/>
      <c r="W9" s="166" t="s">
        <v>105</v>
      </c>
      <c r="X9" s="167">
        <v>0.11108800000000001</v>
      </c>
    </row>
    <row r="10" spans="1:24" ht="15.5" x14ac:dyDescent="0.35">
      <c r="B10" s="79"/>
      <c r="C10" s="180" t="s">
        <v>31</v>
      </c>
      <c r="D10" s="187" t="s">
        <v>6</v>
      </c>
      <c r="E10" s="188">
        <v>8.6470000000000005E-2</v>
      </c>
      <c r="F10" s="29"/>
      <c r="G10" s="29"/>
      <c r="H10" s="29"/>
      <c r="I10" s="29"/>
      <c r="J10" s="29"/>
      <c r="K10" s="29"/>
      <c r="L10" s="29"/>
      <c r="M10" s="29"/>
      <c r="N10" s="29"/>
      <c r="O10" s="29"/>
      <c r="P10" s="29"/>
      <c r="Q10" s="29"/>
      <c r="R10" s="29"/>
      <c r="S10" s="29"/>
      <c r="T10" s="22"/>
      <c r="W10" s="166" t="s">
        <v>6</v>
      </c>
      <c r="X10" s="167">
        <v>8.6470000000000005E-2</v>
      </c>
    </row>
    <row r="11" spans="1:24" ht="15.75" customHeight="1" x14ac:dyDescent="0.35">
      <c r="B11" s="79"/>
      <c r="C11" s="180" t="s">
        <v>28</v>
      </c>
      <c r="D11" s="187" t="s">
        <v>105</v>
      </c>
      <c r="E11" s="188">
        <v>4.9052999999999999E-2</v>
      </c>
      <c r="F11" s="29"/>
      <c r="G11" s="29"/>
      <c r="H11" s="29"/>
      <c r="I11" s="29"/>
      <c r="J11" s="29"/>
      <c r="K11" s="29"/>
      <c r="L11" s="29"/>
      <c r="M11" s="29"/>
      <c r="N11" s="29"/>
      <c r="O11" s="29"/>
      <c r="P11" s="29"/>
      <c r="Q11" s="29"/>
      <c r="R11" s="29"/>
      <c r="S11" s="29"/>
      <c r="T11" s="22"/>
      <c r="W11" s="166" t="s">
        <v>110</v>
      </c>
      <c r="X11" s="167">
        <v>6.9952E-2</v>
      </c>
    </row>
    <row r="12" spans="1:24" ht="15" customHeight="1" x14ac:dyDescent="0.35">
      <c r="B12" s="79"/>
      <c r="C12" s="180" t="s">
        <v>70</v>
      </c>
      <c r="D12" s="187" t="s">
        <v>12</v>
      </c>
      <c r="E12" s="188">
        <v>4.5435999999999997E-2</v>
      </c>
      <c r="F12" s="29"/>
      <c r="G12" s="29"/>
      <c r="H12" s="29"/>
      <c r="I12" s="29"/>
      <c r="J12" s="29"/>
      <c r="K12" s="29"/>
      <c r="L12" s="29"/>
      <c r="M12" s="29"/>
      <c r="N12" s="29"/>
      <c r="O12" s="29"/>
      <c r="P12" s="29"/>
      <c r="Q12" s="29"/>
      <c r="R12" s="29"/>
      <c r="S12" s="29"/>
      <c r="T12" s="22"/>
      <c r="W12" s="166" t="s">
        <v>115</v>
      </c>
      <c r="X12" s="167">
        <v>5.4885000000000003E-2</v>
      </c>
    </row>
    <row r="13" spans="1:24" ht="15" customHeight="1" x14ac:dyDescent="0.35">
      <c r="B13" s="79"/>
      <c r="C13" s="180" t="s">
        <v>30</v>
      </c>
      <c r="D13" s="187" t="s">
        <v>115</v>
      </c>
      <c r="E13" s="188">
        <v>3.6004000000000001E-2</v>
      </c>
      <c r="F13" s="29"/>
      <c r="G13" s="29"/>
      <c r="H13" s="29"/>
      <c r="I13" s="29"/>
      <c r="J13" s="29"/>
      <c r="K13" s="29"/>
      <c r="L13" s="29"/>
      <c r="M13" s="29"/>
      <c r="N13" s="29"/>
      <c r="O13" s="29"/>
      <c r="P13" s="29"/>
      <c r="Q13" s="29"/>
      <c r="R13" s="29"/>
      <c r="S13" s="29"/>
      <c r="T13" s="22"/>
      <c r="W13" s="166" t="s">
        <v>4</v>
      </c>
      <c r="X13" s="167">
        <v>4.5680999999999999E-2</v>
      </c>
    </row>
    <row r="14" spans="1:24" ht="15" customHeight="1" x14ac:dyDescent="0.35">
      <c r="B14" s="79"/>
      <c r="C14" s="180" t="s">
        <v>34</v>
      </c>
      <c r="D14" s="187" t="s">
        <v>23</v>
      </c>
      <c r="E14" s="188">
        <v>3.5626999999999999E-2</v>
      </c>
      <c r="F14" s="29"/>
      <c r="G14" s="29"/>
      <c r="H14" s="29"/>
      <c r="I14" s="29"/>
      <c r="J14" s="29"/>
      <c r="K14" s="29"/>
      <c r="L14" s="29"/>
      <c r="M14" s="29"/>
      <c r="N14" s="29"/>
      <c r="O14" s="29"/>
      <c r="P14" s="29"/>
      <c r="Q14" s="29"/>
      <c r="R14" s="29"/>
      <c r="S14" s="29"/>
      <c r="T14" s="22"/>
      <c r="W14" s="166" t="s">
        <v>12</v>
      </c>
      <c r="X14" s="167">
        <v>4.5435999999999997E-2</v>
      </c>
    </row>
    <row r="15" spans="1:24" ht="15" customHeight="1" x14ac:dyDescent="0.35">
      <c r="B15" s="79"/>
      <c r="C15" s="180" t="s">
        <v>33</v>
      </c>
      <c r="D15" s="187" t="s">
        <v>105</v>
      </c>
      <c r="E15" s="188">
        <v>3.2041E-2</v>
      </c>
      <c r="F15" s="29"/>
      <c r="G15" s="29"/>
      <c r="H15" s="29"/>
      <c r="I15" s="29"/>
      <c r="J15" s="29"/>
      <c r="K15" s="29"/>
      <c r="L15" s="29"/>
      <c r="M15" s="29"/>
      <c r="N15" s="29"/>
      <c r="O15" s="29"/>
      <c r="P15" s="29"/>
      <c r="Q15" s="29"/>
      <c r="R15" s="29"/>
      <c r="S15" s="29"/>
      <c r="T15" s="22"/>
      <c r="W15" s="166" t="s">
        <v>23</v>
      </c>
      <c r="X15" s="167">
        <v>3.5626999999999999E-2</v>
      </c>
    </row>
    <row r="16" spans="1:24" ht="15" customHeight="1" x14ac:dyDescent="0.35">
      <c r="B16" s="79"/>
      <c r="C16" s="180" t="s">
        <v>36</v>
      </c>
      <c r="D16" s="187" t="s">
        <v>3</v>
      </c>
      <c r="E16" s="188">
        <v>3.0759000000000002E-2</v>
      </c>
      <c r="F16" s="29"/>
      <c r="G16" s="29"/>
      <c r="H16" s="29"/>
      <c r="I16" s="29"/>
      <c r="J16" s="29"/>
      <c r="K16" s="29"/>
      <c r="L16" s="29"/>
      <c r="M16" s="29"/>
      <c r="N16" s="29"/>
      <c r="O16" s="29"/>
      <c r="P16" s="29"/>
      <c r="Q16" s="29"/>
      <c r="R16" s="29"/>
      <c r="S16" s="29"/>
      <c r="T16" s="22"/>
      <c r="W16" s="166" t="s">
        <v>109</v>
      </c>
      <c r="X16" s="167">
        <v>3.2425999999999996E-2</v>
      </c>
    </row>
    <row r="17" spans="2:24" ht="15" customHeight="1" x14ac:dyDescent="0.35">
      <c r="B17" s="79"/>
      <c r="C17" s="180" t="s">
        <v>35</v>
      </c>
      <c r="D17" s="187" t="s">
        <v>3</v>
      </c>
      <c r="E17" s="188">
        <v>2.9492000000000001E-2</v>
      </c>
      <c r="F17" s="29"/>
      <c r="G17" s="29"/>
      <c r="H17" s="29"/>
      <c r="I17" s="29"/>
      <c r="J17" s="29"/>
      <c r="K17" s="29"/>
      <c r="L17" s="29"/>
      <c r="M17" s="29"/>
      <c r="N17" s="29"/>
      <c r="O17" s="29"/>
      <c r="P17" s="29"/>
      <c r="Q17" s="29"/>
      <c r="R17" s="29"/>
      <c r="S17" s="29"/>
      <c r="T17" s="22"/>
      <c r="W17" s="166" t="s">
        <v>10</v>
      </c>
      <c r="X17" s="167">
        <v>2.7929000000000002E-2</v>
      </c>
    </row>
    <row r="18" spans="2:24" ht="15" customHeight="1" x14ac:dyDescent="0.35">
      <c r="B18" s="79"/>
      <c r="C18" s="180" t="s">
        <v>77</v>
      </c>
      <c r="D18" s="187" t="s">
        <v>3</v>
      </c>
      <c r="E18" s="188">
        <v>2.7522999999999999E-2</v>
      </c>
      <c r="F18" s="29"/>
      <c r="G18" s="29"/>
      <c r="H18" s="29"/>
      <c r="I18" s="29"/>
      <c r="J18" s="29"/>
      <c r="K18" s="29"/>
      <c r="L18" s="29"/>
      <c r="M18" s="29"/>
      <c r="N18" s="29"/>
      <c r="O18" s="29"/>
      <c r="P18" s="29"/>
      <c r="Q18" s="29"/>
      <c r="R18" s="29"/>
      <c r="S18" s="29"/>
      <c r="T18" s="22"/>
      <c r="W18" s="166" t="s">
        <v>26</v>
      </c>
      <c r="X18" s="167">
        <v>2.5115999999999999E-2</v>
      </c>
    </row>
    <row r="19" spans="2:24" ht="15" customHeight="1" x14ac:dyDescent="0.35">
      <c r="B19" s="79"/>
      <c r="C19" s="180" t="s">
        <v>118</v>
      </c>
      <c r="D19" s="187" t="s">
        <v>110</v>
      </c>
      <c r="E19" s="188">
        <v>2.3574999999999999E-2</v>
      </c>
      <c r="F19" s="29"/>
      <c r="G19" s="29"/>
      <c r="H19" s="29"/>
      <c r="I19" s="29"/>
      <c r="J19" s="29"/>
      <c r="K19" s="29"/>
      <c r="L19" s="29"/>
      <c r="M19" s="29"/>
      <c r="N19" s="29"/>
      <c r="O19" s="29"/>
      <c r="P19" s="29"/>
      <c r="Q19" s="29"/>
      <c r="R19" s="29"/>
      <c r="S19" s="29"/>
      <c r="T19" s="22"/>
      <c r="W19" s="166" t="s">
        <v>16</v>
      </c>
      <c r="X19" s="167">
        <v>2.2629E-2</v>
      </c>
    </row>
    <row r="20" spans="2:24" ht="15" customHeight="1" x14ac:dyDescent="0.35">
      <c r="B20" s="79"/>
      <c r="C20" s="180" t="s">
        <v>79</v>
      </c>
      <c r="D20" s="187" t="s">
        <v>4</v>
      </c>
      <c r="E20" s="188">
        <v>2.051E-2</v>
      </c>
      <c r="F20" s="29"/>
      <c r="G20" s="29"/>
      <c r="H20" s="29"/>
      <c r="I20" s="29"/>
      <c r="J20" s="29"/>
      <c r="K20" s="29"/>
      <c r="L20" s="29"/>
      <c r="M20" s="29"/>
      <c r="N20" s="29"/>
      <c r="O20" s="29"/>
      <c r="P20" s="29"/>
      <c r="Q20" s="29"/>
      <c r="R20" s="29"/>
      <c r="S20" s="29"/>
      <c r="T20" s="22"/>
      <c r="W20" s="166" t="s">
        <v>81</v>
      </c>
      <c r="X20" s="167">
        <v>2.1846000000000001E-2</v>
      </c>
    </row>
    <row r="21" spans="2:24" ht="15" customHeight="1" x14ac:dyDescent="0.35">
      <c r="B21" s="79"/>
      <c r="C21" s="180" t="s">
        <v>37</v>
      </c>
      <c r="D21" s="187" t="s">
        <v>115</v>
      </c>
      <c r="E21" s="188">
        <v>1.8880999999999998E-2</v>
      </c>
      <c r="F21" s="29"/>
      <c r="G21" s="29"/>
      <c r="H21" s="29"/>
      <c r="I21" s="29"/>
      <c r="J21" s="29"/>
      <c r="K21" s="29"/>
      <c r="L21" s="29"/>
      <c r="M21" s="29"/>
      <c r="N21" s="29"/>
      <c r="O21" s="29"/>
      <c r="P21" s="29"/>
      <c r="Q21" s="29"/>
      <c r="R21" s="29"/>
      <c r="S21" s="29"/>
      <c r="T21" s="22"/>
      <c r="W21" s="166" t="s">
        <v>11</v>
      </c>
      <c r="X21" s="167">
        <v>1.9396999999999998E-2</v>
      </c>
    </row>
    <row r="22" spans="2:24" ht="15" customHeight="1" x14ac:dyDescent="0.35">
      <c r="B22" s="79"/>
      <c r="C22" s="180" t="s">
        <v>245</v>
      </c>
      <c r="D22" s="187" t="s">
        <v>109</v>
      </c>
      <c r="E22" s="188">
        <v>1.7944999999999999E-2</v>
      </c>
      <c r="F22" s="29"/>
      <c r="G22" s="29"/>
      <c r="H22" s="29"/>
      <c r="I22" s="29"/>
      <c r="J22" s="29"/>
      <c r="K22" s="29"/>
      <c r="L22" s="29"/>
      <c r="M22" s="29"/>
      <c r="N22" s="29"/>
      <c r="O22" s="29"/>
      <c r="P22" s="29"/>
      <c r="Q22" s="29"/>
      <c r="R22" s="29"/>
      <c r="S22" s="29"/>
      <c r="T22" s="22"/>
      <c r="W22" s="166" t="s">
        <v>84</v>
      </c>
      <c r="X22" s="167">
        <v>1.4421E-2</v>
      </c>
    </row>
    <row r="23" spans="2:24" ht="15" customHeight="1" x14ac:dyDescent="0.35">
      <c r="B23" s="79"/>
      <c r="C23" s="82"/>
      <c r="D23" s="82"/>
      <c r="E23" s="83"/>
      <c r="F23" s="29"/>
      <c r="G23" s="29"/>
      <c r="H23" s="29"/>
      <c r="I23" s="29"/>
      <c r="J23" s="29"/>
      <c r="K23" s="29"/>
      <c r="L23" s="29"/>
      <c r="M23" s="29"/>
      <c r="N23" s="29"/>
      <c r="O23" s="29"/>
      <c r="P23" s="29"/>
      <c r="Q23" s="29"/>
      <c r="R23" s="29"/>
      <c r="S23" s="29"/>
      <c r="T23" s="22"/>
      <c r="W23" s="166" t="s">
        <v>85</v>
      </c>
      <c r="X23" s="167">
        <v>1.0219000000000001E-2</v>
      </c>
    </row>
    <row r="24" spans="2:24" ht="15" customHeight="1" x14ac:dyDescent="0.35">
      <c r="B24" s="79"/>
      <c r="C24" s="73" t="s">
        <v>55</v>
      </c>
      <c r="D24" s="74"/>
      <c r="E24" s="84">
        <f>SUM(E8:E22)</f>
        <v>0.67782999999999993</v>
      </c>
      <c r="F24" s="29"/>
      <c r="G24" s="29"/>
      <c r="H24" s="29"/>
      <c r="I24" s="29"/>
      <c r="J24" s="29"/>
      <c r="K24" s="29"/>
      <c r="L24" s="29"/>
      <c r="M24" s="29"/>
      <c r="N24" s="29"/>
      <c r="O24" s="29"/>
      <c r="P24" s="29"/>
      <c r="Q24" s="29"/>
      <c r="R24" s="29"/>
      <c r="S24" s="29"/>
      <c r="T24" s="22"/>
      <c r="W24" s="166" t="s">
        <v>13</v>
      </c>
      <c r="X24" s="167">
        <v>8.6250000000000007E-3</v>
      </c>
    </row>
    <row r="25" spans="2:24" ht="15" customHeight="1" x14ac:dyDescent="0.35">
      <c r="B25" s="79"/>
      <c r="C25" s="29"/>
      <c r="D25" s="29"/>
      <c r="E25" s="29"/>
      <c r="F25" s="29"/>
      <c r="G25" s="29"/>
      <c r="H25" s="29"/>
      <c r="I25" s="29"/>
      <c r="J25" s="29"/>
      <c r="K25" s="29"/>
      <c r="L25" s="29"/>
      <c r="M25" s="29"/>
      <c r="N25" s="29"/>
      <c r="O25" s="29"/>
      <c r="P25" s="29"/>
      <c r="Q25" s="29"/>
      <c r="R25" s="29"/>
      <c r="S25" s="29"/>
      <c r="T25" s="22"/>
      <c r="W25" s="166" t="s">
        <v>15</v>
      </c>
      <c r="X25" s="167">
        <v>8.2150000000000001E-3</v>
      </c>
    </row>
    <row r="26" spans="2:24" ht="15" customHeight="1" x14ac:dyDescent="0.35">
      <c r="B26" s="79"/>
      <c r="C26" s="85"/>
      <c r="D26" s="85"/>
      <c r="E26" s="86"/>
      <c r="F26" s="29"/>
      <c r="G26" s="29"/>
      <c r="H26" s="29"/>
      <c r="I26" s="29"/>
      <c r="J26" s="29"/>
      <c r="K26" s="29"/>
      <c r="L26" s="29"/>
      <c r="M26" s="29"/>
      <c r="N26" s="29"/>
      <c r="O26" s="29"/>
      <c r="P26" s="29"/>
      <c r="Q26" s="29"/>
      <c r="R26" s="29"/>
      <c r="S26" s="29"/>
      <c r="T26" s="22"/>
      <c r="W26" s="166" t="s">
        <v>128</v>
      </c>
      <c r="X26" s="167">
        <v>8.1550000000000008E-3</v>
      </c>
    </row>
    <row r="27" spans="2:24" ht="15" customHeight="1" x14ac:dyDescent="0.35">
      <c r="B27" s="79"/>
      <c r="C27" s="51"/>
      <c r="D27" s="51"/>
      <c r="E27" s="87"/>
      <c r="F27" s="29"/>
      <c r="G27" s="29"/>
      <c r="H27" s="29"/>
      <c r="I27" s="29"/>
      <c r="J27" s="29"/>
      <c r="K27" s="29"/>
      <c r="L27" s="29"/>
      <c r="M27" s="29"/>
      <c r="N27" s="29"/>
      <c r="O27" s="29"/>
      <c r="P27" s="29"/>
      <c r="Q27" s="29"/>
      <c r="R27" s="29"/>
      <c r="S27" s="29"/>
      <c r="T27" s="22"/>
      <c r="W27" s="166" t="s">
        <v>129</v>
      </c>
      <c r="X27" s="167">
        <v>7.9500000000000005E-3</v>
      </c>
    </row>
    <row r="28" spans="2:24" ht="15" customHeight="1" x14ac:dyDescent="0.35">
      <c r="B28" s="79"/>
      <c r="C28" s="85"/>
      <c r="D28" s="88"/>
      <c r="E28" s="89"/>
      <c r="F28" s="29"/>
      <c r="G28" s="29"/>
      <c r="H28" s="29"/>
      <c r="I28" s="29"/>
      <c r="J28" s="29"/>
      <c r="K28" s="29"/>
      <c r="L28" s="29"/>
      <c r="M28" s="29"/>
      <c r="N28" s="29"/>
      <c r="O28" s="29"/>
      <c r="P28" s="29"/>
      <c r="Q28" s="29"/>
      <c r="R28" s="29"/>
      <c r="S28" s="29"/>
      <c r="T28" s="22"/>
      <c r="W28" s="166" t="s">
        <v>106</v>
      </c>
      <c r="X28" s="167">
        <v>7.7780000000000002E-3</v>
      </c>
    </row>
    <row r="29" spans="2:24" ht="15" customHeight="1" x14ac:dyDescent="0.35">
      <c r="B29" s="79"/>
      <c r="C29" s="51"/>
      <c r="D29" s="51"/>
      <c r="E29" s="51"/>
      <c r="F29" s="29"/>
      <c r="G29" s="29"/>
      <c r="H29" s="29"/>
      <c r="I29" s="29"/>
      <c r="J29" s="29"/>
      <c r="K29" s="29"/>
      <c r="L29" s="29"/>
      <c r="M29" s="29"/>
      <c r="N29" s="29"/>
      <c r="O29" s="29"/>
      <c r="P29" s="29"/>
      <c r="Q29" s="29"/>
      <c r="R29" s="29"/>
      <c r="S29" s="29"/>
      <c r="T29" s="22"/>
      <c r="W29" s="166" t="s">
        <v>113</v>
      </c>
      <c r="X29" s="167">
        <v>6.8960000000000002E-3</v>
      </c>
    </row>
    <row r="30" spans="2:24" ht="15" customHeight="1" x14ac:dyDescent="0.35">
      <c r="B30" s="79"/>
      <c r="C30" s="85"/>
      <c r="D30" s="88"/>
      <c r="E30" s="86"/>
      <c r="F30" s="29"/>
      <c r="G30" s="29"/>
      <c r="H30" s="29"/>
      <c r="I30" s="29"/>
      <c r="J30" s="29"/>
      <c r="K30" s="29"/>
      <c r="L30" s="29"/>
      <c r="M30" s="29"/>
      <c r="N30" s="29"/>
      <c r="O30" s="29"/>
      <c r="P30" s="29"/>
      <c r="Q30" s="29"/>
      <c r="R30" s="29"/>
      <c r="S30" s="29"/>
      <c r="T30" s="22"/>
      <c r="W30" s="61" t="s">
        <v>75</v>
      </c>
      <c r="X30" s="62">
        <v>6.4029999999999998E-3</v>
      </c>
    </row>
    <row r="31" spans="2:24" ht="15" customHeight="1" thickBot="1" x14ac:dyDescent="0.4">
      <c r="B31" s="80"/>
      <c r="C31" s="81"/>
      <c r="D31" s="81"/>
      <c r="E31" s="81"/>
      <c r="F31" s="81"/>
      <c r="G31" s="81"/>
      <c r="H31" s="81"/>
      <c r="I31" s="81"/>
      <c r="J31" s="81"/>
      <c r="K31" s="81"/>
      <c r="L31" s="81"/>
      <c r="M31" s="81"/>
      <c r="N31" s="81"/>
      <c r="O31" s="81"/>
      <c r="P31" s="81"/>
      <c r="Q31" s="81"/>
      <c r="R31" s="81"/>
      <c r="S31" s="81"/>
      <c r="T31" s="23"/>
      <c r="W31" s="19" t="s">
        <v>130</v>
      </c>
      <c r="X31" s="62">
        <v>5.4450000000000002E-3</v>
      </c>
    </row>
    <row r="32" spans="2:24" ht="15" customHeight="1" thickBot="1" x14ac:dyDescent="0.4">
      <c r="X32" s="62"/>
    </row>
    <row r="33" spans="2:18" ht="15" customHeight="1" x14ac:dyDescent="0.35">
      <c r="B33" s="303" t="s">
        <v>179</v>
      </c>
      <c r="C33" s="304"/>
      <c r="D33" s="304"/>
      <c r="E33" s="304"/>
      <c r="F33" s="304"/>
      <c r="G33" s="304"/>
      <c r="H33" s="304"/>
      <c r="I33" s="304"/>
      <c r="J33" s="304"/>
      <c r="K33" s="304"/>
      <c r="L33" s="304"/>
      <c r="M33" s="304"/>
      <c r="N33" s="304"/>
      <c r="O33" s="304"/>
      <c r="P33" s="304"/>
      <c r="Q33" s="304"/>
      <c r="R33" s="305"/>
    </row>
    <row r="34" spans="2:18" ht="15" customHeight="1" x14ac:dyDescent="0.35">
      <c r="B34" s="306"/>
      <c r="C34" s="307"/>
      <c r="D34" s="307"/>
      <c r="E34" s="307"/>
      <c r="F34" s="307"/>
      <c r="G34" s="307"/>
      <c r="H34" s="307"/>
      <c r="I34" s="307"/>
      <c r="J34" s="307"/>
      <c r="K34" s="307"/>
      <c r="L34" s="307"/>
      <c r="M34" s="307"/>
      <c r="N34" s="307"/>
      <c r="O34" s="307"/>
      <c r="P34" s="307"/>
      <c r="Q34" s="307"/>
      <c r="R34" s="308"/>
    </row>
    <row r="35" spans="2:18" ht="15" customHeight="1" x14ac:dyDescent="0.35">
      <c r="B35" s="306"/>
      <c r="C35" s="307"/>
      <c r="D35" s="307"/>
      <c r="E35" s="307"/>
      <c r="F35" s="307"/>
      <c r="G35" s="307"/>
      <c r="H35" s="307"/>
      <c r="I35" s="307"/>
      <c r="J35" s="307"/>
      <c r="K35" s="307"/>
      <c r="L35" s="307"/>
      <c r="M35" s="307"/>
      <c r="N35" s="307"/>
      <c r="O35" s="307"/>
      <c r="P35" s="307"/>
      <c r="Q35" s="307"/>
      <c r="R35" s="308"/>
    </row>
    <row r="36" spans="2:18" ht="15" customHeight="1" x14ac:dyDescent="0.35">
      <c r="B36" s="306"/>
      <c r="C36" s="307"/>
      <c r="D36" s="307"/>
      <c r="E36" s="307"/>
      <c r="F36" s="307"/>
      <c r="G36" s="307"/>
      <c r="H36" s="307"/>
      <c r="I36" s="307"/>
      <c r="J36" s="307"/>
      <c r="K36" s="307"/>
      <c r="L36" s="307"/>
      <c r="M36" s="307"/>
      <c r="N36" s="307"/>
      <c r="O36" s="307"/>
      <c r="P36" s="307"/>
      <c r="Q36" s="307"/>
      <c r="R36" s="308"/>
    </row>
    <row r="37" spans="2:18" ht="15" customHeight="1" x14ac:dyDescent="0.35">
      <c r="B37" s="306"/>
      <c r="C37" s="307"/>
      <c r="D37" s="307"/>
      <c r="E37" s="307"/>
      <c r="F37" s="307"/>
      <c r="G37" s="307"/>
      <c r="H37" s="307"/>
      <c r="I37" s="307"/>
      <c r="J37" s="307"/>
      <c r="K37" s="307"/>
      <c r="L37" s="307"/>
      <c r="M37" s="307"/>
      <c r="N37" s="307"/>
      <c r="O37" s="307"/>
      <c r="P37" s="307"/>
      <c r="Q37" s="307"/>
      <c r="R37" s="308"/>
    </row>
    <row r="38" spans="2:18" ht="15" customHeight="1" x14ac:dyDescent="0.35">
      <c r="B38" s="306"/>
      <c r="C38" s="307"/>
      <c r="D38" s="307"/>
      <c r="E38" s="307"/>
      <c r="F38" s="307"/>
      <c r="G38" s="307"/>
      <c r="H38" s="307"/>
      <c r="I38" s="307"/>
      <c r="J38" s="307"/>
      <c r="K38" s="307"/>
      <c r="L38" s="307"/>
      <c r="M38" s="307"/>
      <c r="N38" s="307"/>
      <c r="O38" s="307"/>
      <c r="P38" s="307"/>
      <c r="Q38" s="307"/>
      <c r="R38" s="308"/>
    </row>
    <row r="39" spans="2:18" ht="15" customHeight="1" thickBot="1" x14ac:dyDescent="0.4">
      <c r="B39" s="309"/>
      <c r="C39" s="310"/>
      <c r="D39" s="310"/>
      <c r="E39" s="310"/>
      <c r="F39" s="310"/>
      <c r="G39" s="310"/>
      <c r="H39" s="310"/>
      <c r="I39" s="310"/>
      <c r="J39" s="310"/>
      <c r="K39" s="310"/>
      <c r="L39" s="310"/>
      <c r="M39" s="310"/>
      <c r="N39" s="310"/>
      <c r="O39" s="310"/>
      <c r="P39" s="310"/>
      <c r="Q39" s="310"/>
      <c r="R39" s="311"/>
    </row>
    <row r="40" spans="2:18" ht="15" customHeight="1" x14ac:dyDescent="0.35"/>
    <row r="41" spans="2:18" ht="15" customHeight="1" x14ac:dyDescent="0.35"/>
    <row r="42" spans="2:18" ht="15" customHeight="1" x14ac:dyDescent="0.35"/>
    <row r="43" spans="2:18" ht="15" customHeight="1" x14ac:dyDescent="0.35"/>
    <row r="44" spans="2:18" ht="15" customHeight="1" x14ac:dyDescent="0.35"/>
    <row r="45" spans="2:18" ht="15" customHeight="1" x14ac:dyDescent="0.35"/>
    <row r="46" spans="2:18" ht="15" customHeight="1" x14ac:dyDescent="0.35"/>
    <row r="47" spans="2:18" ht="15" customHeight="1" x14ac:dyDescent="0.35"/>
    <row r="48" spans="2:18" ht="15" customHeight="1" x14ac:dyDescent="0.35"/>
    <row r="49" ht="15" customHeight="1" x14ac:dyDescent="0.35"/>
    <row r="50" ht="15" customHeight="1" x14ac:dyDescent="0.35"/>
    <row r="51" ht="15" customHeight="1" x14ac:dyDescent="0.35"/>
    <row r="52" ht="15" customHeight="1" x14ac:dyDescent="0.35"/>
    <row r="53" ht="15" customHeight="1" x14ac:dyDescent="0.35"/>
    <row r="54" ht="15" customHeight="1" x14ac:dyDescent="0.35"/>
    <row r="55" ht="15" customHeight="1" x14ac:dyDescent="0.35"/>
    <row r="56" ht="15" customHeight="1" x14ac:dyDescent="0.35"/>
    <row r="57" ht="15" customHeight="1" x14ac:dyDescent="0.35"/>
    <row r="58" ht="15" customHeight="1" x14ac:dyDescent="0.35"/>
  </sheetData>
  <sortState ref="W8:X29">
    <sortCondition descending="1" ref="X8"/>
  </sortState>
  <mergeCells count="3">
    <mergeCell ref="C3:S3"/>
    <mergeCell ref="D5:E5"/>
    <mergeCell ref="B33:R39"/>
  </mergeCells>
  <pageMargins left="0" right="0" top="0" bottom="0" header="0" footer="0"/>
  <pageSetup paperSize="9" scale="10" pageOrder="overThenDown" orientation="portrait" r:id="rId1"/>
  <headerFooter alignWithMargins="0"/>
  <drawing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17"/>
  <dimension ref="A1:X64"/>
  <sheetViews>
    <sheetView showGridLines="0" zoomScale="75" zoomScaleNormal="75" workbookViewId="0"/>
  </sheetViews>
  <sheetFormatPr defaultColWidth="9.1796875" defaultRowHeight="14.5" x14ac:dyDescent="0.35"/>
  <cols>
    <col min="1" max="1" width="2.81640625" style="19" customWidth="1"/>
    <col min="2" max="2" width="3.81640625" style="19" customWidth="1"/>
    <col min="3" max="3" width="59.1796875" style="19" bestFit="1" customWidth="1"/>
    <col min="4" max="4" width="28.26953125" style="19" customWidth="1"/>
    <col min="5" max="5" width="10.453125" style="19" bestFit="1" customWidth="1"/>
    <col min="6" max="18" width="9.1796875" style="19"/>
    <col min="19" max="19" width="9.81640625" style="19" customWidth="1"/>
    <col min="20" max="20" width="9.1796875" style="19"/>
    <col min="21" max="22" width="9.1796875" style="19" customWidth="1"/>
    <col min="23" max="16384" width="9.1796875" style="19"/>
  </cols>
  <sheetData>
    <row r="1" spans="1:24" ht="15.75" customHeight="1" thickBot="1" x14ac:dyDescent="0.4">
      <c r="A1" s="3"/>
    </row>
    <row r="2" spans="1:24" ht="15" customHeight="1" x14ac:dyDescent="0.35">
      <c r="B2" s="77"/>
      <c r="C2" s="78"/>
      <c r="D2" s="78"/>
      <c r="E2" s="78"/>
      <c r="F2" s="78"/>
      <c r="G2" s="78"/>
      <c r="H2" s="78"/>
      <c r="I2" s="78"/>
      <c r="J2" s="78"/>
      <c r="K2" s="78"/>
      <c r="L2" s="78"/>
      <c r="M2" s="78"/>
      <c r="N2" s="78"/>
      <c r="O2" s="78"/>
      <c r="P2" s="78"/>
      <c r="Q2" s="78"/>
      <c r="R2" s="78"/>
      <c r="S2" s="78"/>
      <c r="T2" s="21"/>
    </row>
    <row r="3" spans="1:24" ht="20.25" customHeight="1" x14ac:dyDescent="0.35">
      <c r="B3" s="79"/>
      <c r="C3" s="312" t="s">
        <v>302</v>
      </c>
      <c r="D3" s="313"/>
      <c r="E3" s="313"/>
      <c r="F3" s="313"/>
      <c r="G3" s="313"/>
      <c r="H3" s="313"/>
      <c r="I3" s="313"/>
      <c r="J3" s="313"/>
      <c r="K3" s="313"/>
      <c r="L3" s="313"/>
      <c r="M3" s="313"/>
      <c r="N3" s="313"/>
      <c r="O3" s="313"/>
      <c r="P3" s="313"/>
      <c r="Q3" s="313"/>
      <c r="R3" s="313"/>
      <c r="S3" s="313"/>
      <c r="T3" s="22"/>
    </row>
    <row r="4" spans="1:24" ht="15.75" customHeight="1" x14ac:dyDescent="0.35">
      <c r="B4" s="79"/>
      <c r="C4" s="67" t="s">
        <v>434</v>
      </c>
      <c r="D4" s="29"/>
      <c r="E4" s="29"/>
      <c r="F4" s="29"/>
      <c r="G4" s="29"/>
      <c r="H4" s="29"/>
      <c r="I4" s="29"/>
      <c r="J4" s="29"/>
      <c r="K4" s="29"/>
      <c r="L4" s="29"/>
      <c r="M4" s="29"/>
      <c r="N4" s="29"/>
      <c r="O4" s="29"/>
      <c r="P4" s="29"/>
      <c r="Q4" s="29"/>
      <c r="R4" s="29"/>
      <c r="S4" s="29"/>
      <c r="T4" s="22"/>
    </row>
    <row r="5" spans="1:24" ht="18" customHeight="1" x14ac:dyDescent="0.35">
      <c r="B5" s="79"/>
      <c r="C5" s="211" t="s">
        <v>435</v>
      </c>
      <c r="D5" s="316" t="s">
        <v>418</v>
      </c>
      <c r="E5" s="316"/>
      <c r="F5" s="29"/>
      <c r="G5" s="29"/>
      <c r="H5" s="29"/>
      <c r="I5" s="29"/>
      <c r="J5" s="29"/>
      <c r="K5" s="29"/>
      <c r="L5" s="29"/>
      <c r="M5" s="29"/>
      <c r="N5" s="29"/>
      <c r="O5" s="29"/>
      <c r="P5" s="29"/>
      <c r="Q5" s="29"/>
      <c r="R5" s="29"/>
      <c r="S5" s="29"/>
      <c r="T5" s="22"/>
    </row>
    <row r="6" spans="1:24" ht="15" customHeight="1" x14ac:dyDescent="0.35">
      <c r="B6" s="79"/>
      <c r="C6" s="29"/>
      <c r="D6" s="29"/>
      <c r="E6" s="29"/>
      <c r="F6" s="29"/>
      <c r="G6" s="29"/>
      <c r="H6" s="29"/>
      <c r="I6" s="29"/>
      <c r="J6" s="29"/>
      <c r="K6" s="29"/>
      <c r="L6" s="29"/>
      <c r="M6" s="29"/>
      <c r="N6" s="29"/>
      <c r="O6" s="29"/>
      <c r="P6" s="29"/>
      <c r="Q6" s="29"/>
      <c r="R6" s="29"/>
      <c r="S6" s="29"/>
      <c r="T6" s="22"/>
    </row>
    <row r="7" spans="1:24" ht="32.25" customHeight="1" x14ac:dyDescent="0.35">
      <c r="B7" s="79"/>
      <c r="C7" s="68" t="s">
        <v>0</v>
      </c>
      <c r="D7" s="69" t="s">
        <v>1</v>
      </c>
      <c r="E7" s="70" t="s">
        <v>2</v>
      </c>
      <c r="F7" s="29"/>
      <c r="G7" s="29"/>
      <c r="H7" s="29"/>
      <c r="I7" s="29"/>
      <c r="J7" s="29"/>
      <c r="K7" s="29"/>
      <c r="L7" s="29"/>
      <c r="M7" s="29"/>
      <c r="N7" s="29"/>
      <c r="O7" s="29"/>
      <c r="P7" s="29"/>
      <c r="Q7" s="29"/>
      <c r="R7" s="29"/>
      <c r="S7" s="29"/>
      <c r="T7" s="22"/>
      <c r="W7" s="39" t="s">
        <v>22</v>
      </c>
      <c r="X7" s="39" t="s">
        <v>2</v>
      </c>
    </row>
    <row r="8" spans="1:24" ht="15" customHeight="1" x14ac:dyDescent="0.35">
      <c r="B8" s="79"/>
      <c r="C8" s="184" t="s">
        <v>70</v>
      </c>
      <c r="D8" s="185" t="s">
        <v>12</v>
      </c>
      <c r="E8" s="186">
        <v>5.3619E-2</v>
      </c>
      <c r="F8" s="29"/>
      <c r="G8" s="29"/>
      <c r="H8" s="29"/>
      <c r="I8" s="29"/>
      <c r="J8" s="29"/>
      <c r="K8" s="29"/>
      <c r="L8" s="29"/>
      <c r="M8" s="29"/>
      <c r="N8" s="29"/>
      <c r="O8" s="29"/>
      <c r="P8" s="29"/>
      <c r="Q8" s="29"/>
      <c r="R8" s="29"/>
      <c r="S8" s="29"/>
      <c r="T8" s="22"/>
      <c r="W8" s="56" t="s">
        <v>3</v>
      </c>
      <c r="X8" s="57">
        <v>0.37483300000000008</v>
      </c>
    </row>
    <row r="9" spans="1:24" ht="15.75" customHeight="1" x14ac:dyDescent="0.35">
      <c r="B9" s="79"/>
      <c r="C9" s="180" t="s">
        <v>29</v>
      </c>
      <c r="D9" s="187" t="s">
        <v>3</v>
      </c>
      <c r="E9" s="188">
        <v>0.156525</v>
      </c>
      <c r="F9" s="29"/>
      <c r="G9" s="29"/>
      <c r="H9" s="29"/>
      <c r="I9" s="29"/>
      <c r="J9" s="29"/>
      <c r="K9" s="29"/>
      <c r="L9" s="29"/>
      <c r="M9" s="29"/>
      <c r="N9" s="29"/>
      <c r="O9" s="29"/>
      <c r="P9" s="29"/>
      <c r="Q9" s="29"/>
      <c r="R9" s="29"/>
      <c r="S9" s="29"/>
      <c r="T9" s="22"/>
      <c r="W9" s="56" t="s">
        <v>105</v>
      </c>
      <c r="X9" s="57">
        <v>0.12297399999999999</v>
      </c>
    </row>
    <row r="10" spans="1:24" ht="15.5" x14ac:dyDescent="0.35">
      <c r="B10" s="79"/>
      <c r="C10" s="180" t="s">
        <v>32</v>
      </c>
      <c r="D10" s="187" t="s">
        <v>3</v>
      </c>
      <c r="E10" s="188">
        <v>0.10882600000000001</v>
      </c>
      <c r="F10" s="29"/>
      <c r="G10" s="29"/>
      <c r="H10" s="29"/>
      <c r="I10" s="29"/>
      <c r="J10" s="29"/>
      <c r="K10" s="29"/>
      <c r="L10" s="29"/>
      <c r="M10" s="29"/>
      <c r="N10" s="29"/>
      <c r="O10" s="29"/>
      <c r="P10" s="29"/>
      <c r="Q10" s="29"/>
      <c r="R10" s="29"/>
      <c r="S10" s="29"/>
      <c r="T10" s="22"/>
      <c r="W10" s="56" t="s">
        <v>6</v>
      </c>
      <c r="X10" s="57">
        <v>0.102399</v>
      </c>
    </row>
    <row r="11" spans="1:24" ht="15.75" customHeight="1" x14ac:dyDescent="0.35">
      <c r="B11" s="79"/>
      <c r="C11" s="180" t="s">
        <v>34</v>
      </c>
      <c r="D11" s="187" t="s">
        <v>23</v>
      </c>
      <c r="E11" s="188">
        <v>4.1857999999999999E-2</v>
      </c>
      <c r="F11" s="29"/>
      <c r="G11" s="29"/>
      <c r="H11" s="29"/>
      <c r="I11" s="29"/>
      <c r="J11" s="29"/>
      <c r="K11" s="29"/>
      <c r="L11" s="29"/>
      <c r="M11" s="29"/>
      <c r="N11" s="29"/>
      <c r="O11" s="29"/>
      <c r="P11" s="29"/>
      <c r="Q11" s="29"/>
      <c r="R11" s="29"/>
      <c r="S11" s="29"/>
      <c r="T11" s="22"/>
      <c r="W11" s="56" t="s">
        <v>115</v>
      </c>
      <c r="X11" s="57">
        <v>6.4704999999999999E-2</v>
      </c>
    </row>
    <row r="12" spans="1:24" ht="15" customHeight="1" x14ac:dyDescent="0.35">
      <c r="B12" s="79"/>
      <c r="C12" s="180" t="s">
        <v>31</v>
      </c>
      <c r="D12" s="187" t="s">
        <v>6</v>
      </c>
      <c r="E12" s="188">
        <v>0.102399</v>
      </c>
      <c r="F12" s="29"/>
      <c r="G12" s="29"/>
      <c r="H12" s="29"/>
      <c r="I12" s="29"/>
      <c r="J12" s="29"/>
      <c r="K12" s="29"/>
      <c r="L12" s="29"/>
      <c r="M12" s="29"/>
      <c r="N12" s="29"/>
      <c r="O12" s="29"/>
      <c r="P12" s="29"/>
      <c r="Q12" s="29"/>
      <c r="R12" s="29"/>
      <c r="S12" s="29"/>
      <c r="T12" s="22"/>
      <c r="W12" s="56" t="s">
        <v>110</v>
      </c>
      <c r="X12" s="57">
        <v>5.9462999999999995E-2</v>
      </c>
    </row>
    <row r="13" spans="1:24" ht="15" customHeight="1" x14ac:dyDescent="0.35">
      <c r="B13" s="79"/>
      <c r="C13" s="180" t="s">
        <v>245</v>
      </c>
      <c r="D13" s="187" t="s">
        <v>109</v>
      </c>
      <c r="E13" s="188">
        <v>2.1273E-2</v>
      </c>
      <c r="F13" s="29"/>
      <c r="G13" s="29"/>
      <c r="H13" s="29"/>
      <c r="I13" s="29"/>
      <c r="J13" s="29"/>
      <c r="K13" s="29"/>
      <c r="L13" s="29"/>
      <c r="M13" s="29"/>
      <c r="N13" s="29"/>
      <c r="O13" s="29"/>
      <c r="P13" s="29"/>
      <c r="Q13" s="29"/>
      <c r="R13" s="29"/>
      <c r="S13" s="29"/>
      <c r="T13" s="22"/>
      <c r="W13" s="56" t="s">
        <v>12</v>
      </c>
      <c r="X13" s="57">
        <v>5.3619E-2</v>
      </c>
    </row>
    <row r="14" spans="1:24" ht="15" customHeight="1" x14ac:dyDescent="0.35">
      <c r="B14" s="79"/>
      <c r="C14" s="180" t="s">
        <v>36</v>
      </c>
      <c r="D14" s="187" t="s">
        <v>3</v>
      </c>
      <c r="E14" s="188">
        <v>3.6207999999999997E-2</v>
      </c>
      <c r="F14" s="29"/>
      <c r="G14" s="29"/>
      <c r="H14" s="29"/>
      <c r="I14" s="29"/>
      <c r="J14" s="29"/>
      <c r="K14" s="29"/>
      <c r="L14" s="29"/>
      <c r="M14" s="29"/>
      <c r="N14" s="29"/>
      <c r="O14" s="29"/>
      <c r="P14" s="29"/>
      <c r="Q14" s="29"/>
      <c r="R14" s="29"/>
      <c r="S14" s="29"/>
      <c r="T14" s="22"/>
      <c r="W14" s="56" t="s">
        <v>23</v>
      </c>
      <c r="X14" s="57">
        <v>4.1857999999999999E-2</v>
      </c>
    </row>
    <row r="15" spans="1:24" ht="15" customHeight="1" x14ac:dyDescent="0.35">
      <c r="B15" s="79"/>
      <c r="C15" s="180" t="s">
        <v>187</v>
      </c>
      <c r="D15" s="187" t="s">
        <v>105</v>
      </c>
      <c r="E15" s="188">
        <v>1.7793E-2</v>
      </c>
      <c r="F15" s="29"/>
      <c r="G15" s="29"/>
      <c r="H15" s="29"/>
      <c r="I15" s="29"/>
      <c r="J15" s="29"/>
      <c r="K15" s="29"/>
      <c r="L15" s="29"/>
      <c r="M15" s="29"/>
      <c r="N15" s="29"/>
      <c r="O15" s="29"/>
      <c r="P15" s="29"/>
      <c r="Q15" s="29"/>
      <c r="R15" s="29"/>
      <c r="S15" s="29"/>
      <c r="T15" s="22"/>
      <c r="W15" s="56" t="s">
        <v>4</v>
      </c>
      <c r="X15" s="57">
        <v>3.5630999999999996E-2</v>
      </c>
    </row>
    <row r="16" spans="1:24" ht="15" customHeight="1" x14ac:dyDescent="0.35">
      <c r="B16" s="79"/>
      <c r="C16" s="180" t="s">
        <v>37</v>
      </c>
      <c r="D16" s="187" t="s">
        <v>115</v>
      </c>
      <c r="E16" s="188">
        <v>2.2388000000000002E-2</v>
      </c>
      <c r="F16" s="29"/>
      <c r="G16" s="29"/>
      <c r="H16" s="29"/>
      <c r="I16" s="29"/>
      <c r="J16" s="29"/>
      <c r="K16" s="29"/>
      <c r="L16" s="29"/>
      <c r="M16" s="29"/>
      <c r="N16" s="29"/>
      <c r="O16" s="29"/>
      <c r="P16" s="29"/>
      <c r="Q16" s="29"/>
      <c r="R16" s="29"/>
      <c r="S16" s="29"/>
      <c r="T16" s="22"/>
      <c r="W16" s="56" t="s">
        <v>10</v>
      </c>
      <c r="X16" s="57">
        <v>3.3105000000000002E-2</v>
      </c>
    </row>
    <row r="17" spans="2:24" ht="15" customHeight="1" x14ac:dyDescent="0.35">
      <c r="B17" s="79"/>
      <c r="C17" s="180" t="s">
        <v>28</v>
      </c>
      <c r="D17" s="187" t="s">
        <v>105</v>
      </c>
      <c r="E17" s="188">
        <v>5.7579999999999999E-2</v>
      </c>
      <c r="F17" s="29"/>
      <c r="G17" s="29"/>
      <c r="H17" s="29"/>
      <c r="I17" s="29"/>
      <c r="J17" s="29"/>
      <c r="K17" s="29"/>
      <c r="L17" s="29"/>
      <c r="M17" s="29"/>
      <c r="N17" s="29"/>
      <c r="O17" s="29"/>
      <c r="P17" s="29"/>
      <c r="Q17" s="29"/>
      <c r="R17" s="29"/>
      <c r="S17" s="29"/>
      <c r="T17" s="22"/>
      <c r="W17" s="56" t="s">
        <v>16</v>
      </c>
      <c r="X17" s="57">
        <v>2.6536999999999998E-2</v>
      </c>
    </row>
    <row r="18" spans="2:24" ht="15" customHeight="1" x14ac:dyDescent="0.35">
      <c r="B18" s="79"/>
      <c r="C18" s="180" t="s">
        <v>30</v>
      </c>
      <c r="D18" s="187" t="s">
        <v>115</v>
      </c>
      <c r="E18" s="188">
        <v>4.2317E-2</v>
      </c>
      <c r="F18" s="29"/>
      <c r="G18" s="29"/>
      <c r="H18" s="29"/>
      <c r="I18" s="29"/>
      <c r="J18" s="29"/>
      <c r="K18" s="29"/>
      <c r="L18" s="29"/>
      <c r="M18" s="29"/>
      <c r="N18" s="29"/>
      <c r="O18" s="29"/>
      <c r="P18" s="29"/>
      <c r="Q18" s="29"/>
      <c r="R18" s="29"/>
      <c r="S18" s="29"/>
      <c r="T18" s="22"/>
      <c r="W18" s="56" t="s">
        <v>109</v>
      </c>
      <c r="X18" s="57">
        <v>2.1273E-2</v>
      </c>
    </row>
    <row r="19" spans="2:24" ht="15" customHeight="1" x14ac:dyDescent="0.35">
      <c r="B19" s="79"/>
      <c r="C19" s="180" t="s">
        <v>118</v>
      </c>
      <c r="D19" s="187" t="s">
        <v>110</v>
      </c>
      <c r="E19" s="188">
        <v>2.7730999999999999E-2</v>
      </c>
      <c r="F19" s="29"/>
      <c r="G19" s="29"/>
      <c r="H19" s="29"/>
      <c r="I19" s="29"/>
      <c r="J19" s="29"/>
      <c r="K19" s="29"/>
      <c r="L19" s="29"/>
      <c r="M19" s="29"/>
      <c r="N19" s="29"/>
      <c r="O19" s="29"/>
      <c r="P19" s="29"/>
      <c r="Q19" s="29"/>
      <c r="R19" s="29"/>
      <c r="S19" s="29"/>
      <c r="T19" s="22"/>
      <c r="W19" s="56" t="s">
        <v>26</v>
      </c>
      <c r="X19" s="57">
        <v>1.7364999999999998E-2</v>
      </c>
    </row>
    <row r="20" spans="2:24" ht="15" customHeight="1" x14ac:dyDescent="0.35">
      <c r="B20" s="79"/>
      <c r="C20" s="180" t="s">
        <v>276</v>
      </c>
      <c r="D20" s="187" t="s">
        <v>106</v>
      </c>
      <c r="E20" s="188">
        <v>9.2420000000000002E-3</v>
      </c>
      <c r="F20" s="29"/>
      <c r="G20" s="29"/>
      <c r="H20" s="29"/>
      <c r="I20" s="29"/>
      <c r="J20" s="29"/>
      <c r="K20" s="29"/>
      <c r="L20" s="29"/>
      <c r="M20" s="29"/>
      <c r="N20" s="29"/>
      <c r="O20" s="29"/>
      <c r="P20" s="29"/>
      <c r="Q20" s="29"/>
      <c r="R20" s="29"/>
      <c r="S20" s="29"/>
      <c r="T20" s="22"/>
      <c r="W20" s="56" t="s">
        <v>81</v>
      </c>
      <c r="X20" s="57">
        <v>1.4392E-2</v>
      </c>
    </row>
    <row r="21" spans="2:24" ht="15" customHeight="1" x14ac:dyDescent="0.35">
      <c r="B21" s="79"/>
      <c r="C21" s="180" t="s">
        <v>357</v>
      </c>
      <c r="D21" s="187" t="s">
        <v>16</v>
      </c>
      <c r="E21" s="188">
        <v>1.4751E-2</v>
      </c>
      <c r="F21" s="29"/>
      <c r="G21" s="29"/>
      <c r="H21" s="29"/>
      <c r="I21" s="29"/>
      <c r="J21" s="29"/>
      <c r="K21" s="29"/>
      <c r="L21" s="29"/>
      <c r="M21" s="29"/>
      <c r="N21" s="29"/>
      <c r="O21" s="29"/>
      <c r="P21" s="29"/>
      <c r="Q21" s="29"/>
      <c r="R21" s="29"/>
      <c r="S21" s="29"/>
      <c r="T21" s="22"/>
      <c r="W21" s="56" t="s">
        <v>11</v>
      </c>
      <c r="X21" s="57">
        <v>1.2373E-2</v>
      </c>
    </row>
    <row r="22" spans="2:24" ht="15" customHeight="1" x14ac:dyDescent="0.35">
      <c r="B22" s="79"/>
      <c r="C22" s="180" t="s">
        <v>232</v>
      </c>
      <c r="D22" s="187" t="s">
        <v>16</v>
      </c>
      <c r="E22" s="188">
        <v>1.1786E-2</v>
      </c>
      <c r="F22" s="29"/>
      <c r="G22" s="29"/>
      <c r="H22" s="29"/>
      <c r="I22" s="29"/>
      <c r="J22" s="29"/>
      <c r="K22" s="29"/>
      <c r="L22" s="29"/>
      <c r="M22" s="29"/>
      <c r="N22" s="29"/>
      <c r="O22" s="29"/>
      <c r="P22" s="29"/>
      <c r="Q22" s="29"/>
      <c r="R22" s="29"/>
      <c r="S22" s="29"/>
      <c r="T22" s="22"/>
      <c r="W22" s="19" t="s">
        <v>128</v>
      </c>
      <c r="X22" s="57">
        <v>9.6310000000000007E-3</v>
      </c>
    </row>
    <row r="23" spans="2:24" ht="15" customHeight="1" x14ac:dyDescent="0.35">
      <c r="B23" s="79"/>
      <c r="C23" s="71"/>
      <c r="D23" s="71"/>
      <c r="E23" s="72"/>
      <c r="F23" s="29"/>
      <c r="G23" s="29"/>
      <c r="H23" s="29"/>
      <c r="I23" s="29"/>
      <c r="J23" s="29"/>
      <c r="K23" s="29"/>
      <c r="L23" s="29"/>
      <c r="M23" s="29"/>
      <c r="N23" s="29"/>
      <c r="O23" s="29"/>
      <c r="P23" s="29"/>
      <c r="Q23" s="29"/>
      <c r="R23" s="29"/>
      <c r="S23" s="29"/>
      <c r="T23" s="22"/>
      <c r="W23" s="56" t="s">
        <v>106</v>
      </c>
      <c r="X23" s="57">
        <v>9.2420000000000002E-3</v>
      </c>
    </row>
    <row r="24" spans="2:24" ht="15" customHeight="1" x14ac:dyDescent="0.35">
      <c r="B24" s="79"/>
      <c r="C24" s="73" t="s">
        <v>55</v>
      </c>
      <c r="D24" s="74"/>
      <c r="E24" s="75">
        <f>SUM(E8:E22)</f>
        <v>0.72429599999999972</v>
      </c>
      <c r="F24" s="29"/>
      <c r="G24" s="29"/>
      <c r="H24" s="29"/>
      <c r="I24" s="29"/>
      <c r="J24" s="29"/>
      <c r="K24" s="29"/>
      <c r="L24" s="29"/>
      <c r="M24" s="29"/>
      <c r="N24" s="29"/>
      <c r="O24" s="29"/>
      <c r="P24" s="29"/>
      <c r="Q24" s="29"/>
      <c r="R24" s="29"/>
      <c r="S24" s="29"/>
      <c r="T24" s="22"/>
      <c r="W24" s="56"/>
      <c r="X24" s="57"/>
    </row>
    <row r="25" spans="2:24" ht="15" customHeight="1" x14ac:dyDescent="0.35">
      <c r="B25" s="79"/>
      <c r="F25" s="29"/>
      <c r="G25" s="29"/>
      <c r="H25" s="29"/>
      <c r="I25" s="29"/>
      <c r="J25" s="29"/>
      <c r="K25" s="29"/>
      <c r="L25" s="29"/>
      <c r="M25" s="29"/>
      <c r="N25" s="29"/>
      <c r="O25" s="29"/>
      <c r="P25" s="29"/>
      <c r="Q25" s="29"/>
      <c r="R25" s="29"/>
      <c r="S25" s="29"/>
      <c r="T25" s="22"/>
      <c r="W25" s="56"/>
      <c r="X25" s="57"/>
    </row>
    <row r="26" spans="2:24" ht="15" customHeight="1" x14ac:dyDescent="0.35">
      <c r="B26" s="79"/>
      <c r="F26" s="29"/>
      <c r="G26" s="29"/>
      <c r="H26" s="29"/>
      <c r="I26" s="29"/>
      <c r="J26" s="29"/>
      <c r="K26" s="29"/>
      <c r="L26" s="29"/>
      <c r="M26" s="29"/>
      <c r="N26" s="29"/>
      <c r="O26" s="29"/>
      <c r="P26" s="29"/>
      <c r="Q26" s="29"/>
      <c r="R26" s="29"/>
      <c r="S26" s="29"/>
      <c r="T26" s="22"/>
      <c r="W26" s="56"/>
      <c r="X26" s="57"/>
    </row>
    <row r="27" spans="2:24" ht="15" customHeight="1" x14ac:dyDescent="0.35">
      <c r="B27" s="79"/>
      <c r="F27" s="29"/>
      <c r="G27" s="29"/>
      <c r="H27" s="29"/>
      <c r="I27" s="29"/>
      <c r="J27" s="29"/>
      <c r="K27" s="29"/>
      <c r="L27" s="29"/>
      <c r="M27" s="29"/>
      <c r="N27" s="29"/>
      <c r="O27" s="29"/>
      <c r="P27" s="29"/>
      <c r="Q27" s="29"/>
      <c r="R27" s="29"/>
      <c r="S27" s="29"/>
      <c r="T27" s="22"/>
      <c r="W27" s="56"/>
      <c r="X27" s="57"/>
    </row>
    <row r="28" spans="2:24" ht="15" customHeight="1" x14ac:dyDescent="0.35">
      <c r="B28" s="79"/>
      <c r="F28" s="29"/>
      <c r="G28" s="29"/>
      <c r="H28" s="29"/>
      <c r="I28" s="29"/>
      <c r="J28" s="29"/>
      <c r="K28" s="29"/>
      <c r="L28" s="29"/>
      <c r="M28" s="29"/>
      <c r="N28" s="29"/>
      <c r="O28" s="29"/>
      <c r="P28" s="29"/>
      <c r="Q28" s="29"/>
      <c r="R28" s="29"/>
      <c r="S28" s="29"/>
      <c r="T28" s="22"/>
      <c r="W28" s="56"/>
      <c r="X28" s="57"/>
    </row>
    <row r="29" spans="2:24" ht="15" customHeight="1" x14ac:dyDescent="0.35">
      <c r="B29" s="79"/>
      <c r="F29" s="29"/>
      <c r="G29" s="29"/>
      <c r="H29" s="29"/>
      <c r="I29" s="29"/>
      <c r="J29" s="29"/>
      <c r="K29" s="29"/>
      <c r="L29" s="29"/>
      <c r="M29" s="29"/>
      <c r="N29" s="29"/>
      <c r="O29" s="29"/>
      <c r="P29" s="29"/>
      <c r="Q29" s="29"/>
      <c r="R29" s="29"/>
      <c r="S29" s="29"/>
      <c r="T29" s="22"/>
      <c r="W29" s="56"/>
      <c r="X29" s="57"/>
    </row>
    <row r="30" spans="2:24" ht="15" customHeight="1" x14ac:dyDescent="0.35">
      <c r="B30" s="79"/>
      <c r="F30" s="29"/>
      <c r="G30" s="29"/>
      <c r="H30" s="29"/>
      <c r="I30" s="29"/>
      <c r="J30" s="29"/>
      <c r="K30" s="29"/>
      <c r="L30" s="29"/>
      <c r="M30" s="29"/>
      <c r="N30" s="29"/>
      <c r="O30" s="29"/>
      <c r="P30" s="29"/>
      <c r="Q30" s="29"/>
      <c r="R30" s="29"/>
      <c r="S30" s="29"/>
      <c r="T30" s="22"/>
      <c r="W30" s="56"/>
      <c r="X30" s="57"/>
    </row>
    <row r="31" spans="2:24" ht="15" customHeight="1" x14ac:dyDescent="0.35">
      <c r="B31" s="79"/>
      <c r="F31" s="29"/>
      <c r="G31" s="29"/>
      <c r="H31" s="29"/>
      <c r="I31" s="29"/>
      <c r="J31" s="29"/>
      <c r="K31" s="29"/>
      <c r="L31" s="29"/>
      <c r="M31" s="29"/>
      <c r="N31" s="29"/>
      <c r="O31" s="29"/>
      <c r="P31" s="29"/>
      <c r="Q31" s="29"/>
      <c r="R31" s="29"/>
      <c r="S31" s="29"/>
      <c r="T31" s="22"/>
      <c r="W31" s="56"/>
      <c r="X31" s="57"/>
    </row>
    <row r="32" spans="2:24" ht="15" customHeight="1" x14ac:dyDescent="0.35">
      <c r="B32" s="79"/>
      <c r="F32" s="29"/>
      <c r="G32" s="29"/>
      <c r="H32" s="29"/>
      <c r="I32" s="29"/>
      <c r="J32" s="29"/>
      <c r="K32" s="29"/>
      <c r="L32" s="29"/>
      <c r="M32" s="29"/>
      <c r="N32" s="29"/>
      <c r="O32" s="29"/>
      <c r="P32" s="29"/>
      <c r="Q32" s="29"/>
      <c r="R32" s="29"/>
      <c r="S32" s="29"/>
      <c r="T32" s="22"/>
      <c r="W32" s="56"/>
      <c r="X32" s="57"/>
    </row>
    <row r="33" spans="2:24" ht="15" customHeight="1" x14ac:dyDescent="0.35">
      <c r="B33" s="79"/>
      <c r="F33" s="29"/>
      <c r="G33" s="29"/>
      <c r="H33" s="29"/>
      <c r="I33" s="29"/>
      <c r="J33" s="29"/>
      <c r="K33" s="29"/>
      <c r="L33" s="29"/>
      <c r="M33" s="29"/>
      <c r="N33" s="29"/>
      <c r="O33" s="29"/>
      <c r="P33" s="29"/>
      <c r="Q33" s="29"/>
      <c r="R33" s="29"/>
      <c r="S33" s="29"/>
      <c r="T33" s="22"/>
      <c r="W33" s="56"/>
      <c r="X33" s="57"/>
    </row>
    <row r="34" spans="2:24" ht="15" customHeight="1" x14ac:dyDescent="0.35">
      <c r="B34" s="79"/>
      <c r="F34" s="29"/>
      <c r="G34" s="29"/>
      <c r="H34" s="29"/>
      <c r="I34" s="29"/>
      <c r="J34" s="29"/>
      <c r="K34" s="29"/>
      <c r="L34" s="29"/>
      <c r="M34" s="29"/>
      <c r="N34" s="29"/>
      <c r="O34" s="29"/>
      <c r="P34" s="29"/>
      <c r="Q34" s="29"/>
      <c r="R34" s="29"/>
      <c r="S34" s="29"/>
      <c r="T34" s="22"/>
      <c r="W34" s="56"/>
      <c r="X34" s="57"/>
    </row>
    <row r="35" spans="2:24" ht="15" customHeight="1" x14ac:dyDescent="0.35">
      <c r="B35" s="79"/>
      <c r="F35" s="29"/>
      <c r="G35" s="29"/>
      <c r="H35" s="29"/>
      <c r="I35" s="29"/>
      <c r="J35" s="29"/>
      <c r="K35" s="29"/>
      <c r="L35" s="29"/>
      <c r="M35" s="29"/>
      <c r="N35" s="29"/>
      <c r="O35" s="29"/>
      <c r="P35" s="29"/>
      <c r="Q35" s="29"/>
      <c r="R35" s="29"/>
      <c r="S35" s="29"/>
      <c r="T35" s="22"/>
      <c r="W35" s="56"/>
      <c r="X35" s="57"/>
    </row>
    <row r="36" spans="2:24" ht="15" customHeight="1" x14ac:dyDescent="0.35">
      <c r="B36" s="79"/>
      <c r="F36" s="29"/>
      <c r="G36" s="29"/>
      <c r="H36" s="29"/>
      <c r="I36" s="29"/>
      <c r="J36" s="29"/>
      <c r="K36" s="29"/>
      <c r="L36" s="29"/>
      <c r="M36" s="29"/>
      <c r="N36" s="29"/>
      <c r="O36" s="29"/>
      <c r="P36" s="29"/>
      <c r="Q36" s="29"/>
      <c r="R36" s="29"/>
      <c r="S36" s="29"/>
      <c r="T36" s="22"/>
      <c r="W36" s="56"/>
      <c r="X36" s="57"/>
    </row>
    <row r="37" spans="2:24" ht="15" customHeight="1" thickBot="1" x14ac:dyDescent="0.4">
      <c r="B37" s="80"/>
      <c r="C37" s="81"/>
      <c r="D37" s="81"/>
      <c r="E37" s="81"/>
      <c r="F37" s="81"/>
      <c r="G37" s="81"/>
      <c r="H37" s="81"/>
      <c r="I37" s="81"/>
      <c r="J37" s="81"/>
      <c r="K37" s="81"/>
      <c r="L37" s="81"/>
      <c r="M37" s="81"/>
      <c r="N37" s="81"/>
      <c r="O37" s="81"/>
      <c r="P37" s="81"/>
      <c r="Q37" s="81"/>
      <c r="R37" s="81"/>
      <c r="S37" s="81"/>
      <c r="T37" s="23"/>
    </row>
    <row r="38" spans="2:24" ht="15" customHeight="1" thickBot="1" x14ac:dyDescent="0.4"/>
    <row r="39" spans="2:24" ht="15" customHeight="1" x14ac:dyDescent="0.35">
      <c r="B39" s="303" t="s">
        <v>179</v>
      </c>
      <c r="C39" s="304"/>
      <c r="D39" s="304"/>
      <c r="E39" s="304"/>
      <c r="F39" s="304"/>
      <c r="G39" s="304"/>
      <c r="H39" s="304"/>
      <c r="I39" s="304"/>
      <c r="J39" s="304"/>
      <c r="K39" s="304"/>
      <c r="L39" s="304"/>
      <c r="M39" s="304"/>
      <c r="N39" s="304"/>
      <c r="O39" s="304"/>
      <c r="P39" s="304"/>
      <c r="Q39" s="304"/>
      <c r="R39" s="305"/>
    </row>
    <row r="40" spans="2:24" ht="15" customHeight="1" x14ac:dyDescent="0.35">
      <c r="B40" s="306"/>
      <c r="C40" s="307"/>
      <c r="D40" s="307"/>
      <c r="E40" s="307"/>
      <c r="F40" s="307"/>
      <c r="G40" s="307"/>
      <c r="H40" s="307"/>
      <c r="I40" s="307"/>
      <c r="J40" s="307"/>
      <c r="K40" s="307"/>
      <c r="L40" s="307"/>
      <c r="M40" s="307"/>
      <c r="N40" s="307"/>
      <c r="O40" s="307"/>
      <c r="P40" s="307"/>
      <c r="Q40" s="307"/>
      <c r="R40" s="308"/>
    </row>
    <row r="41" spans="2:24" ht="15" customHeight="1" x14ac:dyDescent="0.35">
      <c r="B41" s="306"/>
      <c r="C41" s="307"/>
      <c r="D41" s="307"/>
      <c r="E41" s="307"/>
      <c r="F41" s="307"/>
      <c r="G41" s="307"/>
      <c r="H41" s="307"/>
      <c r="I41" s="307"/>
      <c r="J41" s="307"/>
      <c r="K41" s="307"/>
      <c r="L41" s="307"/>
      <c r="M41" s="307"/>
      <c r="N41" s="307"/>
      <c r="O41" s="307"/>
      <c r="P41" s="307"/>
      <c r="Q41" s="307"/>
      <c r="R41" s="308"/>
    </row>
    <row r="42" spans="2:24" ht="15" customHeight="1" x14ac:dyDescent="0.35">
      <c r="B42" s="306"/>
      <c r="C42" s="307"/>
      <c r="D42" s="307"/>
      <c r="E42" s="307"/>
      <c r="F42" s="307"/>
      <c r="G42" s="307"/>
      <c r="H42" s="307"/>
      <c r="I42" s="307"/>
      <c r="J42" s="307"/>
      <c r="K42" s="307"/>
      <c r="L42" s="307"/>
      <c r="M42" s="307"/>
      <c r="N42" s="307"/>
      <c r="O42" s="307"/>
      <c r="P42" s="307"/>
      <c r="Q42" s="307"/>
      <c r="R42" s="308"/>
    </row>
    <row r="43" spans="2:24" ht="15" customHeight="1" x14ac:dyDescent="0.35">
      <c r="B43" s="306"/>
      <c r="C43" s="307"/>
      <c r="D43" s="307"/>
      <c r="E43" s="307"/>
      <c r="F43" s="307"/>
      <c r="G43" s="307"/>
      <c r="H43" s="307"/>
      <c r="I43" s="307"/>
      <c r="J43" s="307"/>
      <c r="K43" s="307"/>
      <c r="L43" s="307"/>
      <c r="M43" s="307"/>
      <c r="N43" s="307"/>
      <c r="O43" s="307"/>
      <c r="P43" s="307"/>
      <c r="Q43" s="307"/>
      <c r="R43" s="308"/>
    </row>
    <row r="44" spans="2:24" ht="15" customHeight="1" x14ac:dyDescent="0.35">
      <c r="B44" s="306"/>
      <c r="C44" s="307"/>
      <c r="D44" s="307"/>
      <c r="E44" s="307"/>
      <c r="F44" s="307"/>
      <c r="G44" s="307"/>
      <c r="H44" s="307"/>
      <c r="I44" s="307"/>
      <c r="J44" s="307"/>
      <c r="K44" s="307"/>
      <c r="L44" s="307"/>
      <c r="M44" s="307"/>
      <c r="N44" s="307"/>
      <c r="O44" s="307"/>
      <c r="P44" s="307"/>
      <c r="Q44" s="307"/>
      <c r="R44" s="308"/>
    </row>
    <row r="45" spans="2:24" ht="26.25" customHeight="1" thickBot="1" x14ac:dyDescent="0.4">
      <c r="B45" s="309"/>
      <c r="C45" s="310"/>
      <c r="D45" s="310"/>
      <c r="E45" s="310"/>
      <c r="F45" s="310"/>
      <c r="G45" s="310"/>
      <c r="H45" s="310"/>
      <c r="I45" s="310"/>
      <c r="J45" s="310"/>
      <c r="K45" s="310"/>
      <c r="L45" s="310"/>
      <c r="M45" s="310"/>
      <c r="N45" s="310"/>
      <c r="O45" s="310"/>
      <c r="P45" s="310"/>
      <c r="Q45" s="310"/>
      <c r="R45" s="311"/>
    </row>
    <row r="46" spans="2:24" ht="15" customHeight="1" x14ac:dyDescent="0.35"/>
    <row r="47" spans="2:24" ht="15" customHeight="1" x14ac:dyDescent="0.35"/>
    <row r="48" spans="2:24" ht="15" customHeight="1" x14ac:dyDescent="0.35"/>
    <row r="49" ht="15" customHeight="1" x14ac:dyDescent="0.35"/>
    <row r="50" ht="15" customHeight="1" x14ac:dyDescent="0.35"/>
    <row r="51" ht="15" customHeight="1" x14ac:dyDescent="0.35"/>
    <row r="52" ht="15" customHeight="1" x14ac:dyDescent="0.35"/>
    <row r="53" ht="15" customHeight="1" x14ac:dyDescent="0.35"/>
    <row r="54" ht="15" customHeight="1" x14ac:dyDescent="0.35"/>
    <row r="55" ht="15" customHeight="1" x14ac:dyDescent="0.35"/>
    <row r="56" ht="15" customHeight="1" x14ac:dyDescent="0.35"/>
    <row r="57" ht="15" customHeight="1" x14ac:dyDescent="0.35"/>
    <row r="58" ht="15" customHeight="1" x14ac:dyDescent="0.35"/>
    <row r="59" ht="15" customHeight="1" x14ac:dyDescent="0.35"/>
    <row r="60" ht="15" customHeight="1" x14ac:dyDescent="0.35"/>
    <row r="61" ht="15" customHeight="1" x14ac:dyDescent="0.35"/>
    <row r="62" ht="15" customHeight="1" x14ac:dyDescent="0.35"/>
    <row r="63" ht="15" customHeight="1" x14ac:dyDescent="0.35"/>
    <row r="64" ht="15" customHeight="1" x14ac:dyDescent="0.35"/>
  </sheetData>
  <sortState ref="W8:X21">
    <sortCondition descending="1" ref="X8:X21"/>
  </sortState>
  <mergeCells count="3">
    <mergeCell ref="C3:S3"/>
    <mergeCell ref="D5:E5"/>
    <mergeCell ref="B39:R45"/>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18"/>
  <dimension ref="A1:X64"/>
  <sheetViews>
    <sheetView showGridLines="0" zoomScale="77" zoomScaleNormal="75" workbookViewId="0"/>
  </sheetViews>
  <sheetFormatPr defaultColWidth="9.1796875" defaultRowHeight="14.5" x14ac:dyDescent="0.35"/>
  <cols>
    <col min="1" max="1" width="2.81640625" style="19" customWidth="1"/>
    <col min="2" max="2" width="3.81640625" style="19" customWidth="1"/>
    <col min="3" max="3" width="58.7265625" style="19" bestFit="1" customWidth="1"/>
    <col min="4" max="4" width="28.26953125" style="19" customWidth="1"/>
    <col min="5" max="5" width="10.453125" style="19" bestFit="1" customWidth="1"/>
    <col min="6" max="18" width="9.1796875" style="19"/>
    <col min="19" max="19" width="9.81640625" style="19" customWidth="1"/>
    <col min="20" max="16384" width="9.1796875" style="19"/>
  </cols>
  <sheetData>
    <row r="1" spans="1:24" ht="15.75" customHeight="1" thickBot="1" x14ac:dyDescent="0.4">
      <c r="A1" s="3"/>
    </row>
    <row r="2" spans="1:24" ht="15" customHeight="1" x14ac:dyDescent="0.35">
      <c r="B2" s="77"/>
      <c r="C2" s="78"/>
      <c r="D2" s="78"/>
      <c r="E2" s="78"/>
      <c r="F2" s="78"/>
      <c r="G2" s="78"/>
      <c r="H2" s="78"/>
      <c r="I2" s="78"/>
      <c r="J2" s="78"/>
      <c r="K2" s="78"/>
      <c r="L2" s="78"/>
      <c r="M2" s="78"/>
      <c r="N2" s="78"/>
      <c r="O2" s="78"/>
      <c r="P2" s="78"/>
      <c r="Q2" s="78"/>
      <c r="R2" s="78"/>
      <c r="S2" s="78"/>
      <c r="T2" s="21"/>
    </row>
    <row r="3" spans="1:24" ht="20.25" customHeight="1" x14ac:dyDescent="0.35">
      <c r="B3" s="79"/>
      <c r="C3" s="312" t="s">
        <v>153</v>
      </c>
      <c r="D3" s="313"/>
      <c r="E3" s="313"/>
      <c r="F3" s="313"/>
      <c r="G3" s="313"/>
      <c r="H3" s="313"/>
      <c r="I3" s="313"/>
      <c r="J3" s="313"/>
      <c r="K3" s="313"/>
      <c r="L3" s="313"/>
      <c r="M3" s="313"/>
      <c r="N3" s="313"/>
      <c r="O3" s="313"/>
      <c r="P3" s="313"/>
      <c r="Q3" s="313"/>
      <c r="R3" s="313"/>
      <c r="S3" s="313"/>
      <c r="T3" s="22"/>
    </row>
    <row r="4" spans="1:24" ht="15.75" customHeight="1" x14ac:dyDescent="0.35">
      <c r="B4" s="79"/>
      <c r="C4" s="67" t="s">
        <v>434</v>
      </c>
      <c r="D4" s="29"/>
      <c r="E4" s="29"/>
      <c r="F4" s="29"/>
      <c r="G4" s="29"/>
      <c r="H4" s="29"/>
      <c r="I4" s="29"/>
      <c r="J4" s="29"/>
      <c r="K4" s="29"/>
      <c r="L4" s="29"/>
      <c r="M4" s="29"/>
      <c r="N4" s="29"/>
      <c r="O4" s="29"/>
      <c r="P4" s="29"/>
      <c r="Q4" s="29"/>
      <c r="R4" s="29"/>
      <c r="S4" s="29"/>
      <c r="T4" s="22"/>
    </row>
    <row r="5" spans="1:24" ht="18" customHeight="1" x14ac:dyDescent="0.35">
      <c r="B5" s="79"/>
      <c r="C5" s="211" t="s">
        <v>435</v>
      </c>
      <c r="D5" s="316" t="s">
        <v>419</v>
      </c>
      <c r="E5" s="316"/>
      <c r="F5" s="29"/>
      <c r="G5" s="29"/>
      <c r="H5" s="29"/>
      <c r="I5" s="29"/>
      <c r="J5" s="29"/>
      <c r="K5" s="29"/>
      <c r="L5" s="29"/>
      <c r="M5" s="29"/>
      <c r="N5" s="29"/>
      <c r="O5" s="29"/>
      <c r="P5" s="29"/>
      <c r="Q5" s="29"/>
      <c r="R5" s="29"/>
      <c r="S5" s="29"/>
      <c r="T5" s="22"/>
    </row>
    <row r="6" spans="1:24" ht="15" customHeight="1" x14ac:dyDescent="0.35">
      <c r="B6" s="79"/>
      <c r="C6" s="29"/>
      <c r="D6" s="29"/>
      <c r="E6" s="29"/>
      <c r="F6" s="29"/>
      <c r="G6" s="29"/>
      <c r="H6" s="29"/>
      <c r="I6" s="29"/>
      <c r="J6" s="29"/>
      <c r="K6" s="29"/>
      <c r="L6" s="29"/>
      <c r="M6" s="29"/>
      <c r="N6" s="29"/>
      <c r="O6" s="29"/>
      <c r="P6" s="29"/>
      <c r="Q6" s="29"/>
      <c r="R6" s="29"/>
      <c r="S6" s="29"/>
      <c r="T6" s="22"/>
    </row>
    <row r="7" spans="1:24" ht="32.25" customHeight="1" x14ac:dyDescent="0.35">
      <c r="B7" s="79"/>
      <c r="C7" s="68" t="s">
        <v>0</v>
      </c>
      <c r="D7" s="69" t="s">
        <v>1</v>
      </c>
      <c r="E7" s="70" t="s">
        <v>2</v>
      </c>
      <c r="F7" s="29"/>
      <c r="G7" s="29"/>
      <c r="H7" s="29"/>
      <c r="I7" s="29"/>
      <c r="J7" s="29"/>
      <c r="K7" s="29"/>
      <c r="L7" s="29"/>
      <c r="M7" s="29"/>
      <c r="N7" s="29"/>
      <c r="O7" s="29"/>
      <c r="P7" s="29"/>
      <c r="Q7" s="29"/>
      <c r="R7" s="29"/>
      <c r="S7" s="29"/>
      <c r="T7" s="22"/>
      <c r="W7" s="39" t="s">
        <v>22</v>
      </c>
      <c r="X7" s="39" t="s">
        <v>2</v>
      </c>
    </row>
    <row r="8" spans="1:24" ht="15" customHeight="1" x14ac:dyDescent="0.35">
      <c r="B8" s="79"/>
      <c r="C8" s="184" t="s">
        <v>29</v>
      </c>
      <c r="D8" s="185" t="s">
        <v>3</v>
      </c>
      <c r="E8" s="186">
        <v>0.132967</v>
      </c>
      <c r="F8" s="29"/>
      <c r="G8" s="29"/>
      <c r="H8" s="29"/>
      <c r="I8" s="29"/>
      <c r="J8" s="29"/>
      <c r="K8" s="29"/>
      <c r="L8" s="29"/>
      <c r="M8" s="29"/>
      <c r="N8" s="29"/>
      <c r="O8" s="29"/>
      <c r="P8" s="29"/>
      <c r="Q8" s="29"/>
      <c r="R8" s="29"/>
      <c r="S8" s="29"/>
      <c r="T8" s="22"/>
      <c r="W8" t="s">
        <v>3</v>
      </c>
      <c r="X8" s="172">
        <v>0.31717600000000001</v>
      </c>
    </row>
    <row r="9" spans="1:24" ht="15.75" customHeight="1" x14ac:dyDescent="0.35">
      <c r="B9" s="79"/>
      <c r="C9" s="180" t="s">
        <v>32</v>
      </c>
      <c r="D9" s="187" t="s">
        <v>3</v>
      </c>
      <c r="E9" s="188">
        <v>9.1458999999999999E-2</v>
      </c>
      <c r="F9" s="29"/>
      <c r="G9" s="29"/>
      <c r="H9" s="29"/>
      <c r="I9" s="29"/>
      <c r="J9" s="29"/>
      <c r="K9" s="29"/>
      <c r="L9" s="29"/>
      <c r="M9" s="29"/>
      <c r="N9" s="29"/>
      <c r="O9" s="29"/>
      <c r="P9" s="29"/>
      <c r="Q9" s="29"/>
      <c r="R9" s="29"/>
      <c r="S9" s="29"/>
      <c r="T9" s="22"/>
      <c r="W9" t="s">
        <v>105</v>
      </c>
      <c r="X9" s="172">
        <v>0.11104099999999999</v>
      </c>
    </row>
    <row r="10" spans="1:24" ht="15.5" x14ac:dyDescent="0.35">
      <c r="B10" s="79"/>
      <c r="C10" s="180" t="s">
        <v>31</v>
      </c>
      <c r="D10" s="187" t="s">
        <v>6</v>
      </c>
      <c r="E10" s="188">
        <v>8.6438000000000001E-2</v>
      </c>
      <c r="F10" s="29"/>
      <c r="G10" s="29"/>
      <c r="H10" s="29"/>
      <c r="I10" s="29"/>
      <c r="J10" s="29"/>
      <c r="K10" s="29"/>
      <c r="L10" s="29"/>
      <c r="M10" s="29"/>
      <c r="N10" s="29"/>
      <c r="O10" s="29"/>
      <c r="P10" s="29"/>
      <c r="Q10" s="29"/>
      <c r="R10" s="29"/>
      <c r="S10" s="29"/>
      <c r="T10" s="22"/>
      <c r="W10" t="s">
        <v>6</v>
      </c>
      <c r="X10" s="172">
        <v>8.6438000000000001E-2</v>
      </c>
    </row>
    <row r="11" spans="1:24" ht="15.75" customHeight="1" x14ac:dyDescent="0.35">
      <c r="B11" s="79"/>
      <c r="C11" s="180" t="s">
        <v>28</v>
      </c>
      <c r="D11" s="187" t="s">
        <v>105</v>
      </c>
      <c r="E11" s="188">
        <v>4.9031999999999999E-2</v>
      </c>
      <c r="F11" s="29"/>
      <c r="G11" s="29"/>
      <c r="H11" s="29"/>
      <c r="I11" s="29"/>
      <c r="J11" s="29"/>
      <c r="K11" s="29"/>
      <c r="L11" s="29"/>
      <c r="M11" s="29"/>
      <c r="N11" s="29"/>
      <c r="O11" s="29"/>
      <c r="P11" s="29"/>
      <c r="Q11" s="29"/>
      <c r="R11" s="29"/>
      <c r="S11" s="29"/>
      <c r="T11" s="22"/>
      <c r="W11" t="s">
        <v>110</v>
      </c>
      <c r="X11" s="172">
        <v>6.9939000000000001E-2</v>
      </c>
    </row>
    <row r="12" spans="1:24" ht="15" customHeight="1" x14ac:dyDescent="0.35">
      <c r="B12" s="79"/>
      <c r="C12" s="180" t="s">
        <v>70</v>
      </c>
      <c r="D12" s="187" t="s">
        <v>12</v>
      </c>
      <c r="E12" s="188">
        <v>4.5421999999999997E-2</v>
      </c>
      <c r="F12" s="29"/>
      <c r="G12" s="29"/>
      <c r="H12" s="29"/>
      <c r="I12" s="29"/>
      <c r="J12" s="29"/>
      <c r="K12" s="29"/>
      <c r="L12" s="29"/>
      <c r="M12" s="29"/>
      <c r="N12" s="29"/>
      <c r="O12" s="29"/>
      <c r="P12" s="29"/>
      <c r="Q12" s="29"/>
      <c r="R12" s="29"/>
      <c r="S12" s="29"/>
      <c r="T12" s="22"/>
      <c r="W12" t="s">
        <v>115</v>
      </c>
      <c r="X12" s="172">
        <v>5.4866999999999999E-2</v>
      </c>
    </row>
    <row r="13" spans="1:24" ht="15" customHeight="1" x14ac:dyDescent="0.35">
      <c r="B13" s="79"/>
      <c r="C13" s="180" t="s">
        <v>30</v>
      </c>
      <c r="D13" s="187" t="s">
        <v>115</v>
      </c>
      <c r="E13" s="188">
        <v>3.5990000000000001E-2</v>
      </c>
      <c r="F13" s="29"/>
      <c r="G13" s="29"/>
      <c r="H13" s="29"/>
      <c r="I13" s="29"/>
      <c r="J13" s="29"/>
      <c r="K13" s="29"/>
      <c r="L13" s="29"/>
      <c r="M13" s="29"/>
      <c r="N13" s="29"/>
      <c r="O13" s="29"/>
      <c r="P13" s="29"/>
      <c r="Q13" s="29"/>
      <c r="R13" s="29"/>
      <c r="S13" s="29"/>
      <c r="T13" s="22"/>
      <c r="W13" t="s">
        <v>4</v>
      </c>
      <c r="X13" s="172">
        <v>4.5661999999999994E-2</v>
      </c>
    </row>
    <row r="14" spans="1:24" ht="15" customHeight="1" x14ac:dyDescent="0.35">
      <c r="B14" s="79"/>
      <c r="C14" s="180" t="s">
        <v>34</v>
      </c>
      <c r="D14" s="187" t="s">
        <v>23</v>
      </c>
      <c r="E14" s="188">
        <v>3.5614E-2</v>
      </c>
      <c r="F14" s="29"/>
      <c r="G14" s="29"/>
      <c r="H14" s="29"/>
      <c r="I14" s="29"/>
      <c r="J14" s="29"/>
      <c r="K14" s="29"/>
      <c r="L14" s="29"/>
      <c r="M14" s="29"/>
      <c r="N14" s="29"/>
      <c r="O14" s="29"/>
      <c r="P14" s="29"/>
      <c r="Q14" s="29"/>
      <c r="R14" s="29"/>
      <c r="S14" s="29"/>
      <c r="T14" s="22"/>
      <c r="W14" t="s">
        <v>12</v>
      </c>
      <c r="X14" s="172">
        <v>4.5421999999999997E-2</v>
      </c>
    </row>
    <row r="15" spans="1:24" ht="15" customHeight="1" x14ac:dyDescent="0.35">
      <c r="B15" s="79"/>
      <c r="C15" s="180" t="s">
        <v>33</v>
      </c>
      <c r="D15" s="187" t="s">
        <v>105</v>
      </c>
      <c r="E15" s="188">
        <v>3.2031999999999998E-2</v>
      </c>
      <c r="F15" s="29"/>
      <c r="G15" s="29"/>
      <c r="H15" s="29"/>
      <c r="I15" s="29"/>
      <c r="J15" s="29"/>
      <c r="K15" s="29"/>
      <c r="L15" s="29"/>
      <c r="M15" s="29"/>
      <c r="N15" s="29"/>
      <c r="O15" s="29"/>
      <c r="P15" s="29"/>
      <c r="Q15" s="29"/>
      <c r="R15" s="29"/>
      <c r="S15" s="29"/>
      <c r="T15" s="22"/>
      <c r="W15" t="s">
        <v>23</v>
      </c>
      <c r="X15" s="172">
        <v>3.5614E-2</v>
      </c>
    </row>
    <row r="16" spans="1:24" ht="15" customHeight="1" x14ac:dyDescent="0.35">
      <c r="B16" s="79"/>
      <c r="C16" s="180" t="s">
        <v>36</v>
      </c>
      <c r="D16" s="187" t="s">
        <v>3</v>
      </c>
      <c r="E16" s="188">
        <v>3.0745999999999999E-2</v>
      </c>
      <c r="F16" s="29"/>
      <c r="G16" s="29"/>
      <c r="H16" s="29"/>
      <c r="I16" s="29"/>
      <c r="J16" s="29"/>
      <c r="K16" s="29"/>
      <c r="L16" s="29"/>
      <c r="M16" s="29"/>
      <c r="N16" s="29"/>
      <c r="O16" s="29"/>
      <c r="P16" s="29"/>
      <c r="Q16" s="29"/>
      <c r="R16" s="29"/>
      <c r="S16" s="29"/>
      <c r="T16" s="22"/>
      <c r="W16" t="s">
        <v>109</v>
      </c>
      <c r="X16" s="172">
        <v>3.2414999999999999E-2</v>
      </c>
    </row>
    <row r="17" spans="2:24" ht="15" customHeight="1" x14ac:dyDescent="0.35">
      <c r="B17" s="79"/>
      <c r="C17" s="180" t="s">
        <v>35</v>
      </c>
      <c r="D17" s="187" t="s">
        <v>3</v>
      </c>
      <c r="E17" s="188">
        <v>2.9478000000000001E-2</v>
      </c>
      <c r="F17" s="29"/>
      <c r="G17" s="29"/>
      <c r="H17" s="29"/>
      <c r="I17" s="29"/>
      <c r="J17" s="29"/>
      <c r="K17" s="29"/>
      <c r="L17" s="29"/>
      <c r="M17" s="29"/>
      <c r="N17" s="29"/>
      <c r="O17" s="29"/>
      <c r="P17" s="29"/>
      <c r="Q17" s="29"/>
      <c r="R17" s="29"/>
      <c r="S17" s="29"/>
      <c r="T17" s="22"/>
      <c r="W17" t="s">
        <v>10</v>
      </c>
      <c r="X17" s="172">
        <v>2.7917000000000001E-2</v>
      </c>
    </row>
    <row r="18" spans="2:24" ht="15" customHeight="1" x14ac:dyDescent="0.35">
      <c r="B18" s="79"/>
      <c r="C18" s="180" t="s">
        <v>77</v>
      </c>
      <c r="D18" s="187" t="s">
        <v>3</v>
      </c>
      <c r="E18" s="188">
        <v>2.7512999999999999E-2</v>
      </c>
      <c r="F18" s="29"/>
      <c r="G18" s="29"/>
      <c r="H18" s="29"/>
      <c r="I18" s="29"/>
      <c r="J18" s="29"/>
      <c r="K18" s="29"/>
      <c r="L18" s="29"/>
      <c r="M18" s="29"/>
      <c r="N18" s="29"/>
      <c r="O18" s="29"/>
      <c r="P18" s="29"/>
      <c r="Q18" s="29"/>
      <c r="R18" s="29"/>
      <c r="S18" s="29"/>
      <c r="T18" s="22"/>
      <c r="W18" t="s">
        <v>26</v>
      </c>
      <c r="X18" s="172">
        <v>2.5114000000000001E-2</v>
      </c>
    </row>
    <row r="19" spans="2:24" ht="15" customHeight="1" x14ac:dyDescent="0.35">
      <c r="B19" s="79"/>
      <c r="C19" s="180" t="s">
        <v>118</v>
      </c>
      <c r="D19" s="187" t="s">
        <v>110</v>
      </c>
      <c r="E19" s="188">
        <v>2.3564000000000002E-2</v>
      </c>
      <c r="F19" s="29"/>
      <c r="G19" s="29"/>
      <c r="H19" s="29"/>
      <c r="I19" s="29"/>
      <c r="J19" s="29"/>
      <c r="K19" s="29"/>
      <c r="L19" s="29"/>
      <c r="M19" s="29"/>
      <c r="N19" s="29"/>
      <c r="O19" s="29"/>
      <c r="P19" s="29"/>
      <c r="Q19" s="29"/>
      <c r="R19" s="29"/>
      <c r="S19" s="29"/>
      <c r="T19" s="22"/>
      <c r="W19" t="s">
        <v>16</v>
      </c>
      <c r="X19" s="172">
        <v>2.2623000000000001E-2</v>
      </c>
    </row>
    <row r="20" spans="2:24" ht="15" customHeight="1" x14ac:dyDescent="0.35">
      <c r="B20" s="79"/>
      <c r="C20" s="180" t="s">
        <v>79</v>
      </c>
      <c r="D20" s="187" t="s">
        <v>4</v>
      </c>
      <c r="E20" s="188">
        <v>2.0506E-2</v>
      </c>
      <c r="F20" s="29"/>
      <c r="G20" s="29"/>
      <c r="H20" s="29"/>
      <c r="I20" s="29"/>
      <c r="J20" s="29"/>
      <c r="K20" s="29"/>
      <c r="L20" s="29"/>
      <c r="M20" s="29"/>
      <c r="N20" s="29"/>
      <c r="O20" s="29"/>
      <c r="P20" s="29"/>
      <c r="Q20" s="29"/>
      <c r="R20" s="29"/>
      <c r="S20" s="29"/>
      <c r="T20" s="22"/>
      <c r="W20" t="s">
        <v>81</v>
      </c>
      <c r="X20" s="172">
        <v>2.1819999999999999E-2</v>
      </c>
    </row>
    <row r="21" spans="2:24" ht="15" customHeight="1" x14ac:dyDescent="0.35">
      <c r="B21" s="79"/>
      <c r="C21" s="180" t="s">
        <v>37</v>
      </c>
      <c r="D21" s="187" t="s">
        <v>115</v>
      </c>
      <c r="E21" s="188">
        <v>1.8877000000000001E-2</v>
      </c>
      <c r="F21" s="29"/>
      <c r="G21" s="29"/>
      <c r="H21" s="29"/>
      <c r="I21" s="29"/>
      <c r="J21" s="29"/>
      <c r="K21" s="29"/>
      <c r="L21" s="29"/>
      <c r="M21" s="29"/>
      <c r="N21" s="29"/>
      <c r="O21" s="29"/>
      <c r="P21" s="29"/>
      <c r="Q21" s="29"/>
      <c r="R21" s="29"/>
      <c r="S21" s="29"/>
      <c r="T21" s="22"/>
      <c r="W21" t="s">
        <v>11</v>
      </c>
      <c r="X21" s="172">
        <v>1.9389E-2</v>
      </c>
    </row>
    <row r="22" spans="2:24" ht="15" customHeight="1" x14ac:dyDescent="0.35">
      <c r="B22" s="79"/>
      <c r="C22" s="180" t="s">
        <v>245</v>
      </c>
      <c r="D22" s="187" t="s">
        <v>109</v>
      </c>
      <c r="E22" s="188">
        <v>1.7937000000000002E-2</v>
      </c>
      <c r="F22" s="29"/>
      <c r="G22" s="29"/>
      <c r="H22" s="29"/>
      <c r="I22" s="29"/>
      <c r="J22" s="29"/>
      <c r="K22" s="29"/>
      <c r="L22" s="29"/>
      <c r="M22" s="29"/>
      <c r="N22" s="29"/>
      <c r="O22" s="29"/>
      <c r="P22" s="29"/>
      <c r="Q22" s="29"/>
      <c r="R22" s="29"/>
      <c r="S22" s="29"/>
      <c r="T22" s="22"/>
      <c r="W22" t="s">
        <v>84</v>
      </c>
      <c r="X22" s="172">
        <v>1.4412000000000001E-2</v>
      </c>
    </row>
    <row r="23" spans="2:24" ht="15" customHeight="1" x14ac:dyDescent="0.35">
      <c r="B23" s="79"/>
      <c r="C23" s="71"/>
      <c r="D23" s="71"/>
      <c r="E23" s="72"/>
      <c r="F23" s="29"/>
      <c r="G23" s="29"/>
      <c r="H23" s="29"/>
      <c r="I23" s="29"/>
      <c r="J23" s="29"/>
      <c r="K23" s="29"/>
      <c r="L23" s="29"/>
      <c r="M23" s="29"/>
      <c r="N23" s="29"/>
      <c r="O23" s="29"/>
      <c r="P23" s="29"/>
      <c r="Q23" s="29"/>
      <c r="R23" s="29"/>
      <c r="S23" s="29"/>
      <c r="T23" s="22"/>
      <c r="W23" t="s">
        <v>85</v>
      </c>
      <c r="X23" s="172">
        <v>1.0214000000000001E-2</v>
      </c>
    </row>
    <row r="24" spans="2:24" ht="15" customHeight="1" x14ac:dyDescent="0.35">
      <c r="B24" s="79"/>
      <c r="C24" s="73" t="s">
        <v>55</v>
      </c>
      <c r="D24" s="74"/>
      <c r="E24" s="75">
        <f>SUM(E8:E22)</f>
        <v>0.67757500000000015</v>
      </c>
      <c r="F24" s="29"/>
      <c r="G24" s="29"/>
      <c r="H24" s="29"/>
      <c r="I24" s="29"/>
      <c r="J24" s="29"/>
      <c r="K24" s="29"/>
      <c r="L24" s="29"/>
      <c r="M24" s="29"/>
      <c r="N24" s="29"/>
      <c r="O24" s="29"/>
      <c r="P24" s="29"/>
      <c r="Q24" s="29"/>
      <c r="R24" s="29"/>
      <c r="S24" s="29"/>
      <c r="T24" s="22"/>
      <c r="W24" t="s">
        <v>13</v>
      </c>
      <c r="X24" s="172">
        <v>8.6210000000000002E-3</v>
      </c>
    </row>
    <row r="25" spans="2:24" ht="15" customHeight="1" x14ac:dyDescent="0.35">
      <c r="B25" s="79"/>
      <c r="F25" s="29"/>
      <c r="G25" s="29"/>
      <c r="H25" s="29"/>
      <c r="I25" s="29"/>
      <c r="J25" s="29"/>
      <c r="K25" s="29"/>
      <c r="L25" s="29"/>
      <c r="M25" s="29"/>
      <c r="N25" s="29"/>
      <c r="O25" s="29"/>
      <c r="P25" s="29"/>
      <c r="Q25" s="29"/>
      <c r="R25" s="29"/>
      <c r="S25" s="29"/>
      <c r="T25" s="22"/>
      <c r="W25" t="s">
        <v>15</v>
      </c>
      <c r="X25" s="172">
        <v>8.2120000000000005E-3</v>
      </c>
    </row>
    <row r="26" spans="2:24" ht="15" customHeight="1" x14ac:dyDescent="0.35">
      <c r="B26" s="79"/>
      <c r="F26" s="29"/>
      <c r="G26" s="29"/>
      <c r="H26" s="29"/>
      <c r="I26" s="29"/>
      <c r="J26" s="29"/>
      <c r="K26" s="29"/>
      <c r="L26" s="29"/>
      <c r="M26" s="29"/>
      <c r="N26" s="29"/>
      <c r="O26" s="29"/>
      <c r="P26" s="29"/>
      <c r="Q26" s="29"/>
      <c r="R26" s="29"/>
      <c r="S26" s="29"/>
      <c r="T26" s="22"/>
      <c r="W26" t="s">
        <v>128</v>
      </c>
      <c r="X26" s="172">
        <v>8.1510000000000003E-3</v>
      </c>
    </row>
    <row r="27" spans="2:24" ht="15" customHeight="1" x14ac:dyDescent="0.35">
      <c r="B27" s="79"/>
      <c r="F27" s="29"/>
      <c r="G27" s="29"/>
      <c r="H27" s="29"/>
      <c r="I27" s="29"/>
      <c r="J27" s="29"/>
      <c r="K27" s="29"/>
      <c r="L27" s="29"/>
      <c r="M27" s="29"/>
      <c r="N27" s="29"/>
      <c r="O27" s="29"/>
      <c r="P27" s="29"/>
      <c r="Q27" s="29"/>
      <c r="R27" s="29"/>
      <c r="S27" s="29"/>
      <c r="T27" s="22"/>
      <c r="W27" t="s">
        <v>129</v>
      </c>
      <c r="X27" s="172">
        <v>7.9459999999999999E-3</v>
      </c>
    </row>
    <row r="28" spans="2:24" ht="15" customHeight="1" x14ac:dyDescent="0.35">
      <c r="B28" s="79"/>
      <c r="F28" s="29"/>
      <c r="G28" s="29"/>
      <c r="H28" s="29"/>
      <c r="I28" s="29"/>
      <c r="J28" s="29"/>
      <c r="K28" s="29"/>
      <c r="L28" s="29"/>
      <c r="M28" s="29"/>
      <c r="N28" s="29"/>
      <c r="O28" s="29"/>
      <c r="P28" s="29"/>
      <c r="Q28" s="29"/>
      <c r="R28" s="29"/>
      <c r="S28" s="29"/>
      <c r="T28" s="22"/>
      <c r="W28" t="s">
        <v>106</v>
      </c>
      <c r="X28" s="172">
        <v>7.7759999999999999E-3</v>
      </c>
    </row>
    <row r="29" spans="2:24" ht="15" customHeight="1" x14ac:dyDescent="0.35">
      <c r="B29" s="79"/>
      <c r="F29" s="29"/>
      <c r="G29" s="29"/>
      <c r="H29" s="29"/>
      <c r="I29" s="29"/>
      <c r="J29" s="29"/>
      <c r="K29" s="29"/>
      <c r="L29" s="29"/>
      <c r="M29" s="29"/>
      <c r="N29" s="29"/>
      <c r="O29" s="29"/>
      <c r="P29" s="29"/>
      <c r="Q29" s="29"/>
      <c r="R29" s="29"/>
      <c r="S29" s="29"/>
      <c r="T29" s="22"/>
      <c r="W29" t="s">
        <v>113</v>
      </c>
      <c r="X29" s="172">
        <v>6.894E-3</v>
      </c>
    </row>
    <row r="30" spans="2:24" ht="15" customHeight="1" x14ac:dyDescent="0.35">
      <c r="B30" s="79"/>
      <c r="F30" s="29"/>
      <c r="G30" s="29"/>
      <c r="H30" s="29"/>
      <c r="I30" s="29"/>
      <c r="J30" s="29"/>
      <c r="K30" s="29"/>
      <c r="L30" s="29"/>
      <c r="M30" s="29"/>
      <c r="N30" s="29"/>
      <c r="O30" s="29"/>
      <c r="P30" s="29"/>
      <c r="Q30" s="29"/>
      <c r="R30" s="29"/>
      <c r="S30" s="29"/>
      <c r="T30" s="22"/>
      <c r="W30" s="56" t="s">
        <v>75</v>
      </c>
      <c r="X30" s="57">
        <v>6.4000000000000003E-3</v>
      </c>
    </row>
    <row r="31" spans="2:24" ht="15" customHeight="1" x14ac:dyDescent="0.35">
      <c r="B31" s="79"/>
      <c r="F31" s="29"/>
      <c r="G31" s="29"/>
      <c r="H31" s="29"/>
      <c r="I31" s="29"/>
      <c r="J31" s="29"/>
      <c r="K31" s="29"/>
      <c r="L31" s="29"/>
      <c r="M31" s="29"/>
      <c r="N31" s="29"/>
      <c r="O31" s="29"/>
      <c r="P31" s="29"/>
      <c r="Q31" s="29"/>
      <c r="R31" s="29"/>
      <c r="S31" s="29"/>
      <c r="T31" s="22"/>
      <c r="W31" s="56" t="s">
        <v>130</v>
      </c>
      <c r="X31" s="57">
        <v>5.4400000000000004E-3</v>
      </c>
    </row>
    <row r="32" spans="2:24" ht="15" customHeight="1" x14ac:dyDescent="0.35">
      <c r="B32" s="79"/>
      <c r="F32" s="29"/>
      <c r="G32" s="29"/>
      <c r="H32" s="29"/>
      <c r="I32" s="29"/>
      <c r="J32" s="29"/>
      <c r="K32" s="29"/>
      <c r="L32" s="29"/>
      <c r="M32" s="29"/>
      <c r="N32" s="29"/>
      <c r="O32" s="29"/>
      <c r="P32" s="29"/>
      <c r="Q32" s="29"/>
      <c r="R32" s="29"/>
      <c r="S32" s="29"/>
      <c r="T32" s="22"/>
      <c r="W32" s="56"/>
      <c r="X32" s="57"/>
    </row>
    <row r="33" spans="2:24" ht="15" customHeight="1" x14ac:dyDescent="0.35">
      <c r="B33" s="79"/>
      <c r="F33" s="29"/>
      <c r="G33" s="29"/>
      <c r="H33" s="29"/>
      <c r="I33" s="29"/>
      <c r="J33" s="29"/>
      <c r="K33" s="29"/>
      <c r="L33" s="29"/>
      <c r="M33" s="29"/>
      <c r="N33" s="29"/>
      <c r="O33" s="29"/>
      <c r="P33" s="29"/>
      <c r="Q33" s="29"/>
      <c r="R33" s="29"/>
      <c r="S33" s="29"/>
      <c r="T33" s="22"/>
      <c r="W33" s="56"/>
      <c r="X33" s="57"/>
    </row>
    <row r="34" spans="2:24" ht="15" customHeight="1" x14ac:dyDescent="0.35">
      <c r="B34" s="79"/>
      <c r="F34" s="29"/>
      <c r="G34" s="29"/>
      <c r="H34" s="29"/>
      <c r="I34" s="29"/>
      <c r="J34" s="29"/>
      <c r="K34" s="29"/>
      <c r="L34" s="29"/>
      <c r="M34" s="29"/>
      <c r="N34" s="29"/>
      <c r="O34" s="29"/>
      <c r="P34" s="29"/>
      <c r="Q34" s="29"/>
      <c r="R34" s="29"/>
      <c r="S34" s="29"/>
      <c r="T34" s="22"/>
      <c r="W34" s="39"/>
      <c r="X34" s="39"/>
    </row>
    <row r="35" spans="2:24" ht="15" customHeight="1" x14ac:dyDescent="0.35">
      <c r="B35" s="79"/>
      <c r="F35" s="29"/>
      <c r="G35" s="29"/>
      <c r="H35" s="29"/>
      <c r="I35" s="29"/>
      <c r="J35" s="29"/>
      <c r="K35" s="29"/>
      <c r="L35" s="29"/>
      <c r="M35" s="29"/>
      <c r="N35" s="29"/>
      <c r="O35" s="29"/>
      <c r="P35" s="29"/>
      <c r="Q35" s="29"/>
      <c r="R35" s="29"/>
      <c r="S35" s="29"/>
      <c r="T35" s="22"/>
      <c r="W35" s="39"/>
      <c r="X35" s="39"/>
    </row>
    <row r="36" spans="2:24" ht="15" customHeight="1" x14ac:dyDescent="0.35">
      <c r="B36" s="79"/>
      <c r="F36" s="29"/>
      <c r="G36" s="29"/>
      <c r="H36" s="29"/>
      <c r="I36" s="29"/>
      <c r="J36" s="29"/>
      <c r="K36" s="29"/>
      <c r="L36" s="29"/>
      <c r="M36" s="29"/>
      <c r="N36" s="29"/>
      <c r="O36" s="29"/>
      <c r="P36" s="29"/>
      <c r="Q36" s="29"/>
      <c r="R36" s="29"/>
      <c r="S36" s="29"/>
      <c r="T36" s="22"/>
      <c r="W36" s="39"/>
      <c r="X36" s="39"/>
    </row>
    <row r="37" spans="2:24" ht="15" customHeight="1" thickBot="1" x14ac:dyDescent="0.4">
      <c r="B37" s="80"/>
      <c r="C37" s="81"/>
      <c r="D37" s="81"/>
      <c r="E37" s="81"/>
      <c r="F37" s="81"/>
      <c r="G37" s="81"/>
      <c r="H37" s="81"/>
      <c r="I37" s="81"/>
      <c r="J37" s="81"/>
      <c r="K37" s="81"/>
      <c r="L37" s="81"/>
      <c r="M37" s="81"/>
      <c r="N37" s="81"/>
      <c r="O37" s="81"/>
      <c r="P37" s="81"/>
      <c r="Q37" s="81"/>
      <c r="R37" s="81"/>
      <c r="S37" s="81"/>
      <c r="T37" s="23"/>
    </row>
    <row r="38" spans="2:24" ht="15" customHeight="1" thickBot="1" x14ac:dyDescent="0.4"/>
    <row r="39" spans="2:24" ht="15" customHeight="1" x14ac:dyDescent="0.35">
      <c r="B39" s="303" t="s">
        <v>179</v>
      </c>
      <c r="C39" s="304"/>
      <c r="D39" s="304"/>
      <c r="E39" s="304"/>
      <c r="F39" s="304"/>
      <c r="G39" s="304"/>
      <c r="H39" s="304"/>
      <c r="I39" s="304"/>
      <c r="J39" s="304"/>
      <c r="K39" s="304"/>
      <c r="L39" s="304"/>
      <c r="M39" s="304"/>
      <c r="N39" s="304"/>
      <c r="O39" s="304"/>
      <c r="P39" s="304"/>
      <c r="Q39" s="304"/>
      <c r="R39" s="305"/>
    </row>
    <row r="40" spans="2:24" ht="15" customHeight="1" x14ac:dyDescent="0.35">
      <c r="B40" s="306"/>
      <c r="C40" s="307"/>
      <c r="D40" s="307"/>
      <c r="E40" s="307"/>
      <c r="F40" s="307"/>
      <c r="G40" s="307"/>
      <c r="H40" s="307"/>
      <c r="I40" s="307"/>
      <c r="J40" s="307"/>
      <c r="K40" s="307"/>
      <c r="L40" s="307"/>
      <c r="M40" s="307"/>
      <c r="N40" s="307"/>
      <c r="O40" s="307"/>
      <c r="P40" s="307"/>
      <c r="Q40" s="307"/>
      <c r="R40" s="308"/>
    </row>
    <row r="41" spans="2:24" ht="15" customHeight="1" x14ac:dyDescent="0.35">
      <c r="B41" s="306"/>
      <c r="C41" s="307"/>
      <c r="D41" s="307"/>
      <c r="E41" s="307"/>
      <c r="F41" s="307"/>
      <c r="G41" s="307"/>
      <c r="H41" s="307"/>
      <c r="I41" s="307"/>
      <c r="J41" s="307"/>
      <c r="K41" s="307"/>
      <c r="L41" s="307"/>
      <c r="M41" s="307"/>
      <c r="N41" s="307"/>
      <c r="O41" s="307"/>
      <c r="P41" s="307"/>
      <c r="Q41" s="307"/>
      <c r="R41" s="308"/>
    </row>
    <row r="42" spans="2:24" ht="15" customHeight="1" x14ac:dyDescent="0.35">
      <c r="B42" s="306"/>
      <c r="C42" s="307"/>
      <c r="D42" s="307"/>
      <c r="E42" s="307"/>
      <c r="F42" s="307"/>
      <c r="G42" s="307"/>
      <c r="H42" s="307"/>
      <c r="I42" s="307"/>
      <c r="J42" s="307"/>
      <c r="K42" s="307"/>
      <c r="L42" s="307"/>
      <c r="M42" s="307"/>
      <c r="N42" s="307"/>
      <c r="O42" s="307"/>
      <c r="P42" s="307"/>
      <c r="Q42" s="307"/>
      <c r="R42" s="308"/>
    </row>
    <row r="43" spans="2:24" ht="15" customHeight="1" x14ac:dyDescent="0.35">
      <c r="B43" s="306"/>
      <c r="C43" s="307"/>
      <c r="D43" s="307"/>
      <c r="E43" s="307"/>
      <c r="F43" s="307"/>
      <c r="G43" s="307"/>
      <c r="H43" s="307"/>
      <c r="I43" s="307"/>
      <c r="J43" s="307"/>
      <c r="K43" s="307"/>
      <c r="L43" s="307"/>
      <c r="M43" s="307"/>
      <c r="N43" s="307"/>
      <c r="O43" s="307"/>
      <c r="P43" s="307"/>
      <c r="Q43" s="307"/>
      <c r="R43" s="308"/>
    </row>
    <row r="44" spans="2:24" ht="15" customHeight="1" x14ac:dyDescent="0.35">
      <c r="B44" s="306"/>
      <c r="C44" s="307"/>
      <c r="D44" s="307"/>
      <c r="E44" s="307"/>
      <c r="F44" s="307"/>
      <c r="G44" s="307"/>
      <c r="H44" s="307"/>
      <c r="I44" s="307"/>
      <c r="J44" s="307"/>
      <c r="K44" s="307"/>
      <c r="L44" s="307"/>
      <c r="M44" s="307"/>
      <c r="N44" s="307"/>
      <c r="O44" s="307"/>
      <c r="P44" s="307"/>
      <c r="Q44" s="307"/>
      <c r="R44" s="308"/>
    </row>
    <row r="45" spans="2:24" ht="27.75" customHeight="1" thickBot="1" x14ac:dyDescent="0.4">
      <c r="B45" s="309"/>
      <c r="C45" s="310"/>
      <c r="D45" s="310"/>
      <c r="E45" s="310"/>
      <c r="F45" s="310"/>
      <c r="G45" s="310"/>
      <c r="H45" s="310"/>
      <c r="I45" s="310"/>
      <c r="J45" s="310"/>
      <c r="K45" s="310"/>
      <c r="L45" s="310"/>
      <c r="M45" s="310"/>
      <c r="N45" s="310"/>
      <c r="O45" s="310"/>
      <c r="P45" s="310"/>
      <c r="Q45" s="310"/>
      <c r="R45" s="311"/>
    </row>
    <row r="46" spans="2:24" ht="15" customHeight="1" x14ac:dyDescent="0.35"/>
    <row r="47" spans="2:24" ht="15" customHeight="1" x14ac:dyDescent="0.35"/>
    <row r="48" spans="2:24" ht="15" customHeight="1" x14ac:dyDescent="0.35"/>
    <row r="49" ht="15" customHeight="1" x14ac:dyDescent="0.35"/>
    <row r="50" ht="15" customHeight="1" x14ac:dyDescent="0.35"/>
    <row r="51" ht="15" customHeight="1" x14ac:dyDescent="0.35"/>
    <row r="52" ht="15" customHeight="1" x14ac:dyDescent="0.35"/>
    <row r="53" ht="15" customHeight="1" x14ac:dyDescent="0.35"/>
    <row r="54" ht="15" customHeight="1" x14ac:dyDescent="0.35"/>
    <row r="55" ht="15" customHeight="1" x14ac:dyDescent="0.35"/>
    <row r="56" ht="15" customHeight="1" x14ac:dyDescent="0.35"/>
    <row r="57" ht="15" customHeight="1" x14ac:dyDescent="0.35"/>
    <row r="58" ht="15" customHeight="1" x14ac:dyDescent="0.35"/>
    <row r="59" ht="15" customHeight="1" x14ac:dyDescent="0.35"/>
    <row r="60" ht="15" customHeight="1" x14ac:dyDescent="0.35"/>
    <row r="61" ht="15" customHeight="1" x14ac:dyDescent="0.35"/>
    <row r="62" ht="15" customHeight="1" x14ac:dyDescent="0.35"/>
    <row r="63" ht="15" customHeight="1" x14ac:dyDescent="0.35"/>
    <row r="64" ht="15" customHeight="1" x14ac:dyDescent="0.35"/>
  </sheetData>
  <sortState ref="W8:X28">
    <sortCondition descending="1" ref="X8:X28"/>
  </sortState>
  <mergeCells count="3">
    <mergeCell ref="C3:S3"/>
    <mergeCell ref="D5:E5"/>
    <mergeCell ref="B39:R45"/>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86737B-54F2-414D-9013-0ED6F8A6B08B}">
  <sheetPr codeName="Sheet28"/>
  <dimension ref="A1:X67"/>
  <sheetViews>
    <sheetView showGridLines="0" zoomScale="77" zoomScaleNormal="75" workbookViewId="0"/>
  </sheetViews>
  <sheetFormatPr defaultColWidth="9.1796875" defaultRowHeight="14.5" x14ac:dyDescent="0.35"/>
  <cols>
    <col min="1" max="1" width="2.81640625" style="19" customWidth="1"/>
    <col min="2" max="2" width="3.81640625" style="19" customWidth="1"/>
    <col min="3" max="3" width="58.7265625" style="19" bestFit="1" customWidth="1"/>
    <col min="4" max="4" width="28.26953125" style="19" customWidth="1"/>
    <col min="5" max="5" width="10.453125" style="19" bestFit="1" customWidth="1"/>
    <col min="6" max="18" width="9.1796875" style="19"/>
    <col min="19" max="19" width="9.81640625" style="19" customWidth="1"/>
    <col min="20" max="16384" width="9.1796875" style="19"/>
  </cols>
  <sheetData>
    <row r="1" spans="1:24" ht="15.75" customHeight="1" thickBot="1" x14ac:dyDescent="0.4">
      <c r="A1" s="3"/>
    </row>
    <row r="2" spans="1:24" ht="15" customHeight="1" x14ac:dyDescent="0.35">
      <c r="B2" s="63"/>
      <c r="C2" s="28"/>
      <c r="D2" s="28"/>
      <c r="E2" s="28"/>
      <c r="F2" s="28"/>
      <c r="G2" s="28"/>
      <c r="H2" s="28"/>
      <c r="I2" s="28"/>
      <c r="J2" s="28"/>
      <c r="K2" s="28"/>
      <c r="L2" s="28"/>
      <c r="M2" s="28"/>
      <c r="N2" s="28"/>
      <c r="O2" s="28"/>
      <c r="P2" s="28"/>
      <c r="Q2" s="28"/>
      <c r="R2" s="28"/>
      <c r="S2" s="28"/>
      <c r="T2" s="28"/>
      <c r="U2" s="24"/>
    </row>
    <row r="3" spans="1:24" ht="20.25" customHeight="1" x14ac:dyDescent="0.35">
      <c r="B3" s="64"/>
      <c r="C3" s="312" t="s">
        <v>152</v>
      </c>
      <c r="D3" s="313"/>
      <c r="E3" s="313"/>
      <c r="F3" s="313"/>
      <c r="G3" s="313"/>
      <c r="H3" s="313"/>
      <c r="I3" s="313"/>
      <c r="J3" s="313"/>
      <c r="K3" s="313"/>
      <c r="L3" s="313"/>
      <c r="M3" s="313"/>
      <c r="N3" s="313"/>
      <c r="O3" s="313"/>
      <c r="P3" s="313"/>
      <c r="Q3" s="313"/>
      <c r="R3" s="313"/>
      <c r="S3" s="313"/>
      <c r="T3" s="65"/>
      <c r="U3" s="66"/>
    </row>
    <row r="4" spans="1:24" ht="15.75" customHeight="1" x14ac:dyDescent="0.35">
      <c r="B4" s="64"/>
      <c r="C4" s="67" t="s">
        <v>434</v>
      </c>
      <c r="D4" s="29"/>
      <c r="E4" s="29"/>
      <c r="F4" s="29"/>
      <c r="G4" s="29"/>
      <c r="H4" s="29"/>
      <c r="I4" s="29"/>
      <c r="J4" s="29"/>
      <c r="K4" s="29"/>
      <c r="L4" s="29"/>
      <c r="M4" s="29"/>
      <c r="N4" s="29"/>
      <c r="O4" s="29"/>
      <c r="P4" s="29"/>
      <c r="Q4" s="29"/>
      <c r="R4" s="29"/>
      <c r="S4" s="29"/>
      <c r="T4" s="29"/>
      <c r="U4" s="25"/>
    </row>
    <row r="5" spans="1:24" ht="18" customHeight="1" x14ac:dyDescent="0.35">
      <c r="B5" s="64"/>
      <c r="C5" s="211" t="s">
        <v>435</v>
      </c>
      <c r="D5" s="316" t="s">
        <v>420</v>
      </c>
      <c r="E5" s="316"/>
      <c r="F5" s="29"/>
      <c r="G5" s="29"/>
      <c r="H5" s="29"/>
      <c r="I5" s="29"/>
      <c r="J5" s="29"/>
      <c r="K5" s="29"/>
      <c r="L5" s="29"/>
      <c r="M5" s="29"/>
      <c r="N5" s="29"/>
      <c r="O5" s="29"/>
      <c r="P5" s="29"/>
      <c r="Q5" s="29"/>
      <c r="R5" s="29"/>
      <c r="S5" s="29"/>
      <c r="T5" s="29"/>
      <c r="U5" s="25"/>
    </row>
    <row r="6" spans="1:24" ht="15" customHeight="1" x14ac:dyDescent="0.35">
      <c r="B6" s="64"/>
      <c r="C6" s="29"/>
      <c r="D6" s="29"/>
      <c r="E6" s="29"/>
      <c r="F6" s="29"/>
      <c r="G6" s="29"/>
      <c r="H6" s="29"/>
      <c r="I6" s="29"/>
      <c r="J6" s="29"/>
      <c r="K6" s="29"/>
      <c r="L6" s="29"/>
      <c r="M6" s="29"/>
      <c r="N6" s="29"/>
      <c r="O6" s="29"/>
      <c r="P6" s="29"/>
      <c r="Q6" s="29"/>
      <c r="R6" s="29"/>
      <c r="S6" s="29"/>
      <c r="T6" s="29"/>
      <c r="U6" s="25"/>
    </row>
    <row r="7" spans="1:24" ht="32.25" customHeight="1" x14ac:dyDescent="0.35">
      <c r="B7" s="64"/>
      <c r="C7" s="68" t="s">
        <v>0</v>
      </c>
      <c r="D7" s="69" t="s">
        <v>1</v>
      </c>
      <c r="E7" s="70" t="s">
        <v>2</v>
      </c>
      <c r="F7" s="29"/>
      <c r="G7" s="29"/>
      <c r="H7" s="29"/>
      <c r="I7" s="29"/>
      <c r="J7" s="29"/>
      <c r="K7" s="29"/>
      <c r="L7" s="29"/>
      <c r="M7" s="29"/>
      <c r="N7" s="29"/>
      <c r="O7" s="29"/>
      <c r="P7" s="29"/>
      <c r="Q7" s="29"/>
      <c r="R7" s="29"/>
      <c r="S7" s="29"/>
      <c r="T7" s="29"/>
      <c r="U7" s="25"/>
      <c r="W7" s="39" t="s">
        <v>22</v>
      </c>
      <c r="X7" s="39" t="s">
        <v>2</v>
      </c>
    </row>
    <row r="8" spans="1:24" ht="15" customHeight="1" x14ac:dyDescent="0.35">
      <c r="B8" s="64"/>
      <c r="C8" s="195" t="s">
        <v>29</v>
      </c>
      <c r="D8" s="196" t="s">
        <v>3</v>
      </c>
      <c r="E8" s="186">
        <v>0.110448</v>
      </c>
      <c r="F8" s="29"/>
      <c r="G8" s="29"/>
      <c r="H8" s="29"/>
      <c r="I8" s="29"/>
      <c r="J8" s="29"/>
      <c r="K8" s="29"/>
      <c r="L8" s="29"/>
      <c r="M8" s="29"/>
      <c r="N8" s="29"/>
      <c r="O8" s="29"/>
      <c r="P8" s="29"/>
      <c r="Q8" s="29"/>
      <c r="R8" s="29"/>
      <c r="S8" s="29"/>
      <c r="T8" s="29"/>
      <c r="U8" s="25"/>
      <c r="W8" s="171" t="s">
        <v>3</v>
      </c>
      <c r="X8" s="172">
        <v>0.272032</v>
      </c>
    </row>
    <row r="9" spans="1:24" ht="15.75" customHeight="1" x14ac:dyDescent="0.35">
      <c r="B9" s="64"/>
      <c r="C9" s="197" t="s">
        <v>32</v>
      </c>
      <c r="D9" s="198" t="s">
        <v>3</v>
      </c>
      <c r="E9" s="188">
        <v>7.5967000000000007E-2</v>
      </c>
      <c r="F9" s="29"/>
      <c r="G9" s="29"/>
      <c r="H9" s="29"/>
      <c r="I9" s="29"/>
      <c r="J9" s="29"/>
      <c r="K9" s="29"/>
      <c r="L9" s="29"/>
      <c r="M9" s="29"/>
      <c r="N9" s="29"/>
      <c r="O9" s="29"/>
      <c r="P9" s="29"/>
      <c r="Q9" s="29"/>
      <c r="R9" s="29"/>
      <c r="S9" s="29"/>
      <c r="T9" s="29"/>
      <c r="U9" s="25"/>
      <c r="W9" s="171" t="s">
        <v>105</v>
      </c>
      <c r="X9" s="172">
        <v>9.5433000000000004E-2</v>
      </c>
    </row>
    <row r="10" spans="1:24" ht="15.5" x14ac:dyDescent="0.35">
      <c r="B10" s="64"/>
      <c r="C10" s="197" t="s">
        <v>31</v>
      </c>
      <c r="D10" s="198" t="s">
        <v>6</v>
      </c>
      <c r="E10" s="188">
        <v>7.1795999999999999E-2</v>
      </c>
      <c r="F10" s="29"/>
      <c r="G10" s="29"/>
      <c r="H10" s="29"/>
      <c r="I10" s="29"/>
      <c r="J10" s="29"/>
      <c r="K10" s="29"/>
      <c r="L10" s="29"/>
      <c r="M10" s="29"/>
      <c r="N10" s="29"/>
      <c r="O10" s="29"/>
      <c r="P10" s="29"/>
      <c r="Q10" s="29"/>
      <c r="R10" s="29"/>
      <c r="S10" s="29"/>
      <c r="T10" s="29"/>
      <c r="U10" s="25"/>
      <c r="W10" s="171" t="s">
        <v>6</v>
      </c>
      <c r="X10" s="172">
        <v>8.0212999999999993E-2</v>
      </c>
    </row>
    <row r="11" spans="1:24" ht="15.75" customHeight="1" x14ac:dyDescent="0.35">
      <c r="B11" s="64"/>
      <c r="C11" s="197" t="s">
        <v>28</v>
      </c>
      <c r="D11" s="198" t="s">
        <v>105</v>
      </c>
      <c r="E11" s="188">
        <v>4.0729000000000001E-2</v>
      </c>
      <c r="F11" s="29"/>
      <c r="G11" s="29"/>
      <c r="H11" s="29"/>
      <c r="I11" s="29"/>
      <c r="J11" s="29"/>
      <c r="K11" s="29"/>
      <c r="L11" s="29"/>
      <c r="M11" s="29"/>
      <c r="N11" s="29"/>
      <c r="O11" s="29"/>
      <c r="P11" s="29"/>
      <c r="Q11" s="29"/>
      <c r="R11" s="29"/>
      <c r="S11" s="29"/>
      <c r="T11" s="29"/>
      <c r="U11" s="25"/>
      <c r="W11" s="171" t="s">
        <v>110</v>
      </c>
      <c r="X11" s="172">
        <v>6.4381000000000008E-2</v>
      </c>
    </row>
    <row r="12" spans="1:24" ht="15" customHeight="1" x14ac:dyDescent="0.35">
      <c r="B12" s="64"/>
      <c r="C12" s="197" t="s">
        <v>70</v>
      </c>
      <c r="D12" s="198" t="s">
        <v>12</v>
      </c>
      <c r="E12" s="188">
        <v>3.7726000000000003E-2</v>
      </c>
      <c r="F12" s="29"/>
      <c r="G12" s="29"/>
      <c r="H12" s="29"/>
      <c r="I12" s="29"/>
      <c r="J12" s="29"/>
      <c r="K12" s="29"/>
      <c r="L12" s="29"/>
      <c r="M12" s="29"/>
      <c r="N12" s="29"/>
      <c r="O12" s="29"/>
      <c r="P12" s="29"/>
      <c r="Q12" s="29"/>
      <c r="R12" s="29"/>
      <c r="S12" s="29"/>
      <c r="T12" s="29"/>
      <c r="U12" s="25"/>
      <c r="W12" s="171" t="s">
        <v>4</v>
      </c>
      <c r="X12" s="172">
        <v>5.7548000000000002E-2</v>
      </c>
    </row>
    <row r="13" spans="1:24" ht="15" customHeight="1" x14ac:dyDescent="0.35">
      <c r="B13" s="64"/>
      <c r="C13" s="197" t="s">
        <v>30</v>
      </c>
      <c r="D13" s="198" t="s">
        <v>115</v>
      </c>
      <c r="E13" s="188">
        <v>2.9894E-2</v>
      </c>
      <c r="F13" s="29"/>
      <c r="G13" s="29"/>
      <c r="H13" s="29"/>
      <c r="I13" s="29"/>
      <c r="J13" s="29"/>
      <c r="K13" s="29"/>
      <c r="L13" s="29"/>
      <c r="M13" s="29"/>
      <c r="N13" s="29"/>
      <c r="O13" s="29"/>
      <c r="P13" s="29"/>
      <c r="Q13" s="29"/>
      <c r="R13" s="29"/>
      <c r="S13" s="29"/>
      <c r="T13" s="29"/>
      <c r="U13" s="25"/>
      <c r="W13" s="171" t="s">
        <v>115</v>
      </c>
      <c r="X13" s="172">
        <v>4.5571E-2</v>
      </c>
    </row>
    <row r="14" spans="1:24" ht="15" customHeight="1" x14ac:dyDescent="0.35">
      <c r="B14" s="64"/>
      <c r="C14" s="197" t="s">
        <v>34</v>
      </c>
      <c r="D14" s="198" t="s">
        <v>23</v>
      </c>
      <c r="E14" s="188">
        <v>2.9581E-2</v>
      </c>
      <c r="F14" s="29"/>
      <c r="G14" s="29"/>
      <c r="H14" s="29"/>
      <c r="I14" s="29"/>
      <c r="J14" s="29"/>
      <c r="K14" s="29"/>
      <c r="L14" s="29"/>
      <c r="M14" s="29"/>
      <c r="N14" s="29"/>
      <c r="O14" s="29"/>
      <c r="P14" s="29"/>
      <c r="Q14" s="29"/>
      <c r="R14" s="29"/>
      <c r="S14" s="29"/>
      <c r="T14" s="29"/>
      <c r="U14" s="25"/>
      <c r="W14" s="171" t="s">
        <v>12</v>
      </c>
      <c r="X14" s="172">
        <v>3.7726000000000003E-2</v>
      </c>
    </row>
    <row r="15" spans="1:24" ht="15" customHeight="1" x14ac:dyDescent="0.35">
      <c r="B15" s="64"/>
      <c r="C15" s="197" t="s">
        <v>33</v>
      </c>
      <c r="D15" s="198" t="s">
        <v>105</v>
      </c>
      <c r="E15" s="188">
        <v>2.6603999999999999E-2</v>
      </c>
      <c r="F15" s="29"/>
      <c r="G15" s="29"/>
      <c r="H15" s="29"/>
      <c r="I15" s="29"/>
      <c r="J15" s="29"/>
      <c r="K15" s="29"/>
      <c r="L15" s="29"/>
      <c r="M15" s="29"/>
      <c r="N15" s="29"/>
      <c r="O15" s="29"/>
      <c r="P15" s="29"/>
      <c r="Q15" s="29"/>
      <c r="R15" s="29"/>
      <c r="S15" s="29"/>
      <c r="T15" s="29"/>
      <c r="U15" s="25"/>
      <c r="W15" s="171" t="s">
        <v>10</v>
      </c>
      <c r="X15" s="172">
        <v>3.7686999999999998E-2</v>
      </c>
    </row>
    <row r="16" spans="1:24" ht="15" customHeight="1" x14ac:dyDescent="0.35">
      <c r="B16" s="64"/>
      <c r="C16" s="197" t="s">
        <v>36</v>
      </c>
      <c r="D16" s="198" t="s">
        <v>3</v>
      </c>
      <c r="E16" s="188">
        <v>2.5538999999999999E-2</v>
      </c>
      <c r="F16" s="29"/>
      <c r="G16" s="29"/>
      <c r="H16" s="29"/>
      <c r="I16" s="29"/>
      <c r="J16" s="29"/>
      <c r="K16" s="29"/>
      <c r="L16" s="29"/>
      <c r="M16" s="29"/>
      <c r="N16" s="29"/>
      <c r="O16" s="29"/>
      <c r="P16" s="29"/>
      <c r="Q16" s="29"/>
      <c r="R16" s="29"/>
      <c r="S16" s="29"/>
      <c r="T16" s="29"/>
      <c r="U16" s="25"/>
      <c r="W16" s="171" t="s">
        <v>109</v>
      </c>
      <c r="X16" s="172">
        <v>3.7045999999999996E-2</v>
      </c>
    </row>
    <row r="17" spans="2:24" ht="15" customHeight="1" x14ac:dyDescent="0.35">
      <c r="B17" s="64"/>
      <c r="C17" s="197" t="s">
        <v>35</v>
      </c>
      <c r="D17" s="198" t="s">
        <v>3</v>
      </c>
      <c r="E17" s="188">
        <v>2.4486999999999998E-2</v>
      </c>
      <c r="F17" s="29"/>
      <c r="G17" s="29"/>
      <c r="H17" s="29"/>
      <c r="I17" s="29"/>
      <c r="J17" s="29"/>
      <c r="K17" s="29"/>
      <c r="L17" s="29"/>
      <c r="M17" s="29"/>
      <c r="N17" s="29"/>
      <c r="O17" s="29"/>
      <c r="P17" s="29"/>
      <c r="Q17" s="29"/>
      <c r="R17" s="29"/>
      <c r="S17" s="29"/>
      <c r="T17" s="29"/>
      <c r="U17" s="25"/>
      <c r="W17" s="171" t="s">
        <v>26</v>
      </c>
      <c r="X17" s="172">
        <v>3.0290999999999998E-2</v>
      </c>
    </row>
    <row r="18" spans="2:24" ht="15" customHeight="1" x14ac:dyDescent="0.35">
      <c r="B18" s="64"/>
      <c r="C18" s="197" t="s">
        <v>77</v>
      </c>
      <c r="D18" s="198" t="s">
        <v>3</v>
      </c>
      <c r="E18" s="188">
        <v>2.2852000000000001E-2</v>
      </c>
      <c r="F18" s="29"/>
      <c r="G18" s="29"/>
      <c r="H18" s="29"/>
      <c r="I18" s="29"/>
      <c r="J18" s="29"/>
      <c r="K18" s="29"/>
      <c r="L18" s="29"/>
      <c r="M18" s="29"/>
      <c r="N18" s="29"/>
      <c r="O18" s="29"/>
      <c r="P18" s="29"/>
      <c r="Q18" s="29"/>
      <c r="R18" s="29"/>
      <c r="S18" s="29"/>
      <c r="T18" s="29"/>
      <c r="U18" s="25"/>
      <c r="W18" s="171" t="s">
        <v>23</v>
      </c>
      <c r="X18" s="172">
        <v>2.9581E-2</v>
      </c>
    </row>
    <row r="19" spans="2:24" ht="15" customHeight="1" x14ac:dyDescent="0.35">
      <c r="B19" s="64"/>
      <c r="C19" s="197" t="s">
        <v>118</v>
      </c>
      <c r="D19" s="198" t="s">
        <v>110</v>
      </c>
      <c r="E19" s="188">
        <v>1.9574000000000001E-2</v>
      </c>
      <c r="F19" s="29"/>
      <c r="G19" s="29"/>
      <c r="H19" s="29"/>
      <c r="I19" s="29"/>
      <c r="J19" s="29"/>
      <c r="K19" s="29"/>
      <c r="L19" s="29"/>
      <c r="M19" s="29"/>
      <c r="N19" s="29"/>
      <c r="O19" s="29"/>
      <c r="P19" s="29"/>
      <c r="Q19" s="29"/>
      <c r="R19" s="29"/>
      <c r="S19" s="29"/>
      <c r="T19" s="29"/>
      <c r="U19" s="25"/>
      <c r="W19" s="171" t="s">
        <v>81</v>
      </c>
      <c r="X19" s="172">
        <v>2.3848000000000001E-2</v>
      </c>
    </row>
    <row r="20" spans="2:24" ht="15" customHeight="1" x14ac:dyDescent="0.35">
      <c r="B20" s="64"/>
      <c r="C20" s="197" t="s">
        <v>79</v>
      </c>
      <c r="D20" s="198" t="s">
        <v>4</v>
      </c>
      <c r="E20" s="188">
        <v>1.7031999999999999E-2</v>
      </c>
      <c r="F20" s="29"/>
      <c r="G20" s="29"/>
      <c r="H20" s="29"/>
      <c r="I20" s="29"/>
      <c r="J20" s="29"/>
      <c r="K20" s="29"/>
      <c r="L20" s="29"/>
      <c r="M20" s="29"/>
      <c r="N20" s="29"/>
      <c r="O20" s="29"/>
      <c r="P20" s="29"/>
      <c r="Q20" s="29"/>
      <c r="R20" s="29"/>
      <c r="S20" s="29"/>
      <c r="T20" s="29"/>
      <c r="U20" s="25"/>
      <c r="W20" s="171" t="s">
        <v>16</v>
      </c>
      <c r="X20" s="172">
        <v>2.1835E-2</v>
      </c>
    </row>
    <row r="21" spans="2:24" ht="15" customHeight="1" x14ac:dyDescent="0.35">
      <c r="B21" s="64"/>
      <c r="C21" s="197" t="s">
        <v>37</v>
      </c>
      <c r="D21" s="198" t="s">
        <v>115</v>
      </c>
      <c r="E21" s="188">
        <v>1.5677E-2</v>
      </c>
      <c r="F21" s="29"/>
      <c r="G21" s="29"/>
      <c r="H21" s="29"/>
      <c r="I21" s="29"/>
      <c r="J21" s="29"/>
      <c r="K21" s="29"/>
      <c r="L21" s="29"/>
      <c r="M21" s="29"/>
      <c r="N21" s="29"/>
      <c r="O21" s="29"/>
      <c r="P21" s="29"/>
      <c r="Q21" s="29"/>
      <c r="R21" s="29"/>
      <c r="S21" s="29"/>
      <c r="T21" s="29"/>
      <c r="U21" s="25"/>
      <c r="W21" s="171" t="s">
        <v>11</v>
      </c>
      <c r="X21" s="172">
        <v>1.8672000000000001E-2</v>
      </c>
    </row>
    <row r="22" spans="2:24" ht="15" customHeight="1" x14ac:dyDescent="0.35">
      <c r="B22" s="64"/>
      <c r="C22" s="197" t="s">
        <v>245</v>
      </c>
      <c r="D22" s="198" t="s">
        <v>109</v>
      </c>
      <c r="E22" s="188">
        <v>1.49E-2</v>
      </c>
      <c r="F22" s="29"/>
      <c r="G22" s="29"/>
      <c r="H22" s="29"/>
      <c r="I22" s="29"/>
      <c r="J22" s="29"/>
      <c r="K22" s="29"/>
      <c r="L22" s="29"/>
      <c r="M22" s="29"/>
      <c r="N22" s="29"/>
      <c r="O22" s="29"/>
      <c r="P22" s="29"/>
      <c r="Q22" s="29"/>
      <c r="R22" s="29"/>
      <c r="S22" s="29"/>
      <c r="T22" s="29"/>
      <c r="U22" s="25"/>
      <c r="W22" s="171" t="s">
        <v>84</v>
      </c>
      <c r="X22" s="172">
        <v>1.8504E-2</v>
      </c>
    </row>
    <row r="23" spans="2:24" ht="15" customHeight="1" x14ac:dyDescent="0.35">
      <c r="B23" s="64"/>
      <c r="C23" s="71"/>
      <c r="D23" s="71"/>
      <c r="E23" s="72"/>
      <c r="F23" s="29"/>
      <c r="G23" s="29"/>
      <c r="H23" s="29"/>
      <c r="I23" s="29"/>
      <c r="J23" s="29"/>
      <c r="K23" s="29"/>
      <c r="L23" s="29"/>
      <c r="M23" s="29"/>
      <c r="N23" s="29"/>
      <c r="O23" s="29"/>
      <c r="P23" s="29"/>
      <c r="Q23" s="29"/>
      <c r="R23" s="29"/>
      <c r="S23" s="29"/>
      <c r="T23" s="29"/>
      <c r="U23" s="25"/>
      <c r="W23" s="171" t="s">
        <v>85</v>
      </c>
      <c r="X23" s="172">
        <v>1.4917E-2</v>
      </c>
    </row>
    <row r="24" spans="2:24" ht="15" customHeight="1" x14ac:dyDescent="0.35">
      <c r="B24" s="64"/>
      <c r="C24" s="73" t="s">
        <v>55</v>
      </c>
      <c r="D24" s="74"/>
      <c r="E24" s="75">
        <f>SUM(E8:E22)</f>
        <v>0.56280600000000003</v>
      </c>
      <c r="F24" s="29"/>
      <c r="G24" s="29"/>
      <c r="H24" s="29"/>
      <c r="I24" s="29"/>
      <c r="J24" s="29"/>
      <c r="K24" s="29"/>
      <c r="L24" s="29"/>
      <c r="M24" s="29"/>
      <c r="N24" s="29"/>
      <c r="O24" s="29"/>
      <c r="P24" s="29"/>
      <c r="Q24" s="29"/>
      <c r="R24" s="29"/>
      <c r="S24" s="29"/>
      <c r="T24" s="29"/>
      <c r="U24" s="25"/>
      <c r="W24" s="171" t="s">
        <v>106</v>
      </c>
      <c r="X24" s="172">
        <v>1.1297000000000001E-2</v>
      </c>
    </row>
    <row r="25" spans="2:24" ht="15" customHeight="1" x14ac:dyDescent="0.35">
      <c r="B25" s="64"/>
      <c r="C25" s="29"/>
      <c r="D25" s="29"/>
      <c r="E25" s="29"/>
      <c r="F25" s="29"/>
      <c r="G25" s="29"/>
      <c r="H25" s="29"/>
      <c r="I25" s="29"/>
      <c r="J25" s="29"/>
      <c r="K25" s="29"/>
      <c r="L25" s="29"/>
      <c r="M25" s="29"/>
      <c r="N25" s="29"/>
      <c r="O25" s="29"/>
      <c r="P25" s="29"/>
      <c r="Q25" s="29"/>
      <c r="R25" s="29"/>
      <c r="S25" s="29"/>
      <c r="T25" s="29"/>
      <c r="U25" s="25"/>
      <c r="W25" s="171" t="s">
        <v>104</v>
      </c>
      <c r="X25" s="172">
        <v>8.7679999999999998E-3</v>
      </c>
    </row>
    <row r="26" spans="2:24" ht="15" customHeight="1" x14ac:dyDescent="0.35">
      <c r="B26" s="64"/>
      <c r="C26" s="29"/>
      <c r="D26" s="29"/>
      <c r="E26" s="29"/>
      <c r="F26" s="29"/>
      <c r="G26" s="29"/>
      <c r="H26" s="29"/>
      <c r="I26" s="29"/>
      <c r="J26" s="29"/>
      <c r="K26" s="29"/>
      <c r="L26" s="29"/>
      <c r="M26" s="29"/>
      <c r="N26" s="29"/>
      <c r="O26" s="29"/>
      <c r="P26" s="29"/>
      <c r="Q26" s="29"/>
      <c r="R26" s="29"/>
      <c r="S26" s="29"/>
      <c r="T26" s="29"/>
      <c r="U26" s="25"/>
      <c r="W26" s="171" t="s">
        <v>117</v>
      </c>
      <c r="X26" s="172">
        <v>8.7510000000000001E-3</v>
      </c>
    </row>
    <row r="27" spans="2:24" ht="15" customHeight="1" x14ac:dyDescent="0.35">
      <c r="B27" s="64"/>
      <c r="C27" s="29"/>
      <c r="D27" s="29"/>
      <c r="E27" s="29"/>
      <c r="F27" s="29"/>
      <c r="G27" s="29"/>
      <c r="H27" s="29"/>
      <c r="I27" s="29"/>
      <c r="J27" s="29"/>
      <c r="K27" s="29"/>
      <c r="L27" s="29"/>
      <c r="M27" s="29"/>
      <c r="N27" s="29"/>
      <c r="O27" s="29"/>
      <c r="P27" s="29"/>
      <c r="Q27" s="29"/>
      <c r="R27" s="29"/>
      <c r="S27" s="29"/>
      <c r="T27" s="29"/>
      <c r="U27" s="25"/>
      <c r="W27" s="171" t="s">
        <v>122</v>
      </c>
      <c r="X27" s="172">
        <v>7.7669999999999996E-3</v>
      </c>
    </row>
    <row r="28" spans="2:24" ht="15" customHeight="1" x14ac:dyDescent="0.35">
      <c r="B28" s="64"/>
      <c r="C28" s="29"/>
      <c r="D28" s="29"/>
      <c r="E28" s="29"/>
      <c r="F28" s="29"/>
      <c r="G28" s="29"/>
      <c r="H28" s="29"/>
      <c r="I28" s="29"/>
      <c r="J28" s="29"/>
      <c r="K28" s="29"/>
      <c r="L28" s="29"/>
      <c r="M28" s="29"/>
      <c r="N28" s="29"/>
      <c r="O28" s="29"/>
      <c r="P28" s="29"/>
      <c r="Q28" s="29"/>
      <c r="R28" s="29"/>
      <c r="S28" s="29"/>
      <c r="T28" s="29"/>
      <c r="U28" s="25"/>
      <c r="W28" s="171" t="s">
        <v>13</v>
      </c>
      <c r="X28" s="172">
        <v>7.1609999999999998E-3</v>
      </c>
    </row>
    <row r="29" spans="2:24" ht="15" customHeight="1" x14ac:dyDescent="0.35">
      <c r="B29" s="64"/>
      <c r="C29" s="29"/>
      <c r="D29" s="29"/>
      <c r="E29" s="29"/>
      <c r="F29" s="29"/>
      <c r="G29" s="29"/>
      <c r="H29" s="29"/>
      <c r="I29" s="29"/>
      <c r="J29" s="29"/>
      <c r="K29" s="29"/>
      <c r="L29" s="29"/>
      <c r="M29" s="29"/>
      <c r="N29" s="29"/>
      <c r="O29" s="29"/>
      <c r="P29" s="29"/>
      <c r="Q29" s="29"/>
      <c r="R29" s="29"/>
      <c r="S29" s="29"/>
      <c r="T29" s="29"/>
      <c r="U29" s="25"/>
      <c r="W29" s="171" t="s">
        <v>15</v>
      </c>
      <c r="X29" s="172">
        <v>6.8209999999999998E-3</v>
      </c>
    </row>
    <row r="30" spans="2:24" ht="15" customHeight="1" x14ac:dyDescent="0.35">
      <c r="B30" s="64"/>
      <c r="C30" s="29"/>
      <c r="D30" s="29"/>
      <c r="E30" s="29"/>
      <c r="F30" s="29"/>
      <c r="G30" s="29"/>
      <c r="H30" s="29"/>
      <c r="I30" s="29"/>
      <c r="J30" s="29"/>
      <c r="K30" s="29"/>
      <c r="L30" s="29"/>
      <c r="M30" s="29"/>
      <c r="N30" s="29"/>
      <c r="O30" s="29"/>
      <c r="P30" s="29"/>
      <c r="Q30" s="29"/>
      <c r="R30" s="29"/>
      <c r="S30" s="29"/>
      <c r="T30" s="29"/>
      <c r="U30" s="25"/>
      <c r="W30" s="171" t="s">
        <v>128</v>
      </c>
      <c r="X30" s="172">
        <v>6.7710000000000001E-3</v>
      </c>
    </row>
    <row r="31" spans="2:24" ht="15" customHeight="1" x14ac:dyDescent="0.35">
      <c r="B31" s="64"/>
      <c r="C31" s="29"/>
      <c r="D31" s="29"/>
      <c r="E31" s="29"/>
      <c r="F31" s="29"/>
      <c r="G31" s="29"/>
      <c r="H31" s="29"/>
      <c r="I31" s="29"/>
      <c r="J31" s="29"/>
      <c r="K31" s="29"/>
      <c r="L31" s="29"/>
      <c r="M31" s="29"/>
      <c r="N31" s="29"/>
      <c r="O31" s="29"/>
      <c r="P31" s="29"/>
      <c r="Q31" s="29"/>
      <c r="R31" s="29"/>
      <c r="S31" s="29"/>
      <c r="T31" s="29"/>
      <c r="U31" s="25"/>
      <c r="W31" s="171" t="s">
        <v>119</v>
      </c>
      <c r="X31" s="172">
        <v>6.7219999999999997E-3</v>
      </c>
    </row>
    <row r="32" spans="2:24" ht="15" customHeight="1" x14ac:dyDescent="0.35">
      <c r="B32" s="64"/>
      <c r="C32" s="29"/>
      <c r="D32" s="29"/>
      <c r="E32" s="29"/>
      <c r="F32" s="29"/>
      <c r="G32" s="29"/>
      <c r="H32" s="29"/>
      <c r="I32" s="29"/>
      <c r="J32" s="29"/>
      <c r="K32" s="29"/>
      <c r="L32" s="29"/>
      <c r="M32" s="29"/>
      <c r="N32" s="29"/>
      <c r="O32" s="29"/>
      <c r="P32" s="29"/>
      <c r="Q32" s="29"/>
      <c r="R32" s="29"/>
      <c r="S32" s="29"/>
      <c r="T32" s="29"/>
      <c r="U32" s="25"/>
      <c r="W32" s="171" t="s">
        <v>129</v>
      </c>
      <c r="X32" s="172">
        <v>6.6010000000000001E-3</v>
      </c>
    </row>
    <row r="33" spans="2:24" ht="15" customHeight="1" x14ac:dyDescent="0.35">
      <c r="B33" s="64"/>
      <c r="C33" s="29"/>
      <c r="D33" s="29"/>
      <c r="E33" s="29"/>
      <c r="F33" s="29"/>
      <c r="G33" s="29"/>
      <c r="H33" s="29"/>
      <c r="I33" s="29"/>
      <c r="J33" s="29"/>
      <c r="K33" s="29"/>
      <c r="L33" s="29"/>
      <c r="M33" s="29"/>
      <c r="N33" s="29"/>
      <c r="O33" s="29"/>
      <c r="P33" s="29"/>
      <c r="Q33" s="29"/>
      <c r="R33" s="29"/>
      <c r="S33" s="29"/>
      <c r="T33" s="29"/>
      <c r="U33" s="25"/>
      <c r="W33" s="171" t="s">
        <v>111</v>
      </c>
      <c r="X33" s="172">
        <v>6.0649999999999992E-3</v>
      </c>
    </row>
    <row r="34" spans="2:24" ht="15" customHeight="1" x14ac:dyDescent="0.35">
      <c r="B34" s="64"/>
      <c r="C34" s="29"/>
      <c r="D34" s="29"/>
      <c r="E34" s="29"/>
      <c r="F34" s="29"/>
      <c r="G34" s="29"/>
      <c r="H34" s="29"/>
      <c r="I34" s="29"/>
      <c r="J34" s="29"/>
      <c r="K34" s="29"/>
      <c r="L34" s="29"/>
      <c r="M34" s="29"/>
      <c r="N34" s="29"/>
      <c r="O34" s="29"/>
      <c r="P34" s="29"/>
      <c r="Q34" s="29"/>
      <c r="R34" s="29"/>
      <c r="S34" s="29"/>
      <c r="T34" s="29"/>
      <c r="U34" s="25"/>
      <c r="W34" s="171" t="s">
        <v>113</v>
      </c>
      <c r="X34" s="172">
        <v>5.7260000000000002E-3</v>
      </c>
    </row>
    <row r="35" spans="2:24" ht="15" customHeight="1" x14ac:dyDescent="0.35">
      <c r="B35" s="64"/>
      <c r="C35" s="29"/>
      <c r="D35" s="29"/>
      <c r="E35" s="29"/>
      <c r="F35" s="29"/>
      <c r="G35" s="29"/>
      <c r="H35" s="29"/>
      <c r="I35" s="29"/>
      <c r="J35" s="29"/>
      <c r="K35" s="29"/>
      <c r="L35" s="29"/>
      <c r="M35" s="29"/>
      <c r="N35" s="29"/>
      <c r="O35" s="29"/>
      <c r="P35" s="29"/>
      <c r="Q35" s="29"/>
      <c r="R35" s="29"/>
      <c r="S35" s="29"/>
      <c r="T35" s="29"/>
      <c r="U35" s="25"/>
      <c r="W35" s="171" t="s">
        <v>131</v>
      </c>
      <c r="X35" s="172">
        <v>5.365E-3</v>
      </c>
    </row>
    <row r="36" spans="2:24" ht="15" customHeight="1" x14ac:dyDescent="0.35">
      <c r="B36" s="64"/>
      <c r="C36" s="29"/>
      <c r="D36" s="29"/>
      <c r="E36" s="29"/>
      <c r="F36" s="29"/>
      <c r="G36" s="29"/>
      <c r="H36" s="29"/>
      <c r="I36" s="29"/>
      <c r="J36" s="29"/>
      <c r="K36" s="29"/>
      <c r="L36" s="29"/>
      <c r="M36" s="29"/>
      <c r="N36" s="29"/>
      <c r="O36" s="29"/>
      <c r="P36" s="29"/>
      <c r="Q36" s="29"/>
      <c r="R36" s="29"/>
      <c r="S36" s="29"/>
      <c r="T36" s="29"/>
      <c r="U36" s="25"/>
      <c r="W36" s="171" t="s">
        <v>75</v>
      </c>
      <c r="X36" s="172">
        <v>5.3169999999999997E-3</v>
      </c>
    </row>
    <row r="37" spans="2:24" ht="15" customHeight="1" x14ac:dyDescent="0.35">
      <c r="B37" s="64"/>
      <c r="C37" s="29"/>
      <c r="D37" s="29"/>
      <c r="E37" s="29"/>
      <c r="F37" s="29"/>
      <c r="G37" s="29"/>
      <c r="H37" s="29"/>
      <c r="I37" s="29"/>
      <c r="J37" s="29"/>
      <c r="K37" s="29"/>
      <c r="L37" s="29"/>
      <c r="M37" s="29"/>
      <c r="N37" s="29"/>
      <c r="O37" s="29"/>
      <c r="P37" s="29"/>
      <c r="Q37" s="29"/>
      <c r="R37" s="29"/>
      <c r="S37" s="29"/>
      <c r="T37" s="29"/>
      <c r="U37" s="25"/>
      <c r="W37" s="171" t="s">
        <v>82</v>
      </c>
      <c r="X37" s="172">
        <v>5.2170000000000003E-3</v>
      </c>
    </row>
    <row r="38" spans="2:24" ht="15" customHeight="1" x14ac:dyDescent="0.35">
      <c r="B38" s="64"/>
      <c r="C38" s="29"/>
      <c r="D38" s="29"/>
      <c r="E38" s="29"/>
      <c r="F38" s="29"/>
      <c r="G38" s="29"/>
      <c r="H38" s="29"/>
      <c r="I38" s="29"/>
      <c r="J38" s="29"/>
      <c r="K38" s="29"/>
      <c r="L38" s="29"/>
      <c r="M38" s="29"/>
      <c r="N38" s="29"/>
      <c r="O38" s="29"/>
      <c r="P38" s="29"/>
      <c r="Q38" s="29"/>
      <c r="R38" s="29"/>
      <c r="S38" s="29"/>
      <c r="T38" s="29"/>
      <c r="U38" s="25"/>
      <c r="W38" s="171" t="s">
        <v>108</v>
      </c>
      <c r="X38" s="172">
        <v>4.8869999999999999E-3</v>
      </c>
    </row>
    <row r="39" spans="2:24" ht="15" customHeight="1" x14ac:dyDescent="0.35">
      <c r="B39" s="64"/>
      <c r="C39" s="29"/>
      <c r="D39" s="29"/>
      <c r="E39" s="29"/>
      <c r="F39" s="29"/>
      <c r="G39" s="29"/>
      <c r="H39" s="29"/>
      <c r="I39" s="29"/>
      <c r="J39" s="29"/>
      <c r="K39" s="29"/>
      <c r="L39" s="29"/>
      <c r="M39" s="29"/>
      <c r="N39" s="29"/>
      <c r="O39" s="29"/>
      <c r="P39" s="29"/>
      <c r="Q39" s="29"/>
      <c r="R39" s="29"/>
      <c r="S39" s="29"/>
      <c r="T39" s="29"/>
      <c r="U39" s="25"/>
      <c r="W39" s="171" t="s">
        <v>130</v>
      </c>
      <c r="X39" s="172">
        <v>4.5209999999999998E-3</v>
      </c>
    </row>
    <row r="40" spans="2:24" ht="15" customHeight="1" thickBot="1" x14ac:dyDescent="0.4">
      <c r="B40" s="76"/>
      <c r="C40" s="30"/>
      <c r="D40" s="30"/>
      <c r="E40" s="30"/>
      <c r="F40" s="30"/>
      <c r="G40" s="30"/>
      <c r="H40" s="30"/>
      <c r="I40" s="30"/>
      <c r="J40" s="30"/>
      <c r="K40" s="30"/>
      <c r="L40" s="30"/>
      <c r="M40" s="30"/>
      <c r="N40" s="30"/>
      <c r="O40" s="30"/>
      <c r="P40" s="30"/>
      <c r="Q40" s="30"/>
      <c r="R40" s="30"/>
      <c r="S40" s="30"/>
      <c r="T40" s="30"/>
      <c r="U40" s="26"/>
      <c r="W40" s="171" t="s">
        <v>25</v>
      </c>
      <c r="X40" s="172">
        <v>3.8470000000000002E-3</v>
      </c>
    </row>
    <row r="41" spans="2:24" ht="15" customHeight="1" thickBot="1" x14ac:dyDescent="0.4">
      <c r="W41" s="171" t="s">
        <v>114</v>
      </c>
      <c r="X41" s="172">
        <v>3.5230000000000001E-3</v>
      </c>
    </row>
    <row r="42" spans="2:24" ht="15" customHeight="1" x14ac:dyDescent="0.35">
      <c r="B42" s="303" t="s">
        <v>179</v>
      </c>
      <c r="C42" s="304"/>
      <c r="D42" s="304"/>
      <c r="E42" s="304"/>
      <c r="F42" s="304"/>
      <c r="G42" s="304"/>
      <c r="H42" s="304"/>
      <c r="I42" s="304"/>
      <c r="J42" s="304"/>
      <c r="K42" s="304"/>
      <c r="L42" s="304"/>
      <c r="M42" s="304"/>
      <c r="N42" s="304"/>
      <c r="O42" s="304"/>
      <c r="P42" s="304"/>
      <c r="Q42" s="304"/>
      <c r="R42" s="305"/>
      <c r="W42" s="171"/>
      <c r="X42" s="172"/>
    </row>
    <row r="43" spans="2:24" ht="15" customHeight="1" x14ac:dyDescent="0.35">
      <c r="B43" s="306"/>
      <c r="C43" s="307"/>
      <c r="D43" s="307"/>
      <c r="E43" s="307"/>
      <c r="F43" s="307"/>
      <c r="G43" s="307"/>
      <c r="H43" s="307"/>
      <c r="I43" s="307"/>
      <c r="J43" s="307"/>
      <c r="K43" s="307"/>
      <c r="L43" s="307"/>
      <c r="M43" s="307"/>
      <c r="N43" s="307"/>
      <c r="O43" s="307"/>
      <c r="P43" s="307"/>
      <c r="Q43" s="307"/>
      <c r="R43" s="308"/>
      <c r="W43" s="171"/>
      <c r="X43" s="172"/>
    </row>
    <row r="44" spans="2:24" ht="15" customHeight="1" x14ac:dyDescent="0.35">
      <c r="B44" s="306"/>
      <c r="C44" s="307"/>
      <c r="D44" s="307"/>
      <c r="E44" s="307"/>
      <c r="F44" s="307"/>
      <c r="G44" s="307"/>
      <c r="H44" s="307"/>
      <c r="I44" s="307"/>
      <c r="J44" s="307"/>
      <c r="K44" s="307"/>
      <c r="L44" s="307"/>
      <c r="M44" s="307"/>
      <c r="N44" s="307"/>
      <c r="O44" s="307"/>
      <c r="P44" s="307"/>
      <c r="Q44" s="307"/>
      <c r="R44" s="308"/>
      <c r="W44" s="171"/>
      <c r="X44" s="172"/>
    </row>
    <row r="45" spans="2:24" ht="15" customHeight="1" x14ac:dyDescent="0.35">
      <c r="B45" s="306"/>
      <c r="C45" s="307"/>
      <c r="D45" s="307"/>
      <c r="E45" s="307"/>
      <c r="F45" s="307"/>
      <c r="G45" s="307"/>
      <c r="H45" s="307"/>
      <c r="I45" s="307"/>
      <c r="J45" s="307"/>
      <c r="K45" s="307"/>
      <c r="L45" s="307"/>
      <c r="M45" s="307"/>
      <c r="N45" s="307"/>
      <c r="O45" s="307"/>
      <c r="P45" s="307"/>
      <c r="Q45" s="307"/>
      <c r="R45" s="308"/>
    </row>
    <row r="46" spans="2:24" ht="15" customHeight="1" x14ac:dyDescent="0.35">
      <c r="B46" s="306"/>
      <c r="C46" s="307"/>
      <c r="D46" s="307"/>
      <c r="E46" s="307"/>
      <c r="F46" s="307"/>
      <c r="G46" s="307"/>
      <c r="H46" s="307"/>
      <c r="I46" s="307"/>
      <c r="J46" s="307"/>
      <c r="K46" s="307"/>
      <c r="L46" s="307"/>
      <c r="M46" s="307"/>
      <c r="N46" s="307"/>
      <c r="O46" s="307"/>
      <c r="P46" s="307"/>
      <c r="Q46" s="307"/>
      <c r="R46" s="308"/>
    </row>
    <row r="47" spans="2:24" ht="15" customHeight="1" x14ac:dyDescent="0.35">
      <c r="B47" s="306"/>
      <c r="C47" s="307"/>
      <c r="D47" s="307"/>
      <c r="E47" s="307"/>
      <c r="F47" s="307"/>
      <c r="G47" s="307"/>
      <c r="H47" s="307"/>
      <c r="I47" s="307"/>
      <c r="J47" s="307"/>
      <c r="K47" s="307"/>
      <c r="L47" s="307"/>
      <c r="M47" s="307"/>
      <c r="N47" s="307"/>
      <c r="O47" s="307"/>
      <c r="P47" s="307"/>
      <c r="Q47" s="307"/>
      <c r="R47" s="308"/>
    </row>
    <row r="48" spans="2:24" ht="15" customHeight="1" thickBot="1" x14ac:dyDescent="0.4">
      <c r="B48" s="309"/>
      <c r="C48" s="310"/>
      <c r="D48" s="310"/>
      <c r="E48" s="310"/>
      <c r="F48" s="310"/>
      <c r="G48" s="310"/>
      <c r="H48" s="310"/>
      <c r="I48" s="310"/>
      <c r="J48" s="310"/>
      <c r="K48" s="310"/>
      <c r="L48" s="310"/>
      <c r="M48" s="310"/>
      <c r="N48" s="310"/>
      <c r="O48" s="310"/>
      <c r="P48" s="310"/>
      <c r="Q48" s="310"/>
      <c r="R48" s="311"/>
    </row>
    <row r="49" ht="15" customHeight="1" x14ac:dyDescent="0.35"/>
    <row r="50" ht="15" customHeight="1" x14ac:dyDescent="0.35"/>
    <row r="51" ht="15" customHeight="1" x14ac:dyDescent="0.35"/>
    <row r="52" ht="15" customHeight="1" x14ac:dyDescent="0.35"/>
    <row r="53" ht="15" customHeight="1" x14ac:dyDescent="0.35"/>
    <row r="54" ht="15" customHeight="1" x14ac:dyDescent="0.35"/>
    <row r="55" ht="15" customHeight="1" x14ac:dyDescent="0.35"/>
    <row r="56" ht="15" customHeight="1" x14ac:dyDescent="0.35"/>
    <row r="57" ht="15" customHeight="1" x14ac:dyDescent="0.35"/>
    <row r="58" ht="15" customHeight="1" x14ac:dyDescent="0.35"/>
    <row r="59" ht="15" customHeight="1" x14ac:dyDescent="0.35"/>
    <row r="60" ht="15" customHeight="1" x14ac:dyDescent="0.35"/>
    <row r="61" ht="15" customHeight="1" x14ac:dyDescent="0.35"/>
    <row r="62" ht="15" customHeight="1" x14ac:dyDescent="0.35"/>
    <row r="63" ht="15" customHeight="1" x14ac:dyDescent="0.35"/>
    <row r="64" ht="15" customHeight="1" x14ac:dyDescent="0.35"/>
    <row r="65" ht="15" customHeight="1" x14ac:dyDescent="0.35"/>
    <row r="66" ht="15" customHeight="1" x14ac:dyDescent="0.35"/>
    <row r="67" ht="15" customHeight="1" x14ac:dyDescent="0.35"/>
  </sheetData>
  <sortState ref="W8:X44">
    <sortCondition descending="1" ref="X8"/>
  </sortState>
  <mergeCells count="3">
    <mergeCell ref="C3:S3"/>
    <mergeCell ref="D5:E5"/>
    <mergeCell ref="B42:R48"/>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4E15C0-DA4A-451D-B8D8-3CD239F4FC6E}">
  <sheetPr codeName="Sheet29"/>
  <dimension ref="A1:X45"/>
  <sheetViews>
    <sheetView showGridLines="0" zoomScale="77" zoomScaleNormal="75" workbookViewId="0"/>
  </sheetViews>
  <sheetFormatPr defaultColWidth="9.1796875" defaultRowHeight="14.5" x14ac:dyDescent="0.35"/>
  <cols>
    <col min="1" max="1" width="2.81640625" style="19" customWidth="1"/>
    <col min="2" max="2" width="3.81640625" style="19" customWidth="1"/>
    <col min="3" max="3" width="58.7265625" style="19" bestFit="1" customWidth="1"/>
    <col min="4" max="4" width="28.26953125" style="19" customWidth="1"/>
    <col min="5" max="5" width="10.453125" style="19" bestFit="1" customWidth="1"/>
    <col min="6" max="18" width="9.1796875" style="19"/>
    <col min="19" max="19" width="9.81640625" style="19" customWidth="1"/>
    <col min="20" max="16384" width="9.1796875" style="19"/>
  </cols>
  <sheetData>
    <row r="1" spans="1:24" ht="16" thickBot="1" x14ac:dyDescent="0.4">
      <c r="A1" s="3"/>
    </row>
    <row r="2" spans="1:24" x14ac:dyDescent="0.35">
      <c r="B2" s="63"/>
      <c r="C2" s="28"/>
      <c r="D2" s="28"/>
      <c r="E2" s="28"/>
      <c r="F2" s="28"/>
      <c r="G2" s="28"/>
      <c r="H2" s="28"/>
      <c r="I2" s="28"/>
      <c r="J2" s="28"/>
      <c r="K2" s="28"/>
      <c r="L2" s="28"/>
      <c r="M2" s="28"/>
      <c r="N2" s="28"/>
      <c r="O2" s="28"/>
      <c r="P2" s="28"/>
      <c r="Q2" s="28"/>
      <c r="R2" s="28"/>
      <c r="S2" s="28"/>
      <c r="T2" s="28"/>
      <c r="U2" s="24"/>
    </row>
    <row r="3" spans="1:24" ht="20" x14ac:dyDescent="0.35">
      <c r="B3" s="64"/>
      <c r="C3" s="312" t="s">
        <v>151</v>
      </c>
      <c r="D3" s="313"/>
      <c r="E3" s="313"/>
      <c r="F3" s="313"/>
      <c r="G3" s="313"/>
      <c r="H3" s="313"/>
      <c r="I3" s="313"/>
      <c r="J3" s="313"/>
      <c r="K3" s="313"/>
      <c r="L3" s="313"/>
      <c r="M3" s="313"/>
      <c r="N3" s="313"/>
      <c r="O3" s="313"/>
      <c r="P3" s="313"/>
      <c r="Q3" s="313"/>
      <c r="R3" s="313"/>
      <c r="S3" s="313"/>
      <c r="T3" s="65"/>
      <c r="U3" s="66"/>
    </row>
    <row r="4" spans="1:24" ht="15.5" x14ac:dyDescent="0.35">
      <c r="B4" s="64"/>
      <c r="C4" s="67" t="s">
        <v>434</v>
      </c>
      <c r="D4" s="29"/>
      <c r="E4" s="29"/>
      <c r="F4" s="29"/>
      <c r="G4" s="29"/>
      <c r="H4" s="29"/>
      <c r="I4" s="29"/>
      <c r="J4" s="29"/>
      <c r="K4" s="29"/>
      <c r="L4" s="29"/>
      <c r="M4" s="29"/>
      <c r="N4" s="29"/>
      <c r="O4" s="29"/>
      <c r="P4" s="29"/>
      <c r="Q4" s="29"/>
      <c r="R4" s="29"/>
      <c r="S4" s="29"/>
      <c r="T4" s="29"/>
      <c r="U4" s="25"/>
    </row>
    <row r="5" spans="1:24" ht="20" x14ac:dyDescent="0.35">
      <c r="B5" s="64"/>
      <c r="C5" s="211" t="s">
        <v>435</v>
      </c>
      <c r="D5" s="316" t="s">
        <v>421</v>
      </c>
      <c r="E5" s="316"/>
      <c r="F5" s="29"/>
      <c r="G5" s="29"/>
      <c r="H5" s="29"/>
      <c r="I5" s="29"/>
      <c r="J5" s="29"/>
      <c r="K5" s="29"/>
      <c r="L5" s="29"/>
      <c r="M5" s="29"/>
      <c r="N5" s="29"/>
      <c r="O5" s="29"/>
      <c r="P5" s="29"/>
      <c r="Q5" s="29"/>
      <c r="R5" s="29"/>
      <c r="S5" s="29"/>
      <c r="T5" s="29"/>
      <c r="U5" s="25"/>
    </row>
    <row r="6" spans="1:24" x14ac:dyDescent="0.35">
      <c r="B6" s="64"/>
      <c r="C6" s="29"/>
      <c r="D6" s="29"/>
      <c r="E6" s="29"/>
      <c r="F6" s="29"/>
      <c r="G6" s="29"/>
      <c r="H6" s="29"/>
      <c r="I6" s="29"/>
      <c r="J6" s="29"/>
      <c r="K6" s="29"/>
      <c r="L6" s="29"/>
      <c r="M6" s="29"/>
      <c r="N6" s="29"/>
      <c r="O6" s="29"/>
      <c r="P6" s="29"/>
      <c r="Q6" s="29"/>
      <c r="R6" s="29"/>
      <c r="S6" s="29"/>
      <c r="T6" s="29"/>
      <c r="U6" s="25"/>
    </row>
    <row r="7" spans="1:24" ht="15.5" x14ac:dyDescent="0.35">
      <c r="B7" s="64"/>
      <c r="C7" s="68" t="s">
        <v>0</v>
      </c>
      <c r="D7" s="69" t="s">
        <v>1</v>
      </c>
      <c r="E7" s="70" t="s">
        <v>2</v>
      </c>
      <c r="F7" s="29"/>
      <c r="G7" s="29"/>
      <c r="H7" s="29"/>
      <c r="I7" s="29"/>
      <c r="J7" s="29"/>
      <c r="K7" s="29"/>
      <c r="L7" s="29"/>
      <c r="M7" s="29"/>
      <c r="N7" s="29"/>
      <c r="O7" s="29"/>
      <c r="P7" s="29"/>
      <c r="Q7" s="29"/>
      <c r="R7" s="29"/>
      <c r="S7" s="29"/>
      <c r="T7" s="29"/>
      <c r="U7" s="25"/>
      <c r="W7" s="39" t="s">
        <v>22</v>
      </c>
      <c r="X7" s="39" t="s">
        <v>2</v>
      </c>
    </row>
    <row r="8" spans="1:24" ht="15.5" x14ac:dyDescent="0.35">
      <c r="B8" s="64"/>
      <c r="C8" s="184" t="s">
        <v>70</v>
      </c>
      <c r="D8" s="185" t="s">
        <v>12</v>
      </c>
      <c r="E8" s="186">
        <v>6.4732999999999999E-2</v>
      </c>
      <c r="F8" s="29"/>
      <c r="G8" s="29"/>
      <c r="H8" s="29"/>
      <c r="I8" s="29"/>
      <c r="J8" s="29"/>
      <c r="K8" s="29"/>
      <c r="L8" s="29"/>
      <c r="M8" s="29"/>
      <c r="N8" s="29"/>
      <c r="O8" s="29"/>
      <c r="P8" s="29"/>
      <c r="Q8" s="29"/>
      <c r="R8" s="29"/>
      <c r="S8" s="29"/>
      <c r="T8" s="29"/>
      <c r="U8" s="25"/>
      <c r="W8" s="61" t="s">
        <v>105</v>
      </c>
      <c r="X8" s="62">
        <v>0.22576400000000002</v>
      </c>
    </row>
    <row r="9" spans="1:24" ht="31" x14ac:dyDescent="0.35">
      <c r="B9" s="64"/>
      <c r="C9" s="180" t="s">
        <v>245</v>
      </c>
      <c r="D9" s="187" t="s">
        <v>109</v>
      </c>
      <c r="E9" s="188">
        <v>5.5259999999999997E-2</v>
      </c>
      <c r="F9" s="29"/>
      <c r="G9" s="29"/>
      <c r="H9" s="29"/>
      <c r="I9" s="29"/>
      <c r="J9" s="29"/>
      <c r="K9" s="29"/>
      <c r="L9" s="29"/>
      <c r="M9" s="29"/>
      <c r="N9" s="29"/>
      <c r="O9" s="29"/>
      <c r="P9" s="29"/>
      <c r="Q9" s="29"/>
      <c r="R9" s="29"/>
      <c r="S9" s="29"/>
      <c r="T9" s="29"/>
      <c r="U9" s="25"/>
      <c r="W9" s="61" t="s">
        <v>109</v>
      </c>
      <c r="X9" s="62">
        <v>0.14785800000000002</v>
      </c>
    </row>
    <row r="10" spans="1:24" ht="15.5" x14ac:dyDescent="0.35">
      <c r="B10" s="64"/>
      <c r="C10" s="180" t="s">
        <v>118</v>
      </c>
      <c r="D10" s="187" t="s">
        <v>110</v>
      </c>
      <c r="E10" s="188">
        <v>5.466E-2</v>
      </c>
      <c r="F10" s="29"/>
      <c r="G10" s="29"/>
      <c r="H10" s="29"/>
      <c r="I10" s="29"/>
      <c r="J10" s="29"/>
      <c r="K10" s="29"/>
      <c r="L10" s="29"/>
      <c r="M10" s="29"/>
      <c r="N10" s="29"/>
      <c r="O10" s="29"/>
      <c r="P10" s="29"/>
      <c r="Q10" s="29"/>
      <c r="R10" s="29"/>
      <c r="S10" s="29"/>
      <c r="T10" s="29"/>
      <c r="U10" s="25"/>
      <c r="W10" s="61" t="s">
        <v>26</v>
      </c>
      <c r="X10" s="62">
        <v>0.12138499999999999</v>
      </c>
    </row>
    <row r="11" spans="1:24" ht="31" x14ac:dyDescent="0.35">
      <c r="B11" s="64"/>
      <c r="C11" s="180" t="s">
        <v>287</v>
      </c>
      <c r="D11" s="187" t="s">
        <v>109</v>
      </c>
      <c r="E11" s="188">
        <v>5.0930000000000003E-2</v>
      </c>
      <c r="F11" s="29"/>
      <c r="G11" s="29"/>
      <c r="H11" s="29"/>
      <c r="I11" s="29"/>
      <c r="J11" s="29"/>
      <c r="K11" s="29"/>
      <c r="L11" s="29"/>
      <c r="M11" s="29"/>
      <c r="N11" s="29"/>
      <c r="O11" s="29"/>
      <c r="P11" s="29"/>
      <c r="Q11" s="29"/>
      <c r="R11" s="29"/>
      <c r="S11" s="29"/>
      <c r="T11" s="29"/>
      <c r="U11" s="25"/>
      <c r="W11" s="61" t="s">
        <v>16</v>
      </c>
      <c r="X11" s="62">
        <v>8.1950999999999996E-2</v>
      </c>
    </row>
    <row r="12" spans="1:24" ht="15.5" x14ac:dyDescent="0.35">
      <c r="B12" s="64"/>
      <c r="C12" s="180" t="s">
        <v>229</v>
      </c>
      <c r="D12" s="187" t="s">
        <v>16</v>
      </c>
      <c r="E12" s="188">
        <v>5.0646999999999998E-2</v>
      </c>
      <c r="F12" s="29"/>
      <c r="G12" s="29"/>
      <c r="H12" s="29"/>
      <c r="I12" s="29"/>
      <c r="J12" s="29"/>
      <c r="K12" s="29"/>
      <c r="L12" s="29"/>
      <c r="M12" s="29"/>
      <c r="N12" s="29"/>
      <c r="O12" s="29"/>
      <c r="P12" s="29"/>
      <c r="Q12" s="29"/>
      <c r="R12" s="29"/>
      <c r="S12" s="29"/>
      <c r="T12" s="29"/>
      <c r="U12" s="25"/>
      <c r="W12" s="61" t="s">
        <v>12</v>
      </c>
      <c r="X12" s="62">
        <v>6.4732999999999999E-2</v>
      </c>
    </row>
    <row r="13" spans="1:24" ht="15.5" x14ac:dyDescent="0.35">
      <c r="B13" s="64"/>
      <c r="C13" s="180" t="s">
        <v>186</v>
      </c>
      <c r="D13" s="187" t="s">
        <v>105</v>
      </c>
      <c r="E13" s="188">
        <v>4.8543000000000003E-2</v>
      </c>
      <c r="F13" s="29"/>
      <c r="G13" s="29"/>
      <c r="H13" s="29"/>
      <c r="I13" s="29"/>
      <c r="J13" s="29"/>
      <c r="K13" s="29"/>
      <c r="L13" s="29"/>
      <c r="M13" s="29"/>
      <c r="N13" s="29"/>
      <c r="O13" s="29"/>
      <c r="P13" s="29"/>
      <c r="Q13" s="29"/>
      <c r="R13" s="29"/>
      <c r="S13" s="29"/>
      <c r="T13" s="29"/>
      <c r="U13" s="25"/>
      <c r="W13" s="61" t="s">
        <v>110</v>
      </c>
      <c r="X13" s="62">
        <v>5.466E-2</v>
      </c>
    </row>
    <row r="14" spans="1:24" ht="15.5" x14ac:dyDescent="0.35">
      <c r="B14" s="64"/>
      <c r="C14" s="180" t="s">
        <v>378</v>
      </c>
      <c r="D14" s="187" t="s">
        <v>26</v>
      </c>
      <c r="E14" s="188">
        <v>4.7264E-2</v>
      </c>
      <c r="F14" s="29"/>
      <c r="G14" s="29"/>
      <c r="H14" s="29"/>
      <c r="I14" s="29"/>
      <c r="J14" s="29"/>
      <c r="K14" s="29"/>
      <c r="L14" s="29"/>
      <c r="M14" s="29"/>
      <c r="N14" s="29"/>
      <c r="O14" s="29"/>
      <c r="P14" s="29"/>
      <c r="Q14" s="29"/>
      <c r="R14" s="29"/>
      <c r="S14" s="29"/>
      <c r="T14" s="29"/>
      <c r="U14" s="25"/>
      <c r="W14" s="61" t="s">
        <v>181</v>
      </c>
      <c r="X14" s="62">
        <v>4.5253000000000002E-2</v>
      </c>
    </row>
    <row r="15" spans="1:24" ht="15.5" x14ac:dyDescent="0.35">
      <c r="B15" s="64"/>
      <c r="C15" s="180" t="s">
        <v>187</v>
      </c>
      <c r="D15" s="187" t="s">
        <v>105</v>
      </c>
      <c r="E15" s="188">
        <v>4.5796999999999997E-2</v>
      </c>
      <c r="F15" s="29"/>
      <c r="G15" s="29"/>
      <c r="H15" s="29"/>
      <c r="I15" s="29"/>
      <c r="J15" s="29"/>
      <c r="K15" s="29"/>
      <c r="L15" s="29"/>
      <c r="M15" s="29"/>
      <c r="N15" s="29"/>
      <c r="O15" s="29"/>
      <c r="P15" s="29"/>
      <c r="Q15" s="29"/>
      <c r="R15" s="29"/>
      <c r="S15" s="29"/>
      <c r="T15" s="29"/>
      <c r="U15" s="25"/>
      <c r="W15" s="61" t="s">
        <v>85</v>
      </c>
      <c r="X15" s="62">
        <v>4.5082999999999998E-2</v>
      </c>
    </row>
    <row r="16" spans="1:24" ht="15.5" x14ac:dyDescent="0.35">
      <c r="B16" s="64"/>
      <c r="C16" s="180" t="s">
        <v>127</v>
      </c>
      <c r="D16" s="187" t="s">
        <v>85</v>
      </c>
      <c r="E16" s="188">
        <v>4.5082999999999998E-2</v>
      </c>
      <c r="F16" s="29"/>
      <c r="G16" s="29"/>
      <c r="H16" s="29"/>
      <c r="I16" s="29"/>
      <c r="J16" s="29"/>
      <c r="K16" s="29"/>
      <c r="L16" s="29"/>
      <c r="M16" s="29"/>
      <c r="N16" s="29"/>
      <c r="O16" s="29"/>
      <c r="P16" s="29"/>
      <c r="Q16" s="29"/>
      <c r="R16" s="29"/>
      <c r="S16" s="29"/>
      <c r="T16" s="29"/>
      <c r="U16" s="25"/>
      <c r="W16" s="61" t="s">
        <v>82</v>
      </c>
      <c r="X16" s="62">
        <v>4.2201000000000002E-2</v>
      </c>
    </row>
    <row r="17" spans="2:24" ht="15.5" x14ac:dyDescent="0.35">
      <c r="B17" s="64"/>
      <c r="C17" s="180" t="s">
        <v>28</v>
      </c>
      <c r="D17" s="187" t="s">
        <v>105</v>
      </c>
      <c r="E17" s="188">
        <v>4.3674999999999999E-2</v>
      </c>
      <c r="F17" s="29"/>
      <c r="G17" s="29"/>
      <c r="H17" s="29"/>
      <c r="I17" s="29"/>
      <c r="J17" s="29"/>
      <c r="K17" s="29"/>
      <c r="L17" s="29"/>
      <c r="M17" s="29"/>
      <c r="N17" s="29"/>
      <c r="O17" s="29"/>
      <c r="P17" s="29"/>
      <c r="Q17" s="29"/>
      <c r="R17" s="29"/>
      <c r="S17" s="29"/>
      <c r="T17" s="29"/>
      <c r="U17" s="25"/>
      <c r="W17" s="61" t="s">
        <v>83</v>
      </c>
      <c r="X17" s="62">
        <v>4.1789E-2</v>
      </c>
    </row>
    <row r="18" spans="2:24" ht="15.5" x14ac:dyDescent="0.35">
      <c r="B18" s="64"/>
      <c r="C18" s="180" t="s">
        <v>92</v>
      </c>
      <c r="D18" s="187" t="s">
        <v>82</v>
      </c>
      <c r="E18" s="188">
        <v>4.2201000000000002E-2</v>
      </c>
      <c r="F18" s="29"/>
      <c r="G18" s="29"/>
      <c r="H18" s="29"/>
      <c r="I18" s="29"/>
      <c r="J18" s="29"/>
      <c r="K18" s="29"/>
      <c r="L18" s="29"/>
      <c r="M18" s="29"/>
      <c r="N18" s="29"/>
      <c r="O18" s="29"/>
      <c r="P18" s="29"/>
      <c r="Q18" s="29"/>
      <c r="R18" s="29"/>
      <c r="S18" s="29"/>
      <c r="T18" s="29"/>
      <c r="U18" s="25"/>
      <c r="W18" s="61" t="s">
        <v>131</v>
      </c>
      <c r="X18" s="62">
        <v>2.6388000000000002E-2</v>
      </c>
    </row>
    <row r="19" spans="2:24" ht="15.5" x14ac:dyDescent="0.35">
      <c r="B19" s="64"/>
      <c r="C19" s="180" t="s">
        <v>235</v>
      </c>
      <c r="D19" s="187" t="s">
        <v>83</v>
      </c>
      <c r="E19" s="188">
        <v>4.1789E-2</v>
      </c>
      <c r="F19" s="29"/>
      <c r="G19" s="29"/>
      <c r="H19" s="29"/>
      <c r="I19" s="29"/>
      <c r="J19" s="29"/>
      <c r="K19" s="29"/>
      <c r="L19" s="29"/>
      <c r="M19" s="29"/>
      <c r="N19" s="29"/>
      <c r="O19" s="29"/>
      <c r="P19" s="29"/>
      <c r="Q19" s="29"/>
      <c r="R19" s="29"/>
      <c r="S19" s="29"/>
      <c r="T19" s="29"/>
      <c r="U19" s="25"/>
      <c r="W19" s="61" t="s">
        <v>108</v>
      </c>
      <c r="X19" s="62">
        <v>2.5873E-2</v>
      </c>
    </row>
    <row r="20" spans="2:24" ht="15.5" x14ac:dyDescent="0.35">
      <c r="B20" s="64"/>
      <c r="C20" s="180" t="s">
        <v>183</v>
      </c>
      <c r="D20" s="187" t="s">
        <v>105</v>
      </c>
      <c r="E20" s="188">
        <v>4.1341000000000003E-2</v>
      </c>
      <c r="F20" s="29"/>
      <c r="G20" s="29"/>
      <c r="H20" s="29"/>
      <c r="I20" s="29"/>
      <c r="J20" s="29"/>
      <c r="K20" s="29"/>
      <c r="L20" s="29"/>
      <c r="M20" s="29"/>
      <c r="N20" s="29"/>
      <c r="O20" s="29"/>
      <c r="P20" s="29"/>
      <c r="Q20" s="29"/>
      <c r="R20" s="29"/>
      <c r="S20" s="29"/>
      <c r="T20" s="29"/>
      <c r="U20" s="25"/>
      <c r="W20" s="61" t="s">
        <v>104</v>
      </c>
      <c r="X20" s="62">
        <v>2.3918999999999999E-2</v>
      </c>
    </row>
    <row r="21" spans="2:24" ht="15.5" x14ac:dyDescent="0.35">
      <c r="B21" s="64"/>
      <c r="C21" s="180" t="s">
        <v>136</v>
      </c>
      <c r="D21" s="187" t="s">
        <v>26</v>
      </c>
      <c r="E21" s="188">
        <v>4.0665E-2</v>
      </c>
      <c r="F21" s="29"/>
      <c r="G21" s="29"/>
      <c r="H21" s="29"/>
      <c r="I21" s="29"/>
      <c r="J21" s="29"/>
      <c r="K21" s="29"/>
      <c r="L21" s="29"/>
      <c r="M21" s="29"/>
      <c r="N21" s="29"/>
      <c r="O21" s="29"/>
      <c r="P21" s="29"/>
      <c r="Q21" s="29"/>
      <c r="R21" s="29"/>
      <c r="S21" s="29"/>
      <c r="T21" s="29"/>
      <c r="U21" s="25"/>
      <c r="W21" s="61" t="s">
        <v>117</v>
      </c>
      <c r="X21" s="62">
        <v>2.171E-2</v>
      </c>
    </row>
    <row r="22" spans="2:24" ht="15.5" x14ac:dyDescent="0.35">
      <c r="B22" s="64"/>
      <c r="C22" s="180" t="s">
        <v>225</v>
      </c>
      <c r="D22" s="187" t="s">
        <v>26</v>
      </c>
      <c r="E22" s="188">
        <v>3.3456E-2</v>
      </c>
      <c r="F22" s="29"/>
      <c r="G22" s="29"/>
      <c r="H22" s="29"/>
      <c r="I22" s="29"/>
      <c r="J22" s="29"/>
      <c r="K22" s="29"/>
      <c r="L22" s="29"/>
      <c r="M22" s="29"/>
      <c r="N22" s="29"/>
      <c r="O22" s="29"/>
      <c r="P22" s="29"/>
      <c r="Q22" s="29"/>
      <c r="R22" s="29"/>
      <c r="S22" s="29"/>
      <c r="T22" s="29"/>
      <c r="U22" s="25"/>
      <c r="W22" s="61" t="s">
        <v>3</v>
      </c>
      <c r="X22" s="62">
        <v>2.1434999999999999E-2</v>
      </c>
    </row>
    <row r="23" spans="2:24" ht="15.5" x14ac:dyDescent="0.35">
      <c r="B23" s="64"/>
      <c r="C23" s="71"/>
      <c r="D23" s="71"/>
      <c r="E23" s="72"/>
      <c r="F23" s="29"/>
      <c r="G23" s="29"/>
      <c r="H23" s="29"/>
      <c r="I23" s="29"/>
      <c r="J23" s="29"/>
      <c r="K23" s="29"/>
      <c r="L23" s="29"/>
      <c r="M23" s="29"/>
      <c r="N23" s="29"/>
      <c r="O23" s="29"/>
      <c r="P23" s="29"/>
      <c r="Q23" s="29"/>
      <c r="R23" s="29"/>
      <c r="S23" s="29"/>
      <c r="T23" s="29"/>
      <c r="U23" s="25"/>
      <c r="W23" s="61" t="s">
        <v>13</v>
      </c>
      <c r="X23" s="62">
        <v>9.9699999999999997E-3</v>
      </c>
    </row>
    <row r="24" spans="2:24" ht="15.5" x14ac:dyDescent="0.35">
      <c r="B24" s="64"/>
      <c r="C24" s="73" t="s">
        <v>55</v>
      </c>
      <c r="D24" s="74"/>
      <c r="E24" s="75">
        <f>SUM(E8:E22)</f>
        <v>0.70604399999999989</v>
      </c>
      <c r="F24" s="29"/>
      <c r="G24" s="29"/>
      <c r="H24" s="29"/>
      <c r="I24" s="29"/>
      <c r="J24" s="29"/>
      <c r="K24" s="29"/>
      <c r="L24" s="29"/>
      <c r="M24" s="29"/>
      <c r="N24" s="29"/>
      <c r="O24" s="29"/>
      <c r="P24" s="29"/>
      <c r="Q24" s="29"/>
      <c r="R24" s="29"/>
      <c r="S24" s="29"/>
      <c r="T24" s="29"/>
      <c r="U24" s="25"/>
      <c r="W24" s="61"/>
      <c r="X24" s="62"/>
    </row>
    <row r="25" spans="2:24" x14ac:dyDescent="0.35">
      <c r="B25" s="64"/>
      <c r="C25" s="29"/>
      <c r="D25" s="29"/>
      <c r="E25" s="29"/>
      <c r="F25" s="29"/>
      <c r="G25" s="29"/>
      <c r="H25" s="29"/>
      <c r="I25" s="29"/>
      <c r="J25" s="29"/>
      <c r="K25" s="29"/>
      <c r="L25" s="29"/>
      <c r="M25" s="29"/>
      <c r="N25" s="29"/>
      <c r="O25" s="29"/>
      <c r="P25" s="29"/>
      <c r="Q25" s="29"/>
      <c r="R25" s="29"/>
      <c r="S25" s="29"/>
      <c r="T25" s="29"/>
      <c r="U25" s="25"/>
      <c r="W25" s="61"/>
      <c r="X25" s="62"/>
    </row>
    <row r="26" spans="2:24" x14ac:dyDescent="0.35">
      <c r="B26" s="64"/>
      <c r="C26" s="29"/>
      <c r="D26" s="29"/>
      <c r="E26" s="29"/>
      <c r="F26" s="29"/>
      <c r="G26" s="29"/>
      <c r="H26" s="29"/>
      <c r="I26" s="29"/>
      <c r="J26" s="29"/>
      <c r="K26" s="29"/>
      <c r="L26" s="29"/>
      <c r="M26" s="29"/>
      <c r="N26" s="29"/>
      <c r="O26" s="29"/>
      <c r="P26" s="29"/>
      <c r="Q26" s="29"/>
      <c r="R26" s="29"/>
      <c r="S26" s="29"/>
      <c r="T26" s="29"/>
      <c r="U26" s="25"/>
      <c r="W26" s="61"/>
      <c r="X26" s="62"/>
    </row>
    <row r="27" spans="2:24" x14ac:dyDescent="0.35">
      <c r="B27" s="64"/>
      <c r="C27" s="29"/>
      <c r="D27" s="29"/>
      <c r="E27" s="29"/>
      <c r="F27" s="29"/>
      <c r="G27" s="29"/>
      <c r="H27" s="29"/>
      <c r="I27" s="29"/>
      <c r="J27" s="29"/>
      <c r="K27" s="29"/>
      <c r="L27" s="29"/>
      <c r="M27" s="29"/>
      <c r="N27" s="29"/>
      <c r="O27" s="29"/>
      <c r="P27" s="29"/>
      <c r="Q27" s="29"/>
      <c r="R27" s="29"/>
      <c r="S27" s="29"/>
      <c r="T27" s="29"/>
      <c r="U27" s="25"/>
      <c r="W27" s="61"/>
      <c r="X27" s="62"/>
    </row>
    <row r="28" spans="2:24" x14ac:dyDescent="0.35">
      <c r="B28" s="64"/>
      <c r="C28" s="29"/>
      <c r="D28" s="29"/>
      <c r="E28" s="29"/>
      <c r="F28" s="29"/>
      <c r="G28" s="29"/>
      <c r="H28" s="29"/>
      <c r="I28" s="29"/>
      <c r="J28" s="29"/>
      <c r="K28" s="29"/>
      <c r="L28" s="29"/>
      <c r="M28" s="29"/>
      <c r="N28" s="29"/>
      <c r="O28" s="29"/>
      <c r="P28" s="29"/>
      <c r="Q28" s="29"/>
      <c r="R28" s="29"/>
      <c r="S28" s="29"/>
      <c r="T28" s="29"/>
      <c r="U28" s="25"/>
      <c r="W28" s="61"/>
      <c r="X28" s="62"/>
    </row>
    <row r="29" spans="2:24" x14ac:dyDescent="0.35">
      <c r="B29" s="64"/>
      <c r="C29" s="29"/>
      <c r="D29" s="29"/>
      <c r="E29" s="29"/>
      <c r="F29" s="29"/>
      <c r="G29" s="29"/>
      <c r="H29" s="29"/>
      <c r="I29" s="29"/>
      <c r="J29" s="29"/>
      <c r="K29" s="29"/>
      <c r="L29" s="29"/>
      <c r="M29" s="29"/>
      <c r="N29" s="29"/>
      <c r="O29" s="29"/>
      <c r="P29" s="29"/>
      <c r="Q29" s="29"/>
      <c r="R29" s="29"/>
      <c r="S29" s="29"/>
      <c r="T29" s="29"/>
      <c r="U29" s="25"/>
      <c r="W29" s="61"/>
      <c r="X29" s="62"/>
    </row>
    <row r="30" spans="2:24" x14ac:dyDescent="0.35">
      <c r="B30" s="64"/>
      <c r="C30" s="29"/>
      <c r="D30" s="29"/>
      <c r="E30" s="29"/>
      <c r="F30" s="29"/>
      <c r="G30" s="29"/>
      <c r="H30" s="29"/>
      <c r="I30" s="29"/>
      <c r="J30" s="29"/>
      <c r="K30" s="29"/>
      <c r="L30" s="29"/>
      <c r="M30" s="29"/>
      <c r="N30" s="29"/>
      <c r="O30" s="29"/>
      <c r="P30" s="29"/>
      <c r="Q30" s="29"/>
      <c r="R30" s="29"/>
      <c r="S30" s="29"/>
      <c r="T30" s="29"/>
      <c r="U30" s="25"/>
      <c r="W30" s="61"/>
      <c r="X30" s="62"/>
    </row>
    <row r="31" spans="2:24" x14ac:dyDescent="0.35">
      <c r="B31" s="64"/>
      <c r="C31" s="29"/>
      <c r="D31" s="29"/>
      <c r="E31" s="29"/>
      <c r="F31" s="29"/>
      <c r="G31" s="29"/>
      <c r="H31" s="29"/>
      <c r="I31" s="29"/>
      <c r="J31" s="29"/>
      <c r="K31" s="29"/>
      <c r="L31" s="29"/>
      <c r="M31" s="29"/>
      <c r="N31" s="29"/>
      <c r="O31" s="29"/>
      <c r="P31" s="29"/>
      <c r="Q31" s="29"/>
      <c r="R31" s="29"/>
      <c r="S31" s="29"/>
      <c r="T31" s="29"/>
      <c r="U31" s="25"/>
      <c r="W31" s="61"/>
      <c r="X31" s="62"/>
    </row>
    <row r="32" spans="2:24" x14ac:dyDescent="0.35">
      <c r="B32" s="64"/>
      <c r="C32" s="29"/>
      <c r="D32" s="29"/>
      <c r="E32" s="29"/>
      <c r="F32" s="29"/>
      <c r="G32" s="29"/>
      <c r="H32" s="29"/>
      <c r="I32" s="29"/>
      <c r="J32" s="29"/>
      <c r="K32" s="29"/>
      <c r="L32" s="29"/>
      <c r="M32" s="29"/>
      <c r="N32" s="29"/>
      <c r="O32" s="29"/>
      <c r="P32" s="29"/>
      <c r="Q32" s="29"/>
      <c r="R32" s="29"/>
      <c r="S32" s="29"/>
      <c r="T32" s="29"/>
      <c r="U32" s="25"/>
      <c r="W32" s="61"/>
      <c r="X32" s="62"/>
    </row>
    <row r="33" spans="2:24" x14ac:dyDescent="0.35">
      <c r="B33" s="64"/>
      <c r="C33" s="29"/>
      <c r="D33" s="29"/>
      <c r="E33" s="29"/>
      <c r="F33" s="29"/>
      <c r="G33" s="29"/>
      <c r="H33" s="29"/>
      <c r="I33" s="29"/>
      <c r="J33" s="29"/>
      <c r="K33" s="29"/>
      <c r="L33" s="29"/>
      <c r="M33" s="29"/>
      <c r="N33" s="29"/>
      <c r="O33" s="29"/>
      <c r="P33" s="29"/>
      <c r="Q33" s="29"/>
      <c r="R33" s="29"/>
      <c r="S33" s="29"/>
      <c r="T33" s="29"/>
      <c r="U33" s="25"/>
      <c r="W33" s="61"/>
      <c r="X33" s="62"/>
    </row>
    <row r="34" spans="2:24" x14ac:dyDescent="0.35">
      <c r="B34" s="64"/>
      <c r="C34" s="29"/>
      <c r="D34" s="29"/>
      <c r="E34" s="29"/>
      <c r="F34" s="29"/>
      <c r="G34" s="29"/>
      <c r="H34" s="29"/>
      <c r="I34" s="29"/>
      <c r="J34" s="29"/>
      <c r="K34" s="29"/>
      <c r="L34" s="29"/>
      <c r="M34" s="29"/>
      <c r="N34" s="29"/>
      <c r="O34" s="29"/>
      <c r="P34" s="29"/>
      <c r="Q34" s="29"/>
      <c r="R34" s="29"/>
      <c r="S34" s="29"/>
      <c r="T34" s="29"/>
      <c r="U34" s="25"/>
      <c r="W34" s="61"/>
      <c r="X34" s="62"/>
    </row>
    <row r="35" spans="2:24" x14ac:dyDescent="0.35">
      <c r="B35" s="64"/>
      <c r="C35" s="29"/>
      <c r="D35" s="29"/>
      <c r="E35" s="29"/>
      <c r="F35" s="29"/>
      <c r="G35" s="29"/>
      <c r="H35" s="29"/>
      <c r="I35" s="29"/>
      <c r="J35" s="29"/>
      <c r="K35" s="29"/>
      <c r="L35" s="29"/>
      <c r="M35" s="29"/>
      <c r="N35" s="29"/>
      <c r="O35" s="29"/>
      <c r="P35" s="29"/>
      <c r="Q35" s="29"/>
      <c r="R35" s="29"/>
      <c r="S35" s="29"/>
      <c r="T35" s="29"/>
      <c r="U35" s="25"/>
      <c r="W35" s="61"/>
      <c r="X35" s="62"/>
    </row>
    <row r="36" spans="2:24" x14ac:dyDescent="0.35">
      <c r="B36" s="64"/>
      <c r="C36" s="29"/>
      <c r="D36" s="29"/>
      <c r="E36" s="29"/>
      <c r="F36" s="29"/>
      <c r="G36" s="29"/>
      <c r="H36" s="29"/>
      <c r="I36" s="29"/>
      <c r="J36" s="29"/>
      <c r="K36" s="29"/>
      <c r="L36" s="29"/>
      <c r="M36" s="29"/>
      <c r="N36" s="29"/>
      <c r="O36" s="29"/>
      <c r="P36" s="29"/>
      <c r="Q36" s="29"/>
      <c r="R36" s="29"/>
      <c r="S36" s="29"/>
      <c r="T36" s="29"/>
      <c r="U36" s="25"/>
      <c r="W36" s="61"/>
      <c r="X36" s="62"/>
    </row>
    <row r="37" spans="2:24" ht="15" thickBot="1" x14ac:dyDescent="0.4">
      <c r="B37" s="76"/>
      <c r="C37" s="30"/>
      <c r="D37" s="30"/>
      <c r="E37" s="30"/>
      <c r="F37" s="30"/>
      <c r="G37" s="30"/>
      <c r="H37" s="30"/>
      <c r="I37" s="30"/>
      <c r="J37" s="30"/>
      <c r="K37" s="30"/>
      <c r="L37" s="30"/>
      <c r="M37" s="30"/>
      <c r="N37" s="30"/>
      <c r="O37" s="30"/>
      <c r="P37" s="30"/>
      <c r="Q37" s="30"/>
      <c r="R37" s="30"/>
      <c r="S37" s="30"/>
      <c r="T37" s="30"/>
      <c r="U37" s="26"/>
      <c r="W37" s="61"/>
      <c r="X37" s="62"/>
    </row>
    <row r="38" spans="2:24" ht="15" thickBot="1" x14ac:dyDescent="0.4">
      <c r="W38" s="61"/>
      <c r="X38" s="62"/>
    </row>
    <row r="39" spans="2:24" ht="15" customHeight="1" x14ac:dyDescent="0.35">
      <c r="B39" s="303" t="s">
        <v>179</v>
      </c>
      <c r="C39" s="304"/>
      <c r="D39" s="304"/>
      <c r="E39" s="304"/>
      <c r="F39" s="304"/>
      <c r="G39" s="304"/>
      <c r="H39" s="304"/>
      <c r="I39" s="304"/>
      <c r="J39" s="304"/>
      <c r="K39" s="304"/>
      <c r="L39" s="304"/>
      <c r="M39" s="304"/>
      <c r="N39" s="304"/>
      <c r="O39" s="304"/>
      <c r="P39" s="304"/>
      <c r="Q39" s="304"/>
      <c r="R39" s="305"/>
      <c r="W39" s="61"/>
      <c r="X39" s="62"/>
    </row>
    <row r="40" spans="2:24" x14ac:dyDescent="0.35">
      <c r="B40" s="306"/>
      <c r="C40" s="307"/>
      <c r="D40" s="307"/>
      <c r="E40" s="307"/>
      <c r="F40" s="307"/>
      <c r="G40" s="307"/>
      <c r="H40" s="307"/>
      <c r="I40" s="307"/>
      <c r="J40" s="307"/>
      <c r="K40" s="307"/>
      <c r="L40" s="307"/>
      <c r="M40" s="307"/>
      <c r="N40" s="307"/>
      <c r="O40" s="307"/>
      <c r="P40" s="307"/>
      <c r="Q40" s="307"/>
      <c r="R40" s="308"/>
      <c r="W40" s="61"/>
      <c r="X40" s="62"/>
    </row>
    <row r="41" spans="2:24" x14ac:dyDescent="0.35">
      <c r="B41" s="306"/>
      <c r="C41" s="307"/>
      <c r="D41" s="307"/>
      <c r="E41" s="307"/>
      <c r="F41" s="307"/>
      <c r="G41" s="307"/>
      <c r="H41" s="307"/>
      <c r="I41" s="307"/>
      <c r="J41" s="307"/>
      <c r="K41" s="307"/>
      <c r="L41" s="307"/>
      <c r="M41" s="307"/>
      <c r="N41" s="307"/>
      <c r="O41" s="307"/>
      <c r="P41" s="307"/>
      <c r="Q41" s="307"/>
      <c r="R41" s="308"/>
      <c r="W41" s="61"/>
      <c r="X41" s="62"/>
    </row>
    <row r="42" spans="2:24" x14ac:dyDescent="0.35">
      <c r="B42" s="306"/>
      <c r="C42" s="307"/>
      <c r="D42" s="307"/>
      <c r="E42" s="307"/>
      <c r="F42" s="307"/>
      <c r="G42" s="307"/>
      <c r="H42" s="307"/>
      <c r="I42" s="307"/>
      <c r="J42" s="307"/>
      <c r="K42" s="307"/>
      <c r="L42" s="307"/>
      <c r="M42" s="307"/>
      <c r="N42" s="307"/>
      <c r="O42" s="307"/>
      <c r="P42" s="307"/>
      <c r="Q42" s="307"/>
      <c r="R42" s="308"/>
      <c r="W42" s="61"/>
      <c r="X42" s="62"/>
    </row>
    <row r="43" spans="2:24" x14ac:dyDescent="0.35">
      <c r="B43" s="306"/>
      <c r="C43" s="307"/>
      <c r="D43" s="307"/>
      <c r="E43" s="307"/>
      <c r="F43" s="307"/>
      <c r="G43" s="307"/>
      <c r="H43" s="307"/>
      <c r="I43" s="307"/>
      <c r="J43" s="307"/>
      <c r="K43" s="307"/>
      <c r="L43" s="307"/>
      <c r="M43" s="307"/>
      <c r="N43" s="307"/>
      <c r="O43" s="307"/>
      <c r="P43" s="307"/>
      <c r="Q43" s="307"/>
      <c r="R43" s="308"/>
    </row>
    <row r="44" spans="2:24" x14ac:dyDescent="0.35">
      <c r="B44" s="306"/>
      <c r="C44" s="307"/>
      <c r="D44" s="307"/>
      <c r="E44" s="307"/>
      <c r="F44" s="307"/>
      <c r="G44" s="307"/>
      <c r="H44" s="307"/>
      <c r="I44" s="307"/>
      <c r="J44" s="307"/>
      <c r="K44" s="307"/>
      <c r="L44" s="307"/>
      <c r="M44" s="307"/>
      <c r="N44" s="307"/>
      <c r="O44" s="307"/>
      <c r="P44" s="307"/>
      <c r="Q44" s="307"/>
      <c r="R44" s="308"/>
    </row>
    <row r="45" spans="2:24" ht="15" thickBot="1" x14ac:dyDescent="0.4">
      <c r="B45" s="309"/>
      <c r="C45" s="310"/>
      <c r="D45" s="310"/>
      <c r="E45" s="310"/>
      <c r="F45" s="310"/>
      <c r="G45" s="310"/>
      <c r="H45" s="310"/>
      <c r="I45" s="310"/>
      <c r="J45" s="310"/>
      <c r="K45" s="310"/>
      <c r="L45" s="310"/>
      <c r="M45" s="310"/>
      <c r="N45" s="310"/>
      <c r="O45" s="310"/>
      <c r="P45" s="310"/>
      <c r="Q45" s="310"/>
      <c r="R45" s="311"/>
    </row>
  </sheetData>
  <sortState ref="W8:X26">
    <sortCondition descending="1" ref="X8"/>
  </sortState>
  <mergeCells count="3">
    <mergeCell ref="C3:S3"/>
    <mergeCell ref="D5:E5"/>
    <mergeCell ref="B39:R45"/>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982641-2AC8-4C55-BF9D-33E47FCEFE9F}">
  <sheetPr codeName="Sheet30"/>
  <dimension ref="A1:X45"/>
  <sheetViews>
    <sheetView showGridLines="0" zoomScale="77" zoomScaleNormal="75" workbookViewId="0"/>
  </sheetViews>
  <sheetFormatPr defaultColWidth="9.1796875" defaultRowHeight="14.5" x14ac:dyDescent="0.35"/>
  <cols>
    <col min="1" max="1" width="2.81640625" style="19" customWidth="1"/>
    <col min="2" max="2" width="3.81640625" style="19" customWidth="1"/>
    <col min="3" max="3" width="58.7265625" style="19" bestFit="1" customWidth="1"/>
    <col min="4" max="4" width="28.26953125" style="19" customWidth="1"/>
    <col min="5" max="5" width="10.453125" style="19" bestFit="1" customWidth="1"/>
    <col min="6" max="18" width="9.1796875" style="19"/>
    <col min="19" max="19" width="9.81640625" style="19" customWidth="1"/>
    <col min="20" max="22" width="9.1796875" style="19"/>
    <col min="23" max="23" width="31.453125" style="19" bestFit="1" customWidth="1"/>
    <col min="24" max="16384" width="9.1796875" style="19"/>
  </cols>
  <sheetData>
    <row r="1" spans="1:24" ht="16" thickBot="1" x14ac:dyDescent="0.4">
      <c r="A1" s="3"/>
    </row>
    <row r="2" spans="1:24" x14ac:dyDescent="0.35">
      <c r="B2" s="63"/>
      <c r="C2" s="28"/>
      <c r="D2" s="28"/>
      <c r="E2" s="28"/>
      <c r="F2" s="28"/>
      <c r="G2" s="28"/>
      <c r="H2" s="28"/>
      <c r="I2" s="28"/>
      <c r="J2" s="28"/>
      <c r="K2" s="28"/>
      <c r="L2" s="28"/>
      <c r="M2" s="28"/>
      <c r="N2" s="28"/>
      <c r="O2" s="28"/>
      <c r="P2" s="28"/>
      <c r="Q2" s="28"/>
      <c r="R2" s="28"/>
      <c r="S2" s="28"/>
      <c r="T2" s="28"/>
      <c r="U2" s="24"/>
    </row>
    <row r="3" spans="1:24" ht="20" x14ac:dyDescent="0.35">
      <c r="B3" s="64"/>
      <c r="C3" s="312" t="s">
        <v>150</v>
      </c>
      <c r="D3" s="313"/>
      <c r="E3" s="313"/>
      <c r="F3" s="313"/>
      <c r="G3" s="313"/>
      <c r="H3" s="313"/>
      <c r="I3" s="313"/>
      <c r="J3" s="313"/>
      <c r="K3" s="313"/>
      <c r="L3" s="313"/>
      <c r="M3" s="313"/>
      <c r="N3" s="313"/>
      <c r="O3" s="313"/>
      <c r="P3" s="313"/>
      <c r="Q3" s="313"/>
      <c r="R3" s="313"/>
      <c r="S3" s="313"/>
      <c r="T3" s="65"/>
      <c r="U3" s="66"/>
    </row>
    <row r="4" spans="1:24" ht="15.5" x14ac:dyDescent="0.35">
      <c r="B4" s="64"/>
      <c r="C4" s="67" t="s">
        <v>434</v>
      </c>
      <c r="D4" s="29"/>
      <c r="E4" s="29"/>
      <c r="F4" s="29"/>
      <c r="G4" s="29"/>
      <c r="H4" s="29"/>
      <c r="I4" s="29"/>
      <c r="J4" s="29"/>
      <c r="K4" s="29"/>
      <c r="L4" s="29"/>
      <c r="M4" s="29"/>
      <c r="N4" s="29"/>
      <c r="O4" s="29"/>
      <c r="P4" s="29"/>
      <c r="Q4" s="29"/>
      <c r="R4" s="29"/>
      <c r="S4" s="29"/>
      <c r="T4" s="29"/>
      <c r="U4" s="25"/>
    </row>
    <row r="5" spans="1:24" ht="20" x14ac:dyDescent="0.35">
      <c r="B5" s="64"/>
      <c r="C5" s="211" t="s">
        <v>435</v>
      </c>
      <c r="D5" s="316" t="s">
        <v>422</v>
      </c>
      <c r="E5" s="316"/>
      <c r="F5" s="29"/>
      <c r="G5" s="29"/>
      <c r="H5" s="29"/>
      <c r="I5" s="29"/>
      <c r="J5" s="29"/>
      <c r="K5" s="29"/>
      <c r="L5" s="29"/>
      <c r="M5" s="29"/>
      <c r="N5" s="29"/>
      <c r="O5" s="29"/>
      <c r="P5" s="29"/>
      <c r="Q5" s="29"/>
      <c r="R5" s="29"/>
      <c r="S5" s="29"/>
      <c r="T5" s="29"/>
      <c r="U5" s="25"/>
    </row>
    <row r="6" spans="1:24" x14ac:dyDescent="0.35">
      <c r="B6" s="64"/>
      <c r="C6" s="29"/>
      <c r="D6" s="29"/>
      <c r="E6" s="29"/>
      <c r="F6" s="29"/>
      <c r="G6" s="29"/>
      <c r="H6" s="29"/>
      <c r="I6" s="29"/>
      <c r="J6" s="29"/>
      <c r="K6" s="29"/>
      <c r="L6" s="29"/>
      <c r="M6" s="29"/>
      <c r="N6" s="29"/>
      <c r="O6" s="29"/>
      <c r="P6" s="29"/>
      <c r="Q6" s="29"/>
      <c r="R6" s="29"/>
      <c r="S6" s="29"/>
      <c r="T6" s="29"/>
      <c r="U6" s="25"/>
    </row>
    <row r="7" spans="1:24" ht="15.5" x14ac:dyDescent="0.35">
      <c r="B7" s="64"/>
      <c r="C7" s="68" t="s">
        <v>0</v>
      </c>
      <c r="D7" s="69" t="s">
        <v>1</v>
      </c>
      <c r="E7" s="70" t="s">
        <v>2</v>
      </c>
      <c r="F7" s="29"/>
      <c r="G7" s="29"/>
      <c r="H7" s="29"/>
      <c r="I7" s="29"/>
      <c r="J7" s="29"/>
      <c r="K7" s="29"/>
      <c r="L7" s="29"/>
      <c r="M7" s="29"/>
      <c r="N7" s="29"/>
      <c r="O7" s="29"/>
      <c r="P7" s="29"/>
      <c r="Q7" s="29"/>
      <c r="R7" s="29"/>
      <c r="S7" s="29"/>
      <c r="T7" s="29"/>
      <c r="U7" s="25"/>
      <c r="W7" s="39" t="s">
        <v>22</v>
      </c>
      <c r="X7" s="39" t="s">
        <v>2</v>
      </c>
    </row>
    <row r="8" spans="1:24" ht="15.5" x14ac:dyDescent="0.35">
      <c r="B8" s="64"/>
      <c r="C8" s="184" t="s">
        <v>276</v>
      </c>
      <c r="D8" s="185" t="s">
        <v>106</v>
      </c>
      <c r="E8" s="186">
        <v>4.0488000000000003E-2</v>
      </c>
      <c r="F8" s="29"/>
      <c r="G8" s="29"/>
      <c r="H8" s="29"/>
      <c r="I8" s="29"/>
      <c r="J8" s="29"/>
      <c r="K8" s="29"/>
      <c r="L8" s="29"/>
      <c r="M8" s="29"/>
      <c r="N8" s="29"/>
      <c r="O8" s="29"/>
      <c r="P8" s="29"/>
      <c r="Q8" s="29"/>
      <c r="R8" s="29"/>
      <c r="S8" s="29"/>
      <c r="T8" s="29"/>
      <c r="U8" s="25"/>
      <c r="W8" s="173" t="s">
        <v>109</v>
      </c>
      <c r="X8" s="172">
        <v>0.13727</v>
      </c>
    </row>
    <row r="9" spans="1:24" ht="15.5" x14ac:dyDescent="0.35">
      <c r="B9" s="64"/>
      <c r="C9" s="180" t="s">
        <v>30</v>
      </c>
      <c r="D9" s="187" t="s">
        <v>115</v>
      </c>
      <c r="E9" s="188">
        <v>4.0242E-2</v>
      </c>
      <c r="F9" s="29"/>
      <c r="G9" s="29"/>
      <c r="H9" s="29"/>
      <c r="I9" s="29"/>
      <c r="J9" s="29"/>
      <c r="K9" s="29"/>
      <c r="L9" s="29"/>
      <c r="M9" s="29"/>
      <c r="N9" s="29"/>
      <c r="O9" s="29"/>
      <c r="P9" s="29"/>
      <c r="Q9" s="29"/>
      <c r="R9" s="29"/>
      <c r="S9" s="29"/>
      <c r="T9" s="29"/>
      <c r="U9" s="25"/>
      <c r="W9" s="173" t="s">
        <v>105</v>
      </c>
      <c r="X9" s="172">
        <v>0.11614100000000001</v>
      </c>
    </row>
    <row r="10" spans="1:24" ht="15.5" x14ac:dyDescent="0.35">
      <c r="B10" s="64"/>
      <c r="C10" s="180" t="s">
        <v>86</v>
      </c>
      <c r="D10" s="187" t="s">
        <v>106</v>
      </c>
      <c r="E10" s="188">
        <v>3.9516000000000003E-2</v>
      </c>
      <c r="F10" s="29"/>
      <c r="G10" s="29"/>
      <c r="H10" s="29"/>
      <c r="I10" s="29"/>
      <c r="J10" s="29"/>
      <c r="K10" s="29"/>
      <c r="L10" s="29"/>
      <c r="M10" s="29"/>
      <c r="N10" s="29"/>
      <c r="O10" s="29"/>
      <c r="P10" s="29"/>
      <c r="Q10" s="29"/>
      <c r="R10" s="29"/>
      <c r="S10" s="29"/>
      <c r="T10" s="29"/>
      <c r="U10" s="25"/>
      <c r="W10" s="173" t="s">
        <v>3</v>
      </c>
      <c r="X10" s="172">
        <v>0.108138</v>
      </c>
    </row>
    <row r="11" spans="1:24" ht="31" x14ac:dyDescent="0.35">
      <c r="B11" s="64"/>
      <c r="C11" s="180" t="s">
        <v>245</v>
      </c>
      <c r="D11" s="187" t="s">
        <v>109</v>
      </c>
      <c r="E11" s="188">
        <v>3.9399000000000003E-2</v>
      </c>
      <c r="F11" s="29"/>
      <c r="G11" s="29"/>
      <c r="H11" s="29"/>
      <c r="I11" s="29"/>
      <c r="J11" s="29"/>
      <c r="K11" s="29"/>
      <c r="L11" s="29"/>
      <c r="M11" s="29"/>
      <c r="N11" s="29"/>
      <c r="O11" s="29"/>
      <c r="P11" s="29"/>
      <c r="Q11" s="29"/>
      <c r="R11" s="29"/>
      <c r="S11" s="29"/>
      <c r="T11" s="29"/>
      <c r="U11" s="25"/>
      <c r="W11" s="173" t="s">
        <v>110</v>
      </c>
      <c r="X11" s="172">
        <v>9.1647000000000006E-2</v>
      </c>
    </row>
    <row r="12" spans="1:24" ht="15.5" x14ac:dyDescent="0.35">
      <c r="B12" s="64"/>
      <c r="C12" s="180" t="s">
        <v>32</v>
      </c>
      <c r="D12" s="187" t="s">
        <v>3</v>
      </c>
      <c r="E12" s="188">
        <v>3.9396E-2</v>
      </c>
      <c r="F12" s="29"/>
      <c r="G12" s="29"/>
      <c r="H12" s="29"/>
      <c r="I12" s="29"/>
      <c r="J12" s="29"/>
      <c r="K12" s="29"/>
      <c r="L12" s="29"/>
      <c r="M12" s="29"/>
      <c r="N12" s="29"/>
      <c r="O12" s="29"/>
      <c r="P12" s="29"/>
      <c r="Q12" s="29"/>
      <c r="R12" s="29"/>
      <c r="S12" s="29"/>
      <c r="T12" s="29"/>
      <c r="U12" s="25"/>
      <c r="W12" s="173" t="s">
        <v>106</v>
      </c>
      <c r="X12" s="172">
        <v>8.0004000000000006E-2</v>
      </c>
    </row>
    <row r="13" spans="1:24" ht="15.5" x14ac:dyDescent="0.35">
      <c r="B13" s="64"/>
      <c r="C13" s="180" t="s">
        <v>29</v>
      </c>
      <c r="D13" s="187" t="s">
        <v>3</v>
      </c>
      <c r="E13" s="188">
        <v>3.8772000000000001E-2</v>
      </c>
      <c r="F13" s="29"/>
      <c r="G13" s="29"/>
      <c r="H13" s="29"/>
      <c r="I13" s="29"/>
      <c r="J13" s="29"/>
      <c r="K13" s="29"/>
      <c r="L13" s="29"/>
      <c r="M13" s="29"/>
      <c r="N13" s="29"/>
      <c r="O13" s="29"/>
      <c r="P13" s="29"/>
      <c r="Q13" s="29"/>
      <c r="R13" s="29"/>
      <c r="S13" s="29"/>
      <c r="T13" s="29"/>
      <c r="U13" s="25"/>
      <c r="W13" s="173" t="s">
        <v>115</v>
      </c>
      <c r="X13" s="172">
        <v>7.7886999999999998E-2</v>
      </c>
    </row>
    <row r="14" spans="1:24" ht="15.5" x14ac:dyDescent="0.35">
      <c r="B14" s="64"/>
      <c r="C14" s="180" t="s">
        <v>37</v>
      </c>
      <c r="D14" s="187" t="s">
        <v>115</v>
      </c>
      <c r="E14" s="188">
        <v>3.7644999999999998E-2</v>
      </c>
      <c r="F14" s="29"/>
      <c r="G14" s="29"/>
      <c r="H14" s="29"/>
      <c r="I14" s="29"/>
      <c r="J14" s="29"/>
      <c r="K14" s="29"/>
      <c r="L14" s="29"/>
      <c r="M14" s="29"/>
      <c r="N14" s="29"/>
      <c r="O14" s="29"/>
      <c r="P14" s="29"/>
      <c r="Q14" s="29"/>
      <c r="R14" s="29"/>
      <c r="S14" s="29"/>
      <c r="T14" s="29"/>
      <c r="U14" s="25"/>
      <c r="W14" s="173" t="s">
        <v>16</v>
      </c>
      <c r="X14" s="172">
        <v>7.0438000000000001E-2</v>
      </c>
    </row>
    <row r="15" spans="1:24" ht="15.5" x14ac:dyDescent="0.35">
      <c r="B15" s="64"/>
      <c r="C15" s="180" t="s">
        <v>31</v>
      </c>
      <c r="D15" s="187" t="s">
        <v>6</v>
      </c>
      <c r="E15" s="188">
        <v>3.7446E-2</v>
      </c>
      <c r="F15" s="29"/>
      <c r="G15" s="29"/>
      <c r="H15" s="29"/>
      <c r="I15" s="29"/>
      <c r="J15" s="29"/>
      <c r="K15" s="29"/>
      <c r="L15" s="29"/>
      <c r="M15" s="29"/>
      <c r="N15" s="29"/>
      <c r="O15" s="29"/>
      <c r="P15" s="29"/>
      <c r="Q15" s="29"/>
      <c r="R15" s="29"/>
      <c r="S15" s="29"/>
      <c r="T15" s="29"/>
      <c r="U15" s="25"/>
      <c r="W15" s="173" t="s">
        <v>6</v>
      </c>
      <c r="X15" s="172">
        <v>3.7446E-2</v>
      </c>
    </row>
    <row r="16" spans="1:24" ht="15.5" x14ac:dyDescent="0.35">
      <c r="B16" s="64"/>
      <c r="C16" s="180" t="s">
        <v>232</v>
      </c>
      <c r="D16" s="187" t="s">
        <v>16</v>
      </c>
      <c r="E16" s="188">
        <v>3.6401999999999997E-2</v>
      </c>
      <c r="F16" s="29"/>
      <c r="G16" s="29"/>
      <c r="H16" s="29"/>
      <c r="I16" s="29"/>
      <c r="J16" s="29"/>
      <c r="K16" s="29"/>
      <c r="L16" s="29"/>
      <c r="M16" s="29"/>
      <c r="N16" s="29"/>
      <c r="O16" s="29"/>
      <c r="P16" s="29"/>
      <c r="Q16" s="29"/>
      <c r="R16" s="29"/>
      <c r="S16" s="29"/>
      <c r="T16" s="29"/>
      <c r="U16" s="25"/>
      <c r="W16" s="173" t="s">
        <v>84</v>
      </c>
      <c r="X16" s="172">
        <v>3.5408000000000002E-2</v>
      </c>
    </row>
    <row r="17" spans="2:24" ht="31" x14ac:dyDescent="0.35">
      <c r="B17" s="64"/>
      <c r="C17" s="180" t="s">
        <v>140</v>
      </c>
      <c r="D17" s="187" t="s">
        <v>109</v>
      </c>
      <c r="E17" s="188">
        <v>3.6337000000000001E-2</v>
      </c>
      <c r="F17" s="29"/>
      <c r="G17" s="29"/>
      <c r="H17" s="29"/>
      <c r="I17" s="29"/>
      <c r="J17" s="29"/>
      <c r="K17" s="29"/>
      <c r="L17" s="29"/>
      <c r="M17" s="29"/>
      <c r="N17" s="29"/>
      <c r="O17" s="29"/>
      <c r="P17" s="29"/>
      <c r="Q17" s="29"/>
      <c r="R17" s="29"/>
      <c r="S17" s="29"/>
      <c r="T17" s="29"/>
      <c r="U17" s="25"/>
      <c r="W17" s="173" t="s">
        <v>75</v>
      </c>
      <c r="X17" s="172">
        <v>3.4863999999999999E-2</v>
      </c>
    </row>
    <row r="18" spans="2:24" ht="15.5" x14ac:dyDescent="0.35">
      <c r="B18" s="64"/>
      <c r="C18" s="180" t="s">
        <v>350</v>
      </c>
      <c r="D18" s="187" t="s">
        <v>84</v>
      </c>
      <c r="E18" s="188">
        <v>3.5408000000000002E-2</v>
      </c>
      <c r="F18" s="29"/>
      <c r="G18" s="29"/>
      <c r="H18" s="29"/>
      <c r="I18" s="29"/>
      <c r="J18" s="29"/>
      <c r="K18" s="29"/>
      <c r="L18" s="29"/>
      <c r="M18" s="29"/>
      <c r="N18" s="29"/>
      <c r="O18" s="29"/>
      <c r="P18" s="29"/>
      <c r="Q18" s="29"/>
      <c r="R18" s="29"/>
      <c r="S18" s="29"/>
      <c r="T18" s="29"/>
      <c r="U18" s="25"/>
      <c r="W18" s="173" t="s">
        <v>12</v>
      </c>
      <c r="X18" s="172">
        <v>3.4229999999999997E-2</v>
      </c>
    </row>
    <row r="19" spans="2:24" ht="15.5" x14ac:dyDescent="0.35">
      <c r="B19" s="64"/>
      <c r="C19" s="180" t="s">
        <v>281</v>
      </c>
      <c r="D19" s="187" t="s">
        <v>75</v>
      </c>
      <c r="E19" s="188">
        <v>3.4863999999999999E-2</v>
      </c>
      <c r="F19" s="29"/>
      <c r="G19" s="29"/>
      <c r="H19" s="29"/>
      <c r="I19" s="29"/>
      <c r="J19" s="29"/>
      <c r="K19" s="29"/>
      <c r="L19" s="29"/>
      <c r="M19" s="29"/>
      <c r="N19" s="29"/>
      <c r="O19" s="29"/>
      <c r="P19" s="29"/>
      <c r="Q19" s="29"/>
      <c r="R19" s="29"/>
      <c r="S19" s="29"/>
      <c r="T19" s="29"/>
      <c r="U19" s="25"/>
      <c r="W19" s="173" t="s">
        <v>114</v>
      </c>
      <c r="X19" s="172">
        <v>3.1245999999999999E-2</v>
      </c>
    </row>
    <row r="20" spans="2:24" ht="15.5" x14ac:dyDescent="0.35">
      <c r="B20" s="64"/>
      <c r="C20" s="180" t="s">
        <v>70</v>
      </c>
      <c r="D20" s="187" t="s">
        <v>12</v>
      </c>
      <c r="E20" s="188">
        <v>3.4229999999999997E-2</v>
      </c>
      <c r="F20" s="29"/>
      <c r="G20" s="29"/>
      <c r="H20" s="29"/>
      <c r="I20" s="29"/>
      <c r="J20" s="29"/>
      <c r="K20" s="29"/>
      <c r="L20" s="29"/>
      <c r="M20" s="29"/>
      <c r="N20" s="29"/>
      <c r="O20" s="29"/>
      <c r="P20" s="29"/>
      <c r="Q20" s="29"/>
      <c r="R20" s="29"/>
      <c r="S20" s="29"/>
      <c r="T20" s="29"/>
      <c r="U20" s="25"/>
      <c r="W20" s="173" t="s">
        <v>108</v>
      </c>
      <c r="X20" s="172">
        <v>3.1199999999999999E-2</v>
      </c>
    </row>
    <row r="21" spans="2:24" ht="15.5" x14ac:dyDescent="0.35">
      <c r="B21" s="64"/>
      <c r="C21" s="180" t="s">
        <v>357</v>
      </c>
      <c r="D21" s="187" t="s">
        <v>16</v>
      </c>
      <c r="E21" s="188">
        <v>3.4035999999999997E-2</v>
      </c>
      <c r="F21" s="29"/>
      <c r="G21" s="29"/>
      <c r="H21" s="29"/>
      <c r="I21" s="29"/>
      <c r="J21" s="29"/>
      <c r="K21" s="29"/>
      <c r="L21" s="29"/>
      <c r="M21" s="29"/>
      <c r="N21" s="29"/>
      <c r="O21" s="29"/>
      <c r="P21" s="29"/>
      <c r="Q21" s="29"/>
      <c r="R21" s="29"/>
      <c r="S21" s="29"/>
      <c r="T21" s="29"/>
      <c r="U21" s="25"/>
      <c r="W21" s="173" t="s">
        <v>81</v>
      </c>
      <c r="X21" s="172">
        <v>3.0606999999999999E-2</v>
      </c>
    </row>
    <row r="22" spans="2:24" ht="15.5" x14ac:dyDescent="0.35">
      <c r="B22" s="64"/>
      <c r="C22" s="180" t="s">
        <v>94</v>
      </c>
      <c r="D22" s="187" t="s">
        <v>110</v>
      </c>
      <c r="E22" s="188">
        <v>3.3187000000000001E-2</v>
      </c>
      <c r="F22" s="29"/>
      <c r="G22" s="29"/>
      <c r="H22" s="29"/>
      <c r="I22" s="29"/>
      <c r="J22" s="29"/>
      <c r="K22" s="29"/>
      <c r="L22" s="29"/>
      <c r="M22" s="29"/>
      <c r="N22" s="29"/>
      <c r="O22" s="29"/>
      <c r="P22" s="29"/>
      <c r="Q22" s="29"/>
      <c r="R22" s="29"/>
      <c r="S22" s="29"/>
      <c r="T22" s="29"/>
      <c r="U22" s="25"/>
      <c r="W22" s="61" t="s">
        <v>4</v>
      </c>
      <c r="X22" s="62">
        <v>3.0484000000000001E-2</v>
      </c>
    </row>
    <row r="23" spans="2:24" ht="15.5" x14ac:dyDescent="0.35">
      <c r="B23" s="64"/>
      <c r="C23" s="71"/>
      <c r="D23" s="71"/>
      <c r="E23" s="72"/>
      <c r="F23" s="29"/>
      <c r="G23" s="29"/>
      <c r="H23" s="29"/>
      <c r="I23" s="29"/>
      <c r="J23" s="29"/>
      <c r="K23" s="29"/>
      <c r="L23" s="29"/>
      <c r="M23" s="29"/>
      <c r="N23" s="29"/>
      <c r="O23" s="29"/>
      <c r="P23" s="29"/>
      <c r="Q23" s="29"/>
      <c r="R23" s="29"/>
      <c r="S23" s="29"/>
      <c r="T23" s="29"/>
      <c r="U23" s="25"/>
      <c r="W23" s="61" t="s">
        <v>119</v>
      </c>
      <c r="X23" s="62">
        <v>2.7847E-2</v>
      </c>
    </row>
    <row r="24" spans="2:24" ht="15.5" x14ac:dyDescent="0.35">
      <c r="B24" s="64"/>
      <c r="C24" s="73" t="s">
        <v>55</v>
      </c>
      <c r="D24" s="74"/>
      <c r="E24" s="75">
        <f>SUM(E8:E22)</f>
        <v>0.55736799999999986</v>
      </c>
      <c r="F24" s="29"/>
      <c r="G24" s="29"/>
      <c r="H24" s="29"/>
      <c r="I24" s="29"/>
      <c r="J24" s="29"/>
      <c r="K24" s="29"/>
      <c r="L24" s="29"/>
      <c r="M24" s="29"/>
      <c r="N24" s="29"/>
      <c r="O24" s="29"/>
      <c r="P24" s="29"/>
      <c r="Q24" s="29"/>
      <c r="R24" s="29"/>
      <c r="S24" s="29"/>
      <c r="T24" s="29"/>
      <c r="U24" s="25"/>
      <c r="W24" s="61" t="s">
        <v>23</v>
      </c>
      <c r="X24" s="62">
        <v>2.4878999999999998E-2</v>
      </c>
    </row>
    <row r="25" spans="2:24" x14ac:dyDescent="0.35">
      <c r="B25" s="64"/>
      <c r="C25" s="29"/>
      <c r="D25" s="29"/>
      <c r="E25" s="29"/>
      <c r="F25" s="29"/>
      <c r="G25" s="29"/>
      <c r="H25" s="29"/>
      <c r="I25" s="29"/>
      <c r="J25" s="29"/>
      <c r="K25" s="29"/>
      <c r="L25" s="29"/>
      <c r="M25" s="29"/>
      <c r="N25" s="29"/>
      <c r="O25" s="29"/>
      <c r="P25" s="29"/>
      <c r="Q25" s="29"/>
      <c r="R25" s="29"/>
      <c r="S25" s="29"/>
      <c r="T25" s="29"/>
      <c r="U25" s="25"/>
      <c r="W25" s="61"/>
      <c r="X25" s="62"/>
    </row>
    <row r="26" spans="2:24" x14ac:dyDescent="0.35">
      <c r="B26" s="64"/>
      <c r="C26" s="29"/>
      <c r="D26" s="29"/>
      <c r="E26" s="29"/>
      <c r="F26" s="29"/>
      <c r="G26" s="29"/>
      <c r="H26" s="29"/>
      <c r="I26" s="29"/>
      <c r="J26" s="29"/>
      <c r="K26" s="29"/>
      <c r="L26" s="29"/>
      <c r="M26" s="29"/>
      <c r="N26" s="29"/>
      <c r="O26" s="29"/>
      <c r="P26" s="29"/>
      <c r="Q26" s="29"/>
      <c r="R26" s="29"/>
      <c r="S26" s="29"/>
      <c r="T26" s="29"/>
      <c r="U26" s="25"/>
      <c r="W26" s="61"/>
      <c r="X26" s="62"/>
    </row>
    <row r="27" spans="2:24" x14ac:dyDescent="0.35">
      <c r="B27" s="64"/>
      <c r="C27" s="29"/>
      <c r="D27" s="29"/>
      <c r="E27" s="29"/>
      <c r="F27" s="29"/>
      <c r="G27" s="29"/>
      <c r="H27" s="29"/>
      <c r="I27" s="29"/>
      <c r="J27" s="29"/>
      <c r="K27" s="29"/>
      <c r="L27" s="29"/>
      <c r="M27" s="29"/>
      <c r="N27" s="29"/>
      <c r="O27" s="29"/>
      <c r="P27" s="29"/>
      <c r="Q27" s="29"/>
      <c r="R27" s="29"/>
      <c r="S27" s="29"/>
      <c r="T27" s="29"/>
      <c r="U27" s="25"/>
      <c r="W27" s="61"/>
      <c r="X27" s="62"/>
    </row>
    <row r="28" spans="2:24" x14ac:dyDescent="0.35">
      <c r="B28" s="64"/>
      <c r="C28" s="29"/>
      <c r="D28" s="29"/>
      <c r="E28" s="29"/>
      <c r="F28" s="29"/>
      <c r="G28" s="29"/>
      <c r="H28" s="29"/>
      <c r="I28" s="29"/>
      <c r="J28" s="29"/>
      <c r="K28" s="29"/>
      <c r="L28" s="29"/>
      <c r="M28" s="29"/>
      <c r="N28" s="29"/>
      <c r="O28" s="29"/>
      <c r="P28" s="29"/>
      <c r="Q28" s="29"/>
      <c r="R28" s="29"/>
      <c r="S28" s="29"/>
      <c r="T28" s="29"/>
      <c r="U28" s="25"/>
      <c r="W28" s="61"/>
      <c r="X28" s="62"/>
    </row>
    <row r="29" spans="2:24" x14ac:dyDescent="0.35">
      <c r="B29" s="64"/>
      <c r="C29" s="29"/>
      <c r="D29" s="29"/>
      <c r="E29" s="29"/>
      <c r="F29" s="29"/>
      <c r="G29" s="29"/>
      <c r="H29" s="29"/>
      <c r="I29" s="29"/>
      <c r="J29" s="29"/>
      <c r="K29" s="29"/>
      <c r="L29" s="29"/>
      <c r="M29" s="29"/>
      <c r="N29" s="29"/>
      <c r="O29" s="29"/>
      <c r="P29" s="29"/>
      <c r="Q29" s="29"/>
      <c r="R29" s="29"/>
      <c r="S29" s="29"/>
      <c r="T29" s="29"/>
      <c r="U29" s="25"/>
      <c r="W29" s="61"/>
      <c r="X29" s="62"/>
    </row>
    <row r="30" spans="2:24" x14ac:dyDescent="0.35">
      <c r="B30" s="64"/>
      <c r="C30" s="29"/>
      <c r="D30" s="29"/>
      <c r="E30" s="29"/>
      <c r="F30" s="29"/>
      <c r="G30" s="29"/>
      <c r="H30" s="29"/>
      <c r="I30" s="29"/>
      <c r="J30" s="29"/>
      <c r="K30" s="29"/>
      <c r="L30" s="29"/>
      <c r="M30" s="29"/>
      <c r="N30" s="29"/>
      <c r="O30" s="29"/>
      <c r="P30" s="29"/>
      <c r="Q30" s="29"/>
      <c r="R30" s="29"/>
      <c r="S30" s="29"/>
      <c r="T30" s="29"/>
      <c r="U30" s="25"/>
      <c r="W30" s="61"/>
      <c r="X30" s="62"/>
    </row>
    <row r="31" spans="2:24" x14ac:dyDescent="0.35">
      <c r="B31" s="64"/>
      <c r="C31" s="29"/>
      <c r="D31" s="29"/>
      <c r="E31" s="29"/>
      <c r="F31" s="29"/>
      <c r="G31" s="29"/>
      <c r="H31" s="29"/>
      <c r="I31" s="29"/>
      <c r="J31" s="29"/>
      <c r="K31" s="29"/>
      <c r="L31" s="29"/>
      <c r="M31" s="29"/>
      <c r="N31" s="29"/>
      <c r="O31" s="29"/>
      <c r="P31" s="29"/>
      <c r="Q31" s="29"/>
      <c r="R31" s="29"/>
      <c r="S31" s="29"/>
      <c r="T31" s="29"/>
      <c r="U31" s="25"/>
      <c r="W31" s="61"/>
      <c r="X31" s="62"/>
    </row>
    <row r="32" spans="2:24" x14ac:dyDescent="0.35">
      <c r="B32" s="64"/>
      <c r="C32" s="29"/>
      <c r="D32" s="29"/>
      <c r="E32" s="29"/>
      <c r="F32" s="29"/>
      <c r="G32" s="29"/>
      <c r="H32" s="29"/>
      <c r="I32" s="29"/>
      <c r="J32" s="29"/>
      <c r="K32" s="29"/>
      <c r="L32" s="29"/>
      <c r="M32" s="29"/>
      <c r="N32" s="29"/>
      <c r="O32" s="29"/>
      <c r="P32" s="29"/>
      <c r="Q32" s="29"/>
      <c r="R32" s="29"/>
      <c r="S32" s="29"/>
      <c r="T32" s="29"/>
      <c r="U32" s="25"/>
      <c r="W32" s="61"/>
      <c r="X32" s="62"/>
    </row>
    <row r="33" spans="2:24" x14ac:dyDescent="0.35">
      <c r="B33" s="64"/>
      <c r="C33" s="29"/>
      <c r="D33" s="29"/>
      <c r="E33" s="29"/>
      <c r="F33" s="29"/>
      <c r="G33" s="29"/>
      <c r="H33" s="29"/>
      <c r="I33" s="29"/>
      <c r="J33" s="29"/>
      <c r="K33" s="29"/>
      <c r="L33" s="29"/>
      <c r="M33" s="29"/>
      <c r="N33" s="29"/>
      <c r="O33" s="29"/>
      <c r="P33" s="29"/>
      <c r="Q33" s="29"/>
      <c r="R33" s="29"/>
      <c r="S33" s="29"/>
      <c r="T33" s="29"/>
      <c r="U33" s="25"/>
      <c r="W33" s="61"/>
      <c r="X33" s="62"/>
    </row>
    <row r="34" spans="2:24" x14ac:dyDescent="0.35">
      <c r="B34" s="64"/>
      <c r="C34" s="29"/>
      <c r="D34" s="29"/>
      <c r="E34" s="29"/>
      <c r="F34" s="29"/>
      <c r="G34" s="29"/>
      <c r="H34" s="29"/>
      <c r="I34" s="29"/>
      <c r="J34" s="29"/>
      <c r="K34" s="29"/>
      <c r="L34" s="29"/>
      <c r="M34" s="29"/>
      <c r="N34" s="29"/>
      <c r="O34" s="29"/>
      <c r="P34" s="29"/>
      <c r="Q34" s="29"/>
      <c r="R34" s="29"/>
      <c r="S34" s="29"/>
      <c r="T34" s="29"/>
      <c r="U34" s="25"/>
      <c r="W34" s="61"/>
      <c r="X34" s="62"/>
    </row>
    <row r="35" spans="2:24" x14ac:dyDescent="0.35">
      <c r="B35" s="64"/>
      <c r="C35" s="29"/>
      <c r="D35" s="29"/>
      <c r="E35" s="29"/>
      <c r="F35" s="29"/>
      <c r="G35" s="29"/>
      <c r="H35" s="29"/>
      <c r="I35" s="29"/>
      <c r="J35" s="29"/>
      <c r="K35" s="29"/>
      <c r="L35" s="29"/>
      <c r="M35" s="29"/>
      <c r="N35" s="29"/>
      <c r="O35" s="29"/>
      <c r="P35" s="29"/>
      <c r="Q35" s="29"/>
      <c r="R35" s="29"/>
      <c r="S35" s="29"/>
      <c r="T35" s="29"/>
      <c r="U35" s="25"/>
      <c r="W35" s="61"/>
      <c r="X35" s="62"/>
    </row>
    <row r="36" spans="2:24" x14ac:dyDescent="0.35">
      <c r="B36" s="64"/>
      <c r="C36" s="29"/>
      <c r="D36" s="29"/>
      <c r="E36" s="29"/>
      <c r="F36" s="29"/>
      <c r="G36" s="29"/>
      <c r="H36" s="29"/>
      <c r="I36" s="29"/>
      <c r="J36" s="29"/>
      <c r="K36" s="29"/>
      <c r="L36" s="29"/>
      <c r="M36" s="29"/>
      <c r="N36" s="29"/>
      <c r="O36" s="29"/>
      <c r="P36" s="29"/>
      <c r="Q36" s="29"/>
      <c r="R36" s="29"/>
      <c r="S36" s="29"/>
      <c r="T36" s="29"/>
      <c r="U36" s="25"/>
      <c r="W36" s="61"/>
      <c r="X36" s="62"/>
    </row>
    <row r="37" spans="2:24" ht="15" thickBot="1" x14ac:dyDescent="0.4">
      <c r="B37" s="76"/>
      <c r="C37" s="30"/>
      <c r="D37" s="30"/>
      <c r="E37" s="30"/>
      <c r="F37" s="30"/>
      <c r="G37" s="30"/>
      <c r="H37" s="30"/>
      <c r="I37" s="30"/>
      <c r="J37" s="30"/>
      <c r="K37" s="30"/>
      <c r="L37" s="30"/>
      <c r="M37" s="30"/>
      <c r="N37" s="30"/>
      <c r="O37" s="30"/>
      <c r="P37" s="30"/>
      <c r="Q37" s="30"/>
      <c r="R37" s="30"/>
      <c r="S37" s="30"/>
      <c r="T37" s="30"/>
      <c r="U37" s="26"/>
      <c r="W37" s="61"/>
      <c r="X37" s="62"/>
    </row>
    <row r="38" spans="2:24" ht="15" thickBot="1" x14ac:dyDescent="0.4">
      <c r="W38" s="61"/>
      <c r="X38" s="62"/>
    </row>
    <row r="39" spans="2:24" ht="15" customHeight="1" x14ac:dyDescent="0.35">
      <c r="B39" s="303" t="s">
        <v>179</v>
      </c>
      <c r="C39" s="304"/>
      <c r="D39" s="304"/>
      <c r="E39" s="304"/>
      <c r="F39" s="304"/>
      <c r="G39" s="304"/>
      <c r="H39" s="304"/>
      <c r="I39" s="304"/>
      <c r="J39" s="304"/>
      <c r="K39" s="304"/>
      <c r="L39" s="304"/>
      <c r="M39" s="304"/>
      <c r="N39" s="304"/>
      <c r="O39" s="304"/>
      <c r="P39" s="304"/>
      <c r="Q39" s="304"/>
      <c r="R39" s="305"/>
      <c r="W39" s="61"/>
      <c r="X39" s="62"/>
    </row>
    <row r="40" spans="2:24" x14ac:dyDescent="0.35">
      <c r="B40" s="306"/>
      <c r="C40" s="307"/>
      <c r="D40" s="307"/>
      <c r="E40" s="307"/>
      <c r="F40" s="307"/>
      <c r="G40" s="307"/>
      <c r="H40" s="307"/>
      <c r="I40" s="307"/>
      <c r="J40" s="307"/>
      <c r="K40" s="307"/>
      <c r="L40" s="307"/>
      <c r="M40" s="307"/>
      <c r="N40" s="307"/>
      <c r="O40" s="307"/>
      <c r="P40" s="307"/>
      <c r="Q40" s="307"/>
      <c r="R40" s="308"/>
      <c r="W40" s="61"/>
      <c r="X40" s="62"/>
    </row>
    <row r="41" spans="2:24" x14ac:dyDescent="0.35">
      <c r="B41" s="306"/>
      <c r="C41" s="307"/>
      <c r="D41" s="307"/>
      <c r="E41" s="307"/>
      <c r="F41" s="307"/>
      <c r="G41" s="307"/>
      <c r="H41" s="307"/>
      <c r="I41" s="307"/>
      <c r="J41" s="307"/>
      <c r="K41" s="307"/>
      <c r="L41" s="307"/>
      <c r="M41" s="307"/>
      <c r="N41" s="307"/>
      <c r="O41" s="307"/>
      <c r="P41" s="307"/>
      <c r="Q41" s="307"/>
      <c r="R41" s="308"/>
      <c r="W41" s="61"/>
      <c r="X41" s="62"/>
    </row>
    <row r="42" spans="2:24" x14ac:dyDescent="0.35">
      <c r="B42" s="306"/>
      <c r="C42" s="307"/>
      <c r="D42" s="307"/>
      <c r="E42" s="307"/>
      <c r="F42" s="307"/>
      <c r="G42" s="307"/>
      <c r="H42" s="307"/>
      <c r="I42" s="307"/>
      <c r="J42" s="307"/>
      <c r="K42" s="307"/>
      <c r="L42" s="307"/>
      <c r="M42" s="307"/>
      <c r="N42" s="307"/>
      <c r="O42" s="307"/>
      <c r="P42" s="307"/>
      <c r="Q42" s="307"/>
      <c r="R42" s="308"/>
      <c r="W42" s="61"/>
      <c r="X42" s="62"/>
    </row>
    <row r="43" spans="2:24" x14ac:dyDescent="0.35">
      <c r="B43" s="306"/>
      <c r="C43" s="307"/>
      <c r="D43" s="307"/>
      <c r="E43" s="307"/>
      <c r="F43" s="307"/>
      <c r="G43" s="307"/>
      <c r="H43" s="307"/>
      <c r="I43" s="307"/>
      <c r="J43" s="307"/>
      <c r="K43" s="307"/>
      <c r="L43" s="307"/>
      <c r="M43" s="307"/>
      <c r="N43" s="307"/>
      <c r="O43" s="307"/>
      <c r="P43" s="307"/>
      <c r="Q43" s="307"/>
      <c r="R43" s="308"/>
    </row>
    <row r="44" spans="2:24" x14ac:dyDescent="0.35">
      <c r="B44" s="306"/>
      <c r="C44" s="307"/>
      <c r="D44" s="307"/>
      <c r="E44" s="307"/>
      <c r="F44" s="307"/>
      <c r="G44" s="307"/>
      <c r="H44" s="307"/>
      <c r="I44" s="307"/>
      <c r="J44" s="307"/>
      <c r="K44" s="307"/>
      <c r="L44" s="307"/>
      <c r="M44" s="307"/>
      <c r="N44" s="307"/>
      <c r="O44" s="307"/>
      <c r="P44" s="307"/>
      <c r="Q44" s="307"/>
      <c r="R44" s="308"/>
    </row>
    <row r="45" spans="2:24" ht="15" thickBot="1" x14ac:dyDescent="0.4">
      <c r="B45" s="309"/>
      <c r="C45" s="310"/>
      <c r="D45" s="310"/>
      <c r="E45" s="310"/>
      <c r="F45" s="310"/>
      <c r="G45" s="310"/>
      <c r="H45" s="310"/>
      <c r="I45" s="310"/>
      <c r="J45" s="310"/>
      <c r="K45" s="310"/>
      <c r="L45" s="310"/>
      <c r="M45" s="310"/>
      <c r="N45" s="310"/>
      <c r="O45" s="310"/>
      <c r="P45" s="310"/>
      <c r="Q45" s="310"/>
      <c r="R45" s="311"/>
    </row>
  </sheetData>
  <sortState ref="W8:X21">
    <sortCondition descending="1" ref="X8"/>
  </sortState>
  <mergeCells count="3">
    <mergeCell ref="C3:S3"/>
    <mergeCell ref="D5:E5"/>
    <mergeCell ref="B39:R45"/>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4716D5-2AB5-43DC-86FC-AA60F2E11B68}">
  <sheetPr codeName="Sheet31"/>
  <dimension ref="A1:X45"/>
  <sheetViews>
    <sheetView showGridLines="0" zoomScale="77" zoomScaleNormal="75" workbookViewId="0"/>
  </sheetViews>
  <sheetFormatPr defaultColWidth="9.1796875" defaultRowHeight="14.5" x14ac:dyDescent="0.35"/>
  <cols>
    <col min="1" max="1" width="2.81640625" style="19" customWidth="1"/>
    <col min="2" max="2" width="3.81640625" style="19" customWidth="1"/>
    <col min="3" max="3" width="58.7265625" style="19" bestFit="1" customWidth="1"/>
    <col min="4" max="4" width="28.26953125" style="19" customWidth="1"/>
    <col min="5" max="5" width="10.453125" style="19" bestFit="1" customWidth="1"/>
    <col min="6" max="18" width="9.1796875" style="19"/>
    <col min="19" max="19" width="9.81640625" style="19" customWidth="1"/>
    <col min="20" max="22" width="9.1796875" style="19"/>
    <col min="23" max="23" width="31.453125" style="19" bestFit="1" customWidth="1"/>
    <col min="24" max="16384" width="9.1796875" style="19"/>
  </cols>
  <sheetData>
    <row r="1" spans="1:24" ht="16" thickBot="1" x14ac:dyDescent="0.4">
      <c r="A1" s="3"/>
    </row>
    <row r="2" spans="1:24" x14ac:dyDescent="0.35">
      <c r="B2" s="63"/>
      <c r="C2" s="28"/>
      <c r="D2" s="28"/>
      <c r="E2" s="28"/>
      <c r="F2" s="28"/>
      <c r="G2" s="28"/>
      <c r="H2" s="28"/>
      <c r="I2" s="28"/>
      <c r="J2" s="28"/>
      <c r="K2" s="28"/>
      <c r="L2" s="28"/>
      <c r="M2" s="28"/>
      <c r="N2" s="28"/>
      <c r="O2" s="28"/>
      <c r="P2" s="28"/>
      <c r="Q2" s="28"/>
      <c r="R2" s="28"/>
      <c r="S2" s="28"/>
      <c r="T2" s="28"/>
      <c r="U2" s="24"/>
    </row>
    <row r="3" spans="1:24" ht="20" x14ac:dyDescent="0.35">
      <c r="B3" s="64"/>
      <c r="C3" s="312" t="s">
        <v>189</v>
      </c>
      <c r="D3" s="313"/>
      <c r="E3" s="313"/>
      <c r="F3" s="313"/>
      <c r="G3" s="313"/>
      <c r="H3" s="313"/>
      <c r="I3" s="313"/>
      <c r="J3" s="313"/>
      <c r="K3" s="313"/>
      <c r="L3" s="313"/>
      <c r="M3" s="313"/>
      <c r="N3" s="313"/>
      <c r="O3" s="313"/>
      <c r="P3" s="313"/>
      <c r="Q3" s="313"/>
      <c r="R3" s="313"/>
      <c r="S3" s="313"/>
      <c r="T3" s="65"/>
      <c r="U3" s="66"/>
    </row>
    <row r="4" spans="1:24" ht="15.5" x14ac:dyDescent="0.35">
      <c r="B4" s="64"/>
      <c r="C4" s="67" t="s">
        <v>434</v>
      </c>
      <c r="D4" s="29"/>
      <c r="E4" s="29"/>
      <c r="F4" s="29"/>
      <c r="G4" s="29"/>
      <c r="H4" s="29"/>
      <c r="I4" s="29"/>
      <c r="J4" s="29"/>
      <c r="K4" s="29"/>
      <c r="L4" s="29"/>
      <c r="M4" s="29"/>
      <c r="N4" s="29"/>
      <c r="O4" s="29"/>
      <c r="P4" s="29"/>
      <c r="Q4" s="29"/>
      <c r="R4" s="29"/>
      <c r="S4" s="29"/>
      <c r="T4" s="29"/>
      <c r="U4" s="25"/>
    </row>
    <row r="5" spans="1:24" ht="20" x14ac:dyDescent="0.35">
      <c r="B5" s="64"/>
      <c r="C5" s="211" t="s">
        <v>435</v>
      </c>
      <c r="D5" s="316">
        <v>23.91</v>
      </c>
      <c r="E5" s="316"/>
      <c r="F5" s="29"/>
      <c r="G5" s="29"/>
      <c r="H5" s="29"/>
      <c r="I5" s="29"/>
      <c r="J5" s="29"/>
      <c r="K5" s="29"/>
      <c r="L5" s="29"/>
      <c r="M5" s="29"/>
      <c r="N5" s="29"/>
      <c r="O5" s="29"/>
      <c r="P5" s="29"/>
      <c r="Q5" s="29"/>
      <c r="R5" s="29"/>
      <c r="S5" s="29"/>
      <c r="T5" s="29"/>
      <c r="U5" s="25"/>
    </row>
    <row r="6" spans="1:24" x14ac:dyDescent="0.35">
      <c r="B6" s="64"/>
      <c r="C6" s="29"/>
      <c r="D6" s="29"/>
      <c r="E6" s="29"/>
      <c r="F6" s="29"/>
      <c r="G6" s="29"/>
      <c r="H6" s="29"/>
      <c r="I6" s="29"/>
      <c r="J6" s="29"/>
      <c r="K6" s="29"/>
      <c r="L6" s="29"/>
      <c r="M6" s="29"/>
      <c r="N6" s="29"/>
      <c r="O6" s="29"/>
      <c r="P6" s="29"/>
      <c r="Q6" s="29"/>
      <c r="R6" s="29"/>
      <c r="S6" s="29"/>
      <c r="T6" s="29"/>
      <c r="U6" s="25"/>
    </row>
    <row r="7" spans="1:24" ht="15.5" x14ac:dyDescent="0.35">
      <c r="B7" s="64"/>
      <c r="C7" s="68" t="s">
        <v>0</v>
      </c>
      <c r="D7" s="69" t="s">
        <v>1</v>
      </c>
      <c r="E7" s="70" t="s">
        <v>2</v>
      </c>
      <c r="F7" s="29"/>
      <c r="G7" s="29"/>
      <c r="H7" s="29"/>
      <c r="I7" s="29"/>
      <c r="J7" s="29"/>
      <c r="K7" s="29"/>
      <c r="L7" s="29"/>
      <c r="M7" s="29"/>
      <c r="N7" s="29"/>
      <c r="O7" s="29"/>
      <c r="P7" s="29"/>
      <c r="Q7" s="29"/>
      <c r="R7" s="29"/>
      <c r="S7" s="29"/>
      <c r="T7" s="29"/>
      <c r="U7" s="25"/>
      <c r="W7" s="39" t="s">
        <v>22</v>
      </c>
      <c r="X7" s="39" t="s">
        <v>2</v>
      </c>
    </row>
    <row r="8" spans="1:24" ht="15.5" x14ac:dyDescent="0.35">
      <c r="B8" s="64"/>
      <c r="C8" s="184" t="s">
        <v>28</v>
      </c>
      <c r="D8" s="185" t="s">
        <v>105</v>
      </c>
      <c r="E8" s="186">
        <v>0.27202599999999999</v>
      </c>
      <c r="F8" s="29"/>
      <c r="G8" s="29"/>
      <c r="H8" s="29"/>
      <c r="I8" s="29"/>
      <c r="J8" s="29"/>
      <c r="K8" s="29"/>
      <c r="L8" s="29"/>
      <c r="M8" s="29"/>
      <c r="N8" s="29"/>
      <c r="O8" s="29"/>
      <c r="P8" s="29"/>
      <c r="Q8" s="29"/>
      <c r="R8" s="29"/>
      <c r="S8" s="29"/>
      <c r="T8" s="29"/>
      <c r="U8" s="25"/>
      <c r="W8" t="s">
        <v>105</v>
      </c>
      <c r="X8" s="172">
        <v>0.99850899999999998</v>
      </c>
    </row>
    <row r="9" spans="1:24" ht="15.5" x14ac:dyDescent="0.35">
      <c r="B9" s="64"/>
      <c r="C9" s="180" t="s">
        <v>33</v>
      </c>
      <c r="D9" s="187" t="s">
        <v>105</v>
      </c>
      <c r="E9" s="188">
        <v>0.23047400000000001</v>
      </c>
      <c r="F9" s="29"/>
      <c r="G9" s="29"/>
      <c r="H9" s="29"/>
      <c r="I9" s="29"/>
      <c r="J9" s="29"/>
      <c r="K9" s="29"/>
      <c r="L9" s="29"/>
      <c r="M9" s="29"/>
      <c r="N9" s="29"/>
      <c r="O9" s="29"/>
      <c r="P9" s="29"/>
      <c r="Q9" s="29"/>
      <c r="R9" s="29"/>
      <c r="S9" s="29"/>
      <c r="T9" s="29"/>
      <c r="U9" s="25"/>
      <c r="W9"/>
      <c r="X9" s="172"/>
    </row>
    <row r="10" spans="1:24" ht="15.5" x14ac:dyDescent="0.35">
      <c r="B10" s="64"/>
      <c r="C10" s="180" t="s">
        <v>187</v>
      </c>
      <c r="D10" s="187" t="s">
        <v>105</v>
      </c>
      <c r="E10" s="188">
        <v>0.108635</v>
      </c>
      <c r="F10" s="29"/>
      <c r="G10" s="29"/>
      <c r="H10" s="29"/>
      <c r="I10" s="29"/>
      <c r="J10" s="29"/>
      <c r="K10" s="29"/>
      <c r="L10" s="29"/>
      <c r="M10" s="29"/>
      <c r="N10" s="29"/>
      <c r="O10" s="29"/>
      <c r="P10" s="29"/>
      <c r="Q10" s="29"/>
      <c r="R10" s="29"/>
      <c r="S10" s="29"/>
      <c r="T10" s="29"/>
      <c r="U10" s="25"/>
      <c r="W10" s="173"/>
      <c r="X10" s="172"/>
    </row>
    <row r="11" spans="1:24" ht="15.5" x14ac:dyDescent="0.35">
      <c r="B11" s="64"/>
      <c r="C11" s="180" t="s">
        <v>186</v>
      </c>
      <c r="D11" s="187" t="s">
        <v>105</v>
      </c>
      <c r="E11" s="188">
        <v>0.10249900000000001</v>
      </c>
      <c r="F11" s="29"/>
      <c r="G11" s="29"/>
      <c r="H11" s="29"/>
      <c r="I11" s="29"/>
      <c r="J11" s="29"/>
      <c r="K11" s="29"/>
      <c r="L11" s="29"/>
      <c r="M11" s="29"/>
      <c r="N11" s="29"/>
      <c r="O11" s="29"/>
      <c r="P11" s="29"/>
      <c r="Q11" s="29"/>
      <c r="R11" s="29"/>
      <c r="S11" s="29"/>
      <c r="T11" s="29"/>
      <c r="U11" s="25"/>
      <c r="W11" s="173"/>
      <c r="X11" s="172"/>
    </row>
    <row r="12" spans="1:24" ht="15.5" x14ac:dyDescent="0.35">
      <c r="B12" s="64"/>
      <c r="C12" s="180" t="s">
        <v>185</v>
      </c>
      <c r="D12" s="187" t="s">
        <v>105</v>
      </c>
      <c r="E12" s="188">
        <v>7.3752999999999999E-2</v>
      </c>
      <c r="F12" s="29"/>
      <c r="G12" s="29"/>
      <c r="H12" s="29"/>
      <c r="I12" s="29"/>
      <c r="J12" s="29"/>
      <c r="K12" s="29"/>
      <c r="L12" s="29"/>
      <c r="M12" s="29"/>
      <c r="N12" s="29"/>
      <c r="O12" s="29"/>
      <c r="P12" s="29"/>
      <c r="Q12" s="29"/>
      <c r="R12" s="29"/>
      <c r="S12" s="29"/>
      <c r="T12" s="29"/>
      <c r="U12" s="25"/>
      <c r="W12" s="173"/>
      <c r="X12" s="172"/>
    </row>
    <row r="13" spans="1:24" ht="15.5" x14ac:dyDescent="0.35">
      <c r="B13" s="64"/>
      <c r="C13" s="180" t="s">
        <v>183</v>
      </c>
      <c r="D13" s="187" t="s">
        <v>105</v>
      </c>
      <c r="E13" s="188">
        <v>6.0919000000000001E-2</v>
      </c>
      <c r="F13" s="29"/>
      <c r="G13" s="29"/>
      <c r="H13" s="29"/>
      <c r="I13" s="29"/>
      <c r="J13" s="29"/>
      <c r="K13" s="29"/>
      <c r="L13" s="29"/>
      <c r="M13" s="29"/>
      <c r="N13" s="29"/>
      <c r="O13" s="29"/>
      <c r="P13" s="29"/>
      <c r="Q13" s="29"/>
      <c r="R13" s="29"/>
      <c r="S13" s="29"/>
      <c r="T13" s="29"/>
      <c r="U13" s="25"/>
      <c r="W13" s="173"/>
      <c r="X13" s="172"/>
    </row>
    <row r="14" spans="1:24" ht="15.5" x14ac:dyDescent="0.35">
      <c r="B14" s="64"/>
      <c r="C14" s="180" t="s">
        <v>188</v>
      </c>
      <c r="D14" s="187" t="s">
        <v>105</v>
      </c>
      <c r="E14" s="188">
        <v>5.2308E-2</v>
      </c>
      <c r="F14" s="29"/>
      <c r="G14" s="29"/>
      <c r="H14" s="29"/>
      <c r="I14" s="29"/>
      <c r="J14" s="29"/>
      <c r="K14" s="29"/>
      <c r="L14" s="29"/>
      <c r="M14" s="29"/>
      <c r="N14" s="29"/>
      <c r="O14" s="29"/>
      <c r="P14" s="29"/>
      <c r="Q14" s="29"/>
      <c r="R14" s="29"/>
      <c r="S14" s="29"/>
      <c r="T14" s="29"/>
      <c r="U14" s="25"/>
      <c r="W14" s="173"/>
      <c r="X14" s="172"/>
    </row>
    <row r="15" spans="1:24" ht="15.5" x14ac:dyDescent="0.35">
      <c r="B15" s="64"/>
      <c r="C15" s="180" t="s">
        <v>146</v>
      </c>
      <c r="D15" s="187" t="s">
        <v>105</v>
      </c>
      <c r="E15" s="188">
        <v>4.5540999999999998E-2</v>
      </c>
      <c r="F15" s="29"/>
      <c r="G15" s="29"/>
      <c r="H15" s="29"/>
      <c r="I15" s="29"/>
      <c r="J15" s="29"/>
      <c r="K15" s="29"/>
      <c r="L15" s="29"/>
      <c r="M15" s="29"/>
      <c r="N15" s="29"/>
      <c r="O15" s="29"/>
      <c r="P15" s="29"/>
      <c r="Q15" s="29"/>
      <c r="R15" s="29"/>
      <c r="S15" s="29"/>
      <c r="T15" s="29"/>
      <c r="U15" s="25"/>
      <c r="W15" s="173"/>
      <c r="X15" s="172"/>
    </row>
    <row r="16" spans="1:24" ht="15.5" x14ac:dyDescent="0.35">
      <c r="B16" s="64"/>
      <c r="C16" s="180" t="s">
        <v>259</v>
      </c>
      <c r="D16" s="187" t="s">
        <v>105</v>
      </c>
      <c r="E16" s="188">
        <v>3.0175E-2</v>
      </c>
      <c r="F16" s="29"/>
      <c r="G16" s="29"/>
      <c r="H16" s="29"/>
      <c r="I16" s="29"/>
      <c r="J16" s="29"/>
      <c r="K16" s="29"/>
      <c r="L16" s="29"/>
      <c r="M16" s="29"/>
      <c r="N16" s="29"/>
      <c r="O16" s="29"/>
      <c r="P16" s="29"/>
      <c r="Q16" s="29"/>
      <c r="R16" s="29"/>
      <c r="S16" s="29"/>
      <c r="T16" s="29"/>
      <c r="U16" s="25"/>
      <c r="W16" s="173"/>
      <c r="X16" s="172"/>
    </row>
    <row r="17" spans="2:24" ht="15.5" x14ac:dyDescent="0.35">
      <c r="B17" s="64"/>
      <c r="C17" s="180" t="s">
        <v>282</v>
      </c>
      <c r="D17" s="187" t="s">
        <v>105</v>
      </c>
      <c r="E17" s="188">
        <v>2.2179000000000001E-2</v>
      </c>
      <c r="F17" s="29"/>
      <c r="G17" s="29"/>
      <c r="H17" s="29"/>
      <c r="I17" s="29"/>
      <c r="J17" s="29"/>
      <c r="K17" s="29"/>
      <c r="L17" s="29"/>
      <c r="M17" s="29"/>
      <c r="N17" s="29"/>
      <c r="O17" s="29"/>
      <c r="P17" s="29"/>
      <c r="Q17" s="29"/>
      <c r="R17" s="29"/>
      <c r="S17" s="29"/>
      <c r="T17" s="29"/>
      <c r="U17" s="25"/>
      <c r="W17" s="173"/>
      <c r="X17" s="172"/>
    </row>
    <row r="18" spans="2:24" ht="15.5" x14ac:dyDescent="0.35">
      <c r="B18" s="64"/>
      <c r="C18" s="180"/>
      <c r="D18" s="187"/>
      <c r="E18" s="188"/>
      <c r="F18" s="29"/>
      <c r="G18" s="29"/>
      <c r="H18" s="29"/>
      <c r="I18" s="29"/>
      <c r="J18" s="29"/>
      <c r="K18" s="29"/>
      <c r="L18" s="29"/>
      <c r="M18" s="29"/>
      <c r="N18" s="29"/>
      <c r="O18" s="29"/>
      <c r="P18" s="29"/>
      <c r="Q18" s="29"/>
      <c r="R18" s="29"/>
      <c r="S18" s="29"/>
      <c r="T18" s="29"/>
      <c r="U18" s="25"/>
      <c r="W18" s="173"/>
      <c r="X18" s="172"/>
    </row>
    <row r="19" spans="2:24" ht="15.5" x14ac:dyDescent="0.35">
      <c r="B19" s="64"/>
      <c r="C19" s="73" t="s">
        <v>55</v>
      </c>
      <c r="D19" s="74"/>
      <c r="E19" s="75">
        <f>SUM(E8:E17)</f>
        <v>0.99850899999999998</v>
      </c>
      <c r="F19" s="29"/>
      <c r="G19" s="29"/>
      <c r="H19" s="29"/>
      <c r="I19" s="29"/>
      <c r="J19" s="29"/>
      <c r="K19" s="29"/>
      <c r="L19" s="29"/>
      <c r="M19" s="29"/>
      <c r="N19" s="29"/>
      <c r="O19" s="29"/>
      <c r="P19" s="29"/>
      <c r="Q19" s="29"/>
      <c r="R19" s="29"/>
      <c r="S19" s="29"/>
      <c r="T19" s="29"/>
      <c r="U19" s="25"/>
      <c r="W19" s="173"/>
      <c r="X19" s="172"/>
    </row>
    <row r="20" spans="2:24" x14ac:dyDescent="0.35">
      <c r="B20" s="64"/>
      <c r="C20" s="29"/>
      <c r="D20" s="29"/>
      <c r="E20" s="29"/>
      <c r="F20" s="29"/>
      <c r="G20" s="29"/>
      <c r="H20" s="29"/>
      <c r="I20" s="29"/>
      <c r="J20" s="29"/>
      <c r="K20" s="29"/>
      <c r="L20" s="29"/>
      <c r="M20" s="29"/>
      <c r="N20" s="29"/>
      <c r="O20" s="29"/>
      <c r="P20" s="29"/>
      <c r="Q20" s="29"/>
      <c r="R20" s="29"/>
      <c r="S20" s="29"/>
      <c r="T20" s="29"/>
      <c r="U20" s="25"/>
      <c r="W20" s="173"/>
      <c r="X20" s="172"/>
    </row>
    <row r="21" spans="2:24" x14ac:dyDescent="0.35">
      <c r="B21" s="64"/>
      <c r="C21" s="29"/>
      <c r="D21" s="29"/>
      <c r="E21" s="29"/>
      <c r="F21" s="29"/>
      <c r="G21" s="29"/>
      <c r="H21" s="29"/>
      <c r="I21" s="29"/>
      <c r="J21" s="29"/>
      <c r="K21" s="29"/>
      <c r="L21" s="29"/>
      <c r="M21" s="29"/>
      <c r="N21" s="29"/>
      <c r="O21" s="29"/>
      <c r="P21" s="29"/>
      <c r="Q21" s="29"/>
      <c r="R21" s="29"/>
      <c r="S21" s="29"/>
      <c r="T21" s="29"/>
      <c r="U21" s="25"/>
      <c r="W21" s="173"/>
      <c r="X21" s="172"/>
    </row>
    <row r="22" spans="2:24" x14ac:dyDescent="0.35">
      <c r="B22" s="64"/>
      <c r="C22" s="29"/>
      <c r="D22" s="29"/>
      <c r="E22" s="29"/>
      <c r="F22" s="29"/>
      <c r="G22" s="29"/>
      <c r="H22" s="29"/>
      <c r="I22" s="29"/>
      <c r="J22" s="29"/>
      <c r="K22" s="29"/>
      <c r="L22" s="29"/>
      <c r="M22" s="29"/>
      <c r="N22" s="29"/>
      <c r="O22" s="29"/>
      <c r="P22" s="29"/>
      <c r="Q22" s="29"/>
      <c r="R22" s="29"/>
      <c r="S22" s="29"/>
      <c r="T22" s="29"/>
      <c r="U22" s="25"/>
      <c r="W22" s="61"/>
      <c r="X22" s="62"/>
    </row>
    <row r="23" spans="2:24" x14ac:dyDescent="0.35">
      <c r="B23" s="64"/>
      <c r="C23" s="29"/>
      <c r="D23" s="29"/>
      <c r="E23" s="29"/>
      <c r="F23" s="29"/>
      <c r="G23" s="29"/>
      <c r="H23" s="29"/>
      <c r="I23" s="29"/>
      <c r="J23" s="29"/>
      <c r="K23" s="29"/>
      <c r="L23" s="29"/>
      <c r="M23" s="29"/>
      <c r="N23" s="29"/>
      <c r="O23" s="29"/>
      <c r="P23" s="29"/>
      <c r="Q23" s="29"/>
      <c r="R23" s="29"/>
      <c r="S23" s="29"/>
      <c r="T23" s="29"/>
      <c r="U23" s="25"/>
      <c r="W23" s="61"/>
      <c r="X23" s="62"/>
    </row>
    <row r="24" spans="2:24" x14ac:dyDescent="0.35">
      <c r="B24" s="64"/>
      <c r="C24" s="29"/>
      <c r="D24" s="29"/>
      <c r="E24" s="29"/>
      <c r="F24" s="29"/>
      <c r="G24" s="29"/>
      <c r="H24" s="29"/>
      <c r="I24" s="29"/>
      <c r="J24" s="29"/>
      <c r="K24" s="29"/>
      <c r="L24" s="29"/>
      <c r="M24" s="29"/>
      <c r="N24" s="29"/>
      <c r="O24" s="29"/>
      <c r="P24" s="29"/>
      <c r="Q24" s="29"/>
      <c r="R24" s="29"/>
      <c r="S24" s="29"/>
      <c r="T24" s="29"/>
      <c r="U24" s="25"/>
      <c r="W24" s="61"/>
      <c r="X24" s="62"/>
    </row>
    <row r="25" spans="2:24" x14ac:dyDescent="0.35">
      <c r="B25" s="64"/>
      <c r="C25" s="29"/>
      <c r="D25" s="29"/>
      <c r="E25" s="29"/>
      <c r="F25" s="29"/>
      <c r="G25" s="29"/>
      <c r="H25" s="29"/>
      <c r="I25" s="29"/>
      <c r="J25" s="29"/>
      <c r="K25" s="29"/>
      <c r="L25" s="29"/>
      <c r="M25" s="29"/>
      <c r="N25" s="29"/>
      <c r="O25" s="29"/>
      <c r="P25" s="29"/>
      <c r="Q25" s="29"/>
      <c r="R25" s="29"/>
      <c r="S25" s="29"/>
      <c r="T25" s="29"/>
      <c r="U25" s="25"/>
      <c r="W25" s="61"/>
      <c r="X25" s="62"/>
    </row>
    <row r="26" spans="2:24" x14ac:dyDescent="0.35">
      <c r="B26" s="64"/>
      <c r="C26" s="29"/>
      <c r="D26" s="29"/>
      <c r="E26" s="29"/>
      <c r="F26" s="29"/>
      <c r="G26" s="29"/>
      <c r="H26" s="29"/>
      <c r="I26" s="29"/>
      <c r="J26" s="29"/>
      <c r="K26" s="29"/>
      <c r="L26" s="29"/>
      <c r="M26" s="29"/>
      <c r="N26" s="29"/>
      <c r="O26" s="29"/>
      <c r="P26" s="29"/>
      <c r="Q26" s="29"/>
      <c r="R26" s="29"/>
      <c r="S26" s="29"/>
      <c r="T26" s="29"/>
      <c r="U26" s="25"/>
      <c r="W26" s="61"/>
      <c r="X26" s="62"/>
    </row>
    <row r="27" spans="2:24" x14ac:dyDescent="0.35">
      <c r="B27" s="64"/>
      <c r="C27" s="29"/>
      <c r="D27" s="29"/>
      <c r="E27" s="29"/>
      <c r="F27" s="29"/>
      <c r="G27" s="29"/>
      <c r="H27" s="29"/>
      <c r="I27" s="29"/>
      <c r="J27" s="29"/>
      <c r="K27" s="29"/>
      <c r="L27" s="29"/>
      <c r="M27" s="29"/>
      <c r="N27" s="29"/>
      <c r="O27" s="29"/>
      <c r="P27" s="29"/>
      <c r="Q27" s="29"/>
      <c r="R27" s="29"/>
      <c r="S27" s="29"/>
      <c r="T27" s="29"/>
      <c r="U27" s="25"/>
      <c r="W27" s="61"/>
      <c r="X27" s="62"/>
    </row>
    <row r="28" spans="2:24" x14ac:dyDescent="0.35">
      <c r="B28" s="64"/>
      <c r="C28" s="29"/>
      <c r="D28" s="29"/>
      <c r="E28" s="29"/>
      <c r="F28" s="29"/>
      <c r="G28" s="29"/>
      <c r="H28" s="29"/>
      <c r="I28" s="29"/>
      <c r="J28" s="29"/>
      <c r="K28" s="29"/>
      <c r="L28" s="29"/>
      <c r="M28" s="29"/>
      <c r="N28" s="29"/>
      <c r="O28" s="29"/>
      <c r="P28" s="29"/>
      <c r="Q28" s="29"/>
      <c r="R28" s="29"/>
      <c r="S28" s="29"/>
      <c r="T28" s="29"/>
      <c r="U28" s="25"/>
      <c r="W28" s="61"/>
      <c r="X28" s="62"/>
    </row>
    <row r="29" spans="2:24" x14ac:dyDescent="0.35">
      <c r="B29" s="64"/>
      <c r="C29" s="29"/>
      <c r="D29" s="29"/>
      <c r="E29" s="29"/>
      <c r="F29" s="29"/>
      <c r="G29" s="29"/>
      <c r="H29" s="29"/>
      <c r="I29" s="29"/>
      <c r="J29" s="29"/>
      <c r="K29" s="29"/>
      <c r="L29" s="29"/>
      <c r="M29" s="29"/>
      <c r="N29" s="29"/>
      <c r="O29" s="29"/>
      <c r="P29" s="29"/>
      <c r="Q29" s="29"/>
      <c r="R29" s="29"/>
      <c r="S29" s="29"/>
      <c r="T29" s="29"/>
      <c r="U29" s="25"/>
      <c r="W29" s="61"/>
      <c r="X29" s="62"/>
    </row>
    <row r="30" spans="2:24" x14ac:dyDescent="0.35">
      <c r="B30" s="64"/>
      <c r="C30" s="29"/>
      <c r="D30" s="29"/>
      <c r="E30" s="29"/>
      <c r="F30" s="29"/>
      <c r="G30" s="29"/>
      <c r="H30" s="29"/>
      <c r="I30" s="29"/>
      <c r="J30" s="29"/>
      <c r="K30" s="29"/>
      <c r="L30" s="29"/>
      <c r="M30" s="29"/>
      <c r="N30" s="29"/>
      <c r="O30" s="29"/>
      <c r="P30" s="29"/>
      <c r="Q30" s="29"/>
      <c r="R30" s="29"/>
      <c r="S30" s="29"/>
      <c r="T30" s="29"/>
      <c r="U30" s="25"/>
      <c r="W30" s="61"/>
      <c r="X30" s="62"/>
    </row>
    <row r="31" spans="2:24" x14ac:dyDescent="0.35">
      <c r="B31" s="64"/>
      <c r="C31" s="29"/>
      <c r="D31" s="29"/>
      <c r="E31" s="29"/>
      <c r="F31" s="29"/>
      <c r="G31" s="29"/>
      <c r="H31" s="29"/>
      <c r="I31" s="29"/>
      <c r="J31" s="29"/>
      <c r="K31" s="29"/>
      <c r="L31" s="29"/>
      <c r="M31" s="29"/>
      <c r="N31" s="29"/>
      <c r="O31" s="29"/>
      <c r="P31" s="29"/>
      <c r="Q31" s="29"/>
      <c r="R31" s="29"/>
      <c r="S31" s="29"/>
      <c r="T31" s="29"/>
      <c r="U31" s="25"/>
      <c r="W31" s="61"/>
      <c r="X31" s="62"/>
    </row>
    <row r="32" spans="2:24" x14ac:dyDescent="0.35">
      <c r="B32" s="64"/>
      <c r="C32" s="29"/>
      <c r="D32" s="29"/>
      <c r="E32" s="29"/>
      <c r="F32" s="29"/>
      <c r="G32" s="29"/>
      <c r="H32" s="29"/>
      <c r="I32" s="29"/>
      <c r="J32" s="29"/>
      <c r="K32" s="29"/>
      <c r="L32" s="29"/>
      <c r="M32" s="29"/>
      <c r="N32" s="29"/>
      <c r="O32" s="29"/>
      <c r="P32" s="29"/>
      <c r="Q32" s="29"/>
      <c r="R32" s="29"/>
      <c r="S32" s="29"/>
      <c r="T32" s="29"/>
      <c r="U32" s="25"/>
      <c r="W32" s="61"/>
      <c r="X32" s="62"/>
    </row>
    <row r="33" spans="2:24" x14ac:dyDescent="0.35">
      <c r="B33" s="64"/>
      <c r="C33" s="29"/>
      <c r="D33" s="29"/>
      <c r="E33" s="29"/>
      <c r="F33" s="29"/>
      <c r="G33" s="29"/>
      <c r="H33" s="29"/>
      <c r="I33" s="29"/>
      <c r="J33" s="29"/>
      <c r="K33" s="29"/>
      <c r="L33" s="29"/>
      <c r="M33" s="29"/>
      <c r="N33" s="29"/>
      <c r="O33" s="29"/>
      <c r="P33" s="29"/>
      <c r="Q33" s="29"/>
      <c r="R33" s="29"/>
      <c r="S33" s="29"/>
      <c r="T33" s="29"/>
      <c r="U33" s="25"/>
      <c r="W33" s="61"/>
      <c r="X33" s="62"/>
    </row>
    <row r="34" spans="2:24" x14ac:dyDescent="0.35">
      <c r="B34" s="64"/>
      <c r="C34" s="29"/>
      <c r="D34" s="29"/>
      <c r="E34" s="29"/>
      <c r="F34" s="29"/>
      <c r="G34" s="29"/>
      <c r="H34" s="29"/>
      <c r="I34" s="29"/>
      <c r="J34" s="29"/>
      <c r="K34" s="29"/>
      <c r="L34" s="29"/>
      <c r="M34" s="29"/>
      <c r="N34" s="29"/>
      <c r="O34" s="29"/>
      <c r="P34" s="29"/>
      <c r="Q34" s="29"/>
      <c r="R34" s="29"/>
      <c r="S34" s="29"/>
      <c r="T34" s="29"/>
      <c r="U34" s="25"/>
      <c r="W34" s="61"/>
      <c r="X34" s="62"/>
    </row>
    <row r="35" spans="2:24" x14ac:dyDescent="0.35">
      <c r="B35" s="64"/>
      <c r="C35" s="29"/>
      <c r="D35" s="29"/>
      <c r="E35" s="29"/>
      <c r="F35" s="29"/>
      <c r="G35" s="29"/>
      <c r="H35" s="29"/>
      <c r="I35" s="29"/>
      <c r="J35" s="29"/>
      <c r="K35" s="29"/>
      <c r="L35" s="29"/>
      <c r="M35" s="29"/>
      <c r="N35" s="29"/>
      <c r="O35" s="29"/>
      <c r="P35" s="29"/>
      <c r="Q35" s="29"/>
      <c r="R35" s="29"/>
      <c r="S35" s="29"/>
      <c r="T35" s="29"/>
      <c r="U35" s="25"/>
      <c r="W35" s="61"/>
      <c r="X35" s="62"/>
    </row>
    <row r="36" spans="2:24" x14ac:dyDescent="0.35">
      <c r="B36" s="64"/>
      <c r="C36" s="29"/>
      <c r="D36" s="29"/>
      <c r="E36" s="29"/>
      <c r="F36" s="29"/>
      <c r="G36" s="29"/>
      <c r="H36" s="29"/>
      <c r="I36" s="29"/>
      <c r="J36" s="29"/>
      <c r="K36" s="29"/>
      <c r="L36" s="29"/>
      <c r="M36" s="29"/>
      <c r="N36" s="29"/>
      <c r="O36" s="29"/>
      <c r="P36" s="29"/>
      <c r="Q36" s="29"/>
      <c r="R36" s="29"/>
      <c r="S36" s="29"/>
      <c r="T36" s="29"/>
      <c r="U36" s="25"/>
      <c r="W36" s="61"/>
      <c r="X36" s="62"/>
    </row>
    <row r="37" spans="2:24" ht="15" thickBot="1" x14ac:dyDescent="0.4">
      <c r="B37" s="76"/>
      <c r="C37" s="30"/>
      <c r="D37" s="30"/>
      <c r="E37" s="30"/>
      <c r="F37" s="30"/>
      <c r="G37" s="30"/>
      <c r="H37" s="30"/>
      <c r="I37" s="30"/>
      <c r="J37" s="30"/>
      <c r="K37" s="30"/>
      <c r="L37" s="30"/>
      <c r="M37" s="30"/>
      <c r="N37" s="30"/>
      <c r="O37" s="30"/>
      <c r="P37" s="30"/>
      <c r="Q37" s="30"/>
      <c r="R37" s="30"/>
      <c r="S37" s="30"/>
      <c r="T37" s="30"/>
      <c r="U37" s="26"/>
      <c r="W37" s="61"/>
      <c r="X37" s="62"/>
    </row>
    <row r="38" spans="2:24" ht="15" thickBot="1" x14ac:dyDescent="0.4">
      <c r="W38" s="61"/>
      <c r="X38" s="62"/>
    </row>
    <row r="39" spans="2:24" ht="15" customHeight="1" x14ac:dyDescent="0.35">
      <c r="B39" s="303" t="s">
        <v>179</v>
      </c>
      <c r="C39" s="304"/>
      <c r="D39" s="304"/>
      <c r="E39" s="304"/>
      <c r="F39" s="304"/>
      <c r="G39" s="304"/>
      <c r="H39" s="304"/>
      <c r="I39" s="304"/>
      <c r="J39" s="304"/>
      <c r="K39" s="304"/>
      <c r="L39" s="304"/>
      <c r="M39" s="304"/>
      <c r="N39" s="304"/>
      <c r="O39" s="304"/>
      <c r="P39" s="304"/>
      <c r="Q39" s="304"/>
      <c r="R39" s="305"/>
      <c r="W39" s="61"/>
      <c r="X39" s="62"/>
    </row>
    <row r="40" spans="2:24" x14ac:dyDescent="0.35">
      <c r="B40" s="306"/>
      <c r="C40" s="307"/>
      <c r="D40" s="307"/>
      <c r="E40" s="307"/>
      <c r="F40" s="307"/>
      <c r="G40" s="307"/>
      <c r="H40" s="307"/>
      <c r="I40" s="307"/>
      <c r="J40" s="307"/>
      <c r="K40" s="307"/>
      <c r="L40" s="307"/>
      <c r="M40" s="307"/>
      <c r="N40" s="307"/>
      <c r="O40" s="307"/>
      <c r="P40" s="307"/>
      <c r="Q40" s="307"/>
      <c r="R40" s="308"/>
      <c r="W40" s="61"/>
      <c r="X40" s="62"/>
    </row>
    <row r="41" spans="2:24" x14ac:dyDescent="0.35">
      <c r="B41" s="306"/>
      <c r="C41" s="307"/>
      <c r="D41" s="307"/>
      <c r="E41" s="307"/>
      <c r="F41" s="307"/>
      <c r="G41" s="307"/>
      <c r="H41" s="307"/>
      <c r="I41" s="307"/>
      <c r="J41" s="307"/>
      <c r="K41" s="307"/>
      <c r="L41" s="307"/>
      <c r="M41" s="307"/>
      <c r="N41" s="307"/>
      <c r="O41" s="307"/>
      <c r="P41" s="307"/>
      <c r="Q41" s="307"/>
      <c r="R41" s="308"/>
      <c r="W41" s="61"/>
      <c r="X41" s="62"/>
    </row>
    <row r="42" spans="2:24" x14ac:dyDescent="0.35">
      <c r="B42" s="306"/>
      <c r="C42" s="307"/>
      <c r="D42" s="307"/>
      <c r="E42" s="307"/>
      <c r="F42" s="307"/>
      <c r="G42" s="307"/>
      <c r="H42" s="307"/>
      <c r="I42" s="307"/>
      <c r="J42" s="307"/>
      <c r="K42" s="307"/>
      <c r="L42" s="307"/>
      <c r="M42" s="307"/>
      <c r="N42" s="307"/>
      <c r="O42" s="307"/>
      <c r="P42" s="307"/>
      <c r="Q42" s="307"/>
      <c r="R42" s="308"/>
      <c r="W42" s="61"/>
      <c r="X42" s="62"/>
    </row>
    <row r="43" spans="2:24" x14ac:dyDescent="0.35">
      <c r="B43" s="306"/>
      <c r="C43" s="307"/>
      <c r="D43" s="307"/>
      <c r="E43" s="307"/>
      <c r="F43" s="307"/>
      <c r="G43" s="307"/>
      <c r="H43" s="307"/>
      <c r="I43" s="307"/>
      <c r="J43" s="307"/>
      <c r="K43" s="307"/>
      <c r="L43" s="307"/>
      <c r="M43" s="307"/>
      <c r="N43" s="307"/>
      <c r="O43" s="307"/>
      <c r="P43" s="307"/>
      <c r="Q43" s="307"/>
      <c r="R43" s="308"/>
    </row>
    <row r="44" spans="2:24" x14ac:dyDescent="0.35">
      <c r="B44" s="306"/>
      <c r="C44" s="307"/>
      <c r="D44" s="307"/>
      <c r="E44" s="307"/>
      <c r="F44" s="307"/>
      <c r="G44" s="307"/>
      <c r="H44" s="307"/>
      <c r="I44" s="307"/>
      <c r="J44" s="307"/>
      <c r="K44" s="307"/>
      <c r="L44" s="307"/>
      <c r="M44" s="307"/>
      <c r="N44" s="307"/>
      <c r="O44" s="307"/>
      <c r="P44" s="307"/>
      <c r="Q44" s="307"/>
      <c r="R44" s="308"/>
    </row>
    <row r="45" spans="2:24" ht="15" thickBot="1" x14ac:dyDescent="0.4">
      <c r="B45" s="309"/>
      <c r="C45" s="310"/>
      <c r="D45" s="310"/>
      <c r="E45" s="310"/>
      <c r="F45" s="310"/>
      <c r="G45" s="310"/>
      <c r="H45" s="310"/>
      <c r="I45" s="310"/>
      <c r="J45" s="310"/>
      <c r="K45" s="310"/>
      <c r="L45" s="310"/>
      <c r="M45" s="310"/>
      <c r="N45" s="310"/>
      <c r="O45" s="310"/>
      <c r="P45" s="310"/>
      <c r="Q45" s="310"/>
      <c r="R45" s="311"/>
    </row>
  </sheetData>
  <sortState ref="C8:E17">
    <sortCondition descending="1" ref="E8"/>
  </sortState>
  <mergeCells count="3">
    <mergeCell ref="C3:S3"/>
    <mergeCell ref="D5:E5"/>
    <mergeCell ref="B39:R45"/>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DA09A0-20EE-4311-81F9-10C0AEB6E878}">
  <sheetPr codeName="Sheet32"/>
  <dimension ref="A1:X45"/>
  <sheetViews>
    <sheetView showGridLines="0" zoomScale="77" zoomScaleNormal="75" workbookViewId="0"/>
  </sheetViews>
  <sheetFormatPr defaultColWidth="9.1796875" defaultRowHeight="14.5" x14ac:dyDescent="0.35"/>
  <cols>
    <col min="1" max="1" width="2.81640625" style="19" customWidth="1"/>
    <col min="2" max="2" width="3.81640625" style="19" customWidth="1"/>
    <col min="3" max="3" width="58.7265625" style="19" bestFit="1" customWidth="1"/>
    <col min="4" max="4" width="28.26953125" style="19" customWidth="1"/>
    <col min="5" max="5" width="10.453125" style="19" bestFit="1" customWidth="1"/>
    <col min="6" max="18" width="9.1796875" style="19"/>
    <col min="19" max="19" width="9.81640625" style="19" customWidth="1"/>
    <col min="20" max="22" width="9.1796875" style="19"/>
    <col min="23" max="23" width="31.453125" style="19" bestFit="1" customWidth="1"/>
    <col min="24" max="16384" width="9.1796875" style="19"/>
  </cols>
  <sheetData>
    <row r="1" spans="1:24" ht="16" thickBot="1" x14ac:dyDescent="0.4">
      <c r="A1" s="3"/>
    </row>
    <row r="2" spans="1:24" x14ac:dyDescent="0.35">
      <c r="B2" s="63"/>
      <c r="C2" s="28"/>
      <c r="D2" s="28"/>
      <c r="E2" s="28"/>
      <c r="F2" s="28"/>
      <c r="G2" s="28"/>
      <c r="H2" s="28"/>
      <c r="I2" s="28"/>
      <c r="J2" s="28"/>
      <c r="K2" s="28"/>
      <c r="L2" s="28"/>
      <c r="M2" s="28"/>
      <c r="N2" s="28"/>
      <c r="O2" s="28"/>
      <c r="P2" s="28"/>
      <c r="Q2" s="28"/>
      <c r="R2" s="28"/>
      <c r="S2" s="28"/>
      <c r="T2" s="28"/>
      <c r="U2" s="24"/>
    </row>
    <row r="3" spans="1:24" ht="20" x14ac:dyDescent="0.35">
      <c r="B3" s="64"/>
      <c r="C3" s="312" t="s">
        <v>201</v>
      </c>
      <c r="D3" s="313"/>
      <c r="E3" s="313"/>
      <c r="F3" s="313"/>
      <c r="G3" s="313"/>
      <c r="H3" s="313"/>
      <c r="I3" s="313"/>
      <c r="J3" s="313"/>
      <c r="K3" s="313"/>
      <c r="L3" s="313"/>
      <c r="M3" s="313"/>
      <c r="N3" s="313"/>
      <c r="O3" s="313"/>
      <c r="P3" s="313"/>
      <c r="Q3" s="313"/>
      <c r="R3" s="313"/>
      <c r="S3" s="313"/>
      <c r="T3" s="65"/>
      <c r="U3" s="66"/>
    </row>
    <row r="4" spans="1:24" ht="15.5" x14ac:dyDescent="0.35">
      <c r="B4" s="64"/>
      <c r="C4" s="67" t="s">
        <v>434</v>
      </c>
      <c r="D4" s="29"/>
      <c r="E4" s="29"/>
      <c r="F4" s="29"/>
      <c r="G4" s="29"/>
      <c r="H4" s="29"/>
      <c r="I4" s="29"/>
      <c r="J4" s="29"/>
      <c r="K4" s="29"/>
      <c r="L4" s="29"/>
      <c r="M4" s="29"/>
      <c r="N4" s="29"/>
      <c r="O4" s="29"/>
      <c r="P4" s="29"/>
      <c r="Q4" s="29"/>
      <c r="R4" s="29"/>
      <c r="S4" s="29"/>
      <c r="T4" s="29"/>
      <c r="U4" s="25"/>
    </row>
    <row r="5" spans="1:24" ht="20" x14ac:dyDescent="0.35">
      <c r="B5" s="64"/>
      <c r="C5" s="211" t="s">
        <v>435</v>
      </c>
      <c r="D5" s="316" t="s">
        <v>423</v>
      </c>
      <c r="E5" s="316"/>
      <c r="F5" s="29"/>
      <c r="G5" s="29"/>
      <c r="H5" s="29"/>
      <c r="I5" s="29"/>
      <c r="J5" s="29"/>
      <c r="K5" s="29"/>
      <c r="L5" s="29"/>
      <c r="M5" s="29"/>
      <c r="N5" s="29"/>
      <c r="O5" s="29"/>
      <c r="P5" s="29"/>
      <c r="Q5" s="29"/>
      <c r="R5" s="29"/>
      <c r="S5" s="29"/>
      <c r="T5" s="29"/>
      <c r="U5" s="25"/>
    </row>
    <row r="6" spans="1:24" x14ac:dyDescent="0.35">
      <c r="B6" s="64"/>
      <c r="C6" s="29"/>
      <c r="D6" s="29"/>
      <c r="E6" s="29"/>
      <c r="F6" s="29"/>
      <c r="G6" s="29"/>
      <c r="H6" s="29"/>
      <c r="I6" s="29"/>
      <c r="J6" s="29"/>
      <c r="K6" s="29"/>
      <c r="L6" s="29"/>
      <c r="M6" s="29"/>
      <c r="N6" s="29"/>
      <c r="O6" s="29"/>
      <c r="P6" s="29"/>
      <c r="Q6" s="29"/>
      <c r="R6" s="29"/>
      <c r="S6" s="29"/>
      <c r="T6" s="29"/>
      <c r="U6" s="25"/>
    </row>
    <row r="7" spans="1:24" ht="15.5" x14ac:dyDescent="0.35">
      <c r="B7" s="64"/>
      <c r="C7" s="68" t="s">
        <v>0</v>
      </c>
      <c r="D7" s="69" t="s">
        <v>1</v>
      </c>
      <c r="E7" s="70" t="s">
        <v>2</v>
      </c>
      <c r="F7" s="29"/>
      <c r="G7" s="29"/>
      <c r="H7" s="29"/>
      <c r="I7" s="29"/>
      <c r="J7" s="29"/>
      <c r="K7" s="29"/>
      <c r="L7" s="29"/>
      <c r="M7" s="29"/>
      <c r="N7" s="29"/>
      <c r="O7" s="29"/>
      <c r="P7" s="29"/>
      <c r="Q7" s="29"/>
      <c r="R7" s="29"/>
      <c r="S7" s="29"/>
      <c r="T7" s="29"/>
      <c r="U7" s="25"/>
      <c r="W7" s="39" t="s">
        <v>22</v>
      </c>
      <c r="X7" s="39" t="s">
        <v>2</v>
      </c>
    </row>
    <row r="8" spans="1:24" ht="15.5" x14ac:dyDescent="0.35">
      <c r="B8" s="64"/>
      <c r="C8" s="184" t="s">
        <v>369</v>
      </c>
      <c r="D8" s="185" t="s">
        <v>16</v>
      </c>
      <c r="E8" s="186">
        <v>8.2349000000000006E-2</v>
      </c>
      <c r="F8" s="29"/>
      <c r="G8" s="29"/>
      <c r="H8" s="29"/>
      <c r="I8" s="29"/>
      <c r="J8" s="29"/>
      <c r="K8" s="29"/>
      <c r="L8" s="29"/>
      <c r="M8" s="29"/>
      <c r="N8" s="29"/>
      <c r="O8" s="29"/>
      <c r="P8" s="29"/>
      <c r="Q8" s="29"/>
      <c r="R8" s="29"/>
      <c r="S8" s="29"/>
      <c r="T8" s="29"/>
      <c r="U8" s="25"/>
      <c r="W8" s="173" t="s">
        <v>16</v>
      </c>
      <c r="X8" s="172">
        <v>0.19155700000000003</v>
      </c>
    </row>
    <row r="9" spans="1:24" ht="15.5" x14ac:dyDescent="0.35">
      <c r="B9" s="64"/>
      <c r="C9" s="180" t="s">
        <v>235</v>
      </c>
      <c r="D9" s="187" t="s">
        <v>83</v>
      </c>
      <c r="E9" s="188">
        <v>5.3141000000000001E-2</v>
      </c>
      <c r="F9" s="29"/>
      <c r="G9" s="29"/>
      <c r="H9" s="29"/>
      <c r="I9" s="29"/>
      <c r="J9" s="29"/>
      <c r="K9" s="29"/>
      <c r="L9" s="29"/>
      <c r="M9" s="29"/>
      <c r="N9" s="29"/>
      <c r="O9" s="29"/>
      <c r="P9" s="29"/>
      <c r="Q9" s="29"/>
      <c r="R9" s="29"/>
      <c r="S9" s="29"/>
      <c r="T9" s="29"/>
      <c r="U9" s="25"/>
      <c r="W9" s="173" t="s">
        <v>83</v>
      </c>
      <c r="X9" s="172">
        <v>0.12329700000000002</v>
      </c>
    </row>
    <row r="10" spans="1:24" ht="15.5" x14ac:dyDescent="0.35">
      <c r="B10" s="64"/>
      <c r="C10" s="180" t="s">
        <v>229</v>
      </c>
      <c r="D10" s="187" t="s">
        <v>16</v>
      </c>
      <c r="E10" s="188">
        <v>5.2402999999999998E-2</v>
      </c>
      <c r="F10" s="29"/>
      <c r="G10" s="29"/>
      <c r="H10" s="29"/>
      <c r="I10" s="29"/>
      <c r="J10" s="29"/>
      <c r="K10" s="29"/>
      <c r="L10" s="29"/>
      <c r="M10" s="29"/>
      <c r="N10" s="29"/>
      <c r="O10" s="29"/>
      <c r="P10" s="29"/>
      <c r="Q10" s="29"/>
      <c r="R10" s="29"/>
      <c r="S10" s="29"/>
      <c r="T10" s="29"/>
      <c r="U10" s="25"/>
      <c r="W10" s="173" t="s">
        <v>135</v>
      </c>
      <c r="X10" s="172">
        <v>9.8626999999999992E-2</v>
      </c>
    </row>
    <row r="11" spans="1:24" ht="15.5" x14ac:dyDescent="0.35">
      <c r="B11" s="64"/>
      <c r="C11" s="180" t="s">
        <v>337</v>
      </c>
      <c r="D11" s="187" t="s">
        <v>135</v>
      </c>
      <c r="E11" s="188">
        <v>5.0103000000000002E-2</v>
      </c>
      <c r="F11" s="29"/>
      <c r="G11" s="29"/>
      <c r="H11" s="29"/>
      <c r="I11" s="29"/>
      <c r="J11" s="29"/>
      <c r="K11" s="29"/>
      <c r="L11" s="29"/>
      <c r="M11" s="29"/>
      <c r="N11" s="29"/>
      <c r="O11" s="29"/>
      <c r="P11" s="29"/>
      <c r="Q11" s="29"/>
      <c r="R11" s="29"/>
      <c r="S11" s="29"/>
      <c r="T11" s="29"/>
      <c r="U11" s="25"/>
      <c r="W11" s="173" t="s">
        <v>117</v>
      </c>
      <c r="X11" s="172">
        <v>7.1142999999999998E-2</v>
      </c>
    </row>
    <row r="12" spans="1:24" ht="15.5" x14ac:dyDescent="0.35">
      <c r="B12" s="64"/>
      <c r="C12" s="180" t="s">
        <v>370</v>
      </c>
      <c r="D12" s="187" t="s">
        <v>117</v>
      </c>
      <c r="E12" s="188">
        <v>4.4145999999999998E-2</v>
      </c>
      <c r="F12" s="29"/>
      <c r="G12" s="29"/>
      <c r="H12" s="29"/>
      <c r="I12" s="29"/>
      <c r="J12" s="29"/>
      <c r="K12" s="29"/>
      <c r="L12" s="29"/>
      <c r="M12" s="29"/>
      <c r="N12" s="29"/>
      <c r="O12" s="29"/>
      <c r="P12" s="29"/>
      <c r="Q12" s="29"/>
      <c r="R12" s="29"/>
      <c r="S12" s="29"/>
      <c r="T12" s="29"/>
      <c r="U12" s="25"/>
      <c r="W12" s="173" t="s">
        <v>109</v>
      </c>
      <c r="X12" s="172">
        <v>6.9205000000000003E-2</v>
      </c>
    </row>
    <row r="13" spans="1:24" ht="31" x14ac:dyDescent="0.35">
      <c r="B13" s="64"/>
      <c r="C13" s="180" t="s">
        <v>262</v>
      </c>
      <c r="D13" s="187" t="s">
        <v>181</v>
      </c>
      <c r="E13" s="188">
        <v>3.6325000000000003E-2</v>
      </c>
      <c r="F13" s="29"/>
      <c r="G13" s="29"/>
      <c r="H13" s="29"/>
      <c r="I13" s="29"/>
      <c r="J13" s="29"/>
      <c r="K13" s="29"/>
      <c r="L13" s="29"/>
      <c r="M13" s="29"/>
      <c r="N13" s="29"/>
      <c r="O13" s="29"/>
      <c r="P13" s="29"/>
      <c r="Q13" s="29"/>
      <c r="R13" s="29"/>
      <c r="S13" s="29"/>
      <c r="T13" s="29"/>
      <c r="U13" s="25"/>
      <c r="W13" s="173" t="s">
        <v>181</v>
      </c>
      <c r="X13" s="172">
        <v>4.9037000000000004E-2</v>
      </c>
    </row>
    <row r="14" spans="1:24" ht="31" x14ac:dyDescent="0.35">
      <c r="B14" s="64"/>
      <c r="C14" s="180" t="s">
        <v>372</v>
      </c>
      <c r="D14" s="187" t="s">
        <v>124</v>
      </c>
      <c r="E14" s="188">
        <v>3.1022000000000001E-2</v>
      </c>
      <c r="F14" s="29"/>
      <c r="G14" s="29"/>
      <c r="H14" s="29"/>
      <c r="I14" s="29"/>
      <c r="J14" s="29"/>
      <c r="K14" s="29"/>
      <c r="L14" s="29"/>
      <c r="M14" s="29"/>
      <c r="N14" s="29"/>
      <c r="O14" s="29"/>
      <c r="P14" s="29"/>
      <c r="Q14" s="29"/>
      <c r="R14" s="29"/>
      <c r="S14" s="29"/>
      <c r="T14" s="29"/>
      <c r="U14" s="25"/>
      <c r="W14" s="173" t="s">
        <v>26</v>
      </c>
      <c r="X14" s="172">
        <v>4.7141000000000002E-2</v>
      </c>
    </row>
    <row r="15" spans="1:24" ht="15.5" x14ac:dyDescent="0.35">
      <c r="B15" s="64"/>
      <c r="C15" s="180" t="s">
        <v>371</v>
      </c>
      <c r="D15" s="187" t="s">
        <v>25</v>
      </c>
      <c r="E15" s="188">
        <v>3.0429999999999999E-2</v>
      </c>
      <c r="F15" s="29"/>
      <c r="G15" s="29"/>
      <c r="H15" s="29"/>
      <c r="I15" s="29"/>
      <c r="J15" s="29"/>
      <c r="K15" s="29"/>
      <c r="L15" s="29"/>
      <c r="M15" s="29"/>
      <c r="N15" s="29"/>
      <c r="O15" s="29"/>
      <c r="P15" s="29"/>
      <c r="Q15" s="29"/>
      <c r="R15" s="29"/>
      <c r="S15" s="29"/>
      <c r="T15" s="29"/>
      <c r="U15" s="25"/>
      <c r="W15" s="173" t="s">
        <v>4</v>
      </c>
      <c r="X15" s="172">
        <v>4.3626999999999999E-2</v>
      </c>
    </row>
    <row r="16" spans="1:24" ht="15.5" x14ac:dyDescent="0.35">
      <c r="B16" s="64"/>
      <c r="C16" s="180" t="s">
        <v>251</v>
      </c>
      <c r="D16" s="187" t="s">
        <v>4</v>
      </c>
      <c r="E16" s="188">
        <v>2.5631000000000001E-2</v>
      </c>
      <c r="F16" s="29"/>
      <c r="G16" s="29"/>
      <c r="H16" s="29"/>
      <c r="I16" s="29"/>
      <c r="J16" s="29"/>
      <c r="K16" s="29"/>
      <c r="L16" s="29"/>
      <c r="M16" s="29"/>
      <c r="N16" s="29"/>
      <c r="O16" s="29"/>
      <c r="P16" s="29"/>
      <c r="Q16" s="29"/>
      <c r="R16" s="29"/>
      <c r="S16" s="29"/>
      <c r="T16" s="29"/>
      <c r="U16" s="25"/>
      <c r="W16" s="173" t="s">
        <v>12</v>
      </c>
      <c r="X16" s="172">
        <v>3.8744000000000001E-2</v>
      </c>
    </row>
    <row r="17" spans="2:24" ht="31" x14ac:dyDescent="0.35">
      <c r="B17" s="64"/>
      <c r="C17" s="180" t="s">
        <v>287</v>
      </c>
      <c r="D17" s="187" t="s">
        <v>109</v>
      </c>
      <c r="E17" s="188">
        <v>2.5586999999999999E-2</v>
      </c>
      <c r="F17" s="29"/>
      <c r="G17" s="29"/>
      <c r="H17" s="29"/>
      <c r="I17" s="29"/>
      <c r="J17" s="29"/>
      <c r="K17" s="29"/>
      <c r="L17" s="29"/>
      <c r="M17" s="29"/>
      <c r="N17" s="29"/>
      <c r="O17" s="29"/>
      <c r="P17" s="29"/>
      <c r="Q17" s="29"/>
      <c r="R17" s="29"/>
      <c r="S17" s="29"/>
      <c r="T17" s="29"/>
      <c r="U17" s="25"/>
      <c r="W17" s="173" t="s">
        <v>124</v>
      </c>
      <c r="X17" s="172">
        <v>3.1022000000000001E-2</v>
      </c>
    </row>
    <row r="18" spans="2:24" ht="15.5" x14ac:dyDescent="0.35">
      <c r="B18" s="64"/>
      <c r="C18" s="180" t="s">
        <v>277</v>
      </c>
      <c r="D18" s="187" t="s">
        <v>83</v>
      </c>
      <c r="E18" s="188">
        <v>2.4542000000000001E-2</v>
      </c>
      <c r="F18" s="29"/>
      <c r="G18" s="29"/>
      <c r="H18" s="29"/>
      <c r="I18" s="29"/>
      <c r="J18" s="29"/>
      <c r="K18" s="29"/>
      <c r="L18" s="29"/>
      <c r="M18" s="29"/>
      <c r="N18" s="29"/>
      <c r="O18" s="29"/>
      <c r="P18" s="29"/>
      <c r="Q18" s="29"/>
      <c r="R18" s="29"/>
      <c r="S18" s="29"/>
      <c r="T18" s="29"/>
      <c r="U18" s="25"/>
      <c r="W18" s="173" t="s">
        <v>25</v>
      </c>
      <c r="X18" s="172">
        <v>3.0429999999999999E-2</v>
      </c>
    </row>
    <row r="19" spans="2:24" ht="15.5" x14ac:dyDescent="0.35">
      <c r="B19" s="64"/>
      <c r="C19" s="180" t="s">
        <v>387</v>
      </c>
      <c r="D19" s="187" t="s">
        <v>135</v>
      </c>
      <c r="E19" s="188">
        <v>2.4351999999999999E-2</v>
      </c>
      <c r="F19" s="29"/>
      <c r="G19" s="29"/>
      <c r="H19" s="29"/>
      <c r="I19" s="29"/>
      <c r="J19" s="29"/>
      <c r="K19" s="29"/>
      <c r="L19" s="29"/>
      <c r="M19" s="29"/>
      <c r="N19" s="29"/>
      <c r="O19" s="29"/>
      <c r="P19" s="29"/>
      <c r="Q19" s="29"/>
      <c r="R19" s="29"/>
      <c r="S19" s="29"/>
      <c r="T19" s="29"/>
      <c r="U19" s="25"/>
      <c r="W19" s="173" t="s">
        <v>10</v>
      </c>
      <c r="X19" s="172">
        <v>2.8764999999999999E-2</v>
      </c>
    </row>
    <row r="20" spans="2:24" ht="15.5" x14ac:dyDescent="0.35">
      <c r="B20" s="64"/>
      <c r="C20" s="180" t="s">
        <v>388</v>
      </c>
      <c r="D20" s="187" t="s">
        <v>135</v>
      </c>
      <c r="E20" s="188">
        <v>2.4171999999999999E-2</v>
      </c>
      <c r="F20" s="29"/>
      <c r="G20" s="29"/>
      <c r="H20" s="29"/>
      <c r="I20" s="29"/>
      <c r="J20" s="29"/>
      <c r="K20" s="29"/>
      <c r="L20" s="29"/>
      <c r="M20" s="29"/>
      <c r="N20" s="29"/>
      <c r="O20" s="29"/>
      <c r="P20" s="29"/>
      <c r="Q20" s="29"/>
      <c r="R20" s="29"/>
      <c r="S20" s="29"/>
      <c r="T20" s="29"/>
      <c r="U20" s="25"/>
      <c r="W20" s="173" t="s">
        <v>75</v>
      </c>
      <c r="X20" s="172">
        <v>2.3328000000000002E-2</v>
      </c>
    </row>
    <row r="21" spans="2:24" ht="15.5" x14ac:dyDescent="0.35">
      <c r="B21" s="64"/>
      <c r="C21" s="180" t="s">
        <v>289</v>
      </c>
      <c r="D21" s="187" t="s">
        <v>75</v>
      </c>
      <c r="E21" s="188">
        <v>2.3328000000000002E-2</v>
      </c>
      <c r="F21" s="29"/>
      <c r="G21" s="29"/>
      <c r="H21" s="29"/>
      <c r="I21" s="29"/>
      <c r="J21" s="29"/>
      <c r="K21" s="29"/>
      <c r="L21" s="29"/>
      <c r="M21" s="29"/>
      <c r="N21" s="29"/>
      <c r="O21" s="29"/>
      <c r="P21" s="29"/>
      <c r="Q21" s="29"/>
      <c r="R21" s="29"/>
      <c r="S21" s="29"/>
      <c r="T21" s="29"/>
      <c r="U21" s="25"/>
      <c r="W21" s="173" t="s">
        <v>85</v>
      </c>
      <c r="X21" s="172">
        <v>2.0768000000000002E-2</v>
      </c>
    </row>
    <row r="22" spans="2:24" ht="15.5" x14ac:dyDescent="0.35">
      <c r="B22" s="64"/>
      <c r="C22" s="180" t="s">
        <v>320</v>
      </c>
      <c r="D22" s="187" t="s">
        <v>16</v>
      </c>
      <c r="E22" s="188">
        <v>2.1354000000000001E-2</v>
      </c>
      <c r="F22" s="29"/>
      <c r="G22" s="29"/>
      <c r="H22" s="29"/>
      <c r="I22" s="29"/>
      <c r="J22" s="29"/>
      <c r="K22" s="29"/>
      <c r="L22" s="29"/>
      <c r="M22" s="29"/>
      <c r="N22" s="29"/>
      <c r="O22" s="29"/>
      <c r="P22" s="29"/>
      <c r="Q22" s="29"/>
      <c r="R22" s="29"/>
      <c r="S22" s="29"/>
      <c r="T22" s="29"/>
      <c r="U22" s="25"/>
      <c r="W22" s="173" t="s">
        <v>131</v>
      </c>
      <c r="X22" s="172">
        <v>2.0756E-2</v>
      </c>
    </row>
    <row r="23" spans="2:24" ht="15.5" x14ac:dyDescent="0.35">
      <c r="B23" s="64"/>
      <c r="C23" s="71"/>
      <c r="D23" s="71"/>
      <c r="E23" s="72"/>
      <c r="F23" s="29"/>
      <c r="G23" s="29"/>
      <c r="H23" s="29"/>
      <c r="I23" s="29"/>
      <c r="J23" s="29"/>
      <c r="K23" s="29"/>
      <c r="L23" s="29"/>
      <c r="M23" s="29"/>
      <c r="N23" s="29"/>
      <c r="O23" s="29"/>
      <c r="P23" s="29"/>
      <c r="Q23" s="29"/>
      <c r="R23" s="29"/>
      <c r="S23" s="29"/>
      <c r="T23" s="29"/>
      <c r="U23" s="25"/>
      <c r="W23" s="173" t="s">
        <v>122</v>
      </c>
      <c r="X23" s="172">
        <v>2.0500000000000001E-2</v>
      </c>
    </row>
    <row r="24" spans="2:24" ht="15.5" x14ac:dyDescent="0.35">
      <c r="B24" s="64"/>
      <c r="C24" s="73" t="s">
        <v>55</v>
      </c>
      <c r="D24" s="74"/>
      <c r="E24" s="75">
        <f>SUM(E8:E22)</f>
        <v>0.54888499999999996</v>
      </c>
      <c r="F24" s="29"/>
      <c r="G24" s="29"/>
      <c r="H24" s="29"/>
      <c r="I24" s="29"/>
      <c r="J24" s="29"/>
      <c r="K24" s="29"/>
      <c r="L24" s="29"/>
      <c r="M24" s="29"/>
      <c r="N24" s="29"/>
      <c r="O24" s="29"/>
      <c r="P24" s="29"/>
      <c r="Q24" s="29"/>
      <c r="R24" s="29"/>
      <c r="S24" s="29"/>
      <c r="T24" s="29"/>
      <c r="U24" s="25"/>
      <c r="W24" s="173" t="s">
        <v>110</v>
      </c>
      <c r="X24" s="172">
        <v>1.8388999999999999E-2</v>
      </c>
    </row>
    <row r="25" spans="2:24" x14ac:dyDescent="0.35">
      <c r="B25" s="64"/>
      <c r="C25" s="29"/>
      <c r="D25" s="29"/>
      <c r="E25" s="29"/>
      <c r="F25" s="29"/>
      <c r="G25" s="29"/>
      <c r="H25" s="29"/>
      <c r="I25" s="29"/>
      <c r="J25" s="29"/>
      <c r="K25" s="29"/>
      <c r="L25" s="29"/>
      <c r="M25" s="29"/>
      <c r="N25" s="29"/>
      <c r="O25" s="29"/>
      <c r="P25" s="29"/>
      <c r="Q25" s="29"/>
      <c r="R25" s="29"/>
      <c r="S25" s="29"/>
      <c r="T25" s="29"/>
      <c r="U25" s="25"/>
      <c r="W25" s="173" t="s">
        <v>23</v>
      </c>
      <c r="X25" s="172">
        <v>1.7853000000000001E-2</v>
      </c>
    </row>
    <row r="26" spans="2:24" x14ac:dyDescent="0.35">
      <c r="B26" s="64"/>
      <c r="C26" s="29"/>
      <c r="D26" s="29"/>
      <c r="E26" s="29"/>
      <c r="F26" s="29"/>
      <c r="G26" s="29"/>
      <c r="H26" s="29"/>
      <c r="I26" s="29"/>
      <c r="J26" s="29"/>
      <c r="K26" s="29"/>
      <c r="L26" s="29"/>
      <c r="M26" s="29"/>
      <c r="N26" s="29"/>
      <c r="O26" s="29"/>
      <c r="P26" s="29"/>
      <c r="Q26" s="29"/>
      <c r="R26" s="29"/>
      <c r="S26" s="29"/>
      <c r="T26" s="29"/>
      <c r="U26" s="25"/>
      <c r="W26" s="173" t="s">
        <v>116</v>
      </c>
      <c r="X26" s="172">
        <v>1.7385000000000001E-2</v>
      </c>
    </row>
    <row r="27" spans="2:24" x14ac:dyDescent="0.35">
      <c r="B27" s="64"/>
      <c r="C27" s="29"/>
      <c r="D27" s="29"/>
      <c r="E27" s="29"/>
      <c r="F27" s="29"/>
      <c r="G27" s="29"/>
      <c r="H27" s="29"/>
      <c r="I27" s="29"/>
      <c r="J27" s="29"/>
      <c r="K27" s="29"/>
      <c r="L27" s="29"/>
      <c r="M27" s="29"/>
      <c r="N27" s="29"/>
      <c r="O27" s="29"/>
      <c r="P27" s="29"/>
      <c r="Q27" s="29"/>
      <c r="R27" s="29"/>
      <c r="S27" s="29"/>
      <c r="T27" s="29"/>
      <c r="U27" s="25"/>
      <c r="W27" s="61" t="s">
        <v>82</v>
      </c>
      <c r="X27" s="62">
        <v>1.7201999999999999E-2</v>
      </c>
    </row>
    <row r="28" spans="2:24" x14ac:dyDescent="0.35">
      <c r="B28" s="64"/>
      <c r="C28" s="29"/>
      <c r="D28" s="29"/>
      <c r="E28" s="29"/>
      <c r="F28" s="29"/>
      <c r="G28" s="29"/>
      <c r="H28" s="29"/>
      <c r="I28" s="29"/>
      <c r="J28" s="29"/>
      <c r="K28" s="29"/>
      <c r="L28" s="29"/>
      <c r="M28" s="29"/>
      <c r="N28" s="29"/>
      <c r="O28" s="29"/>
      <c r="P28" s="29"/>
      <c r="Q28" s="29"/>
      <c r="R28" s="29"/>
      <c r="S28" s="29"/>
      <c r="T28" s="29"/>
      <c r="U28" s="25"/>
      <c r="W28" s="61" t="s">
        <v>15</v>
      </c>
      <c r="X28" s="62">
        <v>8.2559999999999995E-3</v>
      </c>
    </row>
    <row r="29" spans="2:24" x14ac:dyDescent="0.35">
      <c r="B29" s="64"/>
      <c r="C29" s="29"/>
      <c r="D29" s="29"/>
      <c r="E29" s="29"/>
      <c r="F29" s="29"/>
      <c r="G29" s="29"/>
      <c r="H29" s="29"/>
      <c r="I29" s="29"/>
      <c r="J29" s="29"/>
      <c r="K29" s="29"/>
      <c r="L29" s="29"/>
      <c r="M29" s="29"/>
      <c r="N29" s="29"/>
      <c r="O29" s="29"/>
      <c r="P29" s="29"/>
      <c r="Q29" s="29"/>
      <c r="R29" s="29"/>
      <c r="S29" s="29"/>
      <c r="T29" s="29"/>
      <c r="U29" s="25"/>
      <c r="W29" s="61" t="s">
        <v>111</v>
      </c>
      <c r="X29" s="62">
        <v>6.2059999999999997E-3</v>
      </c>
    </row>
    <row r="30" spans="2:24" x14ac:dyDescent="0.35">
      <c r="B30" s="64"/>
      <c r="C30" s="29"/>
      <c r="D30" s="29"/>
      <c r="E30" s="29"/>
      <c r="F30" s="29"/>
      <c r="G30" s="29"/>
      <c r="H30" s="29"/>
      <c r="I30" s="29"/>
      <c r="J30" s="29"/>
      <c r="K30" s="29"/>
      <c r="L30" s="29"/>
      <c r="M30" s="29"/>
      <c r="N30" s="29"/>
      <c r="O30" s="29"/>
      <c r="P30" s="29"/>
      <c r="Q30" s="29"/>
      <c r="R30" s="29"/>
      <c r="S30" s="29"/>
      <c r="T30" s="29"/>
      <c r="U30" s="25"/>
      <c r="W30" s="61" t="s">
        <v>114</v>
      </c>
      <c r="X30" s="62">
        <v>5.8139999999999997E-3</v>
      </c>
    </row>
    <row r="31" spans="2:24" x14ac:dyDescent="0.35">
      <c r="B31" s="64"/>
      <c r="C31" s="29"/>
      <c r="D31" s="29"/>
      <c r="E31" s="29"/>
      <c r="F31" s="29"/>
      <c r="G31" s="29"/>
      <c r="H31" s="29"/>
      <c r="I31" s="29"/>
      <c r="J31" s="29"/>
      <c r="K31" s="29"/>
      <c r="L31" s="29"/>
      <c r="M31" s="29"/>
      <c r="N31" s="29"/>
      <c r="O31" s="29"/>
      <c r="P31" s="29"/>
      <c r="Q31" s="29"/>
      <c r="R31" s="29"/>
      <c r="S31" s="29"/>
      <c r="T31" s="29"/>
      <c r="U31" s="25"/>
      <c r="W31" s="61" t="s">
        <v>105</v>
      </c>
      <c r="X31" s="62">
        <v>7.7700000000000002E-4</v>
      </c>
    </row>
    <row r="32" spans="2:24" x14ac:dyDescent="0.35">
      <c r="B32" s="64"/>
      <c r="C32" s="29"/>
      <c r="D32" s="29"/>
      <c r="E32" s="29"/>
      <c r="F32" s="29"/>
      <c r="G32" s="29"/>
      <c r="H32" s="29"/>
      <c r="I32" s="29"/>
      <c r="J32" s="29"/>
      <c r="K32" s="29"/>
      <c r="L32" s="29"/>
      <c r="M32" s="29"/>
      <c r="N32" s="29"/>
      <c r="O32" s="29"/>
      <c r="P32" s="29"/>
      <c r="Q32" s="29"/>
      <c r="R32" s="29"/>
      <c r="S32" s="29"/>
      <c r="T32" s="29"/>
      <c r="U32" s="25"/>
      <c r="W32" s="61"/>
      <c r="X32" s="62"/>
    </row>
    <row r="33" spans="2:24" x14ac:dyDescent="0.35">
      <c r="B33" s="64"/>
      <c r="C33" s="29"/>
      <c r="D33" s="29"/>
      <c r="E33" s="29"/>
      <c r="F33" s="29"/>
      <c r="G33" s="29"/>
      <c r="H33" s="29"/>
      <c r="I33" s="29"/>
      <c r="J33" s="29"/>
      <c r="K33" s="29"/>
      <c r="L33" s="29"/>
      <c r="M33" s="29"/>
      <c r="N33" s="29"/>
      <c r="O33" s="29"/>
      <c r="P33" s="29"/>
      <c r="Q33" s="29"/>
      <c r="R33" s="29"/>
      <c r="S33" s="29"/>
      <c r="T33" s="29"/>
      <c r="U33" s="25"/>
      <c r="W33" s="61"/>
      <c r="X33" s="62"/>
    </row>
    <row r="34" spans="2:24" x14ac:dyDescent="0.35">
      <c r="B34" s="64"/>
      <c r="C34" s="29"/>
      <c r="D34" s="29"/>
      <c r="E34" s="29"/>
      <c r="F34" s="29"/>
      <c r="G34" s="29"/>
      <c r="H34" s="29"/>
      <c r="I34" s="29"/>
      <c r="J34" s="29"/>
      <c r="K34" s="29"/>
      <c r="L34" s="29"/>
      <c r="M34" s="29"/>
      <c r="N34" s="29"/>
      <c r="O34" s="29"/>
      <c r="P34" s="29"/>
      <c r="Q34" s="29"/>
      <c r="R34" s="29"/>
      <c r="S34" s="29"/>
      <c r="T34" s="29"/>
      <c r="U34" s="25"/>
      <c r="W34" s="61"/>
      <c r="X34" s="62"/>
    </row>
    <row r="35" spans="2:24" x14ac:dyDescent="0.35">
      <c r="B35" s="64"/>
      <c r="C35" s="29"/>
      <c r="D35" s="29"/>
      <c r="E35" s="29"/>
      <c r="F35" s="29"/>
      <c r="G35" s="29"/>
      <c r="H35" s="29"/>
      <c r="I35" s="29"/>
      <c r="J35" s="29"/>
      <c r="K35" s="29"/>
      <c r="L35" s="29"/>
      <c r="M35" s="29"/>
      <c r="N35" s="29"/>
      <c r="O35" s="29"/>
      <c r="P35" s="29"/>
      <c r="Q35" s="29"/>
      <c r="R35" s="29"/>
      <c r="S35" s="29"/>
      <c r="T35" s="29"/>
      <c r="U35" s="25"/>
      <c r="W35" s="61"/>
      <c r="X35" s="62"/>
    </row>
    <row r="36" spans="2:24" x14ac:dyDescent="0.35">
      <c r="B36" s="64"/>
      <c r="C36" s="29"/>
      <c r="D36" s="29"/>
      <c r="E36" s="29"/>
      <c r="F36" s="29"/>
      <c r="G36" s="29"/>
      <c r="H36" s="29"/>
      <c r="I36" s="29"/>
      <c r="J36" s="29"/>
      <c r="K36" s="29"/>
      <c r="L36" s="29"/>
      <c r="M36" s="29"/>
      <c r="N36" s="29"/>
      <c r="O36" s="29"/>
      <c r="P36" s="29"/>
      <c r="Q36" s="29"/>
      <c r="R36" s="29"/>
      <c r="S36" s="29"/>
      <c r="T36" s="29"/>
      <c r="U36" s="25"/>
      <c r="W36" s="61"/>
      <c r="X36" s="62"/>
    </row>
    <row r="37" spans="2:24" ht="15" thickBot="1" x14ac:dyDescent="0.4">
      <c r="B37" s="76"/>
      <c r="C37" s="30"/>
      <c r="D37" s="30"/>
      <c r="E37" s="30"/>
      <c r="F37" s="30"/>
      <c r="G37" s="30"/>
      <c r="H37" s="30"/>
      <c r="I37" s="30"/>
      <c r="J37" s="30"/>
      <c r="K37" s="30"/>
      <c r="L37" s="30"/>
      <c r="M37" s="30"/>
      <c r="N37" s="30"/>
      <c r="O37" s="30"/>
      <c r="P37" s="30"/>
      <c r="Q37" s="30"/>
      <c r="R37" s="30"/>
      <c r="S37" s="30"/>
      <c r="T37" s="30"/>
      <c r="U37" s="26"/>
      <c r="W37" s="61"/>
      <c r="X37" s="62"/>
    </row>
    <row r="38" spans="2:24" ht="15" thickBot="1" x14ac:dyDescent="0.4">
      <c r="W38" s="61"/>
      <c r="X38" s="62"/>
    </row>
    <row r="39" spans="2:24" ht="15" customHeight="1" x14ac:dyDescent="0.35">
      <c r="B39" s="303" t="s">
        <v>179</v>
      </c>
      <c r="C39" s="304"/>
      <c r="D39" s="304"/>
      <c r="E39" s="304"/>
      <c r="F39" s="304"/>
      <c r="G39" s="304"/>
      <c r="H39" s="304"/>
      <c r="I39" s="304"/>
      <c r="J39" s="304"/>
      <c r="K39" s="304"/>
      <c r="L39" s="304"/>
      <c r="M39" s="304"/>
      <c r="N39" s="304"/>
      <c r="O39" s="304"/>
      <c r="P39" s="304"/>
      <c r="Q39" s="304"/>
      <c r="R39" s="305"/>
      <c r="W39" s="61"/>
      <c r="X39" s="62"/>
    </row>
    <row r="40" spans="2:24" x14ac:dyDescent="0.35">
      <c r="B40" s="306"/>
      <c r="C40" s="307"/>
      <c r="D40" s="307"/>
      <c r="E40" s="307"/>
      <c r="F40" s="307"/>
      <c r="G40" s="307"/>
      <c r="H40" s="307"/>
      <c r="I40" s="307"/>
      <c r="J40" s="307"/>
      <c r="K40" s="307"/>
      <c r="L40" s="307"/>
      <c r="M40" s="307"/>
      <c r="N40" s="307"/>
      <c r="O40" s="307"/>
      <c r="P40" s="307"/>
      <c r="Q40" s="307"/>
      <c r="R40" s="308"/>
      <c r="W40" s="61"/>
      <c r="X40" s="62"/>
    </row>
    <row r="41" spans="2:24" x14ac:dyDescent="0.35">
      <c r="B41" s="306"/>
      <c r="C41" s="307"/>
      <c r="D41" s="307"/>
      <c r="E41" s="307"/>
      <c r="F41" s="307"/>
      <c r="G41" s="307"/>
      <c r="H41" s="307"/>
      <c r="I41" s="307"/>
      <c r="J41" s="307"/>
      <c r="K41" s="307"/>
      <c r="L41" s="307"/>
      <c r="M41" s="307"/>
      <c r="N41" s="307"/>
      <c r="O41" s="307"/>
      <c r="P41" s="307"/>
      <c r="Q41" s="307"/>
      <c r="R41" s="308"/>
      <c r="W41" s="61"/>
      <c r="X41" s="62"/>
    </row>
    <row r="42" spans="2:24" x14ac:dyDescent="0.35">
      <c r="B42" s="306"/>
      <c r="C42" s="307"/>
      <c r="D42" s="307"/>
      <c r="E42" s="307"/>
      <c r="F42" s="307"/>
      <c r="G42" s="307"/>
      <c r="H42" s="307"/>
      <c r="I42" s="307"/>
      <c r="J42" s="307"/>
      <c r="K42" s="307"/>
      <c r="L42" s="307"/>
      <c r="M42" s="307"/>
      <c r="N42" s="307"/>
      <c r="O42" s="307"/>
      <c r="P42" s="307"/>
      <c r="Q42" s="307"/>
      <c r="R42" s="308"/>
      <c r="W42" s="61"/>
      <c r="X42" s="62"/>
    </row>
    <row r="43" spans="2:24" x14ac:dyDescent="0.35">
      <c r="B43" s="306"/>
      <c r="C43" s="307"/>
      <c r="D43" s="307"/>
      <c r="E43" s="307"/>
      <c r="F43" s="307"/>
      <c r="G43" s="307"/>
      <c r="H43" s="307"/>
      <c r="I43" s="307"/>
      <c r="J43" s="307"/>
      <c r="K43" s="307"/>
      <c r="L43" s="307"/>
      <c r="M43" s="307"/>
      <c r="N43" s="307"/>
      <c r="O43" s="307"/>
      <c r="P43" s="307"/>
      <c r="Q43" s="307"/>
      <c r="R43" s="308"/>
    </row>
    <row r="44" spans="2:24" x14ac:dyDescent="0.35">
      <c r="B44" s="306"/>
      <c r="C44" s="307"/>
      <c r="D44" s="307"/>
      <c r="E44" s="307"/>
      <c r="F44" s="307"/>
      <c r="G44" s="307"/>
      <c r="H44" s="307"/>
      <c r="I44" s="307"/>
      <c r="J44" s="307"/>
      <c r="K44" s="307"/>
      <c r="L44" s="307"/>
      <c r="M44" s="307"/>
      <c r="N44" s="307"/>
      <c r="O44" s="307"/>
      <c r="P44" s="307"/>
      <c r="Q44" s="307"/>
      <c r="R44" s="308"/>
    </row>
    <row r="45" spans="2:24" ht="15" thickBot="1" x14ac:dyDescent="0.4">
      <c r="B45" s="309"/>
      <c r="C45" s="310"/>
      <c r="D45" s="310"/>
      <c r="E45" s="310"/>
      <c r="F45" s="310"/>
      <c r="G45" s="310"/>
      <c r="H45" s="310"/>
      <c r="I45" s="310"/>
      <c r="J45" s="310"/>
      <c r="K45" s="310"/>
      <c r="L45" s="310"/>
      <c r="M45" s="310"/>
      <c r="N45" s="310"/>
      <c r="O45" s="310"/>
      <c r="P45" s="310"/>
      <c r="Q45" s="310"/>
      <c r="R45" s="311"/>
    </row>
  </sheetData>
  <mergeCells count="3">
    <mergeCell ref="C3:S3"/>
    <mergeCell ref="D5:E5"/>
    <mergeCell ref="B39:R45"/>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F49CC3-3E84-4A32-9FDF-6C5977D3CBE9}">
  <sheetPr codeName="Sheet33"/>
  <dimension ref="A1:X54"/>
  <sheetViews>
    <sheetView showGridLines="0" zoomScale="77" zoomScaleNormal="75" workbookViewId="0"/>
  </sheetViews>
  <sheetFormatPr defaultColWidth="9.1796875" defaultRowHeight="14.5" x14ac:dyDescent="0.35"/>
  <cols>
    <col min="1" max="1" width="2.81640625" style="19" customWidth="1"/>
    <col min="2" max="2" width="3.81640625" style="19" customWidth="1"/>
    <col min="3" max="3" width="58.7265625" style="19" bestFit="1" customWidth="1"/>
    <col min="4" max="4" width="28.26953125" style="19" customWidth="1"/>
    <col min="5" max="5" width="10.453125" style="19" bestFit="1" customWidth="1"/>
    <col min="6" max="18" width="9.1796875" style="19"/>
    <col min="19" max="19" width="9.81640625" style="19" customWidth="1"/>
    <col min="20" max="22" width="9.1796875" style="19"/>
    <col min="23" max="23" width="31.453125" style="19" bestFit="1" customWidth="1"/>
    <col min="24" max="16384" width="9.1796875" style="19"/>
  </cols>
  <sheetData>
    <row r="1" spans="1:24" ht="16" thickBot="1" x14ac:dyDescent="0.4">
      <c r="A1" s="3"/>
    </row>
    <row r="2" spans="1:24" x14ac:dyDescent="0.35">
      <c r="B2" s="63"/>
      <c r="C2" s="28"/>
      <c r="D2" s="28"/>
      <c r="E2" s="28"/>
      <c r="F2" s="28"/>
      <c r="G2" s="28"/>
      <c r="H2" s="28"/>
      <c r="I2" s="28"/>
      <c r="J2" s="28"/>
      <c r="K2" s="28"/>
      <c r="L2" s="28"/>
      <c r="M2" s="28"/>
      <c r="N2" s="28"/>
      <c r="O2" s="28"/>
      <c r="P2" s="28"/>
      <c r="Q2" s="28"/>
      <c r="R2" s="28"/>
      <c r="S2" s="28"/>
      <c r="T2" s="28"/>
      <c r="U2" s="24"/>
    </row>
    <row r="3" spans="1:24" ht="20" x14ac:dyDescent="0.35">
      <c r="B3" s="64"/>
      <c r="C3" s="312" t="s">
        <v>210</v>
      </c>
      <c r="D3" s="313"/>
      <c r="E3" s="313"/>
      <c r="F3" s="313"/>
      <c r="G3" s="313"/>
      <c r="H3" s="313"/>
      <c r="I3" s="313"/>
      <c r="J3" s="313"/>
      <c r="K3" s="313"/>
      <c r="L3" s="313"/>
      <c r="M3" s="313"/>
      <c r="N3" s="313"/>
      <c r="O3" s="313"/>
      <c r="P3" s="313"/>
      <c r="Q3" s="313"/>
      <c r="R3" s="313"/>
      <c r="S3" s="313"/>
      <c r="T3" s="65"/>
      <c r="U3" s="66"/>
    </row>
    <row r="4" spans="1:24" ht="15.5" x14ac:dyDescent="0.35">
      <c r="B4" s="64"/>
      <c r="C4" s="67" t="s">
        <v>434</v>
      </c>
      <c r="D4" s="29"/>
      <c r="E4" s="29"/>
      <c r="F4" s="29"/>
      <c r="G4" s="29"/>
      <c r="H4" s="29"/>
      <c r="I4" s="29"/>
      <c r="J4" s="29"/>
      <c r="K4" s="29"/>
      <c r="L4" s="29"/>
      <c r="M4" s="29"/>
      <c r="N4" s="29"/>
      <c r="O4" s="29"/>
      <c r="P4" s="29"/>
      <c r="Q4" s="29"/>
      <c r="R4" s="29"/>
      <c r="S4" s="29"/>
      <c r="T4" s="29"/>
      <c r="U4" s="25"/>
    </row>
    <row r="5" spans="1:24" ht="20" x14ac:dyDescent="0.35">
      <c r="B5" s="64"/>
      <c r="C5" s="211" t="s">
        <v>435</v>
      </c>
      <c r="D5" s="316" t="s">
        <v>424</v>
      </c>
      <c r="E5" s="316"/>
      <c r="F5" s="29"/>
      <c r="G5" s="29"/>
      <c r="H5" s="29"/>
      <c r="I5" s="29"/>
      <c r="J5" s="29"/>
      <c r="K5" s="29"/>
      <c r="L5" s="29"/>
      <c r="M5" s="29"/>
      <c r="N5" s="29"/>
      <c r="O5" s="29"/>
      <c r="P5" s="29"/>
      <c r="Q5" s="29"/>
      <c r="R5" s="29"/>
      <c r="S5" s="29"/>
      <c r="T5" s="29"/>
      <c r="U5" s="25"/>
    </row>
    <row r="6" spans="1:24" x14ac:dyDescent="0.35">
      <c r="B6" s="64"/>
      <c r="C6" s="29"/>
      <c r="D6" s="29"/>
      <c r="E6" s="29"/>
      <c r="F6" s="29"/>
      <c r="G6" s="29"/>
      <c r="H6" s="29"/>
      <c r="I6" s="29"/>
      <c r="J6" s="29"/>
      <c r="K6" s="29"/>
      <c r="L6" s="29"/>
      <c r="M6" s="29"/>
      <c r="N6" s="29"/>
      <c r="O6" s="29"/>
      <c r="P6" s="29"/>
      <c r="Q6" s="29"/>
      <c r="R6" s="29"/>
      <c r="S6" s="29"/>
      <c r="T6" s="29"/>
      <c r="U6" s="25"/>
    </row>
    <row r="7" spans="1:24" ht="15.5" x14ac:dyDescent="0.35">
      <c r="B7" s="64"/>
      <c r="C7" s="68" t="s">
        <v>0</v>
      </c>
      <c r="D7" s="69" t="s">
        <v>1</v>
      </c>
      <c r="E7" s="70" t="s">
        <v>2</v>
      </c>
      <c r="F7" s="29"/>
      <c r="G7" s="29"/>
      <c r="H7" s="29"/>
      <c r="I7" s="29"/>
      <c r="J7" s="29"/>
      <c r="K7" s="29"/>
      <c r="L7" s="29"/>
      <c r="M7" s="29"/>
      <c r="N7" s="29"/>
      <c r="O7" s="29"/>
      <c r="P7" s="29"/>
      <c r="Q7" s="29"/>
      <c r="R7" s="29"/>
      <c r="S7" s="29"/>
      <c r="T7" s="29"/>
      <c r="U7" s="25"/>
      <c r="W7" s="39" t="s">
        <v>22</v>
      </c>
      <c r="X7" s="39" t="s">
        <v>2</v>
      </c>
    </row>
    <row r="8" spans="1:24" ht="15.5" x14ac:dyDescent="0.35">
      <c r="B8" s="64"/>
      <c r="C8" s="184" t="s">
        <v>208</v>
      </c>
      <c r="D8" s="185" t="s">
        <v>83</v>
      </c>
      <c r="E8" s="186">
        <v>1.7826000000000002E-2</v>
      </c>
      <c r="F8" s="29"/>
      <c r="G8" s="29"/>
      <c r="H8" s="29"/>
      <c r="I8" s="29"/>
      <c r="J8" s="29"/>
      <c r="K8" s="29"/>
      <c r="L8" s="29"/>
      <c r="M8" s="29"/>
      <c r="N8" s="29"/>
      <c r="O8" s="29"/>
      <c r="P8" s="29"/>
      <c r="Q8" s="29"/>
      <c r="R8" s="29"/>
      <c r="S8" s="29"/>
      <c r="T8" s="29"/>
      <c r="U8" s="25"/>
      <c r="W8" s="173" t="s">
        <v>4</v>
      </c>
      <c r="X8" s="224">
        <v>9.9698000000000009E-2</v>
      </c>
    </row>
    <row r="9" spans="1:24" ht="31" x14ac:dyDescent="0.35">
      <c r="B9" s="64"/>
      <c r="C9" s="180" t="s">
        <v>303</v>
      </c>
      <c r="D9" s="187" t="s">
        <v>109</v>
      </c>
      <c r="E9" s="188">
        <v>1.3471E-2</v>
      </c>
      <c r="F9" s="29"/>
      <c r="G9" s="29"/>
      <c r="H9" s="29"/>
      <c r="I9" s="29"/>
      <c r="J9" s="29"/>
      <c r="K9" s="29"/>
      <c r="L9" s="29"/>
      <c r="M9" s="29"/>
      <c r="N9" s="29"/>
      <c r="O9" s="29"/>
      <c r="P9" s="29"/>
      <c r="Q9" s="29"/>
      <c r="R9" s="29"/>
      <c r="S9" s="29"/>
      <c r="T9" s="29"/>
      <c r="U9" s="25"/>
      <c r="W9" s="173" t="s">
        <v>109</v>
      </c>
      <c r="X9" s="224">
        <v>8.4421999999999997E-2</v>
      </c>
    </row>
    <row r="10" spans="1:24" ht="15.5" x14ac:dyDescent="0.35">
      <c r="B10" s="64"/>
      <c r="C10" s="180" t="s">
        <v>212</v>
      </c>
      <c r="D10" s="187" t="s">
        <v>83</v>
      </c>
      <c r="E10" s="188">
        <v>1.3402000000000001E-2</v>
      </c>
      <c r="F10" s="29"/>
      <c r="G10" s="29"/>
      <c r="H10" s="29"/>
      <c r="I10" s="29"/>
      <c r="J10" s="29"/>
      <c r="K10" s="29"/>
      <c r="L10" s="29"/>
      <c r="M10" s="29"/>
      <c r="N10" s="29"/>
      <c r="O10" s="29"/>
      <c r="P10" s="29"/>
      <c r="Q10" s="29"/>
      <c r="R10" s="29"/>
      <c r="S10" s="29"/>
      <c r="T10" s="29"/>
      <c r="U10" s="25"/>
      <c r="W10" s="173" t="s">
        <v>83</v>
      </c>
      <c r="X10" s="224">
        <v>7.9600000000000004E-2</v>
      </c>
    </row>
    <row r="11" spans="1:24" ht="15.5" x14ac:dyDescent="0.35">
      <c r="B11" s="64"/>
      <c r="C11" s="180" t="s">
        <v>234</v>
      </c>
      <c r="D11" s="187" t="s">
        <v>16</v>
      </c>
      <c r="E11" s="188">
        <v>1.2354E-2</v>
      </c>
      <c r="F11" s="29"/>
      <c r="G11" s="29"/>
      <c r="H11" s="29"/>
      <c r="I11" s="29"/>
      <c r="J11" s="29"/>
      <c r="K11" s="29"/>
      <c r="L11" s="29"/>
      <c r="M11" s="29"/>
      <c r="N11" s="29"/>
      <c r="O11" s="29"/>
      <c r="P11" s="29"/>
      <c r="Q11" s="29"/>
      <c r="R11" s="29"/>
      <c r="S11" s="29"/>
      <c r="T11" s="29"/>
      <c r="U11" s="25"/>
      <c r="W11" s="173" t="s">
        <v>24</v>
      </c>
      <c r="X11" s="224">
        <v>7.0453000000000002E-2</v>
      </c>
    </row>
    <row r="12" spans="1:24" ht="15.5" x14ac:dyDescent="0.35">
      <c r="B12" s="64"/>
      <c r="C12" s="180" t="s">
        <v>283</v>
      </c>
      <c r="D12" s="187" t="s">
        <v>104</v>
      </c>
      <c r="E12" s="188">
        <v>1.0943E-2</v>
      </c>
      <c r="F12" s="29"/>
      <c r="G12" s="29"/>
      <c r="H12" s="29"/>
      <c r="I12" s="29"/>
      <c r="J12" s="29"/>
      <c r="K12" s="29"/>
      <c r="L12" s="29"/>
      <c r="M12" s="29"/>
      <c r="N12" s="29"/>
      <c r="O12" s="29"/>
      <c r="P12" s="29"/>
      <c r="Q12" s="29"/>
      <c r="R12" s="29"/>
      <c r="S12" s="29"/>
      <c r="T12" s="29"/>
      <c r="U12" s="25"/>
      <c r="W12" s="173" t="s">
        <v>114</v>
      </c>
      <c r="X12" s="224">
        <v>5.5779999999999996E-2</v>
      </c>
    </row>
    <row r="13" spans="1:24" ht="15.5" x14ac:dyDescent="0.35">
      <c r="B13" s="64"/>
      <c r="C13" s="180" t="s">
        <v>206</v>
      </c>
      <c r="D13" s="187" t="s">
        <v>83</v>
      </c>
      <c r="E13" s="188">
        <v>1.0676E-2</v>
      </c>
      <c r="F13" s="29"/>
      <c r="G13" s="29"/>
      <c r="H13" s="29"/>
      <c r="I13" s="29"/>
      <c r="J13" s="29"/>
      <c r="K13" s="29"/>
      <c r="L13" s="29"/>
      <c r="M13" s="29"/>
      <c r="N13" s="29"/>
      <c r="O13" s="29"/>
      <c r="P13" s="29"/>
      <c r="Q13" s="29"/>
      <c r="R13" s="29"/>
      <c r="S13" s="29"/>
      <c r="T13" s="29"/>
      <c r="U13" s="25"/>
      <c r="W13" s="173" t="s">
        <v>16</v>
      </c>
      <c r="X13" s="224">
        <v>5.1091999999999999E-2</v>
      </c>
    </row>
    <row r="14" spans="1:24" ht="15.5" x14ac:dyDescent="0.35">
      <c r="B14" s="64"/>
      <c r="C14" s="180" t="s">
        <v>184</v>
      </c>
      <c r="D14" s="187" t="s">
        <v>4</v>
      </c>
      <c r="E14" s="188">
        <v>1.0524E-2</v>
      </c>
      <c r="F14" s="29"/>
      <c r="G14" s="29"/>
      <c r="H14" s="29"/>
      <c r="I14" s="29"/>
      <c r="J14" s="29"/>
      <c r="K14" s="29"/>
      <c r="L14" s="29"/>
      <c r="M14" s="29"/>
      <c r="N14" s="29"/>
      <c r="O14" s="29"/>
      <c r="P14" s="29"/>
      <c r="Q14" s="29"/>
      <c r="R14" s="29"/>
      <c r="S14" s="29"/>
      <c r="T14" s="29"/>
      <c r="U14" s="25"/>
      <c r="W14" s="173" t="s">
        <v>75</v>
      </c>
      <c r="X14" s="224">
        <v>4.0452999999999996E-2</v>
      </c>
    </row>
    <row r="15" spans="1:24" ht="15.5" x14ac:dyDescent="0.35">
      <c r="B15" s="64"/>
      <c r="C15" s="180" t="s">
        <v>338</v>
      </c>
      <c r="D15" s="187" t="s">
        <v>3</v>
      </c>
      <c r="E15" s="188">
        <v>9.7780000000000002E-3</v>
      </c>
      <c r="F15" s="29"/>
      <c r="G15" s="29"/>
      <c r="H15" s="29"/>
      <c r="I15" s="29"/>
      <c r="J15" s="29"/>
      <c r="K15" s="29"/>
      <c r="L15" s="29"/>
      <c r="M15" s="29"/>
      <c r="N15" s="29"/>
      <c r="O15" s="29"/>
      <c r="P15" s="29"/>
      <c r="Q15" s="29"/>
      <c r="R15" s="29"/>
      <c r="S15" s="29"/>
      <c r="T15" s="29"/>
      <c r="U15" s="25"/>
      <c r="W15" s="173" t="s">
        <v>23</v>
      </c>
      <c r="X15" s="224">
        <v>4.0287999999999997E-2</v>
      </c>
    </row>
    <row r="16" spans="1:24" ht="15.5" x14ac:dyDescent="0.35">
      <c r="B16" s="64"/>
      <c r="C16" s="180" t="s">
        <v>376</v>
      </c>
      <c r="D16" s="187" t="s">
        <v>4</v>
      </c>
      <c r="E16" s="188">
        <v>9.2230000000000003E-3</v>
      </c>
      <c r="F16" s="29"/>
      <c r="G16" s="29"/>
      <c r="H16" s="29"/>
      <c r="I16" s="29"/>
      <c r="J16" s="29"/>
      <c r="K16" s="29"/>
      <c r="L16" s="29"/>
      <c r="M16" s="29"/>
      <c r="N16" s="29"/>
      <c r="O16" s="29"/>
      <c r="P16" s="29"/>
      <c r="Q16" s="29"/>
      <c r="R16" s="29"/>
      <c r="S16" s="29"/>
      <c r="T16" s="29"/>
      <c r="U16" s="25"/>
      <c r="W16" s="173" t="s">
        <v>108</v>
      </c>
      <c r="X16" s="224">
        <v>3.8952000000000001E-2</v>
      </c>
    </row>
    <row r="17" spans="2:24" ht="15.5" x14ac:dyDescent="0.35">
      <c r="B17" s="64"/>
      <c r="C17" s="180" t="s">
        <v>373</v>
      </c>
      <c r="D17" s="187" t="s">
        <v>75</v>
      </c>
      <c r="E17" s="188">
        <v>9.1909999999999995E-3</v>
      </c>
      <c r="F17" s="29"/>
      <c r="G17" s="29"/>
      <c r="H17" s="29"/>
      <c r="I17" s="29"/>
      <c r="J17" s="29"/>
      <c r="K17" s="29"/>
      <c r="L17" s="29"/>
      <c r="M17" s="29"/>
      <c r="N17" s="29"/>
      <c r="O17" s="29"/>
      <c r="P17" s="29"/>
      <c r="Q17" s="29"/>
      <c r="R17" s="29"/>
      <c r="S17" s="29"/>
      <c r="T17" s="29"/>
      <c r="U17" s="25"/>
      <c r="W17" s="173" t="s">
        <v>3</v>
      </c>
      <c r="X17" s="224">
        <v>3.2472000000000001E-2</v>
      </c>
    </row>
    <row r="18" spans="2:24" ht="31" x14ac:dyDescent="0.35">
      <c r="B18" s="64"/>
      <c r="C18" s="180" t="s">
        <v>374</v>
      </c>
      <c r="D18" s="187" t="s">
        <v>114</v>
      </c>
      <c r="E18" s="188">
        <v>8.9980000000000008E-3</v>
      </c>
      <c r="F18" s="29"/>
      <c r="G18" s="29"/>
      <c r="H18" s="29"/>
      <c r="I18" s="29"/>
      <c r="J18" s="29"/>
      <c r="K18" s="29"/>
      <c r="L18" s="29"/>
      <c r="M18" s="29"/>
      <c r="N18" s="29"/>
      <c r="O18" s="29"/>
      <c r="P18" s="29"/>
      <c r="Q18" s="29"/>
      <c r="R18" s="29"/>
      <c r="S18" s="29"/>
      <c r="T18" s="29"/>
      <c r="U18" s="25"/>
      <c r="W18" s="173" t="s">
        <v>105</v>
      </c>
      <c r="X18" s="224">
        <v>3.0338999999999998E-2</v>
      </c>
    </row>
    <row r="19" spans="2:24" ht="15.5" x14ac:dyDescent="0.35">
      <c r="B19" s="64"/>
      <c r="C19" s="180" t="s">
        <v>389</v>
      </c>
      <c r="D19" s="187" t="s">
        <v>122</v>
      </c>
      <c r="E19" s="188">
        <v>8.9359999999999995E-3</v>
      </c>
      <c r="F19" s="29"/>
      <c r="G19" s="29"/>
      <c r="H19" s="29"/>
      <c r="I19" s="29"/>
      <c r="J19" s="29"/>
      <c r="K19" s="29"/>
      <c r="L19" s="29"/>
      <c r="M19" s="29"/>
      <c r="N19" s="29"/>
      <c r="O19" s="29"/>
      <c r="P19" s="29"/>
      <c r="Q19" s="29"/>
      <c r="R19" s="29"/>
      <c r="S19" s="29"/>
      <c r="T19" s="29"/>
      <c r="U19" s="25"/>
      <c r="W19" s="173" t="s">
        <v>82</v>
      </c>
      <c r="X19" s="224">
        <v>2.8732000000000001E-2</v>
      </c>
    </row>
    <row r="20" spans="2:24" ht="15.5" x14ac:dyDescent="0.35">
      <c r="B20" s="64"/>
      <c r="C20" s="180" t="s">
        <v>388</v>
      </c>
      <c r="D20" s="187" t="s">
        <v>135</v>
      </c>
      <c r="E20" s="188">
        <v>8.881E-3</v>
      </c>
      <c r="F20" s="29"/>
      <c r="G20" s="29"/>
      <c r="H20" s="29"/>
      <c r="I20" s="29"/>
      <c r="J20" s="29"/>
      <c r="K20" s="29"/>
      <c r="L20" s="29"/>
      <c r="M20" s="29"/>
      <c r="N20" s="29"/>
      <c r="O20" s="29"/>
      <c r="P20" s="29"/>
      <c r="Q20" s="29"/>
      <c r="R20" s="29"/>
      <c r="S20" s="29"/>
      <c r="T20" s="29"/>
      <c r="U20" s="25"/>
      <c r="W20" s="173" t="s">
        <v>135</v>
      </c>
      <c r="X20" s="224">
        <v>2.5126000000000002E-2</v>
      </c>
    </row>
    <row r="21" spans="2:24" ht="31" x14ac:dyDescent="0.35">
      <c r="B21" s="64"/>
      <c r="C21" s="180" t="s">
        <v>375</v>
      </c>
      <c r="D21" s="187" t="s">
        <v>124</v>
      </c>
      <c r="E21" s="188">
        <v>8.3269999999999993E-3</v>
      </c>
      <c r="F21" s="29"/>
      <c r="G21" s="29"/>
      <c r="H21" s="29"/>
      <c r="I21" s="29"/>
      <c r="J21" s="29"/>
      <c r="K21" s="29"/>
      <c r="L21" s="29"/>
      <c r="M21" s="29"/>
      <c r="N21" s="29"/>
      <c r="O21" s="29"/>
      <c r="P21" s="29"/>
      <c r="Q21" s="29"/>
      <c r="R21" s="29"/>
      <c r="S21" s="29"/>
      <c r="T21" s="29"/>
      <c r="U21" s="25"/>
      <c r="W21" s="173" t="s">
        <v>10</v>
      </c>
      <c r="X21" s="224">
        <v>2.0764999999999999E-2</v>
      </c>
    </row>
    <row r="22" spans="2:24" ht="31" x14ac:dyDescent="0.35">
      <c r="B22" s="64"/>
      <c r="C22" s="180" t="s">
        <v>351</v>
      </c>
      <c r="D22" s="187" t="s">
        <v>109</v>
      </c>
      <c r="E22" s="188">
        <v>8.2310000000000005E-3</v>
      </c>
      <c r="F22" s="29"/>
      <c r="G22" s="29"/>
      <c r="H22" s="29"/>
      <c r="I22" s="29"/>
      <c r="J22" s="29"/>
      <c r="K22" s="29"/>
      <c r="L22" s="29"/>
      <c r="M22" s="29"/>
      <c r="N22" s="29"/>
      <c r="O22" s="29"/>
      <c r="P22" s="29"/>
      <c r="Q22" s="29"/>
      <c r="R22" s="29"/>
      <c r="S22" s="29"/>
      <c r="T22" s="29"/>
      <c r="U22" s="25"/>
      <c r="W22" s="173" t="s">
        <v>111</v>
      </c>
      <c r="X22" s="224">
        <v>2.0438000000000001E-2</v>
      </c>
    </row>
    <row r="23" spans="2:24" ht="15.5" x14ac:dyDescent="0.35">
      <c r="B23" s="64"/>
      <c r="C23" s="71"/>
      <c r="D23" s="71"/>
      <c r="E23" s="72"/>
      <c r="F23" s="29"/>
      <c r="G23" s="29"/>
      <c r="H23" s="29"/>
      <c r="I23" s="29"/>
      <c r="J23" s="29"/>
      <c r="K23" s="29"/>
      <c r="L23" s="29"/>
      <c r="M23" s="29"/>
      <c r="N23" s="29"/>
      <c r="O23" s="29"/>
      <c r="P23" s="29"/>
      <c r="Q23" s="29"/>
      <c r="R23" s="29"/>
      <c r="S23" s="29"/>
      <c r="T23" s="29"/>
      <c r="U23" s="25"/>
      <c r="W23" s="173" t="s">
        <v>124</v>
      </c>
      <c r="X23" s="224">
        <v>1.9125999999999997E-2</v>
      </c>
    </row>
    <row r="24" spans="2:24" ht="15.5" x14ac:dyDescent="0.35">
      <c r="B24" s="64"/>
      <c r="C24" s="73" t="s">
        <v>55</v>
      </c>
      <c r="D24" s="74"/>
      <c r="E24" s="75">
        <f>SUM(E8:E22)</f>
        <v>0.16076099999999999</v>
      </c>
      <c r="F24" s="29"/>
      <c r="G24" s="29"/>
      <c r="H24" s="29"/>
      <c r="I24" s="29"/>
      <c r="J24" s="29"/>
      <c r="K24" s="29"/>
      <c r="L24" s="29"/>
      <c r="M24" s="29"/>
      <c r="N24" s="29"/>
      <c r="O24" s="29"/>
      <c r="P24" s="29"/>
      <c r="Q24" s="29"/>
      <c r="R24" s="29"/>
      <c r="S24" s="29"/>
      <c r="T24" s="29"/>
      <c r="U24" s="25"/>
      <c r="W24" s="173" t="s">
        <v>122</v>
      </c>
      <c r="X24" s="224">
        <v>1.7665E-2</v>
      </c>
    </row>
    <row r="25" spans="2:24" x14ac:dyDescent="0.35">
      <c r="B25" s="64"/>
      <c r="C25" s="29"/>
      <c r="D25" s="29"/>
      <c r="E25" s="29"/>
      <c r="F25" s="29"/>
      <c r="G25" s="29"/>
      <c r="H25" s="29"/>
      <c r="I25" s="29"/>
      <c r="J25" s="29"/>
      <c r="K25" s="29"/>
      <c r="L25" s="29"/>
      <c r="M25" s="29"/>
      <c r="N25" s="29"/>
      <c r="O25" s="29"/>
      <c r="P25" s="29"/>
      <c r="Q25" s="29"/>
      <c r="R25" s="29"/>
      <c r="S25" s="29"/>
      <c r="T25" s="29"/>
      <c r="U25" s="25"/>
      <c r="W25" s="173" t="s">
        <v>117</v>
      </c>
      <c r="X25" s="224">
        <v>1.7533E-2</v>
      </c>
    </row>
    <row r="26" spans="2:24" x14ac:dyDescent="0.35">
      <c r="B26" s="64"/>
      <c r="C26" s="29"/>
      <c r="D26" s="29"/>
      <c r="E26" s="29"/>
      <c r="F26" s="29"/>
      <c r="G26" s="29"/>
      <c r="H26" s="29"/>
      <c r="I26" s="29"/>
      <c r="J26" s="29"/>
      <c r="K26" s="29"/>
      <c r="L26" s="29"/>
      <c r="M26" s="29"/>
      <c r="N26" s="29"/>
      <c r="O26" s="29"/>
      <c r="P26" s="29"/>
      <c r="Q26" s="29"/>
      <c r="R26" s="29"/>
      <c r="S26" s="29"/>
      <c r="T26" s="29"/>
      <c r="U26" s="25"/>
      <c r="W26" s="173" t="s">
        <v>116</v>
      </c>
      <c r="X26" s="224">
        <v>1.6787E-2</v>
      </c>
    </row>
    <row r="27" spans="2:24" x14ac:dyDescent="0.35">
      <c r="B27" s="64"/>
      <c r="C27" s="29"/>
      <c r="D27" s="29"/>
      <c r="E27" s="29"/>
      <c r="F27" s="29"/>
      <c r="G27" s="29"/>
      <c r="H27" s="29"/>
      <c r="I27" s="29"/>
      <c r="J27" s="29"/>
      <c r="K27" s="29"/>
      <c r="L27" s="29"/>
      <c r="M27" s="29"/>
      <c r="N27" s="29"/>
      <c r="O27" s="29"/>
      <c r="P27" s="29"/>
      <c r="Q27" s="29"/>
      <c r="R27" s="29"/>
      <c r="S27" s="29"/>
      <c r="T27" s="29"/>
      <c r="U27" s="25"/>
      <c r="W27" s="173" t="s">
        <v>25</v>
      </c>
      <c r="X27" s="224">
        <v>1.6167000000000001E-2</v>
      </c>
    </row>
    <row r="28" spans="2:24" x14ac:dyDescent="0.35">
      <c r="B28" s="64"/>
      <c r="C28" s="29"/>
      <c r="D28" s="29"/>
      <c r="E28" s="29"/>
      <c r="F28" s="29"/>
      <c r="G28" s="29"/>
      <c r="H28" s="29"/>
      <c r="I28" s="29"/>
      <c r="J28" s="29"/>
      <c r="K28" s="29"/>
      <c r="L28" s="29"/>
      <c r="M28" s="29"/>
      <c r="N28" s="29"/>
      <c r="O28" s="29"/>
      <c r="P28" s="29"/>
      <c r="Q28" s="29"/>
      <c r="R28" s="29"/>
      <c r="S28" s="29"/>
      <c r="T28" s="29"/>
      <c r="U28" s="25"/>
      <c r="W28" s="173" t="s">
        <v>112</v>
      </c>
      <c r="X28" s="224">
        <v>1.5443E-2</v>
      </c>
    </row>
    <row r="29" spans="2:24" x14ac:dyDescent="0.35">
      <c r="B29" s="64"/>
      <c r="C29" s="29"/>
      <c r="D29" s="29"/>
      <c r="E29" s="29"/>
      <c r="F29" s="29"/>
      <c r="G29" s="29"/>
      <c r="H29" s="29"/>
      <c r="I29" s="29"/>
      <c r="J29" s="29"/>
      <c r="K29" s="29"/>
      <c r="L29" s="29"/>
      <c r="M29" s="29"/>
      <c r="N29" s="29"/>
      <c r="O29" s="29"/>
      <c r="P29" s="29"/>
      <c r="Q29" s="29"/>
      <c r="R29" s="29"/>
      <c r="S29" s="29"/>
      <c r="T29" s="29"/>
      <c r="U29" s="25"/>
      <c r="W29" s="173" t="s">
        <v>93</v>
      </c>
      <c r="X29" s="224">
        <v>1.3312000000000001E-2</v>
      </c>
    </row>
    <row r="30" spans="2:24" x14ac:dyDescent="0.35">
      <c r="B30" s="64"/>
      <c r="C30" s="29"/>
      <c r="D30" s="29"/>
      <c r="E30" s="29"/>
      <c r="F30" s="29"/>
      <c r="G30" s="29"/>
      <c r="H30" s="29"/>
      <c r="I30" s="29"/>
      <c r="J30" s="29"/>
      <c r="K30" s="29"/>
      <c r="L30" s="29"/>
      <c r="M30" s="29"/>
      <c r="N30" s="29"/>
      <c r="O30" s="29"/>
      <c r="P30" s="29"/>
      <c r="Q30" s="29"/>
      <c r="R30" s="29"/>
      <c r="S30" s="29"/>
      <c r="T30" s="29"/>
      <c r="U30" s="25"/>
      <c r="W30" s="173" t="s">
        <v>113</v>
      </c>
      <c r="X30" s="224">
        <v>1.2017E-2</v>
      </c>
    </row>
    <row r="31" spans="2:24" x14ac:dyDescent="0.35">
      <c r="B31" s="64"/>
      <c r="C31" s="29"/>
      <c r="D31" s="29"/>
      <c r="E31" s="29"/>
      <c r="F31" s="29"/>
      <c r="G31" s="29"/>
      <c r="H31" s="29"/>
      <c r="I31" s="29"/>
      <c r="J31" s="29"/>
      <c r="K31" s="29"/>
      <c r="L31" s="29"/>
      <c r="M31" s="29"/>
      <c r="N31" s="29"/>
      <c r="O31" s="29"/>
      <c r="P31" s="29"/>
      <c r="Q31" s="29"/>
      <c r="R31" s="29"/>
      <c r="S31" s="29"/>
      <c r="T31" s="29"/>
      <c r="U31" s="25"/>
      <c r="W31" s="173" t="s">
        <v>26</v>
      </c>
      <c r="X31" s="224">
        <v>1.1520000000000001E-2</v>
      </c>
    </row>
    <row r="32" spans="2:24" x14ac:dyDescent="0.35">
      <c r="B32" s="64"/>
      <c r="C32" s="29"/>
      <c r="D32" s="29"/>
      <c r="E32" s="29"/>
      <c r="F32" s="29"/>
      <c r="G32" s="29"/>
      <c r="H32" s="29"/>
      <c r="I32" s="29"/>
      <c r="J32" s="29"/>
      <c r="K32" s="29"/>
      <c r="L32" s="29"/>
      <c r="M32" s="29"/>
      <c r="N32" s="29"/>
      <c r="O32" s="29"/>
      <c r="P32" s="29"/>
      <c r="Q32" s="29"/>
      <c r="R32" s="29"/>
      <c r="S32" s="29"/>
      <c r="T32" s="29"/>
      <c r="U32" s="25"/>
      <c r="W32" s="173" t="s">
        <v>85</v>
      </c>
      <c r="X32" s="224">
        <v>1.1077999999999999E-2</v>
      </c>
    </row>
    <row r="33" spans="2:24" x14ac:dyDescent="0.35">
      <c r="B33" s="64"/>
      <c r="C33" s="29"/>
      <c r="D33" s="29"/>
      <c r="E33" s="29"/>
      <c r="F33" s="29"/>
      <c r="G33" s="29"/>
      <c r="H33" s="29"/>
      <c r="I33" s="29"/>
      <c r="J33" s="29"/>
      <c r="K33" s="29"/>
      <c r="L33" s="29"/>
      <c r="M33" s="29"/>
      <c r="N33" s="29"/>
      <c r="O33" s="29"/>
      <c r="P33" s="29"/>
      <c r="Q33" s="29"/>
      <c r="R33" s="29"/>
      <c r="S33" s="29"/>
      <c r="T33" s="29"/>
      <c r="U33" s="25"/>
      <c r="W33" s="173" t="s">
        <v>106</v>
      </c>
      <c r="X33" s="224">
        <v>1.1002E-2</v>
      </c>
    </row>
    <row r="34" spans="2:24" x14ac:dyDescent="0.35">
      <c r="B34" s="64"/>
      <c r="C34" s="29"/>
      <c r="D34" s="29"/>
      <c r="E34" s="29"/>
      <c r="F34" s="29"/>
      <c r="G34" s="29"/>
      <c r="H34" s="29"/>
      <c r="I34" s="29"/>
      <c r="J34" s="29"/>
      <c r="K34" s="29"/>
      <c r="L34" s="29"/>
      <c r="M34" s="29"/>
      <c r="N34" s="29"/>
      <c r="O34" s="29"/>
      <c r="P34" s="29"/>
      <c r="Q34" s="29"/>
      <c r="R34" s="29"/>
      <c r="S34" s="29"/>
      <c r="T34" s="29"/>
      <c r="U34" s="25"/>
      <c r="W34" s="173" t="s">
        <v>104</v>
      </c>
      <c r="X34" s="224">
        <v>1.0943E-2</v>
      </c>
    </row>
    <row r="35" spans="2:24" x14ac:dyDescent="0.35">
      <c r="B35" s="64"/>
      <c r="C35" s="29"/>
      <c r="D35" s="29"/>
      <c r="E35" s="29"/>
      <c r="F35" s="29"/>
      <c r="G35" s="29"/>
      <c r="H35" s="29"/>
      <c r="I35" s="29"/>
      <c r="J35" s="29"/>
      <c r="K35" s="29"/>
      <c r="L35" s="29"/>
      <c r="M35" s="29"/>
      <c r="N35" s="29"/>
      <c r="O35" s="29"/>
      <c r="P35" s="29"/>
      <c r="Q35" s="29"/>
      <c r="R35" s="29"/>
      <c r="S35" s="29"/>
      <c r="T35" s="29"/>
      <c r="U35" s="25"/>
      <c r="W35" s="173" t="s">
        <v>120</v>
      </c>
      <c r="X35" s="224">
        <v>9.4130000000000012E-3</v>
      </c>
    </row>
    <row r="36" spans="2:24" x14ac:dyDescent="0.35">
      <c r="B36" s="64"/>
      <c r="C36" s="29"/>
      <c r="D36" s="29"/>
      <c r="E36" s="29"/>
      <c r="F36" s="29"/>
      <c r="G36" s="29"/>
      <c r="H36" s="29"/>
      <c r="I36" s="29"/>
      <c r="J36" s="29"/>
      <c r="K36" s="29"/>
      <c r="L36" s="29"/>
      <c r="M36" s="29"/>
      <c r="N36" s="29"/>
      <c r="O36" s="29"/>
      <c r="P36" s="29"/>
      <c r="Q36" s="29"/>
      <c r="R36" s="29"/>
      <c r="S36" s="29"/>
      <c r="T36" s="29"/>
      <c r="U36" s="25"/>
      <c r="W36" s="173" t="s">
        <v>81</v>
      </c>
      <c r="X36" s="224">
        <v>9.0369999999999999E-3</v>
      </c>
    </row>
    <row r="37" spans="2:24" ht="15" thickBot="1" x14ac:dyDescent="0.4">
      <c r="B37" s="76"/>
      <c r="C37" s="30"/>
      <c r="D37" s="30"/>
      <c r="E37" s="30"/>
      <c r="F37" s="30"/>
      <c r="G37" s="30"/>
      <c r="H37" s="30"/>
      <c r="I37" s="30"/>
      <c r="J37" s="30"/>
      <c r="K37" s="30"/>
      <c r="L37" s="30"/>
      <c r="M37" s="30"/>
      <c r="N37" s="30"/>
      <c r="O37" s="30"/>
      <c r="P37" s="30"/>
      <c r="Q37" s="30"/>
      <c r="R37" s="30"/>
      <c r="S37" s="30"/>
      <c r="T37" s="30"/>
      <c r="U37" s="26"/>
      <c r="W37" s="173" t="s">
        <v>12</v>
      </c>
      <c r="X37" s="224">
        <v>8.1469999999999997E-3</v>
      </c>
    </row>
    <row r="38" spans="2:24" ht="15" thickBot="1" x14ac:dyDescent="0.4">
      <c r="W38" s="173" t="s">
        <v>6</v>
      </c>
      <c r="X38" s="224">
        <v>7.1349999999999998E-3</v>
      </c>
    </row>
    <row r="39" spans="2:24" ht="15" customHeight="1" x14ac:dyDescent="0.35">
      <c r="B39" s="303" t="s">
        <v>179</v>
      </c>
      <c r="C39" s="304"/>
      <c r="D39" s="304"/>
      <c r="E39" s="304"/>
      <c r="F39" s="304"/>
      <c r="G39" s="304"/>
      <c r="H39" s="304"/>
      <c r="I39" s="304"/>
      <c r="J39" s="304"/>
      <c r="K39" s="304"/>
      <c r="L39" s="304"/>
      <c r="M39" s="304"/>
      <c r="N39" s="304"/>
      <c r="O39" s="304"/>
      <c r="P39" s="304"/>
      <c r="Q39" s="304"/>
      <c r="R39" s="305"/>
      <c r="W39" s="173" t="s">
        <v>126</v>
      </c>
      <c r="X39" s="224">
        <v>6.2709999999999997E-3</v>
      </c>
    </row>
    <row r="40" spans="2:24" x14ac:dyDescent="0.35">
      <c r="B40" s="306"/>
      <c r="C40" s="307"/>
      <c r="D40" s="307"/>
      <c r="E40" s="307"/>
      <c r="F40" s="307"/>
      <c r="G40" s="307"/>
      <c r="H40" s="307"/>
      <c r="I40" s="307"/>
      <c r="J40" s="307"/>
      <c r="K40" s="307"/>
      <c r="L40" s="307"/>
      <c r="M40" s="307"/>
      <c r="N40" s="307"/>
      <c r="O40" s="307"/>
      <c r="P40" s="307"/>
      <c r="Q40" s="307"/>
      <c r="R40" s="308"/>
      <c r="W40" s="173" t="s">
        <v>125</v>
      </c>
      <c r="X40" s="224">
        <v>6.1860000000000005E-3</v>
      </c>
    </row>
    <row r="41" spans="2:24" x14ac:dyDescent="0.35">
      <c r="B41" s="306"/>
      <c r="C41" s="307"/>
      <c r="D41" s="307"/>
      <c r="E41" s="307"/>
      <c r="F41" s="307"/>
      <c r="G41" s="307"/>
      <c r="H41" s="307"/>
      <c r="I41" s="307"/>
      <c r="J41" s="307"/>
      <c r="K41" s="307"/>
      <c r="L41" s="307"/>
      <c r="M41" s="307"/>
      <c r="N41" s="307"/>
      <c r="O41" s="307"/>
      <c r="P41" s="307"/>
      <c r="Q41" s="307"/>
      <c r="R41" s="308"/>
      <c r="W41" s="173" t="s">
        <v>182</v>
      </c>
      <c r="X41" s="224">
        <v>5.7239999999999999E-3</v>
      </c>
    </row>
    <row r="42" spans="2:24" x14ac:dyDescent="0.35">
      <c r="B42" s="306"/>
      <c r="C42" s="307"/>
      <c r="D42" s="307"/>
      <c r="E42" s="307"/>
      <c r="F42" s="307"/>
      <c r="G42" s="307"/>
      <c r="H42" s="307"/>
      <c r="I42" s="307"/>
      <c r="J42" s="307"/>
      <c r="K42" s="307"/>
      <c r="L42" s="307"/>
      <c r="M42" s="307"/>
      <c r="N42" s="307"/>
      <c r="O42" s="307"/>
      <c r="P42" s="307"/>
      <c r="Q42" s="307"/>
      <c r="R42" s="308"/>
      <c r="W42" s="173" t="s">
        <v>123</v>
      </c>
      <c r="X42" s="224">
        <v>5.7190000000000001E-3</v>
      </c>
    </row>
    <row r="43" spans="2:24" x14ac:dyDescent="0.35">
      <c r="B43" s="306"/>
      <c r="C43" s="307"/>
      <c r="D43" s="307"/>
      <c r="E43" s="307"/>
      <c r="F43" s="307"/>
      <c r="G43" s="307"/>
      <c r="H43" s="307"/>
      <c r="I43" s="307"/>
      <c r="J43" s="307"/>
      <c r="K43" s="307"/>
      <c r="L43" s="307"/>
      <c r="M43" s="307"/>
      <c r="N43" s="307"/>
      <c r="O43" s="307"/>
      <c r="P43" s="307"/>
      <c r="Q43" s="307"/>
      <c r="R43" s="308"/>
      <c r="W43" s="173" t="s">
        <v>119</v>
      </c>
      <c r="X43" s="224">
        <v>5.6620000000000004E-3</v>
      </c>
    </row>
    <row r="44" spans="2:24" x14ac:dyDescent="0.35">
      <c r="B44" s="306"/>
      <c r="C44" s="307"/>
      <c r="D44" s="307"/>
      <c r="E44" s="307"/>
      <c r="F44" s="307"/>
      <c r="G44" s="307"/>
      <c r="H44" s="307"/>
      <c r="I44" s="307"/>
      <c r="J44" s="307"/>
      <c r="K44" s="307"/>
      <c r="L44" s="307"/>
      <c r="M44" s="307"/>
      <c r="N44" s="307"/>
      <c r="O44" s="307"/>
      <c r="P44" s="307"/>
      <c r="Q44" s="307"/>
      <c r="R44" s="308"/>
      <c r="W44" s="173" t="s">
        <v>211</v>
      </c>
      <c r="X44" s="224">
        <v>5.5999999999999999E-3</v>
      </c>
    </row>
    <row r="45" spans="2:24" ht="15" thickBot="1" x14ac:dyDescent="0.4">
      <c r="B45" s="309"/>
      <c r="C45" s="310"/>
      <c r="D45" s="310"/>
      <c r="E45" s="310"/>
      <c r="F45" s="310"/>
      <c r="G45" s="310"/>
      <c r="H45" s="310"/>
      <c r="I45" s="310"/>
      <c r="J45" s="310"/>
      <c r="K45" s="310"/>
      <c r="L45" s="310"/>
      <c r="M45" s="310"/>
      <c r="N45" s="310"/>
      <c r="O45" s="310"/>
      <c r="P45" s="310"/>
      <c r="Q45" s="310"/>
      <c r="R45" s="311"/>
      <c r="W45" s="173" t="s">
        <v>84</v>
      </c>
      <c r="X45" s="224">
        <v>5.1250000000000002E-3</v>
      </c>
    </row>
    <row r="46" spans="2:24" x14ac:dyDescent="0.35">
      <c r="W46" s="173" t="s">
        <v>11</v>
      </c>
      <c r="X46" s="224">
        <v>4.6890000000000005E-3</v>
      </c>
    </row>
    <row r="47" spans="2:24" x14ac:dyDescent="0.35">
      <c r="W47" s="173" t="s">
        <v>321</v>
      </c>
      <c r="X47" s="224">
        <v>4.5950000000000001E-3</v>
      </c>
    </row>
    <row r="48" spans="2:24" x14ac:dyDescent="0.35">
      <c r="W48" s="173" t="s">
        <v>144</v>
      </c>
      <c r="X48" s="224">
        <v>4.3440000000000006E-3</v>
      </c>
    </row>
    <row r="49" spans="23:24" x14ac:dyDescent="0.35">
      <c r="W49" s="173" t="s">
        <v>15</v>
      </c>
      <c r="X49" s="224">
        <v>3.9899999999999996E-3</v>
      </c>
    </row>
    <row r="50" spans="23:24" x14ac:dyDescent="0.35">
      <c r="W50" s="173" t="s">
        <v>121</v>
      </c>
      <c r="X50" s="224">
        <v>2.8119999999999998E-3</v>
      </c>
    </row>
    <row r="51" spans="23:24" x14ac:dyDescent="0.35">
      <c r="W51" s="173" t="s">
        <v>110</v>
      </c>
      <c r="X51" s="224">
        <v>2.7079999999999999E-3</v>
      </c>
    </row>
    <row r="52" spans="23:24" x14ac:dyDescent="0.35">
      <c r="W52" s="173" t="s">
        <v>128</v>
      </c>
      <c r="X52" s="224">
        <v>2.0560000000000001E-3</v>
      </c>
    </row>
    <row r="53" spans="23:24" x14ac:dyDescent="0.35">
      <c r="W53" s="173"/>
      <c r="X53" s="224"/>
    </row>
    <row r="54" spans="23:24" x14ac:dyDescent="0.35">
      <c r="W54" s="173"/>
      <c r="X54" s="224"/>
    </row>
  </sheetData>
  <mergeCells count="3">
    <mergeCell ref="C3:S3"/>
    <mergeCell ref="D5:E5"/>
    <mergeCell ref="B39:R45"/>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2FF7DA-CB3C-4DA8-B0A0-98418BAD53A4}">
  <sheetPr codeName="Sheet34"/>
  <dimension ref="A1:X63"/>
  <sheetViews>
    <sheetView showGridLines="0" zoomScale="77" zoomScaleNormal="75" workbookViewId="0"/>
  </sheetViews>
  <sheetFormatPr defaultColWidth="9.1796875" defaultRowHeight="14.5" x14ac:dyDescent="0.35"/>
  <cols>
    <col min="1" max="1" width="2.81640625" style="19" customWidth="1"/>
    <col min="2" max="2" width="3.81640625" style="19" customWidth="1"/>
    <col min="3" max="3" width="58.7265625" style="19" bestFit="1" customWidth="1"/>
    <col min="4" max="4" width="28.26953125" style="19" customWidth="1"/>
    <col min="5" max="5" width="10.453125" style="19" bestFit="1" customWidth="1"/>
    <col min="6" max="18" width="9.1796875" style="19"/>
    <col min="19" max="19" width="9.81640625" style="19" customWidth="1"/>
    <col min="20" max="22" width="9.1796875" style="19"/>
    <col min="23" max="23" width="31.453125" style="19" bestFit="1" customWidth="1"/>
    <col min="24" max="16384" width="9.1796875" style="19"/>
  </cols>
  <sheetData>
    <row r="1" spans="1:24" ht="16" thickBot="1" x14ac:dyDescent="0.4">
      <c r="A1" s="3"/>
    </row>
    <row r="2" spans="1:24" x14ac:dyDescent="0.35">
      <c r="B2" s="63"/>
      <c r="C2" s="28"/>
      <c r="D2" s="28"/>
      <c r="E2" s="28"/>
      <c r="F2" s="28"/>
      <c r="G2" s="28"/>
      <c r="H2" s="28"/>
      <c r="I2" s="28"/>
      <c r="J2" s="28"/>
      <c r="K2" s="28"/>
      <c r="L2" s="28"/>
      <c r="M2" s="28"/>
      <c r="N2" s="28"/>
      <c r="O2" s="28"/>
      <c r="P2" s="28"/>
      <c r="Q2" s="28"/>
      <c r="R2" s="28"/>
      <c r="S2" s="28"/>
      <c r="T2" s="28"/>
      <c r="U2" s="24"/>
    </row>
    <row r="3" spans="1:24" ht="20" x14ac:dyDescent="0.35">
      <c r="B3" s="64"/>
      <c r="C3" s="312" t="s">
        <v>255</v>
      </c>
      <c r="D3" s="313"/>
      <c r="E3" s="313"/>
      <c r="F3" s="313"/>
      <c r="G3" s="313"/>
      <c r="H3" s="313"/>
      <c r="I3" s="313"/>
      <c r="J3" s="313"/>
      <c r="K3" s="313"/>
      <c r="L3" s="313"/>
      <c r="M3" s="313"/>
      <c r="N3" s="313"/>
      <c r="O3" s="313"/>
      <c r="P3" s="313"/>
      <c r="Q3" s="313"/>
      <c r="R3" s="313"/>
      <c r="S3" s="313"/>
      <c r="T3" s="65"/>
      <c r="U3" s="66"/>
    </row>
    <row r="4" spans="1:24" ht="15.5" x14ac:dyDescent="0.35">
      <c r="B4" s="64"/>
      <c r="C4" s="67" t="s">
        <v>434</v>
      </c>
      <c r="D4" s="29"/>
      <c r="E4" s="29"/>
      <c r="F4" s="29"/>
      <c r="G4" s="29"/>
      <c r="H4" s="29"/>
      <c r="I4" s="29"/>
      <c r="J4" s="29"/>
      <c r="K4" s="29"/>
      <c r="L4" s="29"/>
      <c r="M4" s="29"/>
      <c r="N4" s="29"/>
      <c r="O4" s="29"/>
      <c r="P4" s="29"/>
      <c r="Q4" s="29"/>
      <c r="R4" s="29"/>
      <c r="S4" s="29"/>
      <c r="T4" s="29"/>
      <c r="U4" s="25"/>
    </row>
    <row r="5" spans="1:24" ht="20" x14ac:dyDescent="0.35">
      <c r="B5" s="64"/>
      <c r="C5" s="211" t="s">
        <v>435</v>
      </c>
      <c r="D5" s="316" t="s">
        <v>425</v>
      </c>
      <c r="E5" s="316"/>
      <c r="F5" s="29"/>
      <c r="G5" s="29"/>
      <c r="H5" s="29"/>
      <c r="I5" s="29"/>
      <c r="J5" s="29"/>
      <c r="K5" s="29"/>
      <c r="L5" s="29"/>
      <c r="M5" s="29"/>
      <c r="N5" s="29"/>
      <c r="O5" s="29"/>
      <c r="P5" s="29"/>
      <c r="Q5" s="29"/>
      <c r="R5" s="29"/>
      <c r="S5" s="29"/>
      <c r="T5" s="29"/>
      <c r="U5" s="25"/>
    </row>
    <row r="6" spans="1:24" x14ac:dyDescent="0.35">
      <c r="B6" s="64"/>
      <c r="C6" s="29"/>
      <c r="D6" s="29"/>
      <c r="E6" s="29"/>
      <c r="F6" s="29"/>
      <c r="G6" s="29"/>
      <c r="H6" s="29"/>
      <c r="I6" s="29"/>
      <c r="J6" s="29"/>
      <c r="K6" s="29"/>
      <c r="L6" s="29"/>
      <c r="M6" s="29"/>
      <c r="N6" s="29"/>
      <c r="O6" s="29"/>
      <c r="P6" s="29"/>
      <c r="Q6" s="29"/>
      <c r="R6" s="29"/>
      <c r="S6" s="29"/>
      <c r="T6" s="29"/>
      <c r="U6" s="25"/>
    </row>
    <row r="7" spans="1:24" ht="15.5" x14ac:dyDescent="0.35">
      <c r="B7" s="64"/>
      <c r="C7" s="68" t="s">
        <v>0</v>
      </c>
      <c r="D7" s="69" t="s">
        <v>1</v>
      </c>
      <c r="E7" s="70" t="s">
        <v>2</v>
      </c>
      <c r="F7" s="29"/>
      <c r="G7" s="29"/>
      <c r="H7" s="29"/>
      <c r="I7" s="29"/>
      <c r="J7" s="29"/>
      <c r="K7" s="29"/>
      <c r="L7" s="29"/>
      <c r="M7" s="29"/>
      <c r="N7" s="29"/>
      <c r="O7" s="29"/>
      <c r="P7" s="29"/>
      <c r="Q7" s="29"/>
      <c r="R7" s="29"/>
      <c r="S7" s="29"/>
      <c r="T7" s="29"/>
      <c r="U7" s="25"/>
      <c r="W7" s="39" t="s">
        <v>22</v>
      </c>
      <c r="X7" s="39" t="s">
        <v>2</v>
      </c>
    </row>
    <row r="8" spans="1:24" ht="15.5" x14ac:dyDescent="0.35">
      <c r="B8" s="64"/>
      <c r="C8" s="184" t="s">
        <v>29</v>
      </c>
      <c r="D8" s="185" t="s">
        <v>3</v>
      </c>
      <c r="E8" s="186">
        <v>7.7660000000000007E-2</v>
      </c>
      <c r="F8" s="29"/>
      <c r="G8" s="29"/>
      <c r="H8" s="29"/>
      <c r="I8" s="29"/>
      <c r="J8" s="29"/>
      <c r="K8" s="29"/>
      <c r="L8" s="29"/>
      <c r="M8" s="29"/>
      <c r="N8" s="29"/>
      <c r="O8" s="29"/>
      <c r="P8" s="29"/>
      <c r="Q8" s="29"/>
      <c r="R8" s="29"/>
      <c r="S8" s="29"/>
      <c r="T8" s="29"/>
      <c r="U8" s="25"/>
      <c r="W8" s="173" t="s">
        <v>3</v>
      </c>
      <c r="X8" s="224">
        <v>0.20910599999999999</v>
      </c>
    </row>
    <row r="9" spans="1:24" ht="15.5" x14ac:dyDescent="0.35">
      <c r="B9" s="64"/>
      <c r="C9" s="180" t="s">
        <v>32</v>
      </c>
      <c r="D9" s="187" t="s">
        <v>3</v>
      </c>
      <c r="E9" s="188">
        <v>5.3415999999999998E-2</v>
      </c>
      <c r="F9" s="29"/>
      <c r="G9" s="29"/>
      <c r="H9" s="29"/>
      <c r="I9" s="29"/>
      <c r="J9" s="29"/>
      <c r="K9" s="29"/>
      <c r="L9" s="29"/>
      <c r="M9" s="29"/>
      <c r="N9" s="29"/>
      <c r="O9" s="29"/>
      <c r="P9" s="29"/>
      <c r="Q9" s="29"/>
      <c r="R9" s="29"/>
      <c r="S9" s="29"/>
      <c r="T9" s="29"/>
      <c r="U9" s="25"/>
      <c r="W9" s="173" t="s">
        <v>105</v>
      </c>
      <c r="X9" s="224">
        <v>8.0636000000000013E-2</v>
      </c>
    </row>
    <row r="10" spans="1:24" ht="15.5" x14ac:dyDescent="0.35">
      <c r="B10" s="64"/>
      <c r="C10" s="180" t="s">
        <v>31</v>
      </c>
      <c r="D10" s="187" t="s">
        <v>6</v>
      </c>
      <c r="E10" s="188">
        <v>5.0481999999999999E-2</v>
      </c>
      <c r="F10" s="29"/>
      <c r="G10" s="29"/>
      <c r="H10" s="29"/>
      <c r="I10" s="29"/>
      <c r="J10" s="29"/>
      <c r="K10" s="29"/>
      <c r="L10" s="29"/>
      <c r="M10" s="29"/>
      <c r="N10" s="29"/>
      <c r="O10" s="29"/>
      <c r="P10" s="29"/>
      <c r="Q10" s="29"/>
      <c r="R10" s="29"/>
      <c r="S10" s="29"/>
      <c r="T10" s="29"/>
      <c r="U10" s="25"/>
      <c r="W10" s="173" t="s">
        <v>4</v>
      </c>
      <c r="X10" s="224">
        <v>6.132499999999997E-2</v>
      </c>
    </row>
    <row r="11" spans="1:24" ht="15.5" x14ac:dyDescent="0.35">
      <c r="B11" s="64"/>
      <c r="C11" s="180" t="s">
        <v>28</v>
      </c>
      <c r="D11" s="187" t="s">
        <v>105</v>
      </c>
      <c r="E11" s="188">
        <v>2.8638E-2</v>
      </c>
      <c r="F11" s="29"/>
      <c r="G11" s="29"/>
      <c r="H11" s="29"/>
      <c r="I11" s="29"/>
      <c r="J11" s="29"/>
      <c r="K11" s="29"/>
      <c r="L11" s="29"/>
      <c r="M11" s="29"/>
      <c r="N11" s="29"/>
      <c r="O11" s="29"/>
      <c r="P11" s="29"/>
      <c r="Q11" s="29"/>
      <c r="R11" s="29"/>
      <c r="S11" s="29"/>
      <c r="T11" s="29"/>
      <c r="U11" s="25"/>
      <c r="W11" s="173" t="s">
        <v>6</v>
      </c>
      <c r="X11" s="224">
        <v>5.9220999999999996E-2</v>
      </c>
    </row>
    <row r="12" spans="1:24" ht="15.5" x14ac:dyDescent="0.35">
      <c r="B12" s="64"/>
      <c r="C12" s="180" t="s">
        <v>70</v>
      </c>
      <c r="D12" s="187" t="s">
        <v>12</v>
      </c>
      <c r="E12" s="188">
        <v>2.6526000000000001E-2</v>
      </c>
      <c r="F12" s="29"/>
      <c r="G12" s="29"/>
      <c r="H12" s="29"/>
      <c r="I12" s="29"/>
      <c r="J12" s="29"/>
      <c r="K12" s="29"/>
      <c r="L12" s="29"/>
      <c r="M12" s="29"/>
      <c r="N12" s="29"/>
      <c r="O12" s="29"/>
      <c r="P12" s="29"/>
      <c r="Q12" s="29"/>
      <c r="R12" s="29"/>
      <c r="S12" s="29"/>
      <c r="T12" s="29"/>
      <c r="U12" s="25"/>
      <c r="W12" s="173" t="s">
        <v>109</v>
      </c>
      <c r="X12" s="224">
        <v>4.9379000000000006E-2</v>
      </c>
    </row>
    <row r="13" spans="1:24" ht="15.5" x14ac:dyDescent="0.35">
      <c r="B13" s="64"/>
      <c r="C13" s="180" t="s">
        <v>30</v>
      </c>
      <c r="D13" s="187" t="s">
        <v>115</v>
      </c>
      <c r="E13" s="188">
        <v>2.102E-2</v>
      </c>
      <c r="F13" s="29"/>
      <c r="G13" s="29"/>
      <c r="H13" s="29"/>
      <c r="I13" s="29"/>
      <c r="J13" s="29"/>
      <c r="K13" s="29"/>
      <c r="L13" s="29"/>
      <c r="M13" s="29"/>
      <c r="N13" s="29"/>
      <c r="O13" s="29"/>
      <c r="P13" s="29"/>
      <c r="Q13" s="29"/>
      <c r="R13" s="29"/>
      <c r="S13" s="29"/>
      <c r="T13" s="29"/>
      <c r="U13" s="25"/>
      <c r="W13" s="173" t="s">
        <v>110</v>
      </c>
      <c r="X13" s="224">
        <v>4.5966999999999994E-2</v>
      </c>
    </row>
    <row r="14" spans="1:24" ht="15.5" x14ac:dyDescent="0.35">
      <c r="B14" s="64"/>
      <c r="C14" s="180" t="s">
        <v>34</v>
      </c>
      <c r="D14" s="187" t="s">
        <v>23</v>
      </c>
      <c r="E14" s="188">
        <v>2.0802999999999999E-2</v>
      </c>
      <c r="F14" s="29"/>
      <c r="G14" s="29"/>
      <c r="H14" s="29"/>
      <c r="I14" s="29"/>
      <c r="J14" s="29"/>
      <c r="K14" s="29"/>
      <c r="L14" s="29"/>
      <c r="M14" s="29"/>
      <c r="N14" s="29"/>
      <c r="O14" s="29"/>
      <c r="P14" s="29"/>
      <c r="Q14" s="29"/>
      <c r="R14" s="29"/>
      <c r="S14" s="29"/>
      <c r="T14" s="29"/>
      <c r="U14" s="25"/>
      <c r="W14" s="173" t="s">
        <v>10</v>
      </c>
      <c r="X14" s="224">
        <v>3.3794000000000005E-2</v>
      </c>
    </row>
    <row r="15" spans="1:24" ht="15.5" x14ac:dyDescent="0.35">
      <c r="B15" s="64"/>
      <c r="C15" s="180" t="s">
        <v>33</v>
      </c>
      <c r="D15" s="187" t="s">
        <v>105</v>
      </c>
      <c r="E15" s="188">
        <v>1.8709E-2</v>
      </c>
      <c r="F15" s="29"/>
      <c r="G15" s="29"/>
      <c r="H15" s="29"/>
      <c r="I15" s="29"/>
      <c r="J15" s="29"/>
      <c r="K15" s="29"/>
      <c r="L15" s="29"/>
      <c r="M15" s="29"/>
      <c r="N15" s="29"/>
      <c r="O15" s="29"/>
      <c r="P15" s="29"/>
      <c r="Q15" s="29"/>
      <c r="R15" s="29"/>
      <c r="S15" s="29"/>
      <c r="T15" s="29"/>
      <c r="U15" s="25"/>
      <c r="W15" s="173" t="s">
        <v>12</v>
      </c>
      <c r="X15" s="224">
        <v>3.2847999999999988E-2</v>
      </c>
    </row>
    <row r="16" spans="1:24" ht="15.5" x14ac:dyDescent="0.35">
      <c r="B16" s="64"/>
      <c r="C16" s="180" t="s">
        <v>36</v>
      </c>
      <c r="D16" s="187" t="s">
        <v>3</v>
      </c>
      <c r="E16" s="188">
        <v>1.7958999999999999E-2</v>
      </c>
      <c r="F16" s="29"/>
      <c r="G16" s="29"/>
      <c r="H16" s="29"/>
      <c r="I16" s="29"/>
      <c r="J16" s="29"/>
      <c r="K16" s="29"/>
      <c r="L16" s="29"/>
      <c r="M16" s="29"/>
      <c r="N16" s="29"/>
      <c r="O16" s="29"/>
      <c r="P16" s="29"/>
      <c r="Q16" s="29"/>
      <c r="R16" s="29"/>
      <c r="S16" s="29"/>
      <c r="T16" s="29"/>
      <c r="U16" s="25"/>
      <c r="W16" s="173" t="s">
        <v>115</v>
      </c>
      <c r="X16" s="224">
        <v>3.2041E-2</v>
      </c>
    </row>
    <row r="17" spans="2:24" ht="15.5" x14ac:dyDescent="0.35">
      <c r="B17" s="64"/>
      <c r="C17" s="180" t="s">
        <v>35</v>
      </c>
      <c r="D17" s="187" t="s">
        <v>3</v>
      </c>
      <c r="E17" s="188">
        <v>1.7218000000000001E-2</v>
      </c>
      <c r="F17" s="29"/>
      <c r="G17" s="29"/>
      <c r="H17" s="29"/>
      <c r="I17" s="29"/>
      <c r="J17" s="29"/>
      <c r="K17" s="29"/>
      <c r="L17" s="29"/>
      <c r="M17" s="29"/>
      <c r="N17" s="29"/>
      <c r="O17" s="29"/>
      <c r="P17" s="29"/>
      <c r="Q17" s="29"/>
      <c r="R17" s="29"/>
      <c r="S17" s="29"/>
      <c r="T17" s="29"/>
      <c r="U17" s="25"/>
      <c r="W17" s="173" t="s">
        <v>16</v>
      </c>
      <c r="X17" s="224">
        <v>3.0539999999999994E-2</v>
      </c>
    </row>
    <row r="18" spans="2:24" ht="15.5" x14ac:dyDescent="0.35">
      <c r="B18" s="64"/>
      <c r="C18" s="180" t="s">
        <v>77</v>
      </c>
      <c r="D18" s="187" t="s">
        <v>3</v>
      </c>
      <c r="E18" s="188">
        <v>1.6067999999999999E-2</v>
      </c>
      <c r="F18" s="29"/>
      <c r="G18" s="29"/>
      <c r="H18" s="29"/>
      <c r="I18" s="29"/>
      <c r="J18" s="29"/>
      <c r="K18" s="29"/>
      <c r="L18" s="29"/>
      <c r="M18" s="29"/>
      <c r="N18" s="29"/>
      <c r="O18" s="29"/>
      <c r="P18" s="29"/>
      <c r="Q18" s="29"/>
      <c r="R18" s="29"/>
      <c r="S18" s="29"/>
      <c r="T18" s="29"/>
      <c r="U18" s="25"/>
      <c r="W18" s="173" t="s">
        <v>23</v>
      </c>
      <c r="X18" s="224">
        <v>2.8010999999999991E-2</v>
      </c>
    </row>
    <row r="19" spans="2:24" ht="15.5" x14ac:dyDescent="0.35">
      <c r="B19" s="64"/>
      <c r="C19" s="180" t="s">
        <v>118</v>
      </c>
      <c r="D19" s="187" t="s">
        <v>110</v>
      </c>
      <c r="E19" s="188">
        <v>1.3766E-2</v>
      </c>
      <c r="F19" s="29"/>
      <c r="G19" s="29"/>
      <c r="H19" s="29"/>
      <c r="I19" s="29"/>
      <c r="J19" s="29"/>
      <c r="K19" s="29"/>
      <c r="L19" s="29"/>
      <c r="M19" s="29"/>
      <c r="N19" s="29"/>
      <c r="O19" s="29"/>
      <c r="P19" s="29"/>
      <c r="Q19" s="29"/>
      <c r="R19" s="29"/>
      <c r="S19" s="29"/>
      <c r="T19" s="29"/>
      <c r="U19" s="25"/>
      <c r="W19" s="173" t="s">
        <v>26</v>
      </c>
      <c r="X19" s="224">
        <v>2.6375000000000003E-2</v>
      </c>
    </row>
    <row r="20" spans="2:24" ht="15.5" x14ac:dyDescent="0.35">
      <c r="B20" s="64"/>
      <c r="C20" s="180" t="s">
        <v>79</v>
      </c>
      <c r="D20" s="187" t="s">
        <v>4</v>
      </c>
      <c r="E20" s="188">
        <v>1.1972999999999999E-2</v>
      </c>
      <c r="F20" s="29"/>
      <c r="G20" s="29"/>
      <c r="H20" s="29"/>
      <c r="I20" s="29"/>
      <c r="J20" s="29"/>
      <c r="K20" s="29"/>
      <c r="L20" s="29"/>
      <c r="M20" s="29"/>
      <c r="N20" s="29"/>
      <c r="O20" s="29"/>
      <c r="P20" s="29"/>
      <c r="Q20" s="29"/>
      <c r="R20" s="29"/>
      <c r="S20" s="29"/>
      <c r="T20" s="29"/>
      <c r="U20" s="25"/>
      <c r="W20" s="173" t="s">
        <v>81</v>
      </c>
      <c r="X20" s="224">
        <v>2.128E-2</v>
      </c>
    </row>
    <row r="21" spans="2:24" ht="15.5" x14ac:dyDescent="0.35">
      <c r="B21" s="64"/>
      <c r="C21" s="180" t="s">
        <v>37</v>
      </c>
      <c r="D21" s="187" t="s">
        <v>115</v>
      </c>
      <c r="E21" s="188">
        <v>1.1021E-2</v>
      </c>
      <c r="F21" s="29"/>
      <c r="G21" s="29"/>
      <c r="H21" s="29"/>
      <c r="I21" s="29"/>
      <c r="J21" s="29"/>
      <c r="K21" s="29"/>
      <c r="L21" s="29"/>
      <c r="M21" s="29"/>
      <c r="N21" s="29"/>
      <c r="O21" s="29"/>
      <c r="P21" s="29"/>
      <c r="Q21" s="29"/>
      <c r="R21" s="29"/>
      <c r="S21" s="29"/>
      <c r="T21" s="29"/>
      <c r="U21" s="25"/>
      <c r="W21" s="173" t="s">
        <v>108</v>
      </c>
      <c r="X21" s="224">
        <v>1.9636999999999998E-2</v>
      </c>
    </row>
    <row r="22" spans="2:24" ht="31" x14ac:dyDescent="0.35">
      <c r="B22" s="64"/>
      <c r="C22" s="180" t="s">
        <v>245</v>
      </c>
      <c r="D22" s="187" t="s">
        <v>109</v>
      </c>
      <c r="E22" s="188">
        <v>1.0477E-2</v>
      </c>
      <c r="F22" s="29"/>
      <c r="G22" s="29"/>
      <c r="H22" s="29"/>
      <c r="I22" s="29"/>
      <c r="J22" s="29"/>
      <c r="K22" s="29"/>
      <c r="L22" s="29"/>
      <c r="M22" s="29"/>
      <c r="N22" s="29"/>
      <c r="O22" s="29"/>
      <c r="P22" s="29"/>
      <c r="Q22" s="29"/>
      <c r="R22" s="29"/>
      <c r="S22" s="29"/>
      <c r="T22" s="29"/>
      <c r="U22" s="25"/>
      <c r="W22" s="173" t="s">
        <v>24</v>
      </c>
      <c r="X22" s="224">
        <v>1.8731000000000005E-2</v>
      </c>
    </row>
    <row r="23" spans="2:24" ht="15.5" x14ac:dyDescent="0.35">
      <c r="B23" s="64"/>
      <c r="C23" s="71"/>
      <c r="D23" s="71"/>
      <c r="E23" s="72"/>
      <c r="F23" s="29"/>
      <c r="G23" s="29"/>
      <c r="H23" s="29"/>
      <c r="I23" s="29"/>
      <c r="J23" s="29"/>
      <c r="K23" s="29"/>
      <c r="L23" s="29"/>
      <c r="M23" s="29"/>
      <c r="N23" s="29"/>
      <c r="O23" s="29"/>
      <c r="P23" s="29"/>
      <c r="Q23" s="29"/>
      <c r="R23" s="29"/>
      <c r="S23" s="29"/>
      <c r="T23" s="29"/>
      <c r="U23" s="25"/>
      <c r="W23" s="173" t="s">
        <v>117</v>
      </c>
      <c r="X23" s="224">
        <v>1.8087000000000002E-2</v>
      </c>
    </row>
    <row r="24" spans="2:24" ht="15.5" x14ac:dyDescent="0.35">
      <c r="B24" s="64"/>
      <c r="C24" s="73" t="s">
        <v>55</v>
      </c>
      <c r="D24" s="74"/>
      <c r="E24" s="75">
        <f>SUM(E8:E22)</f>
        <v>0.39573600000000003</v>
      </c>
      <c r="F24" s="29"/>
      <c r="G24" s="29"/>
      <c r="H24" s="29"/>
      <c r="I24" s="29"/>
      <c r="J24" s="29"/>
      <c r="K24" s="29"/>
      <c r="L24" s="29"/>
      <c r="M24" s="29"/>
      <c r="N24" s="29"/>
      <c r="O24" s="29"/>
      <c r="P24" s="29"/>
      <c r="Q24" s="29"/>
      <c r="R24" s="29"/>
      <c r="S24" s="29"/>
      <c r="T24" s="29"/>
      <c r="U24" s="25"/>
      <c r="W24" s="173" t="s">
        <v>83</v>
      </c>
      <c r="X24" s="224">
        <v>1.6682000000000006E-2</v>
      </c>
    </row>
    <row r="25" spans="2:24" x14ac:dyDescent="0.35">
      <c r="B25" s="64"/>
      <c r="C25" s="29"/>
      <c r="D25" s="29"/>
      <c r="E25" s="29"/>
      <c r="F25" s="29"/>
      <c r="G25" s="29"/>
      <c r="H25" s="29"/>
      <c r="I25" s="29"/>
      <c r="J25" s="29"/>
      <c r="K25" s="29"/>
      <c r="L25" s="29"/>
      <c r="M25" s="29"/>
      <c r="N25" s="29"/>
      <c r="O25" s="29"/>
      <c r="P25" s="29"/>
      <c r="Q25" s="29"/>
      <c r="R25" s="29"/>
      <c r="S25" s="29"/>
      <c r="T25" s="29"/>
      <c r="U25" s="25"/>
      <c r="W25" s="173" t="s">
        <v>84</v>
      </c>
      <c r="X25" s="224">
        <v>1.6647000000000002E-2</v>
      </c>
    </row>
    <row r="26" spans="2:24" x14ac:dyDescent="0.35">
      <c r="B26" s="64"/>
      <c r="C26" s="29"/>
      <c r="D26" s="29"/>
      <c r="E26" s="29"/>
      <c r="F26" s="29"/>
      <c r="G26" s="29"/>
      <c r="H26" s="29"/>
      <c r="I26" s="29"/>
      <c r="J26" s="29"/>
      <c r="K26" s="29"/>
      <c r="L26" s="29"/>
      <c r="M26" s="29"/>
      <c r="N26" s="29"/>
      <c r="O26" s="29"/>
      <c r="P26" s="29"/>
      <c r="Q26" s="29"/>
      <c r="R26" s="29"/>
      <c r="S26" s="29"/>
      <c r="T26" s="29"/>
      <c r="U26" s="25"/>
      <c r="W26" s="173" t="s">
        <v>114</v>
      </c>
      <c r="X26" s="224">
        <v>1.6061999999999996E-2</v>
      </c>
    </row>
    <row r="27" spans="2:24" x14ac:dyDescent="0.35">
      <c r="B27" s="64"/>
      <c r="C27" s="29"/>
      <c r="D27" s="29"/>
      <c r="E27" s="29"/>
      <c r="F27" s="29"/>
      <c r="G27" s="29"/>
      <c r="H27" s="29"/>
      <c r="I27" s="29"/>
      <c r="J27" s="29"/>
      <c r="K27" s="29"/>
      <c r="L27" s="29"/>
      <c r="M27" s="29"/>
      <c r="N27" s="29"/>
      <c r="O27" s="29"/>
      <c r="P27" s="29"/>
      <c r="Q27" s="29"/>
      <c r="R27" s="29"/>
      <c r="S27" s="29"/>
      <c r="T27" s="29"/>
      <c r="U27" s="25"/>
      <c r="W27" s="61" t="s">
        <v>11</v>
      </c>
      <c r="X27" s="62">
        <v>1.5667999999999998E-2</v>
      </c>
    </row>
    <row r="28" spans="2:24" x14ac:dyDescent="0.35">
      <c r="B28" s="64"/>
      <c r="C28" s="29"/>
      <c r="D28" s="29"/>
      <c r="E28" s="29"/>
      <c r="F28" s="29"/>
      <c r="G28" s="29"/>
      <c r="H28" s="29"/>
      <c r="I28" s="29"/>
      <c r="J28" s="29"/>
      <c r="K28" s="29"/>
      <c r="L28" s="29"/>
      <c r="M28" s="29"/>
      <c r="N28" s="29"/>
      <c r="O28" s="29"/>
      <c r="P28" s="29"/>
      <c r="Q28" s="29"/>
      <c r="R28" s="29"/>
      <c r="S28" s="29"/>
      <c r="T28" s="29"/>
      <c r="U28" s="25"/>
      <c r="W28" s="61" t="s">
        <v>75</v>
      </c>
      <c r="X28" s="62">
        <v>1.5096E-2</v>
      </c>
    </row>
    <row r="29" spans="2:24" x14ac:dyDescent="0.35">
      <c r="B29" s="64"/>
      <c r="C29" s="29"/>
      <c r="D29" s="29"/>
      <c r="E29" s="29"/>
      <c r="F29" s="29"/>
      <c r="G29" s="29"/>
      <c r="H29" s="29"/>
      <c r="I29" s="29"/>
      <c r="J29" s="29"/>
      <c r="K29" s="29"/>
      <c r="L29" s="29"/>
      <c r="M29" s="29"/>
      <c r="N29" s="29"/>
      <c r="O29" s="29"/>
      <c r="P29" s="29"/>
      <c r="Q29" s="29"/>
      <c r="R29" s="29"/>
      <c r="S29" s="29"/>
      <c r="T29" s="29"/>
      <c r="U29" s="25"/>
      <c r="W29" s="61" t="s">
        <v>85</v>
      </c>
      <c r="X29" s="62">
        <v>1.3176999999999998E-2</v>
      </c>
    </row>
    <row r="30" spans="2:24" x14ac:dyDescent="0.35">
      <c r="B30" s="64"/>
      <c r="C30" s="29"/>
      <c r="D30" s="29"/>
      <c r="E30" s="29"/>
      <c r="F30" s="29"/>
      <c r="G30" s="29"/>
      <c r="H30" s="29"/>
      <c r="I30" s="29"/>
      <c r="J30" s="29"/>
      <c r="K30" s="29"/>
      <c r="L30" s="29"/>
      <c r="M30" s="29"/>
      <c r="N30" s="29"/>
      <c r="O30" s="29"/>
      <c r="P30" s="29"/>
      <c r="Q30" s="29"/>
      <c r="R30" s="29"/>
      <c r="S30" s="29"/>
      <c r="T30" s="29"/>
      <c r="U30" s="25"/>
      <c r="W30" s="61" t="s">
        <v>111</v>
      </c>
      <c r="X30" s="62">
        <v>1.2711000000000002E-2</v>
      </c>
    </row>
    <row r="31" spans="2:24" x14ac:dyDescent="0.35">
      <c r="B31" s="64"/>
      <c r="C31" s="29"/>
      <c r="D31" s="29"/>
      <c r="E31" s="29"/>
      <c r="F31" s="29"/>
      <c r="G31" s="29"/>
      <c r="H31" s="29"/>
      <c r="I31" s="29"/>
      <c r="J31" s="29"/>
      <c r="K31" s="29"/>
      <c r="L31" s="29"/>
      <c r="M31" s="29"/>
      <c r="N31" s="29"/>
      <c r="O31" s="29"/>
      <c r="P31" s="29"/>
      <c r="Q31" s="29"/>
      <c r="R31" s="29"/>
      <c r="S31" s="29"/>
      <c r="T31" s="29"/>
      <c r="U31" s="25"/>
      <c r="W31" s="61" t="s">
        <v>82</v>
      </c>
      <c r="X31" s="62">
        <v>9.92E-3</v>
      </c>
    </row>
    <row r="32" spans="2:24" x14ac:dyDescent="0.35">
      <c r="B32" s="64"/>
      <c r="C32" s="29"/>
      <c r="D32" s="29"/>
      <c r="E32" s="29"/>
      <c r="F32" s="29"/>
      <c r="G32" s="29"/>
      <c r="H32" s="29"/>
      <c r="I32" s="29"/>
      <c r="J32" s="29"/>
      <c r="K32" s="29"/>
      <c r="L32" s="29"/>
      <c r="M32" s="29"/>
      <c r="N32" s="29"/>
      <c r="O32" s="29"/>
      <c r="P32" s="29"/>
      <c r="Q32" s="29"/>
      <c r="R32" s="29"/>
      <c r="S32" s="29"/>
      <c r="T32" s="29"/>
      <c r="U32" s="25"/>
      <c r="W32" s="61" t="s">
        <v>106</v>
      </c>
      <c r="X32" s="62">
        <v>9.781999999999999E-3</v>
      </c>
    </row>
    <row r="33" spans="2:24" x14ac:dyDescent="0.35">
      <c r="B33" s="64"/>
      <c r="C33" s="29"/>
      <c r="D33" s="29"/>
      <c r="E33" s="29"/>
      <c r="F33" s="29"/>
      <c r="G33" s="29"/>
      <c r="H33" s="29"/>
      <c r="I33" s="29"/>
      <c r="J33" s="29"/>
      <c r="K33" s="29"/>
      <c r="L33" s="29"/>
      <c r="M33" s="29"/>
      <c r="N33" s="29"/>
      <c r="O33" s="29"/>
      <c r="P33" s="29"/>
      <c r="Q33" s="29"/>
      <c r="R33" s="29"/>
      <c r="S33" s="29"/>
      <c r="T33" s="29"/>
      <c r="U33" s="25"/>
      <c r="W33" s="61" t="s">
        <v>113</v>
      </c>
      <c r="X33" s="62">
        <v>9.1789999999999997E-3</v>
      </c>
    </row>
    <row r="34" spans="2:24" x14ac:dyDescent="0.35">
      <c r="B34" s="64"/>
      <c r="C34" s="29"/>
      <c r="D34" s="29"/>
      <c r="E34" s="29"/>
      <c r="F34" s="29"/>
      <c r="G34" s="29"/>
      <c r="H34" s="29"/>
      <c r="I34" s="29"/>
      <c r="J34" s="29"/>
      <c r="K34" s="29"/>
      <c r="L34" s="29"/>
      <c r="M34" s="29"/>
      <c r="N34" s="29"/>
      <c r="O34" s="29"/>
      <c r="P34" s="29"/>
      <c r="Q34" s="29"/>
      <c r="R34" s="29"/>
      <c r="S34" s="29"/>
      <c r="T34" s="29"/>
      <c r="U34" s="25"/>
      <c r="W34" s="61" t="s">
        <v>104</v>
      </c>
      <c r="X34" s="62">
        <v>8.4340000000000005E-3</v>
      </c>
    </row>
    <row r="35" spans="2:24" x14ac:dyDescent="0.35">
      <c r="B35" s="64"/>
      <c r="C35" s="29"/>
      <c r="D35" s="29"/>
      <c r="E35" s="29"/>
      <c r="F35" s="29"/>
      <c r="G35" s="29"/>
      <c r="H35" s="29"/>
      <c r="I35" s="29"/>
      <c r="J35" s="29"/>
      <c r="K35" s="29"/>
      <c r="L35" s="29"/>
      <c r="M35" s="29"/>
      <c r="N35" s="29"/>
      <c r="O35" s="29"/>
      <c r="P35" s="29"/>
      <c r="Q35" s="29"/>
      <c r="R35" s="29"/>
      <c r="S35" s="29"/>
      <c r="T35" s="29"/>
      <c r="U35" s="25"/>
      <c r="W35" s="61" t="s">
        <v>122</v>
      </c>
      <c r="X35" s="62">
        <v>8.4169999999999991E-3</v>
      </c>
    </row>
    <row r="36" spans="2:24" x14ac:dyDescent="0.35">
      <c r="B36" s="64"/>
      <c r="C36" s="29"/>
      <c r="D36" s="29"/>
      <c r="E36" s="29"/>
      <c r="F36" s="29"/>
      <c r="G36" s="29"/>
      <c r="H36" s="29"/>
      <c r="I36" s="29"/>
      <c r="J36" s="29"/>
      <c r="K36" s="29"/>
      <c r="L36" s="29"/>
      <c r="M36" s="29"/>
      <c r="N36" s="29"/>
      <c r="O36" s="29"/>
      <c r="P36" s="29"/>
      <c r="Q36" s="29"/>
      <c r="R36" s="29"/>
      <c r="S36" s="29"/>
      <c r="T36" s="29"/>
      <c r="U36" s="25"/>
      <c r="W36" s="61" t="s">
        <v>119</v>
      </c>
      <c r="X36" s="62">
        <v>7.7039999999999999E-3</v>
      </c>
    </row>
    <row r="37" spans="2:24" ht="15" thickBot="1" x14ac:dyDescent="0.4">
      <c r="B37" s="76"/>
      <c r="C37" s="30"/>
      <c r="D37" s="30"/>
      <c r="E37" s="30"/>
      <c r="F37" s="30"/>
      <c r="G37" s="30"/>
      <c r="H37" s="30"/>
      <c r="I37" s="30"/>
      <c r="J37" s="30"/>
      <c r="K37" s="30"/>
      <c r="L37" s="30"/>
      <c r="M37" s="30"/>
      <c r="N37" s="30"/>
      <c r="O37" s="30"/>
      <c r="P37" s="30"/>
      <c r="Q37" s="30"/>
      <c r="R37" s="30"/>
      <c r="S37" s="30"/>
      <c r="T37" s="30"/>
      <c r="U37" s="26"/>
      <c r="W37" s="61" t="s">
        <v>25</v>
      </c>
      <c r="X37" s="62">
        <v>7.4719999999999995E-3</v>
      </c>
    </row>
    <row r="38" spans="2:24" ht="15" thickBot="1" x14ac:dyDescent="0.4">
      <c r="W38" s="61" t="s">
        <v>116</v>
      </c>
      <c r="X38" s="62">
        <v>7.0410000000000013E-3</v>
      </c>
    </row>
    <row r="39" spans="2:24" ht="15" customHeight="1" x14ac:dyDescent="0.35">
      <c r="B39" s="303" t="s">
        <v>179</v>
      </c>
      <c r="C39" s="304"/>
      <c r="D39" s="304"/>
      <c r="E39" s="304"/>
      <c r="F39" s="304"/>
      <c r="G39" s="304"/>
      <c r="H39" s="304"/>
      <c r="I39" s="304"/>
      <c r="J39" s="304"/>
      <c r="K39" s="304"/>
      <c r="L39" s="304"/>
      <c r="M39" s="304"/>
      <c r="N39" s="304"/>
      <c r="O39" s="304"/>
      <c r="P39" s="304"/>
      <c r="Q39" s="304"/>
      <c r="R39" s="305"/>
      <c r="W39" s="61" t="s">
        <v>128</v>
      </c>
      <c r="X39" s="62">
        <v>7.0339999999999995E-3</v>
      </c>
    </row>
    <row r="40" spans="2:24" x14ac:dyDescent="0.35">
      <c r="B40" s="306"/>
      <c r="C40" s="307"/>
      <c r="D40" s="307"/>
      <c r="E40" s="307"/>
      <c r="F40" s="307"/>
      <c r="G40" s="307"/>
      <c r="H40" s="307"/>
      <c r="I40" s="307"/>
      <c r="J40" s="307"/>
      <c r="K40" s="307"/>
      <c r="L40" s="307"/>
      <c r="M40" s="307"/>
      <c r="N40" s="307"/>
      <c r="O40" s="307"/>
      <c r="P40" s="307"/>
      <c r="Q40" s="307"/>
      <c r="R40" s="308"/>
      <c r="W40" s="61" t="s">
        <v>15</v>
      </c>
      <c r="X40" s="62">
        <v>6.7659999999999994E-3</v>
      </c>
    </row>
    <row r="41" spans="2:24" x14ac:dyDescent="0.35">
      <c r="B41" s="306"/>
      <c r="C41" s="307"/>
      <c r="D41" s="307"/>
      <c r="E41" s="307"/>
      <c r="F41" s="307"/>
      <c r="G41" s="307"/>
      <c r="H41" s="307"/>
      <c r="I41" s="307"/>
      <c r="J41" s="307"/>
      <c r="K41" s="307"/>
      <c r="L41" s="307"/>
      <c r="M41" s="307"/>
      <c r="N41" s="307"/>
      <c r="O41" s="307"/>
      <c r="P41" s="307"/>
      <c r="Q41" s="307"/>
      <c r="R41" s="308"/>
      <c r="W41" s="61" t="s">
        <v>13</v>
      </c>
      <c r="X41" s="62">
        <v>6.2230000000000002E-3</v>
      </c>
    </row>
    <row r="42" spans="2:24" x14ac:dyDescent="0.35">
      <c r="B42" s="306"/>
      <c r="C42" s="307"/>
      <c r="D42" s="307"/>
      <c r="E42" s="307"/>
      <c r="F42" s="307"/>
      <c r="G42" s="307"/>
      <c r="H42" s="307"/>
      <c r="I42" s="307"/>
      <c r="J42" s="307"/>
      <c r="K42" s="307"/>
      <c r="L42" s="307"/>
      <c r="M42" s="307"/>
      <c r="N42" s="307"/>
      <c r="O42" s="307"/>
      <c r="P42" s="307"/>
      <c r="Q42" s="307"/>
      <c r="R42" s="308"/>
      <c r="W42" s="61" t="s">
        <v>135</v>
      </c>
      <c r="X42" s="62">
        <v>5.9459999999999999E-3</v>
      </c>
    </row>
    <row r="43" spans="2:24" x14ac:dyDescent="0.35">
      <c r="B43" s="306"/>
      <c r="C43" s="307"/>
      <c r="D43" s="307"/>
      <c r="E43" s="307"/>
      <c r="F43" s="307"/>
      <c r="G43" s="307"/>
      <c r="H43" s="307"/>
      <c r="I43" s="307"/>
      <c r="J43" s="307"/>
      <c r="K43" s="307"/>
      <c r="L43" s="307"/>
      <c r="M43" s="307"/>
      <c r="N43" s="307"/>
      <c r="O43" s="307"/>
      <c r="P43" s="307"/>
      <c r="Q43" s="307"/>
      <c r="R43" s="308"/>
      <c r="W43" s="61" t="s">
        <v>129</v>
      </c>
      <c r="X43" s="62">
        <v>4.6410000000000002E-3</v>
      </c>
    </row>
    <row r="44" spans="2:24" x14ac:dyDescent="0.35">
      <c r="B44" s="306"/>
      <c r="C44" s="307"/>
      <c r="D44" s="307"/>
      <c r="E44" s="307"/>
      <c r="F44" s="307"/>
      <c r="G44" s="307"/>
      <c r="H44" s="307"/>
      <c r="I44" s="307"/>
      <c r="J44" s="307"/>
      <c r="K44" s="307"/>
      <c r="L44" s="307"/>
      <c r="M44" s="307"/>
      <c r="N44" s="307"/>
      <c r="O44" s="307"/>
      <c r="P44" s="307"/>
      <c r="Q44" s="307"/>
      <c r="R44" s="308"/>
      <c r="W44" s="61" t="s">
        <v>181</v>
      </c>
      <c r="X44" s="62">
        <v>4.5560000000000002E-3</v>
      </c>
    </row>
    <row r="45" spans="2:24" ht="15" thickBot="1" x14ac:dyDescent="0.4">
      <c r="B45" s="309"/>
      <c r="C45" s="310"/>
      <c r="D45" s="310"/>
      <c r="E45" s="310"/>
      <c r="F45" s="310"/>
      <c r="G45" s="310"/>
      <c r="H45" s="310"/>
      <c r="I45" s="310"/>
      <c r="J45" s="310"/>
      <c r="K45" s="310"/>
      <c r="L45" s="310"/>
      <c r="M45" s="310"/>
      <c r="N45" s="310"/>
      <c r="O45" s="310"/>
      <c r="P45" s="310"/>
      <c r="Q45" s="310"/>
      <c r="R45" s="311"/>
      <c r="W45" s="61" t="s">
        <v>120</v>
      </c>
      <c r="X45" s="62">
        <v>4.2579999999999996E-3</v>
      </c>
    </row>
    <row r="46" spans="2:24" x14ac:dyDescent="0.35">
      <c r="W46" s="61" t="s">
        <v>131</v>
      </c>
      <c r="X46" s="62">
        <v>3.7729999999999999E-3</v>
      </c>
    </row>
    <row r="47" spans="2:24" x14ac:dyDescent="0.35">
      <c r="W47" s="61" t="s">
        <v>130</v>
      </c>
      <c r="X47" s="62">
        <v>3.2689999999999998E-3</v>
      </c>
    </row>
    <row r="48" spans="2:24" x14ac:dyDescent="0.35">
      <c r="W48" s="61" t="s">
        <v>112</v>
      </c>
      <c r="X48" s="62">
        <v>2.9819999999999998E-3</v>
      </c>
    </row>
    <row r="49" spans="23:24" x14ac:dyDescent="0.35">
      <c r="W49" s="61" t="s">
        <v>125</v>
      </c>
      <c r="X49" s="62">
        <v>2.8580000000000003E-3</v>
      </c>
    </row>
    <row r="50" spans="23:24" x14ac:dyDescent="0.35">
      <c r="W50" s="61" t="s">
        <v>124</v>
      </c>
      <c r="X50" s="62">
        <v>2.624E-3</v>
      </c>
    </row>
    <row r="51" spans="23:24" x14ac:dyDescent="0.35">
      <c r="W51" s="61" t="s">
        <v>144</v>
      </c>
      <c r="X51" s="62">
        <v>2.5720000000000005E-3</v>
      </c>
    </row>
    <row r="52" spans="23:24" x14ac:dyDescent="0.35">
      <c r="W52" s="61" t="s">
        <v>93</v>
      </c>
      <c r="X52" s="62">
        <v>1.9750000000000002E-3</v>
      </c>
    </row>
    <row r="53" spans="23:24" x14ac:dyDescent="0.35">
      <c r="W53" s="61" t="s">
        <v>121</v>
      </c>
      <c r="X53" s="62">
        <v>1.0939999999999999E-3</v>
      </c>
    </row>
    <row r="54" spans="23:24" x14ac:dyDescent="0.35">
      <c r="W54" s="61" t="s">
        <v>126</v>
      </c>
      <c r="X54" s="62">
        <v>6.7199999999999996E-4</v>
      </c>
    </row>
    <row r="55" spans="23:24" x14ac:dyDescent="0.35">
      <c r="W55" s="61" t="s">
        <v>123</v>
      </c>
      <c r="X55" s="62">
        <v>6.6E-4</v>
      </c>
    </row>
    <row r="56" spans="23:24" x14ac:dyDescent="0.35">
      <c r="W56" s="61" t="s">
        <v>321</v>
      </c>
      <c r="X56" s="62">
        <v>5.7499999999999999E-4</v>
      </c>
    </row>
    <row r="57" spans="23:24" x14ac:dyDescent="0.35">
      <c r="W57" s="61" t="s">
        <v>260</v>
      </c>
      <c r="X57" s="62">
        <v>5.7200000000000003E-4</v>
      </c>
    </row>
    <row r="58" spans="23:24" x14ac:dyDescent="0.35">
      <c r="W58" s="61" t="s">
        <v>182</v>
      </c>
      <c r="X58" s="62">
        <v>5.31E-4</v>
      </c>
    </row>
    <row r="59" spans="23:24" x14ac:dyDescent="0.35">
      <c r="W59" s="61" t="s">
        <v>211</v>
      </c>
      <c r="X59" s="62">
        <v>5.22E-4</v>
      </c>
    </row>
    <row r="60" spans="23:24" x14ac:dyDescent="0.35">
      <c r="W60" s="61" t="s">
        <v>380</v>
      </c>
      <c r="X60" s="62">
        <v>3.6999999999999998E-5</v>
      </c>
    </row>
    <row r="61" spans="23:24" x14ac:dyDescent="0.35">
      <c r="W61" s="61"/>
      <c r="X61" s="62"/>
    </row>
    <row r="62" spans="23:24" x14ac:dyDescent="0.35">
      <c r="W62" s="61"/>
      <c r="X62" s="62"/>
    </row>
    <row r="63" spans="23:24" x14ac:dyDescent="0.35">
      <c r="W63" s="61"/>
      <c r="X63" s="62"/>
    </row>
  </sheetData>
  <mergeCells count="3">
    <mergeCell ref="C3:S3"/>
    <mergeCell ref="D5:E5"/>
    <mergeCell ref="B39:R45"/>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0C58C3-F00A-40F4-A019-9D4F6A09E004}">
  <sheetPr codeName="Sheet35"/>
  <dimension ref="A1:X63"/>
  <sheetViews>
    <sheetView showGridLines="0" zoomScale="77" zoomScaleNormal="75" workbookViewId="0"/>
  </sheetViews>
  <sheetFormatPr defaultColWidth="9.1796875" defaultRowHeight="14.5" x14ac:dyDescent="0.35"/>
  <cols>
    <col min="1" max="1" width="2.81640625" style="19" customWidth="1"/>
    <col min="2" max="2" width="3.81640625" style="19" customWidth="1"/>
    <col min="3" max="3" width="59.7265625" style="19" bestFit="1" customWidth="1"/>
    <col min="4" max="4" width="10.26953125" style="19" bestFit="1" customWidth="1"/>
    <col min="5" max="5" width="10.453125" style="19" bestFit="1" customWidth="1"/>
    <col min="6" max="18" width="9.1796875" style="19"/>
    <col min="19" max="19" width="9.81640625" style="19" customWidth="1"/>
    <col min="20" max="22" width="9.1796875" style="19"/>
    <col min="23" max="23" width="31.453125" style="19" bestFit="1" customWidth="1"/>
    <col min="24" max="16384" width="9.1796875" style="19"/>
  </cols>
  <sheetData>
    <row r="1" spans="1:24" ht="16" thickBot="1" x14ac:dyDescent="0.4">
      <c r="A1" s="3"/>
    </row>
    <row r="2" spans="1:24" x14ac:dyDescent="0.35">
      <c r="B2" s="63"/>
      <c r="C2" s="28"/>
      <c r="D2" s="28"/>
      <c r="E2" s="28"/>
      <c r="F2" s="28"/>
      <c r="G2" s="28"/>
      <c r="H2" s="28"/>
      <c r="I2" s="28"/>
      <c r="J2" s="28"/>
      <c r="K2" s="28"/>
      <c r="L2" s="28"/>
      <c r="M2" s="28"/>
      <c r="N2" s="28"/>
      <c r="O2" s="28"/>
      <c r="P2" s="28"/>
      <c r="Q2" s="28"/>
      <c r="R2" s="28"/>
      <c r="S2" s="28"/>
      <c r="T2" s="28"/>
      <c r="U2" s="24"/>
    </row>
    <row r="3" spans="1:24" ht="20" x14ac:dyDescent="0.35">
      <c r="B3" s="64"/>
      <c r="C3" s="312" t="s">
        <v>271</v>
      </c>
      <c r="D3" s="313"/>
      <c r="E3" s="313"/>
      <c r="F3" s="313"/>
      <c r="G3" s="313"/>
      <c r="H3" s="313"/>
      <c r="I3" s="313"/>
      <c r="J3" s="313"/>
      <c r="K3" s="313"/>
      <c r="L3" s="313"/>
      <c r="M3" s="313"/>
      <c r="N3" s="313"/>
      <c r="O3" s="313"/>
      <c r="P3" s="313"/>
      <c r="Q3" s="313"/>
      <c r="R3" s="313"/>
      <c r="S3" s="313"/>
      <c r="T3" s="65"/>
      <c r="U3" s="66"/>
    </row>
    <row r="4" spans="1:24" ht="15.5" x14ac:dyDescent="0.35">
      <c r="B4" s="64"/>
      <c r="C4" s="67" t="s">
        <v>434</v>
      </c>
      <c r="D4" s="29"/>
      <c r="E4" s="29"/>
      <c r="F4" s="29"/>
      <c r="G4" s="29"/>
      <c r="H4" s="29"/>
      <c r="I4" s="29"/>
      <c r="J4" s="29"/>
      <c r="K4" s="29"/>
      <c r="L4" s="29"/>
      <c r="M4" s="29"/>
      <c r="N4" s="29"/>
      <c r="O4" s="29"/>
      <c r="P4" s="29"/>
      <c r="Q4" s="29"/>
      <c r="R4" s="29"/>
      <c r="S4" s="29"/>
      <c r="T4" s="29"/>
      <c r="U4" s="25"/>
    </row>
    <row r="5" spans="1:24" ht="20" x14ac:dyDescent="0.35">
      <c r="B5" s="64"/>
      <c r="C5" s="211" t="s">
        <v>435</v>
      </c>
      <c r="D5" s="316" t="s">
        <v>426</v>
      </c>
      <c r="E5" s="316"/>
      <c r="F5" s="29"/>
      <c r="G5" s="29"/>
      <c r="H5" s="29"/>
      <c r="I5" s="29"/>
      <c r="J5" s="29"/>
      <c r="K5" s="29"/>
      <c r="L5" s="29"/>
      <c r="M5" s="29"/>
      <c r="N5" s="29"/>
      <c r="O5" s="29"/>
      <c r="P5" s="29"/>
      <c r="Q5" s="29"/>
      <c r="R5" s="29"/>
      <c r="S5" s="29"/>
      <c r="T5" s="29"/>
      <c r="U5" s="25"/>
    </row>
    <row r="6" spans="1:24" x14ac:dyDescent="0.35">
      <c r="B6" s="64"/>
      <c r="C6" s="29"/>
      <c r="D6" s="29"/>
      <c r="E6" s="29"/>
      <c r="F6" s="29"/>
      <c r="G6" s="29"/>
      <c r="H6" s="29"/>
      <c r="I6" s="29"/>
      <c r="J6" s="29"/>
      <c r="K6" s="29"/>
      <c r="L6" s="29"/>
      <c r="M6" s="29"/>
      <c r="N6" s="29"/>
      <c r="O6" s="29"/>
      <c r="P6" s="29"/>
      <c r="Q6" s="29"/>
      <c r="R6" s="29"/>
      <c r="S6" s="29"/>
      <c r="T6" s="29"/>
      <c r="U6" s="25"/>
    </row>
    <row r="7" spans="1:24" ht="15.5" x14ac:dyDescent="0.35">
      <c r="B7" s="64"/>
      <c r="C7" s="68" t="s">
        <v>0</v>
      </c>
      <c r="D7" s="69" t="s">
        <v>1</v>
      </c>
      <c r="E7" s="70" t="s">
        <v>2</v>
      </c>
      <c r="F7" s="29"/>
      <c r="G7" s="29"/>
      <c r="H7" s="29"/>
      <c r="I7" s="29"/>
      <c r="J7" s="29"/>
      <c r="K7" s="29"/>
      <c r="L7" s="29"/>
      <c r="M7" s="29"/>
      <c r="N7" s="29"/>
      <c r="O7" s="29"/>
      <c r="P7" s="29"/>
      <c r="Q7" s="29"/>
      <c r="R7" s="29"/>
      <c r="S7" s="29"/>
      <c r="T7" s="29"/>
      <c r="U7" s="25"/>
      <c r="W7" s="39" t="s">
        <v>22</v>
      </c>
      <c r="X7" s="39" t="s">
        <v>2</v>
      </c>
    </row>
    <row r="8" spans="1:24" ht="15.5" x14ac:dyDescent="0.35">
      <c r="B8" s="64"/>
      <c r="C8" s="184" t="s">
        <v>29</v>
      </c>
      <c r="D8" s="185" t="s">
        <v>3</v>
      </c>
      <c r="E8" s="186">
        <v>0.27949000000000002</v>
      </c>
      <c r="F8" s="29"/>
      <c r="G8" s="29"/>
      <c r="H8" s="29"/>
      <c r="I8" s="29"/>
      <c r="J8" s="29"/>
      <c r="K8" s="29"/>
      <c r="L8" s="29"/>
      <c r="M8" s="29"/>
      <c r="N8" s="29"/>
      <c r="O8" s="29"/>
      <c r="P8" s="29"/>
      <c r="Q8" s="29"/>
      <c r="R8" s="29"/>
      <c r="S8" s="29"/>
      <c r="T8" s="29"/>
      <c r="U8" s="25"/>
      <c r="W8" s="173" t="s">
        <v>3</v>
      </c>
      <c r="X8" s="224">
        <v>1.0029919999999999</v>
      </c>
    </row>
    <row r="9" spans="1:24" ht="15.5" x14ac:dyDescent="0.35">
      <c r="B9" s="64"/>
      <c r="C9" s="180" t="s">
        <v>32</v>
      </c>
      <c r="D9" s="187" t="s">
        <v>3</v>
      </c>
      <c r="E9" s="188">
        <v>0.25222099999999997</v>
      </c>
      <c r="F9" s="29"/>
      <c r="G9" s="29"/>
      <c r="H9" s="29"/>
      <c r="I9" s="29"/>
      <c r="J9" s="29"/>
      <c r="K9" s="29"/>
      <c r="L9" s="29"/>
      <c r="M9" s="29"/>
      <c r="N9" s="29"/>
      <c r="O9" s="29"/>
      <c r="P9" s="29"/>
      <c r="Q9" s="29"/>
      <c r="R9" s="29"/>
      <c r="S9" s="29"/>
      <c r="T9" s="29"/>
      <c r="U9" s="25"/>
      <c r="W9" s="173"/>
      <c r="X9" s="224"/>
    </row>
    <row r="10" spans="1:24" ht="15.5" x14ac:dyDescent="0.35">
      <c r="B10" s="64"/>
      <c r="C10" s="180" t="s">
        <v>36</v>
      </c>
      <c r="D10" s="187" t="s">
        <v>3</v>
      </c>
      <c r="E10" s="188">
        <v>8.4791000000000005E-2</v>
      </c>
      <c r="F10" s="29"/>
      <c r="G10" s="29"/>
      <c r="H10" s="29"/>
      <c r="I10" s="29"/>
      <c r="J10" s="29"/>
      <c r="K10" s="29"/>
      <c r="L10" s="29"/>
      <c r="M10" s="29"/>
      <c r="N10" s="29"/>
      <c r="O10" s="29"/>
      <c r="P10" s="29"/>
      <c r="Q10" s="29"/>
      <c r="R10" s="29"/>
      <c r="S10" s="29"/>
      <c r="T10" s="29"/>
      <c r="U10" s="25"/>
      <c r="W10" s="173"/>
      <c r="X10" s="224"/>
    </row>
    <row r="11" spans="1:24" ht="15.5" x14ac:dyDescent="0.35">
      <c r="B11" s="64"/>
      <c r="C11" s="180" t="s">
        <v>77</v>
      </c>
      <c r="D11" s="187" t="s">
        <v>3</v>
      </c>
      <c r="E11" s="188">
        <v>8.1677E-2</v>
      </c>
      <c r="F11" s="29"/>
      <c r="G11" s="29"/>
      <c r="H11" s="29"/>
      <c r="I11" s="29"/>
      <c r="J11" s="29"/>
      <c r="K11" s="29"/>
      <c r="L11" s="29"/>
      <c r="M11" s="29"/>
      <c r="N11" s="29"/>
      <c r="O11" s="29"/>
      <c r="P11" s="29"/>
      <c r="Q11" s="29"/>
      <c r="R11" s="29"/>
      <c r="S11" s="29"/>
      <c r="T11" s="29"/>
      <c r="U11" s="25"/>
      <c r="W11" s="173"/>
      <c r="X11" s="224"/>
    </row>
    <row r="12" spans="1:24" ht="15.5" x14ac:dyDescent="0.35">
      <c r="B12" s="64"/>
      <c r="C12" s="180" t="s">
        <v>35</v>
      </c>
      <c r="D12" s="187" t="s">
        <v>3</v>
      </c>
      <c r="E12" s="188">
        <v>8.1446000000000005E-2</v>
      </c>
      <c r="F12" s="29"/>
      <c r="G12" s="29"/>
      <c r="H12" s="29"/>
      <c r="I12" s="29"/>
      <c r="J12" s="29"/>
      <c r="K12" s="29"/>
      <c r="L12" s="29"/>
      <c r="M12" s="29"/>
      <c r="N12" s="29"/>
      <c r="O12" s="29"/>
      <c r="P12" s="29"/>
      <c r="Q12" s="29"/>
      <c r="R12" s="29"/>
      <c r="S12" s="29"/>
      <c r="T12" s="29"/>
      <c r="U12" s="25"/>
      <c r="W12" s="173"/>
      <c r="X12" s="224"/>
    </row>
    <row r="13" spans="1:24" ht="15.5" x14ac:dyDescent="0.35">
      <c r="B13" s="64"/>
      <c r="C13" s="180" t="s">
        <v>133</v>
      </c>
      <c r="D13" s="187" t="s">
        <v>3</v>
      </c>
      <c r="E13" s="188">
        <v>4.1743000000000002E-2</v>
      </c>
      <c r="F13" s="29"/>
      <c r="G13" s="29"/>
      <c r="H13" s="29"/>
      <c r="I13" s="29"/>
      <c r="J13" s="29"/>
      <c r="K13" s="29"/>
      <c r="L13" s="29"/>
      <c r="M13" s="29"/>
      <c r="N13" s="29"/>
      <c r="O13" s="29"/>
      <c r="P13" s="29"/>
      <c r="Q13" s="29"/>
      <c r="R13" s="29"/>
      <c r="S13" s="29"/>
      <c r="T13" s="29"/>
      <c r="U13" s="25"/>
      <c r="W13" s="173"/>
      <c r="X13" s="224"/>
    </row>
    <row r="14" spans="1:24" ht="15.5" x14ac:dyDescent="0.35">
      <c r="B14" s="64"/>
      <c r="C14" s="180" t="s">
        <v>256</v>
      </c>
      <c r="D14" s="187" t="s">
        <v>3</v>
      </c>
      <c r="E14" s="188">
        <v>3.6455000000000001E-2</v>
      </c>
      <c r="F14" s="29"/>
      <c r="G14" s="29"/>
      <c r="H14" s="29"/>
      <c r="I14" s="29"/>
      <c r="J14" s="29"/>
      <c r="K14" s="29"/>
      <c r="L14" s="29"/>
      <c r="M14" s="29"/>
      <c r="N14" s="29"/>
      <c r="O14" s="29"/>
      <c r="P14" s="29"/>
      <c r="Q14" s="29"/>
      <c r="R14" s="29"/>
      <c r="S14" s="29"/>
      <c r="T14" s="29"/>
      <c r="U14" s="25"/>
      <c r="W14" s="173"/>
      <c r="X14" s="224"/>
    </row>
    <row r="15" spans="1:24" ht="15.5" x14ac:dyDescent="0.35">
      <c r="B15" s="64"/>
      <c r="C15" s="180" t="s">
        <v>269</v>
      </c>
      <c r="D15" s="187" t="s">
        <v>3</v>
      </c>
      <c r="E15" s="188">
        <v>3.4993000000000003E-2</v>
      </c>
      <c r="F15" s="29"/>
      <c r="G15" s="29"/>
      <c r="H15" s="29"/>
      <c r="I15" s="29"/>
      <c r="J15" s="29"/>
      <c r="K15" s="29"/>
      <c r="L15" s="29"/>
      <c r="M15" s="29"/>
      <c r="N15" s="29"/>
      <c r="O15" s="29"/>
      <c r="P15" s="29"/>
      <c r="Q15" s="29"/>
      <c r="R15" s="29"/>
      <c r="S15" s="29"/>
      <c r="T15" s="29"/>
      <c r="U15" s="25"/>
      <c r="W15" s="173"/>
      <c r="X15" s="224"/>
    </row>
    <row r="16" spans="1:24" ht="15.5" x14ac:dyDescent="0.35">
      <c r="B16" s="64"/>
      <c r="C16" s="180" t="s">
        <v>270</v>
      </c>
      <c r="D16" s="187" t="s">
        <v>3</v>
      </c>
      <c r="E16" s="188">
        <v>3.0415000000000001E-2</v>
      </c>
      <c r="F16" s="29"/>
      <c r="G16" s="29"/>
      <c r="H16" s="29"/>
      <c r="I16" s="29"/>
      <c r="J16" s="29"/>
      <c r="K16" s="29"/>
      <c r="L16" s="29"/>
      <c r="M16" s="29"/>
      <c r="N16" s="29"/>
      <c r="O16" s="29"/>
      <c r="P16" s="29"/>
      <c r="Q16" s="29"/>
      <c r="R16" s="29"/>
      <c r="S16" s="29"/>
      <c r="T16" s="29"/>
      <c r="U16" s="25"/>
      <c r="W16" s="173"/>
      <c r="X16" s="224"/>
    </row>
    <row r="17" spans="2:24" ht="15.5" x14ac:dyDescent="0.35">
      <c r="B17" s="64"/>
      <c r="C17" s="180" t="s">
        <v>250</v>
      </c>
      <c r="D17" s="187" t="s">
        <v>3</v>
      </c>
      <c r="E17" s="188">
        <v>2.8801E-2</v>
      </c>
      <c r="F17" s="29"/>
      <c r="G17" s="29"/>
      <c r="H17" s="29"/>
      <c r="I17" s="29"/>
      <c r="J17" s="29"/>
      <c r="K17" s="29"/>
      <c r="L17" s="29"/>
      <c r="M17" s="29"/>
      <c r="N17" s="29"/>
      <c r="O17" s="29"/>
      <c r="P17" s="29"/>
      <c r="Q17" s="29"/>
      <c r="R17" s="29"/>
      <c r="S17" s="29"/>
      <c r="T17" s="29"/>
      <c r="U17" s="25"/>
      <c r="W17" s="173"/>
      <c r="X17" s="224"/>
    </row>
    <row r="18" spans="2:24" ht="15.5" x14ac:dyDescent="0.35">
      <c r="B18" s="64"/>
      <c r="C18" s="180" t="s">
        <v>263</v>
      </c>
      <c r="D18" s="187" t="s">
        <v>3</v>
      </c>
      <c r="E18" s="188">
        <v>2.6121999999999999E-2</v>
      </c>
      <c r="F18" s="29"/>
      <c r="G18" s="29"/>
      <c r="H18" s="29"/>
      <c r="I18" s="29"/>
      <c r="J18" s="29"/>
      <c r="K18" s="29"/>
      <c r="L18" s="29"/>
      <c r="M18" s="29"/>
      <c r="N18" s="29"/>
      <c r="O18" s="29"/>
      <c r="P18" s="29"/>
      <c r="Q18" s="29"/>
      <c r="R18" s="29"/>
      <c r="S18" s="29"/>
      <c r="T18" s="29"/>
      <c r="U18" s="25"/>
      <c r="W18" s="173"/>
      <c r="X18" s="224"/>
    </row>
    <row r="19" spans="2:24" ht="15.5" x14ac:dyDescent="0.35">
      <c r="B19" s="64"/>
      <c r="C19" s="180" t="s">
        <v>284</v>
      </c>
      <c r="D19" s="187" t="s">
        <v>3</v>
      </c>
      <c r="E19" s="188">
        <v>2.4837999999999999E-2</v>
      </c>
      <c r="F19" s="29"/>
      <c r="G19" s="29"/>
      <c r="H19" s="29"/>
      <c r="I19" s="29"/>
      <c r="J19" s="29"/>
      <c r="K19" s="29"/>
      <c r="L19" s="29"/>
      <c r="M19" s="29"/>
      <c r="N19" s="29"/>
      <c r="O19" s="29"/>
      <c r="P19" s="29"/>
      <c r="Q19" s="29"/>
      <c r="R19" s="29"/>
      <c r="S19" s="29"/>
      <c r="T19" s="29"/>
      <c r="U19" s="25"/>
      <c r="W19" s="173"/>
      <c r="X19" s="224"/>
    </row>
    <row r="20" spans="2:24" ht="15.5" x14ac:dyDescent="0.35">
      <c r="B20" s="64"/>
      <c r="C20" s="73" t="s">
        <v>55</v>
      </c>
      <c r="D20" s="74"/>
      <c r="E20" s="75">
        <f>SUM(E8:E19)</f>
        <v>1.0029920000000001</v>
      </c>
      <c r="F20" s="29"/>
      <c r="G20" s="29"/>
      <c r="H20" s="29"/>
      <c r="I20" s="29"/>
      <c r="J20" s="29"/>
      <c r="K20" s="29"/>
      <c r="L20" s="29"/>
      <c r="M20" s="29"/>
      <c r="N20" s="29"/>
      <c r="O20" s="29"/>
      <c r="P20" s="29"/>
      <c r="Q20" s="29"/>
      <c r="R20" s="29"/>
      <c r="S20" s="29"/>
      <c r="T20" s="29"/>
      <c r="U20" s="25"/>
      <c r="W20" s="173"/>
      <c r="X20" s="224"/>
    </row>
    <row r="21" spans="2:24" x14ac:dyDescent="0.35">
      <c r="B21" s="64"/>
      <c r="C21" s="29"/>
      <c r="D21" s="29"/>
      <c r="E21" s="29"/>
      <c r="F21" s="29"/>
      <c r="G21" s="29"/>
      <c r="H21" s="29"/>
      <c r="I21" s="29"/>
      <c r="J21" s="29"/>
      <c r="K21" s="29"/>
      <c r="L21" s="29"/>
      <c r="M21" s="29"/>
      <c r="N21" s="29"/>
      <c r="O21" s="29"/>
      <c r="P21" s="29"/>
      <c r="Q21" s="29"/>
      <c r="R21" s="29"/>
      <c r="S21" s="29"/>
      <c r="T21" s="29"/>
      <c r="U21" s="25"/>
      <c r="W21" s="173"/>
      <c r="X21" s="224"/>
    </row>
    <row r="22" spans="2:24" x14ac:dyDescent="0.35">
      <c r="B22" s="64"/>
      <c r="C22" s="29"/>
      <c r="D22" s="29"/>
      <c r="E22" s="29"/>
      <c r="F22" s="29"/>
      <c r="G22" s="29"/>
      <c r="H22" s="29"/>
      <c r="I22" s="29"/>
      <c r="J22" s="29"/>
      <c r="K22" s="29"/>
      <c r="L22" s="29"/>
      <c r="M22" s="29"/>
      <c r="N22" s="29"/>
      <c r="O22" s="29"/>
      <c r="P22" s="29"/>
      <c r="Q22" s="29"/>
      <c r="R22" s="29"/>
      <c r="S22" s="29"/>
      <c r="T22" s="29"/>
      <c r="U22" s="25"/>
      <c r="W22" s="173"/>
      <c r="X22" s="224"/>
    </row>
    <row r="23" spans="2:24" x14ac:dyDescent="0.35">
      <c r="B23" s="64"/>
      <c r="C23" s="29"/>
      <c r="D23" s="29"/>
      <c r="E23" s="29"/>
      <c r="F23" s="29"/>
      <c r="G23" s="29"/>
      <c r="H23" s="29"/>
      <c r="I23" s="29"/>
      <c r="J23" s="29"/>
      <c r="K23" s="29"/>
      <c r="L23" s="29"/>
      <c r="M23" s="29"/>
      <c r="N23" s="29"/>
      <c r="O23" s="29"/>
      <c r="P23" s="29"/>
      <c r="Q23" s="29"/>
      <c r="R23" s="29"/>
      <c r="S23" s="29"/>
      <c r="T23" s="29"/>
      <c r="U23" s="25"/>
      <c r="W23" s="173"/>
      <c r="X23" s="224"/>
    </row>
    <row r="24" spans="2:24" x14ac:dyDescent="0.35">
      <c r="B24" s="64"/>
      <c r="C24" s="29"/>
      <c r="D24" s="29"/>
      <c r="E24" s="29"/>
      <c r="F24" s="29"/>
      <c r="G24" s="29"/>
      <c r="H24" s="29"/>
      <c r="I24" s="29"/>
      <c r="J24" s="29"/>
      <c r="K24" s="29"/>
      <c r="L24" s="29"/>
      <c r="M24" s="29"/>
      <c r="N24" s="29"/>
      <c r="O24" s="29"/>
      <c r="P24" s="29"/>
      <c r="Q24" s="29"/>
      <c r="R24" s="29"/>
      <c r="S24" s="29"/>
      <c r="T24" s="29"/>
      <c r="U24" s="25"/>
      <c r="W24" s="173"/>
      <c r="X24" s="224"/>
    </row>
    <row r="25" spans="2:24" x14ac:dyDescent="0.35">
      <c r="B25" s="64"/>
      <c r="C25" s="29"/>
      <c r="D25" s="29"/>
      <c r="E25" s="29"/>
      <c r="F25" s="29"/>
      <c r="G25" s="29"/>
      <c r="H25" s="29"/>
      <c r="I25" s="29"/>
      <c r="J25" s="29"/>
      <c r="K25" s="29"/>
      <c r="L25" s="29"/>
      <c r="M25" s="29"/>
      <c r="N25" s="29"/>
      <c r="O25" s="29"/>
      <c r="P25" s="29"/>
      <c r="Q25" s="29"/>
      <c r="R25" s="29"/>
      <c r="S25" s="29"/>
      <c r="T25" s="29"/>
      <c r="U25" s="25"/>
      <c r="W25" s="173"/>
      <c r="X25" s="224"/>
    </row>
    <row r="26" spans="2:24" x14ac:dyDescent="0.35">
      <c r="B26" s="64"/>
      <c r="C26" s="29"/>
      <c r="D26" s="29"/>
      <c r="E26" s="29"/>
      <c r="F26" s="29"/>
      <c r="G26" s="29"/>
      <c r="H26" s="29"/>
      <c r="I26" s="29"/>
      <c r="J26" s="29"/>
      <c r="K26" s="29"/>
      <c r="L26" s="29"/>
      <c r="M26" s="29"/>
      <c r="N26" s="29"/>
      <c r="O26" s="29"/>
      <c r="P26" s="29"/>
      <c r="Q26" s="29"/>
      <c r="R26" s="29"/>
      <c r="S26" s="29"/>
      <c r="T26" s="29"/>
      <c r="U26" s="25"/>
      <c r="W26" s="173"/>
      <c r="X26" s="224"/>
    </row>
    <row r="27" spans="2:24" x14ac:dyDescent="0.35">
      <c r="B27" s="64"/>
      <c r="C27" s="29"/>
      <c r="D27" s="29"/>
      <c r="E27" s="29"/>
      <c r="F27" s="29"/>
      <c r="G27" s="29"/>
      <c r="H27" s="29"/>
      <c r="I27" s="29"/>
      <c r="J27" s="29"/>
      <c r="K27" s="29"/>
      <c r="L27" s="29"/>
      <c r="M27" s="29"/>
      <c r="N27" s="29"/>
      <c r="O27" s="29"/>
      <c r="P27" s="29"/>
      <c r="Q27" s="29"/>
      <c r="R27" s="29"/>
      <c r="S27" s="29"/>
      <c r="T27" s="29"/>
      <c r="U27" s="25"/>
      <c r="W27" s="61"/>
      <c r="X27" s="62"/>
    </row>
    <row r="28" spans="2:24" x14ac:dyDescent="0.35">
      <c r="B28" s="64"/>
      <c r="C28" s="29"/>
      <c r="D28" s="29"/>
      <c r="E28" s="29"/>
      <c r="F28" s="29"/>
      <c r="G28" s="29"/>
      <c r="H28" s="29"/>
      <c r="I28" s="29"/>
      <c r="J28" s="29"/>
      <c r="K28" s="29"/>
      <c r="L28" s="29"/>
      <c r="M28" s="29"/>
      <c r="N28" s="29"/>
      <c r="O28" s="29"/>
      <c r="P28" s="29"/>
      <c r="Q28" s="29"/>
      <c r="R28" s="29"/>
      <c r="S28" s="29"/>
      <c r="T28" s="29"/>
      <c r="U28" s="25"/>
      <c r="W28" s="61"/>
      <c r="X28" s="62"/>
    </row>
    <row r="29" spans="2:24" x14ac:dyDescent="0.35">
      <c r="B29" s="64"/>
      <c r="C29" s="29"/>
      <c r="D29" s="29"/>
      <c r="E29" s="29"/>
      <c r="F29" s="29"/>
      <c r="G29" s="29"/>
      <c r="H29" s="29"/>
      <c r="I29" s="29"/>
      <c r="J29" s="29"/>
      <c r="K29" s="29"/>
      <c r="L29" s="29"/>
      <c r="M29" s="29"/>
      <c r="N29" s="29"/>
      <c r="O29" s="29"/>
      <c r="P29" s="29"/>
      <c r="Q29" s="29"/>
      <c r="R29" s="29"/>
      <c r="S29" s="29"/>
      <c r="T29" s="29"/>
      <c r="U29" s="25"/>
      <c r="W29" s="61"/>
      <c r="X29" s="62"/>
    </row>
    <row r="30" spans="2:24" x14ac:dyDescent="0.35">
      <c r="B30" s="64"/>
      <c r="C30" s="29"/>
      <c r="D30" s="29"/>
      <c r="E30" s="29"/>
      <c r="F30" s="29"/>
      <c r="G30" s="29"/>
      <c r="H30" s="29"/>
      <c r="I30" s="29"/>
      <c r="J30" s="29"/>
      <c r="K30" s="29"/>
      <c r="L30" s="29"/>
      <c r="M30" s="29"/>
      <c r="N30" s="29"/>
      <c r="O30" s="29"/>
      <c r="P30" s="29"/>
      <c r="Q30" s="29"/>
      <c r="R30" s="29"/>
      <c r="S30" s="29"/>
      <c r="T30" s="29"/>
      <c r="U30" s="25"/>
      <c r="W30" s="61"/>
      <c r="X30" s="62"/>
    </row>
    <row r="31" spans="2:24" x14ac:dyDescent="0.35">
      <c r="B31" s="64"/>
      <c r="C31" s="29"/>
      <c r="D31" s="29"/>
      <c r="E31" s="29"/>
      <c r="F31" s="29"/>
      <c r="G31" s="29"/>
      <c r="H31" s="29"/>
      <c r="I31" s="29"/>
      <c r="J31" s="29"/>
      <c r="K31" s="29"/>
      <c r="L31" s="29"/>
      <c r="M31" s="29"/>
      <c r="N31" s="29"/>
      <c r="O31" s="29"/>
      <c r="P31" s="29"/>
      <c r="Q31" s="29"/>
      <c r="R31" s="29"/>
      <c r="S31" s="29"/>
      <c r="T31" s="29"/>
      <c r="U31" s="25"/>
      <c r="W31" s="61"/>
      <c r="X31" s="62"/>
    </row>
    <row r="32" spans="2:24" x14ac:dyDescent="0.35">
      <c r="B32" s="64"/>
      <c r="C32" s="29"/>
      <c r="D32" s="29"/>
      <c r="E32" s="29"/>
      <c r="F32" s="29"/>
      <c r="G32" s="29"/>
      <c r="H32" s="29"/>
      <c r="I32" s="29"/>
      <c r="J32" s="29"/>
      <c r="K32" s="29"/>
      <c r="L32" s="29"/>
      <c r="M32" s="29"/>
      <c r="N32" s="29"/>
      <c r="O32" s="29"/>
      <c r="P32" s="29"/>
      <c r="Q32" s="29"/>
      <c r="R32" s="29"/>
      <c r="S32" s="29"/>
      <c r="T32" s="29"/>
      <c r="U32" s="25"/>
      <c r="W32" s="61"/>
      <c r="X32" s="62"/>
    </row>
    <row r="33" spans="2:24" x14ac:dyDescent="0.35">
      <c r="B33" s="64"/>
      <c r="C33" s="29"/>
      <c r="D33" s="29"/>
      <c r="E33" s="29"/>
      <c r="F33" s="29"/>
      <c r="G33" s="29"/>
      <c r="H33" s="29"/>
      <c r="I33" s="29"/>
      <c r="J33" s="29"/>
      <c r="K33" s="29"/>
      <c r="L33" s="29"/>
      <c r="M33" s="29"/>
      <c r="N33" s="29"/>
      <c r="O33" s="29"/>
      <c r="P33" s="29"/>
      <c r="Q33" s="29"/>
      <c r="R33" s="29"/>
      <c r="S33" s="29"/>
      <c r="T33" s="29"/>
      <c r="U33" s="25"/>
      <c r="W33" s="61"/>
      <c r="X33" s="62"/>
    </row>
    <row r="34" spans="2:24" x14ac:dyDescent="0.35">
      <c r="B34" s="64"/>
      <c r="C34" s="29"/>
      <c r="D34" s="29"/>
      <c r="E34" s="29"/>
      <c r="F34" s="29"/>
      <c r="G34" s="29"/>
      <c r="H34" s="29"/>
      <c r="I34" s="29"/>
      <c r="J34" s="29"/>
      <c r="K34" s="29"/>
      <c r="L34" s="29"/>
      <c r="M34" s="29"/>
      <c r="N34" s="29"/>
      <c r="O34" s="29"/>
      <c r="P34" s="29"/>
      <c r="Q34" s="29"/>
      <c r="R34" s="29"/>
      <c r="S34" s="29"/>
      <c r="T34" s="29"/>
      <c r="U34" s="25"/>
      <c r="W34" s="61"/>
      <c r="X34" s="62"/>
    </row>
    <row r="35" spans="2:24" x14ac:dyDescent="0.35">
      <c r="B35" s="64"/>
      <c r="C35" s="29"/>
      <c r="D35" s="29"/>
      <c r="E35" s="29"/>
      <c r="F35" s="29"/>
      <c r="G35" s="29"/>
      <c r="H35" s="29"/>
      <c r="I35" s="29"/>
      <c r="J35" s="29"/>
      <c r="K35" s="29"/>
      <c r="L35" s="29"/>
      <c r="M35" s="29"/>
      <c r="N35" s="29"/>
      <c r="O35" s="29"/>
      <c r="P35" s="29"/>
      <c r="Q35" s="29"/>
      <c r="R35" s="29"/>
      <c r="S35" s="29"/>
      <c r="T35" s="29"/>
      <c r="U35" s="25"/>
      <c r="W35" s="61"/>
      <c r="X35" s="62"/>
    </row>
    <row r="36" spans="2:24" x14ac:dyDescent="0.35">
      <c r="B36" s="64"/>
      <c r="C36" s="29"/>
      <c r="D36" s="29"/>
      <c r="E36" s="29"/>
      <c r="F36" s="29"/>
      <c r="G36" s="29"/>
      <c r="H36" s="29"/>
      <c r="I36" s="29"/>
      <c r="J36" s="29"/>
      <c r="K36" s="29"/>
      <c r="L36" s="29"/>
      <c r="M36" s="29"/>
      <c r="N36" s="29"/>
      <c r="O36" s="29"/>
      <c r="P36" s="29"/>
      <c r="Q36" s="29"/>
      <c r="R36" s="29"/>
      <c r="S36" s="29"/>
      <c r="T36" s="29"/>
      <c r="U36" s="25"/>
      <c r="W36" s="61"/>
      <c r="X36" s="62"/>
    </row>
    <row r="37" spans="2:24" ht="15" thickBot="1" x14ac:dyDescent="0.4">
      <c r="B37" s="76"/>
      <c r="C37" s="30"/>
      <c r="D37" s="30"/>
      <c r="E37" s="30"/>
      <c r="F37" s="30"/>
      <c r="G37" s="30"/>
      <c r="H37" s="30"/>
      <c r="I37" s="30"/>
      <c r="J37" s="30"/>
      <c r="K37" s="30"/>
      <c r="L37" s="30"/>
      <c r="M37" s="30"/>
      <c r="N37" s="30"/>
      <c r="O37" s="30"/>
      <c r="P37" s="30"/>
      <c r="Q37" s="30"/>
      <c r="R37" s="30"/>
      <c r="S37" s="30"/>
      <c r="T37" s="30"/>
      <c r="U37" s="26"/>
      <c r="W37" s="61"/>
      <c r="X37" s="62"/>
    </row>
    <row r="38" spans="2:24" ht="15" thickBot="1" x14ac:dyDescent="0.4">
      <c r="W38" s="61"/>
      <c r="X38" s="62"/>
    </row>
    <row r="39" spans="2:24" ht="15" customHeight="1" x14ac:dyDescent="0.35">
      <c r="B39" s="303" t="s">
        <v>179</v>
      </c>
      <c r="C39" s="304"/>
      <c r="D39" s="304"/>
      <c r="E39" s="304"/>
      <c r="F39" s="304"/>
      <c r="G39" s="304"/>
      <c r="H39" s="304"/>
      <c r="I39" s="304"/>
      <c r="J39" s="304"/>
      <c r="K39" s="304"/>
      <c r="L39" s="304"/>
      <c r="M39" s="304"/>
      <c r="N39" s="304"/>
      <c r="O39" s="304"/>
      <c r="P39" s="304"/>
      <c r="Q39" s="304"/>
      <c r="R39" s="305"/>
      <c r="W39" s="61"/>
      <c r="X39" s="62"/>
    </row>
    <row r="40" spans="2:24" x14ac:dyDescent="0.35">
      <c r="B40" s="306"/>
      <c r="C40" s="307"/>
      <c r="D40" s="307"/>
      <c r="E40" s="307"/>
      <c r="F40" s="307"/>
      <c r="G40" s="307"/>
      <c r="H40" s="307"/>
      <c r="I40" s="307"/>
      <c r="J40" s="307"/>
      <c r="K40" s="307"/>
      <c r="L40" s="307"/>
      <c r="M40" s="307"/>
      <c r="N40" s="307"/>
      <c r="O40" s="307"/>
      <c r="P40" s="307"/>
      <c r="Q40" s="307"/>
      <c r="R40" s="308"/>
      <c r="W40" s="61"/>
      <c r="X40" s="62"/>
    </row>
    <row r="41" spans="2:24" x14ac:dyDescent="0.35">
      <c r="B41" s="306"/>
      <c r="C41" s="307"/>
      <c r="D41" s="307"/>
      <c r="E41" s="307"/>
      <c r="F41" s="307"/>
      <c r="G41" s="307"/>
      <c r="H41" s="307"/>
      <c r="I41" s="307"/>
      <c r="J41" s="307"/>
      <c r="K41" s="307"/>
      <c r="L41" s="307"/>
      <c r="M41" s="307"/>
      <c r="N41" s="307"/>
      <c r="O41" s="307"/>
      <c r="P41" s="307"/>
      <c r="Q41" s="307"/>
      <c r="R41" s="308"/>
      <c r="W41" s="61"/>
      <c r="X41" s="62"/>
    </row>
    <row r="42" spans="2:24" x14ac:dyDescent="0.35">
      <c r="B42" s="306"/>
      <c r="C42" s="307"/>
      <c r="D42" s="307"/>
      <c r="E42" s="307"/>
      <c r="F42" s="307"/>
      <c r="G42" s="307"/>
      <c r="H42" s="307"/>
      <c r="I42" s="307"/>
      <c r="J42" s="307"/>
      <c r="K42" s="307"/>
      <c r="L42" s="307"/>
      <c r="M42" s="307"/>
      <c r="N42" s="307"/>
      <c r="O42" s="307"/>
      <c r="P42" s="307"/>
      <c r="Q42" s="307"/>
      <c r="R42" s="308"/>
      <c r="W42" s="61"/>
      <c r="X42" s="62"/>
    </row>
    <row r="43" spans="2:24" x14ac:dyDescent="0.35">
      <c r="B43" s="306"/>
      <c r="C43" s="307"/>
      <c r="D43" s="307"/>
      <c r="E43" s="307"/>
      <c r="F43" s="307"/>
      <c r="G43" s="307"/>
      <c r="H43" s="307"/>
      <c r="I43" s="307"/>
      <c r="J43" s="307"/>
      <c r="K43" s="307"/>
      <c r="L43" s="307"/>
      <c r="M43" s="307"/>
      <c r="N43" s="307"/>
      <c r="O43" s="307"/>
      <c r="P43" s="307"/>
      <c r="Q43" s="307"/>
      <c r="R43" s="308"/>
      <c r="W43" s="61"/>
      <c r="X43" s="62"/>
    </row>
    <row r="44" spans="2:24" x14ac:dyDescent="0.35">
      <c r="B44" s="306"/>
      <c r="C44" s="307"/>
      <c r="D44" s="307"/>
      <c r="E44" s="307"/>
      <c r="F44" s="307"/>
      <c r="G44" s="307"/>
      <c r="H44" s="307"/>
      <c r="I44" s="307"/>
      <c r="J44" s="307"/>
      <c r="K44" s="307"/>
      <c r="L44" s="307"/>
      <c r="M44" s="307"/>
      <c r="N44" s="307"/>
      <c r="O44" s="307"/>
      <c r="P44" s="307"/>
      <c r="Q44" s="307"/>
      <c r="R44" s="308"/>
      <c r="W44" s="61"/>
      <c r="X44" s="62"/>
    </row>
    <row r="45" spans="2:24" ht="15" thickBot="1" x14ac:dyDescent="0.4">
      <c r="B45" s="309"/>
      <c r="C45" s="310"/>
      <c r="D45" s="310"/>
      <c r="E45" s="310"/>
      <c r="F45" s="310"/>
      <c r="G45" s="310"/>
      <c r="H45" s="310"/>
      <c r="I45" s="310"/>
      <c r="J45" s="310"/>
      <c r="K45" s="310"/>
      <c r="L45" s="310"/>
      <c r="M45" s="310"/>
      <c r="N45" s="310"/>
      <c r="O45" s="310"/>
      <c r="P45" s="310"/>
      <c r="Q45" s="310"/>
      <c r="R45" s="311"/>
      <c r="W45" s="61"/>
      <c r="X45" s="62"/>
    </row>
    <row r="46" spans="2:24" x14ac:dyDescent="0.35">
      <c r="W46" s="61"/>
      <c r="X46" s="62"/>
    </row>
    <row r="47" spans="2:24" x14ac:dyDescent="0.35">
      <c r="W47" s="61"/>
      <c r="X47" s="62"/>
    </row>
    <row r="48" spans="2:24" x14ac:dyDescent="0.35">
      <c r="W48" s="61"/>
      <c r="X48" s="62"/>
    </row>
    <row r="49" spans="23:24" x14ac:dyDescent="0.35">
      <c r="W49" s="61"/>
      <c r="X49" s="62"/>
    </row>
    <row r="50" spans="23:24" x14ac:dyDescent="0.35">
      <c r="W50" s="61"/>
      <c r="X50" s="62"/>
    </row>
    <row r="51" spans="23:24" x14ac:dyDescent="0.35">
      <c r="W51" s="61"/>
      <c r="X51" s="62"/>
    </row>
    <row r="52" spans="23:24" x14ac:dyDescent="0.35">
      <c r="W52" s="61"/>
      <c r="X52" s="62"/>
    </row>
    <row r="53" spans="23:24" x14ac:dyDescent="0.35">
      <c r="W53" s="61"/>
      <c r="X53" s="62"/>
    </row>
    <row r="54" spans="23:24" x14ac:dyDescent="0.35">
      <c r="W54" s="61"/>
      <c r="X54" s="62"/>
    </row>
    <row r="55" spans="23:24" x14ac:dyDescent="0.35">
      <c r="W55" s="61"/>
      <c r="X55" s="62"/>
    </row>
    <row r="56" spans="23:24" x14ac:dyDescent="0.35">
      <c r="W56" s="61"/>
      <c r="X56" s="62"/>
    </row>
    <row r="57" spans="23:24" x14ac:dyDescent="0.35">
      <c r="W57" s="61"/>
      <c r="X57" s="62"/>
    </row>
    <row r="58" spans="23:24" x14ac:dyDescent="0.35">
      <c r="W58" s="61"/>
      <c r="X58" s="62"/>
    </row>
    <row r="59" spans="23:24" x14ac:dyDescent="0.35">
      <c r="W59" s="61"/>
      <c r="X59" s="62"/>
    </row>
    <row r="60" spans="23:24" x14ac:dyDescent="0.35">
      <c r="W60" s="61"/>
      <c r="X60" s="62"/>
    </row>
    <row r="61" spans="23:24" x14ac:dyDescent="0.35">
      <c r="W61" s="61"/>
      <c r="X61" s="62"/>
    </row>
    <row r="62" spans="23:24" x14ac:dyDescent="0.35">
      <c r="W62" s="61"/>
      <c r="X62" s="62"/>
    </row>
    <row r="63" spans="23:24" x14ac:dyDescent="0.35">
      <c r="W63" s="61"/>
      <c r="X63" s="62"/>
    </row>
  </sheetData>
  <mergeCells count="3">
    <mergeCell ref="C3:S3"/>
    <mergeCell ref="D5:E5"/>
    <mergeCell ref="B39:R45"/>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F0083D-7AC6-411B-A750-3BADA1FFB414}">
  <sheetPr codeName="Sheet36"/>
  <dimension ref="A1:X63"/>
  <sheetViews>
    <sheetView showGridLines="0" zoomScale="77" zoomScaleNormal="75" workbookViewId="0">
      <selection activeCell="E8" sqref="E8:E22"/>
    </sheetView>
  </sheetViews>
  <sheetFormatPr defaultColWidth="9.1796875" defaultRowHeight="14.5" x14ac:dyDescent="0.35"/>
  <cols>
    <col min="1" max="1" width="2.81640625" style="19" customWidth="1"/>
    <col min="2" max="2" width="3.81640625" style="19" customWidth="1"/>
    <col min="3" max="3" width="56.7265625" style="19" bestFit="1" customWidth="1"/>
    <col min="4" max="4" width="37.1796875" style="19" customWidth="1"/>
    <col min="5" max="5" width="10.453125" style="19" bestFit="1" customWidth="1"/>
    <col min="6" max="18" width="9.1796875" style="19"/>
    <col min="19" max="19" width="9.81640625" style="19" customWidth="1"/>
    <col min="20" max="22" width="9.1796875" style="19"/>
    <col min="23" max="23" width="31.453125" style="19" bestFit="1" customWidth="1"/>
    <col min="24" max="16384" width="9.1796875" style="19"/>
  </cols>
  <sheetData>
    <row r="1" spans="1:24" ht="16" thickBot="1" x14ac:dyDescent="0.4">
      <c r="A1" s="3"/>
    </row>
    <row r="2" spans="1:24" x14ac:dyDescent="0.35">
      <c r="B2" s="63"/>
      <c r="C2" s="28"/>
      <c r="D2" s="28"/>
      <c r="E2" s="28"/>
      <c r="F2" s="28"/>
      <c r="G2" s="28"/>
      <c r="H2" s="28"/>
      <c r="I2" s="28"/>
      <c r="J2" s="28"/>
      <c r="K2" s="28"/>
      <c r="L2" s="28"/>
      <c r="M2" s="28"/>
      <c r="N2" s="28"/>
      <c r="O2" s="28"/>
      <c r="P2" s="28"/>
      <c r="Q2" s="28"/>
      <c r="R2" s="28"/>
      <c r="S2" s="28"/>
      <c r="T2" s="28"/>
      <c r="U2" s="24"/>
    </row>
    <row r="3" spans="1:24" ht="20" x14ac:dyDescent="0.35">
      <c r="B3" s="64"/>
      <c r="C3" s="312" t="s">
        <v>285</v>
      </c>
      <c r="D3" s="313"/>
      <c r="E3" s="313"/>
      <c r="F3" s="313"/>
      <c r="G3" s="313"/>
      <c r="H3" s="313"/>
      <c r="I3" s="313"/>
      <c r="J3" s="313"/>
      <c r="K3" s="313"/>
      <c r="L3" s="313"/>
      <c r="M3" s="313"/>
      <c r="N3" s="313"/>
      <c r="O3" s="313"/>
      <c r="P3" s="313"/>
      <c r="Q3" s="313"/>
      <c r="R3" s="313"/>
      <c r="S3" s="313"/>
      <c r="T3" s="65"/>
      <c r="U3" s="66"/>
    </row>
    <row r="4" spans="1:24" ht="15.5" x14ac:dyDescent="0.35">
      <c r="B4" s="64"/>
      <c r="C4" s="67" t="s">
        <v>434</v>
      </c>
      <c r="D4" s="29"/>
      <c r="E4" s="29"/>
      <c r="F4" s="29"/>
      <c r="G4" s="29"/>
      <c r="H4" s="29"/>
      <c r="I4" s="29"/>
      <c r="J4" s="29"/>
      <c r="K4" s="29"/>
      <c r="L4" s="29"/>
      <c r="M4" s="29"/>
      <c r="N4" s="29"/>
      <c r="O4" s="29"/>
      <c r="P4" s="29"/>
      <c r="Q4" s="29"/>
      <c r="R4" s="29"/>
      <c r="S4" s="29"/>
      <c r="T4" s="29"/>
      <c r="U4" s="25"/>
    </row>
    <row r="5" spans="1:24" ht="20" x14ac:dyDescent="0.35">
      <c r="B5" s="64"/>
      <c r="C5" s="211" t="s">
        <v>435</v>
      </c>
      <c r="D5" s="316" t="s">
        <v>427</v>
      </c>
      <c r="E5" s="316"/>
      <c r="F5" s="29"/>
      <c r="G5" s="29"/>
      <c r="H5" s="29"/>
      <c r="I5" s="29"/>
      <c r="J5" s="29"/>
      <c r="K5" s="29"/>
      <c r="L5" s="29"/>
      <c r="M5" s="29"/>
      <c r="N5" s="29"/>
      <c r="O5" s="29"/>
      <c r="P5" s="29"/>
      <c r="Q5" s="29"/>
      <c r="R5" s="29"/>
      <c r="S5" s="29"/>
      <c r="T5" s="29"/>
      <c r="U5" s="25"/>
    </row>
    <row r="6" spans="1:24" x14ac:dyDescent="0.35">
      <c r="B6" s="64"/>
      <c r="C6" s="29"/>
      <c r="D6" s="29"/>
      <c r="E6" s="29"/>
      <c r="F6" s="29"/>
      <c r="G6" s="29"/>
      <c r="H6" s="29"/>
      <c r="I6" s="29"/>
      <c r="J6" s="29"/>
      <c r="K6" s="29"/>
      <c r="L6" s="29"/>
      <c r="M6" s="29"/>
      <c r="N6" s="29"/>
      <c r="O6" s="29"/>
      <c r="P6" s="29"/>
      <c r="Q6" s="29"/>
      <c r="R6" s="29"/>
      <c r="S6" s="29"/>
      <c r="T6" s="29"/>
      <c r="U6" s="25"/>
    </row>
    <row r="7" spans="1:24" ht="15.5" x14ac:dyDescent="0.35">
      <c r="B7" s="64"/>
      <c r="C7" s="68" t="s">
        <v>0</v>
      </c>
      <c r="D7" s="69" t="s">
        <v>1</v>
      </c>
      <c r="E7" s="70" t="s">
        <v>2</v>
      </c>
      <c r="F7" s="29"/>
      <c r="G7" s="29"/>
      <c r="H7" s="29"/>
      <c r="I7" s="29"/>
      <c r="J7" s="29"/>
      <c r="K7" s="29"/>
      <c r="L7" s="29"/>
      <c r="M7" s="29"/>
      <c r="N7" s="29"/>
      <c r="O7" s="29"/>
      <c r="P7" s="29"/>
      <c r="Q7" s="29"/>
      <c r="R7" s="29"/>
      <c r="S7" s="29"/>
      <c r="T7" s="29"/>
      <c r="U7" s="25"/>
      <c r="W7" s="39" t="s">
        <v>22</v>
      </c>
      <c r="X7" s="39" t="s">
        <v>2</v>
      </c>
    </row>
    <row r="8" spans="1:24" ht="15.5" x14ac:dyDescent="0.35">
      <c r="B8" s="64"/>
      <c r="C8" s="184" t="s">
        <v>245</v>
      </c>
      <c r="D8" s="340" t="s">
        <v>109</v>
      </c>
      <c r="E8" s="186">
        <v>0.15656</v>
      </c>
      <c r="F8" s="29"/>
      <c r="G8" s="29"/>
      <c r="H8" s="29"/>
      <c r="I8" s="29"/>
      <c r="J8" s="29"/>
      <c r="K8" s="29"/>
      <c r="L8" s="29"/>
      <c r="M8" s="29"/>
      <c r="N8" s="29"/>
      <c r="O8" s="29"/>
      <c r="P8" s="29"/>
      <c r="Q8" s="29"/>
      <c r="R8" s="29"/>
      <c r="S8" s="29"/>
      <c r="T8" s="29"/>
      <c r="U8" s="25"/>
      <c r="W8" s="173" t="s">
        <v>109</v>
      </c>
      <c r="X8" s="224">
        <v>0.75543900000000042</v>
      </c>
    </row>
    <row r="9" spans="1:24" ht="15.5" x14ac:dyDescent="0.35">
      <c r="B9" s="64"/>
      <c r="C9" s="180" t="s">
        <v>102</v>
      </c>
      <c r="D9" s="341" t="s">
        <v>109</v>
      </c>
      <c r="E9" s="188">
        <v>6.9414000000000003E-2</v>
      </c>
      <c r="F9" s="29"/>
      <c r="G9" s="29"/>
      <c r="H9" s="29"/>
      <c r="I9" s="29"/>
      <c r="J9" s="29"/>
      <c r="K9" s="29"/>
      <c r="L9" s="29"/>
      <c r="M9" s="29"/>
      <c r="N9" s="29"/>
      <c r="O9" s="29"/>
      <c r="P9" s="29"/>
      <c r="Q9" s="29"/>
      <c r="R9" s="29"/>
      <c r="S9" s="29"/>
      <c r="T9" s="29"/>
      <c r="U9" s="25"/>
      <c r="W9" s="173" t="s">
        <v>75</v>
      </c>
      <c r="X9" s="224">
        <v>0.23706199999999994</v>
      </c>
    </row>
    <row r="10" spans="1:24" ht="15.5" x14ac:dyDescent="0.35">
      <c r="B10" s="64"/>
      <c r="C10" s="180" t="s">
        <v>286</v>
      </c>
      <c r="D10" s="341" t="s">
        <v>75</v>
      </c>
      <c r="E10" s="188">
        <v>6.4171000000000006E-2</v>
      </c>
      <c r="F10" s="29"/>
      <c r="G10" s="29"/>
      <c r="H10" s="29"/>
      <c r="I10" s="29"/>
      <c r="J10" s="29"/>
      <c r="K10" s="29"/>
      <c r="L10" s="29"/>
      <c r="M10" s="29"/>
      <c r="N10" s="29"/>
      <c r="O10" s="29"/>
      <c r="P10" s="29"/>
      <c r="Q10" s="29"/>
      <c r="R10" s="29"/>
      <c r="S10" s="29"/>
      <c r="T10" s="29"/>
      <c r="U10" s="25"/>
      <c r="W10" s="173" t="s">
        <v>211</v>
      </c>
      <c r="X10" s="224">
        <v>8.2820000000000012E-3</v>
      </c>
    </row>
    <row r="11" spans="1:24" ht="15.5" x14ac:dyDescent="0.35">
      <c r="B11" s="64"/>
      <c r="C11" s="180" t="s">
        <v>287</v>
      </c>
      <c r="D11" s="341" t="s">
        <v>109</v>
      </c>
      <c r="E11" s="188">
        <v>6.1450999999999999E-2</v>
      </c>
      <c r="F11" s="29"/>
      <c r="G11" s="29"/>
      <c r="H11" s="29"/>
      <c r="I11" s="29"/>
      <c r="J11" s="29"/>
      <c r="K11" s="29"/>
      <c r="L11" s="29"/>
      <c r="M11" s="29"/>
      <c r="N11" s="29"/>
      <c r="O11" s="29"/>
      <c r="P11" s="29"/>
      <c r="Q11" s="29"/>
      <c r="R11" s="29"/>
      <c r="S11" s="29"/>
      <c r="T11" s="29"/>
      <c r="U11" s="25"/>
      <c r="W11" s="173"/>
      <c r="X11" s="224"/>
    </row>
    <row r="12" spans="1:24" ht="15.5" x14ac:dyDescent="0.35">
      <c r="B12" s="64"/>
      <c r="C12" s="180" t="s">
        <v>140</v>
      </c>
      <c r="D12" s="341" t="s">
        <v>109</v>
      </c>
      <c r="E12" s="188">
        <v>5.7090000000000002E-2</v>
      </c>
      <c r="F12" s="29"/>
      <c r="G12" s="29"/>
      <c r="H12" s="29"/>
      <c r="I12" s="29"/>
      <c r="J12" s="29"/>
      <c r="K12" s="29"/>
      <c r="L12" s="29"/>
      <c r="M12" s="29"/>
      <c r="N12" s="29"/>
      <c r="O12" s="29"/>
      <c r="P12" s="29"/>
      <c r="Q12" s="29"/>
      <c r="R12" s="29"/>
      <c r="S12" s="29"/>
      <c r="T12" s="29"/>
      <c r="U12" s="25"/>
      <c r="W12" s="173"/>
      <c r="X12" s="224"/>
    </row>
    <row r="13" spans="1:24" ht="15.5" x14ac:dyDescent="0.35">
      <c r="B13" s="64"/>
      <c r="C13" s="180" t="s">
        <v>281</v>
      </c>
      <c r="D13" s="341" t="s">
        <v>75</v>
      </c>
      <c r="E13" s="188">
        <v>5.5500000000000001E-2</v>
      </c>
      <c r="F13" s="29"/>
      <c r="G13" s="29"/>
      <c r="H13" s="29"/>
      <c r="I13" s="29"/>
      <c r="J13" s="29"/>
      <c r="K13" s="29"/>
      <c r="L13" s="29"/>
      <c r="M13" s="29"/>
      <c r="N13" s="29"/>
      <c r="O13" s="29"/>
      <c r="P13" s="29"/>
      <c r="Q13" s="29"/>
      <c r="R13" s="29"/>
      <c r="S13" s="29"/>
      <c r="T13" s="29"/>
      <c r="U13" s="25"/>
      <c r="W13" s="173"/>
      <c r="X13" s="224"/>
    </row>
    <row r="14" spans="1:24" ht="15.5" x14ac:dyDescent="0.35">
      <c r="B14" s="64"/>
      <c r="C14" s="180" t="s">
        <v>288</v>
      </c>
      <c r="D14" s="341" t="s">
        <v>109</v>
      </c>
      <c r="E14" s="188">
        <v>4.0155000000000003E-2</v>
      </c>
      <c r="F14" s="29"/>
      <c r="G14" s="29"/>
      <c r="H14" s="29"/>
      <c r="I14" s="29"/>
      <c r="J14" s="29"/>
      <c r="K14" s="29"/>
      <c r="L14" s="29"/>
      <c r="M14" s="29"/>
      <c r="N14" s="29"/>
      <c r="O14" s="29"/>
      <c r="P14" s="29"/>
      <c r="Q14" s="29"/>
      <c r="R14" s="29"/>
      <c r="S14" s="29"/>
      <c r="T14" s="29"/>
      <c r="U14" s="25"/>
      <c r="W14" s="173"/>
      <c r="X14" s="224"/>
    </row>
    <row r="15" spans="1:24" ht="15.5" x14ac:dyDescent="0.35">
      <c r="B15" s="64"/>
      <c r="C15" s="180" t="s">
        <v>289</v>
      </c>
      <c r="D15" s="341" t="s">
        <v>75</v>
      </c>
      <c r="E15" s="188">
        <v>2.8339E-2</v>
      </c>
      <c r="F15" s="29"/>
      <c r="G15" s="29"/>
      <c r="H15" s="29"/>
      <c r="I15" s="29"/>
      <c r="J15" s="29"/>
      <c r="K15" s="29"/>
      <c r="L15" s="29"/>
      <c r="M15" s="29"/>
      <c r="N15" s="29"/>
      <c r="O15" s="29"/>
      <c r="P15" s="29"/>
      <c r="Q15" s="29"/>
      <c r="R15" s="29"/>
      <c r="S15" s="29"/>
      <c r="T15" s="29"/>
      <c r="U15" s="25"/>
      <c r="W15" s="173"/>
      <c r="X15" s="224"/>
    </row>
    <row r="16" spans="1:24" ht="15.5" x14ac:dyDescent="0.35">
      <c r="B16" s="64"/>
      <c r="C16" s="180" t="s">
        <v>264</v>
      </c>
      <c r="D16" s="341" t="s">
        <v>109</v>
      </c>
      <c r="E16" s="188">
        <v>2.7546999999999999E-2</v>
      </c>
      <c r="F16" s="29"/>
      <c r="G16" s="29"/>
      <c r="H16" s="29"/>
      <c r="I16" s="29"/>
      <c r="J16" s="29"/>
      <c r="K16" s="29"/>
      <c r="L16" s="29"/>
      <c r="M16" s="29"/>
      <c r="N16" s="29"/>
      <c r="O16" s="29"/>
      <c r="P16" s="29"/>
      <c r="Q16" s="29"/>
      <c r="R16" s="29"/>
      <c r="S16" s="29"/>
      <c r="T16" s="29"/>
      <c r="U16" s="25"/>
      <c r="W16" s="173"/>
      <c r="X16" s="224"/>
    </row>
    <row r="17" spans="2:24" ht="15.5" x14ac:dyDescent="0.35">
      <c r="B17" s="64"/>
      <c r="C17" s="180" t="s">
        <v>266</v>
      </c>
      <c r="D17" s="341" t="s">
        <v>109</v>
      </c>
      <c r="E17" s="188">
        <v>2.7158000000000002E-2</v>
      </c>
      <c r="F17" s="29"/>
      <c r="G17" s="29"/>
      <c r="H17" s="29"/>
      <c r="I17" s="29"/>
      <c r="J17" s="29"/>
      <c r="K17" s="29"/>
      <c r="L17" s="29"/>
      <c r="M17" s="29"/>
      <c r="N17" s="29"/>
      <c r="O17" s="29"/>
      <c r="P17" s="29"/>
      <c r="Q17" s="29"/>
      <c r="R17" s="29"/>
      <c r="S17" s="29"/>
      <c r="T17" s="29"/>
      <c r="U17" s="25"/>
      <c r="W17" s="173"/>
      <c r="X17" s="224"/>
    </row>
    <row r="18" spans="2:24" ht="15.5" x14ac:dyDescent="0.35">
      <c r="B18" s="64"/>
      <c r="C18" s="180" t="s">
        <v>205</v>
      </c>
      <c r="D18" s="341" t="s">
        <v>109</v>
      </c>
      <c r="E18" s="188">
        <v>2.1753000000000002E-2</v>
      </c>
      <c r="F18" s="29"/>
      <c r="G18" s="29"/>
      <c r="H18" s="29"/>
      <c r="I18" s="29"/>
      <c r="J18" s="29"/>
      <c r="K18" s="29"/>
      <c r="L18" s="29"/>
      <c r="M18" s="29"/>
      <c r="N18" s="29"/>
      <c r="O18" s="29"/>
      <c r="P18" s="29"/>
      <c r="Q18" s="29"/>
      <c r="R18" s="29"/>
      <c r="S18" s="29"/>
      <c r="T18" s="29"/>
      <c r="U18" s="25"/>
      <c r="W18" s="173"/>
      <c r="X18" s="224"/>
    </row>
    <row r="19" spans="2:24" ht="15.5" x14ac:dyDescent="0.35">
      <c r="B19" s="64"/>
      <c r="C19" s="180" t="s">
        <v>249</v>
      </c>
      <c r="D19" s="341" t="s">
        <v>109</v>
      </c>
      <c r="E19" s="188">
        <v>2.1298999999999998E-2</v>
      </c>
      <c r="F19" s="29"/>
      <c r="G19" s="29"/>
      <c r="H19" s="29"/>
      <c r="I19" s="29"/>
      <c r="J19" s="29"/>
      <c r="K19" s="29"/>
      <c r="L19" s="29"/>
      <c r="M19" s="29"/>
      <c r="N19" s="29"/>
      <c r="O19" s="29"/>
      <c r="P19" s="29"/>
      <c r="Q19" s="29"/>
      <c r="R19" s="29"/>
      <c r="S19" s="29"/>
      <c r="T19" s="29"/>
      <c r="U19" s="25"/>
      <c r="W19" s="173"/>
      <c r="X19" s="224"/>
    </row>
    <row r="20" spans="2:24" ht="15.5" x14ac:dyDescent="0.35">
      <c r="B20" s="64"/>
      <c r="C20" s="180" t="s">
        <v>303</v>
      </c>
      <c r="D20" s="341" t="s">
        <v>109</v>
      </c>
      <c r="E20" s="188">
        <v>1.8575000000000001E-2</v>
      </c>
      <c r="F20" s="29"/>
      <c r="G20" s="29"/>
      <c r="H20" s="29"/>
      <c r="I20" s="29"/>
      <c r="J20" s="29"/>
      <c r="K20" s="29"/>
      <c r="L20" s="29"/>
      <c r="M20" s="29"/>
      <c r="N20" s="29"/>
      <c r="O20" s="29"/>
      <c r="P20" s="29"/>
      <c r="Q20" s="29"/>
      <c r="R20" s="29"/>
      <c r="S20" s="29"/>
      <c r="T20" s="29"/>
      <c r="U20" s="25"/>
      <c r="W20" s="173"/>
      <c r="X20" s="224"/>
    </row>
    <row r="21" spans="2:24" ht="15.5" x14ac:dyDescent="0.35">
      <c r="B21" s="64"/>
      <c r="C21" s="180" t="s">
        <v>233</v>
      </c>
      <c r="D21" s="341" t="s">
        <v>109</v>
      </c>
      <c r="E21" s="188">
        <v>1.6358000000000001E-2</v>
      </c>
      <c r="F21" s="29"/>
      <c r="G21" s="29"/>
      <c r="H21" s="29"/>
      <c r="I21" s="29"/>
      <c r="J21" s="29"/>
      <c r="K21" s="29"/>
      <c r="L21" s="29"/>
      <c r="M21" s="29"/>
      <c r="N21" s="29"/>
      <c r="O21" s="29"/>
      <c r="P21" s="29"/>
      <c r="Q21" s="29"/>
      <c r="R21" s="29"/>
      <c r="S21" s="29"/>
      <c r="T21" s="29"/>
      <c r="U21" s="25"/>
      <c r="W21" s="173"/>
      <c r="X21" s="224"/>
    </row>
    <row r="22" spans="2:24" ht="15.5" x14ac:dyDescent="0.35">
      <c r="B22" s="64"/>
      <c r="C22" s="180" t="s">
        <v>290</v>
      </c>
      <c r="D22" s="341" t="s">
        <v>109</v>
      </c>
      <c r="E22" s="343">
        <v>1.7694000000000001E-2</v>
      </c>
      <c r="F22" s="29"/>
      <c r="G22" s="29"/>
      <c r="H22" s="29"/>
      <c r="I22" s="29"/>
      <c r="J22" s="29"/>
      <c r="K22" s="29"/>
      <c r="L22" s="29"/>
      <c r="M22" s="29"/>
      <c r="N22" s="29"/>
      <c r="O22" s="29"/>
      <c r="P22" s="29"/>
      <c r="Q22" s="29"/>
      <c r="R22" s="29"/>
      <c r="S22" s="29"/>
      <c r="T22" s="29"/>
      <c r="U22" s="25"/>
      <c r="W22" s="173"/>
      <c r="X22" s="224"/>
    </row>
    <row r="23" spans="2:24" ht="15.5" x14ac:dyDescent="0.35">
      <c r="B23" s="64"/>
      <c r="C23" s="71"/>
      <c r="D23" s="71"/>
      <c r="E23" s="72"/>
      <c r="F23" s="29"/>
      <c r="G23" s="29"/>
      <c r="H23" s="29"/>
      <c r="I23" s="29"/>
      <c r="J23" s="29"/>
      <c r="K23" s="29"/>
      <c r="L23" s="29"/>
      <c r="M23" s="29"/>
      <c r="N23" s="29"/>
      <c r="O23" s="29"/>
      <c r="P23" s="29"/>
      <c r="Q23" s="29"/>
      <c r="R23" s="29"/>
      <c r="S23" s="29"/>
      <c r="T23" s="29"/>
      <c r="U23" s="25"/>
      <c r="W23" s="173"/>
      <c r="X23" s="224"/>
    </row>
    <row r="24" spans="2:24" ht="15.5" x14ac:dyDescent="0.35">
      <c r="B24" s="64"/>
      <c r="C24" s="73" t="s">
        <v>55</v>
      </c>
      <c r="D24" s="74"/>
      <c r="E24" s="75">
        <f>SUM(E8:E22)</f>
        <v>0.683064</v>
      </c>
      <c r="F24" s="29"/>
      <c r="G24" s="29"/>
      <c r="H24" s="29"/>
      <c r="I24" s="29"/>
      <c r="J24" s="29"/>
      <c r="K24" s="29"/>
      <c r="L24" s="29"/>
      <c r="M24" s="29"/>
      <c r="N24" s="29"/>
      <c r="O24" s="29"/>
      <c r="P24" s="29"/>
      <c r="Q24" s="29"/>
      <c r="R24" s="29"/>
      <c r="S24" s="29"/>
      <c r="T24" s="29"/>
      <c r="U24" s="25"/>
      <c r="W24" s="173"/>
      <c r="X24" s="224"/>
    </row>
    <row r="25" spans="2:24" x14ac:dyDescent="0.35">
      <c r="B25" s="64"/>
      <c r="C25" s="29"/>
      <c r="D25" s="29"/>
      <c r="E25" s="29"/>
      <c r="F25" s="29"/>
      <c r="G25" s="29"/>
      <c r="H25" s="29"/>
      <c r="I25" s="29"/>
      <c r="J25" s="29"/>
      <c r="K25" s="29"/>
      <c r="L25" s="29"/>
      <c r="M25" s="29"/>
      <c r="N25" s="29"/>
      <c r="O25" s="29"/>
      <c r="P25" s="29"/>
      <c r="Q25" s="29"/>
      <c r="R25" s="29"/>
      <c r="S25" s="29"/>
      <c r="T25" s="29"/>
      <c r="U25" s="25"/>
      <c r="W25" s="173"/>
      <c r="X25" s="224"/>
    </row>
    <row r="26" spans="2:24" x14ac:dyDescent="0.35">
      <c r="B26" s="64"/>
      <c r="C26" s="29"/>
      <c r="D26" s="29"/>
      <c r="E26" s="29"/>
      <c r="F26" s="29"/>
      <c r="G26" s="29"/>
      <c r="H26" s="29"/>
      <c r="I26" s="29"/>
      <c r="J26" s="29"/>
      <c r="K26" s="29"/>
      <c r="L26" s="29"/>
      <c r="M26" s="29"/>
      <c r="N26" s="29"/>
      <c r="O26" s="29"/>
      <c r="P26" s="29"/>
      <c r="Q26" s="29"/>
      <c r="R26" s="29"/>
      <c r="S26" s="29"/>
      <c r="T26" s="29"/>
      <c r="U26" s="25"/>
      <c r="W26" s="173"/>
      <c r="X26" s="224"/>
    </row>
    <row r="27" spans="2:24" x14ac:dyDescent="0.35">
      <c r="B27" s="64"/>
      <c r="C27" s="29"/>
      <c r="D27" s="29"/>
      <c r="E27" s="29"/>
      <c r="F27" s="29"/>
      <c r="G27" s="29"/>
      <c r="H27" s="29"/>
      <c r="I27" s="29"/>
      <c r="J27" s="29"/>
      <c r="K27" s="29"/>
      <c r="L27" s="29"/>
      <c r="M27" s="29"/>
      <c r="N27" s="29"/>
      <c r="O27" s="29"/>
      <c r="P27" s="29"/>
      <c r="Q27" s="29"/>
      <c r="R27" s="29"/>
      <c r="S27" s="29"/>
      <c r="T27" s="29"/>
      <c r="U27" s="25"/>
      <c r="W27" s="61"/>
      <c r="X27" s="62"/>
    </row>
    <row r="28" spans="2:24" x14ac:dyDescent="0.35">
      <c r="B28" s="64"/>
      <c r="C28" s="29"/>
      <c r="D28" s="29"/>
      <c r="E28" s="29"/>
      <c r="F28" s="29"/>
      <c r="G28" s="29"/>
      <c r="H28" s="29"/>
      <c r="I28" s="29"/>
      <c r="J28" s="29"/>
      <c r="K28" s="29"/>
      <c r="L28" s="29"/>
      <c r="M28" s="29"/>
      <c r="N28" s="29"/>
      <c r="O28" s="29"/>
      <c r="P28" s="29"/>
      <c r="Q28" s="29"/>
      <c r="R28" s="29"/>
      <c r="S28" s="29"/>
      <c r="T28" s="29"/>
      <c r="U28" s="25"/>
      <c r="W28" s="61"/>
      <c r="X28" s="62"/>
    </row>
    <row r="29" spans="2:24" x14ac:dyDescent="0.35">
      <c r="B29" s="64"/>
      <c r="C29" s="29"/>
      <c r="D29" s="29"/>
      <c r="E29" s="29"/>
      <c r="F29" s="29"/>
      <c r="G29" s="29"/>
      <c r="H29" s="29"/>
      <c r="I29" s="29"/>
      <c r="J29" s="29"/>
      <c r="K29" s="29"/>
      <c r="L29" s="29"/>
      <c r="M29" s="29"/>
      <c r="N29" s="29"/>
      <c r="O29" s="29"/>
      <c r="P29" s="29"/>
      <c r="Q29" s="29"/>
      <c r="R29" s="29"/>
      <c r="S29" s="29"/>
      <c r="T29" s="29"/>
      <c r="U29" s="25"/>
      <c r="W29" s="61"/>
      <c r="X29" s="62"/>
    </row>
    <row r="30" spans="2:24" x14ac:dyDescent="0.35">
      <c r="B30" s="64"/>
      <c r="C30" s="29"/>
      <c r="D30" s="29"/>
      <c r="E30" s="29"/>
      <c r="F30" s="29"/>
      <c r="G30" s="29"/>
      <c r="H30" s="29"/>
      <c r="I30" s="29"/>
      <c r="J30" s="29"/>
      <c r="K30" s="29"/>
      <c r="L30" s="29"/>
      <c r="M30" s="29"/>
      <c r="N30" s="29"/>
      <c r="O30" s="29"/>
      <c r="P30" s="29"/>
      <c r="Q30" s="29"/>
      <c r="R30" s="29"/>
      <c r="S30" s="29"/>
      <c r="T30" s="29"/>
      <c r="U30" s="25"/>
      <c r="W30" s="61"/>
      <c r="X30" s="62"/>
    </row>
    <row r="31" spans="2:24" x14ac:dyDescent="0.35">
      <c r="B31" s="64"/>
      <c r="C31" s="29"/>
      <c r="D31" s="29"/>
      <c r="E31" s="29"/>
      <c r="F31" s="29"/>
      <c r="G31" s="29"/>
      <c r="H31" s="29"/>
      <c r="I31" s="29"/>
      <c r="J31" s="29"/>
      <c r="K31" s="29"/>
      <c r="L31" s="29"/>
      <c r="M31" s="29"/>
      <c r="N31" s="29"/>
      <c r="O31" s="29"/>
      <c r="P31" s="29"/>
      <c r="Q31" s="29"/>
      <c r="R31" s="29"/>
      <c r="S31" s="29"/>
      <c r="T31" s="29"/>
      <c r="U31" s="25"/>
      <c r="W31" s="61"/>
      <c r="X31" s="62"/>
    </row>
    <row r="32" spans="2:24" x14ac:dyDescent="0.35">
      <c r="B32" s="64"/>
      <c r="C32" s="29"/>
      <c r="D32" s="29"/>
      <c r="E32" s="29"/>
      <c r="F32" s="29"/>
      <c r="G32" s="29"/>
      <c r="H32" s="29"/>
      <c r="I32" s="29"/>
      <c r="J32" s="29"/>
      <c r="K32" s="29"/>
      <c r="L32" s="29"/>
      <c r="M32" s="29"/>
      <c r="N32" s="29"/>
      <c r="O32" s="29"/>
      <c r="P32" s="29"/>
      <c r="Q32" s="29"/>
      <c r="R32" s="29"/>
      <c r="S32" s="29"/>
      <c r="T32" s="29"/>
      <c r="U32" s="25"/>
      <c r="W32" s="61"/>
      <c r="X32" s="62"/>
    </row>
    <row r="33" spans="2:24" x14ac:dyDescent="0.35">
      <c r="B33" s="64"/>
      <c r="C33" s="29"/>
      <c r="D33" s="29"/>
      <c r="E33" s="29"/>
      <c r="F33" s="29"/>
      <c r="G33" s="29"/>
      <c r="H33" s="29"/>
      <c r="I33" s="29"/>
      <c r="J33" s="29"/>
      <c r="K33" s="29"/>
      <c r="L33" s="29"/>
      <c r="M33" s="29"/>
      <c r="N33" s="29"/>
      <c r="O33" s="29"/>
      <c r="P33" s="29"/>
      <c r="Q33" s="29"/>
      <c r="R33" s="29"/>
      <c r="S33" s="29"/>
      <c r="T33" s="29"/>
      <c r="U33" s="25"/>
      <c r="W33" s="61"/>
      <c r="X33" s="62"/>
    </row>
    <row r="34" spans="2:24" x14ac:dyDescent="0.35">
      <c r="B34" s="64"/>
      <c r="C34" s="29"/>
      <c r="D34" s="29"/>
      <c r="E34" s="29"/>
      <c r="F34" s="29"/>
      <c r="G34" s="29"/>
      <c r="H34" s="29"/>
      <c r="I34" s="29"/>
      <c r="J34" s="29"/>
      <c r="K34" s="29"/>
      <c r="L34" s="29"/>
      <c r="M34" s="29"/>
      <c r="N34" s="29"/>
      <c r="O34" s="29"/>
      <c r="P34" s="29"/>
      <c r="Q34" s="29"/>
      <c r="R34" s="29"/>
      <c r="S34" s="29"/>
      <c r="T34" s="29"/>
      <c r="U34" s="25"/>
      <c r="W34" s="61"/>
      <c r="X34" s="62"/>
    </row>
    <row r="35" spans="2:24" x14ac:dyDescent="0.35">
      <c r="B35" s="64"/>
      <c r="C35" s="29"/>
      <c r="D35" s="29"/>
      <c r="E35" s="29"/>
      <c r="F35" s="29"/>
      <c r="G35" s="29"/>
      <c r="H35" s="29"/>
      <c r="I35" s="29"/>
      <c r="J35" s="29"/>
      <c r="K35" s="29"/>
      <c r="L35" s="29"/>
      <c r="M35" s="29"/>
      <c r="N35" s="29"/>
      <c r="O35" s="29"/>
      <c r="P35" s="29"/>
      <c r="Q35" s="29"/>
      <c r="R35" s="29"/>
      <c r="S35" s="29"/>
      <c r="T35" s="29"/>
      <c r="U35" s="25"/>
      <c r="W35" s="61"/>
      <c r="X35" s="62"/>
    </row>
    <row r="36" spans="2:24" x14ac:dyDescent="0.35">
      <c r="B36" s="64"/>
      <c r="C36" s="29"/>
      <c r="D36" s="29"/>
      <c r="E36" s="29"/>
      <c r="F36" s="29"/>
      <c r="G36" s="29"/>
      <c r="H36" s="29"/>
      <c r="I36" s="29"/>
      <c r="J36" s="29"/>
      <c r="K36" s="29"/>
      <c r="L36" s="29"/>
      <c r="M36" s="29"/>
      <c r="N36" s="29"/>
      <c r="O36" s="29"/>
      <c r="P36" s="29"/>
      <c r="Q36" s="29"/>
      <c r="R36" s="29"/>
      <c r="S36" s="29"/>
      <c r="T36" s="29"/>
      <c r="U36" s="25"/>
      <c r="W36" s="61"/>
      <c r="X36" s="62"/>
    </row>
    <row r="37" spans="2:24" ht="15" thickBot="1" x14ac:dyDescent="0.4">
      <c r="B37" s="76"/>
      <c r="C37" s="30"/>
      <c r="D37" s="30"/>
      <c r="E37" s="30"/>
      <c r="F37" s="30"/>
      <c r="G37" s="30"/>
      <c r="H37" s="30"/>
      <c r="I37" s="30"/>
      <c r="J37" s="30"/>
      <c r="K37" s="30"/>
      <c r="L37" s="30"/>
      <c r="M37" s="30"/>
      <c r="N37" s="30"/>
      <c r="O37" s="30"/>
      <c r="P37" s="30"/>
      <c r="Q37" s="30"/>
      <c r="R37" s="30"/>
      <c r="S37" s="30"/>
      <c r="T37" s="30"/>
      <c r="U37" s="26"/>
      <c r="W37" s="61"/>
      <c r="X37" s="62"/>
    </row>
    <row r="38" spans="2:24" ht="15" thickBot="1" x14ac:dyDescent="0.4">
      <c r="W38" s="61"/>
      <c r="X38" s="62"/>
    </row>
    <row r="39" spans="2:24" x14ac:dyDescent="0.35">
      <c r="B39" s="303" t="s">
        <v>179</v>
      </c>
      <c r="C39" s="304"/>
      <c r="D39" s="304"/>
      <c r="E39" s="304"/>
      <c r="F39" s="304"/>
      <c r="G39" s="304"/>
      <c r="H39" s="304"/>
      <c r="I39" s="304"/>
      <c r="J39" s="304"/>
      <c r="K39" s="304"/>
      <c r="L39" s="304"/>
      <c r="M39" s="304"/>
      <c r="N39" s="304"/>
      <c r="O39" s="304"/>
      <c r="P39" s="304"/>
      <c r="Q39" s="304"/>
      <c r="R39" s="305"/>
      <c r="W39" s="61"/>
      <c r="X39" s="62"/>
    </row>
    <row r="40" spans="2:24" x14ac:dyDescent="0.35">
      <c r="B40" s="306"/>
      <c r="C40" s="307"/>
      <c r="D40" s="307"/>
      <c r="E40" s="307"/>
      <c r="F40" s="307"/>
      <c r="G40" s="307"/>
      <c r="H40" s="307"/>
      <c r="I40" s="307"/>
      <c r="J40" s="307"/>
      <c r="K40" s="307"/>
      <c r="L40" s="307"/>
      <c r="M40" s="307"/>
      <c r="N40" s="307"/>
      <c r="O40" s="307"/>
      <c r="P40" s="307"/>
      <c r="Q40" s="307"/>
      <c r="R40" s="308"/>
      <c r="W40" s="61"/>
      <c r="X40" s="62"/>
    </row>
    <row r="41" spans="2:24" x14ac:dyDescent="0.35">
      <c r="B41" s="306"/>
      <c r="C41" s="307"/>
      <c r="D41" s="307"/>
      <c r="E41" s="307"/>
      <c r="F41" s="307"/>
      <c r="G41" s="307"/>
      <c r="H41" s="307"/>
      <c r="I41" s="307"/>
      <c r="J41" s="307"/>
      <c r="K41" s="307"/>
      <c r="L41" s="307"/>
      <c r="M41" s="307"/>
      <c r="N41" s="307"/>
      <c r="O41" s="307"/>
      <c r="P41" s="307"/>
      <c r="Q41" s="307"/>
      <c r="R41" s="308"/>
      <c r="W41" s="61"/>
      <c r="X41" s="62"/>
    </row>
    <row r="42" spans="2:24" x14ac:dyDescent="0.35">
      <c r="B42" s="306"/>
      <c r="C42" s="307"/>
      <c r="D42" s="307"/>
      <c r="E42" s="307"/>
      <c r="F42" s="307"/>
      <c r="G42" s="307"/>
      <c r="H42" s="307"/>
      <c r="I42" s="307"/>
      <c r="J42" s="307"/>
      <c r="K42" s="307"/>
      <c r="L42" s="307"/>
      <c r="M42" s="307"/>
      <c r="N42" s="307"/>
      <c r="O42" s="307"/>
      <c r="P42" s="307"/>
      <c r="Q42" s="307"/>
      <c r="R42" s="308"/>
      <c r="W42" s="61"/>
      <c r="X42" s="62"/>
    </row>
    <row r="43" spans="2:24" x14ac:dyDescent="0.35">
      <c r="B43" s="306"/>
      <c r="C43" s="307"/>
      <c r="D43" s="307"/>
      <c r="E43" s="307"/>
      <c r="F43" s="307"/>
      <c r="G43" s="307"/>
      <c r="H43" s="307"/>
      <c r="I43" s="307"/>
      <c r="J43" s="307"/>
      <c r="K43" s="307"/>
      <c r="L43" s="307"/>
      <c r="M43" s="307"/>
      <c r="N43" s="307"/>
      <c r="O43" s="307"/>
      <c r="P43" s="307"/>
      <c r="Q43" s="307"/>
      <c r="R43" s="308"/>
      <c r="W43" s="61"/>
      <c r="X43" s="62"/>
    </row>
    <row r="44" spans="2:24" x14ac:dyDescent="0.35">
      <c r="B44" s="306"/>
      <c r="C44" s="307"/>
      <c r="D44" s="307"/>
      <c r="E44" s="307"/>
      <c r="F44" s="307"/>
      <c r="G44" s="307"/>
      <c r="H44" s="307"/>
      <c r="I44" s="307"/>
      <c r="J44" s="307"/>
      <c r="K44" s="307"/>
      <c r="L44" s="307"/>
      <c r="M44" s="307"/>
      <c r="N44" s="307"/>
      <c r="O44" s="307"/>
      <c r="P44" s="307"/>
      <c r="Q44" s="307"/>
      <c r="R44" s="308"/>
      <c r="W44" s="61"/>
      <c r="X44" s="62"/>
    </row>
    <row r="45" spans="2:24" ht="15" thickBot="1" x14ac:dyDescent="0.4">
      <c r="B45" s="309"/>
      <c r="C45" s="310"/>
      <c r="D45" s="310"/>
      <c r="E45" s="310"/>
      <c r="F45" s="310"/>
      <c r="G45" s="310"/>
      <c r="H45" s="310"/>
      <c r="I45" s="310"/>
      <c r="J45" s="310"/>
      <c r="K45" s="310"/>
      <c r="L45" s="310"/>
      <c r="M45" s="310"/>
      <c r="N45" s="310"/>
      <c r="O45" s="310"/>
      <c r="P45" s="310"/>
      <c r="Q45" s="310"/>
      <c r="R45" s="311"/>
      <c r="W45" s="61"/>
      <c r="X45" s="62"/>
    </row>
    <row r="46" spans="2:24" x14ac:dyDescent="0.35">
      <c r="W46" s="61"/>
      <c r="X46" s="62"/>
    </row>
    <row r="47" spans="2:24" x14ac:dyDescent="0.35">
      <c r="W47" s="61"/>
      <c r="X47" s="62"/>
    </row>
    <row r="48" spans="2:24" x14ac:dyDescent="0.35">
      <c r="W48" s="61"/>
      <c r="X48" s="62"/>
    </row>
    <row r="49" spans="23:24" x14ac:dyDescent="0.35">
      <c r="W49" s="61"/>
      <c r="X49" s="62"/>
    </row>
    <row r="50" spans="23:24" x14ac:dyDescent="0.35">
      <c r="W50" s="61"/>
      <c r="X50" s="62"/>
    </row>
    <row r="51" spans="23:24" x14ac:dyDescent="0.35">
      <c r="W51" s="61"/>
      <c r="X51" s="62"/>
    </row>
    <row r="52" spans="23:24" x14ac:dyDescent="0.35">
      <c r="W52" s="61"/>
      <c r="X52" s="62"/>
    </row>
    <row r="53" spans="23:24" x14ac:dyDescent="0.35">
      <c r="W53" s="61"/>
      <c r="X53" s="62"/>
    </row>
    <row r="54" spans="23:24" x14ac:dyDescent="0.35">
      <c r="W54" s="61"/>
      <c r="X54" s="62"/>
    </row>
    <row r="55" spans="23:24" x14ac:dyDescent="0.35">
      <c r="W55" s="61"/>
      <c r="X55" s="62"/>
    </row>
    <row r="56" spans="23:24" x14ac:dyDescent="0.35">
      <c r="W56" s="61"/>
      <c r="X56" s="62"/>
    </row>
    <row r="57" spans="23:24" x14ac:dyDescent="0.35">
      <c r="W57" s="61"/>
      <c r="X57" s="62"/>
    </row>
    <row r="58" spans="23:24" x14ac:dyDescent="0.35">
      <c r="W58" s="61"/>
      <c r="X58" s="62"/>
    </row>
    <row r="59" spans="23:24" x14ac:dyDescent="0.35">
      <c r="W59" s="61"/>
      <c r="X59" s="62"/>
    </row>
    <row r="60" spans="23:24" x14ac:dyDescent="0.35">
      <c r="W60" s="61"/>
      <c r="X60" s="62"/>
    </row>
    <row r="61" spans="23:24" x14ac:dyDescent="0.35">
      <c r="W61" s="61"/>
      <c r="X61" s="62"/>
    </row>
    <row r="62" spans="23:24" x14ac:dyDescent="0.35">
      <c r="W62" s="61"/>
      <c r="X62" s="62"/>
    </row>
    <row r="63" spans="23:24" x14ac:dyDescent="0.35">
      <c r="W63" s="61"/>
      <c r="X63" s="62"/>
    </row>
  </sheetData>
  <mergeCells count="3">
    <mergeCell ref="C3:S3"/>
    <mergeCell ref="D5:E5"/>
    <mergeCell ref="B39:R45"/>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27DD12-A1E7-4FEE-9AE6-6086814FAD90}">
  <sheetPr codeName="Sheet37"/>
  <dimension ref="A1:X63"/>
  <sheetViews>
    <sheetView showGridLines="0" zoomScale="77" zoomScaleNormal="75" workbookViewId="0"/>
  </sheetViews>
  <sheetFormatPr defaultColWidth="9.1796875" defaultRowHeight="14.5" x14ac:dyDescent="0.35"/>
  <cols>
    <col min="1" max="1" width="2.81640625" style="19" customWidth="1"/>
    <col min="2" max="2" width="3.81640625" style="19" customWidth="1"/>
    <col min="3" max="3" width="59.7265625" style="19" bestFit="1" customWidth="1"/>
    <col min="4" max="4" width="35.54296875" style="19" customWidth="1"/>
    <col min="5" max="5" width="10.453125" style="19" bestFit="1" customWidth="1"/>
    <col min="6" max="18" width="9.1796875" style="19"/>
    <col min="19" max="19" width="9.81640625" style="19" customWidth="1"/>
    <col min="20" max="22" width="9.1796875" style="19"/>
    <col min="23" max="23" width="31.453125" style="19" bestFit="1" customWidth="1"/>
    <col min="24" max="16384" width="9.1796875" style="19"/>
  </cols>
  <sheetData>
    <row r="1" spans="1:24" ht="16" thickBot="1" x14ac:dyDescent="0.4">
      <c r="A1" s="3"/>
    </row>
    <row r="2" spans="1:24" x14ac:dyDescent="0.35">
      <c r="B2" s="63"/>
      <c r="C2" s="28"/>
      <c r="D2" s="28"/>
      <c r="E2" s="28"/>
      <c r="F2" s="28"/>
      <c r="G2" s="28"/>
      <c r="H2" s="28"/>
      <c r="I2" s="28"/>
      <c r="J2" s="28"/>
      <c r="K2" s="28"/>
      <c r="L2" s="28"/>
      <c r="M2" s="28"/>
      <c r="N2" s="28"/>
      <c r="O2" s="28"/>
      <c r="P2" s="28"/>
      <c r="Q2" s="28"/>
      <c r="R2" s="28"/>
      <c r="S2" s="28"/>
      <c r="T2" s="28"/>
      <c r="U2" s="24"/>
    </row>
    <row r="3" spans="1:24" ht="20" x14ac:dyDescent="0.35">
      <c r="B3" s="64"/>
      <c r="C3" s="312" t="s">
        <v>291</v>
      </c>
      <c r="D3" s="313"/>
      <c r="E3" s="313"/>
      <c r="F3" s="313"/>
      <c r="G3" s="313"/>
      <c r="H3" s="313"/>
      <c r="I3" s="313"/>
      <c r="J3" s="313"/>
      <c r="K3" s="313"/>
      <c r="L3" s="313"/>
      <c r="M3" s="313"/>
      <c r="N3" s="313"/>
      <c r="O3" s="313"/>
      <c r="P3" s="313"/>
      <c r="Q3" s="313"/>
      <c r="R3" s="313"/>
      <c r="S3" s="313"/>
      <c r="T3" s="65"/>
      <c r="U3" s="66"/>
    </row>
    <row r="4" spans="1:24" ht="15.5" x14ac:dyDescent="0.35">
      <c r="B4" s="64"/>
      <c r="C4" s="67" t="s">
        <v>434</v>
      </c>
      <c r="D4" s="29"/>
      <c r="E4" s="29"/>
      <c r="F4" s="29"/>
      <c r="G4" s="29"/>
      <c r="H4" s="29"/>
      <c r="I4" s="29"/>
      <c r="J4" s="29"/>
      <c r="K4" s="29"/>
      <c r="L4" s="29"/>
      <c r="M4" s="29"/>
      <c r="N4" s="29"/>
      <c r="O4" s="29"/>
      <c r="P4" s="29"/>
      <c r="Q4" s="29"/>
      <c r="R4" s="29"/>
      <c r="S4" s="29"/>
      <c r="T4" s="29"/>
      <c r="U4" s="25"/>
    </row>
    <row r="5" spans="1:24" ht="20" x14ac:dyDescent="0.35">
      <c r="B5" s="64"/>
      <c r="C5" s="211" t="s">
        <v>435</v>
      </c>
      <c r="D5" s="316" t="s">
        <v>428</v>
      </c>
      <c r="E5" s="316"/>
      <c r="F5" s="29"/>
      <c r="G5" s="29"/>
      <c r="H5" s="29"/>
      <c r="I5" s="29"/>
      <c r="J5" s="29"/>
      <c r="K5" s="29"/>
      <c r="L5" s="29"/>
      <c r="M5" s="29"/>
      <c r="N5" s="29"/>
      <c r="O5" s="29"/>
      <c r="P5" s="29"/>
      <c r="Q5" s="29"/>
      <c r="R5" s="29"/>
      <c r="S5" s="29"/>
      <c r="T5" s="29"/>
      <c r="U5" s="25"/>
    </row>
    <row r="6" spans="1:24" x14ac:dyDescent="0.35">
      <c r="B6" s="64"/>
      <c r="C6" s="29"/>
      <c r="D6" s="29"/>
      <c r="E6" s="29"/>
      <c r="F6" s="29"/>
      <c r="G6" s="29"/>
      <c r="H6" s="29"/>
      <c r="I6" s="29"/>
      <c r="J6" s="29"/>
      <c r="K6" s="29"/>
      <c r="L6" s="29"/>
      <c r="M6" s="29"/>
      <c r="N6" s="29"/>
      <c r="O6" s="29"/>
      <c r="P6" s="29"/>
      <c r="Q6" s="29"/>
      <c r="R6" s="29"/>
      <c r="S6" s="29"/>
      <c r="T6" s="29"/>
      <c r="U6" s="25"/>
    </row>
    <row r="7" spans="1:24" ht="15.5" x14ac:dyDescent="0.35">
      <c r="B7" s="64"/>
      <c r="C7" s="68" t="s">
        <v>0</v>
      </c>
      <c r="D7" s="69" t="s">
        <v>1</v>
      </c>
      <c r="E7" s="70" t="s">
        <v>2</v>
      </c>
      <c r="F7" s="29"/>
      <c r="G7" s="29"/>
      <c r="H7" s="29"/>
      <c r="I7" s="29"/>
      <c r="J7" s="29"/>
      <c r="K7" s="29"/>
      <c r="L7" s="29"/>
      <c r="M7" s="29"/>
      <c r="N7" s="29"/>
      <c r="O7" s="29"/>
      <c r="P7" s="29"/>
      <c r="Q7" s="29"/>
      <c r="R7" s="29"/>
      <c r="S7" s="29"/>
      <c r="T7" s="29"/>
      <c r="U7" s="25"/>
      <c r="W7" s="39" t="s">
        <v>22</v>
      </c>
      <c r="X7" s="39" t="s">
        <v>2</v>
      </c>
    </row>
    <row r="8" spans="1:24" ht="15.5" x14ac:dyDescent="0.35">
      <c r="B8" s="64"/>
      <c r="C8" s="184" t="s">
        <v>235</v>
      </c>
      <c r="D8" s="185" t="s">
        <v>83</v>
      </c>
      <c r="E8" s="186">
        <v>2.6266000000000001E-2</v>
      </c>
      <c r="F8" s="29"/>
      <c r="G8" s="29"/>
      <c r="H8" s="29"/>
      <c r="I8" s="29"/>
      <c r="J8" s="29"/>
      <c r="K8" s="29"/>
      <c r="L8" s="29"/>
      <c r="M8" s="29"/>
      <c r="N8" s="29"/>
      <c r="O8" s="29"/>
      <c r="P8" s="29"/>
      <c r="Q8" s="29"/>
      <c r="R8" s="29"/>
      <c r="S8" s="29"/>
      <c r="T8" s="29"/>
      <c r="U8" s="25"/>
      <c r="W8" s="173" t="s">
        <v>109</v>
      </c>
      <c r="X8" s="224">
        <v>7.4686000000000002E-2</v>
      </c>
    </row>
    <row r="9" spans="1:24" ht="15.5" x14ac:dyDescent="0.35">
      <c r="B9" s="64"/>
      <c r="C9" s="180" t="s">
        <v>286</v>
      </c>
      <c r="D9" s="187" t="s">
        <v>75</v>
      </c>
      <c r="E9" s="188">
        <v>2.4847000000000001E-2</v>
      </c>
      <c r="F9" s="29"/>
      <c r="G9" s="29"/>
      <c r="H9" s="29"/>
      <c r="I9" s="29"/>
      <c r="J9" s="29"/>
      <c r="K9" s="29"/>
      <c r="L9" s="29"/>
      <c r="M9" s="29"/>
      <c r="N9" s="29"/>
      <c r="O9" s="29"/>
      <c r="P9" s="29"/>
      <c r="Q9" s="29"/>
      <c r="R9" s="29"/>
      <c r="S9" s="29"/>
      <c r="T9" s="29"/>
      <c r="U9" s="25"/>
      <c r="W9" s="173" t="s">
        <v>3</v>
      </c>
      <c r="X9" s="224">
        <v>7.3058999999999999E-2</v>
      </c>
    </row>
    <row r="10" spans="1:24" ht="15.5" x14ac:dyDescent="0.35">
      <c r="B10" s="64"/>
      <c r="C10" s="180" t="s">
        <v>236</v>
      </c>
      <c r="D10" s="187" t="s">
        <v>117</v>
      </c>
      <c r="E10" s="188">
        <v>2.0381E-2</v>
      </c>
      <c r="F10" s="29"/>
      <c r="G10" s="29"/>
      <c r="H10" s="29"/>
      <c r="I10" s="29"/>
      <c r="J10" s="29"/>
      <c r="K10" s="29"/>
      <c r="L10" s="29"/>
      <c r="M10" s="29"/>
      <c r="N10" s="29"/>
      <c r="O10" s="29"/>
      <c r="P10" s="29"/>
      <c r="Q10" s="29"/>
      <c r="R10" s="29"/>
      <c r="S10" s="29"/>
      <c r="T10" s="29"/>
      <c r="U10" s="25"/>
      <c r="W10" s="173" t="s">
        <v>108</v>
      </c>
      <c r="X10" s="224">
        <v>6.316999999999999E-2</v>
      </c>
    </row>
    <row r="11" spans="1:24" ht="15.5" x14ac:dyDescent="0.35">
      <c r="B11" s="64"/>
      <c r="C11" s="180" t="s">
        <v>229</v>
      </c>
      <c r="D11" s="187" t="s">
        <v>16</v>
      </c>
      <c r="E11" s="188">
        <v>1.9345000000000001E-2</v>
      </c>
      <c r="F11" s="29"/>
      <c r="G11" s="29"/>
      <c r="H11" s="29"/>
      <c r="I11" s="29"/>
      <c r="J11" s="29"/>
      <c r="K11" s="29"/>
      <c r="L11" s="29"/>
      <c r="M11" s="29"/>
      <c r="N11" s="29"/>
      <c r="O11" s="29"/>
      <c r="P11" s="29"/>
      <c r="Q11" s="29"/>
      <c r="R11" s="29"/>
      <c r="S11" s="29"/>
      <c r="T11" s="29"/>
      <c r="U11" s="25"/>
      <c r="W11" s="173" t="s">
        <v>105</v>
      </c>
      <c r="X11" s="224">
        <v>5.9205000000000001E-2</v>
      </c>
    </row>
    <row r="12" spans="1:24" ht="15.5" x14ac:dyDescent="0.35">
      <c r="B12" s="64"/>
      <c r="C12" s="180" t="s">
        <v>183</v>
      </c>
      <c r="D12" s="187" t="s">
        <v>105</v>
      </c>
      <c r="E12" s="188">
        <v>1.7259E-2</v>
      </c>
      <c r="F12" s="29"/>
      <c r="G12" s="29"/>
      <c r="H12" s="29"/>
      <c r="I12" s="29"/>
      <c r="J12" s="29"/>
      <c r="K12" s="29"/>
      <c r="L12" s="29"/>
      <c r="M12" s="29"/>
      <c r="N12" s="29"/>
      <c r="O12" s="29"/>
      <c r="P12" s="29"/>
      <c r="Q12" s="29"/>
      <c r="R12" s="29"/>
      <c r="S12" s="29"/>
      <c r="T12" s="29"/>
      <c r="U12" s="25"/>
      <c r="W12" s="173" t="s">
        <v>4</v>
      </c>
      <c r="X12" s="224">
        <v>5.7062000000000002E-2</v>
      </c>
    </row>
    <row r="13" spans="1:24" ht="15.5" x14ac:dyDescent="0.35">
      <c r="B13" s="64"/>
      <c r="C13" s="180" t="s">
        <v>315</v>
      </c>
      <c r="D13" s="187" t="s">
        <v>12</v>
      </c>
      <c r="E13" s="188">
        <v>1.6424999999999999E-2</v>
      </c>
      <c r="F13" s="29"/>
      <c r="G13" s="29"/>
      <c r="H13" s="29"/>
      <c r="I13" s="29"/>
      <c r="J13" s="29"/>
      <c r="K13" s="29"/>
      <c r="L13" s="29"/>
      <c r="M13" s="29"/>
      <c r="N13" s="29"/>
      <c r="O13" s="29"/>
      <c r="P13" s="29"/>
      <c r="Q13" s="29"/>
      <c r="R13" s="29"/>
      <c r="S13" s="29"/>
      <c r="T13" s="29"/>
      <c r="U13" s="25"/>
      <c r="W13" s="173" t="s">
        <v>117</v>
      </c>
      <c r="X13" s="224">
        <v>5.1611999999999998E-2</v>
      </c>
    </row>
    <row r="14" spans="1:24" ht="15.5" x14ac:dyDescent="0.35">
      <c r="B14" s="64"/>
      <c r="C14" s="180" t="s">
        <v>217</v>
      </c>
      <c r="D14" s="187" t="s">
        <v>181</v>
      </c>
      <c r="E14" s="188">
        <v>1.6374E-2</v>
      </c>
      <c r="F14" s="29"/>
      <c r="G14" s="29"/>
      <c r="H14" s="29"/>
      <c r="I14" s="29"/>
      <c r="J14" s="29"/>
      <c r="K14" s="29"/>
      <c r="L14" s="29"/>
      <c r="M14" s="29"/>
      <c r="N14" s="29"/>
      <c r="O14" s="29"/>
      <c r="P14" s="29"/>
      <c r="Q14" s="29"/>
      <c r="R14" s="29"/>
      <c r="S14" s="29"/>
      <c r="T14" s="29"/>
      <c r="U14" s="25"/>
      <c r="W14" s="173" t="s">
        <v>83</v>
      </c>
      <c r="X14" s="224">
        <v>5.0943000000000009E-2</v>
      </c>
    </row>
    <row r="15" spans="1:24" ht="15.5" x14ac:dyDescent="0.35">
      <c r="B15" s="64"/>
      <c r="C15" s="180" t="s">
        <v>288</v>
      </c>
      <c r="D15" s="187" t="s">
        <v>109</v>
      </c>
      <c r="E15" s="188">
        <v>1.5407000000000001E-2</v>
      </c>
      <c r="F15" s="29"/>
      <c r="G15" s="29"/>
      <c r="H15" s="29"/>
      <c r="I15" s="29"/>
      <c r="J15" s="29"/>
      <c r="K15" s="29"/>
      <c r="L15" s="29"/>
      <c r="M15" s="29"/>
      <c r="N15" s="29"/>
      <c r="O15" s="29"/>
      <c r="P15" s="29"/>
      <c r="Q15" s="29"/>
      <c r="R15" s="29"/>
      <c r="S15" s="29"/>
      <c r="T15" s="29"/>
      <c r="U15" s="25"/>
      <c r="W15" s="173" t="s">
        <v>24</v>
      </c>
      <c r="X15" s="224">
        <v>5.0874000000000003E-2</v>
      </c>
    </row>
    <row r="16" spans="1:24" ht="15.5" x14ac:dyDescent="0.35">
      <c r="B16" s="64"/>
      <c r="C16" s="180" t="s">
        <v>188</v>
      </c>
      <c r="D16" s="187" t="s">
        <v>105</v>
      </c>
      <c r="E16" s="188">
        <v>1.4819000000000001E-2</v>
      </c>
      <c r="F16" s="29"/>
      <c r="G16" s="29"/>
      <c r="H16" s="29"/>
      <c r="I16" s="29"/>
      <c r="J16" s="29"/>
      <c r="K16" s="29"/>
      <c r="L16" s="29"/>
      <c r="M16" s="29"/>
      <c r="N16" s="29"/>
      <c r="O16" s="29"/>
      <c r="P16" s="29"/>
      <c r="Q16" s="29"/>
      <c r="R16" s="29"/>
      <c r="S16" s="29"/>
      <c r="T16" s="29"/>
      <c r="U16" s="25"/>
      <c r="W16" s="173" t="s">
        <v>16</v>
      </c>
      <c r="X16" s="224">
        <v>4.5408000000000004E-2</v>
      </c>
    </row>
    <row r="17" spans="2:24" ht="15.5" x14ac:dyDescent="0.35">
      <c r="B17" s="64"/>
      <c r="C17" s="180" t="s">
        <v>256</v>
      </c>
      <c r="D17" s="187" t="s">
        <v>3</v>
      </c>
      <c r="E17" s="188">
        <v>1.468E-2</v>
      </c>
      <c r="F17" s="29"/>
      <c r="G17" s="29"/>
      <c r="H17" s="29"/>
      <c r="I17" s="29"/>
      <c r="J17" s="29"/>
      <c r="K17" s="29"/>
      <c r="L17" s="29"/>
      <c r="M17" s="29"/>
      <c r="N17" s="29"/>
      <c r="O17" s="29"/>
      <c r="P17" s="29"/>
      <c r="Q17" s="29"/>
      <c r="R17" s="29"/>
      <c r="S17" s="29"/>
      <c r="T17" s="29"/>
      <c r="U17" s="25"/>
      <c r="W17" s="173" t="s">
        <v>75</v>
      </c>
      <c r="X17" s="224">
        <v>4.2404999999999998E-2</v>
      </c>
    </row>
    <row r="18" spans="2:24" ht="15.5" x14ac:dyDescent="0.35">
      <c r="B18" s="64"/>
      <c r="C18" s="180" t="s">
        <v>304</v>
      </c>
      <c r="D18" s="187" t="s">
        <v>83</v>
      </c>
      <c r="E18" s="188">
        <v>1.3509E-2</v>
      </c>
      <c r="F18" s="29"/>
      <c r="G18" s="29"/>
      <c r="H18" s="29"/>
      <c r="I18" s="29"/>
      <c r="J18" s="29"/>
      <c r="K18" s="29"/>
      <c r="L18" s="29"/>
      <c r="M18" s="29"/>
      <c r="N18" s="29"/>
      <c r="O18" s="29"/>
      <c r="P18" s="29"/>
      <c r="Q18" s="29"/>
      <c r="R18" s="29"/>
      <c r="S18" s="29"/>
      <c r="T18" s="29"/>
      <c r="U18" s="25"/>
      <c r="W18" s="173" t="s">
        <v>114</v>
      </c>
      <c r="X18" s="224">
        <v>3.6017E-2</v>
      </c>
    </row>
    <row r="19" spans="2:24" ht="15.5" x14ac:dyDescent="0.35">
      <c r="B19" s="64"/>
      <c r="C19" s="180" t="s">
        <v>339</v>
      </c>
      <c r="D19" s="187" t="s">
        <v>114</v>
      </c>
      <c r="E19" s="188">
        <v>1.3296000000000001E-2</v>
      </c>
      <c r="F19" s="29"/>
      <c r="G19" s="29"/>
      <c r="H19" s="29"/>
      <c r="I19" s="29"/>
      <c r="J19" s="29"/>
      <c r="K19" s="29"/>
      <c r="L19" s="29"/>
      <c r="M19" s="29"/>
      <c r="N19" s="29"/>
      <c r="O19" s="29"/>
      <c r="P19" s="29"/>
      <c r="Q19" s="29"/>
      <c r="R19" s="29"/>
      <c r="S19" s="29"/>
      <c r="T19" s="29"/>
      <c r="U19" s="25"/>
      <c r="W19" s="173" t="s">
        <v>111</v>
      </c>
      <c r="X19" s="224">
        <v>3.2315999999999998E-2</v>
      </c>
    </row>
    <row r="20" spans="2:24" ht="15.5" x14ac:dyDescent="0.35">
      <c r="B20" s="64"/>
      <c r="C20" s="180" t="s">
        <v>270</v>
      </c>
      <c r="D20" s="187" t="s">
        <v>3</v>
      </c>
      <c r="E20" s="188">
        <v>1.2248E-2</v>
      </c>
      <c r="F20" s="29"/>
      <c r="G20" s="29"/>
      <c r="H20" s="29"/>
      <c r="I20" s="29"/>
      <c r="J20" s="29"/>
      <c r="K20" s="29"/>
      <c r="L20" s="29"/>
      <c r="M20" s="29"/>
      <c r="N20" s="29"/>
      <c r="O20" s="29"/>
      <c r="P20" s="29"/>
      <c r="Q20" s="29"/>
      <c r="R20" s="29"/>
      <c r="S20" s="29"/>
      <c r="T20" s="29"/>
      <c r="U20" s="25"/>
      <c r="W20" s="173" t="s">
        <v>12</v>
      </c>
      <c r="X20" s="224">
        <v>3.1968999999999997E-2</v>
      </c>
    </row>
    <row r="21" spans="2:24" ht="15.5" x14ac:dyDescent="0.35">
      <c r="B21" s="64"/>
      <c r="C21" s="180" t="s">
        <v>137</v>
      </c>
      <c r="D21" s="187" t="s">
        <v>24</v>
      </c>
      <c r="E21" s="188">
        <v>1.1922E-2</v>
      </c>
      <c r="F21" s="29"/>
      <c r="G21" s="29"/>
      <c r="H21" s="29"/>
      <c r="I21" s="29"/>
      <c r="J21" s="29"/>
      <c r="K21" s="29"/>
      <c r="L21" s="29"/>
      <c r="M21" s="29"/>
      <c r="N21" s="29"/>
      <c r="O21" s="29"/>
      <c r="P21" s="29"/>
      <c r="Q21" s="29"/>
      <c r="R21" s="29"/>
      <c r="S21" s="29"/>
      <c r="T21" s="29"/>
      <c r="U21" s="25"/>
      <c r="W21" s="173" t="s">
        <v>116</v>
      </c>
      <c r="X21" s="224">
        <v>2.7268000000000001E-2</v>
      </c>
    </row>
    <row r="22" spans="2:24" ht="15.5" x14ac:dyDescent="0.35">
      <c r="B22" s="64"/>
      <c r="C22" s="180" t="s">
        <v>250</v>
      </c>
      <c r="D22" s="187" t="s">
        <v>3</v>
      </c>
      <c r="E22" s="188">
        <v>1.1598000000000001E-2</v>
      </c>
      <c r="F22" s="29"/>
      <c r="G22" s="29"/>
      <c r="H22" s="29"/>
      <c r="I22" s="29"/>
      <c r="J22" s="29"/>
      <c r="K22" s="29"/>
      <c r="L22" s="29"/>
      <c r="M22" s="29"/>
      <c r="N22" s="29"/>
      <c r="O22" s="29"/>
      <c r="P22" s="29"/>
      <c r="Q22" s="29"/>
      <c r="R22" s="29"/>
      <c r="S22" s="29"/>
      <c r="T22" s="29"/>
      <c r="U22" s="25"/>
      <c r="W22" s="173" t="s">
        <v>181</v>
      </c>
      <c r="X22" s="224">
        <v>2.5335E-2</v>
      </c>
    </row>
    <row r="23" spans="2:24" ht="15.5" x14ac:dyDescent="0.35">
      <c r="B23" s="64"/>
      <c r="C23" s="71"/>
      <c r="D23" s="71"/>
      <c r="E23" s="72"/>
      <c r="F23" s="29"/>
      <c r="G23" s="29"/>
      <c r="H23" s="29"/>
      <c r="I23" s="29"/>
      <c r="J23" s="29"/>
      <c r="K23" s="29"/>
      <c r="L23" s="29"/>
      <c r="M23" s="29"/>
      <c r="N23" s="29"/>
      <c r="O23" s="29"/>
      <c r="P23" s="29"/>
      <c r="Q23" s="29"/>
      <c r="R23" s="29"/>
      <c r="S23" s="29"/>
      <c r="T23" s="29"/>
      <c r="U23" s="25"/>
      <c r="W23" s="173" t="s">
        <v>10</v>
      </c>
      <c r="X23" s="224">
        <v>2.3768999999999998E-2</v>
      </c>
    </row>
    <row r="24" spans="2:24" ht="15.5" x14ac:dyDescent="0.35">
      <c r="B24" s="64"/>
      <c r="C24" s="73" t="s">
        <v>55</v>
      </c>
      <c r="D24" s="74"/>
      <c r="E24" s="75">
        <f>SUM(E8:E22)</f>
        <v>0.24837599999999999</v>
      </c>
      <c r="F24" s="29"/>
      <c r="G24" s="29"/>
      <c r="H24" s="29"/>
      <c r="I24" s="29"/>
      <c r="J24" s="29"/>
      <c r="K24" s="29"/>
      <c r="L24" s="29"/>
      <c r="M24" s="29"/>
      <c r="N24" s="29"/>
      <c r="O24" s="29"/>
      <c r="P24" s="29"/>
      <c r="Q24" s="29"/>
      <c r="R24" s="29"/>
      <c r="S24" s="29"/>
      <c r="T24" s="29"/>
      <c r="U24" s="25"/>
      <c r="W24" s="173" t="s">
        <v>113</v>
      </c>
      <c r="X24" s="224">
        <v>2.0525999999999999E-2</v>
      </c>
    </row>
    <row r="25" spans="2:24" x14ac:dyDescent="0.35">
      <c r="B25" s="64"/>
      <c r="C25" s="29"/>
      <c r="D25" s="29"/>
      <c r="E25" s="29"/>
      <c r="F25" s="29"/>
      <c r="G25" s="29"/>
      <c r="H25" s="29"/>
      <c r="I25" s="29"/>
      <c r="J25" s="29"/>
      <c r="K25" s="29"/>
      <c r="L25" s="29"/>
      <c r="M25" s="29"/>
      <c r="N25" s="29"/>
      <c r="O25" s="29"/>
      <c r="P25" s="29"/>
      <c r="Q25" s="29"/>
      <c r="R25" s="29"/>
      <c r="S25" s="29"/>
      <c r="T25" s="29"/>
      <c r="U25" s="25"/>
      <c r="W25" s="173" t="s">
        <v>25</v>
      </c>
      <c r="X25" s="224">
        <v>1.8720000000000001E-2</v>
      </c>
    </row>
    <row r="26" spans="2:24" x14ac:dyDescent="0.35">
      <c r="B26" s="64"/>
      <c r="C26" s="29"/>
      <c r="D26" s="29"/>
      <c r="E26" s="29"/>
      <c r="F26" s="29"/>
      <c r="G26" s="29"/>
      <c r="H26" s="29"/>
      <c r="I26" s="29"/>
      <c r="J26" s="29"/>
      <c r="K26" s="29"/>
      <c r="L26" s="29"/>
      <c r="M26" s="29"/>
      <c r="N26" s="29"/>
      <c r="O26" s="29"/>
      <c r="P26" s="29"/>
      <c r="Q26" s="29"/>
      <c r="R26" s="29"/>
      <c r="S26" s="29"/>
      <c r="T26" s="29"/>
      <c r="U26" s="25"/>
      <c r="W26" s="173" t="s">
        <v>84</v>
      </c>
      <c r="X26" s="224">
        <v>1.8119000000000003E-2</v>
      </c>
    </row>
    <row r="27" spans="2:24" x14ac:dyDescent="0.35">
      <c r="B27" s="64"/>
      <c r="C27" s="29"/>
      <c r="D27" s="29"/>
      <c r="E27" s="29"/>
      <c r="F27" s="29"/>
      <c r="G27" s="29"/>
      <c r="H27" s="29"/>
      <c r="I27" s="29"/>
      <c r="J27" s="29"/>
      <c r="K27" s="29"/>
      <c r="L27" s="29"/>
      <c r="M27" s="29"/>
      <c r="N27" s="29"/>
      <c r="O27" s="29"/>
      <c r="P27" s="29"/>
      <c r="Q27" s="29"/>
      <c r="R27" s="29"/>
      <c r="S27" s="29"/>
      <c r="T27" s="29"/>
      <c r="U27" s="25"/>
      <c r="W27" s="61" t="s">
        <v>82</v>
      </c>
      <c r="X27" s="62">
        <v>1.5189999999999999E-2</v>
      </c>
    </row>
    <row r="28" spans="2:24" x14ac:dyDescent="0.35">
      <c r="B28" s="64"/>
      <c r="C28" s="29"/>
      <c r="D28" s="29"/>
      <c r="E28" s="29"/>
      <c r="F28" s="29"/>
      <c r="G28" s="29"/>
      <c r="H28" s="29"/>
      <c r="I28" s="29"/>
      <c r="J28" s="29"/>
      <c r="K28" s="29"/>
      <c r="L28" s="29"/>
      <c r="M28" s="29"/>
      <c r="N28" s="29"/>
      <c r="O28" s="29"/>
      <c r="P28" s="29"/>
      <c r="Q28" s="29"/>
      <c r="R28" s="29"/>
      <c r="S28" s="29"/>
      <c r="T28" s="29"/>
      <c r="U28" s="25"/>
      <c r="W28" s="61" t="s">
        <v>81</v>
      </c>
      <c r="X28" s="62">
        <v>1.5100000000000001E-2</v>
      </c>
    </row>
    <row r="29" spans="2:24" x14ac:dyDescent="0.35">
      <c r="B29" s="64"/>
      <c r="C29" s="29"/>
      <c r="D29" s="29"/>
      <c r="E29" s="29"/>
      <c r="F29" s="29"/>
      <c r="G29" s="29"/>
      <c r="H29" s="29"/>
      <c r="I29" s="29"/>
      <c r="J29" s="29"/>
      <c r="K29" s="29"/>
      <c r="L29" s="29"/>
      <c r="M29" s="29"/>
      <c r="N29" s="29"/>
      <c r="O29" s="29"/>
      <c r="P29" s="29"/>
      <c r="Q29" s="29"/>
      <c r="R29" s="29"/>
      <c r="S29" s="29"/>
      <c r="T29" s="29"/>
      <c r="U29" s="25"/>
      <c r="W29" s="61" t="s">
        <v>26</v>
      </c>
      <c r="X29" s="62">
        <v>1.4524E-2</v>
      </c>
    </row>
    <row r="30" spans="2:24" x14ac:dyDescent="0.35">
      <c r="B30" s="64"/>
      <c r="C30" s="29"/>
      <c r="D30" s="29"/>
      <c r="E30" s="29"/>
      <c r="F30" s="29"/>
      <c r="G30" s="29"/>
      <c r="H30" s="29"/>
      <c r="I30" s="29"/>
      <c r="J30" s="29"/>
      <c r="K30" s="29"/>
      <c r="L30" s="29"/>
      <c r="M30" s="29"/>
      <c r="N30" s="29"/>
      <c r="O30" s="29"/>
      <c r="P30" s="29"/>
      <c r="Q30" s="29"/>
      <c r="R30" s="29"/>
      <c r="S30" s="29"/>
      <c r="T30" s="29"/>
      <c r="U30" s="25"/>
      <c r="W30" s="61" t="s">
        <v>119</v>
      </c>
      <c r="X30" s="62">
        <v>1.4126E-2</v>
      </c>
    </row>
    <row r="31" spans="2:24" x14ac:dyDescent="0.35">
      <c r="B31" s="64"/>
      <c r="C31" s="29"/>
      <c r="D31" s="29"/>
      <c r="E31" s="29"/>
      <c r="F31" s="29"/>
      <c r="G31" s="29"/>
      <c r="H31" s="29"/>
      <c r="I31" s="29"/>
      <c r="J31" s="29"/>
      <c r="K31" s="29"/>
      <c r="L31" s="29"/>
      <c r="M31" s="29"/>
      <c r="N31" s="29"/>
      <c r="O31" s="29"/>
      <c r="P31" s="29"/>
      <c r="Q31" s="29"/>
      <c r="R31" s="29"/>
      <c r="S31" s="29"/>
      <c r="T31" s="29"/>
      <c r="U31" s="25"/>
      <c r="W31" s="61" t="s">
        <v>125</v>
      </c>
      <c r="X31" s="62">
        <v>1.3096999999999999E-2</v>
      </c>
    </row>
    <row r="32" spans="2:24" x14ac:dyDescent="0.35">
      <c r="B32" s="64"/>
      <c r="C32" s="29"/>
      <c r="D32" s="29"/>
      <c r="E32" s="29"/>
      <c r="F32" s="29"/>
      <c r="G32" s="29"/>
      <c r="H32" s="29"/>
      <c r="I32" s="29"/>
      <c r="J32" s="29"/>
      <c r="K32" s="29"/>
      <c r="L32" s="29"/>
      <c r="M32" s="29"/>
      <c r="N32" s="29"/>
      <c r="O32" s="29"/>
      <c r="P32" s="29"/>
      <c r="Q32" s="29"/>
      <c r="R32" s="29"/>
      <c r="S32" s="29"/>
      <c r="T32" s="29"/>
      <c r="U32" s="25"/>
      <c r="W32" s="61" t="s">
        <v>135</v>
      </c>
      <c r="X32" s="62">
        <v>1.2192999999999999E-2</v>
      </c>
    </row>
    <row r="33" spans="2:24" x14ac:dyDescent="0.35">
      <c r="B33" s="64"/>
      <c r="C33" s="29"/>
      <c r="D33" s="29"/>
      <c r="E33" s="29"/>
      <c r="F33" s="29"/>
      <c r="G33" s="29"/>
      <c r="H33" s="29"/>
      <c r="I33" s="29"/>
      <c r="J33" s="29"/>
      <c r="K33" s="29"/>
      <c r="L33" s="29"/>
      <c r="M33" s="29"/>
      <c r="N33" s="29"/>
      <c r="O33" s="29"/>
      <c r="P33" s="29"/>
      <c r="Q33" s="29"/>
      <c r="R33" s="29"/>
      <c r="S33" s="29"/>
      <c r="T33" s="29"/>
      <c r="U33" s="25"/>
      <c r="W33" s="61" t="s">
        <v>128</v>
      </c>
      <c r="X33" s="62">
        <v>1.1948E-2</v>
      </c>
    </row>
    <row r="34" spans="2:24" x14ac:dyDescent="0.35">
      <c r="B34" s="64"/>
      <c r="C34" s="29"/>
      <c r="D34" s="29"/>
      <c r="E34" s="29"/>
      <c r="F34" s="29"/>
      <c r="G34" s="29"/>
      <c r="H34" s="29"/>
      <c r="I34" s="29"/>
      <c r="J34" s="29"/>
      <c r="K34" s="29"/>
      <c r="L34" s="29"/>
      <c r="M34" s="29"/>
      <c r="N34" s="29"/>
      <c r="O34" s="29"/>
      <c r="P34" s="29"/>
      <c r="Q34" s="29"/>
      <c r="R34" s="29"/>
      <c r="S34" s="29"/>
      <c r="T34" s="29"/>
      <c r="U34" s="25"/>
      <c r="W34" s="61" t="s">
        <v>120</v>
      </c>
      <c r="X34" s="62">
        <v>1.1891000000000001E-2</v>
      </c>
    </row>
    <row r="35" spans="2:24" x14ac:dyDescent="0.35">
      <c r="B35" s="64"/>
      <c r="C35" s="29"/>
      <c r="D35" s="29"/>
      <c r="E35" s="29"/>
      <c r="F35" s="29"/>
      <c r="G35" s="29"/>
      <c r="H35" s="29"/>
      <c r="I35" s="29"/>
      <c r="J35" s="29"/>
      <c r="K35" s="29"/>
      <c r="L35" s="29"/>
      <c r="M35" s="29"/>
      <c r="N35" s="29"/>
      <c r="O35" s="29"/>
      <c r="P35" s="29"/>
      <c r="Q35" s="29"/>
      <c r="R35" s="29"/>
      <c r="S35" s="29"/>
      <c r="T35" s="29"/>
      <c r="U35" s="25"/>
      <c r="W35" s="61" t="s">
        <v>6</v>
      </c>
      <c r="X35" s="62">
        <v>1.1805E-2</v>
      </c>
    </row>
    <row r="36" spans="2:24" x14ac:dyDescent="0.35">
      <c r="B36" s="64"/>
      <c r="C36" s="29"/>
      <c r="D36" s="29"/>
      <c r="E36" s="29"/>
      <c r="F36" s="29"/>
      <c r="G36" s="29"/>
      <c r="H36" s="29"/>
      <c r="I36" s="29"/>
      <c r="J36" s="29"/>
      <c r="K36" s="29"/>
      <c r="L36" s="29"/>
      <c r="M36" s="29"/>
      <c r="N36" s="29"/>
      <c r="O36" s="29"/>
      <c r="P36" s="29"/>
      <c r="Q36" s="29"/>
      <c r="R36" s="29"/>
      <c r="S36" s="29"/>
      <c r="T36" s="29"/>
      <c r="U36" s="25"/>
      <c r="W36" s="61" t="s">
        <v>144</v>
      </c>
      <c r="X36" s="62">
        <v>1.1269000000000001E-2</v>
      </c>
    </row>
    <row r="37" spans="2:24" ht="15" thickBot="1" x14ac:dyDescent="0.4">
      <c r="B37" s="76"/>
      <c r="C37" s="30"/>
      <c r="D37" s="30"/>
      <c r="E37" s="30"/>
      <c r="F37" s="30"/>
      <c r="G37" s="30"/>
      <c r="H37" s="30"/>
      <c r="I37" s="30"/>
      <c r="J37" s="30"/>
      <c r="K37" s="30"/>
      <c r="L37" s="30"/>
      <c r="M37" s="30"/>
      <c r="N37" s="30"/>
      <c r="O37" s="30"/>
      <c r="P37" s="30"/>
      <c r="Q37" s="30"/>
      <c r="R37" s="30"/>
      <c r="S37" s="30"/>
      <c r="T37" s="30"/>
      <c r="U37" s="26"/>
      <c r="W37" s="61" t="s">
        <v>11</v>
      </c>
      <c r="X37" s="62">
        <v>1.0758E-2</v>
      </c>
    </row>
    <row r="38" spans="2:24" ht="15" thickBot="1" x14ac:dyDescent="0.4">
      <c r="W38" s="61" t="s">
        <v>15</v>
      </c>
      <c r="X38" s="62">
        <v>9.1749999999999991E-3</v>
      </c>
    </row>
    <row r="39" spans="2:24" x14ac:dyDescent="0.35">
      <c r="B39" s="303" t="s">
        <v>179</v>
      </c>
      <c r="C39" s="304"/>
      <c r="D39" s="304"/>
      <c r="E39" s="304"/>
      <c r="F39" s="304"/>
      <c r="G39" s="304"/>
      <c r="H39" s="304"/>
      <c r="I39" s="304"/>
      <c r="J39" s="304"/>
      <c r="K39" s="304"/>
      <c r="L39" s="304"/>
      <c r="M39" s="304"/>
      <c r="N39" s="304"/>
      <c r="O39" s="304"/>
      <c r="P39" s="304"/>
      <c r="Q39" s="304"/>
      <c r="R39" s="305"/>
      <c r="W39" s="61" t="s">
        <v>23</v>
      </c>
      <c r="X39" s="62">
        <v>8.7989999999999995E-3</v>
      </c>
    </row>
    <row r="40" spans="2:24" x14ac:dyDescent="0.35">
      <c r="B40" s="306"/>
      <c r="C40" s="307"/>
      <c r="D40" s="307"/>
      <c r="E40" s="307"/>
      <c r="F40" s="307"/>
      <c r="G40" s="307"/>
      <c r="H40" s="307"/>
      <c r="I40" s="307"/>
      <c r="J40" s="307"/>
      <c r="K40" s="307"/>
      <c r="L40" s="307"/>
      <c r="M40" s="307"/>
      <c r="N40" s="307"/>
      <c r="O40" s="307"/>
      <c r="P40" s="307"/>
      <c r="Q40" s="307"/>
      <c r="R40" s="308"/>
      <c r="W40" s="61" t="s">
        <v>13</v>
      </c>
      <c r="X40" s="62">
        <v>6.8199999999999997E-3</v>
      </c>
    </row>
    <row r="41" spans="2:24" x14ac:dyDescent="0.35">
      <c r="B41" s="306"/>
      <c r="C41" s="307"/>
      <c r="D41" s="307"/>
      <c r="E41" s="307"/>
      <c r="F41" s="307"/>
      <c r="G41" s="307"/>
      <c r="H41" s="307"/>
      <c r="I41" s="307"/>
      <c r="J41" s="307"/>
      <c r="K41" s="307"/>
      <c r="L41" s="307"/>
      <c r="M41" s="307"/>
      <c r="N41" s="307"/>
      <c r="O41" s="307"/>
      <c r="P41" s="307"/>
      <c r="Q41" s="307"/>
      <c r="R41" s="308"/>
      <c r="W41" s="61" t="s">
        <v>112</v>
      </c>
      <c r="X41" s="62">
        <v>6.6449999999999999E-3</v>
      </c>
    </row>
    <row r="42" spans="2:24" x14ac:dyDescent="0.35">
      <c r="B42" s="306"/>
      <c r="C42" s="307"/>
      <c r="D42" s="307"/>
      <c r="E42" s="307"/>
      <c r="F42" s="307"/>
      <c r="G42" s="307"/>
      <c r="H42" s="307"/>
      <c r="I42" s="307"/>
      <c r="J42" s="307"/>
      <c r="K42" s="307"/>
      <c r="L42" s="307"/>
      <c r="M42" s="307"/>
      <c r="N42" s="307"/>
      <c r="O42" s="307"/>
      <c r="P42" s="307"/>
      <c r="Q42" s="307"/>
      <c r="R42" s="308"/>
      <c r="W42" s="61" t="s">
        <v>122</v>
      </c>
      <c r="X42" s="62">
        <v>5.6519999999999999E-3</v>
      </c>
    </row>
    <row r="43" spans="2:24" x14ac:dyDescent="0.35">
      <c r="B43" s="306"/>
      <c r="C43" s="307"/>
      <c r="D43" s="307"/>
      <c r="E43" s="307"/>
      <c r="F43" s="307"/>
      <c r="G43" s="307"/>
      <c r="H43" s="307"/>
      <c r="I43" s="307"/>
      <c r="J43" s="307"/>
      <c r="K43" s="307"/>
      <c r="L43" s="307"/>
      <c r="M43" s="307"/>
      <c r="N43" s="307"/>
      <c r="O43" s="307"/>
      <c r="P43" s="307"/>
      <c r="Q43" s="307"/>
      <c r="R43" s="308"/>
      <c r="W43" s="61" t="s">
        <v>104</v>
      </c>
      <c r="X43" s="62">
        <v>4.7450000000000001E-3</v>
      </c>
    </row>
    <row r="44" spans="2:24" x14ac:dyDescent="0.35">
      <c r="B44" s="306"/>
      <c r="C44" s="307"/>
      <c r="D44" s="307"/>
      <c r="E44" s="307"/>
      <c r="F44" s="307"/>
      <c r="G44" s="307"/>
      <c r="H44" s="307"/>
      <c r="I44" s="307"/>
      <c r="J44" s="307"/>
      <c r="K44" s="307"/>
      <c r="L44" s="307"/>
      <c r="M44" s="307"/>
      <c r="N44" s="307"/>
      <c r="O44" s="307"/>
      <c r="P44" s="307"/>
      <c r="Q44" s="307"/>
      <c r="R44" s="308"/>
      <c r="W44" s="61" t="s">
        <v>121</v>
      </c>
      <c r="X44" s="62">
        <v>4.6389999999999999E-3</v>
      </c>
    </row>
    <row r="45" spans="2:24" ht="15" thickBot="1" x14ac:dyDescent="0.4">
      <c r="B45" s="309"/>
      <c r="C45" s="310"/>
      <c r="D45" s="310"/>
      <c r="E45" s="310"/>
      <c r="F45" s="310"/>
      <c r="G45" s="310"/>
      <c r="H45" s="310"/>
      <c r="I45" s="310"/>
      <c r="J45" s="310"/>
      <c r="K45" s="310"/>
      <c r="L45" s="310"/>
      <c r="M45" s="310"/>
      <c r="N45" s="310"/>
      <c r="O45" s="310"/>
      <c r="P45" s="310"/>
      <c r="Q45" s="310"/>
      <c r="R45" s="311"/>
      <c r="W45" s="61" t="s">
        <v>85</v>
      </c>
      <c r="X45" s="62">
        <v>4.2890000000000003E-3</v>
      </c>
    </row>
    <row r="46" spans="2:24" x14ac:dyDescent="0.35">
      <c r="W46" s="61" t="s">
        <v>93</v>
      </c>
      <c r="X46" s="62">
        <v>1.867E-3</v>
      </c>
    </row>
    <row r="47" spans="2:24" x14ac:dyDescent="0.35">
      <c r="W47" s="61" t="s">
        <v>110</v>
      </c>
      <c r="X47" s="62">
        <v>1.322E-3</v>
      </c>
    </row>
    <row r="48" spans="2:24" x14ac:dyDescent="0.35">
      <c r="W48" s="61"/>
      <c r="X48" s="62"/>
    </row>
    <row r="49" spans="23:24" x14ac:dyDescent="0.35">
      <c r="W49" s="61"/>
      <c r="X49" s="62"/>
    </row>
    <row r="50" spans="23:24" x14ac:dyDescent="0.35">
      <c r="W50" s="61"/>
      <c r="X50" s="62"/>
    </row>
    <row r="51" spans="23:24" x14ac:dyDescent="0.35">
      <c r="W51" s="61"/>
      <c r="X51" s="62"/>
    </row>
    <row r="52" spans="23:24" x14ac:dyDescent="0.35">
      <c r="W52" s="61"/>
      <c r="X52" s="62"/>
    </row>
    <row r="53" spans="23:24" x14ac:dyDescent="0.35">
      <c r="W53" s="61"/>
      <c r="X53" s="62"/>
    </row>
    <row r="54" spans="23:24" x14ac:dyDescent="0.35">
      <c r="W54" s="61"/>
      <c r="X54" s="62"/>
    </row>
    <row r="55" spans="23:24" x14ac:dyDescent="0.35">
      <c r="W55" s="61"/>
      <c r="X55" s="62"/>
    </row>
    <row r="56" spans="23:24" x14ac:dyDescent="0.35">
      <c r="W56" s="61"/>
      <c r="X56" s="62"/>
    </row>
    <row r="57" spans="23:24" x14ac:dyDescent="0.35">
      <c r="W57" s="61"/>
      <c r="X57" s="62"/>
    </row>
    <row r="58" spans="23:24" x14ac:dyDescent="0.35">
      <c r="W58" s="61"/>
      <c r="X58" s="62"/>
    </row>
    <row r="59" spans="23:24" x14ac:dyDescent="0.35">
      <c r="W59" s="61"/>
      <c r="X59" s="62"/>
    </row>
    <row r="60" spans="23:24" x14ac:dyDescent="0.35">
      <c r="W60" s="61"/>
      <c r="X60" s="62"/>
    </row>
    <row r="61" spans="23:24" x14ac:dyDescent="0.35">
      <c r="W61" s="61"/>
      <c r="X61" s="62"/>
    </row>
    <row r="62" spans="23:24" x14ac:dyDescent="0.35">
      <c r="W62" s="61"/>
      <c r="X62" s="62"/>
    </row>
    <row r="63" spans="23:24" x14ac:dyDescent="0.35">
      <c r="W63" s="61"/>
      <c r="X63" s="62"/>
    </row>
  </sheetData>
  <mergeCells count="3">
    <mergeCell ref="C3:S3"/>
    <mergeCell ref="D5:E5"/>
    <mergeCell ref="B39:R45"/>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D4726D-8DFD-4CEF-A48A-8D8D6C857B62}">
  <dimension ref="A1:X63"/>
  <sheetViews>
    <sheetView showGridLines="0" tabSelected="1" zoomScale="77" zoomScaleNormal="75" workbookViewId="0">
      <selection activeCell="C6" sqref="C6"/>
    </sheetView>
  </sheetViews>
  <sheetFormatPr defaultColWidth="9.1796875" defaultRowHeight="14.5" x14ac:dyDescent="0.35"/>
  <cols>
    <col min="1" max="1" width="2.81640625" style="19" customWidth="1"/>
    <col min="2" max="2" width="3.81640625" style="19" customWidth="1"/>
    <col min="3" max="3" width="59.7265625" style="19" bestFit="1" customWidth="1"/>
    <col min="4" max="4" width="35.54296875" style="19" customWidth="1"/>
    <col min="5" max="5" width="10.453125" style="19" bestFit="1" customWidth="1"/>
    <col min="6" max="18" width="9.1796875" style="19"/>
    <col min="19" max="19" width="9.81640625" style="19" customWidth="1"/>
    <col min="20" max="22" width="9.1796875" style="19"/>
    <col min="23" max="23" width="31.453125" style="19" bestFit="1" customWidth="1"/>
    <col min="24" max="16384" width="9.1796875" style="19"/>
  </cols>
  <sheetData>
    <row r="1" spans="1:24" ht="16" thickBot="1" x14ac:dyDescent="0.4">
      <c r="A1" s="3"/>
    </row>
    <row r="2" spans="1:24" x14ac:dyDescent="0.35">
      <c r="B2" s="63"/>
      <c r="C2" s="28"/>
      <c r="D2" s="28"/>
      <c r="E2" s="28"/>
      <c r="F2" s="28"/>
      <c r="G2" s="28"/>
      <c r="H2" s="28"/>
      <c r="I2" s="28"/>
      <c r="J2" s="28"/>
      <c r="K2" s="28"/>
      <c r="L2" s="28"/>
      <c r="M2" s="28"/>
      <c r="N2" s="28"/>
      <c r="O2" s="28"/>
      <c r="P2" s="28"/>
      <c r="Q2" s="28"/>
      <c r="R2" s="28"/>
      <c r="S2" s="28"/>
      <c r="T2" s="28"/>
      <c r="U2" s="24"/>
    </row>
    <row r="3" spans="1:24" ht="20" x14ac:dyDescent="0.35">
      <c r="B3" s="64"/>
      <c r="C3" s="312" t="s">
        <v>297</v>
      </c>
      <c r="D3" s="313"/>
      <c r="E3" s="313"/>
      <c r="F3" s="313"/>
      <c r="G3" s="313"/>
      <c r="H3" s="313"/>
      <c r="I3" s="313"/>
      <c r="J3" s="313"/>
      <c r="K3" s="313"/>
      <c r="L3" s="313"/>
      <c r="M3" s="313"/>
      <c r="N3" s="313"/>
      <c r="O3" s="313"/>
      <c r="P3" s="313"/>
      <c r="Q3" s="313"/>
      <c r="R3" s="313"/>
      <c r="S3" s="313"/>
      <c r="T3" s="65"/>
      <c r="U3" s="66"/>
    </row>
    <row r="4" spans="1:24" ht="15.5" x14ac:dyDescent="0.35">
      <c r="B4" s="64"/>
      <c r="C4" s="67" t="s">
        <v>434</v>
      </c>
      <c r="D4" s="29"/>
      <c r="E4" s="29"/>
      <c r="F4" s="29"/>
      <c r="G4" s="29"/>
      <c r="H4" s="29"/>
      <c r="I4" s="29"/>
      <c r="J4" s="29"/>
      <c r="K4" s="29"/>
      <c r="L4" s="29"/>
      <c r="M4" s="29"/>
      <c r="N4" s="29"/>
      <c r="O4" s="29"/>
      <c r="P4" s="29"/>
      <c r="Q4" s="29"/>
      <c r="R4" s="29"/>
      <c r="S4" s="29"/>
      <c r="T4" s="29"/>
      <c r="U4" s="25"/>
    </row>
    <row r="5" spans="1:24" ht="20" x14ac:dyDescent="0.35">
      <c r="B5" s="64"/>
      <c r="C5" s="211" t="s">
        <v>435</v>
      </c>
      <c r="D5" s="316" t="s">
        <v>438</v>
      </c>
      <c r="E5" s="316"/>
      <c r="F5" s="29"/>
      <c r="G5" s="29"/>
      <c r="H5" s="29"/>
      <c r="I5" s="29"/>
      <c r="J5" s="29"/>
      <c r="K5" s="29"/>
      <c r="L5" s="29"/>
      <c r="M5" s="29"/>
      <c r="N5" s="29"/>
      <c r="O5" s="29"/>
      <c r="P5" s="29"/>
      <c r="Q5" s="29"/>
      <c r="R5" s="29"/>
      <c r="S5" s="29"/>
      <c r="T5" s="29"/>
      <c r="U5" s="25"/>
    </row>
    <row r="6" spans="1:24" x14ac:dyDescent="0.35">
      <c r="B6" s="64"/>
      <c r="C6" s="29"/>
      <c r="D6" s="29"/>
      <c r="E6" s="29"/>
      <c r="F6" s="29"/>
      <c r="G6" s="29"/>
      <c r="H6" s="29"/>
      <c r="I6" s="29"/>
      <c r="J6" s="29"/>
      <c r="K6" s="29"/>
      <c r="L6" s="29"/>
      <c r="M6" s="29"/>
      <c r="N6" s="29"/>
      <c r="O6" s="29"/>
      <c r="P6" s="29"/>
      <c r="Q6" s="29"/>
      <c r="R6" s="29"/>
      <c r="S6" s="29"/>
      <c r="T6" s="29"/>
      <c r="U6" s="25"/>
    </row>
    <row r="7" spans="1:24" ht="15.5" x14ac:dyDescent="0.35">
      <c r="B7" s="64"/>
      <c r="C7" s="68" t="s">
        <v>0</v>
      </c>
      <c r="D7" s="69" t="s">
        <v>1</v>
      </c>
      <c r="E7" s="70" t="s">
        <v>2</v>
      </c>
      <c r="F7" s="29"/>
      <c r="G7" s="29"/>
      <c r="H7" s="29"/>
      <c r="I7" s="29"/>
      <c r="J7" s="29"/>
      <c r="K7" s="29"/>
      <c r="L7" s="29"/>
      <c r="M7" s="29"/>
      <c r="N7" s="29"/>
      <c r="O7" s="29"/>
      <c r="P7" s="29"/>
      <c r="Q7" s="29"/>
      <c r="R7" s="29"/>
      <c r="S7" s="29"/>
      <c r="T7" s="29"/>
      <c r="U7" s="25"/>
      <c r="W7" s="39" t="s">
        <v>22</v>
      </c>
      <c r="X7" s="39" t="s">
        <v>2</v>
      </c>
    </row>
    <row r="8" spans="1:24" ht="15.5" x14ac:dyDescent="0.35">
      <c r="B8" s="64"/>
      <c r="C8" s="184" t="s">
        <v>243</v>
      </c>
      <c r="D8" s="185" t="s">
        <v>81</v>
      </c>
      <c r="E8" s="186">
        <v>5.6281999999999999E-2</v>
      </c>
      <c r="F8" s="29"/>
      <c r="G8" s="29"/>
      <c r="H8" s="29"/>
      <c r="I8" s="29"/>
      <c r="J8" s="29"/>
      <c r="K8" s="29"/>
      <c r="L8" s="29"/>
      <c r="M8" s="29"/>
      <c r="N8" s="29"/>
      <c r="O8" s="29"/>
      <c r="P8" s="29"/>
      <c r="Q8" s="29"/>
      <c r="R8" s="29"/>
      <c r="S8" s="29"/>
      <c r="T8" s="29"/>
      <c r="U8" s="25"/>
      <c r="W8" s="173" t="s">
        <v>3</v>
      </c>
      <c r="X8" s="224">
        <v>0.18143200000000001</v>
      </c>
    </row>
    <row r="9" spans="1:24" ht="15.5" x14ac:dyDescent="0.35">
      <c r="B9" s="64"/>
      <c r="C9" s="180" t="s">
        <v>62</v>
      </c>
      <c r="D9" s="187" t="s">
        <v>10</v>
      </c>
      <c r="E9" s="188">
        <v>5.4085000000000001E-2</v>
      </c>
      <c r="F9" s="29"/>
      <c r="G9" s="29"/>
      <c r="H9" s="29"/>
      <c r="I9" s="29"/>
      <c r="J9" s="29"/>
      <c r="K9" s="29"/>
      <c r="L9" s="29"/>
      <c r="M9" s="29"/>
      <c r="N9" s="29"/>
      <c r="O9" s="29"/>
      <c r="P9" s="29"/>
      <c r="Q9" s="29"/>
      <c r="R9" s="29"/>
      <c r="S9" s="29"/>
      <c r="T9" s="29"/>
      <c r="U9" s="25"/>
      <c r="W9" s="173" t="s">
        <v>6</v>
      </c>
      <c r="X9" s="224">
        <v>0.124642</v>
      </c>
    </row>
    <row r="10" spans="1:24" ht="15.5" x14ac:dyDescent="0.35">
      <c r="B10" s="64"/>
      <c r="C10" s="180" t="s">
        <v>310</v>
      </c>
      <c r="D10" s="187" t="s">
        <v>6</v>
      </c>
      <c r="E10" s="188">
        <v>5.3546000000000003E-2</v>
      </c>
      <c r="F10" s="29"/>
      <c r="G10" s="29"/>
      <c r="H10" s="29"/>
      <c r="I10" s="29"/>
      <c r="J10" s="29"/>
      <c r="K10" s="29"/>
      <c r="L10" s="29"/>
      <c r="M10" s="29"/>
      <c r="N10" s="29"/>
      <c r="O10" s="29"/>
      <c r="P10" s="29"/>
      <c r="Q10" s="29"/>
      <c r="R10" s="29"/>
      <c r="S10" s="29"/>
      <c r="T10" s="29"/>
      <c r="U10" s="25"/>
      <c r="W10" s="173" t="s">
        <v>10</v>
      </c>
      <c r="X10" s="224">
        <v>0.11414200000000001</v>
      </c>
    </row>
    <row r="11" spans="1:24" ht="15.5" x14ac:dyDescent="0.35">
      <c r="B11" s="64"/>
      <c r="C11" s="180" t="s">
        <v>307</v>
      </c>
      <c r="D11" s="187" t="s">
        <v>13</v>
      </c>
      <c r="E11" s="188">
        <v>5.1943999999999997E-2</v>
      </c>
      <c r="F11" s="29"/>
      <c r="G11" s="29"/>
      <c r="H11" s="29"/>
      <c r="I11" s="29"/>
      <c r="J11" s="29"/>
      <c r="K11" s="29"/>
      <c r="L11" s="29"/>
      <c r="M11" s="29"/>
      <c r="N11" s="29"/>
      <c r="O11" s="29"/>
      <c r="P11" s="29"/>
      <c r="Q11" s="29"/>
      <c r="R11" s="29"/>
      <c r="S11" s="29"/>
      <c r="T11" s="29"/>
      <c r="U11" s="25"/>
      <c r="W11" s="173" t="s">
        <v>11</v>
      </c>
      <c r="X11" s="224">
        <v>7.2856000000000004E-2</v>
      </c>
    </row>
    <row r="12" spans="1:24" ht="15.5" x14ac:dyDescent="0.35">
      <c r="B12" s="64"/>
      <c r="C12" s="180" t="s">
        <v>309</v>
      </c>
      <c r="D12" s="187" t="s">
        <v>6</v>
      </c>
      <c r="E12" s="188">
        <v>5.1053000000000001E-2</v>
      </c>
      <c r="F12" s="29"/>
      <c r="G12" s="29"/>
      <c r="H12" s="29"/>
      <c r="I12" s="29"/>
      <c r="J12" s="29"/>
      <c r="K12" s="29"/>
      <c r="L12" s="29"/>
      <c r="M12" s="29"/>
      <c r="N12" s="29"/>
      <c r="O12" s="29"/>
      <c r="P12" s="29"/>
      <c r="Q12" s="29"/>
      <c r="R12" s="29"/>
      <c r="S12" s="29"/>
      <c r="T12" s="29"/>
      <c r="U12" s="25"/>
      <c r="W12" s="173" t="s">
        <v>4</v>
      </c>
      <c r="X12" s="224">
        <v>6.5034000000000008E-2</v>
      </c>
    </row>
    <row r="13" spans="1:24" ht="15.5" x14ac:dyDescent="0.35">
      <c r="B13" s="64"/>
      <c r="C13" s="180" t="s">
        <v>308</v>
      </c>
      <c r="D13" s="187" t="s">
        <v>11</v>
      </c>
      <c r="E13" s="188">
        <v>5.0949000000000001E-2</v>
      </c>
      <c r="F13" s="29"/>
      <c r="G13" s="29"/>
      <c r="H13" s="29"/>
      <c r="I13" s="29"/>
      <c r="J13" s="29"/>
      <c r="K13" s="29"/>
      <c r="L13" s="29"/>
      <c r="M13" s="29"/>
      <c r="N13" s="29"/>
      <c r="O13" s="29"/>
      <c r="P13" s="29"/>
      <c r="Q13" s="29"/>
      <c r="R13" s="29"/>
      <c r="S13" s="29"/>
      <c r="T13" s="29"/>
      <c r="U13" s="25"/>
      <c r="W13" s="173" t="s">
        <v>15</v>
      </c>
      <c r="X13" s="224">
        <v>5.9400999999999995E-2</v>
      </c>
    </row>
    <row r="14" spans="1:24" ht="15.5" x14ac:dyDescent="0.35">
      <c r="B14" s="64"/>
      <c r="C14" s="180" t="s">
        <v>197</v>
      </c>
      <c r="D14" s="187" t="s">
        <v>129</v>
      </c>
      <c r="E14" s="188">
        <v>5.0876999999999999E-2</v>
      </c>
      <c r="F14" s="29"/>
      <c r="G14" s="29"/>
      <c r="H14" s="29"/>
      <c r="I14" s="29"/>
      <c r="J14" s="29"/>
      <c r="K14" s="29"/>
      <c r="L14" s="29"/>
      <c r="M14" s="29"/>
      <c r="N14" s="29"/>
      <c r="O14" s="29"/>
      <c r="P14" s="29"/>
      <c r="Q14" s="29"/>
      <c r="R14" s="29"/>
      <c r="S14" s="29"/>
      <c r="T14" s="29"/>
      <c r="U14" s="25"/>
      <c r="W14" s="173" t="s">
        <v>13</v>
      </c>
      <c r="X14" s="224">
        <v>5.7095E-2</v>
      </c>
    </row>
    <row r="15" spans="1:24" ht="15.5" x14ac:dyDescent="0.35">
      <c r="B15" s="64"/>
      <c r="C15" s="180" t="s">
        <v>306</v>
      </c>
      <c r="D15" s="187" t="s">
        <v>15</v>
      </c>
      <c r="E15" s="188">
        <v>5.0715999999999997E-2</v>
      </c>
      <c r="F15" s="29"/>
      <c r="G15" s="29"/>
      <c r="H15" s="29"/>
      <c r="I15" s="29"/>
      <c r="J15" s="29"/>
      <c r="K15" s="29"/>
      <c r="L15" s="29"/>
      <c r="M15" s="29"/>
      <c r="N15" s="29"/>
      <c r="O15" s="29"/>
      <c r="P15" s="29"/>
      <c r="Q15" s="29"/>
      <c r="R15" s="29"/>
      <c r="S15" s="29"/>
      <c r="T15" s="29"/>
      <c r="U15" s="25"/>
      <c r="W15" s="173" t="s">
        <v>81</v>
      </c>
      <c r="X15" s="224">
        <v>5.6281999999999999E-2</v>
      </c>
    </row>
    <row r="16" spans="1:24" ht="15.5" x14ac:dyDescent="0.35">
      <c r="B16" s="64"/>
      <c r="C16" s="180" t="s">
        <v>305</v>
      </c>
      <c r="D16" s="187" t="s">
        <v>10</v>
      </c>
      <c r="E16" s="188">
        <v>5.0581000000000001E-2</v>
      </c>
      <c r="F16" s="29"/>
      <c r="G16" s="29"/>
      <c r="H16" s="29"/>
      <c r="I16" s="29"/>
      <c r="J16" s="29"/>
      <c r="K16" s="29"/>
      <c r="L16" s="29"/>
      <c r="M16" s="29"/>
      <c r="N16" s="29"/>
      <c r="O16" s="29"/>
      <c r="P16" s="29"/>
      <c r="Q16" s="29"/>
      <c r="R16" s="29"/>
      <c r="S16" s="29"/>
      <c r="T16" s="29"/>
      <c r="U16" s="25"/>
      <c r="W16" s="173" t="s">
        <v>129</v>
      </c>
      <c r="X16" s="224">
        <v>5.0876999999999999E-2</v>
      </c>
    </row>
    <row r="17" spans="2:24" ht="15.5" x14ac:dyDescent="0.35">
      <c r="B17" s="64"/>
      <c r="C17" s="180" t="s">
        <v>77</v>
      </c>
      <c r="D17" s="187" t="s">
        <v>3</v>
      </c>
      <c r="E17" s="188">
        <v>4.9554000000000001E-2</v>
      </c>
      <c r="F17" s="29"/>
      <c r="G17" s="29"/>
      <c r="H17" s="29"/>
      <c r="I17" s="29"/>
      <c r="J17" s="29"/>
      <c r="K17" s="29"/>
      <c r="L17" s="29"/>
      <c r="M17" s="29"/>
      <c r="N17" s="29"/>
      <c r="O17" s="29"/>
      <c r="P17" s="29"/>
      <c r="Q17" s="29"/>
      <c r="R17" s="29"/>
      <c r="S17" s="29"/>
      <c r="T17" s="29"/>
      <c r="U17" s="25"/>
      <c r="W17" s="173" t="s">
        <v>131</v>
      </c>
      <c r="X17" s="224">
        <v>4.6475000000000002E-2</v>
      </c>
    </row>
    <row r="18" spans="2:24" ht="15.5" x14ac:dyDescent="0.35">
      <c r="B18" s="64"/>
      <c r="C18" s="180" t="s">
        <v>272</v>
      </c>
      <c r="D18" s="187" t="s">
        <v>131</v>
      </c>
      <c r="E18" s="188">
        <v>4.6475000000000002E-2</v>
      </c>
      <c r="F18" s="29"/>
      <c r="G18" s="29"/>
      <c r="H18" s="29"/>
      <c r="I18" s="29"/>
      <c r="J18" s="29"/>
      <c r="K18" s="29"/>
      <c r="L18" s="29"/>
      <c r="M18" s="29"/>
      <c r="N18" s="29"/>
      <c r="O18" s="29"/>
      <c r="P18" s="29"/>
      <c r="Q18" s="29"/>
      <c r="R18" s="29"/>
      <c r="S18" s="29"/>
      <c r="T18" s="29"/>
      <c r="U18" s="25"/>
      <c r="W18" s="173" t="s">
        <v>110</v>
      </c>
      <c r="X18" s="224">
        <v>4.4398E-2</v>
      </c>
    </row>
    <row r="19" spans="2:24" ht="15.5" x14ac:dyDescent="0.35">
      <c r="B19" s="64"/>
      <c r="C19" s="180" t="s">
        <v>78</v>
      </c>
      <c r="D19" s="187" t="s">
        <v>110</v>
      </c>
      <c r="E19" s="188">
        <v>4.4398E-2</v>
      </c>
      <c r="F19" s="29"/>
      <c r="G19" s="29"/>
      <c r="H19" s="29"/>
      <c r="I19" s="29"/>
      <c r="J19" s="29"/>
      <c r="K19" s="29"/>
      <c r="L19" s="29"/>
      <c r="M19" s="29"/>
      <c r="N19" s="29"/>
      <c r="O19" s="29"/>
      <c r="P19" s="29"/>
      <c r="Q19" s="29"/>
      <c r="R19" s="29"/>
      <c r="S19" s="29"/>
      <c r="T19" s="29"/>
      <c r="U19" s="25"/>
      <c r="W19" s="173" t="s">
        <v>116</v>
      </c>
      <c r="X19" s="224">
        <v>3.6256999999999998E-2</v>
      </c>
    </row>
    <row r="20" spans="2:24" ht="15.5" x14ac:dyDescent="0.35">
      <c r="B20" s="64"/>
      <c r="C20" s="180" t="s">
        <v>311</v>
      </c>
      <c r="D20" s="187" t="s">
        <v>116</v>
      </c>
      <c r="E20" s="188">
        <v>2.8153999999999998E-2</v>
      </c>
      <c r="F20" s="29"/>
      <c r="G20" s="29"/>
      <c r="H20" s="29"/>
      <c r="I20" s="29"/>
      <c r="J20" s="29"/>
      <c r="K20" s="29"/>
      <c r="L20" s="29"/>
      <c r="M20" s="29"/>
      <c r="N20" s="29"/>
      <c r="O20" s="29"/>
      <c r="P20" s="29"/>
      <c r="Q20" s="29"/>
      <c r="R20" s="29"/>
      <c r="S20" s="29"/>
      <c r="T20" s="29"/>
      <c r="U20" s="25"/>
      <c r="W20" s="173" t="s">
        <v>25</v>
      </c>
      <c r="X20" s="224">
        <v>2.2241E-2</v>
      </c>
    </row>
    <row r="21" spans="2:24" ht="15.5" x14ac:dyDescent="0.35">
      <c r="B21" s="64"/>
      <c r="C21" s="180" t="s">
        <v>74</v>
      </c>
      <c r="D21" s="187" t="s">
        <v>4</v>
      </c>
      <c r="E21" s="188">
        <v>2.6200000000000001E-2</v>
      </c>
      <c r="F21" s="29"/>
      <c r="G21" s="29"/>
      <c r="H21" s="29"/>
      <c r="I21" s="29"/>
      <c r="J21" s="29"/>
      <c r="K21" s="29"/>
      <c r="L21" s="29"/>
      <c r="M21" s="29"/>
      <c r="N21" s="29"/>
      <c r="O21" s="29"/>
      <c r="P21" s="29"/>
      <c r="Q21" s="29"/>
      <c r="R21" s="29"/>
      <c r="S21" s="29"/>
      <c r="T21" s="29"/>
      <c r="U21" s="25"/>
      <c r="W21" s="173" t="s">
        <v>144</v>
      </c>
      <c r="X21" s="224">
        <v>2.1898000000000001E-2</v>
      </c>
    </row>
    <row r="22" spans="2:24" ht="15.5" x14ac:dyDescent="0.35">
      <c r="B22" s="64"/>
      <c r="C22" s="180" t="s">
        <v>269</v>
      </c>
      <c r="D22" s="187" t="s">
        <v>3</v>
      </c>
      <c r="E22" s="188">
        <v>2.2693999999999999E-2</v>
      </c>
      <c r="F22" s="29"/>
      <c r="G22" s="29"/>
      <c r="H22" s="29"/>
      <c r="I22" s="29"/>
      <c r="J22" s="29"/>
      <c r="K22" s="29"/>
      <c r="L22" s="29"/>
      <c r="M22" s="29"/>
      <c r="N22" s="29"/>
      <c r="O22" s="29"/>
      <c r="P22" s="29"/>
      <c r="Q22" s="29"/>
      <c r="R22" s="29"/>
      <c r="S22" s="29"/>
      <c r="T22" s="29"/>
      <c r="U22" s="25"/>
      <c r="W22" s="173" t="s">
        <v>114</v>
      </c>
      <c r="X22" s="224">
        <v>1.4421E-2</v>
      </c>
    </row>
    <row r="23" spans="2:24" ht="15.5" x14ac:dyDescent="0.35">
      <c r="B23" s="64"/>
      <c r="C23" s="71"/>
      <c r="D23" s="71"/>
      <c r="E23" s="72"/>
      <c r="F23" s="29"/>
      <c r="G23" s="29"/>
      <c r="H23" s="29"/>
      <c r="I23" s="29"/>
      <c r="J23" s="29"/>
      <c r="K23" s="29"/>
      <c r="L23" s="29"/>
      <c r="M23" s="29"/>
      <c r="N23" s="29"/>
      <c r="O23" s="29"/>
      <c r="P23" s="29"/>
      <c r="Q23" s="29"/>
      <c r="R23" s="29"/>
      <c r="S23" s="29"/>
      <c r="T23" s="29"/>
      <c r="U23" s="25"/>
      <c r="W23" s="173" t="s">
        <v>122</v>
      </c>
      <c r="X23" s="224">
        <v>1.1112E-2</v>
      </c>
    </row>
    <row r="24" spans="2:24" ht="15.5" x14ac:dyDescent="0.35">
      <c r="B24" s="64"/>
      <c r="C24" s="73" t="s">
        <v>55</v>
      </c>
      <c r="D24" s="74"/>
      <c r="E24" s="75">
        <f>SUM(E8:E22)</f>
        <v>0.68750800000000012</v>
      </c>
      <c r="F24" s="29"/>
      <c r="G24" s="29"/>
      <c r="H24" s="29"/>
      <c r="I24" s="29"/>
      <c r="J24" s="29"/>
      <c r="K24" s="29"/>
      <c r="L24" s="29"/>
      <c r="M24" s="29"/>
      <c r="N24" s="29"/>
      <c r="O24" s="29"/>
      <c r="P24" s="29"/>
      <c r="Q24" s="29"/>
      <c r="R24" s="29"/>
      <c r="S24" s="29"/>
      <c r="T24" s="29"/>
      <c r="U24" s="25"/>
      <c r="W24" s="173" t="s">
        <v>106</v>
      </c>
      <c r="X24" s="224">
        <v>1.0021E-2</v>
      </c>
    </row>
    <row r="25" spans="2:24" x14ac:dyDescent="0.35">
      <c r="B25" s="64"/>
      <c r="C25" s="29"/>
      <c r="D25" s="29"/>
      <c r="E25" s="29"/>
      <c r="F25" s="29"/>
      <c r="G25" s="29"/>
      <c r="H25" s="29"/>
      <c r="I25" s="29"/>
      <c r="J25" s="29"/>
      <c r="K25" s="29"/>
      <c r="L25" s="29"/>
      <c r="M25" s="29"/>
      <c r="N25" s="29"/>
      <c r="O25" s="29"/>
      <c r="P25" s="29"/>
      <c r="Q25" s="29"/>
      <c r="R25" s="29"/>
      <c r="S25" s="29"/>
      <c r="T25" s="29"/>
      <c r="U25" s="25"/>
      <c r="W25" s="173" t="s">
        <v>93</v>
      </c>
      <c r="X25" s="224">
        <v>6.4929999999999996E-3</v>
      </c>
    </row>
    <row r="26" spans="2:24" x14ac:dyDescent="0.35">
      <c r="B26" s="64"/>
      <c r="C26" s="29"/>
      <c r="D26" s="29"/>
      <c r="E26" s="29"/>
      <c r="F26" s="29"/>
      <c r="G26" s="29"/>
      <c r="H26" s="29"/>
      <c r="I26" s="29"/>
      <c r="J26" s="29"/>
      <c r="K26" s="29"/>
      <c r="L26" s="29"/>
      <c r="M26" s="29"/>
      <c r="N26" s="29"/>
      <c r="O26" s="29"/>
      <c r="P26" s="29"/>
      <c r="Q26" s="29"/>
      <c r="R26" s="29"/>
      <c r="S26" s="29"/>
      <c r="T26" s="29"/>
      <c r="U26" s="25"/>
      <c r="W26" s="173" t="s">
        <v>23</v>
      </c>
      <c r="X26" s="224">
        <v>5.7670000000000004E-3</v>
      </c>
    </row>
    <row r="27" spans="2:24" x14ac:dyDescent="0.35">
      <c r="B27" s="64"/>
      <c r="C27" s="29"/>
      <c r="D27" s="29"/>
      <c r="E27" s="29"/>
      <c r="F27" s="29"/>
      <c r="G27" s="29"/>
      <c r="H27" s="29"/>
      <c r="I27" s="29"/>
      <c r="J27" s="29"/>
      <c r="K27" s="29"/>
      <c r="L27" s="29"/>
      <c r="M27" s="29"/>
      <c r="N27" s="29"/>
      <c r="O27" s="29"/>
      <c r="P27" s="29"/>
      <c r="Q27" s="29"/>
      <c r="R27" s="29"/>
      <c r="S27" s="29"/>
      <c r="T27" s="29"/>
      <c r="U27" s="25"/>
      <c r="W27" s="61"/>
      <c r="X27" s="62"/>
    </row>
    <row r="28" spans="2:24" x14ac:dyDescent="0.35">
      <c r="B28" s="64"/>
      <c r="C28" s="29"/>
      <c r="D28" s="29"/>
      <c r="E28" s="29"/>
      <c r="F28" s="29"/>
      <c r="G28" s="29"/>
      <c r="H28" s="29"/>
      <c r="I28" s="29"/>
      <c r="J28" s="29"/>
      <c r="K28" s="29"/>
      <c r="L28" s="29"/>
      <c r="M28" s="29"/>
      <c r="N28" s="29"/>
      <c r="O28" s="29"/>
      <c r="P28" s="29"/>
      <c r="Q28" s="29"/>
      <c r="R28" s="29"/>
      <c r="S28" s="29"/>
      <c r="T28" s="29"/>
      <c r="U28" s="25"/>
      <c r="W28" s="61"/>
      <c r="X28" s="62"/>
    </row>
    <row r="29" spans="2:24" x14ac:dyDescent="0.35">
      <c r="B29" s="64"/>
      <c r="C29" s="29"/>
      <c r="D29" s="29"/>
      <c r="E29" s="29"/>
      <c r="F29" s="29"/>
      <c r="G29" s="29"/>
      <c r="H29" s="29"/>
      <c r="I29" s="29"/>
      <c r="J29" s="29"/>
      <c r="K29" s="29"/>
      <c r="L29" s="29"/>
      <c r="M29" s="29"/>
      <c r="N29" s="29"/>
      <c r="O29" s="29"/>
      <c r="P29" s="29"/>
      <c r="Q29" s="29"/>
      <c r="R29" s="29"/>
      <c r="S29" s="29"/>
      <c r="T29" s="29"/>
      <c r="U29" s="25"/>
      <c r="W29" s="61"/>
      <c r="X29" s="62"/>
    </row>
    <row r="30" spans="2:24" x14ac:dyDescent="0.35">
      <c r="B30" s="64"/>
      <c r="C30" s="29"/>
      <c r="D30" s="29"/>
      <c r="E30" s="29"/>
      <c r="F30" s="29"/>
      <c r="G30" s="29"/>
      <c r="H30" s="29"/>
      <c r="I30" s="29"/>
      <c r="J30" s="29"/>
      <c r="K30" s="29"/>
      <c r="L30" s="29"/>
      <c r="M30" s="29"/>
      <c r="N30" s="29"/>
      <c r="O30" s="29"/>
      <c r="P30" s="29"/>
      <c r="Q30" s="29"/>
      <c r="R30" s="29"/>
      <c r="S30" s="29"/>
      <c r="T30" s="29"/>
      <c r="U30" s="25"/>
      <c r="W30" s="61"/>
      <c r="X30" s="62"/>
    </row>
    <row r="31" spans="2:24" x14ac:dyDescent="0.35">
      <c r="B31" s="64"/>
      <c r="C31" s="29"/>
      <c r="D31" s="29"/>
      <c r="E31" s="29"/>
      <c r="F31" s="29"/>
      <c r="G31" s="29"/>
      <c r="H31" s="29"/>
      <c r="I31" s="29"/>
      <c r="J31" s="29"/>
      <c r="K31" s="29"/>
      <c r="L31" s="29"/>
      <c r="M31" s="29"/>
      <c r="N31" s="29"/>
      <c r="O31" s="29"/>
      <c r="P31" s="29"/>
      <c r="Q31" s="29"/>
      <c r="R31" s="29"/>
      <c r="S31" s="29"/>
      <c r="T31" s="29"/>
      <c r="U31" s="25"/>
      <c r="W31" s="61"/>
      <c r="X31" s="62"/>
    </row>
    <row r="32" spans="2:24" x14ac:dyDescent="0.35">
      <c r="B32" s="64"/>
      <c r="C32" s="29"/>
      <c r="D32" s="29"/>
      <c r="E32" s="29"/>
      <c r="F32" s="29"/>
      <c r="G32" s="29"/>
      <c r="H32" s="29"/>
      <c r="I32" s="29"/>
      <c r="J32" s="29"/>
      <c r="K32" s="29"/>
      <c r="L32" s="29"/>
      <c r="M32" s="29"/>
      <c r="N32" s="29"/>
      <c r="O32" s="29"/>
      <c r="P32" s="29"/>
      <c r="Q32" s="29"/>
      <c r="R32" s="29"/>
      <c r="S32" s="29"/>
      <c r="T32" s="29"/>
      <c r="U32" s="25"/>
      <c r="W32" s="61"/>
      <c r="X32" s="62"/>
    </row>
    <row r="33" spans="2:24" x14ac:dyDescent="0.35">
      <c r="B33" s="64"/>
      <c r="C33" s="29"/>
      <c r="D33" s="29"/>
      <c r="E33" s="29"/>
      <c r="F33" s="29"/>
      <c r="G33" s="29"/>
      <c r="H33" s="29"/>
      <c r="I33" s="29"/>
      <c r="J33" s="29"/>
      <c r="K33" s="29"/>
      <c r="L33" s="29"/>
      <c r="M33" s="29"/>
      <c r="N33" s="29"/>
      <c r="O33" s="29"/>
      <c r="P33" s="29"/>
      <c r="Q33" s="29"/>
      <c r="R33" s="29"/>
      <c r="S33" s="29"/>
      <c r="T33" s="29"/>
      <c r="U33" s="25"/>
      <c r="W33" s="61"/>
      <c r="X33" s="62"/>
    </row>
    <row r="34" spans="2:24" x14ac:dyDescent="0.35">
      <c r="B34" s="64"/>
      <c r="C34" s="29"/>
      <c r="D34" s="29"/>
      <c r="E34" s="29"/>
      <c r="F34" s="29"/>
      <c r="G34" s="29"/>
      <c r="H34" s="29"/>
      <c r="I34" s="29"/>
      <c r="J34" s="29"/>
      <c r="K34" s="29"/>
      <c r="L34" s="29"/>
      <c r="M34" s="29"/>
      <c r="N34" s="29"/>
      <c r="O34" s="29"/>
      <c r="P34" s="29"/>
      <c r="Q34" s="29"/>
      <c r="R34" s="29"/>
      <c r="S34" s="29"/>
      <c r="T34" s="29"/>
      <c r="U34" s="25"/>
      <c r="W34" s="61"/>
      <c r="X34" s="62"/>
    </row>
    <row r="35" spans="2:24" x14ac:dyDescent="0.35">
      <c r="B35" s="64"/>
      <c r="C35" s="29"/>
      <c r="D35" s="29"/>
      <c r="E35" s="29"/>
      <c r="F35" s="29"/>
      <c r="G35" s="29"/>
      <c r="H35" s="29"/>
      <c r="I35" s="29"/>
      <c r="J35" s="29"/>
      <c r="K35" s="29"/>
      <c r="L35" s="29"/>
      <c r="M35" s="29"/>
      <c r="N35" s="29"/>
      <c r="O35" s="29"/>
      <c r="P35" s="29"/>
      <c r="Q35" s="29"/>
      <c r="R35" s="29"/>
      <c r="S35" s="29"/>
      <c r="T35" s="29"/>
      <c r="U35" s="25"/>
      <c r="W35" s="61"/>
      <c r="X35" s="62"/>
    </row>
    <row r="36" spans="2:24" x14ac:dyDescent="0.35">
      <c r="B36" s="64"/>
      <c r="C36" s="29"/>
      <c r="D36" s="29"/>
      <c r="E36" s="29"/>
      <c r="F36" s="29"/>
      <c r="G36" s="29"/>
      <c r="H36" s="29"/>
      <c r="I36" s="29"/>
      <c r="J36" s="29"/>
      <c r="K36" s="29"/>
      <c r="L36" s="29"/>
      <c r="M36" s="29"/>
      <c r="N36" s="29"/>
      <c r="O36" s="29"/>
      <c r="P36" s="29"/>
      <c r="Q36" s="29"/>
      <c r="R36" s="29"/>
      <c r="S36" s="29"/>
      <c r="T36" s="29"/>
      <c r="U36" s="25"/>
      <c r="W36" s="61"/>
      <c r="X36" s="62"/>
    </row>
    <row r="37" spans="2:24" ht="15" thickBot="1" x14ac:dyDescent="0.4">
      <c r="B37" s="76"/>
      <c r="C37" s="30"/>
      <c r="D37" s="30"/>
      <c r="E37" s="30"/>
      <c r="F37" s="30"/>
      <c r="G37" s="30"/>
      <c r="H37" s="30"/>
      <c r="I37" s="30"/>
      <c r="J37" s="30"/>
      <c r="K37" s="30"/>
      <c r="L37" s="30"/>
      <c r="M37" s="30"/>
      <c r="N37" s="30"/>
      <c r="O37" s="30"/>
      <c r="P37" s="30"/>
      <c r="Q37" s="30"/>
      <c r="R37" s="30"/>
      <c r="S37" s="30"/>
      <c r="T37" s="30"/>
      <c r="U37" s="26"/>
      <c r="W37" s="61"/>
      <c r="X37" s="62"/>
    </row>
    <row r="38" spans="2:24" ht="15" thickBot="1" x14ac:dyDescent="0.4">
      <c r="W38" s="61"/>
      <c r="X38" s="62"/>
    </row>
    <row r="39" spans="2:24" x14ac:dyDescent="0.35">
      <c r="B39" s="303" t="s">
        <v>179</v>
      </c>
      <c r="C39" s="304"/>
      <c r="D39" s="304"/>
      <c r="E39" s="304"/>
      <c r="F39" s="304"/>
      <c r="G39" s="304"/>
      <c r="H39" s="304"/>
      <c r="I39" s="304"/>
      <c r="J39" s="304"/>
      <c r="K39" s="304"/>
      <c r="L39" s="304"/>
      <c r="M39" s="304"/>
      <c r="N39" s="304"/>
      <c r="O39" s="304"/>
      <c r="P39" s="304"/>
      <c r="Q39" s="304"/>
      <c r="R39" s="305"/>
      <c r="W39" s="61"/>
      <c r="X39" s="62"/>
    </row>
    <row r="40" spans="2:24" x14ac:dyDescent="0.35">
      <c r="B40" s="306"/>
      <c r="C40" s="307"/>
      <c r="D40" s="307"/>
      <c r="E40" s="307"/>
      <c r="F40" s="307"/>
      <c r="G40" s="307"/>
      <c r="H40" s="307"/>
      <c r="I40" s="307"/>
      <c r="J40" s="307"/>
      <c r="K40" s="307"/>
      <c r="L40" s="307"/>
      <c r="M40" s="307"/>
      <c r="N40" s="307"/>
      <c r="O40" s="307"/>
      <c r="P40" s="307"/>
      <c r="Q40" s="307"/>
      <c r="R40" s="308"/>
      <c r="W40" s="61"/>
      <c r="X40" s="62"/>
    </row>
    <row r="41" spans="2:24" x14ac:dyDescent="0.35">
      <c r="B41" s="306"/>
      <c r="C41" s="307"/>
      <c r="D41" s="307"/>
      <c r="E41" s="307"/>
      <c r="F41" s="307"/>
      <c r="G41" s="307"/>
      <c r="H41" s="307"/>
      <c r="I41" s="307"/>
      <c r="J41" s="307"/>
      <c r="K41" s="307"/>
      <c r="L41" s="307"/>
      <c r="M41" s="307"/>
      <c r="N41" s="307"/>
      <c r="O41" s="307"/>
      <c r="P41" s="307"/>
      <c r="Q41" s="307"/>
      <c r="R41" s="308"/>
      <c r="W41" s="61"/>
      <c r="X41" s="62"/>
    </row>
    <row r="42" spans="2:24" x14ac:dyDescent="0.35">
      <c r="B42" s="306"/>
      <c r="C42" s="307"/>
      <c r="D42" s="307"/>
      <c r="E42" s="307"/>
      <c r="F42" s="307"/>
      <c r="G42" s="307"/>
      <c r="H42" s="307"/>
      <c r="I42" s="307"/>
      <c r="J42" s="307"/>
      <c r="K42" s="307"/>
      <c r="L42" s="307"/>
      <c r="M42" s="307"/>
      <c r="N42" s="307"/>
      <c r="O42" s="307"/>
      <c r="P42" s="307"/>
      <c r="Q42" s="307"/>
      <c r="R42" s="308"/>
      <c r="W42" s="61"/>
      <c r="X42" s="62"/>
    </row>
    <row r="43" spans="2:24" x14ac:dyDescent="0.35">
      <c r="B43" s="306"/>
      <c r="C43" s="307"/>
      <c r="D43" s="307"/>
      <c r="E43" s="307"/>
      <c r="F43" s="307"/>
      <c r="G43" s="307"/>
      <c r="H43" s="307"/>
      <c r="I43" s="307"/>
      <c r="J43" s="307"/>
      <c r="K43" s="307"/>
      <c r="L43" s="307"/>
      <c r="M43" s="307"/>
      <c r="N43" s="307"/>
      <c r="O43" s="307"/>
      <c r="P43" s="307"/>
      <c r="Q43" s="307"/>
      <c r="R43" s="308"/>
      <c r="W43" s="61"/>
      <c r="X43" s="62"/>
    </row>
    <row r="44" spans="2:24" x14ac:dyDescent="0.35">
      <c r="B44" s="306"/>
      <c r="C44" s="307"/>
      <c r="D44" s="307"/>
      <c r="E44" s="307"/>
      <c r="F44" s="307"/>
      <c r="G44" s="307"/>
      <c r="H44" s="307"/>
      <c r="I44" s="307"/>
      <c r="J44" s="307"/>
      <c r="K44" s="307"/>
      <c r="L44" s="307"/>
      <c r="M44" s="307"/>
      <c r="N44" s="307"/>
      <c r="O44" s="307"/>
      <c r="P44" s="307"/>
      <c r="Q44" s="307"/>
      <c r="R44" s="308"/>
      <c r="W44" s="61"/>
      <c r="X44" s="62"/>
    </row>
    <row r="45" spans="2:24" ht="15" thickBot="1" x14ac:dyDescent="0.4">
      <c r="B45" s="309"/>
      <c r="C45" s="310"/>
      <c r="D45" s="310"/>
      <c r="E45" s="310"/>
      <c r="F45" s="310"/>
      <c r="G45" s="310"/>
      <c r="H45" s="310"/>
      <c r="I45" s="310"/>
      <c r="J45" s="310"/>
      <c r="K45" s="310"/>
      <c r="L45" s="310"/>
      <c r="M45" s="310"/>
      <c r="N45" s="310"/>
      <c r="O45" s="310"/>
      <c r="P45" s="310"/>
      <c r="Q45" s="310"/>
      <c r="R45" s="311"/>
      <c r="W45" s="61"/>
      <c r="X45" s="62"/>
    </row>
    <row r="46" spans="2:24" x14ac:dyDescent="0.35">
      <c r="W46" s="61"/>
      <c r="X46" s="62"/>
    </row>
    <row r="47" spans="2:24" x14ac:dyDescent="0.35">
      <c r="W47" s="61"/>
      <c r="X47" s="62"/>
    </row>
    <row r="48" spans="2:24" x14ac:dyDescent="0.35">
      <c r="W48" s="61"/>
      <c r="X48" s="62"/>
    </row>
    <row r="49" spans="23:24" x14ac:dyDescent="0.35">
      <c r="W49" s="61"/>
      <c r="X49" s="62"/>
    </row>
    <row r="50" spans="23:24" x14ac:dyDescent="0.35">
      <c r="W50" s="61"/>
      <c r="X50" s="62"/>
    </row>
    <row r="51" spans="23:24" x14ac:dyDescent="0.35">
      <c r="W51" s="61"/>
      <c r="X51" s="62"/>
    </row>
    <row r="52" spans="23:24" x14ac:dyDescent="0.35">
      <c r="W52" s="61"/>
      <c r="X52" s="62"/>
    </row>
    <row r="53" spans="23:24" x14ac:dyDescent="0.35">
      <c r="W53" s="61"/>
      <c r="X53" s="62"/>
    </row>
    <row r="54" spans="23:24" x14ac:dyDescent="0.35">
      <c r="W54" s="61"/>
      <c r="X54" s="62"/>
    </row>
    <row r="55" spans="23:24" x14ac:dyDescent="0.35">
      <c r="W55" s="61"/>
      <c r="X55" s="62"/>
    </row>
    <row r="56" spans="23:24" x14ac:dyDescent="0.35">
      <c r="W56" s="61"/>
      <c r="X56" s="62"/>
    </row>
    <row r="57" spans="23:24" x14ac:dyDescent="0.35">
      <c r="W57" s="61"/>
      <c r="X57" s="62"/>
    </row>
    <row r="58" spans="23:24" x14ac:dyDescent="0.35">
      <c r="W58" s="61"/>
      <c r="X58" s="62"/>
    </row>
    <row r="59" spans="23:24" x14ac:dyDescent="0.35">
      <c r="W59" s="61"/>
      <c r="X59" s="62"/>
    </row>
    <row r="60" spans="23:24" x14ac:dyDescent="0.35">
      <c r="W60" s="61"/>
      <c r="X60" s="62"/>
    </row>
    <row r="61" spans="23:24" x14ac:dyDescent="0.35">
      <c r="W61" s="61"/>
      <c r="X61" s="62"/>
    </row>
    <row r="62" spans="23:24" x14ac:dyDescent="0.35">
      <c r="W62" s="61"/>
      <c r="X62" s="62"/>
    </row>
    <row r="63" spans="23:24" x14ac:dyDescent="0.35">
      <c r="W63" s="61"/>
      <c r="X63" s="62"/>
    </row>
  </sheetData>
  <mergeCells count="3">
    <mergeCell ref="C3:S3"/>
    <mergeCell ref="D5:E5"/>
    <mergeCell ref="B39:R45"/>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8540B7-24BE-455C-99CB-E5F6E93C3136}">
  <dimension ref="A1:X63"/>
  <sheetViews>
    <sheetView showGridLines="0" zoomScale="77" zoomScaleNormal="75" workbookViewId="0"/>
  </sheetViews>
  <sheetFormatPr defaultColWidth="9.1796875" defaultRowHeight="14.5" x14ac:dyDescent="0.35"/>
  <cols>
    <col min="1" max="1" width="2.81640625" style="19" customWidth="1"/>
    <col min="2" max="2" width="3.81640625" style="19" customWidth="1"/>
    <col min="3" max="3" width="59.7265625" style="19" bestFit="1" customWidth="1"/>
    <col min="4" max="4" width="35.54296875" style="19" customWidth="1"/>
    <col min="5" max="5" width="10.453125" style="19" bestFit="1" customWidth="1"/>
    <col min="6" max="18" width="9.1796875" style="19"/>
    <col min="19" max="19" width="9.81640625" style="19" customWidth="1"/>
    <col min="20" max="22" width="9.1796875" style="19"/>
    <col min="23" max="23" width="31.453125" style="19" bestFit="1" customWidth="1"/>
    <col min="24" max="16384" width="9.1796875" style="19"/>
  </cols>
  <sheetData>
    <row r="1" spans="1:24" ht="16" thickBot="1" x14ac:dyDescent="0.4">
      <c r="A1" s="3"/>
    </row>
    <row r="2" spans="1:24" x14ac:dyDescent="0.35">
      <c r="B2" s="63"/>
      <c r="C2" s="28"/>
      <c r="D2" s="28"/>
      <c r="E2" s="28"/>
      <c r="F2" s="28"/>
      <c r="G2" s="28"/>
      <c r="H2" s="28"/>
      <c r="I2" s="28"/>
      <c r="J2" s="28"/>
      <c r="K2" s="28"/>
      <c r="L2" s="28"/>
      <c r="M2" s="28"/>
      <c r="N2" s="28"/>
      <c r="O2" s="28"/>
      <c r="P2" s="28"/>
      <c r="Q2" s="28"/>
      <c r="R2" s="28"/>
      <c r="S2" s="28"/>
      <c r="T2" s="28"/>
      <c r="U2" s="24"/>
    </row>
    <row r="3" spans="1:24" ht="20" x14ac:dyDescent="0.35">
      <c r="B3" s="64"/>
      <c r="C3" s="312" t="s">
        <v>298</v>
      </c>
      <c r="D3" s="313"/>
      <c r="E3" s="313"/>
      <c r="F3" s="313"/>
      <c r="G3" s="313"/>
      <c r="H3" s="313"/>
      <c r="I3" s="313"/>
      <c r="J3" s="313"/>
      <c r="K3" s="313"/>
      <c r="L3" s="313"/>
      <c r="M3" s="313"/>
      <c r="N3" s="313"/>
      <c r="O3" s="313"/>
      <c r="P3" s="313"/>
      <c r="Q3" s="313"/>
      <c r="R3" s="313"/>
      <c r="S3" s="313"/>
      <c r="T3" s="65"/>
      <c r="U3" s="66"/>
    </row>
    <row r="4" spans="1:24" ht="15.5" x14ac:dyDescent="0.35">
      <c r="B4" s="64"/>
      <c r="C4" s="67" t="s">
        <v>434</v>
      </c>
      <c r="D4" s="29"/>
      <c r="E4" s="29"/>
      <c r="F4" s="29"/>
      <c r="G4" s="29"/>
      <c r="H4" s="29"/>
      <c r="I4" s="29"/>
      <c r="J4" s="29"/>
      <c r="K4" s="29"/>
      <c r="L4" s="29"/>
      <c r="M4" s="29"/>
      <c r="N4" s="29"/>
      <c r="O4" s="29"/>
      <c r="P4" s="29"/>
      <c r="Q4" s="29"/>
      <c r="R4" s="29"/>
      <c r="S4" s="29"/>
      <c r="T4" s="29"/>
      <c r="U4" s="25"/>
    </row>
    <row r="5" spans="1:24" ht="20" x14ac:dyDescent="0.35">
      <c r="B5" s="64"/>
      <c r="C5" s="211" t="s">
        <v>435</v>
      </c>
      <c r="D5" s="316" t="s">
        <v>429</v>
      </c>
      <c r="E5" s="316"/>
      <c r="F5" s="29"/>
      <c r="G5" s="29"/>
      <c r="H5" s="29"/>
      <c r="I5" s="29"/>
      <c r="J5" s="29"/>
      <c r="K5" s="29"/>
      <c r="L5" s="29"/>
      <c r="M5" s="29"/>
      <c r="N5" s="29"/>
      <c r="O5" s="29"/>
      <c r="P5" s="29"/>
      <c r="Q5" s="29"/>
      <c r="R5" s="29"/>
      <c r="S5" s="29"/>
      <c r="T5" s="29"/>
      <c r="U5" s="25"/>
    </row>
    <row r="6" spans="1:24" x14ac:dyDescent="0.35">
      <c r="B6" s="64"/>
      <c r="C6" s="29"/>
      <c r="D6" s="29"/>
      <c r="E6" s="29"/>
      <c r="F6" s="29"/>
      <c r="G6" s="29"/>
      <c r="H6" s="29"/>
      <c r="I6" s="29"/>
      <c r="J6" s="29"/>
      <c r="K6" s="29"/>
      <c r="L6" s="29"/>
      <c r="M6" s="29"/>
      <c r="N6" s="29"/>
      <c r="O6" s="29"/>
      <c r="P6" s="29"/>
      <c r="Q6" s="29"/>
      <c r="R6" s="29"/>
      <c r="S6" s="29"/>
      <c r="T6" s="29"/>
      <c r="U6" s="25"/>
    </row>
    <row r="7" spans="1:24" ht="15.5" x14ac:dyDescent="0.35">
      <c r="B7" s="64"/>
      <c r="C7" s="68" t="s">
        <v>0</v>
      </c>
      <c r="D7" s="69" t="s">
        <v>1</v>
      </c>
      <c r="E7" s="70" t="s">
        <v>2</v>
      </c>
      <c r="F7" s="29"/>
      <c r="G7" s="29"/>
      <c r="H7" s="29"/>
      <c r="I7" s="29"/>
      <c r="J7" s="29"/>
      <c r="K7" s="29"/>
      <c r="L7" s="29"/>
      <c r="M7" s="29"/>
      <c r="N7" s="29"/>
      <c r="O7" s="29"/>
      <c r="P7" s="29"/>
      <c r="Q7" s="29"/>
      <c r="R7" s="29"/>
      <c r="S7" s="29"/>
      <c r="T7" s="29"/>
      <c r="U7" s="25"/>
      <c r="W7" s="39" t="s">
        <v>22</v>
      </c>
      <c r="X7" s="39" t="s">
        <v>2</v>
      </c>
    </row>
    <row r="8" spans="1:24" ht="15.5" x14ac:dyDescent="0.35">
      <c r="B8" s="64"/>
      <c r="C8" s="184" t="s">
        <v>287</v>
      </c>
      <c r="D8" s="185" t="s">
        <v>109</v>
      </c>
      <c r="E8" s="186">
        <v>5.8487999999999998E-2</v>
      </c>
      <c r="F8" s="29"/>
      <c r="G8" s="29"/>
      <c r="H8" s="29"/>
      <c r="I8" s="29"/>
      <c r="J8" s="29"/>
      <c r="K8" s="29"/>
      <c r="L8" s="29"/>
      <c r="M8" s="29"/>
      <c r="N8" s="29"/>
      <c r="O8" s="29"/>
      <c r="P8" s="29"/>
      <c r="Q8" s="29"/>
      <c r="R8" s="29"/>
      <c r="S8" s="29"/>
      <c r="T8" s="29"/>
      <c r="U8" s="25"/>
      <c r="W8" s="173" t="s">
        <v>105</v>
      </c>
      <c r="X8" s="224">
        <v>0.151286</v>
      </c>
    </row>
    <row r="9" spans="1:24" ht="15.5" x14ac:dyDescent="0.35">
      <c r="B9" s="64"/>
      <c r="C9" s="180" t="s">
        <v>118</v>
      </c>
      <c r="D9" s="187" t="s">
        <v>110</v>
      </c>
      <c r="E9" s="188">
        <v>5.5676999999999997E-2</v>
      </c>
      <c r="F9" s="29"/>
      <c r="G9" s="29"/>
      <c r="H9" s="29"/>
      <c r="I9" s="29"/>
      <c r="J9" s="29"/>
      <c r="K9" s="29"/>
      <c r="L9" s="29"/>
      <c r="M9" s="29"/>
      <c r="N9" s="29"/>
      <c r="O9" s="29"/>
      <c r="P9" s="29"/>
      <c r="Q9" s="29"/>
      <c r="R9" s="29"/>
      <c r="S9" s="29"/>
      <c r="T9" s="29"/>
      <c r="U9" s="25"/>
      <c r="W9" s="173" t="s">
        <v>109</v>
      </c>
      <c r="X9" s="224">
        <v>0.14381500000000003</v>
      </c>
    </row>
    <row r="10" spans="1:24" ht="15.5" x14ac:dyDescent="0.35">
      <c r="B10" s="64"/>
      <c r="C10" s="180" t="s">
        <v>229</v>
      </c>
      <c r="D10" s="187" t="s">
        <v>16</v>
      </c>
      <c r="E10" s="188">
        <v>5.1558E-2</v>
      </c>
      <c r="F10" s="29"/>
      <c r="G10" s="29"/>
      <c r="H10" s="29"/>
      <c r="I10" s="29"/>
      <c r="J10" s="29"/>
      <c r="K10" s="29"/>
      <c r="L10" s="29"/>
      <c r="M10" s="29"/>
      <c r="N10" s="29"/>
      <c r="O10" s="29"/>
      <c r="P10" s="29"/>
      <c r="Q10" s="29"/>
      <c r="R10" s="29"/>
      <c r="S10" s="29"/>
      <c r="T10" s="29"/>
      <c r="U10" s="25"/>
      <c r="W10" s="173" t="s">
        <v>26</v>
      </c>
      <c r="X10" s="224">
        <v>0.12872500000000001</v>
      </c>
    </row>
    <row r="11" spans="1:24" ht="15.5" x14ac:dyDescent="0.35">
      <c r="B11" s="64"/>
      <c r="C11" s="180" t="s">
        <v>186</v>
      </c>
      <c r="D11" s="187" t="s">
        <v>105</v>
      </c>
      <c r="E11" s="188">
        <v>5.0048000000000002E-2</v>
      </c>
      <c r="F11" s="29"/>
      <c r="G11" s="29"/>
      <c r="H11" s="29"/>
      <c r="I11" s="29"/>
      <c r="J11" s="29"/>
      <c r="K11" s="29"/>
      <c r="L11" s="29"/>
      <c r="M11" s="29"/>
      <c r="N11" s="29"/>
      <c r="O11" s="29"/>
      <c r="P11" s="29"/>
      <c r="Q11" s="29"/>
      <c r="R11" s="29"/>
      <c r="S11" s="29"/>
      <c r="T11" s="29"/>
      <c r="U11" s="25"/>
      <c r="W11" s="173" t="s">
        <v>83</v>
      </c>
      <c r="X11" s="224">
        <v>0.10436700000000002</v>
      </c>
    </row>
    <row r="12" spans="1:24" ht="15.5" x14ac:dyDescent="0.35">
      <c r="B12" s="64"/>
      <c r="C12" s="180" t="s">
        <v>92</v>
      </c>
      <c r="D12" s="187" t="s">
        <v>82</v>
      </c>
      <c r="E12" s="188">
        <v>4.9527000000000002E-2</v>
      </c>
      <c r="F12" s="29"/>
      <c r="G12" s="29"/>
      <c r="H12" s="29"/>
      <c r="I12" s="29"/>
      <c r="J12" s="29"/>
      <c r="K12" s="29"/>
      <c r="L12" s="29"/>
      <c r="M12" s="29"/>
      <c r="N12" s="29"/>
      <c r="O12" s="29"/>
      <c r="P12" s="29"/>
      <c r="Q12" s="29"/>
      <c r="R12" s="29"/>
      <c r="S12" s="29"/>
      <c r="T12" s="29"/>
      <c r="U12" s="25"/>
      <c r="W12" s="173" t="s">
        <v>16</v>
      </c>
      <c r="X12" s="224">
        <v>9.5863999999999991E-2</v>
      </c>
    </row>
    <row r="13" spans="1:24" ht="15.5" x14ac:dyDescent="0.35">
      <c r="B13" s="64"/>
      <c r="C13" s="180" t="s">
        <v>235</v>
      </c>
      <c r="D13" s="187" t="s">
        <v>83</v>
      </c>
      <c r="E13" s="188">
        <v>4.8548000000000001E-2</v>
      </c>
      <c r="F13" s="29"/>
      <c r="G13" s="29"/>
      <c r="H13" s="29"/>
      <c r="I13" s="29"/>
      <c r="J13" s="29"/>
      <c r="K13" s="29"/>
      <c r="L13" s="29"/>
      <c r="M13" s="29"/>
      <c r="N13" s="29"/>
      <c r="O13" s="29"/>
      <c r="P13" s="29"/>
      <c r="Q13" s="29"/>
      <c r="R13" s="29"/>
      <c r="S13" s="29"/>
      <c r="T13" s="29"/>
      <c r="U13" s="25"/>
      <c r="W13" s="173" t="s">
        <v>110</v>
      </c>
      <c r="X13" s="224">
        <v>5.5676999999999997E-2</v>
      </c>
    </row>
    <row r="14" spans="1:24" ht="15.5" x14ac:dyDescent="0.35">
      <c r="B14" s="64"/>
      <c r="C14" s="180" t="s">
        <v>378</v>
      </c>
      <c r="D14" s="187" t="s">
        <v>26</v>
      </c>
      <c r="E14" s="188">
        <v>4.8139000000000001E-2</v>
      </c>
      <c r="F14" s="29"/>
      <c r="G14" s="29"/>
      <c r="H14" s="29"/>
      <c r="I14" s="29"/>
      <c r="J14" s="29"/>
      <c r="K14" s="29"/>
      <c r="L14" s="29"/>
      <c r="M14" s="29"/>
      <c r="N14" s="29"/>
      <c r="O14" s="29"/>
      <c r="P14" s="29"/>
      <c r="Q14" s="29"/>
      <c r="R14" s="29"/>
      <c r="S14" s="29"/>
      <c r="T14" s="29"/>
      <c r="U14" s="25"/>
      <c r="W14" s="173" t="s">
        <v>82</v>
      </c>
      <c r="X14" s="224">
        <v>4.9527000000000002E-2</v>
      </c>
    </row>
    <row r="15" spans="1:24" ht="15.5" x14ac:dyDescent="0.35">
      <c r="B15" s="64"/>
      <c r="C15" s="180" t="s">
        <v>183</v>
      </c>
      <c r="D15" s="187" t="s">
        <v>105</v>
      </c>
      <c r="E15" s="188">
        <v>4.7066999999999998E-2</v>
      </c>
      <c r="F15" s="29"/>
      <c r="G15" s="29"/>
      <c r="H15" s="29"/>
      <c r="I15" s="29"/>
      <c r="J15" s="29"/>
      <c r="K15" s="29"/>
      <c r="L15" s="29"/>
      <c r="M15" s="29"/>
      <c r="N15" s="29"/>
      <c r="O15" s="29"/>
      <c r="P15" s="29"/>
      <c r="Q15" s="29"/>
      <c r="R15" s="29"/>
      <c r="S15" s="29"/>
      <c r="T15" s="29"/>
      <c r="U15" s="25"/>
      <c r="W15" s="173" t="s">
        <v>104</v>
      </c>
      <c r="X15" s="224">
        <v>4.0932999999999997E-2</v>
      </c>
    </row>
    <row r="16" spans="1:24" ht="15.5" x14ac:dyDescent="0.35">
      <c r="B16" s="64"/>
      <c r="C16" s="180" t="s">
        <v>136</v>
      </c>
      <c r="D16" s="187" t="s">
        <v>26</v>
      </c>
      <c r="E16" s="188">
        <v>4.1417000000000002E-2</v>
      </c>
      <c r="F16" s="29"/>
      <c r="G16" s="29"/>
      <c r="H16" s="29"/>
      <c r="I16" s="29"/>
      <c r="J16" s="29"/>
      <c r="K16" s="29"/>
      <c r="L16" s="29"/>
      <c r="M16" s="29"/>
      <c r="N16" s="29"/>
      <c r="O16" s="29"/>
      <c r="P16" s="29"/>
      <c r="Q16" s="29"/>
      <c r="R16" s="29"/>
      <c r="S16" s="29"/>
      <c r="T16" s="29"/>
      <c r="U16" s="25"/>
      <c r="W16" s="173" t="s">
        <v>181</v>
      </c>
      <c r="X16" s="224">
        <v>3.7269999999999998E-2</v>
      </c>
    </row>
    <row r="17" spans="2:24" ht="15.5" x14ac:dyDescent="0.35">
      <c r="B17" s="64"/>
      <c r="C17" s="180" t="s">
        <v>225</v>
      </c>
      <c r="D17" s="187" t="s">
        <v>26</v>
      </c>
      <c r="E17" s="188">
        <v>3.9169000000000002E-2</v>
      </c>
      <c r="F17" s="29"/>
      <c r="G17" s="29"/>
      <c r="H17" s="29"/>
      <c r="I17" s="29"/>
      <c r="J17" s="29"/>
      <c r="K17" s="29"/>
      <c r="L17" s="29"/>
      <c r="M17" s="29"/>
      <c r="N17" s="29"/>
      <c r="O17" s="29"/>
      <c r="P17" s="29"/>
      <c r="Q17" s="29"/>
      <c r="R17" s="29"/>
      <c r="S17" s="29"/>
      <c r="T17" s="29"/>
      <c r="U17" s="25"/>
      <c r="W17" s="173" t="s">
        <v>117</v>
      </c>
      <c r="X17" s="224">
        <v>3.3674000000000003E-2</v>
      </c>
    </row>
    <row r="18" spans="2:24" ht="15.5" x14ac:dyDescent="0.35">
      <c r="B18" s="64"/>
      <c r="C18" s="180" t="s">
        <v>217</v>
      </c>
      <c r="D18" s="187" t="s">
        <v>181</v>
      </c>
      <c r="E18" s="188">
        <v>3.7269999999999998E-2</v>
      </c>
      <c r="F18" s="29"/>
      <c r="G18" s="29"/>
      <c r="H18" s="29"/>
      <c r="I18" s="29"/>
      <c r="J18" s="29"/>
      <c r="K18" s="29"/>
      <c r="L18" s="29"/>
      <c r="M18" s="29"/>
      <c r="N18" s="29"/>
      <c r="O18" s="29"/>
      <c r="P18" s="29"/>
      <c r="Q18" s="29"/>
      <c r="R18" s="29"/>
      <c r="S18" s="29"/>
      <c r="T18" s="29"/>
      <c r="U18" s="25"/>
      <c r="W18" s="173" t="s">
        <v>75</v>
      </c>
      <c r="X18" s="224">
        <v>2.3355000000000001E-2</v>
      </c>
    </row>
    <row r="19" spans="2:24" ht="15.5" x14ac:dyDescent="0.35">
      <c r="B19" s="64"/>
      <c r="C19" s="180" t="s">
        <v>188</v>
      </c>
      <c r="D19" s="187" t="s">
        <v>105</v>
      </c>
      <c r="E19" s="188">
        <v>3.6069999999999998E-2</v>
      </c>
      <c r="F19" s="29"/>
      <c r="G19" s="29"/>
      <c r="H19" s="29"/>
      <c r="I19" s="29"/>
      <c r="J19" s="29"/>
      <c r="K19" s="29"/>
      <c r="L19" s="29"/>
      <c r="M19" s="29"/>
      <c r="N19" s="29"/>
      <c r="O19" s="29"/>
      <c r="P19" s="29"/>
      <c r="Q19" s="29"/>
      <c r="R19" s="29"/>
      <c r="S19" s="29"/>
      <c r="T19" s="29"/>
      <c r="U19" s="25"/>
      <c r="W19" s="173" t="s">
        <v>135</v>
      </c>
      <c r="X19" s="224">
        <v>2.1224E-2</v>
      </c>
    </row>
    <row r="20" spans="2:24" ht="15.5" x14ac:dyDescent="0.35">
      <c r="B20" s="64"/>
      <c r="C20" s="180" t="s">
        <v>288</v>
      </c>
      <c r="D20" s="187" t="s">
        <v>109</v>
      </c>
      <c r="E20" s="188">
        <v>3.0589999999999999E-2</v>
      </c>
      <c r="F20" s="29"/>
      <c r="G20" s="29"/>
      <c r="H20" s="29"/>
      <c r="I20" s="29"/>
      <c r="J20" s="29"/>
      <c r="K20" s="29"/>
      <c r="L20" s="29"/>
      <c r="M20" s="29"/>
      <c r="N20" s="29"/>
      <c r="O20" s="29"/>
      <c r="P20" s="29"/>
      <c r="Q20" s="29"/>
      <c r="R20" s="29"/>
      <c r="S20" s="29"/>
      <c r="T20" s="29"/>
      <c r="U20" s="25"/>
      <c r="W20" s="173" t="s">
        <v>114</v>
      </c>
      <c r="X20" s="224">
        <v>1.9224000000000002E-2</v>
      </c>
    </row>
    <row r="21" spans="2:24" ht="15.5" x14ac:dyDescent="0.35">
      <c r="B21" s="64"/>
      <c r="C21" s="180" t="s">
        <v>325</v>
      </c>
      <c r="D21" s="187" t="s">
        <v>104</v>
      </c>
      <c r="E21" s="188">
        <v>2.7881E-2</v>
      </c>
      <c r="F21" s="29"/>
      <c r="G21" s="29"/>
      <c r="H21" s="29"/>
      <c r="I21" s="29"/>
      <c r="J21" s="29"/>
      <c r="K21" s="29"/>
      <c r="L21" s="29"/>
      <c r="M21" s="29"/>
      <c r="N21" s="29"/>
      <c r="O21" s="29"/>
      <c r="P21" s="29"/>
      <c r="Q21" s="29"/>
      <c r="R21" s="29"/>
      <c r="S21" s="29"/>
      <c r="T21" s="29"/>
      <c r="U21" s="25"/>
      <c r="W21" s="173" t="s">
        <v>116</v>
      </c>
      <c r="X21" s="224">
        <v>1.5528999999999999E-2</v>
      </c>
    </row>
    <row r="22" spans="2:24" ht="15.5" x14ac:dyDescent="0.35">
      <c r="B22" s="64"/>
      <c r="C22" s="180" t="s">
        <v>289</v>
      </c>
      <c r="D22" s="187" t="s">
        <v>75</v>
      </c>
      <c r="E22" s="188">
        <v>2.3355000000000001E-2</v>
      </c>
      <c r="F22" s="29"/>
      <c r="G22" s="29"/>
      <c r="H22" s="29"/>
      <c r="I22" s="29"/>
      <c r="J22" s="29"/>
      <c r="K22" s="29"/>
      <c r="L22" s="29"/>
      <c r="M22" s="29"/>
      <c r="N22" s="29"/>
      <c r="O22" s="29"/>
      <c r="P22" s="29"/>
      <c r="Q22" s="29"/>
      <c r="R22" s="29"/>
      <c r="S22" s="29"/>
      <c r="T22" s="29"/>
      <c r="U22" s="25"/>
      <c r="W22" s="173" t="s">
        <v>13</v>
      </c>
      <c r="X22" s="224">
        <v>1.1771999999999999E-2</v>
      </c>
    </row>
    <row r="23" spans="2:24" ht="15.5" x14ac:dyDescent="0.35">
      <c r="B23" s="64"/>
      <c r="C23" s="71"/>
      <c r="D23" s="71"/>
      <c r="E23" s="72"/>
      <c r="F23" s="29"/>
      <c r="G23" s="29"/>
      <c r="H23" s="29"/>
      <c r="I23" s="29"/>
      <c r="J23" s="29"/>
      <c r="K23" s="29"/>
      <c r="L23" s="29"/>
      <c r="M23" s="29"/>
      <c r="N23" s="29"/>
      <c r="O23" s="29"/>
      <c r="P23" s="29"/>
      <c r="Q23" s="29"/>
      <c r="R23" s="29"/>
      <c r="S23" s="29"/>
      <c r="T23" s="29"/>
      <c r="U23" s="25"/>
      <c r="W23" s="173" t="s">
        <v>4</v>
      </c>
      <c r="X23" s="224">
        <v>1.1254999999999999E-2</v>
      </c>
    </row>
    <row r="24" spans="2:24" ht="15.5" x14ac:dyDescent="0.35">
      <c r="B24" s="64"/>
      <c r="C24" s="73" t="s">
        <v>55</v>
      </c>
      <c r="D24" s="74"/>
      <c r="E24" s="75">
        <f>SUM(E8:E22)</f>
        <v>0.64480400000000004</v>
      </c>
      <c r="F24" s="29"/>
      <c r="G24" s="29"/>
      <c r="H24" s="29"/>
      <c r="I24" s="29"/>
      <c r="J24" s="29"/>
      <c r="K24" s="29"/>
      <c r="L24" s="29"/>
      <c r="M24" s="29"/>
      <c r="N24" s="29"/>
      <c r="O24" s="29"/>
      <c r="P24" s="29"/>
      <c r="Q24" s="29"/>
      <c r="R24" s="29"/>
      <c r="S24" s="29"/>
      <c r="T24" s="29"/>
      <c r="U24" s="25"/>
      <c r="W24" s="173" t="s">
        <v>144</v>
      </c>
      <c r="X24" s="224">
        <v>1.0076999999999999E-2</v>
      </c>
    </row>
    <row r="25" spans="2:24" x14ac:dyDescent="0.35">
      <c r="B25" s="64"/>
      <c r="C25" s="29"/>
      <c r="D25" s="29"/>
      <c r="E25" s="29"/>
      <c r="F25" s="29"/>
      <c r="G25" s="29"/>
      <c r="H25" s="29"/>
      <c r="I25" s="29"/>
      <c r="J25" s="29"/>
      <c r="K25" s="29"/>
      <c r="L25" s="29"/>
      <c r="M25" s="29"/>
      <c r="N25" s="29"/>
      <c r="O25" s="29"/>
      <c r="P25" s="29"/>
      <c r="Q25" s="29"/>
      <c r="R25" s="29"/>
      <c r="S25" s="29"/>
      <c r="T25" s="29"/>
      <c r="U25" s="25"/>
      <c r="W25" s="173" t="s">
        <v>124</v>
      </c>
      <c r="X25" s="224">
        <v>9.0060000000000001E-3</v>
      </c>
    </row>
    <row r="26" spans="2:24" x14ac:dyDescent="0.35">
      <c r="B26" s="64"/>
      <c r="C26" s="29"/>
      <c r="D26" s="29"/>
      <c r="E26" s="29"/>
      <c r="F26" s="29"/>
      <c r="G26" s="29"/>
      <c r="H26" s="29"/>
      <c r="I26" s="29"/>
      <c r="J26" s="29"/>
      <c r="K26" s="29"/>
      <c r="L26" s="29"/>
      <c r="M26" s="29"/>
      <c r="N26" s="29"/>
      <c r="O26" s="29"/>
      <c r="P26" s="29"/>
      <c r="Q26" s="29"/>
      <c r="R26" s="29"/>
      <c r="S26" s="29"/>
      <c r="T26" s="29"/>
      <c r="U26" s="25"/>
      <c r="W26" s="173" t="s">
        <v>15</v>
      </c>
      <c r="X26" s="224">
        <v>8.4840000000000002E-3</v>
      </c>
    </row>
    <row r="27" spans="2:24" x14ac:dyDescent="0.35">
      <c r="B27" s="64"/>
      <c r="C27" s="29"/>
      <c r="D27" s="29"/>
      <c r="E27" s="29"/>
      <c r="F27" s="29"/>
      <c r="G27" s="29"/>
      <c r="H27" s="29"/>
      <c r="I27" s="29"/>
      <c r="J27" s="29"/>
      <c r="K27" s="29"/>
      <c r="L27" s="29"/>
      <c r="M27" s="29"/>
      <c r="N27" s="29"/>
      <c r="O27" s="29"/>
      <c r="P27" s="29"/>
      <c r="Q27" s="29"/>
      <c r="R27" s="29"/>
      <c r="S27" s="29"/>
      <c r="T27" s="29"/>
      <c r="U27" s="25"/>
      <c r="W27" s="61" t="s">
        <v>126</v>
      </c>
      <c r="X27" s="62">
        <v>7.208E-3</v>
      </c>
    </row>
    <row r="28" spans="2:24" x14ac:dyDescent="0.35">
      <c r="B28" s="64"/>
      <c r="C28" s="29"/>
      <c r="D28" s="29"/>
      <c r="E28" s="29"/>
      <c r="F28" s="29"/>
      <c r="G28" s="29"/>
      <c r="H28" s="29"/>
      <c r="I28" s="29"/>
      <c r="J28" s="29"/>
      <c r="K28" s="29"/>
      <c r="L28" s="29"/>
      <c r="M28" s="29"/>
      <c r="N28" s="29"/>
      <c r="O28" s="29"/>
      <c r="P28" s="29"/>
      <c r="Q28" s="29"/>
      <c r="R28" s="29"/>
      <c r="S28" s="29"/>
      <c r="T28" s="29"/>
      <c r="U28" s="25"/>
      <c r="W28" s="61" t="s">
        <v>211</v>
      </c>
      <c r="X28" s="62">
        <v>6.1240000000000001E-3</v>
      </c>
    </row>
    <row r="29" spans="2:24" x14ac:dyDescent="0.35">
      <c r="B29" s="64"/>
      <c r="C29" s="29"/>
      <c r="D29" s="29"/>
      <c r="E29" s="29"/>
      <c r="F29" s="29"/>
      <c r="G29" s="29"/>
      <c r="H29" s="29"/>
      <c r="I29" s="29"/>
      <c r="J29" s="29"/>
      <c r="K29" s="29"/>
      <c r="L29" s="29"/>
      <c r="M29" s="29"/>
      <c r="N29" s="29"/>
      <c r="O29" s="29"/>
      <c r="P29" s="29"/>
      <c r="Q29" s="29"/>
      <c r="R29" s="29"/>
      <c r="S29" s="29"/>
      <c r="T29" s="29"/>
      <c r="U29" s="25"/>
      <c r="W29" s="61" t="s">
        <v>23</v>
      </c>
      <c r="X29" s="62">
        <v>5.4010000000000004E-3</v>
      </c>
    </row>
    <row r="30" spans="2:24" x14ac:dyDescent="0.35">
      <c r="B30" s="64"/>
      <c r="C30" s="29"/>
      <c r="D30" s="29"/>
      <c r="E30" s="29"/>
      <c r="F30" s="29"/>
      <c r="G30" s="29"/>
      <c r="H30" s="29"/>
      <c r="I30" s="29"/>
      <c r="J30" s="29"/>
      <c r="K30" s="29"/>
      <c r="L30" s="29"/>
      <c r="M30" s="29"/>
      <c r="N30" s="29"/>
      <c r="O30" s="29"/>
      <c r="P30" s="29"/>
      <c r="Q30" s="29"/>
      <c r="R30" s="29"/>
      <c r="S30" s="29"/>
      <c r="T30" s="29"/>
      <c r="U30" s="25"/>
      <c r="W30" s="61" t="s">
        <v>111</v>
      </c>
      <c r="X30" s="62">
        <v>5.1279999999999997E-3</v>
      </c>
    </row>
    <row r="31" spans="2:24" x14ac:dyDescent="0.35">
      <c r="B31" s="64"/>
      <c r="C31" s="29"/>
      <c r="D31" s="29"/>
      <c r="E31" s="29"/>
      <c r="F31" s="29"/>
      <c r="G31" s="29"/>
      <c r="H31" s="29"/>
      <c r="I31" s="29"/>
      <c r="J31" s="29"/>
      <c r="K31" s="29"/>
      <c r="L31" s="29"/>
      <c r="M31" s="29"/>
      <c r="N31" s="29"/>
      <c r="O31" s="29"/>
      <c r="P31" s="29"/>
      <c r="Q31" s="29"/>
      <c r="R31" s="29"/>
      <c r="S31" s="29"/>
      <c r="T31" s="29"/>
      <c r="U31" s="25"/>
      <c r="W31" s="61" t="s">
        <v>81</v>
      </c>
      <c r="X31" s="62">
        <v>2.4020000000000001E-3</v>
      </c>
    </row>
    <row r="32" spans="2:24" x14ac:dyDescent="0.35">
      <c r="B32" s="64"/>
      <c r="C32" s="29"/>
      <c r="D32" s="29"/>
      <c r="E32" s="29"/>
      <c r="F32" s="29"/>
      <c r="G32" s="29"/>
      <c r="H32" s="29"/>
      <c r="I32" s="29"/>
      <c r="J32" s="29"/>
      <c r="K32" s="29"/>
      <c r="L32" s="29"/>
      <c r="M32" s="29"/>
      <c r="N32" s="29"/>
      <c r="O32" s="29"/>
      <c r="P32" s="29"/>
      <c r="Q32" s="29"/>
      <c r="R32" s="29"/>
      <c r="S32" s="29"/>
      <c r="T32" s="29"/>
      <c r="U32" s="25"/>
      <c r="W32" s="61" t="s">
        <v>112</v>
      </c>
      <c r="X32" s="62">
        <v>1.6559999999999999E-3</v>
      </c>
    </row>
    <row r="33" spans="2:24" x14ac:dyDescent="0.35">
      <c r="B33" s="64"/>
      <c r="C33" s="29"/>
      <c r="D33" s="29"/>
      <c r="E33" s="29"/>
      <c r="F33" s="29"/>
      <c r="G33" s="29"/>
      <c r="H33" s="29"/>
      <c r="I33" s="29"/>
      <c r="J33" s="29"/>
      <c r="K33" s="29"/>
      <c r="L33" s="29"/>
      <c r="M33" s="29"/>
      <c r="N33" s="29"/>
      <c r="O33" s="29"/>
      <c r="P33" s="29"/>
      <c r="Q33" s="29"/>
      <c r="R33" s="29"/>
      <c r="S33" s="29"/>
      <c r="T33" s="29"/>
      <c r="U33" s="25"/>
      <c r="W33" s="61"/>
      <c r="X33" s="62"/>
    </row>
    <row r="34" spans="2:24" x14ac:dyDescent="0.35">
      <c r="B34" s="64"/>
      <c r="C34" s="29"/>
      <c r="D34" s="29"/>
      <c r="E34" s="29"/>
      <c r="F34" s="29"/>
      <c r="G34" s="29"/>
      <c r="H34" s="29"/>
      <c r="I34" s="29"/>
      <c r="J34" s="29"/>
      <c r="K34" s="29"/>
      <c r="L34" s="29"/>
      <c r="M34" s="29"/>
      <c r="N34" s="29"/>
      <c r="O34" s="29"/>
      <c r="P34" s="29"/>
      <c r="Q34" s="29"/>
      <c r="R34" s="29"/>
      <c r="S34" s="29"/>
      <c r="T34" s="29"/>
      <c r="U34" s="25"/>
      <c r="W34" s="61"/>
      <c r="X34" s="62"/>
    </row>
    <row r="35" spans="2:24" x14ac:dyDescent="0.35">
      <c r="B35" s="64"/>
      <c r="C35" s="29"/>
      <c r="D35" s="29"/>
      <c r="E35" s="29"/>
      <c r="F35" s="29"/>
      <c r="G35" s="29"/>
      <c r="H35" s="29"/>
      <c r="I35" s="29"/>
      <c r="J35" s="29"/>
      <c r="K35" s="29"/>
      <c r="L35" s="29"/>
      <c r="M35" s="29"/>
      <c r="N35" s="29"/>
      <c r="O35" s="29"/>
      <c r="P35" s="29"/>
      <c r="Q35" s="29"/>
      <c r="R35" s="29"/>
      <c r="S35" s="29"/>
      <c r="T35" s="29"/>
      <c r="U35" s="25"/>
      <c r="W35" s="61"/>
      <c r="X35" s="62"/>
    </row>
    <row r="36" spans="2:24" x14ac:dyDescent="0.35">
      <c r="B36" s="64"/>
      <c r="C36" s="29"/>
      <c r="D36" s="29"/>
      <c r="E36" s="29"/>
      <c r="F36" s="29"/>
      <c r="G36" s="29"/>
      <c r="H36" s="29"/>
      <c r="I36" s="29"/>
      <c r="J36" s="29"/>
      <c r="K36" s="29"/>
      <c r="L36" s="29"/>
      <c r="M36" s="29"/>
      <c r="N36" s="29"/>
      <c r="O36" s="29"/>
      <c r="P36" s="29"/>
      <c r="Q36" s="29"/>
      <c r="R36" s="29"/>
      <c r="S36" s="29"/>
      <c r="T36" s="29"/>
      <c r="U36" s="25"/>
      <c r="W36" s="61"/>
      <c r="X36" s="62"/>
    </row>
    <row r="37" spans="2:24" ht="15" thickBot="1" x14ac:dyDescent="0.4">
      <c r="B37" s="76"/>
      <c r="C37" s="30"/>
      <c r="D37" s="30"/>
      <c r="E37" s="30"/>
      <c r="F37" s="30"/>
      <c r="G37" s="30"/>
      <c r="H37" s="30"/>
      <c r="I37" s="30"/>
      <c r="J37" s="30"/>
      <c r="K37" s="30"/>
      <c r="L37" s="30"/>
      <c r="M37" s="30"/>
      <c r="N37" s="30"/>
      <c r="O37" s="30"/>
      <c r="P37" s="30"/>
      <c r="Q37" s="30"/>
      <c r="R37" s="30"/>
      <c r="S37" s="30"/>
      <c r="T37" s="30"/>
      <c r="U37" s="26"/>
      <c r="W37" s="61"/>
      <c r="X37" s="62"/>
    </row>
    <row r="38" spans="2:24" ht="15" thickBot="1" x14ac:dyDescent="0.4">
      <c r="W38" s="61"/>
      <c r="X38" s="62"/>
    </row>
    <row r="39" spans="2:24" x14ac:dyDescent="0.35">
      <c r="B39" s="303" t="s">
        <v>179</v>
      </c>
      <c r="C39" s="304"/>
      <c r="D39" s="304"/>
      <c r="E39" s="304"/>
      <c r="F39" s="304"/>
      <c r="G39" s="304"/>
      <c r="H39" s="304"/>
      <c r="I39" s="304"/>
      <c r="J39" s="304"/>
      <c r="K39" s="304"/>
      <c r="L39" s="304"/>
      <c r="M39" s="304"/>
      <c r="N39" s="304"/>
      <c r="O39" s="304"/>
      <c r="P39" s="304"/>
      <c r="Q39" s="304"/>
      <c r="R39" s="305"/>
      <c r="W39" s="61"/>
      <c r="X39" s="62"/>
    </row>
    <row r="40" spans="2:24" x14ac:dyDescent="0.35">
      <c r="B40" s="306"/>
      <c r="C40" s="307"/>
      <c r="D40" s="307"/>
      <c r="E40" s="307"/>
      <c r="F40" s="307"/>
      <c r="G40" s="307"/>
      <c r="H40" s="307"/>
      <c r="I40" s="307"/>
      <c r="J40" s="307"/>
      <c r="K40" s="307"/>
      <c r="L40" s="307"/>
      <c r="M40" s="307"/>
      <c r="N40" s="307"/>
      <c r="O40" s="307"/>
      <c r="P40" s="307"/>
      <c r="Q40" s="307"/>
      <c r="R40" s="308"/>
      <c r="W40" s="61"/>
      <c r="X40" s="62"/>
    </row>
    <row r="41" spans="2:24" x14ac:dyDescent="0.35">
      <c r="B41" s="306"/>
      <c r="C41" s="307"/>
      <c r="D41" s="307"/>
      <c r="E41" s="307"/>
      <c r="F41" s="307"/>
      <c r="G41" s="307"/>
      <c r="H41" s="307"/>
      <c r="I41" s="307"/>
      <c r="J41" s="307"/>
      <c r="K41" s="307"/>
      <c r="L41" s="307"/>
      <c r="M41" s="307"/>
      <c r="N41" s="307"/>
      <c r="O41" s="307"/>
      <c r="P41" s="307"/>
      <c r="Q41" s="307"/>
      <c r="R41" s="308"/>
      <c r="W41" s="61"/>
      <c r="X41" s="62"/>
    </row>
    <row r="42" spans="2:24" x14ac:dyDescent="0.35">
      <c r="B42" s="306"/>
      <c r="C42" s="307"/>
      <c r="D42" s="307"/>
      <c r="E42" s="307"/>
      <c r="F42" s="307"/>
      <c r="G42" s="307"/>
      <c r="H42" s="307"/>
      <c r="I42" s="307"/>
      <c r="J42" s="307"/>
      <c r="K42" s="307"/>
      <c r="L42" s="307"/>
      <c r="M42" s="307"/>
      <c r="N42" s="307"/>
      <c r="O42" s="307"/>
      <c r="P42" s="307"/>
      <c r="Q42" s="307"/>
      <c r="R42" s="308"/>
      <c r="W42" s="61"/>
      <c r="X42" s="62"/>
    </row>
    <row r="43" spans="2:24" x14ac:dyDescent="0.35">
      <c r="B43" s="306"/>
      <c r="C43" s="307"/>
      <c r="D43" s="307"/>
      <c r="E43" s="307"/>
      <c r="F43" s="307"/>
      <c r="G43" s="307"/>
      <c r="H43" s="307"/>
      <c r="I43" s="307"/>
      <c r="J43" s="307"/>
      <c r="K43" s="307"/>
      <c r="L43" s="307"/>
      <c r="M43" s="307"/>
      <c r="N43" s="307"/>
      <c r="O43" s="307"/>
      <c r="P43" s="307"/>
      <c r="Q43" s="307"/>
      <c r="R43" s="308"/>
      <c r="W43" s="61"/>
      <c r="X43" s="62"/>
    </row>
    <row r="44" spans="2:24" x14ac:dyDescent="0.35">
      <c r="B44" s="306"/>
      <c r="C44" s="307"/>
      <c r="D44" s="307"/>
      <c r="E44" s="307"/>
      <c r="F44" s="307"/>
      <c r="G44" s="307"/>
      <c r="H44" s="307"/>
      <c r="I44" s="307"/>
      <c r="J44" s="307"/>
      <c r="K44" s="307"/>
      <c r="L44" s="307"/>
      <c r="M44" s="307"/>
      <c r="N44" s="307"/>
      <c r="O44" s="307"/>
      <c r="P44" s="307"/>
      <c r="Q44" s="307"/>
      <c r="R44" s="308"/>
      <c r="W44" s="61"/>
      <c r="X44" s="62"/>
    </row>
    <row r="45" spans="2:24" ht="15" thickBot="1" x14ac:dyDescent="0.4">
      <c r="B45" s="309"/>
      <c r="C45" s="310"/>
      <c r="D45" s="310"/>
      <c r="E45" s="310"/>
      <c r="F45" s="310"/>
      <c r="G45" s="310"/>
      <c r="H45" s="310"/>
      <c r="I45" s="310"/>
      <c r="J45" s="310"/>
      <c r="K45" s="310"/>
      <c r="L45" s="310"/>
      <c r="M45" s="310"/>
      <c r="N45" s="310"/>
      <c r="O45" s="310"/>
      <c r="P45" s="310"/>
      <c r="Q45" s="310"/>
      <c r="R45" s="311"/>
      <c r="W45" s="61"/>
      <c r="X45" s="62"/>
    </row>
    <row r="46" spans="2:24" x14ac:dyDescent="0.35">
      <c r="W46" s="61"/>
      <c r="X46" s="62"/>
    </row>
    <row r="47" spans="2:24" x14ac:dyDescent="0.35">
      <c r="W47" s="61"/>
      <c r="X47" s="62"/>
    </row>
    <row r="48" spans="2:24" x14ac:dyDescent="0.35">
      <c r="W48" s="61"/>
      <c r="X48" s="62"/>
    </row>
    <row r="49" spans="23:24" x14ac:dyDescent="0.35">
      <c r="W49" s="61"/>
      <c r="X49" s="62"/>
    </row>
    <row r="50" spans="23:24" x14ac:dyDescent="0.35">
      <c r="W50" s="61"/>
      <c r="X50" s="62"/>
    </row>
    <row r="51" spans="23:24" x14ac:dyDescent="0.35">
      <c r="W51" s="61"/>
      <c r="X51" s="62"/>
    </row>
    <row r="52" spans="23:24" x14ac:dyDescent="0.35">
      <c r="W52" s="61"/>
      <c r="X52" s="62"/>
    </row>
    <row r="53" spans="23:24" x14ac:dyDescent="0.35">
      <c r="W53" s="61"/>
      <c r="X53" s="62"/>
    </row>
    <row r="54" spans="23:24" x14ac:dyDescent="0.35">
      <c r="W54" s="61"/>
      <c r="X54" s="62"/>
    </row>
    <row r="55" spans="23:24" x14ac:dyDescent="0.35">
      <c r="W55" s="61"/>
      <c r="X55" s="62"/>
    </row>
    <row r="56" spans="23:24" x14ac:dyDescent="0.35">
      <c r="W56" s="61"/>
      <c r="X56" s="62"/>
    </row>
    <row r="57" spans="23:24" x14ac:dyDescent="0.35">
      <c r="W57" s="61"/>
      <c r="X57" s="62"/>
    </row>
    <row r="58" spans="23:24" x14ac:dyDescent="0.35">
      <c r="W58" s="61"/>
      <c r="X58" s="62"/>
    </row>
    <row r="59" spans="23:24" x14ac:dyDescent="0.35">
      <c r="W59" s="61"/>
      <c r="X59" s="62"/>
    </row>
    <row r="60" spans="23:24" x14ac:dyDescent="0.35">
      <c r="W60" s="61"/>
      <c r="X60" s="62"/>
    </row>
    <row r="61" spans="23:24" x14ac:dyDescent="0.35">
      <c r="W61" s="61"/>
      <c r="X61" s="62"/>
    </row>
    <row r="62" spans="23:24" x14ac:dyDescent="0.35">
      <c r="W62" s="61"/>
      <c r="X62" s="62"/>
    </row>
    <row r="63" spans="23:24" x14ac:dyDescent="0.35">
      <c r="W63" s="61"/>
      <c r="X63" s="62"/>
    </row>
  </sheetData>
  <mergeCells count="3">
    <mergeCell ref="C3:S3"/>
    <mergeCell ref="D5:E5"/>
    <mergeCell ref="B39:R45"/>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71A656-699F-49FA-AFEA-3B9C620C7EA4}">
  <dimension ref="A1:X63"/>
  <sheetViews>
    <sheetView showGridLines="0" zoomScale="77" zoomScaleNormal="75" workbookViewId="0"/>
  </sheetViews>
  <sheetFormatPr defaultColWidth="9.1796875" defaultRowHeight="14.5" x14ac:dyDescent="0.35"/>
  <cols>
    <col min="1" max="1" width="2.81640625" style="19" customWidth="1"/>
    <col min="2" max="2" width="3.81640625" style="19" customWidth="1"/>
    <col min="3" max="3" width="59.7265625" style="19" bestFit="1" customWidth="1"/>
    <col min="4" max="4" width="35.54296875" style="19" customWidth="1"/>
    <col min="5" max="5" width="10.453125" style="19" bestFit="1" customWidth="1"/>
    <col min="6" max="18" width="9.1796875" style="19"/>
    <col min="19" max="19" width="9.81640625" style="19" customWidth="1"/>
    <col min="20" max="22" width="9.1796875" style="19"/>
    <col min="23" max="23" width="31.453125" style="19" bestFit="1" customWidth="1"/>
    <col min="24" max="16384" width="9.1796875" style="19"/>
  </cols>
  <sheetData>
    <row r="1" spans="1:24" ht="16" thickBot="1" x14ac:dyDescent="0.4">
      <c r="A1" s="3"/>
    </row>
    <row r="2" spans="1:24" x14ac:dyDescent="0.35">
      <c r="B2" s="63"/>
      <c r="C2" s="28"/>
      <c r="D2" s="28"/>
      <c r="E2" s="28"/>
      <c r="F2" s="28"/>
      <c r="G2" s="28"/>
      <c r="H2" s="28"/>
      <c r="I2" s="28"/>
      <c r="J2" s="28"/>
      <c r="K2" s="28"/>
      <c r="L2" s="28"/>
      <c r="M2" s="28"/>
      <c r="N2" s="28"/>
      <c r="O2" s="28"/>
      <c r="P2" s="28"/>
      <c r="Q2" s="28"/>
      <c r="R2" s="28"/>
      <c r="S2" s="28"/>
      <c r="T2" s="28"/>
      <c r="U2" s="24"/>
    </row>
    <row r="3" spans="1:24" ht="20" x14ac:dyDescent="0.35">
      <c r="B3" s="64"/>
      <c r="C3" s="312" t="s">
        <v>322</v>
      </c>
      <c r="D3" s="313"/>
      <c r="E3" s="313"/>
      <c r="F3" s="313"/>
      <c r="G3" s="313"/>
      <c r="H3" s="313"/>
      <c r="I3" s="313"/>
      <c r="J3" s="313"/>
      <c r="K3" s="313"/>
      <c r="L3" s="313"/>
      <c r="M3" s="313"/>
      <c r="N3" s="313"/>
      <c r="O3" s="313"/>
      <c r="P3" s="313"/>
      <c r="Q3" s="313"/>
      <c r="R3" s="313"/>
      <c r="S3" s="313"/>
      <c r="T3" s="65"/>
      <c r="U3" s="66"/>
    </row>
    <row r="4" spans="1:24" ht="15.5" x14ac:dyDescent="0.35">
      <c r="B4" s="64"/>
      <c r="C4" s="67" t="s">
        <v>434</v>
      </c>
      <c r="D4" s="29"/>
      <c r="E4" s="29"/>
      <c r="F4" s="29"/>
      <c r="G4" s="29"/>
      <c r="H4" s="29"/>
      <c r="I4" s="29"/>
      <c r="J4" s="29"/>
      <c r="K4" s="29"/>
      <c r="L4" s="29"/>
      <c r="M4" s="29"/>
      <c r="N4" s="29"/>
      <c r="O4" s="29"/>
      <c r="P4" s="29"/>
      <c r="Q4" s="29"/>
      <c r="R4" s="29"/>
      <c r="S4" s="29"/>
      <c r="T4" s="29"/>
      <c r="U4" s="25"/>
    </row>
    <row r="5" spans="1:24" ht="20" x14ac:dyDescent="0.35">
      <c r="B5" s="64"/>
      <c r="C5" s="211" t="s">
        <v>435</v>
      </c>
      <c r="D5" s="316" t="s">
        <v>430</v>
      </c>
      <c r="E5" s="316"/>
      <c r="F5" s="29"/>
      <c r="G5" s="29"/>
      <c r="H5" s="29"/>
      <c r="I5" s="29"/>
      <c r="J5" s="29"/>
      <c r="K5" s="29"/>
      <c r="L5" s="29"/>
      <c r="M5" s="29"/>
      <c r="N5" s="29"/>
      <c r="O5" s="29"/>
      <c r="P5" s="29"/>
      <c r="Q5" s="29"/>
      <c r="R5" s="29"/>
      <c r="S5" s="29"/>
      <c r="T5" s="29"/>
      <c r="U5" s="25"/>
    </row>
    <row r="6" spans="1:24" x14ac:dyDescent="0.35">
      <c r="B6" s="64"/>
      <c r="C6" s="29"/>
      <c r="D6" s="29"/>
      <c r="E6" s="29"/>
      <c r="F6" s="29"/>
      <c r="G6" s="29"/>
      <c r="H6" s="29"/>
      <c r="I6" s="29"/>
      <c r="J6" s="29"/>
      <c r="K6" s="29"/>
      <c r="L6" s="29"/>
      <c r="M6" s="29"/>
      <c r="N6" s="29"/>
      <c r="O6" s="29"/>
      <c r="P6" s="29"/>
      <c r="Q6" s="29"/>
      <c r="R6" s="29"/>
      <c r="S6" s="29"/>
      <c r="T6" s="29"/>
      <c r="U6" s="25"/>
    </row>
    <row r="7" spans="1:24" ht="15.5" x14ac:dyDescent="0.35">
      <c r="B7" s="64"/>
      <c r="C7" s="68" t="s">
        <v>0</v>
      </c>
      <c r="D7" s="69" t="s">
        <v>1</v>
      </c>
      <c r="E7" s="70" t="s">
        <v>2</v>
      </c>
      <c r="F7" s="29"/>
      <c r="G7" s="29"/>
      <c r="H7" s="29"/>
      <c r="I7" s="29"/>
      <c r="J7" s="29"/>
      <c r="K7" s="29"/>
      <c r="L7" s="29"/>
      <c r="M7" s="29"/>
      <c r="N7" s="29"/>
      <c r="O7" s="29"/>
      <c r="P7" s="29"/>
      <c r="Q7" s="29"/>
      <c r="R7" s="29"/>
      <c r="S7" s="29"/>
      <c r="T7" s="29"/>
      <c r="U7" s="25"/>
      <c r="W7" s="39" t="s">
        <v>22</v>
      </c>
      <c r="X7" s="39" t="s">
        <v>2</v>
      </c>
    </row>
    <row r="8" spans="1:24" ht="15.5" x14ac:dyDescent="0.35">
      <c r="B8" s="64"/>
      <c r="C8" s="184" t="s">
        <v>276</v>
      </c>
      <c r="D8" s="185" t="s">
        <v>106</v>
      </c>
      <c r="E8" s="186">
        <v>5.8769000000000002E-2</v>
      </c>
      <c r="F8" s="29"/>
      <c r="G8" s="29"/>
      <c r="H8" s="29"/>
      <c r="I8" s="29"/>
      <c r="J8" s="29"/>
      <c r="K8" s="29"/>
      <c r="L8" s="29"/>
      <c r="M8" s="29"/>
      <c r="N8" s="29"/>
      <c r="O8" s="29"/>
      <c r="P8" s="29"/>
      <c r="Q8" s="29"/>
      <c r="R8" s="29"/>
      <c r="S8" s="29"/>
      <c r="T8" s="29"/>
      <c r="U8" s="25"/>
      <c r="W8" s="173" t="s">
        <v>105</v>
      </c>
      <c r="X8" s="224">
        <v>0.23358399999999999</v>
      </c>
    </row>
    <row r="9" spans="1:24" ht="15.5" x14ac:dyDescent="0.35">
      <c r="B9" s="64"/>
      <c r="C9" s="180" t="s">
        <v>37</v>
      </c>
      <c r="D9" s="187" t="s">
        <v>115</v>
      </c>
      <c r="E9" s="188">
        <v>5.3113E-2</v>
      </c>
      <c r="F9" s="29"/>
      <c r="G9" s="29"/>
      <c r="H9" s="29"/>
      <c r="I9" s="29"/>
      <c r="J9" s="29"/>
      <c r="K9" s="29"/>
      <c r="L9" s="29"/>
      <c r="M9" s="29"/>
      <c r="N9" s="29"/>
      <c r="O9" s="29"/>
      <c r="P9" s="29"/>
      <c r="Q9" s="29"/>
      <c r="R9" s="29"/>
      <c r="S9" s="29"/>
      <c r="T9" s="29"/>
      <c r="U9" s="25"/>
      <c r="W9" s="173" t="s">
        <v>106</v>
      </c>
      <c r="X9" s="224">
        <v>0.10897899999999999</v>
      </c>
    </row>
    <row r="10" spans="1:24" ht="15.5" x14ac:dyDescent="0.35">
      <c r="B10" s="64"/>
      <c r="C10" s="180" t="s">
        <v>197</v>
      </c>
      <c r="D10" s="187" t="s">
        <v>129</v>
      </c>
      <c r="E10" s="188">
        <v>5.1508999999999999E-2</v>
      </c>
      <c r="F10" s="29"/>
      <c r="G10" s="29"/>
      <c r="H10" s="29"/>
      <c r="I10" s="29"/>
      <c r="J10" s="29"/>
      <c r="K10" s="29"/>
      <c r="L10" s="29"/>
      <c r="M10" s="29"/>
      <c r="N10" s="29"/>
      <c r="O10" s="29"/>
      <c r="P10" s="29"/>
      <c r="Q10" s="29"/>
      <c r="R10" s="29"/>
      <c r="S10" s="29"/>
      <c r="T10" s="29"/>
      <c r="U10" s="25"/>
      <c r="W10" s="173" t="s">
        <v>115</v>
      </c>
      <c r="X10" s="224">
        <v>0.10034</v>
      </c>
    </row>
    <row r="11" spans="1:24" ht="15.5" x14ac:dyDescent="0.35">
      <c r="B11" s="64"/>
      <c r="C11" s="180" t="s">
        <v>86</v>
      </c>
      <c r="D11" s="187" t="s">
        <v>106</v>
      </c>
      <c r="E11" s="188">
        <v>5.0209999999999998E-2</v>
      </c>
      <c r="F11" s="29"/>
      <c r="G11" s="29"/>
      <c r="H11" s="29"/>
      <c r="I11" s="29"/>
      <c r="J11" s="29"/>
      <c r="K11" s="29"/>
      <c r="L11" s="29"/>
      <c r="M11" s="29"/>
      <c r="N11" s="29"/>
      <c r="O11" s="29"/>
      <c r="P11" s="29"/>
      <c r="Q11" s="29"/>
      <c r="R11" s="29"/>
      <c r="S11" s="29"/>
      <c r="T11" s="29"/>
      <c r="U11" s="25"/>
      <c r="W11" s="173" t="s">
        <v>85</v>
      </c>
      <c r="X11" s="224">
        <v>8.2973999999999992E-2</v>
      </c>
    </row>
    <row r="12" spans="1:24" ht="15.5" x14ac:dyDescent="0.35">
      <c r="B12" s="64"/>
      <c r="C12" s="180" t="s">
        <v>232</v>
      </c>
      <c r="D12" s="187" t="s">
        <v>16</v>
      </c>
      <c r="E12" s="188">
        <v>4.7336000000000003E-2</v>
      </c>
      <c r="F12" s="29"/>
      <c r="G12" s="29"/>
      <c r="H12" s="29"/>
      <c r="I12" s="29"/>
      <c r="J12" s="29"/>
      <c r="K12" s="29"/>
      <c r="L12" s="29"/>
      <c r="M12" s="29"/>
      <c r="N12" s="29"/>
      <c r="O12" s="29"/>
      <c r="P12" s="29"/>
      <c r="Q12" s="29"/>
      <c r="R12" s="29"/>
      <c r="S12" s="29"/>
      <c r="T12" s="29"/>
      <c r="U12" s="25"/>
      <c r="W12" s="173" t="s">
        <v>16</v>
      </c>
      <c r="X12" s="224">
        <v>6.9735000000000005E-2</v>
      </c>
    </row>
    <row r="13" spans="1:24" ht="15.5" x14ac:dyDescent="0.35">
      <c r="B13" s="64"/>
      <c r="C13" s="180" t="s">
        <v>30</v>
      </c>
      <c r="D13" s="187" t="s">
        <v>115</v>
      </c>
      <c r="E13" s="188">
        <v>4.7226999999999998E-2</v>
      </c>
      <c r="F13" s="29"/>
      <c r="G13" s="29"/>
      <c r="H13" s="29"/>
      <c r="I13" s="29"/>
      <c r="J13" s="29"/>
      <c r="K13" s="29"/>
      <c r="L13" s="29"/>
      <c r="M13" s="29"/>
      <c r="N13" s="29"/>
      <c r="O13" s="29"/>
      <c r="P13" s="29"/>
      <c r="Q13" s="29"/>
      <c r="R13" s="29"/>
      <c r="S13" s="29"/>
      <c r="T13" s="29"/>
      <c r="U13" s="25"/>
      <c r="W13" s="173" t="s">
        <v>110</v>
      </c>
      <c r="X13" s="224">
        <v>6.4016999999999991E-2</v>
      </c>
    </row>
    <row r="14" spans="1:24" ht="15.5" x14ac:dyDescent="0.35">
      <c r="B14" s="64"/>
      <c r="C14" s="180" t="s">
        <v>127</v>
      </c>
      <c r="D14" s="187" t="s">
        <v>85</v>
      </c>
      <c r="E14" s="188">
        <v>4.6133E-2</v>
      </c>
      <c r="F14" s="29"/>
      <c r="G14" s="29"/>
      <c r="H14" s="29"/>
      <c r="I14" s="29"/>
      <c r="J14" s="29"/>
      <c r="K14" s="29"/>
      <c r="L14" s="29"/>
      <c r="M14" s="29"/>
      <c r="N14" s="29"/>
      <c r="O14" s="29"/>
      <c r="P14" s="29"/>
      <c r="Q14" s="29"/>
      <c r="R14" s="29"/>
      <c r="S14" s="29"/>
      <c r="T14" s="29"/>
      <c r="U14" s="25"/>
      <c r="W14" s="173" t="s">
        <v>119</v>
      </c>
      <c r="X14" s="224">
        <v>6.3097E-2</v>
      </c>
    </row>
    <row r="15" spans="1:24" ht="15.5" x14ac:dyDescent="0.35">
      <c r="B15" s="64"/>
      <c r="C15" s="180" t="s">
        <v>326</v>
      </c>
      <c r="D15" s="187" t="s">
        <v>119</v>
      </c>
      <c r="E15" s="188">
        <v>4.4532000000000002E-2</v>
      </c>
      <c r="F15" s="29"/>
      <c r="G15" s="29"/>
      <c r="H15" s="29"/>
      <c r="I15" s="29"/>
      <c r="J15" s="29"/>
      <c r="K15" s="29"/>
      <c r="L15" s="29"/>
      <c r="M15" s="29"/>
      <c r="N15" s="29"/>
      <c r="O15" s="29"/>
      <c r="P15" s="29"/>
      <c r="Q15" s="29"/>
      <c r="R15" s="29"/>
      <c r="S15" s="29"/>
      <c r="T15" s="29"/>
      <c r="U15" s="25"/>
      <c r="W15" s="173" t="s">
        <v>129</v>
      </c>
      <c r="X15" s="224">
        <v>5.1508999999999999E-2</v>
      </c>
    </row>
    <row r="16" spans="1:24" ht="15.5" x14ac:dyDescent="0.35">
      <c r="B16" s="64"/>
      <c r="C16" s="180" t="s">
        <v>33</v>
      </c>
      <c r="D16" s="187" t="s">
        <v>105</v>
      </c>
      <c r="E16" s="188">
        <v>4.3831000000000002E-2</v>
      </c>
      <c r="F16" s="29"/>
      <c r="G16" s="29"/>
      <c r="H16" s="29"/>
      <c r="I16" s="29"/>
      <c r="J16" s="29"/>
      <c r="K16" s="29"/>
      <c r="L16" s="29"/>
      <c r="M16" s="29"/>
      <c r="N16" s="29"/>
      <c r="O16" s="29"/>
      <c r="P16" s="29"/>
      <c r="Q16" s="29"/>
      <c r="R16" s="29"/>
      <c r="S16" s="29"/>
      <c r="T16" s="29"/>
      <c r="U16" s="25"/>
      <c r="W16" s="173" t="s">
        <v>24</v>
      </c>
      <c r="X16" s="224">
        <v>4.2348999999999998E-2</v>
      </c>
    </row>
    <row r="17" spans="2:24" ht="15.5" x14ac:dyDescent="0.35">
      <c r="B17" s="64"/>
      <c r="C17" s="180" t="s">
        <v>187</v>
      </c>
      <c r="D17" s="187" t="s">
        <v>105</v>
      </c>
      <c r="E17" s="188">
        <v>4.3621E-2</v>
      </c>
      <c r="F17" s="29"/>
      <c r="G17" s="29"/>
      <c r="H17" s="29"/>
      <c r="I17" s="29"/>
      <c r="J17" s="29"/>
      <c r="K17" s="29"/>
      <c r="L17" s="29"/>
      <c r="M17" s="29"/>
      <c r="N17" s="29"/>
      <c r="O17" s="29"/>
      <c r="P17" s="29"/>
      <c r="Q17" s="29"/>
      <c r="R17" s="29"/>
      <c r="S17" s="29"/>
      <c r="T17" s="29"/>
      <c r="U17" s="25"/>
      <c r="W17" s="173" t="s">
        <v>6</v>
      </c>
      <c r="X17" s="224">
        <v>3.2941999999999999E-2</v>
      </c>
    </row>
    <row r="18" spans="2:24" ht="15.5" x14ac:dyDescent="0.35">
      <c r="B18" s="64"/>
      <c r="C18" s="180" t="s">
        <v>28</v>
      </c>
      <c r="D18" s="187" t="s">
        <v>105</v>
      </c>
      <c r="E18" s="188">
        <v>4.1602E-2</v>
      </c>
      <c r="F18" s="29"/>
      <c r="G18" s="29"/>
      <c r="H18" s="29"/>
      <c r="I18" s="29"/>
      <c r="J18" s="29"/>
      <c r="K18" s="29"/>
      <c r="L18" s="29"/>
      <c r="M18" s="29"/>
      <c r="N18" s="29"/>
      <c r="O18" s="29"/>
      <c r="P18" s="29"/>
      <c r="Q18" s="29"/>
      <c r="R18" s="29"/>
      <c r="S18" s="29"/>
      <c r="T18" s="29"/>
      <c r="U18" s="25"/>
      <c r="W18" s="173" t="s">
        <v>113</v>
      </c>
      <c r="X18" s="224">
        <v>3.1611E-2</v>
      </c>
    </row>
    <row r="19" spans="2:24" ht="15.5" x14ac:dyDescent="0.35">
      <c r="B19" s="64"/>
      <c r="C19" s="180" t="s">
        <v>141</v>
      </c>
      <c r="D19" s="187" t="s">
        <v>110</v>
      </c>
      <c r="E19" s="188">
        <v>3.7754999999999997E-2</v>
      </c>
      <c r="F19" s="29"/>
      <c r="G19" s="29"/>
      <c r="H19" s="29"/>
      <c r="I19" s="29"/>
      <c r="J19" s="29"/>
      <c r="K19" s="29"/>
      <c r="L19" s="29"/>
      <c r="M19" s="29"/>
      <c r="N19" s="29"/>
      <c r="O19" s="29"/>
      <c r="P19" s="29"/>
      <c r="Q19" s="29"/>
      <c r="R19" s="29"/>
      <c r="S19" s="29"/>
      <c r="T19" s="29"/>
      <c r="U19" s="25"/>
      <c r="W19" s="173" t="s">
        <v>83</v>
      </c>
      <c r="X19" s="224">
        <v>2.9305000000000001E-2</v>
      </c>
    </row>
    <row r="20" spans="2:24" ht="15.5" x14ac:dyDescent="0.35">
      <c r="B20" s="64"/>
      <c r="C20" s="180" t="s">
        <v>147</v>
      </c>
      <c r="D20" s="187" t="s">
        <v>85</v>
      </c>
      <c r="E20" s="188">
        <v>3.6840999999999999E-2</v>
      </c>
      <c r="F20" s="29"/>
      <c r="G20" s="29"/>
      <c r="H20" s="29"/>
      <c r="I20" s="29"/>
      <c r="J20" s="29"/>
      <c r="K20" s="29"/>
      <c r="L20" s="29"/>
      <c r="M20" s="29"/>
      <c r="N20" s="29"/>
      <c r="O20" s="29"/>
      <c r="P20" s="29"/>
      <c r="Q20" s="29"/>
      <c r="R20" s="29"/>
      <c r="S20" s="29"/>
      <c r="T20" s="29"/>
      <c r="U20" s="25"/>
      <c r="W20" s="173" t="s">
        <v>114</v>
      </c>
      <c r="X20" s="224">
        <v>2.7543999999999999E-2</v>
      </c>
    </row>
    <row r="21" spans="2:24" ht="15.5" x14ac:dyDescent="0.35">
      <c r="B21" s="64"/>
      <c r="C21" s="180" t="s">
        <v>310</v>
      </c>
      <c r="D21" s="187" t="s">
        <v>6</v>
      </c>
      <c r="E21" s="188">
        <v>3.2941999999999999E-2</v>
      </c>
      <c r="F21" s="29"/>
      <c r="G21" s="29"/>
      <c r="H21" s="29"/>
      <c r="I21" s="29"/>
      <c r="J21" s="29"/>
      <c r="K21" s="29"/>
      <c r="L21" s="29"/>
      <c r="M21" s="29"/>
      <c r="N21" s="29"/>
      <c r="O21" s="29"/>
      <c r="P21" s="29"/>
      <c r="Q21" s="29"/>
      <c r="R21" s="29"/>
      <c r="S21" s="29"/>
      <c r="T21" s="29"/>
      <c r="U21" s="25"/>
      <c r="W21" s="173" t="s">
        <v>120</v>
      </c>
      <c r="X21" s="224">
        <v>2.6155000000000001E-2</v>
      </c>
    </row>
    <row r="22" spans="2:24" ht="15.5" x14ac:dyDescent="0.35">
      <c r="B22" s="64"/>
      <c r="C22" s="180" t="s">
        <v>340</v>
      </c>
      <c r="D22" s="187" t="s">
        <v>113</v>
      </c>
      <c r="E22" s="188">
        <v>3.1611E-2</v>
      </c>
      <c r="F22" s="29"/>
      <c r="G22" s="29"/>
      <c r="H22" s="29"/>
      <c r="I22" s="29"/>
      <c r="J22" s="29"/>
      <c r="K22" s="29"/>
      <c r="L22" s="29"/>
      <c r="M22" s="29"/>
      <c r="N22" s="29"/>
      <c r="O22" s="29"/>
      <c r="P22" s="29"/>
      <c r="Q22" s="29"/>
      <c r="R22" s="29"/>
      <c r="S22" s="29"/>
      <c r="T22" s="29"/>
      <c r="U22" s="25"/>
      <c r="W22" s="173" t="s">
        <v>82</v>
      </c>
      <c r="X22" s="224">
        <v>2.4445999999999999E-2</v>
      </c>
    </row>
    <row r="23" spans="2:24" ht="15.5" x14ac:dyDescent="0.35">
      <c r="B23" s="64"/>
      <c r="C23" s="71"/>
      <c r="D23" s="71"/>
      <c r="E23" s="72"/>
      <c r="F23" s="29"/>
      <c r="G23" s="29"/>
      <c r="H23" s="29"/>
      <c r="I23" s="29"/>
      <c r="J23" s="29"/>
      <c r="K23" s="29"/>
      <c r="L23" s="29"/>
      <c r="M23" s="29"/>
      <c r="N23" s="29"/>
      <c r="O23" s="29"/>
      <c r="P23" s="29"/>
      <c r="Q23" s="29"/>
      <c r="R23" s="29"/>
      <c r="S23" s="29"/>
      <c r="T23" s="29"/>
      <c r="U23" s="25"/>
      <c r="W23" s="173" t="s">
        <v>25</v>
      </c>
      <c r="X23" s="224">
        <v>1.3462999999999999E-2</v>
      </c>
    </row>
    <row r="24" spans="2:24" ht="15.5" x14ac:dyDescent="0.35">
      <c r="B24" s="64"/>
      <c r="C24" s="73" t="s">
        <v>55</v>
      </c>
      <c r="D24" s="74"/>
      <c r="E24" s="75">
        <f>SUM(E8:E22)</f>
        <v>0.66703200000000007</v>
      </c>
      <c r="F24" s="29"/>
      <c r="G24" s="29"/>
      <c r="H24" s="29"/>
      <c r="I24" s="29"/>
      <c r="J24" s="29"/>
      <c r="K24" s="29"/>
      <c r="L24" s="29"/>
      <c r="M24" s="29"/>
      <c r="N24" s="29"/>
      <c r="O24" s="29"/>
      <c r="P24" s="29"/>
      <c r="Q24" s="29"/>
      <c r="R24" s="29"/>
      <c r="S24" s="29"/>
      <c r="T24" s="29"/>
      <c r="U24" s="25"/>
      <c r="W24" s="173"/>
      <c r="X24" s="224"/>
    </row>
    <row r="25" spans="2:24" x14ac:dyDescent="0.35">
      <c r="B25" s="64"/>
      <c r="C25" s="29"/>
      <c r="D25" s="29"/>
      <c r="E25" s="29"/>
      <c r="F25" s="29"/>
      <c r="G25" s="29"/>
      <c r="H25" s="29"/>
      <c r="I25" s="29"/>
      <c r="J25" s="29"/>
      <c r="K25" s="29"/>
      <c r="L25" s="29"/>
      <c r="M25" s="29"/>
      <c r="N25" s="29"/>
      <c r="O25" s="29"/>
      <c r="P25" s="29"/>
      <c r="Q25" s="29"/>
      <c r="R25" s="29"/>
      <c r="S25" s="29"/>
      <c r="T25" s="29"/>
      <c r="U25" s="25"/>
      <c r="W25" s="173"/>
      <c r="X25" s="224"/>
    </row>
    <row r="26" spans="2:24" x14ac:dyDescent="0.35">
      <c r="B26" s="64"/>
      <c r="C26" s="29"/>
      <c r="D26" s="29"/>
      <c r="E26" s="29"/>
      <c r="F26" s="29"/>
      <c r="G26" s="29"/>
      <c r="H26" s="29"/>
      <c r="I26" s="29"/>
      <c r="J26" s="29"/>
      <c r="K26" s="29"/>
      <c r="L26" s="29"/>
      <c r="M26" s="29"/>
      <c r="N26" s="29"/>
      <c r="O26" s="29"/>
      <c r="P26" s="29"/>
      <c r="Q26" s="29"/>
      <c r="R26" s="29"/>
      <c r="S26" s="29"/>
      <c r="T26" s="29"/>
      <c r="U26" s="25"/>
      <c r="W26" s="173"/>
      <c r="X26" s="224"/>
    </row>
    <row r="27" spans="2:24" x14ac:dyDescent="0.35">
      <c r="B27" s="64"/>
      <c r="C27" s="29"/>
      <c r="D27" s="29"/>
      <c r="E27" s="29"/>
      <c r="F27" s="29"/>
      <c r="G27" s="29"/>
      <c r="H27" s="29"/>
      <c r="I27" s="29"/>
      <c r="J27" s="29"/>
      <c r="K27" s="29"/>
      <c r="L27" s="29"/>
      <c r="M27" s="29"/>
      <c r="N27" s="29"/>
      <c r="O27" s="29"/>
      <c r="P27" s="29"/>
      <c r="Q27" s="29"/>
      <c r="R27" s="29"/>
      <c r="S27" s="29"/>
      <c r="T27" s="29"/>
      <c r="U27" s="25"/>
      <c r="W27" s="61"/>
      <c r="X27" s="62"/>
    </row>
    <row r="28" spans="2:24" x14ac:dyDescent="0.35">
      <c r="B28" s="64"/>
      <c r="C28" s="29"/>
      <c r="D28" s="29"/>
      <c r="E28" s="29"/>
      <c r="F28" s="29"/>
      <c r="G28" s="29"/>
      <c r="H28" s="29"/>
      <c r="I28" s="29"/>
      <c r="J28" s="29"/>
      <c r="K28" s="29"/>
      <c r="L28" s="29"/>
      <c r="M28" s="29"/>
      <c r="N28" s="29"/>
      <c r="O28" s="29"/>
      <c r="P28" s="29"/>
      <c r="Q28" s="29"/>
      <c r="R28" s="29"/>
      <c r="S28" s="29"/>
      <c r="T28" s="29"/>
      <c r="U28" s="25"/>
      <c r="W28" s="61"/>
      <c r="X28" s="62"/>
    </row>
    <row r="29" spans="2:24" x14ac:dyDescent="0.35">
      <c r="B29" s="64"/>
      <c r="C29" s="29"/>
      <c r="D29" s="29"/>
      <c r="E29" s="29"/>
      <c r="F29" s="29"/>
      <c r="G29" s="29"/>
      <c r="H29" s="29"/>
      <c r="I29" s="29"/>
      <c r="J29" s="29"/>
      <c r="K29" s="29"/>
      <c r="L29" s="29"/>
      <c r="M29" s="29"/>
      <c r="N29" s="29"/>
      <c r="O29" s="29"/>
      <c r="P29" s="29"/>
      <c r="Q29" s="29"/>
      <c r="R29" s="29"/>
      <c r="S29" s="29"/>
      <c r="T29" s="29"/>
      <c r="U29" s="25"/>
      <c r="W29" s="61"/>
      <c r="X29" s="62"/>
    </row>
    <row r="30" spans="2:24" x14ac:dyDescent="0.35">
      <c r="B30" s="64"/>
      <c r="C30" s="29"/>
      <c r="D30" s="29"/>
      <c r="E30" s="29"/>
      <c r="F30" s="29"/>
      <c r="G30" s="29"/>
      <c r="H30" s="29"/>
      <c r="I30" s="29"/>
      <c r="J30" s="29"/>
      <c r="K30" s="29"/>
      <c r="L30" s="29"/>
      <c r="M30" s="29"/>
      <c r="N30" s="29"/>
      <c r="O30" s="29"/>
      <c r="P30" s="29"/>
      <c r="Q30" s="29"/>
      <c r="R30" s="29"/>
      <c r="S30" s="29"/>
      <c r="T30" s="29"/>
      <c r="U30" s="25"/>
      <c r="W30" s="61"/>
      <c r="X30" s="62"/>
    </row>
    <row r="31" spans="2:24" x14ac:dyDescent="0.35">
      <c r="B31" s="64"/>
      <c r="C31" s="29"/>
      <c r="D31" s="29"/>
      <c r="E31" s="29"/>
      <c r="F31" s="29"/>
      <c r="G31" s="29"/>
      <c r="H31" s="29"/>
      <c r="I31" s="29"/>
      <c r="J31" s="29"/>
      <c r="K31" s="29"/>
      <c r="L31" s="29"/>
      <c r="M31" s="29"/>
      <c r="N31" s="29"/>
      <c r="O31" s="29"/>
      <c r="P31" s="29"/>
      <c r="Q31" s="29"/>
      <c r="R31" s="29"/>
      <c r="S31" s="29"/>
      <c r="T31" s="29"/>
      <c r="U31" s="25"/>
      <c r="W31" s="61"/>
      <c r="X31" s="62"/>
    </row>
    <row r="32" spans="2:24" x14ac:dyDescent="0.35">
      <c r="B32" s="64"/>
      <c r="C32" s="29"/>
      <c r="D32" s="29"/>
      <c r="E32" s="29"/>
      <c r="F32" s="29"/>
      <c r="G32" s="29"/>
      <c r="H32" s="29"/>
      <c r="I32" s="29"/>
      <c r="J32" s="29"/>
      <c r="K32" s="29"/>
      <c r="L32" s="29"/>
      <c r="M32" s="29"/>
      <c r="N32" s="29"/>
      <c r="O32" s="29"/>
      <c r="P32" s="29"/>
      <c r="Q32" s="29"/>
      <c r="R32" s="29"/>
      <c r="S32" s="29"/>
      <c r="T32" s="29"/>
      <c r="U32" s="25"/>
      <c r="W32" s="61"/>
      <c r="X32" s="62"/>
    </row>
    <row r="33" spans="2:24" x14ac:dyDescent="0.35">
      <c r="B33" s="64"/>
      <c r="C33" s="29"/>
      <c r="D33" s="29"/>
      <c r="E33" s="29"/>
      <c r="F33" s="29"/>
      <c r="G33" s="29"/>
      <c r="H33" s="29"/>
      <c r="I33" s="29"/>
      <c r="J33" s="29"/>
      <c r="K33" s="29"/>
      <c r="L33" s="29"/>
      <c r="M33" s="29"/>
      <c r="N33" s="29"/>
      <c r="O33" s="29"/>
      <c r="P33" s="29"/>
      <c r="Q33" s="29"/>
      <c r="R33" s="29"/>
      <c r="S33" s="29"/>
      <c r="T33" s="29"/>
      <c r="U33" s="25"/>
      <c r="W33" s="61"/>
      <c r="X33" s="62"/>
    </row>
    <row r="34" spans="2:24" x14ac:dyDescent="0.35">
      <c r="B34" s="64"/>
      <c r="C34" s="29"/>
      <c r="D34" s="29"/>
      <c r="E34" s="29"/>
      <c r="F34" s="29"/>
      <c r="G34" s="29"/>
      <c r="H34" s="29"/>
      <c r="I34" s="29"/>
      <c r="J34" s="29"/>
      <c r="K34" s="29"/>
      <c r="L34" s="29"/>
      <c r="M34" s="29"/>
      <c r="N34" s="29"/>
      <c r="O34" s="29"/>
      <c r="P34" s="29"/>
      <c r="Q34" s="29"/>
      <c r="R34" s="29"/>
      <c r="S34" s="29"/>
      <c r="T34" s="29"/>
      <c r="U34" s="25"/>
      <c r="W34" s="61"/>
      <c r="X34" s="62"/>
    </row>
    <row r="35" spans="2:24" x14ac:dyDescent="0.35">
      <c r="B35" s="64"/>
      <c r="C35" s="29"/>
      <c r="D35" s="29"/>
      <c r="E35" s="29"/>
      <c r="F35" s="29"/>
      <c r="G35" s="29"/>
      <c r="H35" s="29"/>
      <c r="I35" s="29"/>
      <c r="J35" s="29"/>
      <c r="K35" s="29"/>
      <c r="L35" s="29"/>
      <c r="M35" s="29"/>
      <c r="N35" s="29"/>
      <c r="O35" s="29"/>
      <c r="P35" s="29"/>
      <c r="Q35" s="29"/>
      <c r="R35" s="29"/>
      <c r="S35" s="29"/>
      <c r="T35" s="29"/>
      <c r="U35" s="25"/>
      <c r="W35" s="61"/>
      <c r="X35" s="62"/>
    </row>
    <row r="36" spans="2:24" x14ac:dyDescent="0.35">
      <c r="B36" s="64"/>
      <c r="C36" s="29"/>
      <c r="D36" s="29"/>
      <c r="E36" s="29"/>
      <c r="F36" s="29"/>
      <c r="G36" s="29"/>
      <c r="H36" s="29"/>
      <c r="I36" s="29"/>
      <c r="J36" s="29"/>
      <c r="K36" s="29"/>
      <c r="L36" s="29"/>
      <c r="M36" s="29"/>
      <c r="N36" s="29"/>
      <c r="O36" s="29"/>
      <c r="P36" s="29"/>
      <c r="Q36" s="29"/>
      <c r="R36" s="29"/>
      <c r="S36" s="29"/>
      <c r="T36" s="29"/>
      <c r="U36" s="25"/>
      <c r="W36" s="61"/>
      <c r="X36" s="62"/>
    </row>
    <row r="37" spans="2:24" ht="15" thickBot="1" x14ac:dyDescent="0.4">
      <c r="B37" s="76"/>
      <c r="C37" s="30"/>
      <c r="D37" s="30"/>
      <c r="E37" s="30"/>
      <c r="F37" s="30"/>
      <c r="G37" s="30"/>
      <c r="H37" s="30"/>
      <c r="I37" s="30"/>
      <c r="J37" s="30"/>
      <c r="K37" s="30"/>
      <c r="L37" s="30"/>
      <c r="M37" s="30"/>
      <c r="N37" s="30"/>
      <c r="O37" s="30"/>
      <c r="P37" s="30"/>
      <c r="Q37" s="30"/>
      <c r="R37" s="30"/>
      <c r="S37" s="30"/>
      <c r="T37" s="30"/>
      <c r="U37" s="26"/>
      <c r="W37" s="61"/>
      <c r="X37" s="62"/>
    </row>
    <row r="38" spans="2:24" ht="15" thickBot="1" x14ac:dyDescent="0.4">
      <c r="W38" s="61"/>
      <c r="X38" s="62"/>
    </row>
    <row r="39" spans="2:24" x14ac:dyDescent="0.35">
      <c r="B39" s="303" t="s">
        <v>179</v>
      </c>
      <c r="C39" s="304"/>
      <c r="D39" s="304"/>
      <c r="E39" s="304"/>
      <c r="F39" s="304"/>
      <c r="G39" s="304"/>
      <c r="H39" s="304"/>
      <c r="I39" s="304"/>
      <c r="J39" s="304"/>
      <c r="K39" s="304"/>
      <c r="L39" s="304"/>
      <c r="M39" s="304"/>
      <c r="N39" s="304"/>
      <c r="O39" s="304"/>
      <c r="P39" s="304"/>
      <c r="Q39" s="304"/>
      <c r="R39" s="305"/>
      <c r="W39" s="61"/>
      <c r="X39" s="62"/>
    </row>
    <row r="40" spans="2:24" x14ac:dyDescent="0.35">
      <c r="B40" s="306"/>
      <c r="C40" s="307"/>
      <c r="D40" s="307"/>
      <c r="E40" s="307"/>
      <c r="F40" s="307"/>
      <c r="G40" s="307"/>
      <c r="H40" s="307"/>
      <c r="I40" s="307"/>
      <c r="J40" s="307"/>
      <c r="K40" s="307"/>
      <c r="L40" s="307"/>
      <c r="M40" s="307"/>
      <c r="N40" s="307"/>
      <c r="O40" s="307"/>
      <c r="P40" s="307"/>
      <c r="Q40" s="307"/>
      <c r="R40" s="308"/>
      <c r="W40" s="61"/>
      <c r="X40" s="62"/>
    </row>
    <row r="41" spans="2:24" x14ac:dyDescent="0.35">
      <c r="B41" s="306"/>
      <c r="C41" s="307"/>
      <c r="D41" s="307"/>
      <c r="E41" s="307"/>
      <c r="F41" s="307"/>
      <c r="G41" s="307"/>
      <c r="H41" s="307"/>
      <c r="I41" s="307"/>
      <c r="J41" s="307"/>
      <c r="K41" s="307"/>
      <c r="L41" s="307"/>
      <c r="M41" s="307"/>
      <c r="N41" s="307"/>
      <c r="O41" s="307"/>
      <c r="P41" s="307"/>
      <c r="Q41" s="307"/>
      <c r="R41" s="308"/>
      <c r="W41" s="61"/>
      <c r="X41" s="62"/>
    </row>
    <row r="42" spans="2:24" x14ac:dyDescent="0.35">
      <c r="B42" s="306"/>
      <c r="C42" s="307"/>
      <c r="D42" s="307"/>
      <c r="E42" s="307"/>
      <c r="F42" s="307"/>
      <c r="G42" s="307"/>
      <c r="H42" s="307"/>
      <c r="I42" s="307"/>
      <c r="J42" s="307"/>
      <c r="K42" s="307"/>
      <c r="L42" s="307"/>
      <c r="M42" s="307"/>
      <c r="N42" s="307"/>
      <c r="O42" s="307"/>
      <c r="P42" s="307"/>
      <c r="Q42" s="307"/>
      <c r="R42" s="308"/>
      <c r="W42" s="61"/>
      <c r="X42" s="62"/>
    </row>
    <row r="43" spans="2:24" x14ac:dyDescent="0.35">
      <c r="B43" s="306"/>
      <c r="C43" s="307"/>
      <c r="D43" s="307"/>
      <c r="E43" s="307"/>
      <c r="F43" s="307"/>
      <c r="G43" s="307"/>
      <c r="H43" s="307"/>
      <c r="I43" s="307"/>
      <c r="J43" s="307"/>
      <c r="K43" s="307"/>
      <c r="L43" s="307"/>
      <c r="M43" s="307"/>
      <c r="N43" s="307"/>
      <c r="O43" s="307"/>
      <c r="P43" s="307"/>
      <c r="Q43" s="307"/>
      <c r="R43" s="308"/>
      <c r="W43" s="61"/>
      <c r="X43" s="62"/>
    </row>
    <row r="44" spans="2:24" x14ac:dyDescent="0.35">
      <c r="B44" s="306"/>
      <c r="C44" s="307"/>
      <c r="D44" s="307"/>
      <c r="E44" s="307"/>
      <c r="F44" s="307"/>
      <c r="G44" s="307"/>
      <c r="H44" s="307"/>
      <c r="I44" s="307"/>
      <c r="J44" s="307"/>
      <c r="K44" s="307"/>
      <c r="L44" s="307"/>
      <c r="M44" s="307"/>
      <c r="N44" s="307"/>
      <c r="O44" s="307"/>
      <c r="P44" s="307"/>
      <c r="Q44" s="307"/>
      <c r="R44" s="308"/>
      <c r="W44" s="61"/>
      <c r="X44" s="62"/>
    </row>
    <row r="45" spans="2:24" ht="15" thickBot="1" x14ac:dyDescent="0.4">
      <c r="B45" s="309"/>
      <c r="C45" s="310"/>
      <c r="D45" s="310"/>
      <c r="E45" s="310"/>
      <c r="F45" s="310"/>
      <c r="G45" s="310"/>
      <c r="H45" s="310"/>
      <c r="I45" s="310"/>
      <c r="J45" s="310"/>
      <c r="K45" s="310"/>
      <c r="L45" s="310"/>
      <c r="M45" s="310"/>
      <c r="N45" s="310"/>
      <c r="O45" s="310"/>
      <c r="P45" s="310"/>
      <c r="Q45" s="310"/>
      <c r="R45" s="311"/>
      <c r="W45" s="61"/>
      <c r="X45" s="62"/>
    </row>
    <row r="46" spans="2:24" x14ac:dyDescent="0.35">
      <c r="W46" s="61"/>
      <c r="X46" s="62"/>
    </row>
    <row r="47" spans="2:24" x14ac:dyDescent="0.35">
      <c r="W47" s="61"/>
      <c r="X47" s="62"/>
    </row>
    <row r="48" spans="2:24" x14ac:dyDescent="0.35">
      <c r="W48" s="61"/>
      <c r="X48" s="62"/>
    </row>
    <row r="49" spans="23:24" x14ac:dyDescent="0.35">
      <c r="W49" s="61"/>
      <c r="X49" s="62"/>
    </row>
    <row r="50" spans="23:24" x14ac:dyDescent="0.35">
      <c r="W50" s="61"/>
      <c r="X50" s="62"/>
    </row>
    <row r="51" spans="23:24" x14ac:dyDescent="0.35">
      <c r="W51" s="61"/>
      <c r="X51" s="62"/>
    </row>
    <row r="52" spans="23:24" x14ac:dyDescent="0.35">
      <c r="W52" s="61"/>
      <c r="X52" s="62"/>
    </row>
    <row r="53" spans="23:24" x14ac:dyDescent="0.35">
      <c r="W53" s="61"/>
      <c r="X53" s="62"/>
    </row>
    <row r="54" spans="23:24" x14ac:dyDescent="0.35">
      <c r="W54" s="61"/>
      <c r="X54" s="62"/>
    </row>
    <row r="55" spans="23:24" x14ac:dyDescent="0.35">
      <c r="W55" s="61"/>
      <c r="X55" s="62"/>
    </row>
    <row r="56" spans="23:24" x14ac:dyDescent="0.35">
      <c r="W56" s="61"/>
      <c r="X56" s="62"/>
    </row>
    <row r="57" spans="23:24" x14ac:dyDescent="0.35">
      <c r="W57" s="61"/>
      <c r="X57" s="62"/>
    </row>
    <row r="58" spans="23:24" x14ac:dyDescent="0.35">
      <c r="W58" s="61"/>
      <c r="X58" s="62"/>
    </row>
    <row r="59" spans="23:24" x14ac:dyDescent="0.35">
      <c r="W59" s="61"/>
      <c r="X59" s="62"/>
    </row>
    <row r="60" spans="23:24" x14ac:dyDescent="0.35">
      <c r="W60" s="61"/>
      <c r="X60" s="62"/>
    </row>
    <row r="61" spans="23:24" x14ac:dyDescent="0.35">
      <c r="W61" s="61"/>
      <c r="X61" s="62"/>
    </row>
    <row r="62" spans="23:24" x14ac:dyDescent="0.35">
      <c r="W62" s="61"/>
      <c r="X62" s="62"/>
    </row>
    <row r="63" spans="23:24" x14ac:dyDescent="0.35">
      <c r="W63" s="61"/>
      <c r="X63" s="62"/>
    </row>
  </sheetData>
  <mergeCells count="3">
    <mergeCell ref="C3:S3"/>
    <mergeCell ref="D5:E5"/>
    <mergeCell ref="B39:R45"/>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8715A1-E494-44FE-BF00-27597DB58EEA}">
  <dimension ref="A1:X63"/>
  <sheetViews>
    <sheetView showGridLines="0" zoomScale="77" zoomScaleNormal="75" workbookViewId="0"/>
  </sheetViews>
  <sheetFormatPr defaultColWidth="9.1796875" defaultRowHeight="14.5" x14ac:dyDescent="0.35"/>
  <cols>
    <col min="1" max="1" width="2.81640625" style="19" customWidth="1"/>
    <col min="2" max="2" width="3.81640625" style="19" customWidth="1"/>
    <col min="3" max="3" width="59.7265625" style="19" bestFit="1" customWidth="1"/>
    <col min="4" max="4" width="35.54296875" style="19" customWidth="1"/>
    <col min="5" max="5" width="10.453125" style="19" bestFit="1" customWidth="1"/>
    <col min="6" max="18" width="9.1796875" style="19"/>
    <col min="19" max="19" width="9.81640625" style="19" customWidth="1"/>
    <col min="20" max="22" width="9.1796875" style="19"/>
    <col min="23" max="23" width="31.453125" style="19" bestFit="1" customWidth="1"/>
    <col min="24" max="16384" width="9.1796875" style="19"/>
  </cols>
  <sheetData>
    <row r="1" spans="1:24" ht="16" thickBot="1" x14ac:dyDescent="0.4">
      <c r="A1" s="3"/>
    </row>
    <row r="2" spans="1:24" x14ac:dyDescent="0.35">
      <c r="B2" s="63"/>
      <c r="C2" s="28"/>
      <c r="D2" s="28"/>
      <c r="E2" s="28"/>
      <c r="F2" s="28"/>
      <c r="G2" s="28"/>
      <c r="H2" s="28"/>
      <c r="I2" s="28"/>
      <c r="J2" s="28"/>
      <c r="K2" s="28"/>
      <c r="L2" s="28"/>
      <c r="M2" s="28"/>
      <c r="N2" s="28"/>
      <c r="O2" s="28"/>
      <c r="P2" s="28"/>
      <c r="Q2" s="28"/>
      <c r="R2" s="28"/>
      <c r="S2" s="28"/>
      <c r="T2" s="28"/>
      <c r="U2" s="24"/>
    </row>
    <row r="3" spans="1:24" ht="20" x14ac:dyDescent="0.35">
      <c r="B3" s="64"/>
      <c r="C3" s="312" t="s">
        <v>343</v>
      </c>
      <c r="D3" s="313"/>
      <c r="E3" s="313"/>
      <c r="F3" s="313"/>
      <c r="G3" s="313"/>
      <c r="H3" s="313"/>
      <c r="I3" s="313"/>
      <c r="J3" s="313"/>
      <c r="K3" s="313"/>
      <c r="L3" s="313"/>
      <c r="M3" s="313"/>
      <c r="N3" s="313"/>
      <c r="O3" s="313"/>
      <c r="P3" s="313"/>
      <c r="Q3" s="313"/>
      <c r="R3" s="313"/>
      <c r="S3" s="313"/>
      <c r="T3" s="65"/>
      <c r="U3" s="66"/>
    </row>
    <row r="4" spans="1:24" ht="15.5" x14ac:dyDescent="0.35">
      <c r="B4" s="64"/>
      <c r="C4" s="67" t="s">
        <v>434</v>
      </c>
      <c r="D4" s="29"/>
      <c r="E4" s="29"/>
      <c r="F4" s="29"/>
      <c r="G4" s="29"/>
      <c r="H4" s="29"/>
      <c r="I4" s="29"/>
      <c r="J4" s="29"/>
      <c r="K4" s="29"/>
      <c r="L4" s="29"/>
      <c r="M4" s="29"/>
      <c r="N4" s="29"/>
      <c r="O4" s="29"/>
      <c r="P4" s="29"/>
      <c r="Q4" s="29"/>
      <c r="R4" s="29"/>
      <c r="S4" s="29"/>
      <c r="T4" s="29"/>
      <c r="U4" s="25"/>
    </row>
    <row r="5" spans="1:24" ht="20" x14ac:dyDescent="0.35">
      <c r="B5" s="64"/>
      <c r="C5" s="211" t="s">
        <v>435</v>
      </c>
      <c r="D5" s="316" t="s">
        <v>431</v>
      </c>
      <c r="E5" s="316"/>
      <c r="F5" s="29"/>
      <c r="G5" s="29"/>
      <c r="H5" s="29"/>
      <c r="I5" s="29"/>
      <c r="J5" s="29"/>
      <c r="K5" s="29"/>
      <c r="L5" s="29"/>
      <c r="M5" s="29"/>
      <c r="N5" s="29"/>
      <c r="O5" s="29"/>
      <c r="P5" s="29"/>
      <c r="Q5" s="29"/>
      <c r="R5" s="29"/>
      <c r="S5" s="29"/>
      <c r="T5" s="29"/>
      <c r="U5" s="25"/>
    </row>
    <row r="6" spans="1:24" x14ac:dyDescent="0.35">
      <c r="B6" s="64"/>
      <c r="C6" s="29"/>
      <c r="D6" s="29"/>
      <c r="E6" s="29"/>
      <c r="F6" s="29"/>
      <c r="G6" s="29"/>
      <c r="H6" s="29"/>
      <c r="I6" s="29"/>
      <c r="J6" s="29"/>
      <c r="K6" s="29"/>
      <c r="L6" s="29"/>
      <c r="M6" s="29"/>
      <c r="N6" s="29"/>
      <c r="O6" s="29"/>
      <c r="P6" s="29"/>
      <c r="Q6" s="29"/>
      <c r="R6" s="29"/>
      <c r="S6" s="29"/>
      <c r="T6" s="29"/>
      <c r="U6" s="25"/>
    </row>
    <row r="7" spans="1:24" ht="15.5" x14ac:dyDescent="0.35">
      <c r="B7" s="64"/>
      <c r="C7" s="68" t="s">
        <v>0</v>
      </c>
      <c r="D7" s="69" t="s">
        <v>1</v>
      </c>
      <c r="E7" s="70" t="s">
        <v>2</v>
      </c>
      <c r="F7" s="29"/>
      <c r="G7" s="29"/>
      <c r="H7" s="29"/>
      <c r="I7" s="29"/>
      <c r="J7" s="29"/>
      <c r="K7" s="29"/>
      <c r="L7" s="29"/>
      <c r="M7" s="29"/>
      <c r="N7" s="29"/>
      <c r="O7" s="29"/>
      <c r="P7" s="29"/>
      <c r="Q7" s="29"/>
      <c r="R7" s="29"/>
      <c r="S7" s="29"/>
      <c r="T7" s="29"/>
      <c r="U7" s="25"/>
      <c r="W7" s="39" t="s">
        <v>22</v>
      </c>
      <c r="X7" s="39" t="s">
        <v>2</v>
      </c>
    </row>
    <row r="8" spans="1:24" ht="15.5" x14ac:dyDescent="0.35">
      <c r="B8" s="64"/>
      <c r="C8" s="184" t="s">
        <v>245</v>
      </c>
      <c r="D8" s="185" t="s">
        <v>109</v>
      </c>
      <c r="E8" s="186">
        <v>5.1706000000000002E-2</v>
      </c>
      <c r="F8" s="29"/>
      <c r="G8" s="29"/>
      <c r="H8" s="29"/>
      <c r="I8" s="29"/>
      <c r="J8" s="29"/>
      <c r="K8" s="29"/>
      <c r="L8" s="29"/>
      <c r="M8" s="29"/>
      <c r="N8" s="29"/>
      <c r="O8" s="29"/>
      <c r="P8" s="29"/>
      <c r="Q8" s="29"/>
      <c r="R8" s="29"/>
      <c r="S8" s="29"/>
      <c r="T8" s="29"/>
      <c r="U8" s="25"/>
      <c r="W8" s="173" t="s">
        <v>109</v>
      </c>
      <c r="X8" s="224">
        <v>0.22089300000000001</v>
      </c>
    </row>
    <row r="9" spans="1:24" ht="15.5" x14ac:dyDescent="0.35">
      <c r="B9" s="64"/>
      <c r="C9" s="180" t="s">
        <v>70</v>
      </c>
      <c r="D9" s="187" t="s">
        <v>12</v>
      </c>
      <c r="E9" s="188">
        <v>5.1324000000000002E-2</v>
      </c>
      <c r="F9" s="29"/>
      <c r="G9" s="29"/>
      <c r="H9" s="29"/>
      <c r="I9" s="29"/>
      <c r="J9" s="29"/>
      <c r="K9" s="29"/>
      <c r="L9" s="29"/>
      <c r="M9" s="29"/>
      <c r="N9" s="29"/>
      <c r="O9" s="29"/>
      <c r="P9" s="29"/>
      <c r="Q9" s="29"/>
      <c r="R9" s="29"/>
      <c r="S9" s="29"/>
      <c r="T9" s="29"/>
      <c r="U9" s="25"/>
      <c r="W9" s="173" t="s">
        <v>105</v>
      </c>
      <c r="X9" s="224">
        <v>0.11670700000000001</v>
      </c>
    </row>
    <row r="10" spans="1:24" ht="15.5" x14ac:dyDescent="0.35">
      <c r="B10" s="64"/>
      <c r="C10" s="180" t="s">
        <v>32</v>
      </c>
      <c r="D10" s="187" t="s">
        <v>3</v>
      </c>
      <c r="E10" s="188">
        <v>4.5411E-2</v>
      </c>
      <c r="F10" s="29"/>
      <c r="G10" s="29"/>
      <c r="H10" s="29"/>
      <c r="I10" s="29"/>
      <c r="J10" s="29"/>
      <c r="K10" s="29"/>
      <c r="L10" s="29"/>
      <c r="M10" s="29"/>
      <c r="N10" s="29"/>
      <c r="O10" s="29"/>
      <c r="P10" s="29"/>
      <c r="Q10" s="29"/>
      <c r="R10" s="29"/>
      <c r="S10" s="29"/>
      <c r="T10" s="29"/>
      <c r="U10" s="25"/>
      <c r="W10" s="173" t="s">
        <v>3</v>
      </c>
      <c r="X10" s="224">
        <v>6.9017999999999996E-2</v>
      </c>
    </row>
    <row r="11" spans="1:24" ht="15.5" x14ac:dyDescent="0.35">
      <c r="B11" s="64"/>
      <c r="C11" s="180" t="s">
        <v>287</v>
      </c>
      <c r="D11" s="187" t="s">
        <v>109</v>
      </c>
      <c r="E11" s="188">
        <v>4.3586E-2</v>
      </c>
      <c r="F11" s="29"/>
      <c r="G11" s="29"/>
      <c r="H11" s="29"/>
      <c r="I11" s="29"/>
      <c r="J11" s="29"/>
      <c r="K11" s="29"/>
      <c r="L11" s="29"/>
      <c r="M11" s="29"/>
      <c r="N11" s="29"/>
      <c r="O11" s="29"/>
      <c r="P11" s="29"/>
      <c r="Q11" s="29"/>
      <c r="R11" s="29"/>
      <c r="S11" s="29"/>
      <c r="T11" s="29"/>
      <c r="U11" s="25"/>
      <c r="W11" s="173" t="s">
        <v>81</v>
      </c>
      <c r="X11" s="224">
        <v>6.7627999999999994E-2</v>
      </c>
    </row>
    <row r="12" spans="1:24" ht="15.5" x14ac:dyDescent="0.35">
      <c r="B12" s="64"/>
      <c r="C12" s="180" t="s">
        <v>342</v>
      </c>
      <c r="D12" s="187" t="s">
        <v>114</v>
      </c>
      <c r="E12" s="188">
        <v>3.9495000000000002E-2</v>
      </c>
      <c r="F12" s="29"/>
      <c r="G12" s="29"/>
      <c r="H12" s="29"/>
      <c r="I12" s="29"/>
      <c r="J12" s="29"/>
      <c r="K12" s="29"/>
      <c r="L12" s="29"/>
      <c r="M12" s="29"/>
      <c r="N12" s="29"/>
      <c r="O12" s="29"/>
      <c r="P12" s="29"/>
      <c r="Q12" s="29"/>
      <c r="R12" s="29"/>
      <c r="S12" s="29"/>
      <c r="T12" s="29"/>
      <c r="U12" s="25"/>
      <c r="W12" s="173" t="s">
        <v>110</v>
      </c>
      <c r="X12" s="224">
        <v>5.8041999999999996E-2</v>
      </c>
    </row>
    <row r="13" spans="1:24" ht="15.5" x14ac:dyDescent="0.35">
      <c r="B13" s="64"/>
      <c r="C13" s="180" t="s">
        <v>325</v>
      </c>
      <c r="D13" s="187" t="s">
        <v>104</v>
      </c>
      <c r="E13" s="188">
        <v>3.9156999999999997E-2</v>
      </c>
      <c r="F13" s="29"/>
      <c r="G13" s="29"/>
      <c r="H13" s="29"/>
      <c r="I13" s="29"/>
      <c r="J13" s="29"/>
      <c r="K13" s="29"/>
      <c r="L13" s="29"/>
      <c r="M13" s="29"/>
      <c r="N13" s="29"/>
      <c r="O13" s="29"/>
      <c r="P13" s="29"/>
      <c r="Q13" s="29"/>
      <c r="R13" s="29"/>
      <c r="S13" s="29"/>
      <c r="T13" s="29"/>
      <c r="U13" s="25"/>
      <c r="W13" s="173" t="s">
        <v>108</v>
      </c>
      <c r="X13" s="224">
        <v>5.5389000000000001E-2</v>
      </c>
    </row>
    <row r="14" spans="1:24" ht="15.5" x14ac:dyDescent="0.35">
      <c r="B14" s="64"/>
      <c r="C14" s="180" t="s">
        <v>86</v>
      </c>
      <c r="D14" s="187" t="s">
        <v>106</v>
      </c>
      <c r="E14" s="188">
        <v>3.7477000000000003E-2</v>
      </c>
      <c r="F14" s="29"/>
      <c r="G14" s="29"/>
      <c r="H14" s="29"/>
      <c r="I14" s="29"/>
      <c r="J14" s="29"/>
      <c r="K14" s="29"/>
      <c r="L14" s="29"/>
      <c r="M14" s="29"/>
      <c r="N14" s="29"/>
      <c r="O14" s="29"/>
      <c r="P14" s="29"/>
      <c r="Q14" s="29"/>
      <c r="R14" s="29"/>
      <c r="S14" s="29"/>
      <c r="T14" s="29"/>
      <c r="U14" s="25"/>
      <c r="W14" s="173" t="s">
        <v>12</v>
      </c>
      <c r="X14" s="224">
        <v>5.1324000000000002E-2</v>
      </c>
    </row>
    <row r="15" spans="1:24" ht="15.5" x14ac:dyDescent="0.35">
      <c r="B15" s="64"/>
      <c r="C15" s="180" t="s">
        <v>288</v>
      </c>
      <c r="D15" s="187" t="s">
        <v>109</v>
      </c>
      <c r="E15" s="188">
        <v>3.6997000000000002E-2</v>
      </c>
      <c r="F15" s="29"/>
      <c r="G15" s="29"/>
      <c r="H15" s="29"/>
      <c r="I15" s="29"/>
      <c r="J15" s="29"/>
      <c r="K15" s="29"/>
      <c r="L15" s="29"/>
      <c r="M15" s="29"/>
      <c r="N15" s="29"/>
      <c r="O15" s="29"/>
      <c r="P15" s="29"/>
      <c r="Q15" s="29"/>
      <c r="R15" s="29"/>
      <c r="S15" s="29"/>
      <c r="T15" s="29"/>
      <c r="U15" s="25"/>
      <c r="W15" s="173" t="s">
        <v>114</v>
      </c>
      <c r="X15" s="224">
        <v>3.9495000000000002E-2</v>
      </c>
    </row>
    <row r="16" spans="1:24" ht="15.5" x14ac:dyDescent="0.35">
      <c r="B16" s="64"/>
      <c r="C16" s="180" t="s">
        <v>243</v>
      </c>
      <c r="D16" s="187" t="s">
        <v>81</v>
      </c>
      <c r="E16" s="188">
        <v>3.5926E-2</v>
      </c>
      <c r="F16" s="29"/>
      <c r="G16" s="29"/>
      <c r="H16" s="29"/>
      <c r="I16" s="29"/>
      <c r="J16" s="29"/>
      <c r="K16" s="29"/>
      <c r="L16" s="29"/>
      <c r="M16" s="29"/>
      <c r="N16" s="29"/>
      <c r="O16" s="29"/>
      <c r="P16" s="29"/>
      <c r="Q16" s="29"/>
      <c r="R16" s="29"/>
      <c r="S16" s="29"/>
      <c r="T16" s="29"/>
      <c r="U16" s="25"/>
      <c r="W16" s="173" t="s">
        <v>104</v>
      </c>
      <c r="X16" s="224">
        <v>3.9156999999999997E-2</v>
      </c>
    </row>
    <row r="17" spans="2:24" ht="15.5" x14ac:dyDescent="0.35">
      <c r="B17" s="64"/>
      <c r="C17" s="180" t="s">
        <v>30</v>
      </c>
      <c r="D17" s="187" t="s">
        <v>115</v>
      </c>
      <c r="E17" s="188">
        <v>3.5178000000000001E-2</v>
      </c>
      <c r="F17" s="29"/>
      <c r="G17" s="29"/>
      <c r="H17" s="29"/>
      <c r="I17" s="29"/>
      <c r="J17" s="29"/>
      <c r="K17" s="29"/>
      <c r="L17" s="29"/>
      <c r="M17" s="29"/>
      <c r="N17" s="29"/>
      <c r="O17" s="29"/>
      <c r="P17" s="29"/>
      <c r="Q17" s="29"/>
      <c r="R17" s="29"/>
      <c r="S17" s="29"/>
      <c r="T17" s="29"/>
      <c r="U17" s="25"/>
      <c r="W17" s="173" t="s">
        <v>106</v>
      </c>
      <c r="X17" s="224">
        <v>3.7477000000000003E-2</v>
      </c>
    </row>
    <row r="18" spans="2:24" ht="15.5" x14ac:dyDescent="0.35">
      <c r="B18" s="64"/>
      <c r="C18" s="180" t="s">
        <v>281</v>
      </c>
      <c r="D18" s="187" t="s">
        <v>75</v>
      </c>
      <c r="E18" s="188">
        <v>3.4806999999999998E-2</v>
      </c>
      <c r="F18" s="29"/>
      <c r="G18" s="29"/>
      <c r="H18" s="29"/>
      <c r="I18" s="29"/>
      <c r="J18" s="29"/>
      <c r="K18" s="29"/>
      <c r="L18" s="29"/>
      <c r="M18" s="29"/>
      <c r="N18" s="29"/>
      <c r="O18" s="29"/>
      <c r="P18" s="29"/>
      <c r="Q18" s="29"/>
      <c r="R18" s="29"/>
      <c r="S18" s="29"/>
      <c r="T18" s="29"/>
      <c r="U18" s="25"/>
      <c r="W18" s="173" t="s">
        <v>115</v>
      </c>
      <c r="X18" s="224">
        <v>3.5178000000000001E-2</v>
      </c>
    </row>
    <row r="19" spans="2:24" ht="15.5" x14ac:dyDescent="0.35">
      <c r="B19" s="64"/>
      <c r="C19" s="180" t="s">
        <v>323</v>
      </c>
      <c r="D19" s="187" t="s">
        <v>84</v>
      </c>
      <c r="E19" s="188">
        <v>3.3745999999999998E-2</v>
      </c>
      <c r="F19" s="29"/>
      <c r="G19" s="29"/>
      <c r="H19" s="29"/>
      <c r="I19" s="29"/>
      <c r="J19" s="29"/>
      <c r="K19" s="29"/>
      <c r="L19" s="29"/>
      <c r="M19" s="29"/>
      <c r="N19" s="29"/>
      <c r="O19" s="29"/>
      <c r="P19" s="29"/>
      <c r="Q19" s="29"/>
      <c r="R19" s="29"/>
      <c r="S19" s="29"/>
      <c r="T19" s="29"/>
      <c r="U19" s="25"/>
      <c r="W19" s="173" t="s">
        <v>75</v>
      </c>
      <c r="X19" s="224">
        <v>3.4806999999999998E-2</v>
      </c>
    </row>
    <row r="20" spans="2:24" ht="15.5" x14ac:dyDescent="0.35">
      <c r="B20" s="64"/>
      <c r="C20" s="180" t="s">
        <v>264</v>
      </c>
      <c r="D20" s="187" t="s">
        <v>109</v>
      </c>
      <c r="E20" s="188">
        <v>3.2951000000000001E-2</v>
      </c>
      <c r="F20" s="29"/>
      <c r="G20" s="29"/>
      <c r="H20" s="29"/>
      <c r="I20" s="29"/>
      <c r="J20" s="29"/>
      <c r="K20" s="29"/>
      <c r="L20" s="29"/>
      <c r="M20" s="29"/>
      <c r="N20" s="29"/>
      <c r="O20" s="29"/>
      <c r="P20" s="29"/>
      <c r="Q20" s="29"/>
      <c r="R20" s="29"/>
      <c r="S20" s="29"/>
      <c r="T20" s="29"/>
      <c r="U20" s="25"/>
      <c r="W20" s="173" t="s">
        <v>84</v>
      </c>
      <c r="X20" s="224">
        <v>3.3745999999999998E-2</v>
      </c>
    </row>
    <row r="21" spans="2:24" ht="15.5" x14ac:dyDescent="0.35">
      <c r="B21" s="64"/>
      <c r="C21" s="180" t="s">
        <v>140</v>
      </c>
      <c r="D21" s="187" t="s">
        <v>109</v>
      </c>
      <c r="E21" s="188">
        <v>3.2214E-2</v>
      </c>
      <c r="F21" s="29"/>
      <c r="G21" s="29"/>
      <c r="H21" s="29"/>
      <c r="I21" s="29"/>
      <c r="J21" s="29"/>
      <c r="K21" s="29"/>
      <c r="L21" s="29"/>
      <c r="M21" s="29"/>
      <c r="N21" s="29"/>
      <c r="O21" s="29"/>
      <c r="P21" s="29"/>
      <c r="Q21" s="29"/>
      <c r="R21" s="29"/>
      <c r="S21" s="29"/>
      <c r="T21" s="29"/>
      <c r="U21" s="25"/>
      <c r="W21" s="173" t="s">
        <v>16</v>
      </c>
      <c r="X21" s="224">
        <v>3.1479E-2</v>
      </c>
    </row>
    <row r="22" spans="2:24" ht="15.5" x14ac:dyDescent="0.35">
      <c r="B22" s="64"/>
      <c r="C22" s="180" t="s">
        <v>64</v>
      </c>
      <c r="D22" s="187" t="s">
        <v>81</v>
      </c>
      <c r="E22" s="188">
        <v>3.1702000000000001E-2</v>
      </c>
      <c r="F22" s="29"/>
      <c r="G22" s="29"/>
      <c r="H22" s="29"/>
      <c r="I22" s="29"/>
      <c r="J22" s="29"/>
      <c r="K22" s="29"/>
      <c r="L22" s="29"/>
      <c r="M22" s="29"/>
      <c r="N22" s="29"/>
      <c r="O22" s="29"/>
      <c r="P22" s="29"/>
      <c r="Q22" s="29"/>
      <c r="R22" s="29"/>
      <c r="S22" s="29"/>
      <c r="T22" s="29"/>
      <c r="U22" s="25"/>
      <c r="W22" s="173" t="s">
        <v>119</v>
      </c>
      <c r="X22" s="224">
        <v>3.1040000000000002E-2</v>
      </c>
    </row>
    <row r="23" spans="2:24" ht="15.5" x14ac:dyDescent="0.35">
      <c r="B23" s="64"/>
      <c r="C23" s="71"/>
      <c r="D23" s="71"/>
      <c r="E23" s="72"/>
      <c r="F23" s="29"/>
      <c r="G23" s="29"/>
      <c r="H23" s="29"/>
      <c r="I23" s="29"/>
      <c r="J23" s="29"/>
      <c r="K23" s="29"/>
      <c r="L23" s="29"/>
      <c r="M23" s="29"/>
      <c r="N23" s="29"/>
      <c r="O23" s="29"/>
      <c r="P23" s="29"/>
      <c r="Q23" s="29"/>
      <c r="R23" s="29"/>
      <c r="S23" s="29"/>
      <c r="T23" s="29"/>
      <c r="U23" s="25"/>
      <c r="W23" s="173" t="s">
        <v>117</v>
      </c>
      <c r="X23" s="224">
        <v>2.8456000000000002E-2</v>
      </c>
    </row>
    <row r="24" spans="2:24" ht="15.5" x14ac:dyDescent="0.35">
      <c r="B24" s="64"/>
      <c r="C24" s="73" t="s">
        <v>55</v>
      </c>
      <c r="D24" s="74"/>
      <c r="E24" s="75">
        <f>SUM(E8:E22)</f>
        <v>0.58167699999999989</v>
      </c>
      <c r="F24" s="29"/>
      <c r="G24" s="29"/>
      <c r="H24" s="29"/>
      <c r="I24" s="29"/>
      <c r="J24" s="29"/>
      <c r="K24" s="29"/>
      <c r="L24" s="29"/>
      <c r="M24" s="29"/>
      <c r="N24" s="29"/>
      <c r="O24" s="29"/>
      <c r="P24" s="29"/>
      <c r="Q24" s="29"/>
      <c r="R24" s="29"/>
      <c r="S24" s="29"/>
      <c r="T24" s="29"/>
      <c r="U24" s="25"/>
      <c r="W24" s="173" t="s">
        <v>26</v>
      </c>
      <c r="X24" s="224">
        <v>2.6887000000000001E-2</v>
      </c>
    </row>
    <row r="25" spans="2:24" x14ac:dyDescent="0.35">
      <c r="B25" s="64"/>
      <c r="C25" s="29"/>
      <c r="D25" s="29"/>
      <c r="E25" s="29"/>
      <c r="F25" s="29"/>
      <c r="G25" s="29"/>
      <c r="H25" s="29"/>
      <c r="I25" s="29"/>
      <c r="J25" s="29"/>
      <c r="K25" s="29"/>
      <c r="L25" s="29"/>
      <c r="M25" s="29"/>
      <c r="N25" s="29"/>
      <c r="O25" s="29"/>
      <c r="P25" s="29"/>
      <c r="Q25" s="29"/>
      <c r="R25" s="29"/>
      <c r="S25" s="29"/>
      <c r="T25" s="29"/>
      <c r="U25" s="25"/>
      <c r="W25" s="173" t="s">
        <v>24</v>
      </c>
      <c r="X25" s="224">
        <v>2.5253000000000001E-2</v>
      </c>
    </row>
    <row r="26" spans="2:24" x14ac:dyDescent="0.35">
      <c r="B26" s="64"/>
      <c r="C26" s="29"/>
      <c r="D26" s="29"/>
      <c r="E26" s="29"/>
      <c r="F26" s="29"/>
      <c r="G26" s="29"/>
      <c r="H26" s="29"/>
      <c r="I26" s="29"/>
      <c r="J26" s="29"/>
      <c r="K26" s="29"/>
      <c r="L26" s="29"/>
      <c r="M26" s="29"/>
      <c r="N26" s="29"/>
      <c r="O26" s="29"/>
      <c r="P26" s="29"/>
      <c r="Q26" s="29"/>
      <c r="R26" s="29"/>
      <c r="S26" s="29"/>
      <c r="T26" s="29"/>
      <c r="U26" s="25"/>
      <c r="W26" s="173"/>
      <c r="X26" s="224"/>
    </row>
    <row r="27" spans="2:24" x14ac:dyDescent="0.35">
      <c r="B27" s="64"/>
      <c r="C27" s="29"/>
      <c r="D27" s="29"/>
      <c r="E27" s="29"/>
      <c r="F27" s="29"/>
      <c r="G27" s="29"/>
      <c r="H27" s="29"/>
      <c r="I27" s="29"/>
      <c r="J27" s="29"/>
      <c r="K27" s="29"/>
      <c r="L27" s="29"/>
      <c r="M27" s="29"/>
      <c r="N27" s="29"/>
      <c r="O27" s="29"/>
      <c r="P27" s="29"/>
      <c r="Q27" s="29"/>
      <c r="R27" s="29"/>
      <c r="S27" s="29"/>
      <c r="T27" s="29"/>
      <c r="U27" s="25"/>
      <c r="W27" s="61"/>
      <c r="X27" s="62"/>
    </row>
    <row r="28" spans="2:24" x14ac:dyDescent="0.35">
      <c r="B28" s="64"/>
      <c r="C28" s="29"/>
      <c r="D28" s="29"/>
      <c r="E28" s="29"/>
      <c r="F28" s="29"/>
      <c r="G28" s="29"/>
      <c r="H28" s="29"/>
      <c r="I28" s="29"/>
      <c r="J28" s="29"/>
      <c r="K28" s="29"/>
      <c r="L28" s="29"/>
      <c r="M28" s="29"/>
      <c r="N28" s="29"/>
      <c r="O28" s="29"/>
      <c r="P28" s="29"/>
      <c r="Q28" s="29"/>
      <c r="R28" s="29"/>
      <c r="S28" s="29"/>
      <c r="T28" s="29"/>
      <c r="U28" s="25"/>
      <c r="W28" s="61"/>
      <c r="X28" s="62"/>
    </row>
    <row r="29" spans="2:24" x14ac:dyDescent="0.35">
      <c r="B29" s="64"/>
      <c r="C29" s="29"/>
      <c r="D29" s="29"/>
      <c r="E29" s="29"/>
      <c r="F29" s="29"/>
      <c r="G29" s="29"/>
      <c r="H29" s="29"/>
      <c r="I29" s="29"/>
      <c r="J29" s="29"/>
      <c r="K29" s="29"/>
      <c r="L29" s="29"/>
      <c r="M29" s="29"/>
      <c r="N29" s="29"/>
      <c r="O29" s="29"/>
      <c r="P29" s="29"/>
      <c r="Q29" s="29"/>
      <c r="R29" s="29"/>
      <c r="S29" s="29"/>
      <c r="T29" s="29"/>
      <c r="U29" s="25"/>
      <c r="W29" s="61"/>
      <c r="X29" s="62"/>
    </row>
    <row r="30" spans="2:24" x14ac:dyDescent="0.35">
      <c r="B30" s="64"/>
      <c r="C30" s="29"/>
      <c r="D30" s="29"/>
      <c r="E30" s="29"/>
      <c r="F30" s="29"/>
      <c r="G30" s="29"/>
      <c r="H30" s="29"/>
      <c r="I30" s="29"/>
      <c r="J30" s="29"/>
      <c r="K30" s="29"/>
      <c r="L30" s="29"/>
      <c r="M30" s="29"/>
      <c r="N30" s="29"/>
      <c r="O30" s="29"/>
      <c r="P30" s="29"/>
      <c r="Q30" s="29"/>
      <c r="R30" s="29"/>
      <c r="S30" s="29"/>
      <c r="T30" s="29"/>
      <c r="U30" s="25"/>
      <c r="W30" s="61"/>
      <c r="X30" s="62"/>
    </row>
    <row r="31" spans="2:24" x14ac:dyDescent="0.35">
      <c r="B31" s="64"/>
      <c r="C31" s="29"/>
      <c r="D31" s="29"/>
      <c r="E31" s="29"/>
      <c r="F31" s="29"/>
      <c r="G31" s="29"/>
      <c r="H31" s="29"/>
      <c r="I31" s="29"/>
      <c r="J31" s="29"/>
      <c r="K31" s="29"/>
      <c r="L31" s="29"/>
      <c r="M31" s="29"/>
      <c r="N31" s="29"/>
      <c r="O31" s="29"/>
      <c r="P31" s="29"/>
      <c r="Q31" s="29"/>
      <c r="R31" s="29"/>
      <c r="S31" s="29"/>
      <c r="T31" s="29"/>
      <c r="U31" s="25"/>
      <c r="W31" s="61"/>
      <c r="X31" s="62"/>
    </row>
    <row r="32" spans="2:24" x14ac:dyDescent="0.35">
      <c r="B32" s="64"/>
      <c r="C32" s="29"/>
      <c r="D32" s="29"/>
      <c r="E32" s="29"/>
      <c r="F32" s="29"/>
      <c r="G32" s="29"/>
      <c r="H32" s="29"/>
      <c r="I32" s="29"/>
      <c r="J32" s="29"/>
      <c r="K32" s="29"/>
      <c r="L32" s="29"/>
      <c r="M32" s="29"/>
      <c r="N32" s="29"/>
      <c r="O32" s="29"/>
      <c r="P32" s="29"/>
      <c r="Q32" s="29"/>
      <c r="R32" s="29"/>
      <c r="S32" s="29"/>
      <c r="T32" s="29"/>
      <c r="U32" s="25"/>
      <c r="W32" s="61"/>
      <c r="X32" s="62"/>
    </row>
    <row r="33" spans="2:24" x14ac:dyDescent="0.35">
      <c r="B33" s="64"/>
      <c r="C33" s="29"/>
      <c r="D33" s="29"/>
      <c r="E33" s="29"/>
      <c r="F33" s="29"/>
      <c r="G33" s="29"/>
      <c r="H33" s="29"/>
      <c r="I33" s="29"/>
      <c r="J33" s="29"/>
      <c r="K33" s="29"/>
      <c r="L33" s="29"/>
      <c r="M33" s="29"/>
      <c r="N33" s="29"/>
      <c r="O33" s="29"/>
      <c r="P33" s="29"/>
      <c r="Q33" s="29"/>
      <c r="R33" s="29"/>
      <c r="S33" s="29"/>
      <c r="T33" s="29"/>
      <c r="U33" s="25"/>
      <c r="W33" s="61"/>
      <c r="X33" s="62"/>
    </row>
    <row r="34" spans="2:24" x14ac:dyDescent="0.35">
      <c r="B34" s="64"/>
      <c r="C34" s="29"/>
      <c r="D34" s="29"/>
      <c r="E34" s="29"/>
      <c r="F34" s="29"/>
      <c r="G34" s="29"/>
      <c r="H34" s="29"/>
      <c r="I34" s="29"/>
      <c r="J34" s="29"/>
      <c r="K34" s="29"/>
      <c r="L34" s="29"/>
      <c r="M34" s="29"/>
      <c r="N34" s="29"/>
      <c r="O34" s="29"/>
      <c r="P34" s="29"/>
      <c r="Q34" s="29"/>
      <c r="R34" s="29"/>
      <c r="S34" s="29"/>
      <c r="T34" s="29"/>
      <c r="U34" s="25"/>
      <c r="W34" s="61"/>
      <c r="X34" s="62"/>
    </row>
    <row r="35" spans="2:24" x14ac:dyDescent="0.35">
      <c r="B35" s="64"/>
      <c r="C35" s="29"/>
      <c r="D35" s="29"/>
      <c r="E35" s="29"/>
      <c r="F35" s="29"/>
      <c r="G35" s="29"/>
      <c r="H35" s="29"/>
      <c r="I35" s="29"/>
      <c r="J35" s="29"/>
      <c r="K35" s="29"/>
      <c r="L35" s="29"/>
      <c r="M35" s="29"/>
      <c r="N35" s="29"/>
      <c r="O35" s="29"/>
      <c r="P35" s="29"/>
      <c r="Q35" s="29"/>
      <c r="R35" s="29"/>
      <c r="S35" s="29"/>
      <c r="T35" s="29"/>
      <c r="U35" s="25"/>
      <c r="W35" s="61"/>
      <c r="X35" s="62"/>
    </row>
    <row r="36" spans="2:24" x14ac:dyDescent="0.35">
      <c r="B36" s="64"/>
      <c r="C36" s="29"/>
      <c r="D36" s="29"/>
      <c r="E36" s="29"/>
      <c r="F36" s="29"/>
      <c r="G36" s="29"/>
      <c r="H36" s="29"/>
      <c r="I36" s="29"/>
      <c r="J36" s="29"/>
      <c r="K36" s="29"/>
      <c r="L36" s="29"/>
      <c r="M36" s="29"/>
      <c r="N36" s="29"/>
      <c r="O36" s="29"/>
      <c r="P36" s="29"/>
      <c r="Q36" s="29"/>
      <c r="R36" s="29"/>
      <c r="S36" s="29"/>
      <c r="T36" s="29"/>
      <c r="U36" s="25"/>
      <c r="W36" s="61"/>
      <c r="X36" s="62"/>
    </row>
    <row r="37" spans="2:24" ht="15" thickBot="1" x14ac:dyDescent="0.4">
      <c r="B37" s="76"/>
      <c r="C37" s="30"/>
      <c r="D37" s="30"/>
      <c r="E37" s="30"/>
      <c r="F37" s="30"/>
      <c r="G37" s="30"/>
      <c r="H37" s="30"/>
      <c r="I37" s="30"/>
      <c r="J37" s="30"/>
      <c r="K37" s="30"/>
      <c r="L37" s="30"/>
      <c r="M37" s="30"/>
      <c r="N37" s="30"/>
      <c r="O37" s="30"/>
      <c r="P37" s="30"/>
      <c r="Q37" s="30"/>
      <c r="R37" s="30"/>
      <c r="S37" s="30"/>
      <c r="T37" s="30"/>
      <c r="U37" s="26"/>
      <c r="W37" s="61"/>
      <c r="X37" s="62"/>
    </row>
    <row r="38" spans="2:24" ht="15" thickBot="1" x14ac:dyDescent="0.4">
      <c r="W38" s="61"/>
      <c r="X38" s="62"/>
    </row>
    <row r="39" spans="2:24" x14ac:dyDescent="0.35">
      <c r="B39" s="303" t="s">
        <v>179</v>
      </c>
      <c r="C39" s="304"/>
      <c r="D39" s="304"/>
      <c r="E39" s="304"/>
      <c r="F39" s="304"/>
      <c r="G39" s="304"/>
      <c r="H39" s="304"/>
      <c r="I39" s="304"/>
      <c r="J39" s="304"/>
      <c r="K39" s="304"/>
      <c r="L39" s="304"/>
      <c r="M39" s="304"/>
      <c r="N39" s="304"/>
      <c r="O39" s="304"/>
      <c r="P39" s="304"/>
      <c r="Q39" s="304"/>
      <c r="R39" s="305"/>
      <c r="W39" s="61"/>
      <c r="X39" s="62"/>
    </row>
    <row r="40" spans="2:24" x14ac:dyDescent="0.35">
      <c r="B40" s="306"/>
      <c r="C40" s="307"/>
      <c r="D40" s="307"/>
      <c r="E40" s="307"/>
      <c r="F40" s="307"/>
      <c r="G40" s="307"/>
      <c r="H40" s="307"/>
      <c r="I40" s="307"/>
      <c r="J40" s="307"/>
      <c r="K40" s="307"/>
      <c r="L40" s="307"/>
      <c r="M40" s="307"/>
      <c r="N40" s="307"/>
      <c r="O40" s="307"/>
      <c r="P40" s="307"/>
      <c r="Q40" s="307"/>
      <c r="R40" s="308"/>
      <c r="W40" s="61"/>
      <c r="X40" s="62"/>
    </row>
    <row r="41" spans="2:24" x14ac:dyDescent="0.35">
      <c r="B41" s="306"/>
      <c r="C41" s="307"/>
      <c r="D41" s="307"/>
      <c r="E41" s="307"/>
      <c r="F41" s="307"/>
      <c r="G41" s="307"/>
      <c r="H41" s="307"/>
      <c r="I41" s="307"/>
      <c r="J41" s="307"/>
      <c r="K41" s="307"/>
      <c r="L41" s="307"/>
      <c r="M41" s="307"/>
      <c r="N41" s="307"/>
      <c r="O41" s="307"/>
      <c r="P41" s="307"/>
      <c r="Q41" s="307"/>
      <c r="R41" s="308"/>
      <c r="W41" s="61"/>
      <c r="X41" s="62"/>
    </row>
    <row r="42" spans="2:24" x14ac:dyDescent="0.35">
      <c r="B42" s="306"/>
      <c r="C42" s="307"/>
      <c r="D42" s="307"/>
      <c r="E42" s="307"/>
      <c r="F42" s="307"/>
      <c r="G42" s="307"/>
      <c r="H42" s="307"/>
      <c r="I42" s="307"/>
      <c r="J42" s="307"/>
      <c r="K42" s="307"/>
      <c r="L42" s="307"/>
      <c r="M42" s="307"/>
      <c r="N42" s="307"/>
      <c r="O42" s="307"/>
      <c r="P42" s="307"/>
      <c r="Q42" s="307"/>
      <c r="R42" s="308"/>
      <c r="W42" s="61"/>
      <c r="X42" s="62"/>
    </row>
    <row r="43" spans="2:24" x14ac:dyDescent="0.35">
      <c r="B43" s="306"/>
      <c r="C43" s="307"/>
      <c r="D43" s="307"/>
      <c r="E43" s="307"/>
      <c r="F43" s="307"/>
      <c r="G43" s="307"/>
      <c r="H43" s="307"/>
      <c r="I43" s="307"/>
      <c r="J43" s="307"/>
      <c r="K43" s="307"/>
      <c r="L43" s="307"/>
      <c r="M43" s="307"/>
      <c r="N43" s="307"/>
      <c r="O43" s="307"/>
      <c r="P43" s="307"/>
      <c r="Q43" s="307"/>
      <c r="R43" s="308"/>
      <c r="W43" s="61"/>
      <c r="X43" s="62"/>
    </row>
    <row r="44" spans="2:24" x14ac:dyDescent="0.35">
      <c r="B44" s="306"/>
      <c r="C44" s="307"/>
      <c r="D44" s="307"/>
      <c r="E44" s="307"/>
      <c r="F44" s="307"/>
      <c r="G44" s="307"/>
      <c r="H44" s="307"/>
      <c r="I44" s="307"/>
      <c r="J44" s="307"/>
      <c r="K44" s="307"/>
      <c r="L44" s="307"/>
      <c r="M44" s="307"/>
      <c r="N44" s="307"/>
      <c r="O44" s="307"/>
      <c r="P44" s="307"/>
      <c r="Q44" s="307"/>
      <c r="R44" s="308"/>
      <c r="W44" s="61"/>
      <c r="X44" s="62"/>
    </row>
    <row r="45" spans="2:24" ht="15" thickBot="1" x14ac:dyDescent="0.4">
      <c r="B45" s="309"/>
      <c r="C45" s="310"/>
      <c r="D45" s="310"/>
      <c r="E45" s="310"/>
      <c r="F45" s="310"/>
      <c r="G45" s="310"/>
      <c r="H45" s="310"/>
      <c r="I45" s="310"/>
      <c r="J45" s="310"/>
      <c r="K45" s="310"/>
      <c r="L45" s="310"/>
      <c r="M45" s="310"/>
      <c r="N45" s="310"/>
      <c r="O45" s="310"/>
      <c r="P45" s="310"/>
      <c r="Q45" s="310"/>
      <c r="R45" s="311"/>
      <c r="W45" s="61"/>
      <c r="X45" s="62"/>
    </row>
    <row r="46" spans="2:24" x14ac:dyDescent="0.35">
      <c r="W46" s="61"/>
      <c r="X46" s="62"/>
    </row>
    <row r="47" spans="2:24" x14ac:dyDescent="0.35">
      <c r="W47" s="61"/>
      <c r="X47" s="62"/>
    </row>
    <row r="48" spans="2:24" x14ac:dyDescent="0.35">
      <c r="W48" s="61"/>
      <c r="X48" s="62"/>
    </row>
    <row r="49" spans="23:24" x14ac:dyDescent="0.35">
      <c r="W49" s="61"/>
      <c r="X49" s="62"/>
    </row>
    <row r="50" spans="23:24" x14ac:dyDescent="0.35">
      <c r="W50" s="61"/>
      <c r="X50" s="62"/>
    </row>
    <row r="51" spans="23:24" x14ac:dyDescent="0.35">
      <c r="W51" s="61"/>
      <c r="X51" s="62"/>
    </row>
    <row r="52" spans="23:24" x14ac:dyDescent="0.35">
      <c r="W52" s="61"/>
      <c r="X52" s="62"/>
    </row>
    <row r="53" spans="23:24" x14ac:dyDescent="0.35">
      <c r="W53" s="61"/>
      <c r="X53" s="62"/>
    </row>
    <row r="54" spans="23:24" x14ac:dyDescent="0.35">
      <c r="W54" s="61"/>
      <c r="X54" s="62"/>
    </row>
    <row r="55" spans="23:24" x14ac:dyDescent="0.35">
      <c r="W55" s="61"/>
      <c r="X55" s="62"/>
    </row>
    <row r="56" spans="23:24" x14ac:dyDescent="0.35">
      <c r="W56" s="61"/>
      <c r="X56" s="62"/>
    </row>
    <row r="57" spans="23:24" x14ac:dyDescent="0.35">
      <c r="W57" s="61"/>
      <c r="X57" s="62"/>
    </row>
    <row r="58" spans="23:24" x14ac:dyDescent="0.35">
      <c r="W58" s="61"/>
      <c r="X58" s="62"/>
    </row>
    <row r="59" spans="23:24" x14ac:dyDescent="0.35">
      <c r="W59" s="61"/>
      <c r="X59" s="62"/>
    </row>
    <row r="60" spans="23:24" x14ac:dyDescent="0.35">
      <c r="W60" s="61"/>
      <c r="X60" s="62"/>
    </row>
    <row r="61" spans="23:24" x14ac:dyDescent="0.35">
      <c r="W61" s="61"/>
      <c r="X61" s="62"/>
    </row>
    <row r="62" spans="23:24" x14ac:dyDescent="0.35">
      <c r="W62" s="61"/>
      <c r="X62" s="62"/>
    </row>
    <row r="63" spans="23:24" x14ac:dyDescent="0.35">
      <c r="W63" s="61"/>
      <c r="X63" s="62"/>
    </row>
  </sheetData>
  <mergeCells count="3">
    <mergeCell ref="C3:S3"/>
    <mergeCell ref="D5:E5"/>
    <mergeCell ref="B39:R45"/>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D385B1-879F-4985-88AE-5C1AF17C8ABE}">
  <dimension ref="A1:X63"/>
  <sheetViews>
    <sheetView showGridLines="0" zoomScale="77" zoomScaleNormal="75" workbookViewId="0"/>
  </sheetViews>
  <sheetFormatPr defaultColWidth="9.1796875" defaultRowHeight="14.5" x14ac:dyDescent="0.35"/>
  <cols>
    <col min="1" max="1" width="2.81640625" style="19" customWidth="1"/>
    <col min="2" max="2" width="3.81640625" style="19" customWidth="1"/>
    <col min="3" max="3" width="59.7265625" style="19" bestFit="1" customWidth="1"/>
    <col min="4" max="4" width="35.54296875" style="19" customWidth="1"/>
    <col min="5" max="5" width="10.453125" style="19" bestFit="1" customWidth="1"/>
    <col min="6" max="18" width="9.1796875" style="19"/>
    <col min="19" max="19" width="9.81640625" style="19" customWidth="1"/>
    <col min="20" max="22" width="9.1796875" style="19"/>
    <col min="23" max="23" width="31.453125" style="19" bestFit="1" customWidth="1"/>
    <col min="24" max="16384" width="9.1796875" style="19"/>
  </cols>
  <sheetData>
    <row r="1" spans="1:24" ht="16" thickBot="1" x14ac:dyDescent="0.4">
      <c r="A1" s="3"/>
    </row>
    <row r="2" spans="1:24" x14ac:dyDescent="0.35">
      <c r="B2" s="63"/>
      <c r="C2" s="28"/>
      <c r="D2" s="28"/>
      <c r="E2" s="28"/>
      <c r="F2" s="28"/>
      <c r="G2" s="28"/>
      <c r="H2" s="28"/>
      <c r="I2" s="28"/>
      <c r="J2" s="28"/>
      <c r="K2" s="28"/>
      <c r="L2" s="28"/>
      <c r="M2" s="28"/>
      <c r="N2" s="28"/>
      <c r="O2" s="28"/>
      <c r="P2" s="28"/>
      <c r="Q2" s="28"/>
      <c r="R2" s="28"/>
      <c r="S2" s="28"/>
      <c r="T2" s="28"/>
      <c r="U2" s="24"/>
    </row>
    <row r="3" spans="1:24" ht="20" x14ac:dyDescent="0.35">
      <c r="B3" s="64"/>
      <c r="C3" s="312" t="s">
        <v>353</v>
      </c>
      <c r="D3" s="313"/>
      <c r="E3" s="313"/>
      <c r="F3" s="313"/>
      <c r="G3" s="313"/>
      <c r="H3" s="313"/>
      <c r="I3" s="313"/>
      <c r="J3" s="313"/>
      <c r="K3" s="313"/>
      <c r="L3" s="313"/>
      <c r="M3" s="313"/>
      <c r="N3" s="313"/>
      <c r="O3" s="313"/>
      <c r="P3" s="313"/>
      <c r="Q3" s="313"/>
      <c r="R3" s="313"/>
      <c r="S3" s="313"/>
      <c r="T3" s="65"/>
      <c r="U3" s="66"/>
    </row>
    <row r="4" spans="1:24" ht="15.5" x14ac:dyDescent="0.35">
      <c r="B4" s="64"/>
      <c r="C4" s="67" t="s">
        <v>434</v>
      </c>
      <c r="D4" s="29"/>
      <c r="E4" s="29"/>
      <c r="F4" s="29"/>
      <c r="G4" s="29"/>
      <c r="H4" s="29"/>
      <c r="I4" s="29"/>
      <c r="J4" s="29"/>
      <c r="K4" s="29"/>
      <c r="L4" s="29"/>
      <c r="M4" s="29"/>
      <c r="N4" s="29"/>
      <c r="O4" s="29"/>
      <c r="P4" s="29"/>
      <c r="Q4" s="29"/>
      <c r="R4" s="29"/>
      <c r="S4" s="29"/>
      <c r="T4" s="29"/>
      <c r="U4" s="25"/>
    </row>
    <row r="5" spans="1:24" ht="20" x14ac:dyDescent="0.35">
      <c r="B5" s="64"/>
      <c r="C5" s="211" t="s">
        <v>435</v>
      </c>
      <c r="D5" s="316" t="s">
        <v>432</v>
      </c>
      <c r="E5" s="316"/>
      <c r="F5" s="29"/>
      <c r="G5" s="29"/>
      <c r="H5" s="29"/>
      <c r="I5" s="29"/>
      <c r="J5" s="29"/>
      <c r="K5" s="29"/>
      <c r="L5" s="29"/>
      <c r="M5" s="29"/>
      <c r="N5" s="29"/>
      <c r="O5" s="29"/>
      <c r="P5" s="29"/>
      <c r="Q5" s="29"/>
      <c r="R5" s="29"/>
      <c r="S5" s="29"/>
      <c r="T5" s="29"/>
      <c r="U5" s="25"/>
    </row>
    <row r="6" spans="1:24" x14ac:dyDescent="0.35">
      <c r="B6" s="64"/>
      <c r="C6" s="29"/>
      <c r="D6" s="29"/>
      <c r="E6" s="29"/>
      <c r="F6" s="29"/>
      <c r="G6" s="29"/>
      <c r="H6" s="29"/>
      <c r="I6" s="29"/>
      <c r="J6" s="29"/>
      <c r="K6" s="29"/>
      <c r="L6" s="29"/>
      <c r="M6" s="29"/>
      <c r="N6" s="29"/>
      <c r="O6" s="29"/>
      <c r="P6" s="29"/>
      <c r="Q6" s="29"/>
      <c r="R6" s="29"/>
      <c r="S6" s="29"/>
      <c r="T6" s="29"/>
      <c r="U6" s="25"/>
    </row>
    <row r="7" spans="1:24" ht="15.5" x14ac:dyDescent="0.35">
      <c r="B7" s="64"/>
      <c r="C7" s="68" t="s">
        <v>0</v>
      </c>
      <c r="D7" s="69" t="s">
        <v>1</v>
      </c>
      <c r="E7" s="70" t="s">
        <v>2</v>
      </c>
      <c r="F7" s="29"/>
      <c r="G7" s="29"/>
      <c r="H7" s="29"/>
      <c r="I7" s="29"/>
      <c r="J7" s="29"/>
      <c r="K7" s="29"/>
      <c r="L7" s="29"/>
      <c r="M7" s="29"/>
      <c r="N7" s="29"/>
      <c r="O7" s="29"/>
      <c r="P7" s="29"/>
      <c r="Q7" s="29"/>
      <c r="R7" s="29"/>
      <c r="S7" s="29"/>
      <c r="T7" s="29"/>
      <c r="U7" s="25"/>
      <c r="W7" s="39" t="s">
        <v>22</v>
      </c>
      <c r="X7" s="39" t="s">
        <v>2</v>
      </c>
    </row>
    <row r="8" spans="1:24" ht="15.5" x14ac:dyDescent="0.35">
      <c r="B8" s="64"/>
      <c r="C8" s="184" t="s">
        <v>143</v>
      </c>
      <c r="D8" s="185" t="s">
        <v>122</v>
      </c>
      <c r="E8" s="186">
        <v>4.5534999999999999E-2</v>
      </c>
      <c r="F8" s="29"/>
      <c r="G8" s="29"/>
      <c r="H8" s="29"/>
      <c r="I8" s="29"/>
      <c r="J8" s="29"/>
      <c r="K8" s="29"/>
      <c r="L8" s="29"/>
      <c r="M8" s="29"/>
      <c r="N8" s="29"/>
      <c r="O8" s="29"/>
      <c r="P8" s="29"/>
      <c r="Q8" s="29"/>
      <c r="R8" s="29"/>
      <c r="S8" s="29"/>
      <c r="T8" s="29"/>
      <c r="U8" s="25"/>
      <c r="W8" s="173" t="s">
        <v>4</v>
      </c>
      <c r="X8" s="224">
        <v>0.11491699999999999</v>
      </c>
    </row>
    <row r="9" spans="1:24" ht="15.5" x14ac:dyDescent="0.35">
      <c r="B9" s="64"/>
      <c r="C9" s="180" t="s">
        <v>147</v>
      </c>
      <c r="D9" s="187" t="s">
        <v>85</v>
      </c>
      <c r="E9" s="188">
        <v>3.7698000000000002E-2</v>
      </c>
      <c r="F9" s="29"/>
      <c r="G9" s="29"/>
      <c r="H9" s="29"/>
      <c r="I9" s="29"/>
      <c r="J9" s="29"/>
      <c r="K9" s="29"/>
      <c r="L9" s="29"/>
      <c r="M9" s="29"/>
      <c r="N9" s="29"/>
      <c r="O9" s="29"/>
      <c r="P9" s="29"/>
      <c r="Q9" s="29"/>
      <c r="R9" s="29"/>
      <c r="S9" s="29"/>
      <c r="T9" s="29"/>
      <c r="U9" s="25"/>
      <c r="W9" s="173" t="s">
        <v>10</v>
      </c>
      <c r="X9" s="224">
        <v>8.4958000000000006E-2</v>
      </c>
    </row>
    <row r="10" spans="1:24" ht="15.5" x14ac:dyDescent="0.35">
      <c r="B10" s="64"/>
      <c r="C10" s="180" t="s">
        <v>287</v>
      </c>
      <c r="D10" s="187" t="s">
        <v>109</v>
      </c>
      <c r="E10" s="188">
        <v>3.4144000000000001E-2</v>
      </c>
      <c r="F10" s="29"/>
      <c r="G10" s="29"/>
      <c r="H10" s="29"/>
      <c r="I10" s="29"/>
      <c r="J10" s="29"/>
      <c r="K10" s="29"/>
      <c r="L10" s="29"/>
      <c r="M10" s="29"/>
      <c r="N10" s="29"/>
      <c r="O10" s="29"/>
      <c r="P10" s="29"/>
      <c r="Q10" s="29"/>
      <c r="R10" s="29"/>
      <c r="S10" s="29"/>
      <c r="T10" s="29"/>
      <c r="U10" s="25"/>
      <c r="W10" s="173" t="s">
        <v>109</v>
      </c>
      <c r="X10" s="224">
        <v>5.9317999999999996E-2</v>
      </c>
    </row>
    <row r="11" spans="1:24" ht="15.5" x14ac:dyDescent="0.35">
      <c r="B11" s="64"/>
      <c r="C11" s="180" t="s">
        <v>272</v>
      </c>
      <c r="D11" s="187" t="s">
        <v>131</v>
      </c>
      <c r="E11" s="188">
        <v>3.1440999999999997E-2</v>
      </c>
      <c r="F11" s="29"/>
      <c r="G11" s="29"/>
      <c r="H11" s="29"/>
      <c r="I11" s="29"/>
      <c r="J11" s="29"/>
      <c r="K11" s="29"/>
      <c r="L11" s="29"/>
      <c r="M11" s="29"/>
      <c r="N11" s="29"/>
      <c r="O11" s="29"/>
      <c r="P11" s="29"/>
      <c r="Q11" s="29"/>
      <c r="R11" s="29"/>
      <c r="S11" s="29"/>
      <c r="T11" s="29"/>
      <c r="U11" s="25"/>
      <c r="W11" s="173" t="s">
        <v>26</v>
      </c>
      <c r="X11" s="224">
        <v>5.5316999999999998E-2</v>
      </c>
    </row>
    <row r="12" spans="1:24" ht="15.5" x14ac:dyDescent="0.35">
      <c r="B12" s="64"/>
      <c r="C12" s="180" t="s">
        <v>191</v>
      </c>
      <c r="D12" s="187" t="s">
        <v>104</v>
      </c>
      <c r="E12" s="188">
        <v>3.0974999999999999E-2</v>
      </c>
      <c r="F12" s="29"/>
      <c r="G12" s="29"/>
      <c r="H12" s="29"/>
      <c r="I12" s="29"/>
      <c r="J12" s="29"/>
      <c r="K12" s="29"/>
      <c r="L12" s="29"/>
      <c r="M12" s="29"/>
      <c r="N12" s="29"/>
      <c r="O12" s="29"/>
      <c r="P12" s="29"/>
      <c r="Q12" s="29"/>
      <c r="R12" s="29"/>
      <c r="S12" s="29"/>
      <c r="T12" s="29"/>
      <c r="U12" s="25"/>
      <c r="W12" s="173" t="s">
        <v>104</v>
      </c>
      <c r="X12" s="224">
        <v>5.1389000000000004E-2</v>
      </c>
    </row>
    <row r="13" spans="1:24" ht="15.5" x14ac:dyDescent="0.35">
      <c r="B13" s="64"/>
      <c r="C13" s="180" t="s">
        <v>92</v>
      </c>
      <c r="D13" s="187" t="s">
        <v>82</v>
      </c>
      <c r="E13" s="188">
        <v>3.0575000000000001E-2</v>
      </c>
      <c r="F13" s="29"/>
      <c r="G13" s="29"/>
      <c r="H13" s="29"/>
      <c r="I13" s="29"/>
      <c r="J13" s="29"/>
      <c r="K13" s="29"/>
      <c r="L13" s="29"/>
      <c r="M13" s="29"/>
      <c r="N13" s="29"/>
      <c r="O13" s="29"/>
      <c r="P13" s="29"/>
      <c r="Q13" s="29"/>
      <c r="R13" s="29"/>
      <c r="S13" s="29"/>
      <c r="T13" s="29"/>
      <c r="U13" s="25"/>
      <c r="W13" s="173" t="s">
        <v>117</v>
      </c>
      <c r="X13" s="224">
        <v>5.1059999999999994E-2</v>
      </c>
    </row>
    <row r="14" spans="1:24" ht="15.5" x14ac:dyDescent="0.35">
      <c r="B14" s="64"/>
      <c r="C14" s="180" t="s">
        <v>352</v>
      </c>
      <c r="D14" s="187" t="s">
        <v>10</v>
      </c>
      <c r="E14" s="188">
        <v>2.8531000000000001E-2</v>
      </c>
      <c r="F14" s="29"/>
      <c r="G14" s="29"/>
      <c r="H14" s="29"/>
      <c r="I14" s="29"/>
      <c r="J14" s="29"/>
      <c r="K14" s="29"/>
      <c r="L14" s="29"/>
      <c r="M14" s="29"/>
      <c r="N14" s="29"/>
      <c r="O14" s="29"/>
      <c r="P14" s="29"/>
      <c r="Q14" s="29"/>
      <c r="R14" s="29"/>
      <c r="S14" s="29"/>
      <c r="T14" s="29"/>
      <c r="U14" s="25"/>
      <c r="W14" s="173" t="s">
        <v>3</v>
      </c>
      <c r="X14" s="224">
        <v>5.0250999999999997E-2</v>
      </c>
    </row>
    <row r="15" spans="1:24" ht="15.5" x14ac:dyDescent="0.35">
      <c r="B15" s="64"/>
      <c r="C15" s="180" t="s">
        <v>86</v>
      </c>
      <c r="D15" s="187" t="s">
        <v>106</v>
      </c>
      <c r="E15" s="188">
        <v>2.8368000000000001E-2</v>
      </c>
      <c r="F15" s="29"/>
      <c r="G15" s="29"/>
      <c r="H15" s="29"/>
      <c r="I15" s="29"/>
      <c r="J15" s="29"/>
      <c r="K15" s="29"/>
      <c r="L15" s="29"/>
      <c r="M15" s="29"/>
      <c r="N15" s="29"/>
      <c r="O15" s="29"/>
      <c r="P15" s="29"/>
      <c r="Q15" s="29"/>
      <c r="R15" s="29"/>
      <c r="S15" s="29"/>
      <c r="T15" s="29"/>
      <c r="U15" s="25"/>
      <c r="W15" s="173" t="s">
        <v>6</v>
      </c>
      <c r="X15" s="224">
        <v>4.9332000000000001E-2</v>
      </c>
    </row>
    <row r="16" spans="1:24" ht="15.5" x14ac:dyDescent="0.35">
      <c r="B16" s="64"/>
      <c r="C16" s="180" t="s">
        <v>103</v>
      </c>
      <c r="D16" s="187" t="s">
        <v>4</v>
      </c>
      <c r="E16" s="188">
        <v>2.7765000000000001E-2</v>
      </c>
      <c r="F16" s="29"/>
      <c r="G16" s="29"/>
      <c r="H16" s="29"/>
      <c r="I16" s="29"/>
      <c r="J16" s="29"/>
      <c r="K16" s="29"/>
      <c r="L16" s="29"/>
      <c r="M16" s="29"/>
      <c r="N16" s="29"/>
      <c r="O16" s="29"/>
      <c r="P16" s="29"/>
      <c r="Q16" s="29"/>
      <c r="R16" s="29"/>
      <c r="S16" s="29"/>
      <c r="T16" s="29"/>
      <c r="U16" s="25"/>
      <c r="W16" s="173" t="s">
        <v>122</v>
      </c>
      <c r="X16" s="224">
        <v>4.5534999999999999E-2</v>
      </c>
    </row>
    <row r="17" spans="2:24" ht="15.5" x14ac:dyDescent="0.35">
      <c r="B17" s="64"/>
      <c r="C17" s="180" t="s">
        <v>132</v>
      </c>
      <c r="D17" s="187" t="s">
        <v>110</v>
      </c>
      <c r="E17" s="188">
        <v>2.7740999999999998E-2</v>
      </c>
      <c r="F17" s="29"/>
      <c r="G17" s="29"/>
      <c r="H17" s="29"/>
      <c r="I17" s="29"/>
      <c r="J17" s="29"/>
      <c r="K17" s="29"/>
      <c r="L17" s="29"/>
      <c r="M17" s="29"/>
      <c r="N17" s="29"/>
      <c r="O17" s="29"/>
      <c r="P17" s="29"/>
      <c r="Q17" s="29"/>
      <c r="R17" s="29"/>
      <c r="S17" s="29"/>
      <c r="T17" s="29"/>
      <c r="U17" s="25"/>
      <c r="W17" s="173" t="s">
        <v>119</v>
      </c>
      <c r="X17" s="224">
        <v>3.9399999999999998E-2</v>
      </c>
    </row>
    <row r="18" spans="2:24" ht="15.5" x14ac:dyDescent="0.35">
      <c r="B18" s="64"/>
      <c r="C18" s="180" t="s">
        <v>299</v>
      </c>
      <c r="D18" s="187" t="s">
        <v>26</v>
      </c>
      <c r="E18" s="188">
        <v>2.7307999999999999E-2</v>
      </c>
      <c r="F18" s="29"/>
      <c r="G18" s="29"/>
      <c r="H18" s="29"/>
      <c r="I18" s="29"/>
      <c r="J18" s="29"/>
      <c r="K18" s="29"/>
      <c r="L18" s="29"/>
      <c r="M18" s="29"/>
      <c r="N18" s="29"/>
      <c r="O18" s="29"/>
      <c r="P18" s="29"/>
      <c r="Q18" s="29"/>
      <c r="R18" s="29"/>
      <c r="S18" s="29"/>
      <c r="T18" s="29"/>
      <c r="U18" s="25"/>
      <c r="W18" s="173" t="s">
        <v>84</v>
      </c>
      <c r="X18" s="224">
        <v>3.8280000000000002E-2</v>
      </c>
    </row>
    <row r="19" spans="2:24" ht="15.5" x14ac:dyDescent="0.35">
      <c r="B19" s="64"/>
      <c r="C19" s="180" t="s">
        <v>148</v>
      </c>
      <c r="D19" s="187" t="s">
        <v>119</v>
      </c>
      <c r="E19" s="188">
        <v>2.6686999999999999E-2</v>
      </c>
      <c r="F19" s="29"/>
      <c r="G19" s="29"/>
      <c r="H19" s="29"/>
      <c r="I19" s="29"/>
      <c r="J19" s="29"/>
      <c r="K19" s="29"/>
      <c r="L19" s="29"/>
      <c r="M19" s="29"/>
      <c r="N19" s="29"/>
      <c r="O19" s="29"/>
      <c r="P19" s="29"/>
      <c r="Q19" s="29"/>
      <c r="R19" s="29"/>
      <c r="S19" s="29"/>
      <c r="T19" s="29"/>
      <c r="U19" s="25"/>
      <c r="W19" s="173" t="s">
        <v>85</v>
      </c>
      <c r="X19" s="224">
        <v>3.7698000000000002E-2</v>
      </c>
    </row>
    <row r="20" spans="2:24" ht="15.5" x14ac:dyDescent="0.35">
      <c r="B20" s="64"/>
      <c r="C20" s="180" t="s">
        <v>310</v>
      </c>
      <c r="D20" s="187" t="s">
        <v>6</v>
      </c>
      <c r="E20" s="188">
        <v>2.6563E-2</v>
      </c>
      <c r="F20" s="29"/>
      <c r="G20" s="29"/>
      <c r="H20" s="29"/>
      <c r="I20" s="29"/>
      <c r="J20" s="29"/>
      <c r="K20" s="29"/>
      <c r="L20" s="29"/>
      <c r="M20" s="29"/>
      <c r="N20" s="29"/>
      <c r="O20" s="29"/>
      <c r="P20" s="29"/>
      <c r="Q20" s="29"/>
      <c r="R20" s="29"/>
      <c r="S20" s="29"/>
      <c r="T20" s="29"/>
      <c r="U20" s="25"/>
      <c r="W20" s="173" t="s">
        <v>110</v>
      </c>
      <c r="X20" s="224">
        <v>3.6899000000000001E-2</v>
      </c>
    </row>
    <row r="21" spans="2:24" ht="15.5" x14ac:dyDescent="0.35">
      <c r="B21" s="64"/>
      <c r="C21" s="180" t="s">
        <v>74</v>
      </c>
      <c r="D21" s="187" t="s">
        <v>4</v>
      </c>
      <c r="E21" s="188">
        <v>2.622E-2</v>
      </c>
      <c r="F21" s="29"/>
      <c r="G21" s="29"/>
      <c r="H21" s="29"/>
      <c r="I21" s="29"/>
      <c r="J21" s="29"/>
      <c r="K21" s="29"/>
      <c r="L21" s="29"/>
      <c r="M21" s="29"/>
      <c r="N21" s="29"/>
      <c r="O21" s="29"/>
      <c r="P21" s="29"/>
      <c r="Q21" s="29"/>
      <c r="R21" s="29"/>
      <c r="S21" s="29"/>
      <c r="T21" s="29"/>
      <c r="U21" s="25"/>
      <c r="W21" s="173" t="s">
        <v>111</v>
      </c>
      <c r="X21" s="224">
        <v>3.5536999999999999E-2</v>
      </c>
    </row>
    <row r="22" spans="2:24" ht="15.5" x14ac:dyDescent="0.35">
      <c r="B22" s="64"/>
      <c r="C22" s="180" t="s">
        <v>225</v>
      </c>
      <c r="D22" s="187" t="s">
        <v>26</v>
      </c>
      <c r="E22" s="188">
        <v>2.4250000000000001E-2</v>
      </c>
      <c r="F22" s="29"/>
      <c r="G22" s="29"/>
      <c r="H22" s="29"/>
      <c r="I22" s="29"/>
      <c r="J22" s="29"/>
      <c r="K22" s="29"/>
      <c r="L22" s="29"/>
      <c r="M22" s="29"/>
      <c r="N22" s="29"/>
      <c r="O22" s="29"/>
      <c r="P22" s="29"/>
      <c r="Q22" s="29"/>
      <c r="R22" s="29"/>
      <c r="S22" s="29"/>
      <c r="T22" s="29"/>
      <c r="U22" s="25"/>
      <c r="W22" s="173" t="s">
        <v>81</v>
      </c>
      <c r="X22" s="224">
        <v>3.3434999999999999E-2</v>
      </c>
    </row>
    <row r="23" spans="2:24" ht="15.5" x14ac:dyDescent="0.35">
      <c r="B23" s="64"/>
      <c r="C23" s="71"/>
      <c r="D23" s="71"/>
      <c r="E23" s="72"/>
      <c r="F23" s="29"/>
      <c r="G23" s="29"/>
      <c r="H23" s="29"/>
      <c r="I23" s="29"/>
      <c r="J23" s="29"/>
      <c r="K23" s="29"/>
      <c r="L23" s="29"/>
      <c r="M23" s="29"/>
      <c r="N23" s="29"/>
      <c r="O23" s="29"/>
      <c r="P23" s="29"/>
      <c r="Q23" s="29"/>
      <c r="R23" s="29"/>
      <c r="S23" s="29"/>
      <c r="T23" s="29"/>
      <c r="U23" s="25"/>
      <c r="W23" s="173" t="s">
        <v>131</v>
      </c>
      <c r="X23" s="224">
        <v>3.1440999999999997E-2</v>
      </c>
    </row>
    <row r="24" spans="2:24" ht="15.5" x14ac:dyDescent="0.35">
      <c r="B24" s="64"/>
      <c r="C24" s="73" t="s">
        <v>55</v>
      </c>
      <c r="D24" s="74"/>
      <c r="E24" s="75">
        <f>SUM(E8:E22)</f>
        <v>0.45380100000000001</v>
      </c>
      <c r="F24" s="29"/>
      <c r="G24" s="29"/>
      <c r="H24" s="29"/>
      <c r="I24" s="29"/>
      <c r="J24" s="29"/>
      <c r="K24" s="29"/>
      <c r="L24" s="29"/>
      <c r="M24" s="29"/>
      <c r="N24" s="29"/>
      <c r="O24" s="29"/>
      <c r="P24" s="29"/>
      <c r="Q24" s="29"/>
      <c r="R24" s="29"/>
      <c r="S24" s="29"/>
      <c r="T24" s="29"/>
      <c r="U24" s="25"/>
      <c r="W24" s="173" t="s">
        <v>82</v>
      </c>
      <c r="X24" s="224">
        <v>3.0575000000000001E-2</v>
      </c>
    </row>
    <row r="25" spans="2:24" x14ac:dyDescent="0.35">
      <c r="B25" s="64"/>
      <c r="C25" s="29"/>
      <c r="D25" s="29"/>
      <c r="E25" s="29"/>
      <c r="F25" s="29"/>
      <c r="G25" s="29"/>
      <c r="H25" s="29"/>
      <c r="I25" s="29"/>
      <c r="J25" s="29"/>
      <c r="K25" s="29"/>
      <c r="L25" s="29"/>
      <c r="M25" s="29"/>
      <c r="N25" s="29"/>
      <c r="O25" s="29"/>
      <c r="P25" s="29"/>
      <c r="Q25" s="29"/>
      <c r="R25" s="29"/>
      <c r="S25" s="29"/>
      <c r="T25" s="29"/>
      <c r="U25" s="25"/>
      <c r="W25" s="173" t="s">
        <v>108</v>
      </c>
      <c r="X25" s="224">
        <v>2.8756000000000004E-2</v>
      </c>
    </row>
    <row r="26" spans="2:24" x14ac:dyDescent="0.35">
      <c r="B26" s="64"/>
      <c r="C26" s="29"/>
      <c r="D26" s="29"/>
      <c r="E26" s="29"/>
      <c r="F26" s="29"/>
      <c r="G26" s="29"/>
      <c r="H26" s="29"/>
      <c r="I26" s="29"/>
      <c r="J26" s="29"/>
      <c r="K26" s="29"/>
      <c r="L26" s="29"/>
      <c r="M26" s="29"/>
      <c r="N26" s="29"/>
      <c r="O26" s="29"/>
      <c r="P26" s="29"/>
      <c r="Q26" s="29"/>
      <c r="R26" s="29"/>
      <c r="S26" s="29"/>
      <c r="T26" s="29"/>
      <c r="U26" s="25"/>
      <c r="W26" s="173" t="s">
        <v>106</v>
      </c>
      <c r="X26" s="224">
        <v>2.8368000000000001E-2</v>
      </c>
    </row>
    <row r="27" spans="2:24" x14ac:dyDescent="0.35">
      <c r="B27" s="64"/>
      <c r="C27" s="29"/>
      <c r="D27" s="29"/>
      <c r="E27" s="29"/>
      <c r="F27" s="29"/>
      <c r="G27" s="29"/>
      <c r="H27" s="29"/>
      <c r="I27" s="29"/>
      <c r="J27" s="29"/>
      <c r="K27" s="29"/>
      <c r="L27" s="29"/>
      <c r="M27" s="29"/>
      <c r="N27" s="29"/>
      <c r="O27" s="29"/>
      <c r="P27" s="29"/>
      <c r="Q27" s="29"/>
      <c r="R27" s="29"/>
      <c r="S27" s="29"/>
      <c r="T27" s="29"/>
      <c r="U27" s="25"/>
      <c r="W27" s="61" t="s">
        <v>25</v>
      </c>
      <c r="X27" s="62">
        <v>2.2547000000000001E-2</v>
      </c>
    </row>
    <row r="28" spans="2:24" x14ac:dyDescent="0.35">
      <c r="B28" s="64"/>
      <c r="C28" s="29"/>
      <c r="D28" s="29"/>
      <c r="E28" s="29"/>
      <c r="F28" s="29"/>
      <c r="G28" s="29"/>
      <c r="H28" s="29"/>
      <c r="I28" s="29"/>
      <c r="J28" s="29"/>
      <c r="K28" s="29"/>
      <c r="L28" s="29"/>
      <c r="M28" s="29"/>
      <c r="N28" s="29"/>
      <c r="O28" s="29"/>
      <c r="P28" s="29"/>
      <c r="Q28" s="29"/>
      <c r="R28" s="29"/>
      <c r="S28" s="29"/>
      <c r="T28" s="29"/>
      <c r="U28" s="25"/>
      <c r="W28" s="61" t="s">
        <v>114</v>
      </c>
      <c r="X28" s="62">
        <v>2.0643999999999999E-2</v>
      </c>
    </row>
    <row r="29" spans="2:24" x14ac:dyDescent="0.35">
      <c r="B29" s="64"/>
      <c r="C29" s="29"/>
      <c r="D29" s="29"/>
      <c r="E29" s="29"/>
      <c r="F29" s="29"/>
      <c r="G29" s="29"/>
      <c r="H29" s="29"/>
      <c r="I29" s="29"/>
      <c r="J29" s="29"/>
      <c r="K29" s="29"/>
      <c r="L29" s="29"/>
      <c r="M29" s="29"/>
      <c r="N29" s="29"/>
      <c r="O29" s="29"/>
      <c r="P29" s="29"/>
      <c r="Q29" s="29"/>
      <c r="R29" s="29"/>
      <c r="S29" s="29"/>
      <c r="T29" s="29"/>
      <c r="U29" s="25"/>
      <c r="W29" s="61" t="s">
        <v>105</v>
      </c>
      <c r="X29" s="62">
        <v>1.8731000000000001E-2</v>
      </c>
    </row>
    <row r="30" spans="2:24" x14ac:dyDescent="0.35">
      <c r="B30" s="64"/>
      <c r="C30" s="29"/>
      <c r="D30" s="29"/>
      <c r="E30" s="29"/>
      <c r="F30" s="29"/>
      <c r="G30" s="29"/>
      <c r="H30" s="29"/>
      <c r="I30" s="29"/>
      <c r="J30" s="29"/>
      <c r="K30" s="29"/>
      <c r="L30" s="29"/>
      <c r="M30" s="29"/>
      <c r="N30" s="29"/>
      <c r="O30" s="29"/>
      <c r="P30" s="29"/>
      <c r="Q30" s="29"/>
      <c r="R30" s="29"/>
      <c r="S30" s="29"/>
      <c r="T30" s="29"/>
      <c r="U30" s="25"/>
      <c r="W30" s="61" t="s">
        <v>16</v>
      </c>
      <c r="X30" s="62">
        <v>1.7849E-2</v>
      </c>
    </row>
    <row r="31" spans="2:24" x14ac:dyDescent="0.35">
      <c r="B31" s="64"/>
      <c r="C31" s="29"/>
      <c r="D31" s="29"/>
      <c r="E31" s="29"/>
      <c r="F31" s="29"/>
      <c r="G31" s="29"/>
      <c r="H31" s="29"/>
      <c r="I31" s="29"/>
      <c r="J31" s="29"/>
      <c r="K31" s="29"/>
      <c r="L31" s="29"/>
      <c r="M31" s="29"/>
      <c r="N31" s="29"/>
      <c r="O31" s="29"/>
      <c r="P31" s="29"/>
      <c r="Q31" s="29"/>
      <c r="R31" s="29"/>
      <c r="S31" s="29"/>
      <c r="T31" s="29"/>
      <c r="U31" s="25"/>
      <c r="W31" s="61" t="s">
        <v>11</v>
      </c>
      <c r="X31" s="62">
        <v>1.5041000000000001E-2</v>
      </c>
    </row>
    <row r="32" spans="2:24" x14ac:dyDescent="0.35">
      <c r="B32" s="64"/>
      <c r="C32" s="29"/>
      <c r="D32" s="29"/>
      <c r="E32" s="29"/>
      <c r="F32" s="29"/>
      <c r="G32" s="29"/>
      <c r="H32" s="29"/>
      <c r="I32" s="29"/>
      <c r="J32" s="29"/>
      <c r="K32" s="29"/>
      <c r="L32" s="29"/>
      <c r="M32" s="29"/>
      <c r="N32" s="29"/>
      <c r="O32" s="29"/>
      <c r="P32" s="29"/>
      <c r="Q32" s="29"/>
      <c r="R32" s="29"/>
      <c r="S32" s="29"/>
      <c r="T32" s="29"/>
      <c r="U32" s="25"/>
      <c r="W32" s="61"/>
      <c r="X32" s="62"/>
    </row>
    <row r="33" spans="2:24" x14ac:dyDescent="0.35">
      <c r="B33" s="64"/>
      <c r="C33" s="29"/>
      <c r="D33" s="29"/>
      <c r="E33" s="29"/>
      <c r="F33" s="29"/>
      <c r="G33" s="29"/>
      <c r="H33" s="29"/>
      <c r="I33" s="29"/>
      <c r="J33" s="29"/>
      <c r="K33" s="29"/>
      <c r="L33" s="29"/>
      <c r="M33" s="29"/>
      <c r="N33" s="29"/>
      <c r="O33" s="29"/>
      <c r="P33" s="29"/>
      <c r="Q33" s="29"/>
      <c r="R33" s="29"/>
      <c r="S33" s="29"/>
      <c r="T33" s="29"/>
      <c r="U33" s="25"/>
      <c r="W33" s="61"/>
      <c r="X33" s="62"/>
    </row>
    <row r="34" spans="2:24" x14ac:dyDescent="0.35">
      <c r="B34" s="64"/>
      <c r="C34" s="29"/>
      <c r="D34" s="29"/>
      <c r="E34" s="29"/>
      <c r="F34" s="29"/>
      <c r="G34" s="29"/>
      <c r="H34" s="29"/>
      <c r="I34" s="29"/>
      <c r="J34" s="29"/>
      <c r="K34" s="29"/>
      <c r="L34" s="29"/>
      <c r="M34" s="29"/>
      <c r="N34" s="29"/>
      <c r="O34" s="29"/>
      <c r="P34" s="29"/>
      <c r="Q34" s="29"/>
      <c r="R34" s="29"/>
      <c r="S34" s="29"/>
      <c r="T34" s="29"/>
      <c r="U34" s="25"/>
      <c r="W34" s="61"/>
      <c r="X34" s="62"/>
    </row>
    <row r="35" spans="2:24" x14ac:dyDescent="0.35">
      <c r="B35" s="64"/>
      <c r="C35" s="29"/>
      <c r="D35" s="29"/>
      <c r="E35" s="29"/>
      <c r="F35" s="29"/>
      <c r="G35" s="29"/>
      <c r="H35" s="29"/>
      <c r="I35" s="29"/>
      <c r="J35" s="29"/>
      <c r="K35" s="29"/>
      <c r="L35" s="29"/>
      <c r="M35" s="29"/>
      <c r="N35" s="29"/>
      <c r="O35" s="29"/>
      <c r="P35" s="29"/>
      <c r="Q35" s="29"/>
      <c r="R35" s="29"/>
      <c r="S35" s="29"/>
      <c r="T35" s="29"/>
      <c r="U35" s="25"/>
      <c r="W35" s="61"/>
      <c r="X35" s="62"/>
    </row>
    <row r="36" spans="2:24" x14ac:dyDescent="0.35">
      <c r="B36" s="64"/>
      <c r="C36" s="29"/>
      <c r="D36" s="29"/>
      <c r="E36" s="29"/>
      <c r="F36" s="29"/>
      <c r="G36" s="29"/>
      <c r="H36" s="29"/>
      <c r="I36" s="29"/>
      <c r="J36" s="29"/>
      <c r="K36" s="29"/>
      <c r="L36" s="29"/>
      <c r="M36" s="29"/>
      <c r="N36" s="29"/>
      <c r="O36" s="29"/>
      <c r="P36" s="29"/>
      <c r="Q36" s="29"/>
      <c r="R36" s="29"/>
      <c r="S36" s="29"/>
      <c r="T36" s="29"/>
      <c r="U36" s="25"/>
      <c r="W36" s="61"/>
      <c r="X36" s="62"/>
    </row>
    <row r="37" spans="2:24" ht="15" thickBot="1" x14ac:dyDescent="0.4">
      <c r="B37" s="76"/>
      <c r="C37" s="30"/>
      <c r="D37" s="30"/>
      <c r="E37" s="30"/>
      <c r="F37" s="30"/>
      <c r="G37" s="30"/>
      <c r="H37" s="30"/>
      <c r="I37" s="30"/>
      <c r="J37" s="30"/>
      <c r="K37" s="30"/>
      <c r="L37" s="30"/>
      <c r="M37" s="30"/>
      <c r="N37" s="30"/>
      <c r="O37" s="30"/>
      <c r="P37" s="30"/>
      <c r="Q37" s="30"/>
      <c r="R37" s="30"/>
      <c r="S37" s="30"/>
      <c r="T37" s="30"/>
      <c r="U37" s="26"/>
      <c r="W37" s="61"/>
      <c r="X37" s="62"/>
    </row>
    <row r="38" spans="2:24" ht="15" thickBot="1" x14ac:dyDescent="0.4">
      <c r="W38" s="61"/>
      <c r="X38" s="62"/>
    </row>
    <row r="39" spans="2:24" x14ac:dyDescent="0.35">
      <c r="B39" s="303" t="s">
        <v>179</v>
      </c>
      <c r="C39" s="304"/>
      <c r="D39" s="304"/>
      <c r="E39" s="304"/>
      <c r="F39" s="304"/>
      <c r="G39" s="304"/>
      <c r="H39" s="304"/>
      <c r="I39" s="304"/>
      <c r="J39" s="304"/>
      <c r="K39" s="304"/>
      <c r="L39" s="304"/>
      <c r="M39" s="304"/>
      <c r="N39" s="304"/>
      <c r="O39" s="304"/>
      <c r="P39" s="304"/>
      <c r="Q39" s="304"/>
      <c r="R39" s="305"/>
      <c r="W39" s="61"/>
      <c r="X39" s="62"/>
    </row>
    <row r="40" spans="2:24" x14ac:dyDescent="0.35">
      <c r="B40" s="306"/>
      <c r="C40" s="307"/>
      <c r="D40" s="307"/>
      <c r="E40" s="307"/>
      <c r="F40" s="307"/>
      <c r="G40" s="307"/>
      <c r="H40" s="307"/>
      <c r="I40" s="307"/>
      <c r="J40" s="307"/>
      <c r="K40" s="307"/>
      <c r="L40" s="307"/>
      <c r="M40" s="307"/>
      <c r="N40" s="307"/>
      <c r="O40" s="307"/>
      <c r="P40" s="307"/>
      <c r="Q40" s="307"/>
      <c r="R40" s="308"/>
      <c r="W40" s="61"/>
      <c r="X40" s="62"/>
    </row>
    <row r="41" spans="2:24" x14ac:dyDescent="0.35">
      <c r="B41" s="306"/>
      <c r="C41" s="307"/>
      <c r="D41" s="307"/>
      <c r="E41" s="307"/>
      <c r="F41" s="307"/>
      <c r="G41" s="307"/>
      <c r="H41" s="307"/>
      <c r="I41" s="307"/>
      <c r="J41" s="307"/>
      <c r="K41" s="307"/>
      <c r="L41" s="307"/>
      <c r="M41" s="307"/>
      <c r="N41" s="307"/>
      <c r="O41" s="307"/>
      <c r="P41" s="307"/>
      <c r="Q41" s="307"/>
      <c r="R41" s="308"/>
      <c r="W41" s="61"/>
      <c r="X41" s="62"/>
    </row>
    <row r="42" spans="2:24" x14ac:dyDescent="0.35">
      <c r="B42" s="306"/>
      <c r="C42" s="307"/>
      <c r="D42" s="307"/>
      <c r="E42" s="307"/>
      <c r="F42" s="307"/>
      <c r="G42" s="307"/>
      <c r="H42" s="307"/>
      <c r="I42" s="307"/>
      <c r="J42" s="307"/>
      <c r="K42" s="307"/>
      <c r="L42" s="307"/>
      <c r="M42" s="307"/>
      <c r="N42" s="307"/>
      <c r="O42" s="307"/>
      <c r="P42" s="307"/>
      <c r="Q42" s="307"/>
      <c r="R42" s="308"/>
      <c r="W42" s="61"/>
      <c r="X42" s="62"/>
    </row>
    <row r="43" spans="2:24" x14ac:dyDescent="0.35">
      <c r="B43" s="306"/>
      <c r="C43" s="307"/>
      <c r="D43" s="307"/>
      <c r="E43" s="307"/>
      <c r="F43" s="307"/>
      <c r="G43" s="307"/>
      <c r="H43" s="307"/>
      <c r="I43" s="307"/>
      <c r="J43" s="307"/>
      <c r="K43" s="307"/>
      <c r="L43" s="307"/>
      <c r="M43" s="307"/>
      <c r="N43" s="307"/>
      <c r="O43" s="307"/>
      <c r="P43" s="307"/>
      <c r="Q43" s="307"/>
      <c r="R43" s="308"/>
      <c r="W43" s="61"/>
      <c r="X43" s="62"/>
    </row>
    <row r="44" spans="2:24" x14ac:dyDescent="0.35">
      <c r="B44" s="306"/>
      <c r="C44" s="307"/>
      <c r="D44" s="307"/>
      <c r="E44" s="307"/>
      <c r="F44" s="307"/>
      <c r="G44" s="307"/>
      <c r="H44" s="307"/>
      <c r="I44" s="307"/>
      <c r="J44" s="307"/>
      <c r="K44" s="307"/>
      <c r="L44" s="307"/>
      <c r="M44" s="307"/>
      <c r="N44" s="307"/>
      <c r="O44" s="307"/>
      <c r="P44" s="307"/>
      <c r="Q44" s="307"/>
      <c r="R44" s="308"/>
      <c r="W44" s="61"/>
      <c r="X44" s="62"/>
    </row>
    <row r="45" spans="2:24" ht="15" thickBot="1" x14ac:dyDescent="0.4">
      <c r="B45" s="309"/>
      <c r="C45" s="310"/>
      <c r="D45" s="310"/>
      <c r="E45" s="310"/>
      <c r="F45" s="310"/>
      <c r="G45" s="310"/>
      <c r="H45" s="310"/>
      <c r="I45" s="310"/>
      <c r="J45" s="310"/>
      <c r="K45" s="310"/>
      <c r="L45" s="310"/>
      <c r="M45" s="310"/>
      <c r="N45" s="310"/>
      <c r="O45" s="310"/>
      <c r="P45" s="310"/>
      <c r="Q45" s="310"/>
      <c r="R45" s="311"/>
      <c r="W45" s="61"/>
      <c r="X45" s="62"/>
    </row>
    <row r="46" spans="2:24" x14ac:dyDescent="0.35">
      <c r="W46" s="61"/>
      <c r="X46" s="62"/>
    </row>
    <row r="47" spans="2:24" x14ac:dyDescent="0.35">
      <c r="W47" s="61"/>
      <c r="X47" s="62"/>
    </row>
    <row r="48" spans="2:24" x14ac:dyDescent="0.35">
      <c r="W48" s="61"/>
      <c r="X48" s="62"/>
    </row>
    <row r="49" spans="23:24" x14ac:dyDescent="0.35">
      <c r="W49" s="61"/>
      <c r="X49" s="62"/>
    </row>
    <row r="50" spans="23:24" x14ac:dyDescent="0.35">
      <c r="W50" s="61"/>
      <c r="X50" s="62"/>
    </row>
    <row r="51" spans="23:24" x14ac:dyDescent="0.35">
      <c r="W51" s="61"/>
      <c r="X51" s="62"/>
    </row>
    <row r="52" spans="23:24" x14ac:dyDescent="0.35">
      <c r="W52" s="61"/>
      <c r="X52" s="62"/>
    </row>
    <row r="53" spans="23:24" x14ac:dyDescent="0.35">
      <c r="W53" s="61"/>
      <c r="X53" s="62"/>
    </row>
    <row r="54" spans="23:24" x14ac:dyDescent="0.35">
      <c r="W54" s="61"/>
      <c r="X54" s="62"/>
    </row>
    <row r="55" spans="23:24" x14ac:dyDescent="0.35">
      <c r="W55" s="61"/>
      <c r="X55" s="62"/>
    </row>
    <row r="56" spans="23:24" x14ac:dyDescent="0.35">
      <c r="W56" s="61"/>
      <c r="X56" s="62"/>
    </row>
    <row r="57" spans="23:24" x14ac:dyDescent="0.35">
      <c r="W57" s="61"/>
      <c r="X57" s="62"/>
    </row>
    <row r="58" spans="23:24" x14ac:dyDescent="0.35">
      <c r="W58" s="61"/>
      <c r="X58" s="62"/>
    </row>
    <row r="59" spans="23:24" x14ac:dyDescent="0.35">
      <c r="W59" s="61"/>
      <c r="X59" s="62"/>
    </row>
    <row r="60" spans="23:24" x14ac:dyDescent="0.35">
      <c r="W60" s="61"/>
      <c r="X60" s="62"/>
    </row>
    <row r="61" spans="23:24" x14ac:dyDescent="0.35">
      <c r="W61" s="61"/>
      <c r="X61" s="62"/>
    </row>
    <row r="62" spans="23:24" x14ac:dyDescent="0.35">
      <c r="W62" s="61"/>
      <c r="X62" s="62"/>
    </row>
    <row r="63" spans="23:24" x14ac:dyDescent="0.35">
      <c r="W63" s="61"/>
      <c r="X63" s="62"/>
    </row>
  </sheetData>
  <mergeCells count="3">
    <mergeCell ref="C3:S3"/>
    <mergeCell ref="D5:E5"/>
    <mergeCell ref="B39:R45"/>
  </mergeCells>
  <pageMargins left="0.7" right="0.7" top="0.75" bottom="0.75" header="0.3" footer="0.3"/>
  <drawing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C5D8F1-3477-4C73-AE5F-9027EB971870}">
  <sheetPr>
    <tabColor rgb="FFE5E3E3"/>
    <pageSetUpPr fitToPage="1"/>
  </sheetPr>
  <dimension ref="B1:X691"/>
  <sheetViews>
    <sheetView showGridLines="0" zoomScale="75" zoomScaleNormal="75" workbookViewId="0">
      <selection activeCell="F15" sqref="F15"/>
    </sheetView>
  </sheetViews>
  <sheetFormatPr defaultColWidth="9.1796875" defaultRowHeight="15.5" x14ac:dyDescent="0.35"/>
  <cols>
    <col min="1" max="1" width="2.81640625" style="3" customWidth="1"/>
    <col min="2" max="2" width="3.81640625" style="3" customWidth="1"/>
    <col min="3" max="3" width="60.54296875" style="3" customWidth="1"/>
    <col min="4" max="4" width="15.453125" style="3" bestFit="1" customWidth="1"/>
    <col min="5" max="5" width="9.1796875" style="3"/>
    <col min="6" max="6" width="10.7265625" style="3" customWidth="1"/>
    <col min="7" max="7" width="10.54296875" style="3" bestFit="1" customWidth="1"/>
    <col min="8" max="9" width="9.1796875" style="3"/>
    <col min="10" max="11" width="16.453125" style="3" customWidth="1"/>
    <col min="12" max="18" width="9.1796875" style="3"/>
    <col min="19" max="19" width="9.81640625" style="3" customWidth="1"/>
    <col min="20" max="21" width="9.26953125" style="3" bestFit="1" customWidth="1"/>
    <col min="22" max="16384" width="9.1796875" style="3"/>
  </cols>
  <sheetData>
    <row r="1" spans="2:24" ht="16" thickBot="1" x14ac:dyDescent="0.4"/>
    <row r="2" spans="2:24" x14ac:dyDescent="0.35">
      <c r="B2" s="91"/>
      <c r="C2" s="42"/>
      <c r="D2" s="42"/>
      <c r="E2" s="42"/>
      <c r="F2" s="42"/>
      <c r="G2" s="42"/>
      <c r="H2" s="42"/>
      <c r="I2" s="42"/>
      <c r="J2" s="42"/>
      <c r="K2" s="42"/>
      <c r="L2" s="42"/>
      <c r="M2" s="92"/>
    </row>
    <row r="3" spans="2:24" ht="20.25" customHeight="1" x14ac:dyDescent="0.35">
      <c r="B3" s="93"/>
      <c r="C3" s="297" t="s">
        <v>341</v>
      </c>
      <c r="D3" s="297"/>
      <c r="E3" s="297"/>
      <c r="F3" s="297"/>
      <c r="G3" s="297"/>
      <c r="H3" s="297"/>
      <c r="I3" s="297"/>
      <c r="J3" s="297"/>
      <c r="K3" s="297"/>
      <c r="L3" s="297"/>
      <c r="M3" s="298"/>
    </row>
    <row r="4" spans="2:24" x14ac:dyDescent="0.35">
      <c r="B4" s="93"/>
      <c r="C4" s="67" t="s">
        <v>434</v>
      </c>
      <c r="D4" s="29"/>
      <c r="E4" s="29"/>
      <c r="F4" s="5"/>
      <c r="G4" s="5"/>
      <c r="H4" s="5"/>
      <c r="I4" s="5"/>
      <c r="J4" s="5"/>
      <c r="K4" s="5"/>
      <c r="L4" s="5"/>
      <c r="M4" s="20"/>
    </row>
    <row r="5" spans="2:24" ht="20.25" customHeight="1" x14ac:dyDescent="0.35">
      <c r="B5" s="93"/>
      <c r="C5" s="211" t="s">
        <v>435</v>
      </c>
      <c r="D5" s="94" t="s">
        <v>433</v>
      </c>
      <c r="E5" s="19"/>
      <c r="F5" s="5"/>
      <c r="G5" s="5"/>
      <c r="H5" s="5"/>
      <c r="I5" s="5"/>
      <c r="J5" s="5"/>
      <c r="K5" s="5"/>
      <c r="L5" s="5"/>
      <c r="M5" s="20"/>
    </row>
    <row r="6" spans="2:24" x14ac:dyDescent="0.35">
      <c r="B6" s="93"/>
      <c r="C6" s="5"/>
      <c r="D6" s="5"/>
      <c r="E6" s="5"/>
      <c r="F6" s="5"/>
      <c r="G6" s="5"/>
      <c r="H6" s="5"/>
      <c r="I6" s="5"/>
      <c r="J6" s="5"/>
      <c r="K6" s="5"/>
      <c r="L6" s="5"/>
      <c r="M6" s="20"/>
    </row>
    <row r="7" spans="2:24" x14ac:dyDescent="0.35">
      <c r="B7" s="93"/>
      <c r="C7" s="160" t="s">
        <v>43</v>
      </c>
      <c r="D7" s="95" t="s">
        <v>45</v>
      </c>
      <c r="E7" s="5"/>
      <c r="F7" s="299" t="s">
        <v>50</v>
      </c>
      <c r="G7" s="299"/>
      <c r="H7" s="299"/>
      <c r="I7" s="299"/>
      <c r="J7" s="299"/>
      <c r="K7" s="299"/>
      <c r="L7" s="299"/>
      <c r="M7" s="300"/>
    </row>
    <row r="8" spans="2:24" x14ac:dyDescent="0.35">
      <c r="B8" s="93"/>
      <c r="C8" s="272" t="s">
        <v>332</v>
      </c>
      <c r="D8" s="174">
        <v>0.99165499999999995</v>
      </c>
      <c r="E8" s="5"/>
      <c r="F8" s="5"/>
      <c r="G8" s="31"/>
      <c r="H8" s="5"/>
      <c r="I8" s="5" t="s">
        <v>90</v>
      </c>
      <c r="J8" s="47">
        <f>D9</f>
        <v>0.99165499999999995</v>
      </c>
      <c r="K8" s="5"/>
      <c r="L8" s="5"/>
      <c r="M8" s="20"/>
      <c r="S8" s="49"/>
      <c r="W8" s="3" t="s">
        <v>3</v>
      </c>
      <c r="X8" s="3">
        <v>0.25058799999999998</v>
      </c>
    </row>
    <row r="9" spans="2:24" x14ac:dyDescent="0.35">
      <c r="B9" s="93"/>
      <c r="C9" s="60" t="s">
        <v>90</v>
      </c>
      <c r="D9" s="175">
        <v>0.99165499999999995</v>
      </c>
      <c r="E9" s="5"/>
      <c r="F9" s="5"/>
      <c r="G9" s="5"/>
      <c r="H9" s="5"/>
      <c r="I9" s="5" t="s">
        <v>20</v>
      </c>
      <c r="J9" s="47">
        <f>D13</f>
        <v>3.4880000000000002E-3</v>
      </c>
      <c r="K9" s="5"/>
      <c r="L9" s="5"/>
      <c r="M9" s="20"/>
      <c r="S9" s="49"/>
      <c r="W9" s="3" t="s">
        <v>9</v>
      </c>
      <c r="X9" s="3">
        <v>6.1296999999999997E-2</v>
      </c>
    </row>
    <row r="10" spans="2:24" x14ac:dyDescent="0.35">
      <c r="B10" s="93"/>
      <c r="C10" s="161" t="s">
        <v>99</v>
      </c>
      <c r="D10" s="176">
        <v>4.8570000000000002E-3</v>
      </c>
      <c r="E10" s="5"/>
      <c r="F10" s="5"/>
      <c r="G10" s="5"/>
      <c r="I10" s="3" t="s">
        <v>100</v>
      </c>
      <c r="J10" s="47">
        <f>D11</f>
        <v>4.8570000000000002E-3</v>
      </c>
      <c r="K10" s="5"/>
      <c r="L10" s="5"/>
      <c r="M10" s="20"/>
      <c r="S10" s="49"/>
      <c r="W10" s="3" t="s">
        <v>10</v>
      </c>
      <c r="X10" s="3">
        <v>3.0130999999999998E-2</v>
      </c>
    </row>
    <row r="11" spans="2:24" x14ac:dyDescent="0.35">
      <c r="B11" s="93"/>
      <c r="C11" s="162" t="s">
        <v>100</v>
      </c>
      <c r="D11" s="177">
        <v>4.8570000000000002E-3</v>
      </c>
      <c r="E11" s="5"/>
      <c r="F11" s="5"/>
      <c r="G11" s="5"/>
      <c r="J11" s="5"/>
      <c r="K11" s="5"/>
      <c r="L11" s="5"/>
      <c r="M11" s="20"/>
      <c r="S11" s="49"/>
      <c r="W11" s="3" t="s">
        <v>7</v>
      </c>
      <c r="X11" s="3">
        <v>2.7299E-2</v>
      </c>
    </row>
    <row r="12" spans="2:24" x14ac:dyDescent="0.35">
      <c r="B12" s="93"/>
      <c r="C12" s="161"/>
      <c r="D12" s="83"/>
      <c r="E12" s="5"/>
      <c r="F12" s="5"/>
      <c r="G12" s="5"/>
      <c r="J12" s="5"/>
      <c r="K12" s="5"/>
      <c r="L12" s="5"/>
      <c r="M12" s="20"/>
      <c r="S12" s="49"/>
      <c r="W12" s="3" t="s">
        <v>26</v>
      </c>
      <c r="X12" s="3">
        <v>2.5925E-2</v>
      </c>
    </row>
    <row r="13" spans="2:24" x14ac:dyDescent="0.35">
      <c r="B13" s="93"/>
      <c r="C13" s="162" t="s">
        <v>20</v>
      </c>
      <c r="D13" s="177">
        <v>3.4880000000000002E-3</v>
      </c>
      <c r="E13" s="5"/>
      <c r="F13" s="5"/>
      <c r="G13" s="5"/>
      <c r="J13" s="5"/>
      <c r="K13" s="5"/>
      <c r="L13" s="5"/>
      <c r="M13" s="20"/>
      <c r="S13" s="49"/>
      <c r="W13" s="3" t="s">
        <v>8</v>
      </c>
      <c r="X13" s="3">
        <v>2.3822000000000003E-2</v>
      </c>
    </row>
    <row r="14" spans="2:24" x14ac:dyDescent="0.35">
      <c r="B14" s="93"/>
      <c r="C14" s="161"/>
      <c r="D14" s="83"/>
      <c r="E14" s="5"/>
      <c r="F14" s="5"/>
      <c r="G14" s="5"/>
      <c r="H14" s="5"/>
      <c r="I14" s="5"/>
      <c r="J14" s="5"/>
      <c r="K14" s="5"/>
      <c r="L14" s="5"/>
      <c r="M14" s="20"/>
      <c r="S14" s="49"/>
      <c r="W14" s="3" t="s">
        <v>25</v>
      </c>
      <c r="X14" s="3">
        <v>2.3753E-2</v>
      </c>
    </row>
    <row r="15" spans="2:24" x14ac:dyDescent="0.35">
      <c r="B15" s="93"/>
      <c r="C15" s="163" t="s">
        <v>21</v>
      </c>
      <c r="D15" s="84">
        <f>D13+D11+D9</f>
        <v>1</v>
      </c>
      <c r="E15" s="5"/>
      <c r="F15" s="5"/>
      <c r="G15" s="5"/>
      <c r="H15" s="5"/>
      <c r="I15" s="5"/>
      <c r="J15" s="5"/>
      <c r="K15" s="5"/>
      <c r="L15" s="5"/>
      <c r="M15" s="20"/>
      <c r="S15" s="49"/>
      <c r="W15" s="3" t="s">
        <v>17</v>
      </c>
      <c r="X15" s="3">
        <v>1.8620999999999999E-2</v>
      </c>
    </row>
    <row r="16" spans="2:24" x14ac:dyDescent="0.35">
      <c r="B16" s="93"/>
      <c r="E16" s="5"/>
      <c r="F16" s="5"/>
      <c r="G16" s="5"/>
      <c r="H16" s="5"/>
      <c r="I16" s="5"/>
      <c r="J16" s="5"/>
      <c r="K16" s="5"/>
      <c r="L16" s="5"/>
      <c r="M16" s="20"/>
      <c r="S16" s="49"/>
      <c r="W16" s="3" t="s">
        <v>27</v>
      </c>
      <c r="X16" s="3">
        <v>1.7219000000000002E-2</v>
      </c>
    </row>
    <row r="17" spans="2:24" x14ac:dyDescent="0.35">
      <c r="B17" s="93"/>
      <c r="C17" s="35"/>
      <c r="D17" s="36"/>
      <c r="E17" s="5"/>
      <c r="F17" s="5"/>
      <c r="G17" s="5"/>
      <c r="H17" s="5"/>
      <c r="I17" s="5"/>
      <c r="J17" s="5"/>
      <c r="K17" s="5"/>
      <c r="L17" s="5"/>
      <c r="M17" s="20"/>
      <c r="S17" s="49"/>
      <c r="W17" s="3" t="s">
        <v>12</v>
      </c>
      <c r="X17" s="3">
        <v>1.6056000000000001E-2</v>
      </c>
    </row>
    <row r="18" spans="2:24" x14ac:dyDescent="0.35">
      <c r="B18" s="93"/>
      <c r="C18" s="41"/>
      <c r="D18" s="41"/>
      <c r="E18" s="5"/>
      <c r="F18" s="5"/>
      <c r="G18" s="5"/>
      <c r="H18" s="5"/>
      <c r="I18" s="5"/>
      <c r="J18" s="5"/>
      <c r="K18" s="5"/>
      <c r="L18" s="5"/>
      <c r="M18" s="20"/>
      <c r="S18" s="49"/>
      <c r="W18" s="3" t="s">
        <v>6</v>
      </c>
      <c r="X18" s="3">
        <v>1.41E-2</v>
      </c>
    </row>
    <row r="19" spans="2:24" x14ac:dyDescent="0.35">
      <c r="B19" s="93"/>
      <c r="C19" s="35"/>
      <c r="D19" s="37"/>
      <c r="E19" s="5"/>
      <c r="F19" s="5"/>
      <c r="G19" s="5"/>
      <c r="H19" s="5"/>
      <c r="I19" s="5"/>
      <c r="J19" s="5"/>
      <c r="K19" s="5"/>
      <c r="L19" s="5"/>
      <c r="M19" s="20"/>
      <c r="S19" s="49"/>
      <c r="W19" s="3" t="s">
        <v>14</v>
      </c>
      <c r="X19" s="3">
        <v>1.1167E-2</v>
      </c>
    </row>
    <row r="20" spans="2:24" x14ac:dyDescent="0.35">
      <c r="B20" s="93"/>
      <c r="E20" s="5"/>
      <c r="F20" s="5"/>
      <c r="G20" s="5"/>
      <c r="H20" s="5"/>
      <c r="I20" s="5"/>
      <c r="J20" s="5"/>
      <c r="K20" s="5"/>
      <c r="L20" s="5"/>
      <c r="M20" s="20"/>
      <c r="S20" s="49"/>
      <c r="W20" s="3" t="s">
        <v>11</v>
      </c>
      <c r="X20" s="3">
        <v>1.1159000000000001E-2</v>
      </c>
    </row>
    <row r="21" spans="2:24" x14ac:dyDescent="0.35">
      <c r="B21" s="93"/>
      <c r="E21" s="5"/>
      <c r="F21" s="5"/>
      <c r="G21" s="5"/>
      <c r="H21" s="5"/>
      <c r="I21" s="5"/>
      <c r="J21" s="5"/>
      <c r="K21" s="5"/>
      <c r="L21" s="5"/>
      <c r="M21" s="20"/>
      <c r="S21" s="49"/>
      <c r="W21" s="3" t="s">
        <v>18</v>
      </c>
      <c r="X21" s="3">
        <v>1.0543E-2</v>
      </c>
    </row>
    <row r="22" spans="2:24" ht="16" thickBot="1" x14ac:dyDescent="0.4">
      <c r="B22" s="96"/>
      <c r="C22" s="301"/>
      <c r="D22" s="301"/>
      <c r="E22" s="301"/>
      <c r="F22" s="301"/>
      <c r="G22" s="301"/>
      <c r="H22" s="301"/>
      <c r="I22" s="301"/>
      <c r="J22" s="301"/>
      <c r="K22" s="301"/>
      <c r="L22" s="301"/>
      <c r="M22" s="302"/>
      <c r="S22" s="49"/>
    </row>
    <row r="23" spans="2:24" ht="16" thickBot="1" x14ac:dyDescent="0.4">
      <c r="S23" s="49"/>
    </row>
    <row r="24" spans="2:24" ht="15" customHeight="1" x14ac:dyDescent="0.35">
      <c r="B24" s="303" t="s">
        <v>179</v>
      </c>
      <c r="C24" s="304"/>
      <c r="D24" s="304"/>
      <c r="E24" s="304"/>
      <c r="F24" s="304"/>
      <c r="G24" s="304"/>
      <c r="H24" s="304"/>
      <c r="I24" s="304"/>
      <c r="J24" s="304"/>
      <c r="K24" s="304"/>
      <c r="L24" s="304"/>
      <c r="M24" s="304"/>
      <c r="N24" s="305"/>
      <c r="S24" s="49"/>
    </row>
    <row r="25" spans="2:24" ht="15.75" customHeight="1" x14ac:dyDescent="0.35">
      <c r="B25" s="306"/>
      <c r="C25" s="307"/>
      <c r="D25" s="307"/>
      <c r="E25" s="307"/>
      <c r="F25" s="307"/>
      <c r="G25" s="307"/>
      <c r="H25" s="307"/>
      <c r="I25" s="307"/>
      <c r="J25" s="307"/>
      <c r="K25" s="307"/>
      <c r="L25" s="307"/>
      <c r="M25" s="307"/>
      <c r="N25" s="308"/>
      <c r="S25" s="49"/>
    </row>
    <row r="26" spans="2:24" ht="15.75" customHeight="1" x14ac:dyDescent="0.35">
      <c r="B26" s="306"/>
      <c r="C26" s="307"/>
      <c r="D26" s="307"/>
      <c r="E26" s="307"/>
      <c r="F26" s="307"/>
      <c r="G26" s="307"/>
      <c r="H26" s="307"/>
      <c r="I26" s="307"/>
      <c r="J26" s="307"/>
      <c r="K26" s="307"/>
      <c r="L26" s="307"/>
      <c r="M26" s="307"/>
      <c r="N26" s="308"/>
      <c r="S26" s="49"/>
    </row>
    <row r="27" spans="2:24" ht="15.75" customHeight="1" x14ac:dyDescent="0.35">
      <c r="B27" s="306"/>
      <c r="C27" s="307"/>
      <c r="D27" s="307"/>
      <c r="E27" s="307"/>
      <c r="F27" s="307"/>
      <c r="G27" s="307"/>
      <c r="H27" s="307"/>
      <c r="I27" s="307"/>
      <c r="J27" s="307"/>
      <c r="K27" s="307"/>
      <c r="L27" s="307"/>
      <c r="M27" s="307"/>
      <c r="N27" s="308"/>
      <c r="S27" s="49"/>
    </row>
    <row r="28" spans="2:24" ht="15.75" customHeight="1" x14ac:dyDescent="0.35">
      <c r="B28" s="306"/>
      <c r="C28" s="307"/>
      <c r="D28" s="307"/>
      <c r="E28" s="307"/>
      <c r="F28" s="307"/>
      <c r="G28" s="307"/>
      <c r="H28" s="307"/>
      <c r="I28" s="307"/>
      <c r="J28" s="307"/>
      <c r="K28" s="307"/>
      <c r="L28" s="307"/>
      <c r="M28" s="307"/>
      <c r="N28" s="308"/>
      <c r="S28" s="49"/>
    </row>
    <row r="29" spans="2:24" ht="15.75" customHeight="1" x14ac:dyDescent="0.35">
      <c r="B29" s="306"/>
      <c r="C29" s="307"/>
      <c r="D29" s="307"/>
      <c r="E29" s="307"/>
      <c r="F29" s="307"/>
      <c r="G29" s="307"/>
      <c r="H29" s="307"/>
      <c r="I29" s="307"/>
      <c r="J29" s="307"/>
      <c r="K29" s="307"/>
      <c r="L29" s="307"/>
      <c r="M29" s="307"/>
      <c r="N29" s="308"/>
      <c r="S29" s="49"/>
    </row>
    <row r="30" spans="2:24" ht="28.5" customHeight="1" thickBot="1" x14ac:dyDescent="0.4">
      <c r="B30" s="309"/>
      <c r="C30" s="310"/>
      <c r="D30" s="310"/>
      <c r="E30" s="310"/>
      <c r="F30" s="310"/>
      <c r="G30" s="310"/>
      <c r="H30" s="310"/>
      <c r="I30" s="310"/>
      <c r="J30" s="310"/>
      <c r="K30" s="310"/>
      <c r="L30" s="310"/>
      <c r="M30" s="310"/>
      <c r="N30" s="311"/>
      <c r="S30" s="49"/>
    </row>
    <row r="31" spans="2:24" ht="16" thickBot="1" x14ac:dyDescent="0.4">
      <c r="S31" s="49"/>
    </row>
    <row r="32" spans="2:24" x14ac:dyDescent="0.35">
      <c r="B32" s="303" t="s">
        <v>91</v>
      </c>
      <c r="C32" s="304"/>
      <c r="D32" s="304"/>
      <c r="E32" s="304"/>
      <c r="F32" s="304"/>
      <c r="G32" s="304"/>
      <c r="H32" s="304"/>
      <c r="I32" s="304"/>
      <c r="J32" s="304"/>
      <c r="K32" s="304"/>
      <c r="L32" s="304"/>
      <c r="M32" s="304"/>
      <c r="N32" s="305"/>
      <c r="S32" s="49"/>
    </row>
    <row r="33" spans="2:19" x14ac:dyDescent="0.35">
      <c r="B33" s="306"/>
      <c r="C33" s="307"/>
      <c r="D33" s="307"/>
      <c r="E33" s="307"/>
      <c r="F33" s="307"/>
      <c r="G33" s="307"/>
      <c r="H33" s="307"/>
      <c r="I33" s="307"/>
      <c r="J33" s="307"/>
      <c r="K33" s="307"/>
      <c r="L33" s="307"/>
      <c r="M33" s="307"/>
      <c r="N33" s="308"/>
      <c r="S33" s="49"/>
    </row>
    <row r="34" spans="2:19" x14ac:dyDescent="0.35">
      <c r="B34" s="306"/>
      <c r="C34" s="307"/>
      <c r="D34" s="307"/>
      <c r="E34" s="307"/>
      <c r="F34" s="307"/>
      <c r="G34" s="307"/>
      <c r="H34" s="307"/>
      <c r="I34" s="307"/>
      <c r="J34" s="307"/>
      <c r="K34" s="307"/>
      <c r="L34" s="307"/>
      <c r="M34" s="307"/>
      <c r="N34" s="308"/>
      <c r="S34" s="49"/>
    </row>
    <row r="35" spans="2:19" x14ac:dyDescent="0.35">
      <c r="B35" s="306"/>
      <c r="C35" s="307"/>
      <c r="D35" s="307"/>
      <c r="E35" s="307"/>
      <c r="F35" s="307"/>
      <c r="G35" s="307"/>
      <c r="H35" s="307"/>
      <c r="I35" s="307"/>
      <c r="J35" s="307"/>
      <c r="K35" s="307"/>
      <c r="L35" s="307"/>
      <c r="M35" s="307"/>
      <c r="N35" s="308"/>
      <c r="S35" s="49"/>
    </row>
    <row r="36" spans="2:19" x14ac:dyDescent="0.35">
      <c r="B36" s="306"/>
      <c r="C36" s="307"/>
      <c r="D36" s="307"/>
      <c r="E36" s="307"/>
      <c r="F36" s="307"/>
      <c r="G36" s="307"/>
      <c r="H36" s="307"/>
      <c r="I36" s="307"/>
      <c r="J36" s="307"/>
      <c r="K36" s="307"/>
      <c r="L36" s="307"/>
      <c r="M36" s="307"/>
      <c r="N36" s="308"/>
      <c r="S36" s="49"/>
    </row>
    <row r="37" spans="2:19" x14ac:dyDescent="0.35">
      <c r="B37" s="306"/>
      <c r="C37" s="307"/>
      <c r="D37" s="307"/>
      <c r="E37" s="307"/>
      <c r="F37" s="307"/>
      <c r="G37" s="307"/>
      <c r="H37" s="307"/>
      <c r="I37" s="307"/>
      <c r="J37" s="307"/>
      <c r="K37" s="307"/>
      <c r="L37" s="307"/>
      <c r="M37" s="307"/>
      <c r="N37" s="308"/>
      <c r="S37" s="49"/>
    </row>
    <row r="38" spans="2:19" ht="16" thickBot="1" x14ac:dyDescent="0.4">
      <c r="B38" s="309"/>
      <c r="C38" s="310"/>
      <c r="D38" s="310"/>
      <c r="E38" s="310"/>
      <c r="F38" s="310"/>
      <c r="G38" s="310"/>
      <c r="H38" s="310"/>
      <c r="I38" s="310"/>
      <c r="J38" s="310"/>
      <c r="K38" s="310"/>
      <c r="L38" s="310"/>
      <c r="M38" s="310"/>
      <c r="N38" s="311"/>
      <c r="S38" s="49"/>
    </row>
    <row r="39" spans="2:19" x14ac:dyDescent="0.35">
      <c r="S39" s="49"/>
    </row>
    <row r="40" spans="2:19" x14ac:dyDescent="0.35">
      <c r="S40" s="49"/>
    </row>
    <row r="41" spans="2:19" x14ac:dyDescent="0.35">
      <c r="S41" s="49"/>
    </row>
    <row r="42" spans="2:19" x14ac:dyDescent="0.35">
      <c r="S42" s="49"/>
    </row>
    <row r="43" spans="2:19" x14ac:dyDescent="0.35">
      <c r="S43" s="49"/>
    </row>
    <row r="44" spans="2:19" x14ac:dyDescent="0.35">
      <c r="S44" s="49"/>
    </row>
    <row r="45" spans="2:19" x14ac:dyDescent="0.35">
      <c r="S45" s="49"/>
    </row>
    <row r="46" spans="2:19" x14ac:dyDescent="0.35">
      <c r="S46" s="49"/>
    </row>
    <row r="47" spans="2:19" x14ac:dyDescent="0.35">
      <c r="S47" s="49"/>
    </row>
    <row r="48" spans="2:19" x14ac:dyDescent="0.35">
      <c r="S48" s="49"/>
    </row>
    <row r="49" spans="19:19" x14ac:dyDescent="0.35">
      <c r="S49" s="49"/>
    </row>
    <row r="50" spans="19:19" x14ac:dyDescent="0.35">
      <c r="S50" s="49"/>
    </row>
    <row r="51" spans="19:19" x14ac:dyDescent="0.35">
      <c r="S51" s="49"/>
    </row>
    <row r="52" spans="19:19" x14ac:dyDescent="0.35">
      <c r="S52" s="49"/>
    </row>
    <row r="53" spans="19:19" x14ac:dyDescent="0.35">
      <c r="S53" s="49"/>
    </row>
    <row r="54" spans="19:19" x14ac:dyDescent="0.35">
      <c r="S54" s="49"/>
    </row>
    <row r="55" spans="19:19" x14ac:dyDescent="0.35">
      <c r="S55" s="49"/>
    </row>
    <row r="56" spans="19:19" x14ac:dyDescent="0.35">
      <c r="S56" s="49"/>
    </row>
    <row r="57" spans="19:19" x14ac:dyDescent="0.35">
      <c r="S57" s="49"/>
    </row>
    <row r="58" spans="19:19" x14ac:dyDescent="0.35">
      <c r="S58" s="49"/>
    </row>
    <row r="59" spans="19:19" x14ac:dyDescent="0.35">
      <c r="S59" s="49"/>
    </row>
    <row r="60" spans="19:19" x14ac:dyDescent="0.35">
      <c r="S60" s="49"/>
    </row>
    <row r="61" spans="19:19" x14ac:dyDescent="0.35">
      <c r="S61" s="49"/>
    </row>
    <row r="62" spans="19:19" x14ac:dyDescent="0.35">
      <c r="S62" s="49"/>
    </row>
    <row r="63" spans="19:19" x14ac:dyDescent="0.35">
      <c r="S63" s="49"/>
    </row>
    <row r="64" spans="19:19" x14ac:dyDescent="0.35">
      <c r="S64" s="49"/>
    </row>
    <row r="65" spans="19:19" x14ac:dyDescent="0.35">
      <c r="S65" s="49"/>
    </row>
    <row r="66" spans="19:19" x14ac:dyDescent="0.35">
      <c r="S66" s="49"/>
    </row>
    <row r="67" spans="19:19" x14ac:dyDescent="0.35">
      <c r="S67" s="49"/>
    </row>
    <row r="68" spans="19:19" x14ac:dyDescent="0.35">
      <c r="S68" s="49"/>
    </row>
    <row r="69" spans="19:19" x14ac:dyDescent="0.35">
      <c r="S69" s="49"/>
    </row>
    <row r="70" spans="19:19" x14ac:dyDescent="0.35">
      <c r="S70" s="49"/>
    </row>
    <row r="71" spans="19:19" x14ac:dyDescent="0.35">
      <c r="S71" s="49"/>
    </row>
    <row r="72" spans="19:19" x14ac:dyDescent="0.35">
      <c r="S72" s="49"/>
    </row>
    <row r="73" spans="19:19" x14ac:dyDescent="0.35">
      <c r="S73" s="49"/>
    </row>
    <row r="74" spans="19:19" x14ac:dyDescent="0.35">
      <c r="S74" s="49"/>
    </row>
    <row r="75" spans="19:19" x14ac:dyDescent="0.35">
      <c r="S75" s="49"/>
    </row>
    <row r="76" spans="19:19" x14ac:dyDescent="0.35">
      <c r="S76" s="49"/>
    </row>
    <row r="77" spans="19:19" x14ac:dyDescent="0.35">
      <c r="S77" s="49"/>
    </row>
    <row r="78" spans="19:19" x14ac:dyDescent="0.35">
      <c r="S78" s="49"/>
    </row>
    <row r="79" spans="19:19" x14ac:dyDescent="0.35">
      <c r="S79" s="49"/>
    </row>
    <row r="80" spans="19:19" x14ac:dyDescent="0.35">
      <c r="S80" s="49"/>
    </row>
    <row r="81" spans="19:19" x14ac:dyDescent="0.35">
      <c r="S81" s="49"/>
    </row>
    <row r="82" spans="19:19" x14ac:dyDescent="0.35">
      <c r="S82" s="49"/>
    </row>
    <row r="83" spans="19:19" x14ac:dyDescent="0.35">
      <c r="S83" s="49"/>
    </row>
    <row r="84" spans="19:19" x14ac:dyDescent="0.35">
      <c r="S84" s="49"/>
    </row>
    <row r="85" spans="19:19" x14ac:dyDescent="0.35">
      <c r="S85" s="49"/>
    </row>
    <row r="86" spans="19:19" x14ac:dyDescent="0.35">
      <c r="S86" s="49"/>
    </row>
    <row r="87" spans="19:19" x14ac:dyDescent="0.35">
      <c r="S87" s="49"/>
    </row>
    <row r="88" spans="19:19" x14ac:dyDescent="0.35">
      <c r="S88" s="49"/>
    </row>
    <row r="89" spans="19:19" x14ac:dyDescent="0.35">
      <c r="S89" s="49"/>
    </row>
    <row r="90" spans="19:19" x14ac:dyDescent="0.35">
      <c r="S90" s="49"/>
    </row>
    <row r="91" spans="19:19" x14ac:dyDescent="0.35">
      <c r="S91" s="49"/>
    </row>
    <row r="92" spans="19:19" x14ac:dyDescent="0.35">
      <c r="S92" s="49"/>
    </row>
    <row r="93" spans="19:19" x14ac:dyDescent="0.35">
      <c r="S93" s="49"/>
    </row>
    <row r="94" spans="19:19" x14ac:dyDescent="0.35">
      <c r="S94" s="49"/>
    </row>
    <row r="95" spans="19:19" x14ac:dyDescent="0.35">
      <c r="S95" s="49"/>
    </row>
    <row r="96" spans="19:19" x14ac:dyDescent="0.35">
      <c r="S96" s="49"/>
    </row>
    <row r="97" spans="19:19" x14ac:dyDescent="0.35">
      <c r="S97" s="49"/>
    </row>
    <row r="98" spans="19:19" x14ac:dyDescent="0.35">
      <c r="S98" s="49"/>
    </row>
    <row r="99" spans="19:19" x14ac:dyDescent="0.35">
      <c r="S99" s="49"/>
    </row>
    <row r="100" spans="19:19" x14ac:dyDescent="0.35">
      <c r="S100" s="49"/>
    </row>
    <row r="101" spans="19:19" x14ac:dyDescent="0.35">
      <c r="S101" s="49"/>
    </row>
    <row r="102" spans="19:19" x14ac:dyDescent="0.35">
      <c r="S102" s="49"/>
    </row>
    <row r="103" spans="19:19" x14ac:dyDescent="0.35">
      <c r="S103" s="49"/>
    </row>
    <row r="104" spans="19:19" x14ac:dyDescent="0.35">
      <c r="S104" s="49"/>
    </row>
    <row r="105" spans="19:19" x14ac:dyDescent="0.35">
      <c r="S105" s="49"/>
    </row>
    <row r="106" spans="19:19" x14ac:dyDescent="0.35">
      <c r="S106" s="49"/>
    </row>
    <row r="107" spans="19:19" x14ac:dyDescent="0.35">
      <c r="S107" s="49"/>
    </row>
    <row r="108" spans="19:19" x14ac:dyDescent="0.35">
      <c r="S108" s="49"/>
    </row>
    <row r="109" spans="19:19" x14ac:dyDescent="0.35">
      <c r="S109" s="49"/>
    </row>
    <row r="110" spans="19:19" x14ac:dyDescent="0.35">
      <c r="S110" s="49"/>
    </row>
    <row r="111" spans="19:19" x14ac:dyDescent="0.35">
      <c r="S111" s="49"/>
    </row>
    <row r="112" spans="19:19" x14ac:dyDescent="0.35">
      <c r="S112" s="49"/>
    </row>
    <row r="113" spans="19:19" x14ac:dyDescent="0.35">
      <c r="S113" s="49"/>
    </row>
    <row r="114" spans="19:19" x14ac:dyDescent="0.35">
      <c r="S114" s="49"/>
    </row>
    <row r="115" spans="19:19" x14ac:dyDescent="0.35">
      <c r="S115" s="49"/>
    </row>
    <row r="116" spans="19:19" x14ac:dyDescent="0.35">
      <c r="S116" s="49"/>
    </row>
    <row r="117" spans="19:19" x14ac:dyDescent="0.35">
      <c r="S117" s="49"/>
    </row>
    <row r="118" spans="19:19" x14ac:dyDescent="0.35">
      <c r="S118" s="49"/>
    </row>
    <row r="119" spans="19:19" x14ac:dyDescent="0.35">
      <c r="S119" s="49"/>
    </row>
    <row r="120" spans="19:19" x14ac:dyDescent="0.35">
      <c r="S120" s="49"/>
    </row>
    <row r="121" spans="19:19" x14ac:dyDescent="0.35">
      <c r="S121" s="49"/>
    </row>
    <row r="122" spans="19:19" x14ac:dyDescent="0.35">
      <c r="S122" s="49"/>
    </row>
    <row r="123" spans="19:19" x14ac:dyDescent="0.35">
      <c r="S123" s="49"/>
    </row>
    <row r="124" spans="19:19" x14ac:dyDescent="0.35">
      <c r="S124" s="49"/>
    </row>
    <row r="125" spans="19:19" x14ac:dyDescent="0.35">
      <c r="S125" s="49"/>
    </row>
    <row r="126" spans="19:19" x14ac:dyDescent="0.35">
      <c r="S126" s="49"/>
    </row>
    <row r="127" spans="19:19" x14ac:dyDescent="0.35">
      <c r="S127" s="49"/>
    </row>
    <row r="128" spans="19:19" x14ac:dyDescent="0.35">
      <c r="S128" s="49"/>
    </row>
    <row r="129" spans="19:19" x14ac:dyDescent="0.35">
      <c r="S129" s="49"/>
    </row>
    <row r="130" spans="19:19" x14ac:dyDescent="0.35">
      <c r="S130" s="49"/>
    </row>
    <row r="131" spans="19:19" x14ac:dyDescent="0.35">
      <c r="S131" s="49"/>
    </row>
    <row r="132" spans="19:19" x14ac:dyDescent="0.35">
      <c r="S132" s="49"/>
    </row>
    <row r="133" spans="19:19" x14ac:dyDescent="0.35">
      <c r="S133" s="49"/>
    </row>
    <row r="134" spans="19:19" x14ac:dyDescent="0.35">
      <c r="S134" s="49"/>
    </row>
    <row r="135" spans="19:19" x14ac:dyDescent="0.35">
      <c r="S135" s="49"/>
    </row>
    <row r="136" spans="19:19" x14ac:dyDescent="0.35">
      <c r="S136" s="49"/>
    </row>
    <row r="137" spans="19:19" x14ac:dyDescent="0.35">
      <c r="S137" s="49"/>
    </row>
    <row r="138" spans="19:19" x14ac:dyDescent="0.35">
      <c r="S138" s="49"/>
    </row>
    <row r="139" spans="19:19" x14ac:dyDescent="0.35">
      <c r="S139" s="49"/>
    </row>
    <row r="140" spans="19:19" x14ac:dyDescent="0.35">
      <c r="S140" s="49"/>
    </row>
    <row r="141" spans="19:19" x14ac:dyDescent="0.35">
      <c r="S141" s="49"/>
    </row>
    <row r="142" spans="19:19" x14ac:dyDescent="0.35">
      <c r="S142" s="49"/>
    </row>
    <row r="143" spans="19:19" x14ac:dyDescent="0.35">
      <c r="S143" s="49"/>
    </row>
    <row r="144" spans="19:19" x14ac:dyDescent="0.35">
      <c r="S144" s="49"/>
    </row>
    <row r="145" spans="19:19" x14ac:dyDescent="0.35">
      <c r="S145" s="49"/>
    </row>
    <row r="146" spans="19:19" x14ac:dyDescent="0.35">
      <c r="S146" s="49"/>
    </row>
    <row r="147" spans="19:19" x14ac:dyDescent="0.35">
      <c r="S147" s="49"/>
    </row>
    <row r="148" spans="19:19" x14ac:dyDescent="0.35">
      <c r="S148" s="49"/>
    </row>
    <row r="149" spans="19:19" x14ac:dyDescent="0.35">
      <c r="S149" s="49"/>
    </row>
    <row r="150" spans="19:19" x14ac:dyDescent="0.35">
      <c r="S150" s="49"/>
    </row>
    <row r="151" spans="19:19" x14ac:dyDescent="0.35">
      <c r="S151" s="49"/>
    </row>
    <row r="152" spans="19:19" x14ac:dyDescent="0.35">
      <c r="S152" s="49"/>
    </row>
    <row r="153" spans="19:19" x14ac:dyDescent="0.35">
      <c r="S153" s="49"/>
    </row>
    <row r="154" spans="19:19" x14ac:dyDescent="0.35">
      <c r="S154" s="49"/>
    </row>
    <row r="155" spans="19:19" x14ac:dyDescent="0.35">
      <c r="S155" s="49"/>
    </row>
    <row r="156" spans="19:19" x14ac:dyDescent="0.35">
      <c r="S156" s="49"/>
    </row>
    <row r="157" spans="19:19" x14ac:dyDescent="0.35">
      <c r="S157" s="49"/>
    </row>
    <row r="158" spans="19:19" x14ac:dyDescent="0.35">
      <c r="S158" s="49"/>
    </row>
    <row r="159" spans="19:19" x14ac:dyDescent="0.35">
      <c r="S159" s="49"/>
    </row>
    <row r="160" spans="19:19" x14ac:dyDescent="0.35">
      <c r="S160" s="49"/>
    </row>
    <row r="161" spans="19:19" x14ac:dyDescent="0.35">
      <c r="S161" s="49"/>
    </row>
    <row r="162" spans="19:19" x14ac:dyDescent="0.35">
      <c r="S162" s="49"/>
    </row>
    <row r="163" spans="19:19" x14ac:dyDescent="0.35">
      <c r="S163" s="49"/>
    </row>
    <row r="164" spans="19:19" x14ac:dyDescent="0.35">
      <c r="S164" s="49"/>
    </row>
    <row r="165" spans="19:19" x14ac:dyDescent="0.35">
      <c r="S165" s="49"/>
    </row>
    <row r="166" spans="19:19" x14ac:dyDescent="0.35">
      <c r="S166" s="49"/>
    </row>
    <row r="167" spans="19:19" x14ac:dyDescent="0.35">
      <c r="S167" s="49"/>
    </row>
    <row r="168" spans="19:19" x14ac:dyDescent="0.35">
      <c r="S168" s="49"/>
    </row>
    <row r="169" spans="19:19" x14ac:dyDescent="0.35">
      <c r="S169" s="49"/>
    </row>
    <row r="170" spans="19:19" x14ac:dyDescent="0.35">
      <c r="S170" s="49"/>
    </row>
    <row r="171" spans="19:19" x14ac:dyDescent="0.35">
      <c r="S171" s="49"/>
    </row>
    <row r="172" spans="19:19" x14ac:dyDescent="0.35">
      <c r="S172" s="49"/>
    </row>
    <row r="173" spans="19:19" x14ac:dyDescent="0.35">
      <c r="S173" s="49"/>
    </row>
    <row r="174" spans="19:19" x14ac:dyDescent="0.35">
      <c r="S174" s="49"/>
    </row>
    <row r="175" spans="19:19" x14ac:dyDescent="0.35">
      <c r="S175" s="49"/>
    </row>
    <row r="176" spans="19:19" x14ac:dyDescent="0.35">
      <c r="S176" s="49"/>
    </row>
    <row r="177" spans="19:19" x14ac:dyDescent="0.35">
      <c r="S177" s="49"/>
    </row>
    <row r="178" spans="19:19" x14ac:dyDescent="0.35">
      <c r="S178" s="49"/>
    </row>
    <row r="179" spans="19:19" x14ac:dyDescent="0.35">
      <c r="S179" s="49"/>
    </row>
    <row r="180" spans="19:19" x14ac:dyDescent="0.35">
      <c r="S180" s="49"/>
    </row>
    <row r="181" spans="19:19" x14ac:dyDescent="0.35">
      <c r="S181" s="49"/>
    </row>
    <row r="182" spans="19:19" x14ac:dyDescent="0.35">
      <c r="S182" s="49"/>
    </row>
    <row r="183" spans="19:19" x14ac:dyDescent="0.35">
      <c r="S183" s="49"/>
    </row>
    <row r="184" spans="19:19" x14ac:dyDescent="0.35">
      <c r="S184" s="49"/>
    </row>
    <row r="185" spans="19:19" x14ac:dyDescent="0.35">
      <c r="S185" s="49"/>
    </row>
    <row r="186" spans="19:19" x14ac:dyDescent="0.35">
      <c r="S186" s="49"/>
    </row>
    <row r="187" spans="19:19" x14ac:dyDescent="0.35">
      <c r="S187" s="49"/>
    </row>
    <row r="188" spans="19:19" x14ac:dyDescent="0.35">
      <c r="S188" s="49"/>
    </row>
    <row r="189" spans="19:19" x14ac:dyDescent="0.35">
      <c r="S189" s="49"/>
    </row>
    <row r="190" spans="19:19" x14ac:dyDescent="0.35">
      <c r="S190" s="49"/>
    </row>
    <row r="191" spans="19:19" x14ac:dyDescent="0.35">
      <c r="S191" s="49"/>
    </row>
    <row r="192" spans="19:19" x14ac:dyDescent="0.35">
      <c r="S192" s="49"/>
    </row>
    <row r="193" spans="19:19" x14ac:dyDescent="0.35">
      <c r="S193" s="49"/>
    </row>
    <row r="194" spans="19:19" x14ac:dyDescent="0.35">
      <c r="S194" s="49"/>
    </row>
    <row r="195" spans="19:19" x14ac:dyDescent="0.35">
      <c r="S195" s="49"/>
    </row>
    <row r="196" spans="19:19" x14ac:dyDescent="0.35">
      <c r="S196" s="49"/>
    </row>
    <row r="197" spans="19:19" x14ac:dyDescent="0.35">
      <c r="S197" s="49"/>
    </row>
    <row r="198" spans="19:19" x14ac:dyDescent="0.35">
      <c r="S198" s="49"/>
    </row>
    <row r="199" spans="19:19" x14ac:dyDescent="0.35">
      <c r="S199" s="49"/>
    </row>
    <row r="200" spans="19:19" x14ac:dyDescent="0.35">
      <c r="S200" s="49"/>
    </row>
    <row r="201" spans="19:19" x14ac:dyDescent="0.35">
      <c r="S201" s="49"/>
    </row>
    <row r="202" spans="19:19" x14ac:dyDescent="0.35">
      <c r="S202" s="49"/>
    </row>
    <row r="203" spans="19:19" x14ac:dyDescent="0.35">
      <c r="S203" s="49"/>
    </row>
    <row r="204" spans="19:19" x14ac:dyDescent="0.35">
      <c r="S204" s="49"/>
    </row>
    <row r="205" spans="19:19" x14ac:dyDescent="0.35">
      <c r="S205" s="49"/>
    </row>
    <row r="206" spans="19:19" x14ac:dyDescent="0.35">
      <c r="S206" s="49"/>
    </row>
    <row r="207" spans="19:19" x14ac:dyDescent="0.35">
      <c r="S207" s="49"/>
    </row>
    <row r="208" spans="19:19" x14ac:dyDescent="0.35">
      <c r="S208" s="49"/>
    </row>
    <row r="209" spans="19:19" x14ac:dyDescent="0.35">
      <c r="S209" s="49"/>
    </row>
    <row r="210" spans="19:19" x14ac:dyDescent="0.35">
      <c r="S210" s="49"/>
    </row>
    <row r="211" spans="19:19" x14ac:dyDescent="0.35">
      <c r="S211" s="49"/>
    </row>
    <row r="212" spans="19:19" x14ac:dyDescent="0.35">
      <c r="S212" s="49"/>
    </row>
    <row r="213" spans="19:19" x14ac:dyDescent="0.35">
      <c r="S213" s="49"/>
    </row>
    <row r="214" spans="19:19" x14ac:dyDescent="0.35">
      <c r="S214" s="49"/>
    </row>
    <row r="215" spans="19:19" x14ac:dyDescent="0.35">
      <c r="S215" s="49"/>
    </row>
    <row r="216" spans="19:19" x14ac:dyDescent="0.35">
      <c r="S216" s="49"/>
    </row>
    <row r="217" spans="19:19" x14ac:dyDescent="0.35">
      <c r="S217" s="49"/>
    </row>
    <row r="218" spans="19:19" x14ac:dyDescent="0.35">
      <c r="S218" s="49"/>
    </row>
    <row r="219" spans="19:19" x14ac:dyDescent="0.35">
      <c r="S219" s="49"/>
    </row>
    <row r="220" spans="19:19" x14ac:dyDescent="0.35">
      <c r="S220" s="49"/>
    </row>
    <row r="221" spans="19:19" x14ac:dyDescent="0.35">
      <c r="S221" s="49"/>
    </row>
    <row r="222" spans="19:19" x14ac:dyDescent="0.35">
      <c r="S222" s="49"/>
    </row>
    <row r="223" spans="19:19" x14ac:dyDescent="0.35">
      <c r="S223" s="49"/>
    </row>
    <row r="224" spans="19:19" x14ac:dyDescent="0.35">
      <c r="S224" s="49"/>
    </row>
    <row r="225" spans="19:19" x14ac:dyDescent="0.35">
      <c r="S225" s="49"/>
    </row>
    <row r="226" spans="19:19" x14ac:dyDescent="0.35">
      <c r="S226" s="49"/>
    </row>
    <row r="227" spans="19:19" x14ac:dyDescent="0.35">
      <c r="S227" s="49"/>
    </row>
    <row r="228" spans="19:19" x14ac:dyDescent="0.35">
      <c r="S228" s="49"/>
    </row>
    <row r="229" spans="19:19" x14ac:dyDescent="0.35">
      <c r="S229" s="49"/>
    </row>
    <row r="230" spans="19:19" x14ac:dyDescent="0.35">
      <c r="S230" s="49"/>
    </row>
    <row r="231" spans="19:19" x14ac:dyDescent="0.35">
      <c r="S231" s="49"/>
    </row>
    <row r="232" spans="19:19" x14ac:dyDescent="0.35">
      <c r="S232" s="49"/>
    </row>
    <row r="233" spans="19:19" x14ac:dyDescent="0.35">
      <c r="S233" s="49"/>
    </row>
    <row r="234" spans="19:19" x14ac:dyDescent="0.35">
      <c r="S234" s="49"/>
    </row>
    <row r="235" spans="19:19" x14ac:dyDescent="0.35">
      <c r="S235" s="49"/>
    </row>
    <row r="236" spans="19:19" x14ac:dyDescent="0.35">
      <c r="S236" s="49"/>
    </row>
    <row r="237" spans="19:19" x14ac:dyDescent="0.35">
      <c r="S237" s="49"/>
    </row>
    <row r="238" spans="19:19" x14ac:dyDescent="0.35">
      <c r="S238" s="49"/>
    </row>
    <row r="239" spans="19:19" x14ac:dyDescent="0.35">
      <c r="S239" s="49"/>
    </row>
    <row r="240" spans="19:19" x14ac:dyDescent="0.35">
      <c r="S240" s="49"/>
    </row>
    <row r="241" spans="19:19" x14ac:dyDescent="0.35">
      <c r="S241" s="49"/>
    </row>
    <row r="242" spans="19:19" x14ac:dyDescent="0.35">
      <c r="S242" s="49"/>
    </row>
    <row r="243" spans="19:19" x14ac:dyDescent="0.35">
      <c r="S243" s="49"/>
    </row>
    <row r="244" spans="19:19" x14ac:dyDescent="0.35">
      <c r="S244" s="49"/>
    </row>
    <row r="245" spans="19:19" x14ac:dyDescent="0.35">
      <c r="S245" s="49"/>
    </row>
    <row r="246" spans="19:19" x14ac:dyDescent="0.35">
      <c r="S246" s="49"/>
    </row>
    <row r="247" spans="19:19" x14ac:dyDescent="0.35">
      <c r="S247" s="49"/>
    </row>
    <row r="248" spans="19:19" x14ac:dyDescent="0.35">
      <c r="S248" s="49"/>
    </row>
    <row r="249" spans="19:19" x14ac:dyDescent="0.35">
      <c r="S249" s="49"/>
    </row>
    <row r="250" spans="19:19" x14ac:dyDescent="0.35">
      <c r="S250" s="49"/>
    </row>
    <row r="251" spans="19:19" x14ac:dyDescent="0.35">
      <c r="S251" s="49"/>
    </row>
    <row r="252" spans="19:19" x14ac:dyDescent="0.35">
      <c r="S252" s="49"/>
    </row>
    <row r="253" spans="19:19" x14ac:dyDescent="0.35">
      <c r="S253" s="49"/>
    </row>
    <row r="254" spans="19:19" x14ac:dyDescent="0.35">
      <c r="S254" s="49"/>
    </row>
    <row r="255" spans="19:19" x14ac:dyDescent="0.35">
      <c r="S255" s="49"/>
    </row>
    <row r="256" spans="19:19" x14ac:dyDescent="0.35">
      <c r="S256" s="49"/>
    </row>
    <row r="257" spans="19:19" x14ac:dyDescent="0.35">
      <c r="S257" s="49"/>
    </row>
    <row r="258" spans="19:19" x14ac:dyDescent="0.35">
      <c r="S258" s="49"/>
    </row>
    <row r="259" spans="19:19" x14ac:dyDescent="0.35">
      <c r="S259" s="49"/>
    </row>
    <row r="260" spans="19:19" x14ac:dyDescent="0.35">
      <c r="S260" s="49"/>
    </row>
    <row r="261" spans="19:19" x14ac:dyDescent="0.35">
      <c r="S261" s="49"/>
    </row>
    <row r="262" spans="19:19" x14ac:dyDescent="0.35">
      <c r="S262" s="49"/>
    </row>
    <row r="263" spans="19:19" x14ac:dyDescent="0.35">
      <c r="S263" s="49"/>
    </row>
    <row r="264" spans="19:19" x14ac:dyDescent="0.35">
      <c r="S264" s="49"/>
    </row>
    <row r="265" spans="19:19" x14ac:dyDescent="0.35">
      <c r="S265" s="49"/>
    </row>
    <row r="266" spans="19:19" x14ac:dyDescent="0.35">
      <c r="S266" s="49"/>
    </row>
    <row r="267" spans="19:19" x14ac:dyDescent="0.35">
      <c r="S267" s="49"/>
    </row>
    <row r="268" spans="19:19" x14ac:dyDescent="0.35">
      <c r="S268" s="49"/>
    </row>
    <row r="269" spans="19:19" x14ac:dyDescent="0.35">
      <c r="S269" s="49"/>
    </row>
    <row r="270" spans="19:19" x14ac:dyDescent="0.35">
      <c r="S270" s="49"/>
    </row>
    <row r="271" spans="19:19" x14ac:dyDescent="0.35">
      <c r="S271" s="49"/>
    </row>
    <row r="272" spans="19:19" x14ac:dyDescent="0.35">
      <c r="S272" s="49"/>
    </row>
    <row r="273" spans="19:19" x14ac:dyDescent="0.35">
      <c r="S273" s="49"/>
    </row>
    <row r="274" spans="19:19" x14ac:dyDescent="0.35">
      <c r="S274" s="49"/>
    </row>
    <row r="275" spans="19:19" x14ac:dyDescent="0.35">
      <c r="S275" s="49"/>
    </row>
    <row r="276" spans="19:19" x14ac:dyDescent="0.35">
      <c r="S276" s="49"/>
    </row>
    <row r="277" spans="19:19" x14ac:dyDescent="0.35">
      <c r="S277" s="49"/>
    </row>
    <row r="278" spans="19:19" x14ac:dyDescent="0.35">
      <c r="S278" s="49"/>
    </row>
    <row r="279" spans="19:19" x14ac:dyDescent="0.35">
      <c r="S279" s="49"/>
    </row>
    <row r="280" spans="19:19" x14ac:dyDescent="0.35">
      <c r="S280" s="49"/>
    </row>
    <row r="281" spans="19:19" x14ac:dyDescent="0.35">
      <c r="S281" s="49"/>
    </row>
    <row r="282" spans="19:19" x14ac:dyDescent="0.35">
      <c r="S282" s="49"/>
    </row>
    <row r="283" spans="19:19" x14ac:dyDescent="0.35">
      <c r="S283" s="49"/>
    </row>
    <row r="284" spans="19:19" x14ac:dyDescent="0.35">
      <c r="S284" s="49"/>
    </row>
    <row r="285" spans="19:19" x14ac:dyDescent="0.35">
      <c r="S285" s="49"/>
    </row>
    <row r="286" spans="19:19" x14ac:dyDescent="0.35">
      <c r="S286" s="49"/>
    </row>
    <row r="287" spans="19:19" x14ac:dyDescent="0.35">
      <c r="S287" s="49"/>
    </row>
    <row r="288" spans="19:19" x14ac:dyDescent="0.35">
      <c r="S288" s="49"/>
    </row>
    <row r="289" spans="19:19" x14ac:dyDescent="0.35">
      <c r="S289" s="49"/>
    </row>
    <row r="290" spans="19:19" x14ac:dyDescent="0.35">
      <c r="S290" s="49"/>
    </row>
    <row r="291" spans="19:19" x14ac:dyDescent="0.35">
      <c r="S291" s="49"/>
    </row>
    <row r="292" spans="19:19" x14ac:dyDescent="0.35">
      <c r="S292" s="49"/>
    </row>
    <row r="293" spans="19:19" x14ac:dyDescent="0.35">
      <c r="S293" s="49"/>
    </row>
    <row r="294" spans="19:19" x14ac:dyDescent="0.35">
      <c r="S294" s="49"/>
    </row>
    <row r="295" spans="19:19" x14ac:dyDescent="0.35">
      <c r="S295" s="49"/>
    </row>
    <row r="296" spans="19:19" x14ac:dyDescent="0.35">
      <c r="S296" s="49"/>
    </row>
    <row r="297" spans="19:19" x14ac:dyDescent="0.35">
      <c r="S297" s="49"/>
    </row>
    <row r="298" spans="19:19" x14ac:dyDescent="0.35">
      <c r="S298" s="49"/>
    </row>
    <row r="299" spans="19:19" x14ac:dyDescent="0.35">
      <c r="S299" s="49"/>
    </row>
    <row r="300" spans="19:19" x14ac:dyDescent="0.35">
      <c r="S300" s="49"/>
    </row>
    <row r="301" spans="19:19" x14ac:dyDescent="0.35">
      <c r="S301" s="49"/>
    </row>
    <row r="302" spans="19:19" x14ac:dyDescent="0.35">
      <c r="S302" s="49"/>
    </row>
    <row r="303" spans="19:19" x14ac:dyDescent="0.35">
      <c r="S303" s="49"/>
    </row>
    <row r="304" spans="19:19" x14ac:dyDescent="0.35">
      <c r="S304" s="49"/>
    </row>
    <row r="305" spans="19:19" x14ac:dyDescent="0.35">
      <c r="S305" s="49"/>
    </row>
    <row r="306" spans="19:19" x14ac:dyDescent="0.35">
      <c r="S306" s="49"/>
    </row>
    <row r="307" spans="19:19" x14ac:dyDescent="0.35">
      <c r="S307" s="49"/>
    </row>
    <row r="308" spans="19:19" x14ac:dyDescent="0.35">
      <c r="S308" s="49"/>
    </row>
    <row r="309" spans="19:19" x14ac:dyDescent="0.35">
      <c r="S309" s="49"/>
    </row>
    <row r="310" spans="19:19" x14ac:dyDescent="0.35">
      <c r="S310" s="49"/>
    </row>
    <row r="311" spans="19:19" x14ac:dyDescent="0.35">
      <c r="S311" s="49"/>
    </row>
    <row r="312" spans="19:19" x14ac:dyDescent="0.35">
      <c r="S312" s="49"/>
    </row>
    <row r="313" spans="19:19" x14ac:dyDescent="0.35">
      <c r="S313" s="49"/>
    </row>
    <row r="314" spans="19:19" x14ac:dyDescent="0.35">
      <c r="S314" s="49"/>
    </row>
    <row r="315" spans="19:19" x14ac:dyDescent="0.35">
      <c r="S315" s="49"/>
    </row>
    <row r="316" spans="19:19" x14ac:dyDescent="0.35">
      <c r="S316" s="49"/>
    </row>
    <row r="317" spans="19:19" x14ac:dyDescent="0.35">
      <c r="S317" s="49"/>
    </row>
    <row r="318" spans="19:19" x14ac:dyDescent="0.35">
      <c r="S318" s="49"/>
    </row>
    <row r="319" spans="19:19" x14ac:dyDescent="0.35">
      <c r="S319" s="49"/>
    </row>
    <row r="320" spans="19:19" x14ac:dyDescent="0.35">
      <c r="S320" s="49"/>
    </row>
    <row r="321" spans="19:19" x14ac:dyDescent="0.35">
      <c r="S321" s="49"/>
    </row>
    <row r="322" spans="19:19" x14ac:dyDescent="0.35">
      <c r="S322" s="49"/>
    </row>
    <row r="323" spans="19:19" x14ac:dyDescent="0.35">
      <c r="S323" s="49"/>
    </row>
    <row r="324" spans="19:19" x14ac:dyDescent="0.35">
      <c r="S324" s="49"/>
    </row>
    <row r="325" spans="19:19" x14ac:dyDescent="0.35">
      <c r="S325" s="49"/>
    </row>
    <row r="326" spans="19:19" x14ac:dyDescent="0.35">
      <c r="S326" s="49"/>
    </row>
    <row r="327" spans="19:19" x14ac:dyDescent="0.35">
      <c r="S327" s="49"/>
    </row>
    <row r="328" spans="19:19" x14ac:dyDescent="0.35">
      <c r="S328" s="49"/>
    </row>
    <row r="329" spans="19:19" x14ac:dyDescent="0.35">
      <c r="S329" s="49"/>
    </row>
    <row r="330" spans="19:19" x14ac:dyDescent="0.35">
      <c r="S330" s="49"/>
    </row>
    <row r="331" spans="19:19" x14ac:dyDescent="0.35">
      <c r="S331" s="49"/>
    </row>
    <row r="332" spans="19:19" x14ac:dyDescent="0.35">
      <c r="S332" s="49"/>
    </row>
    <row r="333" spans="19:19" x14ac:dyDescent="0.35">
      <c r="S333" s="49"/>
    </row>
    <row r="334" spans="19:19" x14ac:dyDescent="0.35">
      <c r="S334" s="49"/>
    </row>
    <row r="335" spans="19:19" x14ac:dyDescent="0.35">
      <c r="S335" s="49"/>
    </row>
    <row r="336" spans="19:19" x14ac:dyDescent="0.35">
      <c r="S336" s="49"/>
    </row>
    <row r="337" spans="19:19" x14ac:dyDescent="0.35">
      <c r="S337" s="49"/>
    </row>
    <row r="338" spans="19:19" x14ac:dyDescent="0.35">
      <c r="S338" s="49"/>
    </row>
    <row r="339" spans="19:19" x14ac:dyDescent="0.35">
      <c r="S339" s="49"/>
    </row>
    <row r="340" spans="19:19" x14ac:dyDescent="0.35">
      <c r="S340" s="49"/>
    </row>
    <row r="341" spans="19:19" x14ac:dyDescent="0.35">
      <c r="S341" s="49"/>
    </row>
    <row r="342" spans="19:19" x14ac:dyDescent="0.35">
      <c r="S342" s="49"/>
    </row>
    <row r="343" spans="19:19" x14ac:dyDescent="0.35">
      <c r="S343" s="49"/>
    </row>
    <row r="344" spans="19:19" x14ac:dyDescent="0.35">
      <c r="S344" s="49"/>
    </row>
    <row r="345" spans="19:19" x14ac:dyDescent="0.35">
      <c r="S345" s="49"/>
    </row>
    <row r="346" spans="19:19" x14ac:dyDescent="0.35">
      <c r="S346" s="49"/>
    </row>
    <row r="347" spans="19:19" x14ac:dyDescent="0.35">
      <c r="S347" s="49"/>
    </row>
    <row r="348" spans="19:19" x14ac:dyDescent="0.35">
      <c r="S348" s="49"/>
    </row>
    <row r="349" spans="19:19" x14ac:dyDescent="0.35">
      <c r="S349" s="49"/>
    </row>
    <row r="350" spans="19:19" x14ac:dyDescent="0.35">
      <c r="S350" s="49"/>
    </row>
    <row r="351" spans="19:19" x14ac:dyDescent="0.35">
      <c r="S351" s="49"/>
    </row>
    <row r="352" spans="19:19" x14ac:dyDescent="0.35">
      <c r="S352" s="49"/>
    </row>
    <row r="353" spans="19:19" x14ac:dyDescent="0.35">
      <c r="S353" s="49"/>
    </row>
    <row r="354" spans="19:19" x14ac:dyDescent="0.35">
      <c r="S354" s="49"/>
    </row>
    <row r="355" spans="19:19" x14ac:dyDescent="0.35">
      <c r="S355" s="49"/>
    </row>
    <row r="356" spans="19:19" x14ac:dyDescent="0.35">
      <c r="S356" s="49"/>
    </row>
    <row r="357" spans="19:19" x14ac:dyDescent="0.35">
      <c r="S357" s="49"/>
    </row>
    <row r="358" spans="19:19" x14ac:dyDescent="0.35">
      <c r="S358" s="49"/>
    </row>
    <row r="359" spans="19:19" x14ac:dyDescent="0.35">
      <c r="S359" s="49"/>
    </row>
    <row r="360" spans="19:19" x14ac:dyDescent="0.35">
      <c r="S360" s="49"/>
    </row>
    <row r="361" spans="19:19" x14ac:dyDescent="0.35">
      <c r="S361" s="49"/>
    </row>
    <row r="362" spans="19:19" x14ac:dyDescent="0.35">
      <c r="S362" s="49"/>
    </row>
    <row r="363" spans="19:19" x14ac:dyDescent="0.35">
      <c r="S363" s="49"/>
    </row>
    <row r="364" spans="19:19" x14ac:dyDescent="0.35">
      <c r="S364" s="49"/>
    </row>
    <row r="365" spans="19:19" x14ac:dyDescent="0.35">
      <c r="S365" s="49"/>
    </row>
    <row r="366" spans="19:19" x14ac:dyDescent="0.35">
      <c r="S366" s="49"/>
    </row>
    <row r="367" spans="19:19" x14ac:dyDescent="0.35">
      <c r="S367" s="49"/>
    </row>
    <row r="368" spans="19:19" x14ac:dyDescent="0.35">
      <c r="S368" s="49"/>
    </row>
    <row r="369" spans="19:19" x14ac:dyDescent="0.35">
      <c r="S369" s="49"/>
    </row>
    <row r="370" spans="19:19" x14ac:dyDescent="0.35">
      <c r="S370" s="49"/>
    </row>
    <row r="371" spans="19:19" x14ac:dyDescent="0.35">
      <c r="S371" s="49"/>
    </row>
    <row r="372" spans="19:19" x14ac:dyDescent="0.35">
      <c r="S372" s="49"/>
    </row>
    <row r="373" spans="19:19" x14ac:dyDescent="0.35">
      <c r="S373" s="49"/>
    </row>
    <row r="374" spans="19:19" x14ac:dyDescent="0.35">
      <c r="S374" s="49"/>
    </row>
    <row r="375" spans="19:19" x14ac:dyDescent="0.35">
      <c r="S375" s="49"/>
    </row>
    <row r="376" spans="19:19" x14ac:dyDescent="0.35">
      <c r="S376" s="49"/>
    </row>
    <row r="377" spans="19:19" x14ac:dyDescent="0.35">
      <c r="S377" s="49"/>
    </row>
    <row r="378" spans="19:19" x14ac:dyDescent="0.35">
      <c r="S378" s="49"/>
    </row>
    <row r="379" spans="19:19" x14ac:dyDescent="0.35">
      <c r="S379" s="49"/>
    </row>
    <row r="380" spans="19:19" x14ac:dyDescent="0.35">
      <c r="S380" s="49"/>
    </row>
    <row r="381" spans="19:19" x14ac:dyDescent="0.35">
      <c r="S381" s="49"/>
    </row>
    <row r="382" spans="19:19" x14ac:dyDescent="0.35">
      <c r="S382" s="49"/>
    </row>
    <row r="383" spans="19:19" x14ac:dyDescent="0.35">
      <c r="S383" s="49"/>
    </row>
    <row r="384" spans="19:19" x14ac:dyDescent="0.35">
      <c r="S384" s="49"/>
    </row>
    <row r="385" spans="19:19" x14ac:dyDescent="0.35">
      <c r="S385" s="49"/>
    </row>
    <row r="386" spans="19:19" x14ac:dyDescent="0.35">
      <c r="S386" s="49"/>
    </row>
    <row r="387" spans="19:19" x14ac:dyDescent="0.35">
      <c r="S387" s="49"/>
    </row>
    <row r="388" spans="19:19" x14ac:dyDescent="0.35">
      <c r="S388" s="49"/>
    </row>
    <row r="389" spans="19:19" x14ac:dyDescent="0.35">
      <c r="S389" s="49"/>
    </row>
    <row r="390" spans="19:19" x14ac:dyDescent="0.35">
      <c r="S390" s="49"/>
    </row>
    <row r="391" spans="19:19" x14ac:dyDescent="0.35">
      <c r="S391" s="49"/>
    </row>
    <row r="392" spans="19:19" x14ac:dyDescent="0.35">
      <c r="S392" s="49"/>
    </row>
    <row r="393" spans="19:19" x14ac:dyDescent="0.35">
      <c r="S393" s="49"/>
    </row>
    <row r="394" spans="19:19" x14ac:dyDescent="0.35">
      <c r="S394" s="49"/>
    </row>
    <row r="395" spans="19:19" x14ac:dyDescent="0.35">
      <c r="S395" s="49"/>
    </row>
    <row r="396" spans="19:19" x14ac:dyDescent="0.35">
      <c r="S396" s="49"/>
    </row>
    <row r="397" spans="19:19" x14ac:dyDescent="0.35">
      <c r="S397" s="49"/>
    </row>
    <row r="398" spans="19:19" x14ac:dyDescent="0.35">
      <c r="S398" s="49"/>
    </row>
    <row r="399" spans="19:19" x14ac:dyDescent="0.35">
      <c r="S399" s="49"/>
    </row>
    <row r="400" spans="19:19" x14ac:dyDescent="0.35">
      <c r="S400" s="49"/>
    </row>
    <row r="401" spans="19:19" x14ac:dyDescent="0.35">
      <c r="S401" s="49"/>
    </row>
    <row r="402" spans="19:19" x14ac:dyDescent="0.35">
      <c r="S402" s="49"/>
    </row>
    <row r="403" spans="19:19" x14ac:dyDescent="0.35">
      <c r="S403" s="49"/>
    </row>
    <row r="404" spans="19:19" x14ac:dyDescent="0.35">
      <c r="S404" s="49"/>
    </row>
    <row r="405" spans="19:19" x14ac:dyDescent="0.35">
      <c r="S405" s="49"/>
    </row>
    <row r="406" spans="19:19" x14ac:dyDescent="0.35">
      <c r="S406" s="49"/>
    </row>
    <row r="407" spans="19:19" x14ac:dyDescent="0.35">
      <c r="S407" s="49"/>
    </row>
    <row r="408" spans="19:19" x14ac:dyDescent="0.35">
      <c r="S408" s="49"/>
    </row>
    <row r="409" spans="19:19" x14ac:dyDescent="0.35">
      <c r="S409" s="49"/>
    </row>
    <row r="410" spans="19:19" x14ac:dyDescent="0.35">
      <c r="S410" s="49"/>
    </row>
    <row r="411" spans="19:19" x14ac:dyDescent="0.35">
      <c r="S411" s="49"/>
    </row>
    <row r="412" spans="19:19" x14ac:dyDescent="0.35">
      <c r="S412" s="49"/>
    </row>
    <row r="413" spans="19:19" x14ac:dyDescent="0.35">
      <c r="S413" s="49"/>
    </row>
    <row r="414" spans="19:19" x14ac:dyDescent="0.35">
      <c r="S414" s="49"/>
    </row>
    <row r="415" spans="19:19" x14ac:dyDescent="0.35">
      <c r="S415" s="49"/>
    </row>
    <row r="416" spans="19:19" x14ac:dyDescent="0.35">
      <c r="S416" s="49"/>
    </row>
    <row r="417" spans="19:19" x14ac:dyDescent="0.35">
      <c r="S417" s="49"/>
    </row>
    <row r="418" spans="19:19" x14ac:dyDescent="0.35">
      <c r="S418" s="49"/>
    </row>
    <row r="419" spans="19:19" x14ac:dyDescent="0.35">
      <c r="S419" s="49"/>
    </row>
    <row r="420" spans="19:19" x14ac:dyDescent="0.35">
      <c r="S420" s="49"/>
    </row>
    <row r="421" spans="19:19" x14ac:dyDescent="0.35">
      <c r="S421" s="49"/>
    </row>
    <row r="422" spans="19:19" x14ac:dyDescent="0.35">
      <c r="S422" s="49"/>
    </row>
    <row r="423" spans="19:19" x14ac:dyDescent="0.35">
      <c r="S423" s="49"/>
    </row>
    <row r="424" spans="19:19" x14ac:dyDescent="0.35">
      <c r="S424" s="49"/>
    </row>
    <row r="425" spans="19:19" x14ac:dyDescent="0.35">
      <c r="S425" s="49"/>
    </row>
    <row r="426" spans="19:19" x14ac:dyDescent="0.35">
      <c r="S426" s="49"/>
    </row>
    <row r="427" spans="19:19" x14ac:dyDescent="0.35">
      <c r="S427" s="49"/>
    </row>
    <row r="428" spans="19:19" x14ac:dyDescent="0.35">
      <c r="S428" s="49"/>
    </row>
    <row r="429" spans="19:19" x14ac:dyDescent="0.35">
      <c r="S429" s="49"/>
    </row>
    <row r="430" spans="19:19" x14ac:dyDescent="0.35">
      <c r="S430" s="49"/>
    </row>
    <row r="431" spans="19:19" x14ac:dyDescent="0.35">
      <c r="S431" s="49"/>
    </row>
    <row r="432" spans="19:19" x14ac:dyDescent="0.35">
      <c r="S432" s="49"/>
    </row>
    <row r="433" spans="19:19" x14ac:dyDescent="0.35">
      <c r="S433" s="49"/>
    </row>
    <row r="434" spans="19:19" x14ac:dyDescent="0.35">
      <c r="S434" s="49"/>
    </row>
    <row r="435" spans="19:19" x14ac:dyDescent="0.35">
      <c r="S435" s="49"/>
    </row>
    <row r="436" spans="19:19" x14ac:dyDescent="0.35">
      <c r="S436" s="49"/>
    </row>
    <row r="437" spans="19:19" x14ac:dyDescent="0.35">
      <c r="S437" s="49"/>
    </row>
    <row r="438" spans="19:19" x14ac:dyDescent="0.35">
      <c r="S438" s="49"/>
    </row>
    <row r="439" spans="19:19" x14ac:dyDescent="0.35">
      <c r="S439" s="49"/>
    </row>
    <row r="440" spans="19:19" x14ac:dyDescent="0.35">
      <c r="S440" s="49"/>
    </row>
    <row r="441" spans="19:19" x14ac:dyDescent="0.35">
      <c r="S441" s="49"/>
    </row>
    <row r="442" spans="19:19" x14ac:dyDescent="0.35">
      <c r="S442" s="49"/>
    </row>
    <row r="443" spans="19:19" x14ac:dyDescent="0.35">
      <c r="S443" s="49"/>
    </row>
    <row r="444" spans="19:19" x14ac:dyDescent="0.35">
      <c r="S444" s="49"/>
    </row>
    <row r="445" spans="19:19" x14ac:dyDescent="0.35">
      <c r="S445" s="49"/>
    </row>
    <row r="446" spans="19:19" x14ac:dyDescent="0.35">
      <c r="S446" s="49"/>
    </row>
    <row r="447" spans="19:19" x14ac:dyDescent="0.35">
      <c r="S447" s="49"/>
    </row>
    <row r="448" spans="19:19" x14ac:dyDescent="0.35">
      <c r="S448" s="49"/>
    </row>
    <row r="449" spans="19:19" x14ac:dyDescent="0.35">
      <c r="S449" s="49"/>
    </row>
    <row r="450" spans="19:19" x14ac:dyDescent="0.35">
      <c r="S450" s="49"/>
    </row>
    <row r="451" spans="19:19" x14ac:dyDescent="0.35">
      <c r="S451" s="49"/>
    </row>
    <row r="452" spans="19:19" x14ac:dyDescent="0.35">
      <c r="S452" s="49"/>
    </row>
    <row r="453" spans="19:19" x14ac:dyDescent="0.35">
      <c r="S453" s="49"/>
    </row>
    <row r="454" spans="19:19" x14ac:dyDescent="0.35">
      <c r="S454" s="49"/>
    </row>
    <row r="455" spans="19:19" x14ac:dyDescent="0.35">
      <c r="S455" s="49"/>
    </row>
    <row r="456" spans="19:19" x14ac:dyDescent="0.35">
      <c r="S456" s="49"/>
    </row>
    <row r="457" spans="19:19" x14ac:dyDescent="0.35">
      <c r="S457" s="49"/>
    </row>
    <row r="458" spans="19:19" x14ac:dyDescent="0.35">
      <c r="S458" s="49"/>
    </row>
    <row r="459" spans="19:19" x14ac:dyDescent="0.35">
      <c r="S459" s="49"/>
    </row>
    <row r="460" spans="19:19" x14ac:dyDescent="0.35">
      <c r="S460" s="49"/>
    </row>
    <row r="461" spans="19:19" x14ac:dyDescent="0.35">
      <c r="S461" s="49"/>
    </row>
    <row r="462" spans="19:19" x14ac:dyDescent="0.35">
      <c r="S462" s="49"/>
    </row>
    <row r="463" spans="19:19" x14ac:dyDescent="0.35">
      <c r="S463" s="49"/>
    </row>
    <row r="464" spans="19:19" x14ac:dyDescent="0.35">
      <c r="S464" s="49"/>
    </row>
    <row r="465" spans="19:19" x14ac:dyDescent="0.35">
      <c r="S465" s="49"/>
    </row>
    <row r="466" spans="19:19" x14ac:dyDescent="0.35">
      <c r="S466" s="49"/>
    </row>
    <row r="467" spans="19:19" x14ac:dyDescent="0.35">
      <c r="S467" s="49"/>
    </row>
    <row r="468" spans="19:19" x14ac:dyDescent="0.35">
      <c r="S468" s="49"/>
    </row>
    <row r="469" spans="19:19" x14ac:dyDescent="0.35">
      <c r="S469" s="49"/>
    </row>
    <row r="470" spans="19:19" x14ac:dyDescent="0.35">
      <c r="S470" s="49"/>
    </row>
    <row r="471" spans="19:19" x14ac:dyDescent="0.35">
      <c r="S471" s="49"/>
    </row>
    <row r="472" spans="19:19" x14ac:dyDescent="0.35">
      <c r="S472" s="49"/>
    </row>
    <row r="473" spans="19:19" x14ac:dyDescent="0.35">
      <c r="S473" s="49"/>
    </row>
    <row r="474" spans="19:19" x14ac:dyDescent="0.35">
      <c r="S474" s="49"/>
    </row>
    <row r="475" spans="19:19" x14ac:dyDescent="0.35">
      <c r="S475" s="49"/>
    </row>
    <row r="476" spans="19:19" x14ac:dyDescent="0.35">
      <c r="S476" s="49"/>
    </row>
    <row r="477" spans="19:19" x14ac:dyDescent="0.35">
      <c r="S477" s="49"/>
    </row>
    <row r="478" spans="19:19" x14ac:dyDescent="0.35">
      <c r="S478" s="49"/>
    </row>
    <row r="479" spans="19:19" x14ac:dyDescent="0.35">
      <c r="S479" s="49"/>
    </row>
    <row r="480" spans="19:19" x14ac:dyDescent="0.35">
      <c r="S480" s="49"/>
    </row>
    <row r="481" spans="19:19" x14ac:dyDescent="0.35">
      <c r="S481" s="49"/>
    </row>
    <row r="482" spans="19:19" x14ac:dyDescent="0.35">
      <c r="S482" s="49"/>
    </row>
    <row r="483" spans="19:19" x14ac:dyDescent="0.35">
      <c r="S483" s="49"/>
    </row>
    <row r="484" spans="19:19" x14ac:dyDescent="0.35">
      <c r="S484" s="49"/>
    </row>
    <row r="485" spans="19:19" x14ac:dyDescent="0.35">
      <c r="S485" s="49"/>
    </row>
    <row r="486" spans="19:19" x14ac:dyDescent="0.35">
      <c r="S486" s="49"/>
    </row>
    <row r="487" spans="19:19" x14ac:dyDescent="0.35">
      <c r="S487" s="49"/>
    </row>
    <row r="488" spans="19:19" x14ac:dyDescent="0.35">
      <c r="S488" s="49"/>
    </row>
    <row r="489" spans="19:19" x14ac:dyDescent="0.35">
      <c r="S489" s="49"/>
    </row>
    <row r="490" spans="19:19" x14ac:dyDescent="0.35">
      <c r="S490" s="49"/>
    </row>
    <row r="491" spans="19:19" x14ac:dyDescent="0.35">
      <c r="S491" s="49"/>
    </row>
    <row r="492" spans="19:19" x14ac:dyDescent="0.35">
      <c r="S492" s="49"/>
    </row>
    <row r="493" spans="19:19" x14ac:dyDescent="0.35">
      <c r="S493" s="49"/>
    </row>
    <row r="494" spans="19:19" x14ac:dyDescent="0.35">
      <c r="S494" s="49"/>
    </row>
    <row r="495" spans="19:19" x14ac:dyDescent="0.35">
      <c r="S495" s="49"/>
    </row>
    <row r="496" spans="19:19" x14ac:dyDescent="0.35">
      <c r="S496" s="49"/>
    </row>
    <row r="497" spans="19:19" x14ac:dyDescent="0.35">
      <c r="S497" s="49"/>
    </row>
    <row r="498" spans="19:19" x14ac:dyDescent="0.35">
      <c r="S498" s="49"/>
    </row>
    <row r="499" spans="19:19" x14ac:dyDescent="0.35">
      <c r="S499" s="49"/>
    </row>
    <row r="500" spans="19:19" x14ac:dyDescent="0.35">
      <c r="S500" s="49"/>
    </row>
    <row r="501" spans="19:19" x14ac:dyDescent="0.35">
      <c r="S501" s="49"/>
    </row>
    <row r="502" spans="19:19" x14ac:dyDescent="0.35">
      <c r="S502" s="49"/>
    </row>
    <row r="503" spans="19:19" x14ac:dyDescent="0.35">
      <c r="S503" s="49"/>
    </row>
    <row r="504" spans="19:19" x14ac:dyDescent="0.35">
      <c r="S504" s="49"/>
    </row>
    <row r="505" spans="19:19" x14ac:dyDescent="0.35">
      <c r="S505" s="49"/>
    </row>
    <row r="506" spans="19:19" x14ac:dyDescent="0.35">
      <c r="S506" s="49"/>
    </row>
    <row r="507" spans="19:19" x14ac:dyDescent="0.35">
      <c r="S507" s="49"/>
    </row>
    <row r="508" spans="19:19" x14ac:dyDescent="0.35">
      <c r="S508" s="49"/>
    </row>
    <row r="509" spans="19:19" x14ac:dyDescent="0.35">
      <c r="S509" s="49"/>
    </row>
    <row r="510" spans="19:19" x14ac:dyDescent="0.35">
      <c r="S510" s="49"/>
    </row>
    <row r="511" spans="19:19" x14ac:dyDescent="0.35">
      <c r="S511" s="49"/>
    </row>
    <row r="512" spans="19:19" x14ac:dyDescent="0.35">
      <c r="S512" s="49"/>
    </row>
    <row r="513" spans="19:19" x14ac:dyDescent="0.35">
      <c r="S513" s="49"/>
    </row>
    <row r="514" spans="19:19" x14ac:dyDescent="0.35">
      <c r="S514" s="49"/>
    </row>
    <row r="515" spans="19:19" x14ac:dyDescent="0.35">
      <c r="S515" s="49"/>
    </row>
    <row r="516" spans="19:19" x14ac:dyDescent="0.35">
      <c r="S516" s="49"/>
    </row>
    <row r="517" spans="19:19" x14ac:dyDescent="0.35">
      <c r="S517" s="49"/>
    </row>
    <row r="518" spans="19:19" x14ac:dyDescent="0.35">
      <c r="S518" s="49"/>
    </row>
    <row r="519" spans="19:19" x14ac:dyDescent="0.35">
      <c r="S519" s="49"/>
    </row>
    <row r="520" spans="19:19" x14ac:dyDescent="0.35">
      <c r="S520" s="49"/>
    </row>
    <row r="521" spans="19:19" x14ac:dyDescent="0.35">
      <c r="S521" s="49"/>
    </row>
    <row r="522" spans="19:19" x14ac:dyDescent="0.35">
      <c r="S522" s="49"/>
    </row>
    <row r="523" spans="19:19" x14ac:dyDescent="0.35">
      <c r="S523" s="49"/>
    </row>
    <row r="524" spans="19:19" x14ac:dyDescent="0.35">
      <c r="S524" s="49"/>
    </row>
    <row r="525" spans="19:19" x14ac:dyDescent="0.35">
      <c r="S525" s="49"/>
    </row>
    <row r="526" spans="19:19" x14ac:dyDescent="0.35">
      <c r="S526" s="49"/>
    </row>
    <row r="527" spans="19:19" x14ac:dyDescent="0.35">
      <c r="S527" s="49"/>
    </row>
    <row r="528" spans="19:19" x14ac:dyDescent="0.35">
      <c r="S528" s="49"/>
    </row>
    <row r="529" spans="19:19" x14ac:dyDescent="0.35">
      <c r="S529" s="49"/>
    </row>
    <row r="530" spans="19:19" x14ac:dyDescent="0.35">
      <c r="S530" s="49"/>
    </row>
    <row r="531" spans="19:19" x14ac:dyDescent="0.35">
      <c r="S531" s="49"/>
    </row>
    <row r="532" spans="19:19" x14ac:dyDescent="0.35">
      <c r="S532" s="49"/>
    </row>
    <row r="533" spans="19:19" x14ac:dyDescent="0.35">
      <c r="S533" s="49"/>
    </row>
    <row r="534" spans="19:19" x14ac:dyDescent="0.35">
      <c r="S534" s="49"/>
    </row>
    <row r="535" spans="19:19" x14ac:dyDescent="0.35">
      <c r="S535" s="49"/>
    </row>
    <row r="536" spans="19:19" x14ac:dyDescent="0.35">
      <c r="S536" s="49"/>
    </row>
    <row r="537" spans="19:19" x14ac:dyDescent="0.35">
      <c r="S537" s="49"/>
    </row>
    <row r="538" spans="19:19" x14ac:dyDescent="0.35">
      <c r="S538" s="49"/>
    </row>
    <row r="539" spans="19:19" x14ac:dyDescent="0.35">
      <c r="S539" s="49"/>
    </row>
    <row r="540" spans="19:19" x14ac:dyDescent="0.35">
      <c r="S540" s="49"/>
    </row>
    <row r="541" spans="19:19" x14ac:dyDescent="0.35">
      <c r="S541" s="49"/>
    </row>
    <row r="542" spans="19:19" x14ac:dyDescent="0.35">
      <c r="S542" s="49"/>
    </row>
    <row r="543" spans="19:19" x14ac:dyDescent="0.35">
      <c r="S543" s="49"/>
    </row>
    <row r="544" spans="19:19" x14ac:dyDescent="0.35">
      <c r="S544" s="49"/>
    </row>
    <row r="545" spans="19:19" x14ac:dyDescent="0.35">
      <c r="S545" s="49"/>
    </row>
    <row r="546" spans="19:19" x14ac:dyDescent="0.35">
      <c r="S546" s="49"/>
    </row>
    <row r="547" spans="19:19" x14ac:dyDescent="0.35">
      <c r="S547" s="49"/>
    </row>
    <row r="548" spans="19:19" x14ac:dyDescent="0.35">
      <c r="S548" s="49"/>
    </row>
    <row r="549" spans="19:19" x14ac:dyDescent="0.35">
      <c r="S549" s="49"/>
    </row>
    <row r="550" spans="19:19" x14ac:dyDescent="0.35">
      <c r="S550" s="49"/>
    </row>
    <row r="551" spans="19:19" x14ac:dyDescent="0.35">
      <c r="S551" s="49"/>
    </row>
    <row r="552" spans="19:19" x14ac:dyDescent="0.35">
      <c r="S552" s="49"/>
    </row>
    <row r="553" spans="19:19" x14ac:dyDescent="0.35">
      <c r="S553" s="49"/>
    </row>
    <row r="554" spans="19:19" x14ac:dyDescent="0.35">
      <c r="S554" s="49"/>
    </row>
    <row r="555" spans="19:19" x14ac:dyDescent="0.35">
      <c r="S555" s="49"/>
    </row>
    <row r="556" spans="19:19" x14ac:dyDescent="0.35">
      <c r="S556" s="49"/>
    </row>
    <row r="557" spans="19:19" x14ac:dyDescent="0.35">
      <c r="S557" s="49"/>
    </row>
    <row r="558" spans="19:19" x14ac:dyDescent="0.35">
      <c r="S558" s="49"/>
    </row>
    <row r="559" spans="19:19" x14ac:dyDescent="0.35">
      <c r="S559" s="49"/>
    </row>
    <row r="560" spans="19:19" x14ac:dyDescent="0.35">
      <c r="S560" s="49"/>
    </row>
    <row r="561" spans="19:19" x14ac:dyDescent="0.35">
      <c r="S561" s="49"/>
    </row>
    <row r="562" spans="19:19" x14ac:dyDescent="0.35">
      <c r="S562" s="49"/>
    </row>
    <row r="563" spans="19:19" x14ac:dyDescent="0.35">
      <c r="S563" s="49"/>
    </row>
    <row r="564" spans="19:19" x14ac:dyDescent="0.35">
      <c r="S564" s="49"/>
    </row>
    <row r="565" spans="19:19" x14ac:dyDescent="0.35">
      <c r="S565" s="49"/>
    </row>
    <row r="566" spans="19:19" x14ac:dyDescent="0.35">
      <c r="S566" s="49"/>
    </row>
    <row r="567" spans="19:19" x14ac:dyDescent="0.35">
      <c r="S567" s="49"/>
    </row>
    <row r="568" spans="19:19" x14ac:dyDescent="0.35">
      <c r="S568" s="49"/>
    </row>
    <row r="569" spans="19:19" x14ac:dyDescent="0.35">
      <c r="S569" s="49"/>
    </row>
    <row r="570" spans="19:19" x14ac:dyDescent="0.35">
      <c r="S570" s="49"/>
    </row>
    <row r="571" spans="19:19" x14ac:dyDescent="0.35">
      <c r="S571" s="49"/>
    </row>
    <row r="572" spans="19:19" x14ac:dyDescent="0.35">
      <c r="S572" s="49"/>
    </row>
    <row r="573" spans="19:19" x14ac:dyDescent="0.35">
      <c r="S573" s="49"/>
    </row>
    <row r="574" spans="19:19" x14ac:dyDescent="0.35">
      <c r="S574" s="49"/>
    </row>
    <row r="575" spans="19:19" x14ac:dyDescent="0.35">
      <c r="S575" s="49"/>
    </row>
    <row r="576" spans="19:19" x14ac:dyDescent="0.35">
      <c r="S576" s="49"/>
    </row>
    <row r="577" spans="19:19" x14ac:dyDescent="0.35">
      <c r="S577" s="49"/>
    </row>
    <row r="578" spans="19:19" x14ac:dyDescent="0.35">
      <c r="S578" s="49"/>
    </row>
    <row r="579" spans="19:19" x14ac:dyDescent="0.35">
      <c r="S579" s="49"/>
    </row>
    <row r="580" spans="19:19" x14ac:dyDescent="0.35">
      <c r="S580" s="49"/>
    </row>
    <row r="581" spans="19:19" x14ac:dyDescent="0.35">
      <c r="S581" s="49"/>
    </row>
    <row r="582" spans="19:19" x14ac:dyDescent="0.35">
      <c r="S582" s="49"/>
    </row>
    <row r="583" spans="19:19" x14ac:dyDescent="0.35">
      <c r="S583" s="49"/>
    </row>
    <row r="584" spans="19:19" x14ac:dyDescent="0.35">
      <c r="S584" s="49"/>
    </row>
    <row r="585" spans="19:19" x14ac:dyDescent="0.35">
      <c r="S585" s="49"/>
    </row>
    <row r="586" spans="19:19" x14ac:dyDescent="0.35">
      <c r="S586" s="49"/>
    </row>
    <row r="587" spans="19:19" x14ac:dyDescent="0.35">
      <c r="S587" s="49"/>
    </row>
    <row r="588" spans="19:19" x14ac:dyDescent="0.35">
      <c r="S588" s="49"/>
    </row>
    <row r="589" spans="19:19" x14ac:dyDescent="0.35">
      <c r="S589" s="49"/>
    </row>
    <row r="590" spans="19:19" x14ac:dyDescent="0.35">
      <c r="S590" s="49"/>
    </row>
    <row r="591" spans="19:19" x14ac:dyDescent="0.35">
      <c r="S591" s="49"/>
    </row>
    <row r="592" spans="19:19" x14ac:dyDescent="0.35">
      <c r="S592" s="49"/>
    </row>
    <row r="593" spans="19:19" x14ac:dyDescent="0.35">
      <c r="S593" s="49"/>
    </row>
    <row r="594" spans="19:19" x14ac:dyDescent="0.35">
      <c r="S594" s="49"/>
    </row>
    <row r="595" spans="19:19" x14ac:dyDescent="0.35">
      <c r="S595" s="49"/>
    </row>
    <row r="596" spans="19:19" x14ac:dyDescent="0.35">
      <c r="S596" s="49"/>
    </row>
    <row r="597" spans="19:19" x14ac:dyDescent="0.35">
      <c r="S597" s="49"/>
    </row>
    <row r="598" spans="19:19" x14ac:dyDescent="0.35">
      <c r="S598" s="49"/>
    </row>
    <row r="599" spans="19:19" x14ac:dyDescent="0.35">
      <c r="S599" s="49"/>
    </row>
    <row r="600" spans="19:19" x14ac:dyDescent="0.35">
      <c r="S600" s="49"/>
    </row>
    <row r="601" spans="19:19" x14ac:dyDescent="0.35">
      <c r="S601" s="49"/>
    </row>
    <row r="602" spans="19:19" x14ac:dyDescent="0.35">
      <c r="S602" s="49"/>
    </row>
    <row r="603" spans="19:19" x14ac:dyDescent="0.35">
      <c r="S603" s="49"/>
    </row>
    <row r="604" spans="19:19" x14ac:dyDescent="0.35">
      <c r="S604" s="49"/>
    </row>
    <row r="605" spans="19:19" x14ac:dyDescent="0.35">
      <c r="S605" s="49"/>
    </row>
    <row r="606" spans="19:19" x14ac:dyDescent="0.35">
      <c r="S606" s="49"/>
    </row>
    <row r="607" spans="19:19" x14ac:dyDescent="0.35">
      <c r="S607" s="49"/>
    </row>
    <row r="608" spans="19:19" x14ac:dyDescent="0.35">
      <c r="S608" s="49"/>
    </row>
    <row r="609" spans="19:19" x14ac:dyDescent="0.35">
      <c r="S609" s="49"/>
    </row>
    <row r="610" spans="19:19" x14ac:dyDescent="0.35">
      <c r="S610" s="49"/>
    </row>
    <row r="611" spans="19:19" x14ac:dyDescent="0.35">
      <c r="S611" s="49"/>
    </row>
    <row r="612" spans="19:19" x14ac:dyDescent="0.35">
      <c r="S612" s="49"/>
    </row>
    <row r="613" spans="19:19" x14ac:dyDescent="0.35">
      <c r="S613" s="49"/>
    </row>
    <row r="614" spans="19:19" x14ac:dyDescent="0.35">
      <c r="S614" s="49"/>
    </row>
    <row r="615" spans="19:19" x14ac:dyDescent="0.35">
      <c r="S615" s="49"/>
    </row>
    <row r="616" spans="19:19" x14ac:dyDescent="0.35">
      <c r="S616" s="49"/>
    </row>
    <row r="617" spans="19:19" x14ac:dyDescent="0.35">
      <c r="S617" s="49"/>
    </row>
    <row r="618" spans="19:19" x14ac:dyDescent="0.35">
      <c r="S618" s="49"/>
    </row>
    <row r="619" spans="19:19" x14ac:dyDescent="0.35">
      <c r="S619" s="49"/>
    </row>
    <row r="620" spans="19:19" x14ac:dyDescent="0.35">
      <c r="S620" s="49"/>
    </row>
    <row r="621" spans="19:19" x14ac:dyDescent="0.35">
      <c r="S621" s="49"/>
    </row>
    <row r="622" spans="19:19" x14ac:dyDescent="0.35">
      <c r="S622" s="49"/>
    </row>
    <row r="623" spans="19:19" x14ac:dyDescent="0.35">
      <c r="S623" s="49"/>
    </row>
    <row r="624" spans="19:19" x14ac:dyDescent="0.35">
      <c r="S624" s="49"/>
    </row>
    <row r="625" spans="19:19" x14ac:dyDescent="0.35">
      <c r="S625" s="49"/>
    </row>
    <row r="626" spans="19:19" x14ac:dyDescent="0.35">
      <c r="S626" s="49"/>
    </row>
    <row r="627" spans="19:19" x14ac:dyDescent="0.35">
      <c r="S627" s="49"/>
    </row>
    <row r="628" spans="19:19" x14ac:dyDescent="0.35">
      <c r="S628" s="49"/>
    </row>
    <row r="629" spans="19:19" x14ac:dyDescent="0.35">
      <c r="S629" s="49"/>
    </row>
    <row r="630" spans="19:19" x14ac:dyDescent="0.35">
      <c r="S630" s="49"/>
    </row>
    <row r="631" spans="19:19" x14ac:dyDescent="0.35">
      <c r="S631" s="49"/>
    </row>
    <row r="632" spans="19:19" x14ac:dyDescent="0.35">
      <c r="S632" s="49"/>
    </row>
    <row r="633" spans="19:19" x14ac:dyDescent="0.35">
      <c r="S633" s="49"/>
    </row>
    <row r="634" spans="19:19" x14ac:dyDescent="0.35">
      <c r="S634" s="49"/>
    </row>
    <row r="635" spans="19:19" x14ac:dyDescent="0.35">
      <c r="S635" s="49"/>
    </row>
    <row r="636" spans="19:19" x14ac:dyDescent="0.35">
      <c r="S636" s="49"/>
    </row>
    <row r="637" spans="19:19" x14ac:dyDescent="0.35">
      <c r="S637" s="49"/>
    </row>
    <row r="638" spans="19:19" x14ac:dyDescent="0.35">
      <c r="S638" s="49"/>
    </row>
    <row r="639" spans="19:19" x14ac:dyDescent="0.35">
      <c r="S639" s="49"/>
    </row>
    <row r="640" spans="19:19" x14ac:dyDescent="0.35">
      <c r="S640" s="49"/>
    </row>
    <row r="641" spans="19:19" x14ac:dyDescent="0.35">
      <c r="S641" s="49"/>
    </row>
    <row r="642" spans="19:19" x14ac:dyDescent="0.35">
      <c r="S642" s="49"/>
    </row>
    <row r="643" spans="19:19" x14ac:dyDescent="0.35">
      <c r="S643" s="49"/>
    </row>
    <row r="644" spans="19:19" x14ac:dyDescent="0.35">
      <c r="S644" s="49"/>
    </row>
    <row r="645" spans="19:19" x14ac:dyDescent="0.35">
      <c r="S645" s="49"/>
    </row>
    <row r="646" spans="19:19" x14ac:dyDescent="0.35">
      <c r="S646" s="49"/>
    </row>
    <row r="647" spans="19:19" x14ac:dyDescent="0.35">
      <c r="S647" s="49"/>
    </row>
    <row r="648" spans="19:19" x14ac:dyDescent="0.35">
      <c r="S648" s="49"/>
    </row>
    <row r="649" spans="19:19" x14ac:dyDescent="0.35">
      <c r="S649" s="49"/>
    </row>
    <row r="650" spans="19:19" x14ac:dyDescent="0.35">
      <c r="S650" s="49"/>
    </row>
    <row r="651" spans="19:19" x14ac:dyDescent="0.35">
      <c r="S651" s="49"/>
    </row>
    <row r="652" spans="19:19" x14ac:dyDescent="0.35">
      <c r="S652" s="49"/>
    </row>
    <row r="653" spans="19:19" x14ac:dyDescent="0.35">
      <c r="S653" s="49"/>
    </row>
    <row r="654" spans="19:19" x14ac:dyDescent="0.35">
      <c r="S654" s="49"/>
    </row>
    <row r="655" spans="19:19" x14ac:dyDescent="0.35">
      <c r="S655" s="49"/>
    </row>
    <row r="656" spans="19:19" x14ac:dyDescent="0.35">
      <c r="S656" s="49"/>
    </row>
    <row r="657" spans="19:19" x14ac:dyDescent="0.35">
      <c r="S657" s="49"/>
    </row>
    <row r="658" spans="19:19" x14ac:dyDescent="0.35">
      <c r="S658" s="49"/>
    </row>
    <row r="659" spans="19:19" x14ac:dyDescent="0.35">
      <c r="S659" s="49"/>
    </row>
    <row r="660" spans="19:19" x14ac:dyDescent="0.35">
      <c r="S660" s="49"/>
    </row>
    <row r="661" spans="19:19" x14ac:dyDescent="0.35">
      <c r="S661" s="49"/>
    </row>
    <row r="662" spans="19:19" x14ac:dyDescent="0.35">
      <c r="S662" s="49"/>
    </row>
    <row r="663" spans="19:19" x14ac:dyDescent="0.35">
      <c r="S663" s="49"/>
    </row>
    <row r="664" spans="19:19" x14ac:dyDescent="0.35">
      <c r="S664" s="49"/>
    </row>
    <row r="665" spans="19:19" x14ac:dyDescent="0.35">
      <c r="S665" s="49"/>
    </row>
    <row r="666" spans="19:19" x14ac:dyDescent="0.35">
      <c r="S666" s="49"/>
    </row>
    <row r="667" spans="19:19" x14ac:dyDescent="0.35">
      <c r="S667" s="49"/>
    </row>
    <row r="668" spans="19:19" x14ac:dyDescent="0.35">
      <c r="S668" s="49"/>
    </row>
    <row r="669" spans="19:19" x14ac:dyDescent="0.35">
      <c r="S669" s="49"/>
    </row>
    <row r="670" spans="19:19" x14ac:dyDescent="0.35">
      <c r="S670" s="49"/>
    </row>
    <row r="671" spans="19:19" x14ac:dyDescent="0.35">
      <c r="S671" s="49"/>
    </row>
    <row r="672" spans="19:19" x14ac:dyDescent="0.35">
      <c r="S672" s="49"/>
    </row>
    <row r="673" spans="19:19" x14ac:dyDescent="0.35">
      <c r="S673" s="49"/>
    </row>
    <row r="674" spans="19:19" x14ac:dyDescent="0.35">
      <c r="S674" s="49"/>
    </row>
    <row r="675" spans="19:19" x14ac:dyDescent="0.35">
      <c r="S675" s="49"/>
    </row>
    <row r="676" spans="19:19" x14ac:dyDescent="0.35">
      <c r="S676" s="49"/>
    </row>
    <row r="677" spans="19:19" x14ac:dyDescent="0.35">
      <c r="S677" s="49"/>
    </row>
    <row r="678" spans="19:19" x14ac:dyDescent="0.35">
      <c r="S678" s="49"/>
    </row>
    <row r="679" spans="19:19" x14ac:dyDescent="0.35">
      <c r="S679" s="49"/>
    </row>
    <row r="680" spans="19:19" x14ac:dyDescent="0.35">
      <c r="S680" s="49"/>
    </row>
    <row r="681" spans="19:19" x14ac:dyDescent="0.35">
      <c r="S681" s="49"/>
    </row>
    <row r="682" spans="19:19" x14ac:dyDescent="0.35">
      <c r="S682" s="49"/>
    </row>
    <row r="683" spans="19:19" x14ac:dyDescent="0.35">
      <c r="S683" s="49"/>
    </row>
    <row r="684" spans="19:19" x14ac:dyDescent="0.35">
      <c r="S684" s="49"/>
    </row>
    <row r="685" spans="19:19" x14ac:dyDescent="0.35">
      <c r="S685" s="49"/>
    </row>
    <row r="686" spans="19:19" x14ac:dyDescent="0.35">
      <c r="S686" s="49"/>
    </row>
    <row r="687" spans="19:19" x14ac:dyDescent="0.35">
      <c r="S687" s="49"/>
    </row>
    <row r="688" spans="19:19" x14ac:dyDescent="0.35">
      <c r="S688" s="49"/>
    </row>
    <row r="689" spans="19:19" x14ac:dyDescent="0.35">
      <c r="S689" s="49"/>
    </row>
    <row r="690" spans="19:19" x14ac:dyDescent="0.35">
      <c r="S690" s="49"/>
    </row>
    <row r="691" spans="19:19" x14ac:dyDescent="0.35">
      <c r="S691" s="49"/>
    </row>
  </sheetData>
  <mergeCells count="5">
    <mergeCell ref="C3:M3"/>
    <mergeCell ref="F7:M7"/>
    <mergeCell ref="C22:M22"/>
    <mergeCell ref="B24:N30"/>
    <mergeCell ref="B32:N38"/>
  </mergeCells>
  <pageMargins left="0.7" right="0.7" top="0.75" bottom="0.75" header="0.3" footer="0.3"/>
  <pageSetup paperSize="9" scale="10"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45</vt:i4>
      </vt:variant>
      <vt:variant>
        <vt:lpstr>Named Ranges</vt:lpstr>
      </vt:variant>
      <vt:variant>
        <vt:i4>1</vt:i4>
      </vt:variant>
    </vt:vector>
  </HeadingPairs>
  <TitlesOfParts>
    <vt:vector size="46" baseType="lpstr">
      <vt:lpstr>BANDHAN-USFOF</vt:lpstr>
      <vt:lpstr>BANDHAN CEF</vt:lpstr>
      <vt:lpstr>BANDHAN LCF</vt:lpstr>
      <vt:lpstr>BANDHAN FEF</vt:lpstr>
      <vt:lpstr>BANDHAN SVF</vt:lpstr>
      <vt:lpstr>BANDHAN-MCAP</vt:lpstr>
      <vt:lpstr>BANDHAN MCF</vt:lpstr>
      <vt:lpstr>BANDHAN FCF</vt:lpstr>
      <vt:lpstr>BANDHAN SCF</vt:lpstr>
      <vt:lpstr>BANDHAN IF</vt:lpstr>
      <vt:lpstr>BANDHAN TLF</vt:lpstr>
      <vt:lpstr>BANDHAN FSF</vt:lpstr>
      <vt:lpstr>BANDHAN INNOV</vt:lpstr>
      <vt:lpstr>BANDHAN BUSINESS CYCLE</vt:lpstr>
      <vt:lpstr>BANDHAN-ELSS</vt:lpstr>
      <vt:lpstr>BANDHAN-AF</vt:lpstr>
      <vt:lpstr>BANDHAN BAF</vt:lpstr>
      <vt:lpstr>BANDHAN-ESF</vt:lpstr>
      <vt:lpstr>BANDHAN CHF</vt:lpstr>
      <vt:lpstr>BANDHAN-AHF</vt:lpstr>
      <vt:lpstr>BANDHAN RF</vt:lpstr>
      <vt:lpstr>BANDHAN MAF</vt:lpstr>
      <vt:lpstr>BANDHAN AAF-AP</vt:lpstr>
      <vt:lpstr>BANDHANAAF-MP</vt:lpstr>
      <vt:lpstr>BANDHANAAF-CP</vt:lpstr>
      <vt:lpstr>BANDHAN IPAFOFs</vt:lpstr>
      <vt:lpstr>BANDHAN-NIFTY 50 Index</vt:lpstr>
      <vt:lpstr>BANDHAN BSE SENSEX ETF</vt:lpstr>
      <vt:lpstr>BANDHAN- Nifty 50 ETF</vt:lpstr>
      <vt:lpstr>BANDHAN-Nifty 100 Index</vt:lpstr>
      <vt:lpstr>BANDHAN-Nifty200 Mom30 Index</vt:lpstr>
      <vt:lpstr>BANDHAN NIF100LV30</vt:lpstr>
      <vt:lpstr>BANDHAN NIFTY IT INDEX</vt:lpstr>
      <vt:lpstr>Bandhan Nifty Alpha 50 Index</vt:lpstr>
      <vt:lpstr>Bandhan Nifty Smallcap 250 </vt:lpstr>
      <vt:lpstr>Bandhan Nifty Total Market </vt:lpstr>
      <vt:lpstr>Bandhan Nifty Bank Index Fund</vt:lpstr>
      <vt:lpstr>Bandhan BSE Healthcare Index </vt:lpstr>
      <vt:lpstr>Bandhan Nifty Midcap 150 Index </vt:lpstr>
      <vt:lpstr>Bandhan Nifty 500 Value 50 </vt:lpstr>
      <vt:lpstr>Bandhan Nifty 500 Momentum 50 </vt:lpstr>
      <vt:lpstr>Bandhan Nifty 200 Quality 30 </vt:lpstr>
      <vt:lpstr>Bandhan Nifty Alpha Low Vol 30</vt:lpstr>
      <vt:lpstr>Bandhan Nifty Next 50 Index</vt:lpstr>
      <vt:lpstr>BANDHAN US TB 0-1yr FOF</vt:lpstr>
      <vt:lpstr>'BANDHAN-AF'!Print_Area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divya.menon</dc:creator>
  <cp:lastModifiedBy>Raj Shah</cp:lastModifiedBy>
  <cp:lastPrinted>2018-05-02T07:17:21Z</cp:lastPrinted>
  <dcterms:created xsi:type="dcterms:W3CDTF">2015-05-04T03:21:51Z</dcterms:created>
  <dcterms:modified xsi:type="dcterms:W3CDTF">2025-05-06T08:50:14Z</dcterms:modified>
</cp:coreProperties>
</file>