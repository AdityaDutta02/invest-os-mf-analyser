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drawings/drawing24.xml" ContentType="application/vnd.openxmlformats-officedocument.drawing+xml"/>
  <Override PartName="/xl/charts/chart46.xml" ContentType="application/vnd.openxmlformats-officedocument.drawingml.chart+xml"/>
  <Override PartName="/xl/charts/chart4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7"/>
  <workbookPr defaultThemeVersion="166925"/>
  <mc:AlternateContent xmlns:mc="http://schemas.openxmlformats.org/markup-compatibility/2006">
    <mc:Choice Requires="x15">
      <x15ac:absPath xmlns:x15ac="http://schemas.microsoft.com/office/spreadsheetml/2010/11/ac" url="\\mumfilesvr.bandhanamc.int\Users\Ruchi\Products Team\MONTH END DELIVERABLES-1\Portfolios_All\2023\Sept 2023\"/>
    </mc:Choice>
  </mc:AlternateContent>
  <xr:revisionPtr revIDLastSave="0" documentId="13_ncr:1_{27ACFBA7-1268-4353-8F30-7DC623E0AC95}" xr6:coauthVersionLast="36" xr6:coauthVersionMax="36" xr10:uidLastSave="{00000000-0000-0000-0000-000000000000}"/>
  <bookViews>
    <workbookView xWindow="0" yWindow="0" windowWidth="20490" windowHeight="7545" xr2:uid="{784B7AD0-0184-4490-8086-C6A00984D4A1}"/>
  </bookViews>
  <sheets>
    <sheet name="BANDHAN OF" sheetId="23" r:id="rId1"/>
    <sheet name="BANDHAN CF" sheetId="20" r:id="rId2"/>
    <sheet name="BANDHAN LDF" sheetId="21" r:id="rId3"/>
    <sheet name="BANDHAN MMF" sheetId="22" r:id="rId4"/>
    <sheet name="BANDHAN USTF" sheetId="24" r:id="rId5"/>
    <sheet name="BANDHAN DBF" sheetId="16" r:id="rId6"/>
    <sheet name="BANDHAN BOND IP" sheetId="4" r:id="rId7"/>
    <sheet name="BANDHAN BOND MT" sheetId="5" r:id="rId8"/>
    <sheet name="BANDHAN BOND ST" sheetId="6" r:id="rId9"/>
    <sheet name="BANDHAN BPDF" sheetId="3" r:id="rId10"/>
    <sheet name="BANDHAN CBF" sheetId="7" r:id="rId11"/>
    <sheet name="BANDHAN FRF" sheetId="17" r:id="rId12"/>
    <sheet name="BANDHAN CRF" sheetId="8" r:id="rId13"/>
    <sheet name="BANDHAN GSF-IP" sheetId="19" r:id="rId14"/>
    <sheet name="BANDHAN GSF - CMP" sheetId="18" r:id="rId15"/>
    <sheet name="BANDHAN GIF26" sheetId="12" r:id="rId16"/>
    <sheet name="BANDHAN GIF2027" sheetId="15" r:id="rId17"/>
    <sheet name="BANDHAN GIF2028" sheetId="13" r:id="rId18"/>
    <sheet name="BANDHAN GIF32" sheetId="14" r:id="rId19"/>
    <sheet name="BANDHAN SDLGIF26" sheetId="10" r:id="rId20"/>
    <sheet name="BANDHAN SDLGIF27" sheetId="11" r:id="rId21"/>
    <sheet name="BANDHAN SDLGIF32" sheetId="9" r:id="rId22"/>
    <sheet name="BANDHAN-US TB FOF 0-1 yr" sheetId="25" r:id="rId23"/>
    <sheet name="BANDHAN ASBF" sheetId="2" r:id="rId24"/>
  </sheets>
  <externalReferences>
    <externalReference r:id="rId25"/>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25" l="1"/>
  <c r="J10" i="25"/>
  <c r="J9" i="25"/>
  <c r="J8" i="25"/>
</calcChain>
</file>

<file path=xl/sharedStrings.xml><?xml version="1.0" encoding="utf-8"?>
<sst xmlns="http://schemas.openxmlformats.org/spreadsheetml/2006/main" count="1325" uniqueCount="317">
  <si>
    <t>Bandhan All Seasons Bond Fund (31 August, 2023 )</t>
  </si>
  <si>
    <t>Net Assets as on 31 August, 2023</t>
  </si>
  <si>
    <t>120.71 crs</t>
  </si>
  <si>
    <t>Name</t>
  </si>
  <si>
    <t>Rating</t>
  </si>
  <si>
    <t>Total</t>
  </si>
  <si>
    <t>Bandhan Bond Fund -Short Term Pl Direct Pl-Growth</t>
  </si>
  <si>
    <t>Bandhan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</si>
  <si>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</si>
  <si>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</si>
  <si>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</si>
  <si>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</si>
  <si>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</si>
  <si>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</si>
  <si>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</si>
  <si>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</si>
  <si>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</si>
  <si>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</si>
  <si>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</si>
  <si>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</si>
  <si>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Bandhan Banking &amp; PSU Debt Fund (31 August, 2023 )</t>
  </si>
  <si>
    <t>14855.81 crs</t>
  </si>
  <si>
    <t>State Bank of India</t>
  </si>
  <si>
    <t xml:space="preserve"> A1+</t>
  </si>
  <si>
    <t>Kotak Mahindra Bank Limited</t>
  </si>
  <si>
    <t>Axis Bank Limited</t>
  </si>
  <si>
    <t>Certificate of Deposit Total</t>
  </si>
  <si>
    <t>National Bank For Agriculture and Rural Development</t>
  </si>
  <si>
    <t xml:space="preserve"> AAA</t>
  </si>
  <si>
    <t>Indian Railway Finance Corporation Limited</t>
  </si>
  <si>
    <t>Small Industries Dev Bank of India</t>
  </si>
  <si>
    <t>HDFC Bank Limited</t>
  </si>
  <si>
    <t>REC Limited</t>
  </si>
  <si>
    <t>Bajaj Housing Finance Limited</t>
  </si>
  <si>
    <t>Power Finance Corporation Limited</t>
  </si>
  <si>
    <t>Hindustan Petroleum Corporation Limited</t>
  </si>
  <si>
    <t>NTPC Limited</t>
  </si>
  <si>
    <t>Indian Oil Corporation Limited</t>
  </si>
  <si>
    <t>Bajaj Finance Limited</t>
  </si>
  <si>
    <t>Nuclear Power Corporation Of India Limited</t>
  </si>
  <si>
    <t>National Housing Bank</t>
  </si>
  <si>
    <t>Export Import Bank of India</t>
  </si>
  <si>
    <t>ICICI Bank Limited</t>
  </si>
  <si>
    <t>Power Grid Corporation of India Limited</t>
  </si>
  <si>
    <t>NHPC Limited</t>
  </si>
  <si>
    <t>Corporate Bond Total</t>
  </si>
  <si>
    <t>7.38% GOI (MD 20/06/2027)</t>
  </si>
  <si>
    <t>SOV</t>
  </si>
  <si>
    <t>7.27% GOI (MD 08/04/2026)</t>
  </si>
  <si>
    <t>5.63% GOI (MD 12/04/2026)</t>
  </si>
  <si>
    <t>7.59% GOI(MD 11/01/2026)</t>
  </si>
  <si>
    <t>Government Bond Total</t>
  </si>
  <si>
    <t>State Government Bond Total</t>
  </si>
  <si>
    <t>Certificate of Deposit</t>
  </si>
  <si>
    <t>Corporate Bond</t>
  </si>
  <si>
    <t>Government Bond</t>
  </si>
  <si>
    <t>State Government Bond</t>
  </si>
  <si>
    <t>Bandhan Bond Fund - Income Plan (31 August, 2023 )</t>
  </si>
  <si>
    <t>496.25 crs</t>
  </si>
  <si>
    <t>7.1% GOI (MD 18/04/2029)</t>
  </si>
  <si>
    <t>6.54% GOI (MD 17/01/2032)</t>
  </si>
  <si>
    <t>6.1% GOI (MD 12/07/2031)</t>
  </si>
  <si>
    <t>6.79% GOI (MD 15/05/2027)</t>
  </si>
  <si>
    <t>7.73% GOI (MD 19/12/2034)</t>
  </si>
  <si>
    <t>Bandhan Bond Fund - Medium Term Plan (31 August, 2023 )</t>
  </si>
  <si>
    <t>1840.03 crs</t>
  </si>
  <si>
    <t>8.24% GOI (MD 15/02/2027)</t>
  </si>
  <si>
    <t xml:space="preserve"> AAA(SO)</t>
  </si>
  <si>
    <t>PTC Total</t>
  </si>
  <si>
    <t>PTC</t>
  </si>
  <si>
    <t>Bandhan Bond Fund - Short Term Plan (31 August, 2023 )</t>
  </si>
  <si>
    <t>8785.49 crs</t>
  </si>
  <si>
    <t>Kotak Mahindra Prime Limited</t>
  </si>
  <si>
    <t>Commercial Paper Total</t>
  </si>
  <si>
    <t>Sundaram Finance Limited</t>
  </si>
  <si>
    <t>364 Days Tbill (MD 07/03/2024)</t>
  </si>
  <si>
    <t>Treasury Bill Total</t>
  </si>
  <si>
    <t>Commercial Paper</t>
  </si>
  <si>
    <t>Treasury Bill</t>
  </si>
  <si>
    <t>Bandhan Corporate Bond Fund (31 August, 2023 )</t>
  </si>
  <si>
    <t>14318.78 crs</t>
  </si>
  <si>
    <t>UltraTech Cement Limited</t>
  </si>
  <si>
    <t>Oil &amp; Natural Gas Corporation Limited</t>
  </si>
  <si>
    <t>Larsen &amp; Toubro Limited</t>
  </si>
  <si>
    <t>Tata Capital Financial Services Limited</t>
  </si>
  <si>
    <t>Grasim Industries Limited</t>
  </si>
  <si>
    <t>Reliance Industries Limited</t>
  </si>
  <si>
    <t>7.68% GOI (MD 15/12/2023)</t>
  </si>
  <si>
    <t>364 Days Tbill (MD 14/03/2024)</t>
  </si>
  <si>
    <t>364 Days Tbill (MD 22/03/2024)</t>
  </si>
  <si>
    <t>Zero Coupon Bond Total</t>
  </si>
  <si>
    <t>Zero Coupon Bond</t>
  </si>
  <si>
    <t>Bandhan Credit Risk Fund (31 August, 2023 )</t>
  </si>
  <si>
    <t>410.28 crs</t>
  </si>
  <si>
    <t>Century Textiles &amp; Industries Limited</t>
  </si>
  <si>
    <t xml:space="preserve"> AA</t>
  </si>
  <si>
    <t>Godrej Industries Limited</t>
  </si>
  <si>
    <t>Union Bank of India</t>
  </si>
  <si>
    <t>Punjab National Bank</t>
  </si>
  <si>
    <t>AU Small Finance Bank Limited</t>
  </si>
  <si>
    <t>Aadhar Housing Finance Limited</t>
  </si>
  <si>
    <t>Tata Power Company Limited</t>
  </si>
  <si>
    <t>Aditya Birla Fashion and Retail Limited</t>
  </si>
  <si>
    <t xml:space="preserve"> AA+</t>
  </si>
  <si>
    <t>AA</t>
  </si>
  <si>
    <t>AA+</t>
  </si>
  <si>
    <t>Bandhan CRISIL IBX 90:10 SDL+Gilt Apr32 Index Fund (31 August, 2023 )</t>
  </si>
  <si>
    <t>325.16 crs</t>
  </si>
  <si>
    <t>Bandhan CRISIL IBX 90:10 SDL+Gilt Nov26 Index Fund (31 August, 2023 )</t>
  </si>
  <si>
    <t>110.14 crs</t>
  </si>
  <si>
    <t>5.74% GOI (MD 15/11/2026)</t>
  </si>
  <si>
    <t>Bandhan CRISIL IBX 90:10 SDL+Gilt Sep27 Index Fund (31 August, 2023 )</t>
  </si>
  <si>
    <t>155.28 crs</t>
  </si>
  <si>
    <t>Bandhan CRISIL IBX Gilt April 2026 Index Fund (31 August, 2023 )</t>
  </si>
  <si>
    <t>480.45 crs</t>
  </si>
  <si>
    <t>5.15% GOI (MD 09/11/2025)</t>
  </si>
  <si>
    <t>Bandhan CRISIL IBX Gilt April 2028 Index Fund (31 August, 2023 )</t>
  </si>
  <si>
    <t>4737.43 crs</t>
  </si>
  <si>
    <t>7.17% GOI (MD 08/01/2028)</t>
  </si>
  <si>
    <t>8.28% GOI (M/D 21/09/2027)</t>
  </si>
  <si>
    <t>182 Days Tbill (MD 14/09/2023)</t>
  </si>
  <si>
    <t>Bandhan CRISIL IBX GILT APRIL 2032 INDEX FUND (31 August, 2023 )</t>
  </si>
  <si>
    <t>319.60 crs</t>
  </si>
  <si>
    <t>Average Maturity in Days</t>
  </si>
  <si>
    <t>Bandhan CRISIL IBX Gilt June 2027 Index Fund (31 August, 2023 )</t>
  </si>
  <si>
    <t>8237.77 crs</t>
  </si>
  <si>
    <t>Bandhan Dynamic Bond Fund (31 August, 2023 )</t>
  </si>
  <si>
    <t>2296.51 crs</t>
  </si>
  <si>
    <t>8.20% GOI (MD 24/09/2025)</t>
  </si>
  <si>
    <t>Bandhan Floating Rate Fund (31 August, 2023 )</t>
  </si>
  <si>
    <t>204.55 crs</t>
  </si>
  <si>
    <t>Bharti Telecom Limited</t>
  </si>
  <si>
    <t>Interest Rate Swaps</t>
  </si>
  <si>
    <t>Bandhan Government Sec Fund-Constant Maturity Plan (31 August, 2023 )</t>
  </si>
  <si>
    <t>306.77 crs</t>
  </si>
  <si>
    <t>7.26% GOI (MD 06/02/2033)</t>
  </si>
  <si>
    <t>Bandhan Government Securities Fund-Investment Plan (31 August, 2023 )</t>
  </si>
  <si>
    <t>1453.46 crs</t>
  </si>
  <si>
    <t>Bandhan Liquid Fund (31 August, 2023 )</t>
  </si>
  <si>
    <t>14622.43 crs</t>
  </si>
  <si>
    <t>Canara Bank</t>
  </si>
  <si>
    <t>Bank of Baroda</t>
  </si>
  <si>
    <t>Indian Bank</t>
  </si>
  <si>
    <t>The Federal Bank Limited</t>
  </si>
  <si>
    <t>IndusInd Bank Limited</t>
  </si>
  <si>
    <t>Reliance Retail Ventures Limited</t>
  </si>
  <si>
    <t>Kotak Securities Limited</t>
  </si>
  <si>
    <t>Tata Steel Limited</t>
  </si>
  <si>
    <t>HDFC Securities Limited</t>
  </si>
  <si>
    <t>ICICI Securities Limited</t>
  </si>
  <si>
    <t>L&amp;T Finance Limited</t>
  </si>
  <si>
    <t>91 Days Tbill (MD 17/11/2023)</t>
  </si>
  <si>
    <t>91 Days Tbill (MD 02/11/2023)</t>
  </si>
  <si>
    <t>91 Days Tbill (MD 26/10/2023)</t>
  </si>
  <si>
    <t>91 Days Tbill (MD 09/11/2023)</t>
  </si>
  <si>
    <t>91 Days Tbill (MD 23/11/2023)</t>
  </si>
  <si>
    <t>91 Days Tbill (MD 19/10/2023)</t>
  </si>
  <si>
    <t>364 Days Tbill (MD 27/10/2023)</t>
  </si>
  <si>
    <t>182 Days Tbill (MD 26/10/2023)</t>
  </si>
  <si>
    <t>182 Days Tbill (MD 07/09/2023)</t>
  </si>
  <si>
    <t>Bandhan Low Duration Fund (31 August, 2023 )</t>
  </si>
  <si>
    <t>5657.95 crs</t>
  </si>
  <si>
    <t>182 Days Tbill (MD 29/02/2024)</t>
  </si>
  <si>
    <t>Bandhan Money Manager Fund (31 August, 2023 )</t>
  </si>
  <si>
    <t>3107.46 crs</t>
  </si>
  <si>
    <t>Kotak Mahindra Investments Limited</t>
  </si>
  <si>
    <t>182 Days Tbill (MD 18/01/2024)</t>
  </si>
  <si>
    <t>182 Days Tbill (MD 22/02/2024)</t>
  </si>
  <si>
    <t>364 Days Tbill (MD 08/02/2024)</t>
  </si>
  <si>
    <t>Bandhan Overnight Fund (31 August, 2023 )</t>
  </si>
  <si>
    <t>1572.93 crs</t>
  </si>
  <si>
    <t>REPO Total</t>
  </si>
  <si>
    <t>91 Days Tbill (MD 29/09/2023)</t>
  </si>
  <si>
    <t>182 Days Tbill (MD 22/09/2023)</t>
  </si>
  <si>
    <t>REPO</t>
  </si>
  <si>
    <t>Bandhan Ultra Short Term Fund (31 August, 2023 )</t>
  </si>
  <si>
    <t>3562.05 crs</t>
  </si>
  <si>
    <t>8.29%  Rajasthan SDL (MD 13/05/2025)</t>
  </si>
  <si>
    <t>8.23% Gujarat SDL  (09/09/2025)</t>
  </si>
  <si>
    <t>8.05% Maharashtra SDL (MD 28/01/2025)</t>
  </si>
  <si>
    <t>8.15% Gujarat SDL (MD 23/09/2025)</t>
  </si>
  <si>
    <t>8.24% Maharashtra SDL (MD 24/12/2024)</t>
  </si>
  <si>
    <t>8.27% Haryana SDL (MD 13/05/2025)</t>
  </si>
  <si>
    <t>8.08% Haryana SDL (MD 28/01/2025)</t>
  </si>
  <si>
    <t>8.05% Haryana SDL (MD 25/02/2025)</t>
  </si>
  <si>
    <t>8.08% Uttar Pradesh SDL (MD 25/02/2025)</t>
  </si>
  <si>
    <t>6.69% Madhya Pradesh SDL (MD 17/03/2025)</t>
  </si>
  <si>
    <t>8.06% Andhra Pradesh SDL (MD 25/02/2025)</t>
  </si>
  <si>
    <t>8.1% Uttar Pradesh SDL (MD 28/01/2025)</t>
  </si>
  <si>
    <t>8.09% Andhra Pradesh SDL (MD 28/01/2025)</t>
  </si>
  <si>
    <t>7.41% Uttar Pradesh SDL (MD 09/11/2026)</t>
  </si>
  <si>
    <t>8.05% Gujarat SDL (MD 28/01/2025)</t>
  </si>
  <si>
    <t>6.83% Rajasthan SDL (MD 25/09/2023)</t>
  </si>
  <si>
    <t>7.38% Madhya Pradesh SDL (MD 15/03/2025)</t>
  </si>
  <si>
    <t>9.39% Karnatak SDL (MD 04/12/2023)</t>
  </si>
  <si>
    <t>9.24% Maharashtra SDL (MD 16/01/2024)</t>
  </si>
  <si>
    <t>9.35% Maharashtra SDL (MD 30/01/2024)</t>
  </si>
  <si>
    <t>7.97% Odisha SDL (MD 17/01/2024)</t>
  </si>
  <si>
    <t>8.07% Gujrat SDL (MD 11/02/2025)</t>
  </si>
  <si>
    <t>5.77% Gujarat SDL (MD 12/01/2025)</t>
  </si>
  <si>
    <t>8.25% Maharastra SDL  ( MD 13/05/2025)</t>
  </si>
  <si>
    <t>8.2% Gujarat SDL (MD 24/06/2025)</t>
  </si>
  <si>
    <t>8.37% Tamil Nadu SDL (MD 05/12/2028)</t>
  </si>
  <si>
    <t>8.26% Maharashtra SDL (MD 12/08/2025)</t>
  </si>
  <si>
    <t>7.96% Gujarat SDL (14/10/2025)</t>
  </si>
  <si>
    <t>8.12% Maharashtra SDL (MD 13/11/2025)</t>
  </si>
  <si>
    <t>8.27% Karnataka SDL(MD 23/12/2025)</t>
  </si>
  <si>
    <t>8.27% Tamilnadu SDL (MD 13/01/2026)</t>
  </si>
  <si>
    <t>8.27% Gujarat SDL (MD 13/01/2026)</t>
  </si>
  <si>
    <t>8.36% Maharashtra SDL (MD 27/01/2026)</t>
  </si>
  <si>
    <t>8.51% Maharashtra SDL (MD 09/03/2026)</t>
  </si>
  <si>
    <t>8.53% Tamil Nadu SDL (MD 09/03/2026)</t>
  </si>
  <si>
    <t>8.3% Madhya Pradesh SDL (MD  13/01/2026)</t>
  </si>
  <si>
    <t>8.20% GUJARAT SDL (MD 09/12/2025)</t>
  </si>
  <si>
    <t>7.99% Karnatak SDL (MD 28/10/2025)</t>
  </si>
  <si>
    <t>7.18% Tamilnadu SDL (MD 26/07/2027)</t>
  </si>
  <si>
    <t>7.93% Chattisgarh SDL (MD 13/02/2024)</t>
  </si>
  <si>
    <t>8.03% Gujarat SDL (MD 16/04/2025)</t>
  </si>
  <si>
    <t>8.27% Haryana SDL (MD 09/12/2025)</t>
  </si>
  <si>
    <t>8.27% Haryana SDL (MD 23/12/2025)</t>
  </si>
  <si>
    <t>6.18% Gujarat SDL (MD 25/01/2026)</t>
  </si>
  <si>
    <t>7.47% Gujarat SDL (MD 27/10/2025)</t>
  </si>
  <si>
    <t>9.5% Gujrat SDL (MD 11/09/2023)</t>
  </si>
  <si>
    <t>9.37% Gujarat SDL (MD 30/01/2024)</t>
  </si>
  <si>
    <t>9.55% Karnataka SDL (MD 12/02/2024)</t>
  </si>
  <si>
    <t>9.63% Andhra Pradesh SDL (MD 12/02/2024)</t>
  </si>
  <si>
    <t>9.80% Haryana SDL (MD 26/02/2024)</t>
  </si>
  <si>
    <t>9.71% Haryana SDL (MD 12/03/2024)</t>
  </si>
  <si>
    <t>9.47% Tamilnadu SDL (MD 26/03/2024)</t>
  </si>
  <si>
    <t>9.45% Rahasthan SDL (MD 26/03/2024)</t>
  </si>
  <si>
    <t>9.47% Haryana SDL (MD 26/03/2024)</t>
  </si>
  <si>
    <t>9.11% Maharashtra SDL (MD 28/05/2024)</t>
  </si>
  <si>
    <t>9.24% Haryana SDL (MD 16/01/2024)</t>
  </si>
  <si>
    <t>8.96% Maharashtra SDL  (MD 09/07/2024)</t>
  </si>
  <si>
    <t>8.83% Tamilnadu SDL (MD 11/06/2024)</t>
  </si>
  <si>
    <t>8.83% Maharashtra SDL (MD 11/06/2024)</t>
  </si>
  <si>
    <t>9.48% Andhra Pradesh SDL (MD 26/03/2024)</t>
  </si>
  <si>
    <t>6.64% Rajasthan SDL (MD 05/02/2024)</t>
  </si>
  <si>
    <t>5.6% Haryana SDL (MD 20/05/2024)</t>
  </si>
  <si>
    <t>5.75% Tamilnadu SDL (MD 27/05/2025)</t>
  </si>
  <si>
    <t>8.72% Tamilnadu SDL (MD 19/09/2026)</t>
  </si>
  <si>
    <t>7.04% Gujarat SDL (MD 07/08/2026)</t>
  </si>
  <si>
    <t>7.22% Maharashtra SDL (MD 26/10/2026)</t>
  </si>
  <si>
    <t>6.82% Maharashtra SDL (MD 23/11/2026)</t>
  </si>
  <si>
    <t>6.24% Maharashtra SDL (MD 11/08/2026)</t>
  </si>
  <si>
    <t>7.38% Rajasthan SDL (MD 14/09/2026)</t>
  </si>
  <si>
    <t>7.4% Madhya Pradesh SDL (MD 09/11/2026)</t>
  </si>
  <si>
    <t>7.17% Rajasthan SDL (MD 28/09/2026)</t>
  </si>
  <si>
    <t>7.69% Uttar Pradesh SDL (MD 27/07/2026)</t>
  </si>
  <si>
    <t>7.57% Gujarat SDL (MD 09/11/2026)</t>
  </si>
  <si>
    <t>7.59% Kerala SDL (MD 24/08/2026)</t>
  </si>
  <si>
    <t>7.16% Madhya Pradesh SDL (MD 28/09/2026)</t>
  </si>
  <si>
    <t>7.49% Gujarat SDL (MD 28/09/2026)</t>
  </si>
  <si>
    <t>7.69% Tamilnadu SDL (MD 27/07/2026)</t>
  </si>
  <si>
    <t>7.18% Haryana SDL (MD 28/09/2026)</t>
  </si>
  <si>
    <t>7.19% West Bangal SDL (MD 28/09/2026)</t>
  </si>
  <si>
    <t>7.15% Madhya Pradesh SDL (MD 13/10/2026)</t>
  </si>
  <si>
    <t>7.2% Maharashtra SDL (MD 09/08/2027)</t>
  </si>
  <si>
    <t>7.47% Chhattisgarh SDL (MD 27/09/2027)</t>
  </si>
  <si>
    <t>7.33% Maharashtra SDL (MD 13/09/2027)</t>
  </si>
  <si>
    <t>6.2% Rajasthan SDL (MD 29/07/2027)</t>
  </si>
  <si>
    <t>7.27% Tamilnadu SDL (MD 12/07/2027)</t>
  </si>
  <si>
    <t>7.25% Gujarat SDL (MD 12/07/2027)</t>
  </si>
  <si>
    <t>8.49% Andhra Pradesh SDL (MD 21/08/2027)</t>
  </si>
  <si>
    <t>7.21% Tamilnadu SDL (MD 09/08/2027)</t>
  </si>
  <si>
    <t>7.28% Madhya Pradesh SDL (MD 23/08/2027)</t>
  </si>
  <si>
    <t>7.93% Karnataka SDL (MD 08/04/2031)</t>
  </si>
  <si>
    <t>6.84% Gujarat SDL (MD 24/03/2031)</t>
  </si>
  <si>
    <t>6.85% Madhya Pradesh SDL (MD 15/09/2031)</t>
  </si>
  <si>
    <t>6.83% Tamilnadu SDL (MD 15/12/2031)</t>
  </si>
  <si>
    <t>7.12% Gujarat SDL (MD 02/03/2032)</t>
  </si>
  <si>
    <t>7.17% Kerala SDL (MD 02/03/2032)</t>
  </si>
  <si>
    <t>7.09% Rajasthan SDL (MD 16/02/2032)</t>
  </si>
  <si>
    <t>7.22% Rajasthan SDL (MD 16/03/2032)</t>
  </si>
  <si>
    <t>7.23% Tamilnadu SDL (MD 23/03/2032)</t>
  </si>
  <si>
    <t>7.29% Gujarat SDL (MD 30/03/2032)</t>
  </si>
  <si>
    <t>7.3% Tamilnadu SDL (MD 30/03/2032)</t>
  </si>
  <si>
    <t>7.8% Andhra Pradesh SDL (MD 22/06/2031)</t>
  </si>
  <si>
    <t>7.68% Karnataka SDL (MD 16/11/2031)</t>
  </si>
  <si>
    <t>7.68% Haryana SDL (MD 23/11/2031)</t>
  </si>
  <si>
    <t>6.9% Andhra Pradesh SDL (MD 03/02/2032)</t>
  </si>
  <si>
    <t>7.57% Gujarat SDL (MD 28/12/2031)</t>
  </si>
  <si>
    <t>7.57% Gujarat SDL (MD 18/01/2032)</t>
  </si>
  <si>
    <t>7.63% Gujarat SDL (MD 25/01/2032)</t>
  </si>
  <si>
    <t>7.74% Andhra Pradesh SDL (MD 01/03/2032)</t>
  </si>
  <si>
    <t>7.72% Maharashtra SDL (MD 23/03/2032)</t>
  </si>
  <si>
    <t>7.73% Maharashtra SDL (MD 29/03/2032)</t>
  </si>
  <si>
    <t>7.73% Andhra Pradesh SDL (MD 23/03/2032)</t>
  </si>
  <si>
    <t>7.72% Haryana SDL (MD 23/03/2032)</t>
  </si>
  <si>
    <t>Bandhan Banking &amp; PSU Debt Fund -Direct Gr</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</si>
  <si>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</si>
  <si>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^PTC originated by Reliance Industries Limited</t>
  </si>
  <si>
    <t>First Business Receivables Trust^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</si>
  <si>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</si>
  <si>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^^AT1 Bonds under Basel III</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</si>
  <si>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</si>
  <si>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BANDHAN US TREASURY BOND 0-1 YEAR FUND OF FUND</t>
  </si>
  <si>
    <t>Portfolio as on - (31st August 2023)</t>
  </si>
  <si>
    <t>Net Assets as on 31st August 2023</t>
  </si>
  <si>
    <t>116.73 crs</t>
  </si>
  <si>
    <t>JPMorgan ETFs BetaBuilders US Tre Bond0-1 yr UCITS</t>
  </si>
  <si>
    <t>International Mutual Fund Units</t>
  </si>
  <si>
    <t>Banks</t>
  </si>
  <si>
    <t>Software</t>
  </si>
  <si>
    <t>Power</t>
  </si>
  <si>
    <t>Consumer Non Durables</t>
  </si>
  <si>
    <t>Retailing</t>
  </si>
  <si>
    <t>Construction Project</t>
  </si>
  <si>
    <t>Gas</t>
  </si>
  <si>
    <t>Chemicals</t>
  </si>
  <si>
    <t>Hotels, Resorts And Other Recreational Activities</t>
  </si>
  <si>
    <t>Telecom - Services</t>
  </si>
  <si>
    <t>Petroleum Products</t>
  </si>
  <si>
    <t>Auto</t>
  </si>
  <si>
    <t>Ferrous Metals</t>
  </si>
  <si>
    <t>Industrial Capital Goods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</si>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</sst>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Black]\(0.00%\)"/>
    <numFmt numFmtId="165" formatCode="0.000%;[Black]\(0.000%\)"/>
    <numFmt numFmtId="166" formatCode="#0.00%;\(#0.00%\)"/>
    <numFmt numFmtId="167" formatCode="#,##0.00%_);\(#,##0.00%\)"/>
  </numFmts>
  <fonts count="13"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theme="1"/>
      <name val="Calibri"/>
      <family val="2"/>
      <scheme val="minor"/>
    </font>
    <font>
      <sz val="12"/>
      <name val="Arial"/>
      <family val="2"/>
    </font>
    <font>
      <b/>
      <sz val="16"/>
      <name val="Arial"/>
      <family val="2"/>
    </font>
    <font>
      <b/>
      <sz val="12"/>
      <name val="Arial"/>
      <family val="2"/>
    </font>
    <font>
      <sz val="11"/>
      <name val="Calibri"/>
      <family val="2"/>
      <scheme val="minor"/>
    </font>
    <font>
      <b/>
      <sz val="11"/>
      <name val="Arial"/>
      <family val="2"/>
    </font>
  </fonts>
  <fills count="4">
    <fill>
      <patternFill patternType="none"/>
    </fill>
    <fill>
      <patternFill patternType="gray125"/>
    </fill>
    <fill>
      <patternFill patternType="solid">
        <fgColor rgb="FFD8D8D8"/>
        <bgColor indexed="64"/>
      </patternFill>
    </fill>
    <fill>
      <patternFill patternType="solid">
        <fgColor theme="0" tint="-0.14999847407452621"/>
        <bgColor indexed="64"/>
      </patternFill>
    </fill>
  </fills>
  <borders count="35">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7" fillId="0" borderId="0" applyFont="0" applyFill="0" applyBorder="0" applyAlignment="0" applyProtection="0"/>
  </cellStyleXfs>
  <cellXfs count="102">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2" fontId="5" fillId="2" borderId="0" xfId="0" applyNumberFormat="1" applyFont="1" applyFill="1" applyBorder="1" applyAlignment="1">
      <alignment vertical="center"/>
    </xf>
    <xf numFmtId="0" fontId="0" fillId="2" borderId="0" xfId="0" applyFill="1" applyBorder="1"/>
    <xf numFmtId="0" fontId="0" fillId="2" borderId="12" xfId="0" applyFill="1" applyBorder="1"/>
    <xf numFmtId="10" fontId="6" fillId="0" borderId="0" xfId="0" applyNumberFormat="1" applyFont="1" applyBorder="1"/>
    <xf numFmtId="0" fontId="1" fillId="0" borderId="18" xfId="0" applyFont="1" applyBorder="1" applyAlignment="1">
      <alignment vertical="center"/>
    </xf>
    <xf numFmtId="164" fontId="1" fillId="0" borderId="18" xfId="0" applyNumberFormat="1" applyFont="1" applyBorder="1" applyAlignment="1">
      <alignment vertical="center"/>
    </xf>
    <xf numFmtId="165" fontId="1" fillId="0" borderId="2" xfId="0" applyNumberFormat="1" applyFont="1" applyBorder="1" applyAlignment="1">
      <alignment vertical="center"/>
    </xf>
    <xf numFmtId="1" fontId="5" fillId="2" borderId="0" xfId="0" applyNumberFormat="1" applyFont="1" applyFill="1" applyBorder="1" applyAlignment="1">
      <alignment vertical="center"/>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0"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8" fillId="0" borderId="0" xfId="0" applyFont="1"/>
    <xf numFmtId="0" fontId="8" fillId="0" borderId="19" xfId="0" applyFont="1" applyBorder="1"/>
    <xf numFmtId="0" fontId="8" fillId="0" borderId="20" xfId="0" applyFont="1" applyBorder="1"/>
    <xf numFmtId="0" fontId="8" fillId="0" borderId="21" xfId="0" applyFont="1" applyBorder="1"/>
    <xf numFmtId="0" fontId="8" fillId="0" borderId="22" xfId="0" applyFont="1" applyBorder="1"/>
    <xf numFmtId="0" fontId="9" fillId="3" borderId="0" xfId="0" applyFont="1" applyFill="1" applyBorder="1" applyAlignment="1">
      <alignment horizontal="center" vertical="center" wrapText="1"/>
    </xf>
    <xf numFmtId="0" fontId="9" fillId="3" borderId="23" xfId="0" applyFont="1" applyFill="1" applyBorder="1" applyAlignment="1">
      <alignment horizontal="center" vertical="center" wrapText="1"/>
    </xf>
    <xf numFmtId="0" fontId="10" fillId="0" borderId="0" xfId="0" applyFont="1" applyBorder="1" applyAlignment="1">
      <alignment horizontal="left"/>
    </xf>
    <xf numFmtId="0" fontId="11" fillId="0" borderId="0" xfId="0" applyFont="1" applyBorder="1"/>
    <xf numFmtId="0" fontId="8" fillId="0" borderId="0" xfId="0" applyFont="1" applyBorder="1"/>
    <xf numFmtId="0" fontId="8" fillId="0" borderId="23" xfId="0" applyFont="1" applyBorder="1"/>
    <xf numFmtId="0" fontId="9" fillId="2" borderId="0" xfId="0" applyFont="1" applyFill="1" applyBorder="1" applyAlignment="1">
      <alignment horizontal="left" vertical="center"/>
    </xf>
    <xf numFmtId="0" fontId="9" fillId="3" borderId="0" xfId="0" applyFont="1" applyFill="1" applyBorder="1" applyAlignment="1">
      <alignment horizontal="right" vertical="center"/>
    </xf>
    <xf numFmtId="0" fontId="11" fillId="0" borderId="0" xfId="0" applyFont="1"/>
    <xf numFmtId="0" fontId="10" fillId="3" borderId="30" xfId="0" applyFont="1" applyFill="1" applyBorder="1" applyAlignment="1">
      <alignment horizontal="center" vertical="center" wrapText="1"/>
    </xf>
    <xf numFmtId="0" fontId="10" fillId="3" borderId="31" xfId="0" applyFont="1" applyFill="1" applyBorder="1" applyAlignment="1">
      <alignment horizontal="center" vertical="center" wrapText="1"/>
    </xf>
    <xf numFmtId="0" fontId="12" fillId="3" borderId="0" xfId="0" applyFont="1" applyFill="1" applyBorder="1" applyAlignment="1">
      <alignment vertical="center" wrapText="1"/>
    </xf>
    <xf numFmtId="0" fontId="12" fillId="3" borderId="23" xfId="0" applyFont="1" applyFill="1" applyBorder="1" applyAlignment="1">
      <alignment vertical="center" wrapText="1"/>
    </xf>
    <xf numFmtId="0" fontId="8" fillId="0" borderId="32" xfId="0" applyFont="1" applyBorder="1" applyAlignment="1">
      <alignment horizontal="left" vertical="top" wrapText="1"/>
    </xf>
    <xf numFmtId="166" fontId="8" fillId="0" borderId="33" xfId="1" applyNumberFormat="1" applyFont="1" applyBorder="1" applyAlignment="1">
      <alignment horizontal="right"/>
    </xf>
    <xf numFmtId="10" fontId="8" fillId="0" borderId="0" xfId="0" applyNumberFormat="1" applyFont="1" applyBorder="1"/>
    <xf numFmtId="10" fontId="8" fillId="0" borderId="0" xfId="1" applyNumberFormat="1" applyFont="1" applyBorder="1"/>
    <xf numFmtId="14" fontId="8" fillId="0" borderId="0" xfId="0" applyNumberFormat="1" applyFont="1"/>
    <xf numFmtId="0" fontId="10" fillId="3" borderId="32" xfId="0" applyFont="1" applyFill="1" applyBorder="1" applyAlignment="1">
      <alignment horizontal="left"/>
    </xf>
    <xf numFmtId="166" fontId="10" fillId="3" borderId="33" xfId="0" applyNumberFormat="1" applyFont="1" applyFill="1" applyBorder="1" applyAlignment="1">
      <alignment horizontal="right"/>
    </xf>
    <xf numFmtId="0" fontId="8" fillId="0" borderId="8" xfId="0" applyFont="1" applyBorder="1" applyAlignment="1">
      <alignment vertical="center"/>
    </xf>
    <xf numFmtId="166" fontId="8" fillId="0" borderId="33" xfId="0" applyNumberFormat="1" applyFont="1" applyBorder="1" applyAlignment="1">
      <alignment vertical="center"/>
    </xf>
    <xf numFmtId="0" fontId="10" fillId="2" borderId="8" xfId="0" applyFont="1" applyFill="1" applyBorder="1" applyAlignment="1">
      <alignment horizontal="left" vertical="center"/>
    </xf>
    <xf numFmtId="166" fontId="10" fillId="2" borderId="33" xfId="0" applyNumberFormat="1" applyFont="1" applyFill="1" applyBorder="1" applyAlignment="1">
      <alignment horizontal="right" vertical="center"/>
    </xf>
    <xf numFmtId="164" fontId="8" fillId="0" borderId="33" xfId="0" applyNumberFormat="1" applyFont="1" applyBorder="1" applyAlignment="1">
      <alignment vertical="center"/>
    </xf>
    <xf numFmtId="0" fontId="10" fillId="2" borderId="9" xfId="0" applyFont="1" applyFill="1" applyBorder="1" applyAlignment="1">
      <alignment horizontal="left" vertical="center"/>
    </xf>
    <xf numFmtId="164" fontId="10" fillId="2" borderId="34" xfId="0" applyNumberFormat="1" applyFont="1" applyFill="1" applyBorder="1" applyAlignment="1">
      <alignment horizontal="right" vertical="center"/>
    </xf>
    <xf numFmtId="0" fontId="10" fillId="0" borderId="0" xfId="0" applyFont="1" applyFill="1" applyBorder="1" applyAlignment="1">
      <alignment horizontal="left"/>
    </xf>
    <xf numFmtId="167" fontId="10" fillId="0" borderId="0" xfId="0" applyNumberFormat="1" applyFont="1" applyFill="1" applyBorder="1" applyAlignment="1">
      <alignment horizontal="right"/>
    </xf>
    <xf numFmtId="0" fontId="8" fillId="0" borderId="0" xfId="0" applyFont="1" applyFill="1" applyBorder="1"/>
    <xf numFmtId="10" fontId="10" fillId="0" borderId="0" xfId="1" applyNumberFormat="1" applyFont="1" applyFill="1" applyBorder="1" applyAlignment="1">
      <alignment horizontal="right"/>
    </xf>
    <xf numFmtId="0" fontId="8" fillId="0" borderId="24" xfId="0" applyFont="1" applyBorder="1"/>
    <xf numFmtId="0" fontId="10" fillId="0" borderId="25" xfId="0" applyFont="1" applyBorder="1" applyAlignment="1"/>
    <xf numFmtId="0" fontId="10" fillId="0" borderId="26" xfId="0" applyFont="1" applyBorder="1" applyAlignment="1"/>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21" xfId="0" applyFont="1" applyBorder="1" applyAlignment="1">
      <alignment horizontal="left" vertical="top" wrapText="1"/>
    </xf>
    <xf numFmtId="0" fontId="11" fillId="0" borderId="22" xfId="0" applyFont="1" applyBorder="1" applyAlignment="1">
      <alignment horizontal="left" vertical="top" wrapText="1"/>
    </xf>
    <xf numFmtId="0" fontId="11" fillId="0" borderId="0" xfId="0" applyFont="1" applyBorder="1" applyAlignment="1">
      <alignment horizontal="left" vertical="top" wrapText="1"/>
    </xf>
    <xf numFmtId="0" fontId="11" fillId="0" borderId="23" xfId="0" applyFont="1" applyBorder="1" applyAlignment="1">
      <alignment horizontal="left" vertical="top" wrapText="1"/>
    </xf>
    <xf numFmtId="0" fontId="11" fillId="0" borderId="24" xfId="0" applyFont="1" applyBorder="1" applyAlignment="1">
      <alignment horizontal="left" vertical="top" wrapText="1"/>
    </xf>
    <xf numFmtId="0" fontId="11" fillId="0" borderId="25" xfId="0" applyFont="1" applyBorder="1" applyAlignment="1">
      <alignment horizontal="left" vertical="top" wrapText="1"/>
    </xf>
    <xf numFmtId="0" fontId="11" fillId="0" borderId="26" xfId="0" applyFont="1"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4.03930131004366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D2F-4217-B3AC-6FCEE2A5BAF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4D2F-4217-B3AC-6FCEE2A5BAF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E97-4C6B-B9B0-81E33427612E}"/>
                </c:ext>
              </c:extLst>
            </c:dLbl>
            <c:dLbl>
              <c:idx val="1"/>
              <c:layout>
                <c:manualLayout>
                  <c:x val="-6.4349592810534664E-2"/>
                  <c:y val="0.160027296587926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E97-4C6B-B9B0-81E33427612E}"/>
                </c:ext>
              </c:extLst>
            </c:dLbl>
            <c:dLbl>
              <c:idx val="2"/>
              <c:layout>
                <c:manualLayout>
                  <c:x val="4.4874218078200613E-2"/>
                  <c:y val="0.5350337707786526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E97-4C6B-B9B0-81E33427612E}"/>
                </c:ext>
              </c:extLst>
            </c:dLbl>
            <c:dLbl>
              <c:idx val="3"/>
              <c:layout>
                <c:manualLayout>
                  <c:x val="-0.1567427371899712"/>
                  <c:y val="-3.492248468941384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E97-4C6B-B9B0-81E33427612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OF'!$J$9:$J$12</c:f>
              <c:strCache>
                <c:ptCount val="4"/>
                <c:pt idx="0">
                  <c:v>Net Current Asset</c:v>
                </c:pt>
                <c:pt idx="1">
                  <c:v>TRI Party Repo</c:v>
                </c:pt>
                <c:pt idx="2">
                  <c:v>REPO</c:v>
                </c:pt>
                <c:pt idx="3">
                  <c:v>Treasury Bill</c:v>
                </c:pt>
              </c:strCache>
            </c:strRef>
          </c:cat>
          <c:val>
            <c:numRef>
              <c:f>'BANDHAN OF'!$K$9:$K$12</c:f>
              <c:numCache>
                <c:formatCode>0.00%</c:formatCode>
                <c:ptCount val="4"/>
                <c:pt idx="0">
                  <c:v>-1.562E-2</c:v>
                </c:pt>
                <c:pt idx="1">
                  <c:v>0.66291999999999995</c:v>
                </c:pt>
                <c:pt idx="2">
                  <c:v>0.31787300000000002</c:v>
                </c:pt>
                <c:pt idx="3">
                  <c:v>3.4826999999999997E-2</c:v>
                </c:pt>
              </c:numCache>
            </c:numRef>
          </c:val>
          <c:extLst>
            <c:ext xmlns:c16="http://schemas.microsoft.com/office/drawing/2014/chart" uri="{C3380CC4-5D6E-409C-BE32-E72D297353CC}">
              <c16:uniqueId val="{0000000C-3E97-4C6B-B9B0-81E33427612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331829907771167"/>
                  <c:y val="-2.433628318584070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04B-41CC-AB0E-9AF3F543427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CF'!$G$8</c:f>
              <c:strCache>
                <c:ptCount val="1"/>
                <c:pt idx="0">
                  <c:v>AAA EQUIVALENT</c:v>
                </c:pt>
              </c:strCache>
            </c:strRef>
          </c:cat>
          <c:val>
            <c:numRef>
              <c:f>'BANDHAN CF'!$H$8</c:f>
              <c:numCache>
                <c:formatCode>0%</c:formatCode>
                <c:ptCount val="1"/>
                <c:pt idx="0">
                  <c:v>1</c:v>
                </c:pt>
              </c:numCache>
            </c:numRef>
          </c:val>
          <c:extLst>
            <c:ext xmlns:c16="http://schemas.microsoft.com/office/drawing/2014/chart" uri="{C3380CC4-5D6E-409C-BE32-E72D297353CC}">
              <c16:uniqueId val="{0000000C-504B-41CC-AB0E-9AF3F543427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DD3-4C58-B1B7-6268FA348FD0}"/>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DD3-4C58-B1B7-6268FA348FD0}"/>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DD3-4C58-B1B7-6268FA348FD0}"/>
                </c:ext>
              </c:extLst>
            </c:dLbl>
            <c:dLbl>
              <c:idx val="3"/>
              <c:layout>
                <c:manualLayout>
                  <c:x val="-9.6319614223810884E-2"/>
                  <c:y val="0.2299303084352025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DD3-4C58-B1B7-6268FA348FD0}"/>
                </c:ext>
              </c:extLst>
            </c:dLbl>
            <c:dLbl>
              <c:idx val="4"/>
              <c:layout>
                <c:manualLayout>
                  <c:x val="1.3329005715827277E-2"/>
                  <c:y val="5.86575020663853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DD3-4C58-B1B7-6268FA348FD0}"/>
                </c:ext>
              </c:extLst>
            </c:dLbl>
            <c:dLbl>
              <c:idx val="5"/>
              <c:layout>
                <c:manualLayout>
                  <c:x val="-0.12671727731035762"/>
                  <c:y val="-8.3192065080262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DD3-4C58-B1B7-6268FA348FD0}"/>
                </c:ext>
              </c:extLst>
            </c:dLbl>
            <c:dLbl>
              <c:idx val="6"/>
              <c:layout>
                <c:manualLayout>
                  <c:x val="-0.16990389316967069"/>
                  <c:y val="-1.800530734763126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DD3-4C58-B1B7-6268FA348FD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CF'!$J$9:$J$15</c:f>
              <c:strCache>
                <c:ptCount val="7"/>
                <c:pt idx="0">
                  <c:v>Net Current Asset</c:v>
                </c:pt>
                <c:pt idx="1">
                  <c:v>TRI Party Repo</c:v>
                </c:pt>
                <c:pt idx="2">
                  <c:v>Certificate of Deposit</c:v>
                </c:pt>
                <c:pt idx="3">
                  <c:v>Corporate Bond</c:v>
                </c:pt>
                <c:pt idx="4">
                  <c:v>Commercial Paper</c:v>
                </c:pt>
                <c:pt idx="5">
                  <c:v>Treasury Bill</c:v>
                </c:pt>
                <c:pt idx="6">
                  <c:v>Zero Coupon Bond</c:v>
                </c:pt>
              </c:strCache>
            </c:strRef>
          </c:cat>
          <c:val>
            <c:numRef>
              <c:f>'BANDHAN CF'!$K$9:$K$15</c:f>
              <c:numCache>
                <c:formatCode>0.00%</c:formatCode>
                <c:ptCount val="7"/>
                <c:pt idx="0">
                  <c:v>4.5110000000000003E-3</c:v>
                </c:pt>
                <c:pt idx="1">
                  <c:v>9.1759999999999994E-2</c:v>
                </c:pt>
                <c:pt idx="2">
                  <c:v>0.192053</c:v>
                </c:pt>
                <c:pt idx="3">
                  <c:v>8.8549000000000003E-2</c:v>
                </c:pt>
                <c:pt idx="4">
                  <c:v>0.41845399999999999</c:v>
                </c:pt>
                <c:pt idx="5">
                  <c:v>0.20063400000000001</c:v>
                </c:pt>
                <c:pt idx="6">
                  <c:v>4.0390000000000001E-3</c:v>
                </c:pt>
              </c:numCache>
            </c:numRef>
          </c:val>
          <c:extLst>
            <c:ext xmlns:c16="http://schemas.microsoft.com/office/drawing/2014/chart" uri="{C3380CC4-5D6E-409C-BE32-E72D297353CC}">
              <c16:uniqueId val="{0000000C-ADD3-4C58-B1B7-6268FA348FD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4.84581497797356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3F2-44BA-9AED-B17CFA38864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c:f>
              <c:strCache>
                <c:ptCount val="1"/>
                <c:pt idx="0">
                  <c:v>AAA EQUIVALENT</c:v>
                </c:pt>
              </c:strCache>
            </c:strRef>
          </c:cat>
          <c:val>
            <c:numRef>
              <c:f>'BANDHAN LDF'!$H$8</c:f>
              <c:numCache>
                <c:formatCode>0%</c:formatCode>
                <c:ptCount val="1"/>
                <c:pt idx="0">
                  <c:v>1</c:v>
                </c:pt>
              </c:numCache>
            </c:numRef>
          </c:val>
          <c:extLst>
            <c:ext xmlns:c16="http://schemas.microsoft.com/office/drawing/2014/chart" uri="{C3380CC4-5D6E-409C-BE32-E72D297353CC}">
              <c16:uniqueId val="{0000000C-E3F2-44BA-9AED-B17CFA38864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layout>
                <c:manualLayout>
                  <c:x val="3.730968318467686E-2"/>
                  <c:y val="1.1852142534187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F49-45C9-9615-E9047CCB4239}"/>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F49-45C9-9615-E9047CCB4239}"/>
                </c:ext>
              </c:extLst>
            </c:dLbl>
            <c:dLbl>
              <c:idx val="2"/>
              <c:layout>
                <c:manualLayout>
                  <c:x val="6.6330910991586431E-2"/>
                  <c:y val="-4.875065048071593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F49-45C9-9615-E9047CCB4239}"/>
                </c:ext>
              </c:extLst>
            </c:dLbl>
            <c:dLbl>
              <c:idx val="3"/>
              <c:layout>
                <c:manualLayout>
                  <c:x val="-0.10214402535871453"/>
                  <c:y val="0.1286363364926079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F49-45C9-9615-E9047CCB4239}"/>
                </c:ext>
              </c:extLst>
            </c:dLbl>
            <c:dLbl>
              <c:idx val="4"/>
              <c:layout>
                <c:manualLayout>
                  <c:x val="5.3075502874774486E-2"/>
                  <c:y val="0.1280313254450994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F49-45C9-9615-E9047CCB4239}"/>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F49-45C9-9615-E9047CCB4239}"/>
                </c:ext>
              </c:extLst>
            </c:dLbl>
            <c:dLbl>
              <c:idx val="6"/>
              <c:layout>
                <c:manualLayout>
                  <c:x val="1.0622839703923519E-2"/>
                  <c:y val="-0.1265158973221521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BF49-45C9-9615-E9047CCB4239}"/>
                </c:ext>
              </c:extLst>
            </c:dLbl>
            <c:dLbl>
              <c:idx val="7"/>
              <c:layout>
                <c:manualLayout>
                  <c:x val="-8.1830582205061661E-2"/>
                  <c:y val="-4.39921174533573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BF49-45C9-9615-E9047CCB423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'BANDHAN LDF'!$K$9:$K$16</c:f>
              <c:numCache>
                <c:formatCode>0.00%</c:formatCode>
                <c:ptCount val="8"/>
                <c:pt idx="0">
                  <c:v>5.5370000000000003E-3</c:v>
                </c:pt>
                <c:pt idx="1">
                  <c:v>3.9626000000000001E-2</c:v>
                </c:pt>
                <c:pt idx="2">
                  <c:v>0.158472</c:v>
                </c:pt>
                <c:pt idx="3">
                  <c:v>0.33719700000000002</c:v>
                </c:pt>
                <c:pt idx="4">
                  <c:v>0.19872899999999999</c:v>
                </c:pt>
                <c:pt idx="5">
                  <c:v>6.8164000000000002E-2</c:v>
                </c:pt>
                <c:pt idx="6">
                  <c:v>0.188697</c:v>
                </c:pt>
                <c:pt idx="7">
                  <c:v>3.578E-3</c:v>
                </c:pt>
              </c:numCache>
            </c:numRef>
          </c:val>
          <c:extLst>
            <c:ext xmlns:c16="http://schemas.microsoft.com/office/drawing/2014/chart" uri="{C3380CC4-5D6E-409C-BE32-E72D297353CC}">
              <c16:uniqueId val="{0000000C-BF49-45C9-9615-E9047CCB423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957097573724055"/>
                  <c:y val="-3.31858407079646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AA7-42AD-B5A6-C39BD496439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c:v>
                </c:pt>
              </c:strCache>
            </c:strRef>
          </c:cat>
          <c:val>
            <c:numRef>
              <c:f>'BANDHAN MMF'!$H$8</c:f>
              <c:numCache>
                <c:formatCode>0%</c:formatCode>
                <c:ptCount val="1"/>
                <c:pt idx="0">
                  <c:v>1</c:v>
                </c:pt>
              </c:numCache>
            </c:numRef>
          </c:val>
          <c:extLst>
            <c:ext xmlns:c16="http://schemas.microsoft.com/office/drawing/2014/chart" uri="{C3380CC4-5D6E-409C-BE32-E72D297353CC}">
              <c16:uniqueId val="{0000000C-3AA7-42AD-B5A6-C39BD496439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592-4150-8EE7-F97ED6F1D6B7}"/>
                </c:ext>
              </c:extLst>
            </c:dLbl>
            <c:dLbl>
              <c:idx val="1"/>
              <c:layout>
                <c:manualLayout>
                  <c:x val="0.28356876696622774"/>
                  <c:y val="-1.58326835913737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592-4150-8EE7-F97ED6F1D6B7}"/>
                </c:ext>
              </c:extLst>
            </c:dLbl>
            <c:dLbl>
              <c:idx val="2"/>
              <c:layout>
                <c:manualLayout>
                  <c:x val="-9.4328179534303391E-2"/>
                  <c:y val="0.280688526556596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592-4150-8EE7-F97ED6F1D6B7}"/>
                </c:ext>
              </c:extLst>
            </c:dLbl>
            <c:dLbl>
              <c:idx val="3"/>
              <c:layout>
                <c:manualLayout>
                  <c:x val="3.5141884031091405E-2"/>
                  <c:y val="0.2139720510997061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592-4150-8EE7-F97ED6F1D6B7}"/>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592-4150-8EE7-F97ED6F1D6B7}"/>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2592-4150-8EE7-F97ED6F1D6B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MMF'!$J$9:$J$14</c:f>
              <c:strCache>
                <c:ptCount val="6"/>
                <c:pt idx="0">
                  <c:v>Net Current Asset</c:v>
                </c:pt>
                <c:pt idx="1">
                  <c:v>TRI Party Repo</c:v>
                </c:pt>
                <c:pt idx="2">
                  <c:v>Certificate of Deposit</c:v>
                </c:pt>
                <c:pt idx="3">
                  <c:v>Commercial Paper</c:v>
                </c:pt>
                <c:pt idx="4">
                  <c:v>State Government Bond</c:v>
                </c:pt>
                <c:pt idx="5">
                  <c:v>Treasury Bill</c:v>
                </c:pt>
              </c:strCache>
            </c:strRef>
          </c:cat>
          <c:val>
            <c:numRef>
              <c:f>'BANDHAN MMF'!$K$9:$K$14</c:f>
              <c:numCache>
                <c:formatCode>0.00%</c:formatCode>
                <c:ptCount val="6"/>
                <c:pt idx="0">
                  <c:v>-1.0020000000000001E-3</c:v>
                </c:pt>
                <c:pt idx="1">
                  <c:v>2.3037999999999999E-2</c:v>
                </c:pt>
                <c:pt idx="2">
                  <c:v>0.52747100000000002</c:v>
                </c:pt>
                <c:pt idx="3">
                  <c:v>0.30270900000000001</c:v>
                </c:pt>
                <c:pt idx="4">
                  <c:v>3.3986000000000002E-2</c:v>
                </c:pt>
                <c:pt idx="5">
                  <c:v>0.113798</c:v>
                </c:pt>
              </c:numCache>
            </c:numRef>
          </c:val>
          <c:extLst>
            <c:ext xmlns:c16="http://schemas.microsoft.com/office/drawing/2014/chart" uri="{C3380CC4-5D6E-409C-BE32-E72D297353CC}">
              <c16:uniqueId val="{0000000C-2592-4150-8EE7-F97ED6F1D6B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3.52422907488986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018-42F0-B52C-0091A579552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c:f>
              <c:strCache>
                <c:ptCount val="1"/>
                <c:pt idx="0">
                  <c:v>AAA EQUIVALENT</c:v>
                </c:pt>
              </c:strCache>
            </c:strRef>
          </c:cat>
          <c:val>
            <c:numRef>
              <c:f>'BANDHAN USTF'!$H$8</c:f>
              <c:numCache>
                <c:formatCode>0%</c:formatCode>
                <c:ptCount val="1"/>
                <c:pt idx="0">
                  <c:v>1</c:v>
                </c:pt>
              </c:numCache>
            </c:numRef>
          </c:val>
          <c:extLst>
            <c:ext xmlns:c16="http://schemas.microsoft.com/office/drawing/2014/chart" uri="{C3380CC4-5D6E-409C-BE32-E72D297353CC}">
              <c16:uniqueId val="{0000000C-4018-42F0-B52C-0091A579552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layout>
                <c:manualLayout>
                  <c:x val="8.2720582036453147E-2"/>
                  <c:y val="-3.21547728187948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67E-49C1-A4C2-12F88A9452A5}"/>
                </c:ext>
              </c:extLst>
            </c:dLbl>
            <c:dLbl>
              <c:idx val="1"/>
              <c:layout>
                <c:manualLayout>
                  <c:x val="8.4612959247331768E-2"/>
                  <c:y val="-6.036516926135049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67E-49C1-A4C2-12F88A9452A5}"/>
                </c:ext>
              </c:extLst>
            </c:dLbl>
            <c:dLbl>
              <c:idx val="2"/>
              <c:layout>
                <c:manualLayout>
                  <c:x val="-9.7004839063211321E-2"/>
                  <c:y val="0.3059083392595511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67E-49C1-A4C2-12F88A9452A5}"/>
                </c:ext>
              </c:extLst>
            </c:dLbl>
            <c:dLbl>
              <c:idx val="3"/>
              <c:layout>
                <c:manualLayout>
                  <c:x val="-5.0433323778853126E-3"/>
                  <c:y val="2.581820362770214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67E-49C1-A4C2-12F88A9452A5}"/>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67E-49C1-A4C2-12F88A9452A5}"/>
                </c:ext>
              </c:extLst>
            </c:dLbl>
            <c:dLbl>
              <c:idx val="5"/>
              <c:layout>
                <c:manualLayout>
                  <c:x val="-0.10514955571667033"/>
                  <c:y val="-0.1038225390487777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67E-49C1-A4C2-12F88A9452A5}"/>
                </c:ext>
              </c:extLst>
            </c:dLbl>
            <c:dLbl>
              <c:idx val="6"/>
              <c:layout>
                <c:manualLayout>
                  <c:x val="-1.4273803301353886E-2"/>
                  <c:y val="-2.88903549733105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E67E-49C1-A4C2-12F88A9452A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USTF'!$J$9:$J$15</c:f>
              <c:strCache>
                <c:ptCount val="7"/>
                <c:pt idx="0">
                  <c:v>Net Current Asset</c:v>
                </c:pt>
                <c:pt idx="1">
                  <c:v>TRI Party Repo</c:v>
                </c:pt>
                <c:pt idx="2">
                  <c:v>Certificate of Deposit</c:v>
                </c:pt>
                <c:pt idx="3">
                  <c:v>Corporate Bond</c:v>
                </c:pt>
                <c:pt idx="4">
                  <c:v>Commercial Paper</c:v>
                </c:pt>
                <c:pt idx="5">
                  <c:v>State Government Bond</c:v>
                </c:pt>
                <c:pt idx="6">
                  <c:v>Treasury Bill</c:v>
                </c:pt>
              </c:strCache>
            </c:strRef>
          </c:cat>
          <c:val>
            <c:numRef>
              <c:f>'BANDHAN USTF'!$K$9:$K$15</c:f>
              <c:numCache>
                <c:formatCode>0.00%</c:formatCode>
                <c:ptCount val="7"/>
                <c:pt idx="0">
                  <c:v>1.2307E-2</c:v>
                </c:pt>
                <c:pt idx="1">
                  <c:v>0.176256</c:v>
                </c:pt>
                <c:pt idx="2">
                  <c:v>0.20793600000000001</c:v>
                </c:pt>
                <c:pt idx="3">
                  <c:v>0.33877400000000002</c:v>
                </c:pt>
                <c:pt idx="4">
                  <c:v>0.220001</c:v>
                </c:pt>
                <c:pt idx="5">
                  <c:v>3.9043000000000001E-2</c:v>
                </c:pt>
                <c:pt idx="6">
                  <c:v>5.6829999999999997E-3</c:v>
                </c:pt>
              </c:numCache>
            </c:numRef>
          </c:val>
          <c:extLst>
            <c:ext xmlns:c16="http://schemas.microsoft.com/office/drawing/2014/chart" uri="{C3380CC4-5D6E-409C-BE32-E72D297353CC}">
              <c16:uniqueId val="{0000000C-E67E-49C1-A4C2-12F88A9452A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0A1-4F2D-B1B7-C7469906188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30A1-4F2D-B1B7-C7469906188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EFD-4B32-A7E8-E706E78DBDBE}"/>
                </c:ext>
              </c:extLst>
            </c:dLbl>
            <c:dLbl>
              <c:idx val="1"/>
              <c:layout>
                <c:manualLayout>
                  <c:x val="0.10638334822708181"/>
                  <c:y val="-1.58586176727909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EFD-4B32-A7E8-E706E78DBDBE}"/>
                </c:ext>
              </c:extLst>
            </c:dLbl>
            <c:dLbl>
              <c:idx val="2"/>
              <c:layout>
                <c:manualLayout>
                  <c:x val="-0.20056070748115801"/>
                  <c:y val="-6.930183727034120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EFD-4B32-A7E8-E706E78DBDB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DBF'!$J$9:$J$11</c:f>
              <c:strCache>
                <c:ptCount val="3"/>
                <c:pt idx="0">
                  <c:v>Net Current Asset</c:v>
                </c:pt>
                <c:pt idx="1">
                  <c:v>TRI Party Repo</c:v>
                </c:pt>
                <c:pt idx="2">
                  <c:v>Government Bond</c:v>
                </c:pt>
              </c:strCache>
            </c:strRef>
          </c:cat>
          <c:val>
            <c:numRef>
              <c:f>'BANDHAN DBF'!$K$9:$K$11</c:f>
              <c:numCache>
                <c:formatCode>0.00%</c:formatCode>
                <c:ptCount val="3"/>
                <c:pt idx="0">
                  <c:v>2.5411E-2</c:v>
                </c:pt>
                <c:pt idx="1">
                  <c:v>1.7420000000000001E-3</c:v>
                </c:pt>
                <c:pt idx="2">
                  <c:v>0.97284700000000002</c:v>
                </c:pt>
              </c:numCache>
            </c:numRef>
          </c:val>
          <c:extLst>
            <c:ext xmlns:c16="http://schemas.microsoft.com/office/drawing/2014/chart" uri="{C3380CC4-5D6E-409C-BE32-E72D297353CC}">
              <c16:uniqueId val="{0000000C-BEFD-4B32-A7E8-E706E78DBDB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9B0-4AD7-B7F6-B7B917468AB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29B0-4AD7-B7F6-B7B917468AB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C95-4D25-B8D0-9C2DD28449E5}"/>
                </c:ext>
              </c:extLst>
            </c:dLbl>
            <c:dLbl>
              <c:idx val="1"/>
              <c:layout>
                <c:manualLayout>
                  <c:x val="9.1689203999392926E-2"/>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C95-4D25-B8D0-9C2DD28449E5}"/>
                </c:ext>
              </c:extLst>
            </c:dLbl>
            <c:dLbl>
              <c:idx val="2"/>
              <c:layout>
                <c:manualLayout>
                  <c:x val="-0.22562857239204842"/>
                  <c:y val="-3.9152405949256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C95-4D25-B8D0-9C2DD28449E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IP'!$J$9:$J$11</c:f>
              <c:strCache>
                <c:ptCount val="3"/>
                <c:pt idx="0">
                  <c:v>Net Current Asset</c:v>
                </c:pt>
                <c:pt idx="1">
                  <c:v>TRI Party Repo</c:v>
                </c:pt>
                <c:pt idx="2">
                  <c:v>Government Bond</c:v>
                </c:pt>
              </c:strCache>
            </c:strRef>
          </c:cat>
          <c:val>
            <c:numRef>
              <c:f>'BANDHAN BOND IP'!$K$9:$K$11</c:f>
              <c:numCache>
                <c:formatCode>0.00%</c:formatCode>
                <c:ptCount val="3"/>
                <c:pt idx="0">
                  <c:v>1.985E-2</c:v>
                </c:pt>
                <c:pt idx="1">
                  <c:v>2.5790000000000001E-3</c:v>
                </c:pt>
                <c:pt idx="2">
                  <c:v>0.97757099999999997</c:v>
                </c:pt>
              </c:numCache>
            </c:numRef>
          </c:val>
          <c:extLst>
            <c:ext xmlns:c16="http://schemas.microsoft.com/office/drawing/2014/chart" uri="{C3380CC4-5D6E-409C-BE32-E72D297353CC}">
              <c16:uniqueId val="{0000000C-5C95-4D25-B8D0-9C2DD28449E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2.82608695652173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E36-405E-8E5D-C0AEDF40454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CE36-405E-8E5D-C0AEDF40454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746-428D-AAF9-C8543B65F7D0}"/>
                </c:ext>
              </c:extLst>
            </c:dLbl>
            <c:dLbl>
              <c:idx val="1"/>
              <c:layout>
                <c:manualLayout>
                  <c:x val="0.13237442883879344"/>
                  <c:y val="-2.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746-428D-AAF9-C8543B65F7D0}"/>
                </c:ext>
              </c:extLst>
            </c:dLbl>
            <c:dLbl>
              <c:idx val="2"/>
              <c:layout>
                <c:manualLayout>
                  <c:x val="-0.30628403783574165"/>
                  <c:y val="-2.58190726159230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746-428D-AAF9-C8543B65F7D0}"/>
                </c:ext>
              </c:extLst>
            </c:dLbl>
            <c:dLbl>
              <c:idx val="3"/>
              <c:layout>
                <c:manualLayout>
                  <c:x val="-1.5062638048188302E-2"/>
                  <c:y val="-1.58586176727909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746-428D-AAF9-C8543B65F7D0}"/>
                </c:ext>
              </c:extLst>
            </c:dLbl>
            <c:dLbl>
              <c:idx val="4"/>
              <c:layout>
                <c:manualLayout>
                  <c:x val="-0.19229004029742536"/>
                  <c:y val="-4.15891513560804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746-428D-AAF9-C8543B65F7D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MT'!$J$9:$J$13</c:f>
              <c:strCache>
                <c:ptCount val="5"/>
                <c:pt idx="0">
                  <c:v>Net Current Asset</c:v>
                </c:pt>
                <c:pt idx="1">
                  <c:v>TRI Party Repo</c:v>
                </c:pt>
                <c:pt idx="2">
                  <c:v>Government Bond</c:v>
                </c:pt>
                <c:pt idx="3">
                  <c:v>PTC</c:v>
                </c:pt>
                <c:pt idx="4">
                  <c:v>State Government Bond</c:v>
                </c:pt>
              </c:strCache>
            </c:strRef>
          </c:cat>
          <c:val>
            <c:numRef>
              <c:f>'BANDHAN BOND MT'!$K$9:$K$13</c:f>
              <c:numCache>
                <c:formatCode>0.00%</c:formatCode>
                <c:ptCount val="5"/>
                <c:pt idx="0">
                  <c:v>1.9539999999999998E-2</c:v>
                </c:pt>
                <c:pt idx="1">
                  <c:v>2.467E-3</c:v>
                </c:pt>
                <c:pt idx="2">
                  <c:v>0.95056200000000002</c:v>
                </c:pt>
                <c:pt idx="3">
                  <c:v>9.7780000000000002E-3</c:v>
                </c:pt>
                <c:pt idx="4">
                  <c:v>1.7652999999999999E-2</c:v>
                </c:pt>
              </c:numCache>
            </c:numRef>
          </c:val>
          <c:extLst>
            <c:ext xmlns:c16="http://schemas.microsoft.com/office/drawing/2014/chart" uri="{C3380CC4-5D6E-409C-BE32-E72D297353CC}">
              <c16:uniqueId val="{0000000C-5746-428D-AAF9-C8543B65F7D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838-4658-BDEA-F1A8E9FB8BD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6838-4658-BDEA-F1A8E9FB8BD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layout>
                <c:manualLayout>
                  <c:x val="-0.2211045541148898"/>
                  <c:y val="-3.25299554946935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5C1-4505-A80E-6F79DC344CB2}"/>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5C1-4505-A80E-6F79DC344CB2}"/>
                </c:ext>
              </c:extLst>
            </c:dLbl>
            <c:dLbl>
              <c:idx val="2"/>
              <c:layout>
                <c:manualLayout>
                  <c:x val="0.1854814614982549"/>
                  <c:y val="-0.1411639849366655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5C1-4505-A80E-6F79DC344CB2}"/>
                </c:ext>
              </c:extLst>
            </c:dLbl>
            <c:dLbl>
              <c:idx val="3"/>
              <c:layout>
                <c:manualLayout>
                  <c:x val="-5.8720514593063447E-2"/>
                  <c:y val="-6.888086271824717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5C1-4505-A80E-6F79DC344CB2}"/>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5C1-4505-A80E-6F79DC344CB2}"/>
                </c:ext>
              </c:extLst>
            </c:dLbl>
            <c:dLbl>
              <c:idx val="5"/>
              <c:layout>
                <c:manualLayout>
                  <c:x val="4.5398843345866566E-2"/>
                  <c:y val="0.1082293735022252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65C1-4505-A80E-6F79DC344CB2}"/>
                </c:ext>
              </c:extLst>
            </c:dLbl>
            <c:dLbl>
              <c:idx val="6"/>
              <c:layout>
                <c:manualLayout>
                  <c:x val="-0.34788396364801294"/>
                  <c:y val="-0.1575299554946935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65C1-4505-A80E-6F79DC344CB2}"/>
                </c:ext>
              </c:extLst>
            </c:dLbl>
            <c:dLbl>
              <c:idx val="7"/>
              <c:layout>
                <c:manualLayout>
                  <c:x val="-0.37821275017282369"/>
                  <c:y val="-1.29647381033892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65C1-4505-A80E-6F79DC344CB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ST'!$J$9:$J$16</c:f>
              <c:strCache>
                <c:ptCount val="8"/>
                <c:pt idx="0">
                  <c:v>Net Current Asset</c:v>
                </c:pt>
                <c:pt idx="1">
                  <c:v>TRI Party Repo</c:v>
                </c:pt>
                <c:pt idx="2">
                  <c:v>Certificate of Deposit</c:v>
                </c:pt>
                <c:pt idx="3">
                  <c:v>Corporate Bond</c:v>
                </c:pt>
                <c:pt idx="4">
                  <c:v>Commercial Paper</c:v>
                </c:pt>
                <c:pt idx="5">
                  <c:v>Government Bond</c:v>
                </c:pt>
                <c:pt idx="6">
                  <c:v>PTC</c:v>
                </c:pt>
                <c:pt idx="7">
                  <c:v>Treasury Bill</c:v>
                </c:pt>
              </c:strCache>
            </c:strRef>
          </c:cat>
          <c:val>
            <c:numRef>
              <c:f>'BANDHAN BOND ST'!$K$9:$K$16</c:f>
              <c:numCache>
                <c:formatCode>0.00%</c:formatCode>
                <c:ptCount val="8"/>
                <c:pt idx="0">
                  <c:v>1.5827999999999998E-2</c:v>
                </c:pt>
                <c:pt idx="1">
                  <c:v>1.5250000000000001E-3</c:v>
                </c:pt>
                <c:pt idx="2">
                  <c:v>4.6969999999999998E-2</c:v>
                </c:pt>
                <c:pt idx="3">
                  <c:v>9.3757999999999994E-2</c:v>
                </c:pt>
                <c:pt idx="4">
                  <c:v>0.10595599999999999</c:v>
                </c:pt>
                <c:pt idx="5">
                  <c:v>0.73163999999999996</c:v>
                </c:pt>
                <c:pt idx="6">
                  <c:v>3.993E-3</c:v>
                </c:pt>
                <c:pt idx="7">
                  <c:v>3.3E-4</c:v>
                </c:pt>
              </c:numCache>
            </c:numRef>
          </c:val>
          <c:extLst>
            <c:ext xmlns:c16="http://schemas.microsoft.com/office/drawing/2014/chart" uri="{C3380CC4-5D6E-409C-BE32-E72D297353CC}">
              <c16:uniqueId val="{0000000C-65C1-4505-A80E-6F79DC344CB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39966952739042"/>
                  <c:y val="-1.99115044247787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9E4-44B3-99E4-C1BB08BC93A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C-09E4-44B3-99E4-C1BB08BC93A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layout>
                <c:manualLayout>
                  <c:x val="9.4771366908900839E-2"/>
                  <c:y val="-1.276555419631627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A04-4C09-949E-3ABCC3B141C2}"/>
                </c:ext>
              </c:extLst>
            </c:dLbl>
            <c:dLbl>
              <c:idx val="1"/>
              <c:layout>
                <c:manualLayout>
                  <c:x val="-0.11614923536056922"/>
                  <c:y val="-1.271731077379003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A04-4C09-949E-3ABCC3B141C2}"/>
                </c:ext>
              </c:extLst>
            </c:dLbl>
            <c:dLbl>
              <c:idx val="2"/>
              <c:layout>
                <c:manualLayout>
                  <c:x val="0.20625149640020907"/>
                  <c:y val="-2.976963765743724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A04-4C09-949E-3ABCC3B141C2}"/>
                </c:ext>
              </c:extLst>
            </c:dLbl>
            <c:dLbl>
              <c:idx val="3"/>
              <c:layout>
                <c:manualLayout>
                  <c:x val="-4.325338481512081E-2"/>
                  <c:y val="5.59472079119212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A04-4C09-949E-3ABCC3B141C2}"/>
                </c:ext>
              </c:extLst>
            </c:dLbl>
            <c:dLbl>
              <c:idx val="4"/>
              <c:layout>
                <c:manualLayout>
                  <c:x val="-9.4041713736532404E-2"/>
                  <c:y val="-5.76322817415875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A04-4C09-949E-3ABCC3B141C2}"/>
                </c:ext>
              </c:extLst>
            </c:dLbl>
            <c:dLbl>
              <c:idx val="5"/>
              <c:layout>
                <c:manualLayout>
                  <c:x val="-5.906388575089784E-2"/>
                  <c:y val="-1.80802563793311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3A04-4C09-949E-3ABCC3B141C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BPDF'!$J$9:$J$14</c:f>
              <c:strCache>
                <c:ptCount val="6"/>
                <c:pt idx="0">
                  <c:v>Net Current Asset</c:v>
                </c:pt>
                <c:pt idx="1">
                  <c:v>TRI Party Repo</c:v>
                </c:pt>
                <c:pt idx="2">
                  <c:v>Certificate of Deposit</c:v>
                </c:pt>
                <c:pt idx="3">
                  <c:v>Corporate Bond</c:v>
                </c:pt>
                <c:pt idx="4">
                  <c:v>Government Bond</c:v>
                </c:pt>
                <c:pt idx="5">
                  <c:v>State Government Bond</c:v>
                </c:pt>
              </c:strCache>
            </c:strRef>
          </c:cat>
          <c:val>
            <c:numRef>
              <c:f>'BANDHAN BPDF'!$K$9:$K$14</c:f>
              <c:numCache>
                <c:formatCode>0.00%</c:formatCode>
                <c:ptCount val="6"/>
                <c:pt idx="0">
                  <c:v>3.0824000000000001E-2</c:v>
                </c:pt>
                <c:pt idx="1">
                  <c:v>5.5099999999999995E-4</c:v>
                </c:pt>
                <c:pt idx="2">
                  <c:v>2.5923999999999999E-2</c:v>
                </c:pt>
                <c:pt idx="3">
                  <c:v>0.749556</c:v>
                </c:pt>
                <c:pt idx="4">
                  <c:v>0.13401099999999999</c:v>
                </c:pt>
                <c:pt idx="5">
                  <c:v>5.9133999999999999E-2</c:v>
                </c:pt>
              </c:numCache>
            </c:numRef>
          </c:val>
          <c:extLst>
            <c:ext xmlns:c16="http://schemas.microsoft.com/office/drawing/2014/chart" uri="{C3380CC4-5D6E-409C-BE32-E72D297353CC}">
              <c16:uniqueId val="{0000000C-3A04-4C09-949E-3ABCC3B141C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3.0837004405286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366-40B5-9F25-CE602F14524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CBF'!$G$8</c:f>
              <c:strCache>
                <c:ptCount val="1"/>
                <c:pt idx="0">
                  <c:v>AAA EQUIVALENT</c:v>
                </c:pt>
              </c:strCache>
            </c:strRef>
          </c:cat>
          <c:val>
            <c:numRef>
              <c:f>'BANDHAN CBF'!$H$8</c:f>
              <c:numCache>
                <c:formatCode>0%</c:formatCode>
                <c:ptCount val="1"/>
                <c:pt idx="0">
                  <c:v>1</c:v>
                </c:pt>
              </c:numCache>
            </c:numRef>
          </c:val>
          <c:extLst>
            <c:ext xmlns:c16="http://schemas.microsoft.com/office/drawing/2014/chart" uri="{C3380CC4-5D6E-409C-BE32-E72D297353CC}">
              <c16:uniqueId val="{0000000C-F366-40B5-9F25-CE602F14524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CBF'!$K$8</c:f>
              <c:strCache>
                <c:ptCount val="1"/>
                <c:pt idx="0">
                  <c:v>Total</c:v>
                </c:pt>
              </c:strCache>
            </c:strRef>
          </c:tx>
          <c:dLbls>
            <c:dLbl>
              <c:idx val="0"/>
              <c:layout>
                <c:manualLayout>
                  <c:x val="0.25655903825726278"/>
                  <c:y val="-8.55603470852174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756-464A-A20A-2043E14975C1}"/>
                </c:ext>
              </c:extLst>
            </c:dLbl>
            <c:dLbl>
              <c:idx val="1"/>
              <c:layout>
                <c:manualLayout>
                  <c:x val="2.3897047665615675E-2"/>
                  <c:y val="-1.776070674092567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756-464A-A20A-2043E14975C1}"/>
                </c:ext>
              </c:extLst>
            </c:dLbl>
            <c:dLbl>
              <c:idx val="2"/>
              <c:layout>
                <c:manualLayout>
                  <c:x val="0.17511541250063228"/>
                  <c:y val="2.6731846989192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756-464A-A20A-2043E14975C1}"/>
                </c:ext>
              </c:extLst>
            </c:dLbl>
            <c:dLbl>
              <c:idx val="3"/>
              <c:layout>
                <c:manualLayout>
                  <c:x val="-4.0226609789408091E-2"/>
                  <c:y val="3.820137227857604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756-464A-A20A-2043E14975C1}"/>
                </c:ext>
              </c:extLst>
            </c:dLbl>
            <c:dLbl>
              <c:idx val="4"/>
              <c:layout>
                <c:manualLayout>
                  <c:x val="-5.0652008969970831E-2"/>
                  <c:y val="-7.56244216701293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756-464A-A20A-2043E14975C1}"/>
                </c:ext>
              </c:extLst>
            </c:dLbl>
            <c:dLbl>
              <c:idx val="5"/>
              <c:layout>
                <c:manualLayout>
                  <c:x val="-0.11943499300274832"/>
                  <c:y val="0.6125233514325121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4756-464A-A20A-2043E14975C1}"/>
                </c:ext>
              </c:extLst>
            </c:dLbl>
            <c:dLbl>
              <c:idx val="6"/>
              <c:layout>
                <c:manualLayout>
                  <c:x val="5.1194422431671396E-2"/>
                  <c:y val="-7.05585138886463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4756-464A-A20A-2043E14975C1}"/>
                </c:ext>
              </c:extLst>
            </c:dLbl>
            <c:dLbl>
              <c:idx val="7"/>
              <c:layout>
                <c:manualLayout>
                  <c:x val="-0.1940351380060362"/>
                  <c:y val="-0.1574115264416781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4756-464A-A20A-2043E14975C1}"/>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4756-464A-A20A-2043E14975C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CBF'!$J$9:$J$17</c:f>
              <c:strCache>
                <c:ptCount val="9"/>
                <c:pt idx="0">
                  <c:v>Net Current Asset</c:v>
                </c:pt>
                <c:pt idx="1">
                  <c:v>TRI Party Repo</c:v>
                </c:pt>
                <c:pt idx="2">
                  <c:v>Certificate of Deposit</c:v>
                </c:pt>
                <c:pt idx="3">
                  <c:v>Corporate Bond</c:v>
                </c:pt>
                <c:pt idx="4">
                  <c:v>Commercial Paper</c:v>
                </c:pt>
                <c:pt idx="5">
                  <c:v>Government Bond</c:v>
                </c:pt>
                <c:pt idx="6">
                  <c:v>State Government Bond</c:v>
                </c:pt>
                <c:pt idx="7">
                  <c:v>Treasury Bill</c:v>
                </c:pt>
                <c:pt idx="8">
                  <c:v>Zero Coupon Bond</c:v>
                </c:pt>
              </c:strCache>
            </c:strRef>
          </c:cat>
          <c:val>
            <c:numRef>
              <c:f>'BANDHAN CBF'!$K$9:$K$17</c:f>
              <c:numCache>
                <c:formatCode>0.00%</c:formatCode>
                <c:ptCount val="9"/>
                <c:pt idx="0">
                  <c:v>2.5010000000000001E-2</c:v>
                </c:pt>
                <c:pt idx="1">
                  <c:v>1.8010000000000001E-3</c:v>
                </c:pt>
                <c:pt idx="2">
                  <c:v>3.5423999999999997E-2</c:v>
                </c:pt>
                <c:pt idx="3">
                  <c:v>0.73767199999999999</c:v>
                </c:pt>
                <c:pt idx="4">
                  <c:v>8.584E-2</c:v>
                </c:pt>
                <c:pt idx="5">
                  <c:v>3.5E-4</c:v>
                </c:pt>
                <c:pt idx="6">
                  <c:v>3.3780999999999999E-2</c:v>
                </c:pt>
                <c:pt idx="7">
                  <c:v>7.7407000000000004E-2</c:v>
                </c:pt>
                <c:pt idx="8">
                  <c:v>2.715E-3</c:v>
                </c:pt>
              </c:numCache>
            </c:numRef>
          </c:val>
          <c:extLst>
            <c:ext xmlns:c16="http://schemas.microsoft.com/office/drawing/2014/chart" uri="{C3380CC4-5D6E-409C-BE32-E72D297353CC}">
              <c16:uniqueId val="{0000000C-4756-464A-A20A-2043E14975C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2.0494360046534369E-3"/>
                  <c:y val="-2.392462950864766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6048710988214269"/>
                      <c:h val="0.16375545851528386"/>
                    </c:manualLayout>
                  </c15:layout>
                </c:ext>
                <c:ext xmlns:c16="http://schemas.microsoft.com/office/drawing/2014/chart" uri="{C3380CC4-5D6E-409C-BE32-E72D297353CC}">
                  <c16:uniqueId val="{0000000D-637A-4666-9103-3B1F738A5F7D}"/>
                </c:ext>
              </c:extLst>
            </c:dLbl>
            <c:dLbl>
              <c:idx val="1"/>
              <c:layout>
                <c:manualLayout>
                  <c:x val="-5.2523984555463761E-2"/>
                  <c:y val="-3.5058281470274733E-2"/>
                </c:manualLayout>
              </c:layout>
              <c:spPr>
                <a:noFill/>
                <a:ln>
                  <a:noFill/>
                </a:ln>
                <a:effectLst/>
              </c:spPr>
              <c:txPr>
                <a:bodyPr wrap="square" lIns="38100" tIns="19050" rIns="38100" bIns="19050" anchor="ctr">
                  <a:no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14935760171306209"/>
                      <c:h val="0.10043668122270742"/>
                    </c:manualLayout>
                  </c15:layout>
                </c:ext>
                <c:ext xmlns:c16="http://schemas.microsoft.com/office/drawing/2014/chart" uri="{C3380CC4-5D6E-409C-BE32-E72D297353CC}">
                  <c16:uniqueId val="{0000000E-637A-4666-9103-3B1F738A5F7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FRF'!$G$8:$G$9</c:f>
              <c:strCache>
                <c:ptCount val="2"/>
                <c:pt idx="0">
                  <c:v>AAA EQUIVALENT</c:v>
                </c:pt>
                <c:pt idx="1">
                  <c:v>AA+</c:v>
                </c:pt>
              </c:strCache>
            </c:strRef>
          </c:cat>
          <c:val>
            <c:numRef>
              <c:f>'BANDHAN FRF'!$H$8:$H$9</c:f>
              <c:numCache>
                <c:formatCode>0.00%</c:formatCode>
                <c:ptCount val="2"/>
                <c:pt idx="0">
                  <c:v>0.902092</c:v>
                </c:pt>
                <c:pt idx="1">
                  <c:v>9.7907999999999995E-2</c:v>
                </c:pt>
              </c:numCache>
            </c:numRef>
          </c:val>
          <c:extLst>
            <c:ext xmlns:c16="http://schemas.microsoft.com/office/drawing/2014/chart" uri="{C3380CC4-5D6E-409C-BE32-E72D297353CC}">
              <c16:uniqueId val="{0000000C-637A-4666-9103-3B1F738A5F7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layout>
                <c:manualLayout>
                  <c:x val="-0.17557208855317069"/>
                  <c:y val="-9.483278485156532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306-4EDF-9F94-F65C2C78F47F}"/>
                </c:ext>
              </c:extLst>
            </c:dLbl>
            <c:dLbl>
              <c:idx val="1"/>
              <c:layout>
                <c:manualLayout>
                  <c:x val="-3.6510226103963983E-2"/>
                  <c:y val="-1.38596461000361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306-4EDF-9F94-F65C2C78F47F}"/>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306-4EDF-9F94-F65C2C78F47F}"/>
                </c:ext>
              </c:extLst>
            </c:dLbl>
            <c:dLbl>
              <c:idx val="3"/>
              <c:layout>
                <c:manualLayout>
                  <c:x val="-3.3503852703636962E-2"/>
                  <c:y val="2.39645755440307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306-4EDF-9F94-F65C2C78F47F}"/>
                </c:ext>
              </c:extLst>
            </c:dLbl>
            <c:dLbl>
              <c:idx val="4"/>
              <c:layout>
                <c:manualLayout>
                  <c:x val="1.8278928998971489E-2"/>
                  <c:y val="0.2970988473267974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306-4EDF-9F94-F65C2C78F47F}"/>
                </c:ext>
              </c:extLst>
            </c:dLbl>
            <c:dLbl>
              <c:idx val="5"/>
              <c:layout>
                <c:manualLayout>
                  <c:x val="-0.17534421420020571"/>
                  <c:y val="-0.1338434500939023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8306-4EDF-9F94-F65C2C78F47F}"/>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8306-4EDF-9F94-F65C2C78F47F}"/>
                </c:ext>
              </c:extLst>
            </c:dLbl>
            <c:dLbl>
              <c:idx val="7"/>
              <c:layout>
                <c:manualLayout>
                  <c:x val="-0.24754590365711782"/>
                  <c:y val="-1.824635159117145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8306-4EDF-9F94-F65C2C78F47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FRF'!$J$9:$J$16</c:f>
              <c:strCache>
                <c:ptCount val="8"/>
                <c:pt idx="0">
                  <c:v>Net Current Asset</c:v>
                </c:pt>
                <c:pt idx="1">
                  <c:v>TRI Party Repo</c:v>
                </c:pt>
                <c:pt idx="2">
                  <c:v>Certificate of Deposit</c:v>
                </c:pt>
                <c:pt idx="3">
                  <c:v>Corporate Bond</c:v>
                </c:pt>
                <c:pt idx="4">
                  <c:v>Commercial Paper</c:v>
                </c:pt>
                <c:pt idx="5">
                  <c:v>Government Bond</c:v>
                </c:pt>
                <c:pt idx="7">
                  <c:v>Treasury Bill</c:v>
                </c:pt>
              </c:strCache>
            </c:strRef>
          </c:cat>
          <c:val>
            <c:numRef>
              <c:f>'BANDHAN FRF'!$K$9:$K$16</c:f>
              <c:numCache>
                <c:formatCode>0.00%</c:formatCode>
                <c:ptCount val="8"/>
                <c:pt idx="0">
                  <c:v>1.7358999999999999E-2</c:v>
                </c:pt>
                <c:pt idx="1">
                  <c:v>9.6319999999999999E-3</c:v>
                </c:pt>
                <c:pt idx="2">
                  <c:v>0.233488</c:v>
                </c:pt>
                <c:pt idx="3">
                  <c:v>0.35856900000000003</c:v>
                </c:pt>
                <c:pt idx="4">
                  <c:v>0.23722099999999999</c:v>
                </c:pt>
                <c:pt idx="5">
                  <c:v>0.13428300000000001</c:v>
                </c:pt>
                <c:pt idx="7">
                  <c:v>9.4380000000000002E-3</c:v>
                </c:pt>
              </c:numCache>
            </c:numRef>
          </c:val>
          <c:extLst>
            <c:ext xmlns:c16="http://schemas.microsoft.com/office/drawing/2014/chart" uri="{C3380CC4-5D6E-409C-BE32-E72D297353CC}">
              <c16:uniqueId val="{0000000C-8306-4EDF-9F94-F65C2C78F47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6585922878483872"/>
                  <c:y val="-0.1488237114465495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003-4F5F-979C-190873A0A050}"/>
                </c:ext>
              </c:extLst>
            </c:dLbl>
            <c:dLbl>
              <c:idx val="1"/>
              <c:layout>
                <c:manualLayout>
                  <c:x val="9.3525181675631008E-2"/>
                  <c:y val="-0.3827002028676546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121516127400564"/>
                      <c:h val="0.16375545851528386"/>
                    </c:manualLayout>
                  </c15:layout>
                </c:ext>
                <c:ext xmlns:c16="http://schemas.microsoft.com/office/drawing/2014/chart" uri="{C3380CC4-5D6E-409C-BE32-E72D297353CC}">
                  <c16:uniqueId val="{0000000E-E003-4F5F-979C-190873A0A050}"/>
                </c:ext>
              </c:extLst>
            </c:dLbl>
            <c:dLbl>
              <c:idx val="2"/>
              <c:layout>
                <c:manualLayout>
                  <c:x val="7.5549832234568112E-2"/>
                  <c:y val="-4.303476257607537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003-4F5F-979C-190873A0A05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CRF'!$G$8:$G$10</c:f>
              <c:strCache>
                <c:ptCount val="3"/>
                <c:pt idx="0">
                  <c:v>AA</c:v>
                </c:pt>
                <c:pt idx="1">
                  <c:v>AAA EQUIVALENT</c:v>
                </c:pt>
                <c:pt idx="2">
                  <c:v>AA+</c:v>
                </c:pt>
              </c:strCache>
            </c:strRef>
          </c:cat>
          <c:val>
            <c:numRef>
              <c:f>'BANDHAN CRF'!$H$8:$H$10</c:f>
              <c:numCache>
                <c:formatCode>0.00%</c:formatCode>
                <c:ptCount val="3"/>
                <c:pt idx="0">
                  <c:v>0.48529299999999997</c:v>
                </c:pt>
                <c:pt idx="1">
                  <c:v>0.47885499999999998</c:v>
                </c:pt>
                <c:pt idx="2">
                  <c:v>3.5852000000000002E-2</c:v>
                </c:pt>
              </c:numCache>
            </c:numRef>
          </c:val>
          <c:extLst>
            <c:ext xmlns:c16="http://schemas.microsoft.com/office/drawing/2014/chart" uri="{C3380CC4-5D6E-409C-BE32-E72D297353CC}">
              <c16:uniqueId val="{0000000C-E003-4F5F-979C-190873A0A05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E66-4248-BFB1-21C9E6C70929}"/>
                </c:ext>
              </c:extLst>
            </c:dLbl>
            <c:dLbl>
              <c:idx val="1"/>
              <c:layout>
                <c:manualLayout>
                  <c:x val="3.1803267632231194E-2"/>
                  <c:y val="-4.12901875637638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E66-4248-BFB1-21C9E6C70929}"/>
                </c:ext>
              </c:extLst>
            </c:dLbl>
            <c:dLbl>
              <c:idx val="2"/>
              <c:layout>
                <c:manualLayout>
                  <c:x val="-0.13078428231802938"/>
                  <c:y val="0.1245454783268370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E66-4248-BFB1-21C9E6C70929}"/>
                </c:ext>
              </c:extLst>
            </c:dLbl>
            <c:dLbl>
              <c:idx val="3"/>
              <c:layout>
                <c:manualLayout>
                  <c:x val="4.6737173110320523E-2"/>
                  <c:y val="-0.1374159625395662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E66-4248-BFB1-21C9E6C70929}"/>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E66-4248-BFB1-21C9E6C7092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CRF'!$J$9:$J$13</c:f>
              <c:strCache>
                <c:ptCount val="5"/>
                <c:pt idx="0">
                  <c:v>Net Current Asset</c:v>
                </c:pt>
                <c:pt idx="1">
                  <c:v>TRI Party Repo</c:v>
                </c:pt>
                <c:pt idx="2">
                  <c:v>Corporate Bond</c:v>
                </c:pt>
                <c:pt idx="3">
                  <c:v>Government Bond</c:v>
                </c:pt>
                <c:pt idx="4">
                  <c:v>PTC</c:v>
                </c:pt>
              </c:strCache>
            </c:strRef>
          </c:cat>
          <c:val>
            <c:numRef>
              <c:f>'BANDHAN CRF'!$K$9:$K$13</c:f>
              <c:numCache>
                <c:formatCode>0.00%</c:formatCode>
                <c:ptCount val="5"/>
                <c:pt idx="0">
                  <c:v>1.8096999999999999E-2</c:v>
                </c:pt>
                <c:pt idx="1">
                  <c:v>0.102725</c:v>
                </c:pt>
                <c:pt idx="2">
                  <c:v>0.52114499999999997</c:v>
                </c:pt>
                <c:pt idx="3">
                  <c:v>0.277337</c:v>
                </c:pt>
                <c:pt idx="4">
                  <c:v>8.0696000000000004E-2</c:v>
                </c:pt>
              </c:numCache>
            </c:numRef>
          </c:val>
          <c:extLst>
            <c:ext xmlns:c16="http://schemas.microsoft.com/office/drawing/2014/chart" uri="{C3380CC4-5D6E-409C-BE32-E72D297353CC}">
              <c16:uniqueId val="{0000000C-7E66-4248-BFB1-21C9E6C7092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C59-43CD-BDA6-583D497792E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FC59-43CD-BDA6-583D497792E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layout>
                <c:manualLayout>
                  <c:x val="-9.4264782747980908E-3"/>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544-425B-A2A6-8E5C6F813E4B}"/>
                </c:ext>
              </c:extLst>
            </c:dLbl>
            <c:dLbl>
              <c:idx val="1"/>
              <c:layout>
                <c:manualLayout>
                  <c:x val="-0.23944106290782174"/>
                  <c:y val="-6.969728783902012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544-425B-A2A6-8E5C6F813E4B}"/>
                </c:ext>
              </c:extLst>
            </c:dLbl>
            <c:dLbl>
              <c:idx val="2"/>
              <c:layout>
                <c:manualLayout>
                  <c:x val="-0.2112673455967897"/>
                  <c:y val="-6.930183727034120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544-425B-A2A6-8E5C6F813E4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2.7150000000000001E-2</c:v>
                </c:pt>
                <c:pt idx="1">
                  <c:v>2.0000000000000002E-5</c:v>
                </c:pt>
                <c:pt idx="2">
                  <c:v>0.97282999999999997</c:v>
                </c:pt>
              </c:numCache>
            </c:numRef>
          </c:val>
          <c:extLst>
            <c:ext xmlns:c16="http://schemas.microsoft.com/office/drawing/2014/chart" uri="{C3380CC4-5D6E-409C-BE32-E72D297353CC}">
              <c16:uniqueId val="{0000000C-2544-425B-A2A6-8E5C6F813E4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209774233252963"/>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FC4-4D71-8D18-4844F1C3366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CMP'!$G$8</c:f>
              <c:strCache>
                <c:ptCount val="1"/>
                <c:pt idx="0">
                  <c:v>AAA EQUIVALENT</c:v>
                </c:pt>
              </c:strCache>
            </c:strRef>
          </c:cat>
          <c:val>
            <c:numRef>
              <c:f>'BANDHAN GSF - CMP'!$H$8</c:f>
              <c:numCache>
                <c:formatCode>0%</c:formatCode>
                <c:ptCount val="1"/>
                <c:pt idx="0">
                  <c:v>1</c:v>
                </c:pt>
              </c:numCache>
            </c:numRef>
          </c:val>
          <c:extLst>
            <c:ext xmlns:c16="http://schemas.microsoft.com/office/drawing/2014/chart" uri="{C3380CC4-5D6E-409C-BE32-E72D297353CC}">
              <c16:uniqueId val="{0000000C-3FC4-4D71-8D18-4844F1C3366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 - CMP'!$K$8</c:f>
              <c:strCache>
                <c:ptCount val="1"/>
                <c:pt idx="0">
                  <c:v>Total</c:v>
                </c:pt>
              </c:strCache>
            </c:strRef>
          </c:tx>
          <c:dLbls>
            <c:dLbl>
              <c:idx val="0"/>
              <c:layout>
                <c:manualLayout>
                  <c:x val="0.18354971420863606"/>
                  <c:y val="1.06330708661417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4EC-4901-9438-0CD9327825D7}"/>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4EC-4901-9438-0CD9327825D7}"/>
                </c:ext>
              </c:extLst>
            </c:dLbl>
            <c:dLbl>
              <c:idx val="2"/>
              <c:layout>
                <c:manualLayout>
                  <c:x val="-0.22132618995430711"/>
                  <c:y val="-3.47079615048118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4EC-4901-9438-0CD9327825D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CMP'!$J$9:$J$11</c:f>
              <c:strCache>
                <c:ptCount val="3"/>
                <c:pt idx="0">
                  <c:v>Net Current Asset</c:v>
                </c:pt>
                <c:pt idx="1">
                  <c:v>TRI Party Repo</c:v>
                </c:pt>
                <c:pt idx="2">
                  <c:v>Government Bond</c:v>
                </c:pt>
              </c:strCache>
            </c:strRef>
          </c:cat>
          <c:val>
            <c:numRef>
              <c:f>'BANDHAN GSF - CMP'!$K$9:$K$11</c:f>
              <c:numCache>
                <c:formatCode>0.00%</c:formatCode>
                <c:ptCount val="3"/>
                <c:pt idx="0">
                  <c:v>4.7609999999999996E-3</c:v>
                </c:pt>
                <c:pt idx="1">
                  <c:v>1.1508000000000001E-2</c:v>
                </c:pt>
                <c:pt idx="2">
                  <c:v>0.98373100000000002</c:v>
                </c:pt>
              </c:numCache>
            </c:numRef>
          </c:val>
          <c:extLst>
            <c:ext xmlns:c16="http://schemas.microsoft.com/office/drawing/2014/chart" uri="{C3380CC4-5D6E-409C-BE32-E72D297353CC}">
              <c16:uniqueId val="{0000000C-14EC-4901-9438-0CD9327825D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6C5-403A-8BEC-76C055E3B95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C-66C5-403A-8BEC-76C055E3B95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5E4-4BFB-81C2-34A15B6AFD04}"/>
                </c:ext>
              </c:extLst>
            </c:dLbl>
            <c:dLbl>
              <c:idx val="1"/>
              <c:layout>
                <c:manualLayout>
                  <c:x val="8.4678042118396871E-2"/>
                  <c:y val="6.363604549431320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5E4-4BFB-81C2-34A15B6AFD04}"/>
                </c:ext>
              </c:extLst>
            </c:dLbl>
            <c:dLbl>
              <c:idx val="2"/>
              <c:layout>
                <c:manualLayout>
                  <c:x val="-0.21367633917280682"/>
                  <c:y val="-5.13746281714785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5E4-4BFB-81C2-34A15B6AFD0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1.8350999999999999E-2</c:v>
                </c:pt>
                <c:pt idx="1">
                  <c:v>9.5750000000000002E-3</c:v>
                </c:pt>
                <c:pt idx="2">
                  <c:v>0.97207399999999999</c:v>
                </c:pt>
              </c:numCache>
            </c:numRef>
          </c:val>
          <c:extLst>
            <c:ext xmlns:c16="http://schemas.microsoft.com/office/drawing/2014/chart" uri="{C3380CC4-5D6E-409C-BE32-E72D297353CC}">
              <c16:uniqueId val="{0000000C-05E4-4BFB-81C2-34A15B6AFD0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9622991452"/>
                  <c:y val="-3.16593886462882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42A-4AE5-99C5-8B5DC37F0A9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GIF2027'!$G$8</c:f>
              <c:strCache>
                <c:ptCount val="1"/>
                <c:pt idx="0">
                  <c:v>AAA EQUIVALENT</c:v>
                </c:pt>
              </c:strCache>
            </c:strRef>
          </c:cat>
          <c:val>
            <c:numRef>
              <c:f>'BANDHAN GIF2027'!$H$8</c:f>
              <c:numCache>
                <c:formatCode>0%</c:formatCode>
                <c:ptCount val="1"/>
                <c:pt idx="0">
                  <c:v>1</c:v>
                </c:pt>
              </c:numCache>
            </c:numRef>
          </c:val>
          <c:extLst>
            <c:ext xmlns:c16="http://schemas.microsoft.com/office/drawing/2014/chart" uri="{C3380CC4-5D6E-409C-BE32-E72D297353CC}">
              <c16:uniqueId val="{0000000C-D42A-4AE5-99C5-8B5DC37F0A9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6FA-4FA5-99E8-BEF95460A9B8}"/>
                </c:ext>
              </c:extLst>
            </c:dLbl>
            <c:dLbl>
              <c:idx val="1"/>
              <c:layout>
                <c:manualLayout>
                  <c:x val="0.1304613127855806"/>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6FA-4FA5-99E8-BEF95460A9B8}"/>
                </c:ext>
              </c:extLst>
            </c:dLbl>
            <c:dLbl>
              <c:idx val="2"/>
              <c:layout>
                <c:manualLayout>
                  <c:x val="-0.26361741051105231"/>
                  <c:y val="-2.1374628171478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6FA-4FA5-99E8-BEF95460A9B8}"/>
                </c:ext>
              </c:extLst>
            </c:dLbl>
            <c:dLbl>
              <c:idx val="3"/>
              <c:layout>
                <c:manualLayout>
                  <c:x val="-0.19629331130182603"/>
                  <c:y val="-1.82558180227471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6FA-4FA5-99E8-BEF95460A9B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GIF2027'!$J$9:$J$12</c:f>
              <c:strCache>
                <c:ptCount val="4"/>
                <c:pt idx="0">
                  <c:v>Net Current Asset</c:v>
                </c:pt>
                <c:pt idx="1">
                  <c:v>TRI Party Repo</c:v>
                </c:pt>
                <c:pt idx="2">
                  <c:v>Government Bond</c:v>
                </c:pt>
                <c:pt idx="3">
                  <c:v>Treasury Bill</c:v>
                </c:pt>
              </c:strCache>
            </c:strRef>
          </c:cat>
          <c:val>
            <c:numRef>
              <c:f>'BANDHAN GIF2027'!$K$9:$K$12</c:f>
              <c:numCache>
                <c:formatCode>0.00%</c:formatCode>
                <c:ptCount val="4"/>
                <c:pt idx="0">
                  <c:v>1.2562E-2</c:v>
                </c:pt>
                <c:pt idx="1">
                  <c:v>1.0111999999999999E-2</c:v>
                </c:pt>
                <c:pt idx="2">
                  <c:v>0.971271</c:v>
                </c:pt>
                <c:pt idx="3">
                  <c:v>6.0549999999999996E-3</c:v>
                </c:pt>
              </c:numCache>
            </c:numRef>
          </c:val>
          <c:extLst>
            <c:ext xmlns:c16="http://schemas.microsoft.com/office/drawing/2014/chart" uri="{C3380CC4-5D6E-409C-BE32-E72D297353CC}">
              <c16:uniqueId val="{0000000C-36FA-4FA5-99E8-BEF95460A9B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494570807128764"/>
                  <c:y val="-4.47598253275109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4E4-4D41-8E7E-344F24A3CA9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GIF2028'!$G$8</c:f>
              <c:strCache>
                <c:ptCount val="1"/>
                <c:pt idx="0">
                  <c:v>AAA EQUIVALENT</c:v>
                </c:pt>
              </c:strCache>
            </c:strRef>
          </c:cat>
          <c:val>
            <c:numRef>
              <c:f>'BANDHAN GIF2028'!$H$8</c:f>
              <c:numCache>
                <c:formatCode>0%</c:formatCode>
                <c:ptCount val="1"/>
                <c:pt idx="0">
                  <c:v>1</c:v>
                </c:pt>
              </c:numCache>
            </c:numRef>
          </c:val>
          <c:extLst>
            <c:ext xmlns:c16="http://schemas.microsoft.com/office/drawing/2014/chart" uri="{C3380CC4-5D6E-409C-BE32-E72D297353CC}">
              <c16:uniqueId val="{0000000C-64E4-4D41-8E7E-344F24A3CA9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108-485C-AF36-08EB3227B9B0}"/>
                </c:ext>
              </c:extLst>
            </c:dLbl>
            <c:dLbl>
              <c:idx val="1"/>
              <c:layout>
                <c:manualLayout>
                  <c:x val="0.10317135679239231"/>
                  <c:y val="7.474715660542432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108-485C-AF36-08EB3227B9B0}"/>
                </c:ext>
              </c:extLst>
            </c:dLbl>
            <c:dLbl>
              <c:idx val="2"/>
              <c:layout>
                <c:manualLayout>
                  <c:x val="-0.18226668802374008"/>
                  <c:y val="-2.02635170603674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108-485C-AF36-08EB3227B9B0}"/>
                </c:ext>
              </c:extLst>
            </c:dLbl>
            <c:dLbl>
              <c:idx val="3"/>
              <c:layout>
                <c:manualLayout>
                  <c:x val="-0.18505134128041276"/>
                  <c:y val="-2.93669291338582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108-485C-AF36-08EB3227B9B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GIF2028'!$J$9:$J$12</c:f>
              <c:strCache>
                <c:ptCount val="4"/>
                <c:pt idx="0">
                  <c:v>Net Current Asset</c:v>
                </c:pt>
                <c:pt idx="1">
                  <c:v>TRI Party Repo</c:v>
                </c:pt>
                <c:pt idx="2">
                  <c:v>Government Bond</c:v>
                </c:pt>
                <c:pt idx="3">
                  <c:v>Treasury Bill</c:v>
                </c:pt>
              </c:strCache>
            </c:strRef>
          </c:cat>
          <c:val>
            <c:numRef>
              <c:f>'BANDHAN GIF2028'!$K$9:$K$12</c:f>
              <c:numCache>
                <c:formatCode>0.00%</c:formatCode>
                <c:ptCount val="4"/>
                <c:pt idx="0">
                  <c:v>2.0555E-2</c:v>
                </c:pt>
                <c:pt idx="1">
                  <c:v>1.0173E-2</c:v>
                </c:pt>
                <c:pt idx="2">
                  <c:v>0.96400699999999995</c:v>
                </c:pt>
                <c:pt idx="3">
                  <c:v>5.2649999999999997E-3</c:v>
                </c:pt>
              </c:numCache>
            </c:numRef>
          </c:val>
          <c:extLst>
            <c:ext xmlns:c16="http://schemas.microsoft.com/office/drawing/2014/chart" uri="{C3380CC4-5D6E-409C-BE32-E72D297353CC}">
              <c16:uniqueId val="{0000000C-4108-485C-AF36-08EB3227B9B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359-4AED-A54E-8539B2131A9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C-1359-4AED-A54E-8539B2131A9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5F4-4DE1-BB3D-2D8CEC0351DC}"/>
                </c:ext>
              </c:extLst>
            </c:dLbl>
            <c:dLbl>
              <c:idx val="1"/>
              <c:layout>
                <c:manualLayout>
                  <c:x val="9.3444080999511042E-2"/>
                  <c:y val="-9.366929133858267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5F4-4DE1-BB3D-2D8CEC0351DC}"/>
                </c:ext>
              </c:extLst>
            </c:dLbl>
            <c:dLbl>
              <c:idx val="2"/>
              <c:layout>
                <c:manualLayout>
                  <c:x val="-0.23424750037936906"/>
                  <c:y val="-3.02635170603674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5F4-4DE1-BB3D-2D8CEC0351D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c:formatCode>
                <c:ptCount val="3"/>
                <c:pt idx="0">
                  <c:v>7.9710000000000007E-3</c:v>
                </c:pt>
                <c:pt idx="1">
                  <c:v>7.5100000000000002E-3</c:v>
                </c:pt>
                <c:pt idx="2">
                  <c:v>0.98451900000000003</c:v>
                </c:pt>
              </c:numCache>
            </c:numRef>
          </c:val>
          <c:extLst>
            <c:ext xmlns:c16="http://schemas.microsoft.com/office/drawing/2014/chart" uri="{C3380CC4-5D6E-409C-BE32-E72D297353CC}">
              <c16:uniqueId val="{0000000C-75F4-4DE1-BB3D-2D8CEC0351D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1.85589519650655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F4A-47BC-8582-02135A92B02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C-BF4A-47BC-8582-02135A92B02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layout>
                <c:manualLayout>
                  <c:x val="-0.14335345394459525"/>
                  <c:y val="-9.366929133858267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555-4765-B35C-501D5EAF0C87}"/>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555-4765-B35C-501D5EAF0C87}"/>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555-4765-B35C-501D5EAF0C87}"/>
                </c:ext>
              </c:extLst>
            </c:dLbl>
            <c:dLbl>
              <c:idx val="3"/>
              <c:layout>
                <c:manualLayout>
                  <c:x val="4.6619400091048577E-2"/>
                  <c:y val="7.27408573928259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555-4765-B35C-501D5EAF0C8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1.7138E-2</c:v>
                </c:pt>
                <c:pt idx="1">
                  <c:v>3.6956999999999997E-2</c:v>
                </c:pt>
                <c:pt idx="2">
                  <c:v>0.13067799999999999</c:v>
                </c:pt>
                <c:pt idx="3">
                  <c:v>0.81522700000000003</c:v>
                </c:pt>
              </c:numCache>
            </c:numRef>
          </c:val>
          <c:extLst>
            <c:ext xmlns:c16="http://schemas.microsoft.com/office/drawing/2014/chart" uri="{C3380CC4-5D6E-409C-BE32-E72D297353CC}">
              <c16:uniqueId val="{0000000C-D555-4765-B35C-501D5EAF0C8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A31-46E6-B23D-93B75BBE731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C-4A31-46E6-B23D-93B75BBE731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A35-4312-955A-2BF487FD92F7}"/>
                </c:ext>
              </c:extLst>
            </c:dLbl>
            <c:dLbl>
              <c:idx val="1"/>
              <c:layout>
                <c:manualLayout>
                  <c:x val="7.7695965199210917E-2"/>
                  <c:y val="-6.969728783902012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A35-4312-955A-2BF487FD92F7}"/>
                </c:ext>
              </c:extLst>
            </c:dLbl>
            <c:dLbl>
              <c:idx val="2"/>
              <c:layout>
                <c:manualLayout>
                  <c:x val="0.10700374310812862"/>
                  <c:y val="-4.21704286964129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A35-4312-955A-2BF487FD92F7}"/>
                </c:ext>
              </c:extLst>
            </c:dLbl>
            <c:dLbl>
              <c:idx val="3"/>
              <c:layout>
                <c:manualLayout>
                  <c:x val="8.0345310155288396E-2"/>
                  <c:y val="8.33403324584426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A35-4312-955A-2BF487FD92F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1.1753E-2</c:v>
                </c:pt>
                <c:pt idx="1">
                  <c:v>2.4538999999999998E-2</c:v>
                </c:pt>
                <c:pt idx="2">
                  <c:v>0.16091800000000001</c:v>
                </c:pt>
                <c:pt idx="3">
                  <c:v>0.80279</c:v>
                </c:pt>
              </c:numCache>
            </c:numRef>
          </c:val>
          <c:extLst>
            <c:ext xmlns:c16="http://schemas.microsoft.com/office/drawing/2014/chart" uri="{C3380CC4-5D6E-409C-BE32-E72D297353CC}">
              <c16:uniqueId val="{0000000C-8A35-4312-955A-2BF487FD92F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2.72925764192139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EDA-47E4-A71D-1081EFA0C47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C-8EDA-47E4-A71D-1081EFA0C47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layout>
                <c:manualLayout>
                  <c:x val="-0.21472626414203577"/>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28A-46CE-9AB1-1A82F2EB9966}"/>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28A-46CE-9AB1-1A82F2EB9966}"/>
                </c:ext>
              </c:extLst>
            </c:dLbl>
            <c:dLbl>
              <c:idx val="2"/>
              <c:layout>
                <c:manualLayout>
                  <c:x val="4.9985331062739134E-2"/>
                  <c:y val="-5.096517935258092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28A-46CE-9AB1-1A82F2EB9966}"/>
                </c:ext>
              </c:extLst>
            </c:dLbl>
            <c:dLbl>
              <c:idx val="3"/>
              <c:layout>
                <c:manualLayout>
                  <c:x val="-7.3117402080628571E-2"/>
                  <c:y val="-1.12689413823272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28A-46CE-9AB1-1A82F2EB996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2.6017999999999999E-2</c:v>
                </c:pt>
                <c:pt idx="1">
                  <c:v>6.5199999999999998E-3</c:v>
                </c:pt>
                <c:pt idx="2">
                  <c:v>6.3464000000000007E-2</c:v>
                </c:pt>
                <c:pt idx="3">
                  <c:v>0.90399799999999997</c:v>
                </c:pt>
              </c:numCache>
            </c:numRef>
          </c:val>
          <c:extLst>
            <c:ext xmlns:c16="http://schemas.microsoft.com/office/drawing/2014/chart" uri="{C3380CC4-5D6E-409C-BE32-E72D297353CC}">
              <c16:uniqueId val="{0000000C-E28A-46CE-9AB1-1A82F2EB996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53573503776892"/>
                  <c:y val="-0.55181009014967397"/>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C2AF-4060-BDD1-B2963B97CE7D}"/>
                </c:ext>
              </c:extLst>
            </c:dLbl>
            <c:dLbl>
              <c:idx val="1"/>
              <c:layout>
                <c:manualLayout>
                  <c:x val="-7.5257289526781262E-2"/>
                  <c:y val="-7.278843579122032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C2AF-4060-BDD1-B2963B97CE7D}"/>
                </c:ext>
              </c:extLst>
            </c:dLbl>
            <c:dLbl>
              <c:idx val="2"/>
              <c:layout>
                <c:manualLayout>
                  <c:x val="0.36616561512030638"/>
                  <c:y val="-5.3113829144346314E-2"/>
                </c:manualLayout>
              </c:layout>
              <c:tx>
                <c:rich>
                  <a:bodyPr/>
                  <a:lstStyle/>
                  <a:p>
                    <a:r>
                      <a:rPr lang="en-US"/>
                      <a:t>Net Assets as on 30th June 2023</a:t>
                    </a:r>
                  </a:p>
                </c:rich>
              </c:tx>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C2AF-4060-BDD1-B2963B97CE7D}"/>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C2AF-4060-BDD1-B2963B97CE7D}"/>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 TB FOF 0-1 yr'!$I$8:$I$10</c:f>
              <c:strCache>
                <c:ptCount val="3"/>
                <c:pt idx="0">
                  <c:v>International Mutual Fund Units</c:v>
                </c:pt>
                <c:pt idx="1">
                  <c:v>Net Current Asset</c:v>
                </c:pt>
                <c:pt idx="2">
                  <c:v>TRI Party Repo Total</c:v>
                </c:pt>
              </c:strCache>
            </c:strRef>
          </c:cat>
          <c:val>
            <c:numRef>
              <c:f>'BANDHAN-US TB FOF 0-1 yr'!$J$8:$J$10</c:f>
              <c:numCache>
                <c:formatCode>0.00%</c:formatCode>
                <c:ptCount val="3"/>
                <c:pt idx="0">
                  <c:v>0.98224500000000003</c:v>
                </c:pt>
                <c:pt idx="1">
                  <c:v>-2.1580000000000002E-3</c:v>
                </c:pt>
                <c:pt idx="2">
                  <c:v>1.9913E-2</c:v>
                </c:pt>
              </c:numCache>
            </c:numRef>
          </c:val>
          <c:extLst>
            <c:ext xmlns:c16="http://schemas.microsoft.com/office/drawing/2014/chart" uri="{C3380CC4-5D6E-409C-BE32-E72D297353CC}">
              <c16:uniqueId val="{00000004-C2AF-4060-BDD1-B2963B97CE7D}"/>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922836331754035"/>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C11-4134-B497-61187BBF6E2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BC11-4134-B497-61187BBF6E2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108-41BF-A56E-3B1CFBDF5F0B}"/>
                </c:ext>
              </c:extLst>
            </c:dLbl>
            <c:dLbl>
              <c:idx val="1"/>
              <c:layout>
                <c:manualLayout>
                  <c:x val="9.0550169451516629E-2"/>
                  <c:y val="-4.92248468941382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108-41BF-A56E-3B1CFBDF5F0B}"/>
                </c:ext>
              </c:extLst>
            </c:dLbl>
            <c:dLbl>
              <c:idx val="2"/>
              <c:layout>
                <c:manualLayout>
                  <c:x val="-0.1832999207540171"/>
                  <c:y val="8.4759405074365701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108-41BF-A56E-3B1CFBDF5F0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-1.797E-3</c:v>
                </c:pt>
                <c:pt idx="1">
                  <c:v>9.4619999999999999E-3</c:v>
                </c:pt>
                <c:pt idx="2">
                  <c:v>0.99233499999999997</c:v>
                </c:pt>
              </c:numCache>
            </c:numRef>
          </c:val>
          <c:extLst>
            <c:ext xmlns:c16="http://schemas.microsoft.com/office/drawing/2014/chart" uri="{C3380CC4-5D6E-409C-BE32-E72D297353CC}">
              <c16:uniqueId val="{0000000C-0108-41BF-A56E-3B1CFBDF5F0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47.xml"/><Relationship Id="rId1" Type="http://schemas.openxmlformats.org/officeDocument/2006/relationships/chart" Target="../charts/chart46.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F0E7582E-B352-4C26-80B3-A03223EC0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C209AB8-FF6B-4947-A8B0-C5A1DBF3E4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45EE1F0-14C8-4524-9613-4BA1203BA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A97A3866-E503-4356-8420-9E13A22F51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E08BAF9C-395F-4F45-A7F2-FD3F5B974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7A534BF2-5D6D-4F72-9225-2D8CF7E56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09B903A-C8D9-4F7D-A386-EA2B9C139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1C296E54-BE71-41D1-9206-EC3D23BB6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71846A81-78DC-4FA6-AFD5-DBE559D77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1285F698-3A7E-429A-A215-2560EE231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D18816B-7D55-49AD-909A-942099DFE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99D31E6-A9E8-4590-BFCB-34C614615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254848F-AD3B-431B-82C1-7CA49165A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E42E7A0-6FC3-471D-8E21-009AFF911A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273C991-6ADD-4A81-97AA-1DCB8E8A87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0A47B06-0496-47CF-8A3D-EFDFF5D9B3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958DA0B-07C4-4CAF-B98D-A9A93A2FD5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BFACC5DE-6FAD-48AF-B766-92A3AF5C0E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D02EFBB-F6D7-461F-847C-136BA48BB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a:extLst>
            <a:ext uri="{FF2B5EF4-FFF2-40B4-BE49-F238E27FC236}">
              <a16:creationId xmlns:a16="http://schemas.microsoft.com/office/drawing/2014/main" id="{31B3DEF9-1243-4E2C-8E55-1C15818265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D5E6C72A-0CD0-4301-A6CF-B71A996FE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a:extLst>
            <a:ext uri="{FF2B5EF4-FFF2-40B4-BE49-F238E27FC236}">
              <a16:creationId xmlns:a16="http://schemas.microsoft.com/office/drawing/2014/main" id="{67173B26-98F8-4F0A-8A72-96DDF95CA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12700</xdr:colOff>
      <xdr:row>7</xdr:row>
      <xdr:rowOff>50800</xdr:rowOff>
    </xdr:from>
    <xdr:to>
      <xdr:col>13</xdr:col>
      <xdr:colOff>558800</xdr:colOff>
      <xdr:row>22</xdr:row>
      <xdr:rowOff>50800</xdr:rowOff>
    </xdr:to>
    <xdr:graphicFrame macro="">
      <xdr:nvGraphicFramePr>
        <xdr:cNvPr id="2" name="Chart 1">
          <a:extLst>
            <a:ext uri="{FF2B5EF4-FFF2-40B4-BE49-F238E27FC236}">
              <a16:creationId xmlns:a16="http://schemas.microsoft.com/office/drawing/2014/main" id="{AAF9905E-2776-409C-A2A6-85687E92B9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C1651716-9EEC-464E-8914-D8A8840A10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C476D6FA-F9C3-406D-AD7F-4162032A7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990386B2-09B5-4390-B908-A396C4A277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88A3F39-C695-4944-9D64-AA5C344DD3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AFAB8CA-2637-45AF-885F-41082755C7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16C1EC3A-7E4A-4D9D-94C2-710A3C1E8C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7ABADB5-ED65-4305-8233-614B42504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DF17BF6-7463-43D7-AB0D-5ED6C8A100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6714A61-42A1-4B4E-88D3-B34358011B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4DB89617-B9C2-4109-A9FD-FAC4286C4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50800</xdr:rowOff>
    </xdr:from>
    <xdr:to>
      <xdr:col>13</xdr:col>
      <xdr:colOff>546100</xdr:colOff>
      <xdr:row>41</xdr:row>
      <xdr:rowOff>50800</xdr:rowOff>
    </xdr:to>
    <xdr:graphicFrame macro="">
      <xdr:nvGraphicFramePr>
        <xdr:cNvPr id="3" name="Chart 2">
          <a:extLst>
            <a:ext uri="{FF2B5EF4-FFF2-40B4-BE49-F238E27FC236}">
              <a16:creationId xmlns:a16="http://schemas.microsoft.com/office/drawing/2014/main" id="{B1266B15-DDF8-4BBD-A743-EB50E54B2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71C0B6DF-3582-4AC9-B81C-F0C8AA0FF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9C16388-9F68-4C7D-BD87-939C2448A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52C14F2-4CC9-4976-997D-BDE2C54DCB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3D002B0-AA48-435D-9101-09E3DA864D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96D94530-8627-41F3-BF57-C847C66A3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D3542F-CDB7-4AFE-9F2A-DB10E2BF0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7F677285-BB8D-420B-A6DF-1818C34BF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464B218-6109-451F-A53B-95439DD1F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9FC063D-D00A-4079-9926-C222D8D84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DCCFB0B-BAD6-4647-AD3E-8D44E50FC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79084E86-08B4-4F76-B066-63C677CDA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3DF5F05-07C7-4334-9F48-B5A7AB4D81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2E9C85F-B09D-491E-AAB8-2271CBC4A0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andhan%20Equity%20&amp;%20Hybrid%20Fund%20Portfolios%20as%20on%2031st%20August%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DHAN-USFOF"/>
      <sheetName val="BANDHAN-US TB FOF 0-1 yr"/>
      <sheetName val="BANDHAN CEF"/>
      <sheetName val="BANDHAN LCF"/>
      <sheetName val="BANDHAN FEF"/>
      <sheetName val="BANDHAN SVF"/>
      <sheetName val="BANDHAN-MCAP"/>
      <sheetName val="BANDHAN MCF"/>
      <sheetName val="BANDHAN FCF"/>
      <sheetName val="BANDHAN EBF"/>
      <sheetName val="BANDHAN IF"/>
      <sheetName val="BANDHAN TLF"/>
      <sheetName val="BANDHAN FSF"/>
      <sheetName val="BANDHAN-TAF"/>
      <sheetName val="BANDHAN-AF"/>
      <sheetName val="BANDHAN BAF"/>
      <sheetName val="BANDHAN-ESF"/>
      <sheetName val="BANDHAN-RSF"/>
      <sheetName val="BANDHAN-HEF"/>
      <sheetName val="BANDHANAAF-AP"/>
      <sheetName val="BANDHANAAF-MP"/>
      <sheetName val="BANDHANAAF-CP"/>
      <sheetName val="BANDHAN-NIFTY 50 Index"/>
      <sheetName val="BANDHAN- S&amp;P BSE SENSEX ETF"/>
      <sheetName val="BANDHAN- Nifty 50 ETF"/>
      <sheetName val="BANDHAN-Nifty 100 Index"/>
      <sheetName val="BANDHAN-Nifty200 Mom30 Index"/>
      <sheetName val="BANDHAN NIF100LV30"/>
      <sheetName val="BANDHAN NIFTY IT INDEX"/>
    </sheetNames>
    <sheetDataSet>
      <sheetData sheetId="0"/>
      <sheetData sheetId="1">
        <row r="8">
          <cell r="I8" t="str">
            <v>International Mutual Fund Units</v>
          </cell>
          <cell r="J8">
            <v>0.98224500000000003</v>
          </cell>
        </row>
        <row r="9">
          <cell r="I9" t="str">
            <v>Net Current Asset</v>
          </cell>
          <cell r="J9">
            <v>-2.1580000000000002E-3</v>
          </cell>
        </row>
        <row r="10">
          <cell r="I10" t="str">
            <v>TRI Party Repo Total</v>
          </cell>
          <cell r="J10">
            <v>1.9913E-2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90C41-F0CF-4659-B29E-6D8B14FB959E}">
  <dimension ref="B1:N49"/>
  <sheetViews>
    <sheetView showGridLines="0" tabSelected="1"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169</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170</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9</v>
      </c>
      <c r="D8" s="6"/>
      <c r="E8" s="11">
        <v>0.31787300000000002</v>
      </c>
      <c r="F8" s="1"/>
      <c r="G8" s="24" t="s">
        <v>16</v>
      </c>
      <c r="H8" s="25">
        <v>1</v>
      </c>
      <c r="I8" s="1"/>
      <c r="J8" s="24" t="s">
        <v>13</v>
      </c>
      <c r="K8" s="24" t="s">
        <v>5</v>
      </c>
      <c r="L8" s="1"/>
      <c r="M8" s="1"/>
      <c r="N8" s="18"/>
    </row>
    <row r="9" spans="2:14" ht="15.75" customHeight="1" x14ac:dyDescent="0.25">
      <c r="B9" s="20"/>
      <c r="C9" s="7" t="s">
        <v>171</v>
      </c>
      <c r="D9" s="8"/>
      <c r="E9" s="12">
        <v>0.31787300000000002</v>
      </c>
      <c r="F9" s="1"/>
      <c r="G9" s="1"/>
      <c r="H9" s="1"/>
      <c r="I9" s="1"/>
      <c r="J9" s="24" t="s">
        <v>11</v>
      </c>
      <c r="K9" s="29">
        <v>-1.562E-2</v>
      </c>
      <c r="L9" s="1"/>
      <c r="M9" s="1"/>
      <c r="N9" s="18"/>
    </row>
    <row r="10" spans="2:14" ht="15" customHeight="1" x14ac:dyDescent="0.25">
      <c r="B10" s="20"/>
      <c r="C10" s="5" t="s">
        <v>172</v>
      </c>
      <c r="D10" s="6" t="s">
        <v>47</v>
      </c>
      <c r="E10" s="11">
        <v>1.5813000000000001E-2</v>
      </c>
      <c r="F10" s="1"/>
      <c r="G10" s="1"/>
      <c r="H10" s="1"/>
      <c r="I10" s="1"/>
      <c r="J10" s="24" t="s">
        <v>14</v>
      </c>
      <c r="K10" s="29">
        <v>0.66291999999999995</v>
      </c>
      <c r="L10" s="1"/>
      <c r="M10" s="1"/>
      <c r="N10" s="18"/>
    </row>
    <row r="11" spans="2:14" ht="15" customHeight="1" x14ac:dyDescent="0.25">
      <c r="B11" s="20"/>
      <c r="C11" s="5" t="s">
        <v>120</v>
      </c>
      <c r="D11" s="6" t="s">
        <v>47</v>
      </c>
      <c r="E11" s="11">
        <v>9.5139999999999999E-3</v>
      </c>
      <c r="F11" s="1"/>
      <c r="G11" s="1"/>
      <c r="H11" s="1"/>
      <c r="I11" s="1"/>
      <c r="J11" s="24" t="s">
        <v>174</v>
      </c>
      <c r="K11" s="29">
        <v>0.31787300000000002</v>
      </c>
      <c r="L11" s="1"/>
      <c r="M11" s="1"/>
      <c r="N11" s="18"/>
    </row>
    <row r="12" spans="2:14" ht="15" customHeight="1" x14ac:dyDescent="0.25">
      <c r="B12" s="20"/>
      <c r="C12" s="5" t="s">
        <v>173</v>
      </c>
      <c r="D12" s="6" t="s">
        <v>47</v>
      </c>
      <c r="E12" s="11">
        <v>9.4999999999999998E-3</v>
      </c>
      <c r="F12" s="1"/>
      <c r="G12" s="1"/>
      <c r="H12" s="1"/>
      <c r="I12" s="1"/>
      <c r="J12" s="24" t="s">
        <v>78</v>
      </c>
      <c r="K12" s="29">
        <v>3.4826999999999997E-2</v>
      </c>
      <c r="L12" s="1"/>
      <c r="M12" s="1"/>
      <c r="N12" s="18"/>
    </row>
    <row r="13" spans="2:14" ht="15.75" customHeight="1" x14ac:dyDescent="0.25">
      <c r="B13" s="20"/>
      <c r="C13" s="7" t="s">
        <v>76</v>
      </c>
      <c r="D13" s="8"/>
      <c r="E13" s="12">
        <v>3.4826999999999997E-2</v>
      </c>
      <c r="F13" s="1"/>
      <c r="G13" s="1"/>
      <c r="H13" s="1"/>
      <c r="I13" s="1"/>
      <c r="J13" s="1"/>
      <c r="K13" s="1"/>
      <c r="L13" s="1"/>
      <c r="M13" s="1"/>
      <c r="N13" s="18"/>
    </row>
    <row r="14" spans="2:14" ht="15" customHeight="1" x14ac:dyDescent="0.25">
      <c r="B14" s="20"/>
      <c r="C14" s="5" t="s">
        <v>9</v>
      </c>
      <c r="D14" s="6"/>
      <c r="E14" s="11">
        <v>0.66291999999999995</v>
      </c>
      <c r="F14" s="1"/>
      <c r="G14" s="1"/>
      <c r="H14" s="1"/>
      <c r="I14" s="1"/>
      <c r="J14" s="1"/>
      <c r="K14" s="1"/>
      <c r="L14" s="1"/>
      <c r="M14" s="1"/>
      <c r="N14" s="18"/>
    </row>
    <row r="15" spans="2:14" ht="15.75" customHeight="1" x14ac:dyDescent="0.25">
      <c r="B15" s="20"/>
      <c r="C15" s="7" t="s">
        <v>10</v>
      </c>
      <c r="D15" s="8"/>
      <c r="E15" s="12">
        <v>0.66291999999999995</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-1.562E-2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1" t="s">
        <v>123</v>
      </c>
      <c r="H24" s="52"/>
      <c r="I24" s="52"/>
      <c r="J24" s="52"/>
      <c r="K24" s="52"/>
      <c r="L24" s="33">
        <v>2</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1" t="s">
        <v>19</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34" t="s">
        <v>290</v>
      </c>
      <c r="C45" s="35"/>
      <c r="D45" s="35"/>
      <c r="E45" s="35"/>
      <c r="F45" s="35"/>
      <c r="G45" s="35"/>
      <c r="H45" s="35"/>
      <c r="I45" s="35"/>
      <c r="J45" s="35"/>
      <c r="K45" s="35"/>
      <c r="L45" s="35"/>
      <c r="M45" s="35"/>
      <c r="N45" s="36"/>
    </row>
    <row r="46" spans="2:14" x14ac:dyDescent="0.25">
      <c r="B46" s="37"/>
      <c r="C46" s="38"/>
      <c r="D46" s="38"/>
      <c r="E46" s="38"/>
      <c r="F46" s="38"/>
      <c r="G46" s="38"/>
      <c r="H46" s="38"/>
      <c r="I46" s="38"/>
      <c r="J46" s="38"/>
      <c r="K46" s="38"/>
      <c r="L46" s="38"/>
      <c r="M46" s="38"/>
      <c r="N46" s="39"/>
    </row>
    <row r="47" spans="2:14" ht="15.75" thickBot="1" x14ac:dyDescent="0.3">
      <c r="B47" s="40"/>
      <c r="C47" s="41"/>
      <c r="D47" s="41"/>
      <c r="E47" s="41"/>
      <c r="F47" s="41"/>
      <c r="G47" s="41"/>
      <c r="H47" s="41"/>
      <c r="I47" s="41"/>
      <c r="J47" s="41"/>
      <c r="K47" s="41"/>
      <c r="L47" s="41"/>
      <c r="M47" s="41"/>
      <c r="N47" s="42"/>
    </row>
    <row r="48" spans="2:14" ht="15.75" thickBot="1" x14ac:dyDescent="0.3"/>
    <row r="49" spans="2:14" ht="130.5" customHeight="1" thickBot="1" x14ac:dyDescent="0.3">
      <c r="B49" s="43" t="s">
        <v>295</v>
      </c>
      <c r="C49" s="44"/>
      <c r="D49" s="44"/>
      <c r="E49" s="44"/>
      <c r="F49" s="44"/>
      <c r="G49" s="44"/>
      <c r="H49" s="44"/>
      <c r="I49" s="44"/>
      <c r="J49" s="44"/>
      <c r="K49" s="44"/>
      <c r="L49" s="44"/>
      <c r="M49" s="44"/>
      <c r="N49" s="45"/>
    </row>
  </sheetData>
  <mergeCells count="7">
    <mergeCell ref="B45:N47"/>
    <mergeCell ref="B49:N49"/>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E3291-1E78-49EE-ABA2-D7E54AE95EE4}">
  <dimension ref="B1:N8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138</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139</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140</v>
      </c>
      <c r="D8" s="6" t="s">
        <v>23</v>
      </c>
      <c r="E8" s="11">
        <v>8.3201999999999998E-2</v>
      </c>
      <c r="F8" s="1"/>
      <c r="G8" s="24" t="s">
        <v>16</v>
      </c>
      <c r="H8" s="25">
        <v>1</v>
      </c>
      <c r="I8" s="1"/>
      <c r="J8" s="24" t="s">
        <v>13</v>
      </c>
      <c r="K8" s="24" t="s">
        <v>5</v>
      </c>
      <c r="L8" s="1"/>
      <c r="M8" s="1"/>
      <c r="N8" s="18"/>
    </row>
    <row r="9" spans="2:14" ht="15" customHeight="1" x14ac:dyDescent="0.25">
      <c r="B9" s="20"/>
      <c r="C9" s="5" t="s">
        <v>141</v>
      </c>
      <c r="D9" s="6" t="s">
        <v>23</v>
      </c>
      <c r="E9" s="11">
        <v>2.6977000000000001E-2</v>
      </c>
      <c r="F9" s="1"/>
      <c r="G9" s="1"/>
      <c r="H9" s="1"/>
      <c r="I9" s="1"/>
      <c r="J9" s="24" t="s">
        <v>11</v>
      </c>
      <c r="K9" s="29">
        <v>4.5110000000000003E-3</v>
      </c>
      <c r="L9" s="1"/>
      <c r="M9" s="1"/>
      <c r="N9" s="18"/>
    </row>
    <row r="10" spans="2:14" ht="15" customHeight="1" x14ac:dyDescent="0.25">
      <c r="B10" s="20"/>
      <c r="C10" s="5" t="s">
        <v>31</v>
      </c>
      <c r="D10" s="6" t="s">
        <v>23</v>
      </c>
      <c r="E10" s="11">
        <v>2.6936000000000002E-2</v>
      </c>
      <c r="F10" s="1"/>
      <c r="G10" s="1"/>
      <c r="H10" s="1"/>
      <c r="I10" s="1"/>
      <c r="J10" s="24" t="s">
        <v>14</v>
      </c>
      <c r="K10" s="29">
        <v>9.1759999999999994E-2</v>
      </c>
      <c r="L10" s="1"/>
      <c r="M10" s="1"/>
      <c r="N10" s="18"/>
    </row>
    <row r="11" spans="2:14" ht="15" customHeight="1" x14ac:dyDescent="0.25">
      <c r="B11" s="20"/>
      <c r="C11" s="5" t="s">
        <v>142</v>
      </c>
      <c r="D11" s="6" t="s">
        <v>23</v>
      </c>
      <c r="E11" s="11">
        <v>1.3535999999999999E-2</v>
      </c>
      <c r="F11" s="1"/>
      <c r="G11" s="1"/>
      <c r="H11" s="1"/>
      <c r="I11" s="1"/>
      <c r="J11" s="24" t="s">
        <v>53</v>
      </c>
      <c r="K11" s="29">
        <v>0.192053</v>
      </c>
      <c r="L11" s="1"/>
      <c r="M11" s="1"/>
      <c r="N11" s="18"/>
    </row>
    <row r="12" spans="2:14" ht="15" customHeight="1" x14ac:dyDescent="0.25">
      <c r="B12" s="20"/>
      <c r="C12" s="5" t="s">
        <v>42</v>
      </c>
      <c r="D12" s="6" t="s">
        <v>23</v>
      </c>
      <c r="E12" s="11">
        <v>1.1864E-2</v>
      </c>
      <c r="F12" s="1"/>
      <c r="G12" s="1"/>
      <c r="H12" s="1"/>
      <c r="I12" s="1"/>
      <c r="J12" s="24" t="s">
        <v>54</v>
      </c>
      <c r="K12" s="29">
        <v>8.8549000000000003E-2</v>
      </c>
      <c r="L12" s="1"/>
      <c r="M12" s="1"/>
      <c r="N12" s="18"/>
    </row>
    <row r="13" spans="2:14" ht="15" customHeight="1" x14ac:dyDescent="0.25">
      <c r="B13" s="20"/>
      <c r="C13" s="5" t="s">
        <v>25</v>
      </c>
      <c r="D13" s="6" t="s">
        <v>23</v>
      </c>
      <c r="E13" s="11">
        <v>1.0182E-2</v>
      </c>
      <c r="F13" s="1"/>
      <c r="G13" s="1"/>
      <c r="H13" s="1"/>
      <c r="I13" s="1"/>
      <c r="J13" s="24" t="s">
        <v>77</v>
      </c>
      <c r="K13" s="29">
        <v>0.41845399999999999</v>
      </c>
      <c r="L13" s="1"/>
      <c r="M13" s="1"/>
      <c r="N13" s="18"/>
    </row>
    <row r="14" spans="2:14" ht="15" customHeight="1" x14ac:dyDescent="0.25">
      <c r="B14" s="20"/>
      <c r="C14" s="5" t="s">
        <v>143</v>
      </c>
      <c r="D14" s="6" t="s">
        <v>23</v>
      </c>
      <c r="E14" s="11">
        <v>8.463E-3</v>
      </c>
      <c r="F14" s="1"/>
      <c r="G14" s="1"/>
      <c r="H14" s="1"/>
      <c r="I14" s="1"/>
      <c r="J14" s="24" t="s">
        <v>78</v>
      </c>
      <c r="K14" s="29">
        <v>0.20063400000000001</v>
      </c>
      <c r="L14" s="1"/>
      <c r="M14" s="1"/>
      <c r="N14" s="18"/>
    </row>
    <row r="15" spans="2:14" ht="15" customHeight="1" x14ac:dyDescent="0.25">
      <c r="B15" s="20"/>
      <c r="C15" s="5" t="s">
        <v>24</v>
      </c>
      <c r="D15" s="6" t="s">
        <v>23</v>
      </c>
      <c r="E15" s="11">
        <v>5.7930000000000004E-3</v>
      </c>
      <c r="F15" s="1"/>
      <c r="G15" s="1"/>
      <c r="H15" s="1"/>
      <c r="I15" s="1"/>
      <c r="J15" s="24" t="s">
        <v>91</v>
      </c>
      <c r="K15" s="29">
        <v>4.0390000000000001E-3</v>
      </c>
      <c r="L15" s="1"/>
      <c r="M15" s="1"/>
      <c r="N15" s="18"/>
    </row>
    <row r="16" spans="2:14" ht="15" customHeight="1" x14ac:dyDescent="0.25">
      <c r="B16" s="20"/>
      <c r="C16" s="5" t="s">
        <v>144</v>
      </c>
      <c r="D16" s="6" t="s">
        <v>23</v>
      </c>
      <c r="E16" s="11">
        <v>3.3939999999999999E-3</v>
      </c>
      <c r="F16" s="1"/>
      <c r="G16" s="1"/>
      <c r="H16" s="1"/>
      <c r="I16" s="1"/>
      <c r="J16" s="1"/>
      <c r="K16" s="1"/>
      <c r="L16" s="1"/>
      <c r="M16" s="1"/>
      <c r="N16" s="18"/>
    </row>
    <row r="17" spans="2:14" ht="15" customHeight="1" x14ac:dyDescent="0.25">
      <c r="B17" s="20"/>
      <c r="C17" s="5" t="s">
        <v>30</v>
      </c>
      <c r="D17" s="6" t="s">
        <v>23</v>
      </c>
      <c r="E17" s="11">
        <v>1.7060000000000001E-3</v>
      </c>
      <c r="F17" s="1"/>
      <c r="G17" s="1"/>
      <c r="H17" s="1"/>
      <c r="I17" s="1"/>
      <c r="J17" s="1"/>
      <c r="K17" s="1"/>
      <c r="L17" s="1"/>
      <c r="M17" s="1"/>
      <c r="N17" s="18"/>
    </row>
    <row r="18" spans="2:14" ht="15.75" customHeight="1" x14ac:dyDescent="0.25">
      <c r="B18" s="20"/>
      <c r="C18" s="7" t="s">
        <v>26</v>
      </c>
      <c r="D18" s="8"/>
      <c r="E18" s="12">
        <v>0.192053</v>
      </c>
      <c r="F18" s="1"/>
      <c r="G18" s="1"/>
      <c r="H18" s="1"/>
      <c r="I18" s="1"/>
      <c r="J18" s="1"/>
      <c r="K18" s="1"/>
      <c r="L18" s="1"/>
      <c r="M18" s="1"/>
      <c r="N18" s="18"/>
    </row>
    <row r="19" spans="2:14" ht="15" customHeight="1" x14ac:dyDescent="0.25">
      <c r="B19" s="20"/>
      <c r="C19" s="5" t="s">
        <v>83</v>
      </c>
      <c r="D19" s="6" t="s">
        <v>23</v>
      </c>
      <c r="E19" s="11">
        <v>0.10196</v>
      </c>
      <c r="F19" s="1"/>
      <c r="G19" s="1"/>
      <c r="H19" s="1"/>
      <c r="I19" s="1"/>
      <c r="J19" s="1"/>
      <c r="K19" s="1"/>
      <c r="L19" s="1"/>
      <c r="M19" s="1"/>
      <c r="N19" s="18"/>
    </row>
    <row r="20" spans="2:14" ht="15" customHeight="1" x14ac:dyDescent="0.25">
      <c r="B20" s="20"/>
      <c r="C20" s="5" t="s">
        <v>30</v>
      </c>
      <c r="D20" s="6" t="s">
        <v>23</v>
      </c>
      <c r="E20" s="11">
        <v>7.8104000000000007E-2</v>
      </c>
      <c r="F20" s="1"/>
      <c r="G20" s="1"/>
      <c r="H20" s="1"/>
      <c r="I20" s="1"/>
      <c r="J20" s="1"/>
      <c r="K20" s="1"/>
      <c r="L20" s="1"/>
      <c r="M20" s="1"/>
      <c r="N20" s="18"/>
    </row>
    <row r="21" spans="2:14" ht="15" customHeight="1" x14ac:dyDescent="0.25">
      <c r="B21" s="20"/>
      <c r="C21" s="5" t="s">
        <v>145</v>
      </c>
      <c r="D21" s="6" t="s">
        <v>23</v>
      </c>
      <c r="E21" s="11">
        <v>4.0878999999999999E-2</v>
      </c>
      <c r="F21" s="1"/>
      <c r="G21" s="1"/>
      <c r="H21" s="1"/>
      <c r="I21" s="1"/>
      <c r="J21" s="1"/>
      <c r="K21" s="1"/>
      <c r="L21" s="1"/>
      <c r="M21" s="1"/>
      <c r="N21" s="18"/>
    </row>
    <row r="22" spans="2:14" ht="15" customHeight="1" x14ac:dyDescent="0.25">
      <c r="B22" s="20"/>
      <c r="C22" s="5" t="s">
        <v>33</v>
      </c>
      <c r="D22" s="6" t="s">
        <v>23</v>
      </c>
      <c r="E22" s="11">
        <v>3.7256999999999998E-2</v>
      </c>
      <c r="F22" s="1"/>
      <c r="G22" s="1"/>
      <c r="H22" s="1"/>
      <c r="I22" s="1"/>
      <c r="J22" s="1"/>
      <c r="K22" s="1"/>
      <c r="L22" s="1"/>
      <c r="M22" s="1"/>
      <c r="N22" s="18"/>
    </row>
    <row r="23" spans="2:14" ht="15" customHeight="1" x14ac:dyDescent="0.25">
      <c r="B23" s="20"/>
      <c r="C23" s="5" t="s">
        <v>146</v>
      </c>
      <c r="D23" s="6" t="s">
        <v>23</v>
      </c>
      <c r="E23" s="11">
        <v>3.3946999999999998E-2</v>
      </c>
      <c r="F23" s="1"/>
      <c r="G23" s="1"/>
      <c r="H23" s="1"/>
      <c r="I23" s="1"/>
      <c r="J23" s="1"/>
      <c r="K23" s="1"/>
      <c r="L23" s="1"/>
      <c r="M23" s="1"/>
      <c r="N23" s="18"/>
    </row>
    <row r="24" spans="2:14" ht="15" customHeight="1" x14ac:dyDescent="0.25">
      <c r="B24" s="20"/>
      <c r="C24" s="5" t="s">
        <v>38</v>
      </c>
      <c r="D24" s="6" t="s">
        <v>23</v>
      </c>
      <c r="E24" s="11">
        <v>3.2016999999999997E-2</v>
      </c>
      <c r="F24" s="1"/>
      <c r="G24" s="51" t="s">
        <v>123</v>
      </c>
      <c r="H24" s="52"/>
      <c r="I24" s="52"/>
      <c r="J24" s="52"/>
      <c r="K24" s="52"/>
      <c r="L24" s="33">
        <v>46.748341893404493</v>
      </c>
      <c r="M24" s="27"/>
      <c r="N24" s="28"/>
    </row>
    <row r="25" spans="2:14" ht="15" customHeight="1" x14ac:dyDescent="0.25">
      <c r="B25" s="20"/>
      <c r="C25" s="5" t="s">
        <v>147</v>
      </c>
      <c r="D25" s="6" t="s">
        <v>23</v>
      </c>
      <c r="E25" s="11">
        <v>1.7073999999999999E-2</v>
      </c>
      <c r="F25" s="1"/>
      <c r="G25" s="1"/>
      <c r="H25" s="1"/>
      <c r="I25" s="1"/>
      <c r="J25" s="1"/>
      <c r="K25" s="1"/>
      <c r="L25" s="1"/>
      <c r="M25" s="1"/>
      <c r="N25" s="18"/>
    </row>
    <row r="26" spans="2:14" ht="15" customHeight="1" x14ac:dyDescent="0.25">
      <c r="B26" s="20"/>
      <c r="C26" s="5" t="s">
        <v>148</v>
      </c>
      <c r="D26" s="6" t="s">
        <v>23</v>
      </c>
      <c r="E26" s="11">
        <v>1.6839E-2</v>
      </c>
      <c r="F26" s="1"/>
      <c r="G26" s="51" t="s">
        <v>19</v>
      </c>
      <c r="H26" s="52"/>
      <c r="I26" s="52"/>
      <c r="J26" s="52"/>
      <c r="K26" s="52"/>
      <c r="L26" s="52"/>
      <c r="M26" s="52"/>
      <c r="N26" s="53"/>
    </row>
    <row r="27" spans="2:14" ht="15" customHeight="1" x14ac:dyDescent="0.25">
      <c r="B27" s="20"/>
      <c r="C27" s="5" t="s">
        <v>27</v>
      </c>
      <c r="D27" s="6" t="s">
        <v>23</v>
      </c>
      <c r="E27" s="11">
        <v>1.6811E-2</v>
      </c>
      <c r="F27" s="1"/>
      <c r="G27" s="1"/>
      <c r="H27" s="1"/>
      <c r="I27" s="1"/>
      <c r="J27" s="1"/>
      <c r="K27" s="1"/>
      <c r="L27" s="1"/>
      <c r="M27" s="1"/>
      <c r="N27" s="18"/>
    </row>
    <row r="28" spans="2:14" ht="15" customHeight="1" x14ac:dyDescent="0.25">
      <c r="B28" s="20"/>
      <c r="C28" s="5" t="s">
        <v>31</v>
      </c>
      <c r="D28" s="6" t="s">
        <v>23</v>
      </c>
      <c r="E28" s="11">
        <v>1.4796999999999999E-2</v>
      </c>
      <c r="F28" s="1"/>
      <c r="G28" s="1"/>
      <c r="H28" s="1"/>
      <c r="I28" s="1"/>
      <c r="J28" s="1"/>
      <c r="K28" s="1"/>
      <c r="L28" s="1"/>
      <c r="M28" s="1"/>
      <c r="N28" s="18"/>
    </row>
    <row r="29" spans="2:14" ht="15" customHeight="1" x14ac:dyDescent="0.25">
      <c r="B29" s="20"/>
      <c r="C29" s="5" t="s">
        <v>149</v>
      </c>
      <c r="D29" s="6" t="s">
        <v>23</v>
      </c>
      <c r="E29" s="11">
        <v>1.1837E-2</v>
      </c>
      <c r="F29" s="1"/>
      <c r="G29" s="1"/>
      <c r="H29" s="1"/>
      <c r="I29" s="1"/>
      <c r="J29" s="1"/>
      <c r="K29" s="1"/>
      <c r="L29" s="1"/>
      <c r="M29" s="1"/>
      <c r="N29" s="18"/>
    </row>
    <row r="30" spans="2:14" ht="15" customHeight="1" x14ac:dyDescent="0.25">
      <c r="B30" s="20"/>
      <c r="C30" s="5" t="s">
        <v>34</v>
      </c>
      <c r="D30" s="6" t="s">
        <v>23</v>
      </c>
      <c r="E30" s="11">
        <v>8.5249999999999996E-3</v>
      </c>
      <c r="F30" s="1"/>
      <c r="G30" s="1"/>
      <c r="H30" s="1"/>
      <c r="I30" s="1"/>
      <c r="J30" s="1"/>
      <c r="K30" s="1"/>
      <c r="L30" s="1"/>
      <c r="M30" s="1"/>
      <c r="N30" s="18"/>
    </row>
    <row r="31" spans="2:14" ht="15" customHeight="1" x14ac:dyDescent="0.25">
      <c r="B31" s="20"/>
      <c r="C31" s="5" t="s">
        <v>150</v>
      </c>
      <c r="D31" s="6" t="s">
        <v>23</v>
      </c>
      <c r="E31" s="11">
        <v>8.4069999999999995E-3</v>
      </c>
      <c r="F31" s="1"/>
      <c r="G31" s="1"/>
      <c r="H31" s="1"/>
      <c r="I31" s="1"/>
      <c r="J31" s="1"/>
      <c r="K31" s="1"/>
      <c r="L31" s="1"/>
      <c r="M31" s="1"/>
      <c r="N31" s="18"/>
    </row>
    <row r="32" spans="2:14" ht="15.75" customHeight="1" x14ac:dyDescent="0.25">
      <c r="B32" s="20"/>
      <c r="C32" s="7" t="s">
        <v>73</v>
      </c>
      <c r="D32" s="8"/>
      <c r="E32" s="12">
        <v>0.41845399999999999</v>
      </c>
      <c r="F32" s="1"/>
      <c r="G32" s="1"/>
      <c r="H32" s="1"/>
      <c r="I32" s="1"/>
      <c r="J32" s="1"/>
      <c r="K32" s="1"/>
      <c r="L32" s="1"/>
      <c r="M32" s="1"/>
      <c r="N32" s="18"/>
    </row>
    <row r="33" spans="2:14" ht="15" customHeight="1" x14ac:dyDescent="0.25">
      <c r="B33" s="20"/>
      <c r="C33" s="5" t="s">
        <v>31</v>
      </c>
      <c r="D33" s="6" t="s">
        <v>28</v>
      </c>
      <c r="E33" s="11">
        <v>2.9432E-2</v>
      </c>
      <c r="F33" s="1"/>
      <c r="G33" s="1"/>
      <c r="H33" s="1"/>
      <c r="I33" s="1"/>
      <c r="J33" s="1"/>
      <c r="K33" s="1"/>
      <c r="L33" s="1"/>
      <c r="M33" s="1"/>
      <c r="N33" s="18"/>
    </row>
    <row r="34" spans="2:14" ht="15" customHeight="1" x14ac:dyDescent="0.25">
      <c r="B34" s="20"/>
      <c r="C34" s="5" t="s">
        <v>42</v>
      </c>
      <c r="D34" s="6" t="s">
        <v>28</v>
      </c>
      <c r="E34" s="11">
        <v>2.2901999999999999E-2</v>
      </c>
      <c r="F34" s="1"/>
      <c r="G34" s="1"/>
      <c r="H34" s="1"/>
      <c r="I34" s="1"/>
      <c r="J34" s="1"/>
      <c r="K34" s="1"/>
      <c r="L34" s="1"/>
      <c r="M34" s="1"/>
      <c r="N34" s="18"/>
    </row>
    <row r="35" spans="2:14" ht="15" customHeight="1" x14ac:dyDescent="0.25">
      <c r="B35" s="20"/>
      <c r="C35" s="5" t="s">
        <v>86</v>
      </c>
      <c r="D35" s="6" t="s">
        <v>28</v>
      </c>
      <c r="E35" s="11">
        <v>1.1965999999999999E-2</v>
      </c>
      <c r="F35" s="1"/>
      <c r="G35" s="1"/>
      <c r="H35" s="1"/>
      <c r="I35" s="1"/>
      <c r="J35" s="1"/>
      <c r="K35" s="1"/>
      <c r="L35" s="1"/>
      <c r="M35" s="1"/>
      <c r="N35" s="18"/>
    </row>
    <row r="36" spans="2:14" ht="15" customHeight="1" x14ac:dyDescent="0.25">
      <c r="B36" s="20"/>
      <c r="C36" s="5" t="s">
        <v>25</v>
      </c>
      <c r="D36" s="6" t="s">
        <v>28</v>
      </c>
      <c r="E36" s="11">
        <v>6.8370000000000002E-3</v>
      </c>
      <c r="F36" s="1"/>
      <c r="G36" s="1"/>
      <c r="H36" s="1"/>
      <c r="I36" s="1"/>
      <c r="J36" s="1"/>
      <c r="K36" s="1"/>
      <c r="L36" s="1"/>
      <c r="M36" s="1"/>
      <c r="N36" s="18"/>
    </row>
    <row r="37" spans="2:14" ht="15" customHeight="1" x14ac:dyDescent="0.25">
      <c r="B37" s="20"/>
      <c r="C37" s="5" t="s">
        <v>35</v>
      </c>
      <c r="D37" s="6" t="s">
        <v>28</v>
      </c>
      <c r="E37" s="11">
        <v>6.8139999999999997E-3</v>
      </c>
      <c r="F37" s="1"/>
      <c r="G37" s="1"/>
      <c r="H37" s="1"/>
      <c r="I37" s="1"/>
      <c r="J37" s="1"/>
      <c r="K37" s="1"/>
      <c r="L37" s="1"/>
      <c r="M37" s="1"/>
      <c r="N37" s="18"/>
    </row>
    <row r="38" spans="2:14" ht="15" customHeight="1" x14ac:dyDescent="0.25">
      <c r="B38" s="20"/>
      <c r="C38" s="5" t="s">
        <v>40</v>
      </c>
      <c r="D38" s="6" t="s">
        <v>28</v>
      </c>
      <c r="E38" s="11">
        <v>5.1289999999999999E-3</v>
      </c>
      <c r="F38" s="1"/>
      <c r="G38" s="1"/>
      <c r="H38" s="1"/>
      <c r="I38" s="1"/>
      <c r="J38" s="1"/>
      <c r="K38" s="1"/>
      <c r="L38" s="1"/>
      <c r="M38" s="1"/>
      <c r="N38" s="18"/>
    </row>
    <row r="39" spans="2:14" ht="15" customHeight="1" x14ac:dyDescent="0.25">
      <c r="B39" s="20"/>
      <c r="C39" s="5" t="s">
        <v>72</v>
      </c>
      <c r="D39" s="6" t="s">
        <v>28</v>
      </c>
      <c r="E39" s="11">
        <v>3.7599999999999999E-3</v>
      </c>
      <c r="F39" s="1"/>
      <c r="G39" s="1"/>
      <c r="H39" s="1"/>
      <c r="I39" s="1"/>
      <c r="J39" s="1"/>
      <c r="K39" s="1"/>
      <c r="L39" s="1"/>
      <c r="M39" s="1"/>
      <c r="N39" s="18"/>
    </row>
    <row r="40" spans="2:14" ht="15" customHeight="1" x14ac:dyDescent="0.25">
      <c r="B40" s="20"/>
      <c r="C40" s="5" t="s">
        <v>150</v>
      </c>
      <c r="D40" s="6" t="s">
        <v>28</v>
      </c>
      <c r="E40" s="11">
        <v>1.709E-3</v>
      </c>
      <c r="F40" s="1"/>
      <c r="G40" s="1"/>
      <c r="H40" s="1"/>
      <c r="I40" s="1"/>
      <c r="J40" s="1"/>
      <c r="K40" s="1"/>
      <c r="L40" s="1"/>
      <c r="M40" s="1"/>
      <c r="N40" s="18"/>
    </row>
    <row r="41" spans="2:14" ht="15.75" customHeight="1" x14ac:dyDescent="0.25">
      <c r="B41" s="20"/>
      <c r="C41" s="7" t="s">
        <v>45</v>
      </c>
      <c r="D41" s="8"/>
      <c r="E41" s="12">
        <v>8.8549000000000003E-2</v>
      </c>
      <c r="F41" s="1"/>
      <c r="G41" s="1"/>
      <c r="H41" s="1"/>
      <c r="I41" s="1"/>
      <c r="J41" s="1"/>
      <c r="K41" s="1"/>
      <c r="L41" s="1"/>
      <c r="M41" s="1"/>
      <c r="N41" s="18"/>
    </row>
    <row r="42" spans="2:14" ht="15" customHeight="1" x14ac:dyDescent="0.25">
      <c r="B42" s="20"/>
      <c r="C42" s="5" t="s">
        <v>151</v>
      </c>
      <c r="D42" s="6" t="s">
        <v>47</v>
      </c>
      <c r="E42" s="11">
        <v>5.4618E-2</v>
      </c>
      <c r="F42" s="1"/>
      <c r="G42" s="1"/>
      <c r="H42" s="1"/>
      <c r="I42" s="1"/>
      <c r="J42" s="1"/>
      <c r="K42" s="1"/>
      <c r="L42" s="1"/>
      <c r="M42" s="1"/>
      <c r="N42" s="18"/>
    </row>
    <row r="43" spans="2:14" ht="15" customHeight="1" x14ac:dyDescent="0.25">
      <c r="B43" s="20"/>
      <c r="C43" s="5" t="s">
        <v>152</v>
      </c>
      <c r="D43" s="6" t="s">
        <v>47</v>
      </c>
      <c r="E43" s="11">
        <v>3.5159999999999997E-2</v>
      </c>
      <c r="F43" s="1"/>
      <c r="G43" s="1"/>
      <c r="H43" s="1"/>
      <c r="I43" s="1"/>
      <c r="J43" s="1"/>
      <c r="K43" s="1"/>
      <c r="L43" s="1"/>
      <c r="M43" s="1"/>
      <c r="N43" s="18"/>
    </row>
    <row r="44" spans="2:14" ht="15" customHeight="1" x14ac:dyDescent="0.25">
      <c r="B44" s="20"/>
      <c r="C44" s="5" t="s">
        <v>153</v>
      </c>
      <c r="D44" s="6" t="s">
        <v>47</v>
      </c>
      <c r="E44" s="11">
        <v>2.7081000000000001E-2</v>
      </c>
      <c r="F44" s="1"/>
      <c r="G44" s="1"/>
      <c r="H44" s="1"/>
      <c r="I44" s="1"/>
      <c r="J44" s="1"/>
      <c r="K44" s="1"/>
      <c r="L44" s="1"/>
      <c r="M44" s="1"/>
      <c r="N44" s="18"/>
    </row>
    <row r="45" spans="2:14" ht="15" customHeight="1" x14ac:dyDescent="0.25">
      <c r="B45" s="20"/>
      <c r="C45" s="5" t="s">
        <v>154</v>
      </c>
      <c r="D45" s="6" t="s">
        <v>47</v>
      </c>
      <c r="E45" s="11">
        <v>2.7011E-2</v>
      </c>
      <c r="F45" s="1"/>
      <c r="G45" s="1"/>
      <c r="H45" s="1"/>
      <c r="I45" s="1"/>
      <c r="J45" s="1"/>
      <c r="K45" s="1"/>
      <c r="L45" s="1"/>
      <c r="M45" s="1"/>
      <c r="N45" s="18"/>
    </row>
    <row r="46" spans="2:14" ht="15" customHeight="1" x14ac:dyDescent="0.25">
      <c r="B46" s="20"/>
      <c r="C46" s="5" t="s">
        <v>155</v>
      </c>
      <c r="D46" s="6" t="s">
        <v>47</v>
      </c>
      <c r="E46" s="11">
        <v>2.6941E-2</v>
      </c>
      <c r="F46" s="1"/>
      <c r="G46" s="1"/>
      <c r="H46" s="1"/>
      <c r="I46" s="1"/>
      <c r="J46" s="1"/>
      <c r="K46" s="1"/>
      <c r="L46" s="1"/>
      <c r="M46" s="1"/>
      <c r="N46" s="18"/>
    </row>
    <row r="47" spans="2:14" ht="15" customHeight="1" x14ac:dyDescent="0.25">
      <c r="B47" s="20"/>
      <c r="C47" s="5" t="s">
        <v>156</v>
      </c>
      <c r="D47" s="6" t="s">
        <v>47</v>
      </c>
      <c r="E47" s="11">
        <v>2.3726000000000001E-2</v>
      </c>
      <c r="F47" s="1"/>
      <c r="G47" s="1"/>
      <c r="H47" s="1"/>
      <c r="I47" s="1"/>
      <c r="J47" s="1"/>
      <c r="K47" s="1"/>
      <c r="L47" s="1"/>
      <c r="M47" s="1"/>
      <c r="N47" s="18"/>
    </row>
    <row r="48" spans="2:14" ht="15" customHeight="1" x14ac:dyDescent="0.25">
      <c r="B48" s="20"/>
      <c r="C48" s="5" t="s">
        <v>157</v>
      </c>
      <c r="D48" s="6" t="s">
        <v>47</v>
      </c>
      <c r="E48" s="11">
        <v>3.385E-3</v>
      </c>
      <c r="F48" s="1"/>
      <c r="G48" s="1"/>
      <c r="H48" s="1"/>
      <c r="I48" s="1"/>
      <c r="J48" s="1"/>
      <c r="K48" s="1"/>
      <c r="L48" s="1"/>
      <c r="M48" s="1"/>
      <c r="N48" s="18"/>
    </row>
    <row r="49" spans="2:14" ht="15" customHeight="1" x14ac:dyDescent="0.25">
      <c r="B49" s="20"/>
      <c r="C49" s="5" t="s">
        <v>158</v>
      </c>
      <c r="D49" s="6" t="s">
        <v>47</v>
      </c>
      <c r="E49" s="11">
        <v>2.3700000000000001E-3</v>
      </c>
      <c r="F49" s="1"/>
      <c r="G49" s="1"/>
      <c r="H49" s="1"/>
      <c r="I49" s="1"/>
      <c r="J49" s="1"/>
      <c r="K49" s="1"/>
      <c r="L49" s="1"/>
      <c r="M49" s="1"/>
      <c r="N49" s="18"/>
    </row>
    <row r="50" spans="2:14" ht="15" customHeight="1" x14ac:dyDescent="0.25">
      <c r="B50" s="20"/>
      <c r="C50" s="5" t="s">
        <v>159</v>
      </c>
      <c r="D50" s="6" t="s">
        <v>47</v>
      </c>
      <c r="E50" s="11">
        <v>3.4200000000000002E-4</v>
      </c>
      <c r="F50" s="1"/>
      <c r="G50" s="1"/>
      <c r="H50" s="1"/>
      <c r="I50" s="1"/>
      <c r="J50" s="1"/>
      <c r="K50" s="1"/>
      <c r="L50" s="1"/>
      <c r="M50" s="1"/>
      <c r="N50" s="18"/>
    </row>
    <row r="51" spans="2:14" ht="15.75" customHeight="1" x14ac:dyDescent="0.25">
      <c r="B51" s="20"/>
      <c r="C51" s="7" t="s">
        <v>76</v>
      </c>
      <c r="D51" s="8"/>
      <c r="E51" s="12">
        <v>0.20063400000000001</v>
      </c>
      <c r="F51" s="1"/>
      <c r="G51" s="1"/>
      <c r="H51" s="1"/>
      <c r="I51" s="1"/>
      <c r="J51" s="1"/>
      <c r="K51" s="1"/>
      <c r="L51" s="1"/>
      <c r="M51" s="1"/>
      <c r="N51" s="18"/>
    </row>
    <row r="52" spans="2:14" ht="15" customHeight="1" x14ac:dyDescent="0.25">
      <c r="B52" s="20"/>
      <c r="C52" s="5" t="s">
        <v>9</v>
      </c>
      <c r="D52" s="6"/>
      <c r="E52" s="11">
        <v>9.1759999999999994E-2</v>
      </c>
      <c r="F52" s="1"/>
      <c r="G52" s="1"/>
      <c r="H52" s="1"/>
      <c r="I52" s="1"/>
      <c r="J52" s="1"/>
      <c r="K52" s="1"/>
      <c r="L52" s="1"/>
      <c r="M52" s="1"/>
      <c r="N52" s="18"/>
    </row>
    <row r="53" spans="2:14" ht="15.75" customHeight="1" x14ac:dyDescent="0.25">
      <c r="B53" s="20"/>
      <c r="C53" s="7" t="s">
        <v>10</v>
      </c>
      <c r="D53" s="8"/>
      <c r="E53" s="12">
        <v>9.1759999999999994E-2</v>
      </c>
      <c r="F53" s="1"/>
      <c r="G53" s="1"/>
      <c r="H53" s="1"/>
      <c r="I53" s="1"/>
      <c r="J53" s="1"/>
      <c r="K53" s="1"/>
      <c r="L53" s="1"/>
      <c r="M53" s="1"/>
      <c r="N53" s="18"/>
    </row>
    <row r="54" spans="2:14" ht="15" customHeight="1" x14ac:dyDescent="0.25">
      <c r="B54" s="20"/>
      <c r="C54" s="5" t="s">
        <v>38</v>
      </c>
      <c r="D54" s="6" t="s">
        <v>28</v>
      </c>
      <c r="E54" s="11">
        <v>4.0390000000000001E-3</v>
      </c>
      <c r="F54" s="1"/>
      <c r="G54" s="1"/>
      <c r="H54" s="1"/>
      <c r="I54" s="1"/>
      <c r="J54" s="1"/>
      <c r="K54" s="1"/>
      <c r="L54" s="1"/>
      <c r="M54" s="1"/>
      <c r="N54" s="18"/>
    </row>
    <row r="55" spans="2:14" ht="15.75" customHeight="1" x14ac:dyDescent="0.25">
      <c r="B55" s="20"/>
      <c r="C55" s="7" t="s">
        <v>90</v>
      </c>
      <c r="D55" s="8"/>
      <c r="E55" s="12">
        <v>4.0390000000000001E-3</v>
      </c>
      <c r="F55" s="1"/>
      <c r="G55" s="1"/>
      <c r="H55" s="1"/>
      <c r="I55" s="1"/>
      <c r="J55" s="1"/>
      <c r="K55" s="1"/>
      <c r="L55" s="1"/>
      <c r="M55" s="1"/>
      <c r="N55" s="18"/>
    </row>
    <row r="56" spans="2:14" ht="15" customHeight="1" x14ac:dyDescent="0.25">
      <c r="B56" s="20"/>
      <c r="C56" s="5"/>
      <c r="D56" s="6"/>
      <c r="E56" s="11"/>
      <c r="F56" s="1"/>
      <c r="G56" s="1"/>
      <c r="H56" s="1"/>
      <c r="I56" s="1"/>
      <c r="J56" s="1"/>
      <c r="K56" s="1"/>
      <c r="L56" s="1"/>
      <c r="M56" s="1"/>
      <c r="N56" s="18"/>
    </row>
    <row r="57" spans="2:14" ht="15.75" customHeight="1" x14ac:dyDescent="0.25">
      <c r="B57" s="20"/>
      <c r="C57" s="7" t="s">
        <v>11</v>
      </c>
      <c r="D57" s="8"/>
      <c r="E57" s="12">
        <v>4.5110000000000003E-3</v>
      </c>
      <c r="F57" s="1"/>
      <c r="G57" s="1"/>
      <c r="H57" s="1"/>
      <c r="I57" s="1"/>
      <c r="J57" s="1"/>
      <c r="K57" s="1"/>
      <c r="L57" s="1"/>
      <c r="M57" s="1"/>
      <c r="N57" s="18"/>
    </row>
    <row r="58" spans="2:14" ht="15" customHeight="1" x14ac:dyDescent="0.25">
      <c r="B58" s="20"/>
      <c r="C58" s="5"/>
      <c r="D58" s="6"/>
      <c r="E58" s="11"/>
      <c r="F58" s="1"/>
      <c r="G58" s="1"/>
      <c r="H58" s="1"/>
      <c r="I58" s="1"/>
      <c r="J58" s="1"/>
      <c r="K58" s="1"/>
      <c r="L58" s="1"/>
      <c r="M58" s="1"/>
      <c r="N58" s="18"/>
    </row>
    <row r="59" spans="2:14" ht="15" customHeight="1" x14ac:dyDescent="0.25">
      <c r="B59" s="20"/>
      <c r="C59" s="9" t="s">
        <v>12</v>
      </c>
      <c r="D59" s="10"/>
      <c r="E59" s="13">
        <v>1</v>
      </c>
      <c r="F59" s="1"/>
      <c r="G59" s="1"/>
      <c r="H59" s="1"/>
      <c r="I59" s="1"/>
      <c r="J59" s="1"/>
      <c r="K59" s="1"/>
      <c r="L59" s="1"/>
      <c r="M59" s="1"/>
      <c r="N59" s="18"/>
    </row>
    <row r="60" spans="2:14" ht="15" customHeight="1" x14ac:dyDescent="0.25">
      <c r="B60" s="20"/>
      <c r="C60" s="1"/>
      <c r="D60" s="1"/>
      <c r="E60" s="1"/>
      <c r="F60" s="1"/>
      <c r="G60" s="1"/>
      <c r="H60" s="1"/>
      <c r="I60" s="1"/>
      <c r="J60" s="1"/>
      <c r="K60" s="1"/>
      <c r="L60" s="1"/>
      <c r="M60" s="1"/>
      <c r="N60" s="18"/>
    </row>
    <row r="61" spans="2:14" ht="15" customHeight="1" thickBot="1" x14ac:dyDescent="0.3">
      <c r="B61" s="21"/>
      <c r="C61" s="22"/>
      <c r="D61" s="22"/>
      <c r="E61" s="22"/>
      <c r="F61" s="22"/>
      <c r="G61" s="22"/>
      <c r="H61" s="22"/>
      <c r="I61" s="22"/>
      <c r="J61" s="22"/>
      <c r="K61" s="22"/>
      <c r="L61" s="22"/>
      <c r="M61" s="22"/>
      <c r="N61" s="23"/>
    </row>
    <row r="62" spans="2:14" ht="15" customHeight="1" thickBot="1" x14ac:dyDescent="0.3"/>
    <row r="63" spans="2:14" ht="121.5" customHeight="1" thickBot="1" x14ac:dyDescent="0.3">
      <c r="B63" s="43" t="s">
        <v>295</v>
      </c>
      <c r="C63" s="44"/>
      <c r="D63" s="44"/>
      <c r="E63" s="44"/>
      <c r="F63" s="44"/>
      <c r="G63" s="44"/>
      <c r="H63" s="44"/>
      <c r="I63" s="44"/>
      <c r="J63" s="44"/>
      <c r="K63" s="44"/>
      <c r="L63" s="44"/>
      <c r="M63" s="44"/>
      <c r="N63" s="45"/>
    </row>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mergeCells count="6">
    <mergeCell ref="B63:N63"/>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3C045-1F67-462D-8A51-804F2AFA3EC1}">
  <dimension ref="B1:N71"/>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160</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161</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25</v>
      </c>
      <c r="D8" s="6" t="s">
        <v>23</v>
      </c>
      <c r="E8" s="11">
        <v>8.5330000000000003E-2</v>
      </c>
      <c r="F8" s="1"/>
      <c r="G8" s="24" t="s">
        <v>16</v>
      </c>
      <c r="H8" s="25">
        <v>1</v>
      </c>
      <c r="I8" s="1"/>
      <c r="J8" s="24" t="s">
        <v>13</v>
      </c>
      <c r="K8" s="24" t="s">
        <v>5</v>
      </c>
      <c r="L8" s="1"/>
      <c r="M8" s="1"/>
      <c r="N8" s="18"/>
    </row>
    <row r="9" spans="2:14" ht="15" customHeight="1" x14ac:dyDescent="0.25">
      <c r="B9" s="20"/>
      <c r="C9" s="5" t="s">
        <v>141</v>
      </c>
      <c r="D9" s="6" t="s">
        <v>23</v>
      </c>
      <c r="E9" s="11">
        <v>3.5073E-2</v>
      </c>
      <c r="F9" s="1"/>
      <c r="G9" s="1"/>
      <c r="H9" s="1"/>
      <c r="I9" s="1"/>
      <c r="J9" s="24" t="s">
        <v>11</v>
      </c>
      <c r="K9" s="29">
        <v>5.5370000000000003E-3</v>
      </c>
      <c r="L9" s="1"/>
      <c r="M9" s="1"/>
      <c r="N9" s="18"/>
    </row>
    <row r="10" spans="2:14" ht="15" customHeight="1" x14ac:dyDescent="0.25">
      <c r="B10" s="20"/>
      <c r="C10" s="5" t="s">
        <v>30</v>
      </c>
      <c r="D10" s="6" t="s">
        <v>23</v>
      </c>
      <c r="E10" s="11">
        <v>2.1044E-2</v>
      </c>
      <c r="F10" s="1"/>
      <c r="G10" s="1"/>
      <c r="H10" s="1"/>
      <c r="I10" s="1"/>
      <c r="J10" s="24" t="s">
        <v>14</v>
      </c>
      <c r="K10" s="29">
        <v>3.9626000000000001E-2</v>
      </c>
      <c r="L10" s="1"/>
      <c r="M10" s="1"/>
      <c r="N10" s="18"/>
    </row>
    <row r="11" spans="2:14" ht="15" customHeight="1" x14ac:dyDescent="0.25">
      <c r="B11" s="20"/>
      <c r="C11" s="5" t="s">
        <v>31</v>
      </c>
      <c r="D11" s="6" t="s">
        <v>23</v>
      </c>
      <c r="E11" s="11">
        <v>1.7024999999999998E-2</v>
      </c>
      <c r="F11" s="1"/>
      <c r="G11" s="1"/>
      <c r="H11" s="1"/>
      <c r="I11" s="1"/>
      <c r="J11" s="24" t="s">
        <v>53</v>
      </c>
      <c r="K11" s="29">
        <v>0.158472</v>
      </c>
      <c r="L11" s="1"/>
      <c r="M11" s="1"/>
      <c r="N11" s="18"/>
    </row>
    <row r="12" spans="2:14" ht="15.75" customHeight="1" x14ac:dyDescent="0.25">
      <c r="B12" s="20"/>
      <c r="C12" s="7" t="s">
        <v>26</v>
      </c>
      <c r="D12" s="8"/>
      <c r="E12" s="12">
        <v>0.158472</v>
      </c>
      <c r="F12" s="1"/>
      <c r="G12" s="1"/>
      <c r="H12" s="1"/>
      <c r="I12" s="1"/>
      <c r="J12" s="24" t="s">
        <v>54</v>
      </c>
      <c r="K12" s="29">
        <v>0.33719700000000002</v>
      </c>
      <c r="L12" s="1"/>
      <c r="M12" s="1"/>
      <c r="N12" s="18"/>
    </row>
    <row r="13" spans="2:14" ht="15" customHeight="1" x14ac:dyDescent="0.25">
      <c r="B13" s="20"/>
      <c r="C13" s="5" t="s">
        <v>83</v>
      </c>
      <c r="D13" s="6" t="s">
        <v>23</v>
      </c>
      <c r="E13" s="11">
        <v>8.7432999999999997E-2</v>
      </c>
      <c r="F13" s="1"/>
      <c r="G13" s="1"/>
      <c r="H13" s="1"/>
      <c r="I13" s="1"/>
      <c r="J13" s="24" t="s">
        <v>77</v>
      </c>
      <c r="K13" s="29">
        <v>0.19872899999999999</v>
      </c>
      <c r="L13" s="1"/>
      <c r="M13" s="1"/>
      <c r="N13" s="18"/>
    </row>
    <row r="14" spans="2:14" ht="15" customHeight="1" x14ac:dyDescent="0.25">
      <c r="B14" s="20"/>
      <c r="C14" s="5" t="s">
        <v>30</v>
      </c>
      <c r="D14" s="6" t="s">
        <v>23</v>
      </c>
      <c r="E14" s="11">
        <v>7.6712000000000002E-2</v>
      </c>
      <c r="F14" s="1"/>
      <c r="G14" s="1"/>
      <c r="H14" s="1"/>
      <c r="I14" s="1"/>
      <c r="J14" s="24" t="s">
        <v>55</v>
      </c>
      <c r="K14" s="29">
        <v>6.8164000000000002E-2</v>
      </c>
      <c r="L14" s="1"/>
      <c r="M14" s="1"/>
      <c r="N14" s="18"/>
    </row>
    <row r="15" spans="2:14" ht="15" customHeight="1" x14ac:dyDescent="0.25">
      <c r="B15" s="20"/>
      <c r="C15" s="5" t="s">
        <v>145</v>
      </c>
      <c r="D15" s="6" t="s">
        <v>23</v>
      </c>
      <c r="E15" s="11">
        <v>2.1808999999999999E-2</v>
      </c>
      <c r="F15" s="1"/>
      <c r="G15" s="1"/>
      <c r="H15" s="1"/>
      <c r="I15" s="1"/>
      <c r="J15" s="24" t="s">
        <v>56</v>
      </c>
      <c r="K15" s="29">
        <v>0.188697</v>
      </c>
      <c r="L15" s="1"/>
      <c r="M15" s="1"/>
      <c r="N15" s="18"/>
    </row>
    <row r="16" spans="2:14" ht="15" customHeight="1" x14ac:dyDescent="0.25">
      <c r="B16" s="20"/>
      <c r="C16" s="5" t="s">
        <v>31</v>
      </c>
      <c r="D16" s="6" t="s">
        <v>23</v>
      </c>
      <c r="E16" s="11">
        <v>1.2775E-2</v>
      </c>
      <c r="F16" s="1"/>
      <c r="G16" s="1"/>
      <c r="H16" s="1"/>
      <c r="I16" s="1"/>
      <c r="J16" s="24" t="s">
        <v>78</v>
      </c>
      <c r="K16" s="29">
        <v>3.578E-3</v>
      </c>
      <c r="L16" s="1"/>
      <c r="M16" s="1"/>
      <c r="N16" s="18"/>
    </row>
    <row r="17" spans="2:14" ht="15.75" customHeight="1" x14ac:dyDescent="0.25">
      <c r="B17" s="20"/>
      <c r="C17" s="7" t="s">
        <v>73</v>
      </c>
      <c r="D17" s="8"/>
      <c r="E17" s="12">
        <v>0.19872899999999999</v>
      </c>
      <c r="F17" s="1"/>
      <c r="G17" s="1"/>
      <c r="H17" s="1"/>
      <c r="I17" s="1"/>
      <c r="J17" s="1"/>
      <c r="K17" s="1"/>
      <c r="L17" s="1"/>
      <c r="M17" s="1"/>
      <c r="N17" s="18"/>
    </row>
    <row r="18" spans="2:14" ht="15" customHeight="1" x14ac:dyDescent="0.25">
      <c r="B18" s="20"/>
      <c r="C18" s="5" t="s">
        <v>27</v>
      </c>
      <c r="D18" s="6" t="s">
        <v>28</v>
      </c>
      <c r="E18" s="11">
        <v>0.114219</v>
      </c>
      <c r="F18" s="1"/>
      <c r="G18" s="1"/>
      <c r="H18" s="1"/>
      <c r="I18" s="1"/>
      <c r="J18" s="1"/>
      <c r="K18" s="1"/>
      <c r="L18" s="1"/>
      <c r="M18" s="1"/>
      <c r="N18" s="18"/>
    </row>
    <row r="19" spans="2:14" ht="15" customHeight="1" x14ac:dyDescent="0.25">
      <c r="B19" s="20"/>
      <c r="C19" s="5" t="s">
        <v>38</v>
      </c>
      <c r="D19" s="6" t="s">
        <v>28</v>
      </c>
      <c r="E19" s="11">
        <v>0.105948</v>
      </c>
      <c r="F19" s="1"/>
      <c r="G19" s="1"/>
      <c r="H19" s="1"/>
      <c r="I19" s="1"/>
      <c r="J19" s="1"/>
      <c r="K19" s="1"/>
      <c r="L19" s="1"/>
      <c r="M19" s="1"/>
      <c r="N19" s="18"/>
    </row>
    <row r="20" spans="2:14" ht="15" customHeight="1" x14ac:dyDescent="0.25">
      <c r="B20" s="20"/>
      <c r="C20" s="5" t="s">
        <v>31</v>
      </c>
      <c r="D20" s="6" t="s">
        <v>28</v>
      </c>
      <c r="E20" s="11">
        <v>5.2852999999999997E-2</v>
      </c>
      <c r="F20" s="1"/>
      <c r="G20" s="1"/>
      <c r="H20" s="1"/>
      <c r="I20" s="1"/>
      <c r="J20" s="1"/>
      <c r="K20" s="1"/>
      <c r="L20" s="1"/>
      <c r="M20" s="1"/>
      <c r="N20" s="18"/>
    </row>
    <row r="21" spans="2:14" ht="15" customHeight="1" x14ac:dyDescent="0.25">
      <c r="B21" s="20"/>
      <c r="C21" s="5" t="s">
        <v>72</v>
      </c>
      <c r="D21" s="6" t="s">
        <v>28</v>
      </c>
      <c r="E21" s="11">
        <v>2.0310999999999999E-2</v>
      </c>
      <c r="F21" s="1"/>
      <c r="G21" s="1"/>
      <c r="H21" s="1"/>
      <c r="I21" s="1"/>
      <c r="J21" s="1"/>
      <c r="K21" s="1"/>
      <c r="L21" s="1"/>
      <c r="M21" s="1"/>
      <c r="N21" s="18"/>
    </row>
    <row r="22" spans="2:14" ht="15" customHeight="1" x14ac:dyDescent="0.25">
      <c r="B22" s="20"/>
      <c r="C22" s="5" t="s">
        <v>30</v>
      </c>
      <c r="D22" s="6" t="s">
        <v>28</v>
      </c>
      <c r="E22" s="11">
        <v>1.7614999999999999E-2</v>
      </c>
      <c r="F22" s="1"/>
      <c r="G22" s="1"/>
      <c r="H22" s="1"/>
      <c r="I22" s="1"/>
      <c r="J22" s="1"/>
      <c r="K22" s="1"/>
      <c r="L22" s="1"/>
      <c r="M22" s="1"/>
      <c r="N22" s="18"/>
    </row>
    <row r="23" spans="2:14" ht="15" customHeight="1" x14ac:dyDescent="0.25">
      <c r="B23" s="20"/>
      <c r="C23" s="5" t="s">
        <v>41</v>
      </c>
      <c r="D23" s="6" t="s">
        <v>28</v>
      </c>
      <c r="E23" s="11">
        <v>1.3109000000000001E-2</v>
      </c>
      <c r="F23" s="1"/>
      <c r="G23" s="1"/>
      <c r="H23" s="1"/>
      <c r="I23" s="1"/>
      <c r="J23" s="1"/>
      <c r="K23" s="1"/>
      <c r="L23" s="1"/>
      <c r="M23" s="1"/>
      <c r="N23" s="18"/>
    </row>
    <row r="24" spans="2:14" ht="15" customHeight="1" x14ac:dyDescent="0.25">
      <c r="B24" s="20"/>
      <c r="C24" s="5" t="s">
        <v>34</v>
      </c>
      <c r="D24" s="6" t="s">
        <v>28</v>
      </c>
      <c r="E24" s="11">
        <v>8.7819999999999999E-3</v>
      </c>
      <c r="F24" s="1"/>
      <c r="G24" s="51" t="s">
        <v>123</v>
      </c>
      <c r="H24" s="52"/>
      <c r="I24" s="52"/>
      <c r="J24" s="52"/>
      <c r="K24" s="52"/>
      <c r="L24" s="33">
        <v>358.21171033523535</v>
      </c>
      <c r="M24" s="27"/>
      <c r="N24" s="28"/>
    </row>
    <row r="25" spans="2:14" ht="15" customHeight="1" x14ac:dyDescent="0.25">
      <c r="B25" s="20"/>
      <c r="C25" s="5" t="s">
        <v>32</v>
      </c>
      <c r="D25" s="6" t="s">
        <v>28</v>
      </c>
      <c r="E25" s="11">
        <v>4.3600000000000002E-3</v>
      </c>
      <c r="F25" s="1"/>
      <c r="G25" s="1"/>
      <c r="H25" s="1"/>
      <c r="I25" s="1"/>
      <c r="J25" s="1"/>
      <c r="K25" s="1"/>
      <c r="L25" s="1"/>
      <c r="M25" s="1"/>
      <c r="N25" s="18"/>
    </row>
    <row r="26" spans="2:14" ht="15.75" customHeight="1" x14ac:dyDescent="0.25">
      <c r="B26" s="20"/>
      <c r="C26" s="7" t="s">
        <v>45</v>
      </c>
      <c r="D26" s="8"/>
      <c r="E26" s="12">
        <v>0.33719700000000002</v>
      </c>
      <c r="F26" s="1"/>
      <c r="G26" s="51" t="s">
        <v>19</v>
      </c>
      <c r="H26" s="52"/>
      <c r="I26" s="52"/>
      <c r="J26" s="52"/>
      <c r="K26" s="52"/>
      <c r="L26" s="52"/>
      <c r="M26" s="52"/>
      <c r="N26" s="53"/>
    </row>
    <row r="27" spans="2:14" ht="15" customHeight="1" x14ac:dyDescent="0.25">
      <c r="B27" s="20"/>
      <c r="C27" s="5" t="s">
        <v>49</v>
      </c>
      <c r="D27" s="6" t="s">
        <v>47</v>
      </c>
      <c r="E27" s="11">
        <v>6.8164000000000002E-2</v>
      </c>
      <c r="F27" s="1"/>
      <c r="G27" s="1"/>
      <c r="H27" s="1"/>
      <c r="I27" s="1"/>
      <c r="J27" s="1"/>
      <c r="K27" s="1"/>
      <c r="L27" s="1"/>
      <c r="M27" s="1"/>
      <c r="N27" s="18"/>
    </row>
    <row r="28" spans="2:14" ht="15.75" customHeight="1" x14ac:dyDescent="0.25">
      <c r="B28" s="20"/>
      <c r="C28" s="7" t="s">
        <v>51</v>
      </c>
      <c r="D28" s="8"/>
      <c r="E28" s="12">
        <v>6.8164000000000002E-2</v>
      </c>
      <c r="F28" s="1"/>
      <c r="G28" s="1"/>
      <c r="H28" s="1"/>
      <c r="I28" s="1"/>
      <c r="J28" s="1"/>
      <c r="K28" s="1"/>
      <c r="L28" s="1"/>
      <c r="M28" s="1"/>
      <c r="N28" s="18"/>
    </row>
    <row r="29" spans="2:14" ht="15" customHeight="1" x14ac:dyDescent="0.25">
      <c r="B29" s="20"/>
      <c r="C29" s="5" t="s">
        <v>188</v>
      </c>
      <c r="D29" s="6" t="s">
        <v>47</v>
      </c>
      <c r="E29" s="11">
        <v>4.2882000000000003E-2</v>
      </c>
      <c r="F29" s="1"/>
      <c r="G29" s="1"/>
      <c r="H29" s="1"/>
      <c r="I29" s="1"/>
      <c r="J29" s="1"/>
      <c r="K29" s="1"/>
      <c r="L29" s="1"/>
      <c r="M29" s="1"/>
      <c r="N29" s="18"/>
    </row>
    <row r="30" spans="2:14" ht="15.75" customHeight="1" x14ac:dyDescent="0.25">
      <c r="B30" s="20"/>
      <c r="C30" s="5" t="s">
        <v>187</v>
      </c>
      <c r="D30" s="6" t="s">
        <v>47</v>
      </c>
      <c r="E30" s="11">
        <v>3.1268999999999998E-2</v>
      </c>
      <c r="F30" s="1"/>
      <c r="G30" s="1"/>
      <c r="H30" s="1"/>
      <c r="I30" s="1"/>
      <c r="J30" s="1"/>
      <c r="K30" s="1"/>
      <c r="L30" s="1"/>
      <c r="M30" s="1"/>
      <c r="N30" s="18"/>
    </row>
    <row r="31" spans="2:14" ht="15" customHeight="1" x14ac:dyDescent="0.25">
      <c r="B31" s="20"/>
      <c r="C31" s="5" t="s">
        <v>185</v>
      </c>
      <c r="D31" s="6" t="s">
        <v>47</v>
      </c>
      <c r="E31" s="11">
        <v>2.6811000000000001E-2</v>
      </c>
      <c r="F31" s="1"/>
      <c r="G31" s="1"/>
      <c r="H31" s="1"/>
      <c r="I31" s="1"/>
      <c r="J31" s="1"/>
      <c r="K31" s="1"/>
      <c r="L31" s="1"/>
      <c r="M31" s="1"/>
      <c r="N31" s="18"/>
    </row>
    <row r="32" spans="2:14" ht="15.75" customHeight="1" x14ac:dyDescent="0.25">
      <c r="B32" s="20"/>
      <c r="C32" s="5" t="s">
        <v>193</v>
      </c>
      <c r="D32" s="6" t="s">
        <v>47</v>
      </c>
      <c r="E32" s="11">
        <v>1.7703E-2</v>
      </c>
      <c r="F32" s="1"/>
      <c r="G32" s="1"/>
      <c r="H32" s="1"/>
      <c r="I32" s="1"/>
      <c r="J32" s="1"/>
      <c r="K32" s="1"/>
      <c r="L32" s="1"/>
      <c r="M32" s="1"/>
      <c r="N32" s="18"/>
    </row>
    <row r="33" spans="2:14" ht="15" customHeight="1" x14ac:dyDescent="0.25">
      <c r="B33" s="20"/>
      <c r="C33" s="5" t="s">
        <v>177</v>
      </c>
      <c r="D33" s="6" t="s">
        <v>47</v>
      </c>
      <c r="E33" s="11">
        <v>1.3462999999999999E-2</v>
      </c>
      <c r="F33" s="1"/>
      <c r="G33" s="1"/>
      <c r="H33" s="1"/>
      <c r="I33" s="1"/>
      <c r="J33" s="1"/>
      <c r="K33" s="1"/>
      <c r="L33" s="1"/>
      <c r="M33" s="1"/>
      <c r="N33" s="18"/>
    </row>
    <row r="34" spans="2:14" ht="15.75" customHeight="1" x14ac:dyDescent="0.25">
      <c r="B34" s="20"/>
      <c r="C34" s="5" t="s">
        <v>186</v>
      </c>
      <c r="D34" s="6" t="s">
        <v>47</v>
      </c>
      <c r="E34" s="11">
        <v>1.0522999999999999E-2</v>
      </c>
      <c r="F34" s="1"/>
      <c r="G34" s="1"/>
      <c r="H34" s="1"/>
      <c r="I34" s="1"/>
      <c r="J34" s="1"/>
      <c r="K34" s="1"/>
      <c r="L34" s="1"/>
      <c r="M34" s="1"/>
      <c r="N34" s="18"/>
    </row>
    <row r="35" spans="2:14" ht="15" customHeight="1" x14ac:dyDescent="0.25">
      <c r="B35" s="20"/>
      <c r="C35" s="5" t="s">
        <v>179</v>
      </c>
      <c r="D35" s="6" t="s">
        <v>47</v>
      </c>
      <c r="E35" s="11">
        <v>7.143E-3</v>
      </c>
      <c r="F35" s="1"/>
      <c r="G35" s="1"/>
      <c r="H35" s="1"/>
      <c r="I35" s="1"/>
      <c r="J35" s="1"/>
      <c r="K35" s="1"/>
      <c r="L35" s="1"/>
      <c r="M35" s="1"/>
      <c r="N35" s="18"/>
    </row>
    <row r="36" spans="2:14" ht="15.75" customHeight="1" x14ac:dyDescent="0.25">
      <c r="B36" s="20"/>
      <c r="C36" s="5" t="s">
        <v>178</v>
      </c>
      <c r="D36" s="6" t="s">
        <v>47</v>
      </c>
      <c r="E36" s="11">
        <v>6.2890000000000003E-3</v>
      </c>
      <c r="F36" s="1"/>
      <c r="G36" s="1"/>
      <c r="H36" s="1"/>
      <c r="I36" s="1"/>
      <c r="J36" s="1"/>
      <c r="K36" s="1"/>
      <c r="L36" s="1"/>
      <c r="M36" s="1"/>
      <c r="N36" s="18"/>
    </row>
    <row r="37" spans="2:14" ht="15" customHeight="1" x14ac:dyDescent="0.25">
      <c r="B37" s="20"/>
      <c r="C37" s="5" t="s">
        <v>184</v>
      </c>
      <c r="D37" s="6" t="s">
        <v>47</v>
      </c>
      <c r="E37" s="11">
        <v>6.2529999999999999E-3</v>
      </c>
      <c r="F37" s="1"/>
      <c r="G37" s="1"/>
      <c r="H37" s="1"/>
      <c r="I37" s="1"/>
      <c r="J37" s="1"/>
      <c r="K37" s="1"/>
      <c r="L37" s="1"/>
      <c r="M37" s="1"/>
      <c r="N37" s="18"/>
    </row>
    <row r="38" spans="2:14" ht="15" customHeight="1" x14ac:dyDescent="0.25">
      <c r="B38" s="20"/>
      <c r="C38" s="5" t="s">
        <v>183</v>
      </c>
      <c r="D38" s="6" t="s">
        <v>47</v>
      </c>
      <c r="E38" s="11">
        <v>6.2519999999999997E-3</v>
      </c>
      <c r="F38" s="1"/>
      <c r="G38" s="1"/>
      <c r="H38" s="1"/>
      <c r="I38" s="1"/>
      <c r="J38" s="1"/>
      <c r="K38" s="1"/>
      <c r="L38" s="1"/>
      <c r="M38" s="1"/>
      <c r="N38" s="18"/>
    </row>
    <row r="39" spans="2:14" ht="15" customHeight="1" x14ac:dyDescent="0.25">
      <c r="B39" s="20"/>
      <c r="C39" s="5" t="s">
        <v>189</v>
      </c>
      <c r="D39" s="6" t="s">
        <v>47</v>
      </c>
      <c r="E39" s="11">
        <v>6.2519999999999997E-3</v>
      </c>
      <c r="F39" s="1"/>
      <c r="G39" s="1"/>
      <c r="H39" s="1"/>
      <c r="I39" s="1"/>
      <c r="J39" s="1"/>
      <c r="K39" s="1"/>
      <c r="L39" s="1"/>
      <c r="M39" s="1"/>
      <c r="N39" s="18"/>
    </row>
    <row r="40" spans="2:14" ht="15" customHeight="1" x14ac:dyDescent="0.25">
      <c r="B40" s="20"/>
      <c r="C40" s="5" t="s">
        <v>180</v>
      </c>
      <c r="D40" s="6" t="s">
        <v>47</v>
      </c>
      <c r="E40" s="11">
        <v>4.4860000000000004E-3</v>
      </c>
      <c r="F40" s="1"/>
      <c r="G40" s="1"/>
      <c r="H40" s="1"/>
      <c r="I40" s="1"/>
      <c r="J40" s="1"/>
      <c r="K40" s="1"/>
      <c r="L40" s="1"/>
      <c r="M40" s="1"/>
      <c r="N40" s="18"/>
    </row>
    <row r="41" spans="2:14" ht="15" customHeight="1" x14ac:dyDescent="0.25">
      <c r="B41" s="20"/>
      <c r="C41" s="5" t="s">
        <v>191</v>
      </c>
      <c r="D41" s="6" t="s">
        <v>47</v>
      </c>
      <c r="E41" s="11">
        <v>4.4650000000000002E-3</v>
      </c>
      <c r="F41" s="1"/>
      <c r="G41" s="1"/>
      <c r="H41" s="1"/>
      <c r="I41" s="1"/>
      <c r="J41" s="1"/>
      <c r="K41" s="1"/>
      <c r="L41" s="1"/>
      <c r="M41" s="1"/>
      <c r="N41" s="18"/>
    </row>
    <row r="42" spans="2:14" ht="15" customHeight="1" x14ac:dyDescent="0.25">
      <c r="B42" s="20"/>
      <c r="C42" s="5" t="s">
        <v>182</v>
      </c>
      <c r="D42" s="6" t="s">
        <v>47</v>
      </c>
      <c r="E42" s="11">
        <v>2.6919999999999999E-3</v>
      </c>
      <c r="F42" s="1"/>
      <c r="G42" s="1"/>
      <c r="H42" s="1"/>
      <c r="I42" s="1"/>
      <c r="J42" s="1"/>
      <c r="K42" s="1"/>
      <c r="L42" s="1"/>
      <c r="M42" s="1"/>
      <c r="N42" s="18"/>
    </row>
    <row r="43" spans="2:14" ht="15" customHeight="1" x14ac:dyDescent="0.25">
      <c r="B43" s="20"/>
      <c r="C43" s="5" t="s">
        <v>181</v>
      </c>
      <c r="D43" s="6" t="s">
        <v>47</v>
      </c>
      <c r="E43" s="11">
        <v>1.7880000000000001E-3</v>
      </c>
      <c r="F43" s="1"/>
      <c r="G43" s="1"/>
      <c r="H43" s="1"/>
      <c r="I43" s="1"/>
      <c r="J43" s="1"/>
      <c r="K43" s="1"/>
      <c r="L43" s="1"/>
      <c r="M43" s="1"/>
      <c r="N43" s="18"/>
    </row>
    <row r="44" spans="2:14" ht="15" customHeight="1" x14ac:dyDescent="0.25">
      <c r="B44" s="20"/>
      <c r="C44" s="5" t="s">
        <v>190</v>
      </c>
      <c r="D44" s="6" t="s">
        <v>47</v>
      </c>
      <c r="E44" s="11">
        <v>2.6499999999999999E-4</v>
      </c>
      <c r="F44" s="1"/>
      <c r="G44" s="1"/>
      <c r="H44" s="1"/>
      <c r="I44" s="1"/>
      <c r="J44" s="1"/>
      <c r="K44" s="1"/>
      <c r="L44" s="1"/>
      <c r="M44" s="1"/>
      <c r="N44" s="18"/>
    </row>
    <row r="45" spans="2:14" ht="15" customHeight="1" x14ac:dyDescent="0.25">
      <c r="B45" s="20"/>
      <c r="C45" s="5" t="s">
        <v>192</v>
      </c>
      <c r="D45" s="6" t="s">
        <v>47</v>
      </c>
      <c r="E45" s="11">
        <v>1.6100000000000001E-4</v>
      </c>
      <c r="F45" s="1"/>
      <c r="G45" s="1"/>
      <c r="H45" s="1"/>
      <c r="I45" s="1"/>
      <c r="J45" s="1"/>
      <c r="K45" s="1"/>
      <c r="L45" s="1"/>
      <c r="M45" s="1"/>
      <c r="N45" s="18"/>
    </row>
    <row r="46" spans="2:14" ht="15" customHeight="1" x14ac:dyDescent="0.25">
      <c r="B46" s="20"/>
      <c r="C46" s="7" t="s">
        <v>52</v>
      </c>
      <c r="D46" s="8"/>
      <c r="E46" s="12">
        <v>0.188697</v>
      </c>
      <c r="F46" s="1"/>
      <c r="G46" s="1"/>
      <c r="H46" s="1"/>
      <c r="I46" s="1"/>
      <c r="J46" s="1"/>
      <c r="K46" s="1"/>
      <c r="L46" s="1"/>
      <c r="M46" s="1"/>
      <c r="N46" s="18"/>
    </row>
    <row r="47" spans="2:14" ht="15" customHeight="1" x14ac:dyDescent="0.25">
      <c r="B47" s="20"/>
      <c r="C47" s="5" t="s">
        <v>162</v>
      </c>
      <c r="D47" s="6" t="s">
        <v>47</v>
      </c>
      <c r="E47" s="11">
        <v>3.578E-3</v>
      </c>
      <c r="F47" s="1"/>
      <c r="G47" s="1"/>
      <c r="H47" s="1"/>
      <c r="I47" s="1"/>
      <c r="J47" s="1"/>
      <c r="K47" s="1"/>
      <c r="L47" s="1"/>
      <c r="M47" s="1"/>
      <c r="N47" s="18"/>
    </row>
    <row r="48" spans="2:14" ht="15" customHeight="1" x14ac:dyDescent="0.25">
      <c r="B48" s="20"/>
      <c r="C48" s="7" t="s">
        <v>76</v>
      </c>
      <c r="D48" s="8"/>
      <c r="E48" s="12">
        <v>3.578E-3</v>
      </c>
      <c r="F48" s="1"/>
      <c r="G48" s="1"/>
      <c r="H48" s="1"/>
      <c r="I48" s="1"/>
      <c r="J48" s="1"/>
      <c r="K48" s="1"/>
      <c r="L48" s="1"/>
      <c r="M48" s="1"/>
      <c r="N48" s="18"/>
    </row>
    <row r="49" spans="2:14" ht="15" customHeight="1" x14ac:dyDescent="0.25">
      <c r="B49" s="20"/>
      <c r="C49" s="5" t="s">
        <v>9</v>
      </c>
      <c r="D49" s="6"/>
      <c r="E49" s="11">
        <v>3.9626000000000001E-2</v>
      </c>
      <c r="F49" s="1"/>
      <c r="G49" s="1"/>
      <c r="H49" s="1"/>
      <c r="I49" s="1"/>
      <c r="J49" s="1"/>
      <c r="K49" s="1"/>
      <c r="L49" s="1"/>
      <c r="M49" s="1"/>
      <c r="N49" s="18"/>
    </row>
    <row r="50" spans="2:14" ht="15" customHeight="1" x14ac:dyDescent="0.25">
      <c r="B50" s="20"/>
      <c r="C50" s="7" t="s">
        <v>10</v>
      </c>
      <c r="D50" s="8"/>
      <c r="E50" s="12">
        <v>3.9626000000000001E-2</v>
      </c>
      <c r="F50" s="1"/>
      <c r="G50" s="1"/>
      <c r="H50" s="1"/>
      <c r="I50" s="1"/>
      <c r="J50" s="1"/>
      <c r="K50" s="1"/>
      <c r="L50" s="1"/>
      <c r="M50" s="1"/>
      <c r="N50" s="18"/>
    </row>
    <row r="51" spans="2:14" ht="15" customHeight="1" x14ac:dyDescent="0.25">
      <c r="B51" s="20"/>
      <c r="C51" s="5"/>
      <c r="D51" s="6"/>
      <c r="E51" s="11"/>
      <c r="F51" s="1"/>
      <c r="G51" s="1"/>
      <c r="H51" s="1"/>
      <c r="I51" s="1"/>
      <c r="J51" s="1"/>
      <c r="K51" s="1"/>
      <c r="L51" s="1"/>
      <c r="M51" s="1"/>
      <c r="N51" s="18"/>
    </row>
    <row r="52" spans="2:14" ht="15" customHeight="1" x14ac:dyDescent="0.25">
      <c r="B52" s="20"/>
      <c r="C52" s="7" t="s">
        <v>11</v>
      </c>
      <c r="D52" s="8"/>
      <c r="E52" s="12">
        <v>5.5370000000000003E-3</v>
      </c>
      <c r="F52" s="1"/>
      <c r="G52" s="1"/>
      <c r="H52" s="1"/>
      <c r="I52" s="1"/>
      <c r="J52" s="1"/>
      <c r="K52" s="1"/>
      <c r="L52" s="1"/>
      <c r="M52" s="1"/>
      <c r="N52" s="18"/>
    </row>
    <row r="53" spans="2:14" ht="15" customHeight="1" x14ac:dyDescent="0.25">
      <c r="B53" s="20"/>
      <c r="C53" s="5"/>
      <c r="D53" s="6"/>
      <c r="E53" s="11"/>
      <c r="F53" s="1"/>
      <c r="G53" s="1"/>
      <c r="H53" s="1"/>
      <c r="I53" s="1"/>
      <c r="J53" s="1"/>
      <c r="K53" s="1"/>
      <c r="L53" s="1"/>
      <c r="M53" s="1"/>
      <c r="N53" s="18"/>
    </row>
    <row r="54" spans="2:14" ht="15" customHeight="1" x14ac:dyDescent="0.25">
      <c r="B54" s="20"/>
      <c r="C54" s="9" t="s">
        <v>12</v>
      </c>
      <c r="D54" s="10"/>
      <c r="E54" s="13">
        <v>1</v>
      </c>
      <c r="F54" s="1"/>
      <c r="G54" s="1"/>
      <c r="H54" s="1"/>
      <c r="I54" s="1"/>
      <c r="J54" s="1"/>
      <c r="K54" s="1"/>
      <c r="L54" s="1"/>
      <c r="M54" s="1"/>
      <c r="N54" s="18"/>
    </row>
    <row r="55" spans="2:14" ht="15" customHeight="1" x14ac:dyDescent="0.25">
      <c r="B55" s="20"/>
      <c r="C55" s="1"/>
      <c r="D55" s="1"/>
      <c r="E55" s="1"/>
      <c r="F55" s="1"/>
      <c r="G55" s="1"/>
      <c r="H55" s="1"/>
      <c r="I55" s="1"/>
      <c r="J55" s="1"/>
      <c r="K55" s="1"/>
      <c r="L55" s="1"/>
      <c r="M55" s="1"/>
      <c r="N55" s="18"/>
    </row>
    <row r="56" spans="2:14" ht="15" customHeight="1" thickBot="1" x14ac:dyDescent="0.3">
      <c r="B56" s="21"/>
      <c r="C56" s="22"/>
      <c r="D56" s="22"/>
      <c r="E56" s="22"/>
      <c r="F56" s="22"/>
      <c r="G56" s="22"/>
      <c r="H56" s="22"/>
      <c r="I56" s="22"/>
      <c r="J56" s="22"/>
      <c r="K56" s="22"/>
      <c r="L56" s="22"/>
      <c r="M56" s="22"/>
      <c r="N56" s="23"/>
    </row>
    <row r="57" spans="2:14" ht="15" customHeight="1" thickBot="1" x14ac:dyDescent="0.3"/>
    <row r="58" spans="2:14" ht="135" customHeight="1" thickBot="1" x14ac:dyDescent="0.3">
      <c r="B58" s="43" t="s">
        <v>295</v>
      </c>
      <c r="C58" s="44"/>
      <c r="D58" s="44"/>
      <c r="E58" s="44"/>
      <c r="F58" s="44"/>
      <c r="G58" s="44"/>
      <c r="H58" s="44"/>
      <c r="I58" s="44"/>
      <c r="J58" s="44"/>
      <c r="K58" s="44"/>
      <c r="L58" s="44"/>
      <c r="M58" s="44"/>
      <c r="N58" s="45"/>
    </row>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sheetData>
  <sortState ref="C29:E45">
    <sortCondition descending="1" ref="E29"/>
  </sortState>
  <mergeCells count="6">
    <mergeCell ref="B58:N58"/>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C3898-7B7E-454C-B17D-9280856D0F11}">
  <dimension ref="B1:N6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163</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164</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27</v>
      </c>
      <c r="D8" s="6" t="s">
        <v>23</v>
      </c>
      <c r="E8" s="11">
        <v>0.121645</v>
      </c>
      <c r="F8" s="1"/>
      <c r="G8" s="24" t="s">
        <v>16</v>
      </c>
      <c r="H8" s="25">
        <v>1</v>
      </c>
      <c r="I8" s="1"/>
      <c r="J8" s="24" t="s">
        <v>13</v>
      </c>
      <c r="K8" s="24" t="s">
        <v>5</v>
      </c>
      <c r="L8" s="1"/>
      <c r="M8" s="1"/>
      <c r="N8" s="18"/>
    </row>
    <row r="9" spans="2:14" ht="15" customHeight="1" x14ac:dyDescent="0.25">
      <c r="B9" s="20"/>
      <c r="C9" s="5" t="s">
        <v>25</v>
      </c>
      <c r="D9" s="6" t="s">
        <v>23</v>
      </c>
      <c r="E9" s="11">
        <v>0.118046</v>
      </c>
      <c r="F9" s="1"/>
      <c r="G9" s="1"/>
      <c r="H9" s="1"/>
      <c r="I9" s="1"/>
      <c r="J9" s="24" t="s">
        <v>11</v>
      </c>
      <c r="K9" s="29">
        <v>-1.0020000000000001E-3</v>
      </c>
      <c r="L9" s="1"/>
      <c r="M9" s="1"/>
      <c r="N9" s="18"/>
    </row>
    <row r="10" spans="2:14" ht="15" customHeight="1" x14ac:dyDescent="0.25">
      <c r="B10" s="20"/>
      <c r="C10" s="5" t="s">
        <v>42</v>
      </c>
      <c r="D10" s="6" t="s">
        <v>23</v>
      </c>
      <c r="E10" s="11">
        <v>8.4364999999999996E-2</v>
      </c>
      <c r="F10" s="1"/>
      <c r="G10" s="1"/>
      <c r="H10" s="1"/>
      <c r="I10" s="1"/>
      <c r="J10" s="24" t="s">
        <v>14</v>
      </c>
      <c r="K10" s="29">
        <v>2.3037999999999999E-2</v>
      </c>
      <c r="L10" s="1"/>
      <c r="M10" s="1"/>
      <c r="N10" s="18"/>
    </row>
    <row r="11" spans="2:14" ht="15" customHeight="1" x14ac:dyDescent="0.25">
      <c r="B11" s="20"/>
      <c r="C11" s="5" t="s">
        <v>141</v>
      </c>
      <c r="D11" s="6" t="s">
        <v>23</v>
      </c>
      <c r="E11" s="11">
        <v>6.6428000000000001E-2</v>
      </c>
      <c r="F11" s="1"/>
      <c r="G11" s="1"/>
      <c r="H11" s="1"/>
      <c r="I11" s="1"/>
      <c r="J11" s="24" t="s">
        <v>53</v>
      </c>
      <c r="K11" s="29">
        <v>0.52747100000000002</v>
      </c>
      <c r="L11" s="1"/>
      <c r="M11" s="1"/>
      <c r="N11" s="18"/>
    </row>
    <row r="12" spans="2:14" ht="15" customHeight="1" x14ac:dyDescent="0.25">
      <c r="B12" s="20"/>
      <c r="C12" s="5" t="s">
        <v>30</v>
      </c>
      <c r="D12" s="6" t="s">
        <v>23</v>
      </c>
      <c r="E12" s="11">
        <v>4.9727E-2</v>
      </c>
      <c r="F12" s="1"/>
      <c r="G12" s="1"/>
      <c r="H12" s="1"/>
      <c r="I12" s="1"/>
      <c r="J12" s="24" t="s">
        <v>77</v>
      </c>
      <c r="K12" s="29">
        <v>0.30270900000000001</v>
      </c>
      <c r="L12" s="1"/>
      <c r="M12" s="1"/>
      <c r="N12" s="18"/>
    </row>
    <row r="13" spans="2:14" ht="15" customHeight="1" x14ac:dyDescent="0.25">
      <c r="B13" s="20"/>
      <c r="C13" s="5" t="s">
        <v>98</v>
      </c>
      <c r="D13" s="6" t="s">
        <v>23</v>
      </c>
      <c r="E13" s="11">
        <v>3.1029000000000001E-2</v>
      </c>
      <c r="F13" s="1"/>
      <c r="G13" s="1"/>
      <c r="H13" s="1"/>
      <c r="I13" s="1"/>
      <c r="J13" s="24" t="s">
        <v>56</v>
      </c>
      <c r="K13" s="29">
        <v>3.3986000000000002E-2</v>
      </c>
      <c r="L13" s="1"/>
      <c r="M13" s="1"/>
      <c r="N13" s="18"/>
    </row>
    <row r="14" spans="2:14" ht="15" customHeight="1" x14ac:dyDescent="0.25">
      <c r="B14" s="20"/>
      <c r="C14" s="5" t="s">
        <v>24</v>
      </c>
      <c r="D14" s="6" t="s">
        <v>23</v>
      </c>
      <c r="E14" s="11">
        <v>2.4891E-2</v>
      </c>
      <c r="F14" s="1"/>
      <c r="G14" s="1"/>
      <c r="H14" s="1"/>
      <c r="I14" s="1"/>
      <c r="J14" s="24" t="s">
        <v>78</v>
      </c>
      <c r="K14" s="29">
        <v>0.113798</v>
      </c>
      <c r="L14" s="1"/>
      <c r="M14" s="1"/>
      <c r="N14" s="18"/>
    </row>
    <row r="15" spans="2:14" ht="15" customHeight="1" x14ac:dyDescent="0.25">
      <c r="B15" s="20"/>
      <c r="C15" s="5" t="s">
        <v>97</v>
      </c>
      <c r="D15" s="6" t="s">
        <v>23</v>
      </c>
      <c r="E15" s="11">
        <v>2.3390000000000001E-2</v>
      </c>
      <c r="F15" s="1"/>
      <c r="G15" s="1"/>
      <c r="H15" s="1"/>
      <c r="I15" s="1"/>
      <c r="J15" s="1"/>
      <c r="K15" s="1"/>
      <c r="L15" s="1"/>
      <c r="M15" s="1"/>
      <c r="N15" s="18"/>
    </row>
    <row r="16" spans="2:14" ht="15" customHeight="1" x14ac:dyDescent="0.25">
      <c r="B16" s="20"/>
      <c r="C16" s="5" t="s">
        <v>140</v>
      </c>
      <c r="D16" s="6" t="s">
        <v>23</v>
      </c>
      <c r="E16" s="11">
        <v>7.9500000000000005E-3</v>
      </c>
      <c r="F16" s="1"/>
      <c r="G16" s="1"/>
      <c r="H16" s="1"/>
      <c r="I16" s="1"/>
      <c r="J16" s="1"/>
      <c r="K16" s="1"/>
      <c r="L16" s="1"/>
      <c r="M16" s="1"/>
      <c r="N16" s="18"/>
    </row>
    <row r="17" spans="2:14" ht="15.75" customHeight="1" x14ac:dyDescent="0.25">
      <c r="B17" s="20"/>
      <c r="C17" s="7" t="s">
        <v>26</v>
      </c>
      <c r="D17" s="8"/>
      <c r="E17" s="12">
        <v>0.52747100000000002</v>
      </c>
      <c r="F17" s="1"/>
      <c r="G17" s="1"/>
      <c r="H17" s="1"/>
      <c r="I17" s="1"/>
      <c r="J17" s="1"/>
      <c r="K17" s="1"/>
      <c r="L17" s="1"/>
      <c r="M17" s="1"/>
      <c r="N17" s="18"/>
    </row>
    <row r="18" spans="2:14" ht="15" customHeight="1" x14ac:dyDescent="0.25">
      <c r="B18" s="20"/>
      <c r="C18" s="5" t="s">
        <v>31</v>
      </c>
      <c r="D18" s="6" t="s">
        <v>23</v>
      </c>
      <c r="E18" s="11">
        <v>7.7693999999999999E-2</v>
      </c>
      <c r="F18" s="1"/>
      <c r="G18" s="1"/>
      <c r="H18" s="1"/>
      <c r="I18" s="1"/>
      <c r="J18" s="1"/>
      <c r="K18" s="1"/>
      <c r="L18" s="1"/>
      <c r="M18" s="1"/>
      <c r="N18" s="18"/>
    </row>
    <row r="19" spans="2:14" ht="15" customHeight="1" x14ac:dyDescent="0.25">
      <c r="B19" s="20"/>
      <c r="C19" s="5" t="s">
        <v>30</v>
      </c>
      <c r="D19" s="6" t="s">
        <v>23</v>
      </c>
      <c r="E19" s="11">
        <v>7.0361000000000007E-2</v>
      </c>
      <c r="F19" s="1"/>
      <c r="G19" s="1"/>
      <c r="H19" s="1"/>
      <c r="I19" s="1"/>
      <c r="J19" s="1"/>
      <c r="K19" s="1"/>
      <c r="L19" s="1"/>
      <c r="M19" s="1"/>
      <c r="N19" s="18"/>
    </row>
    <row r="20" spans="2:14" ht="15" customHeight="1" x14ac:dyDescent="0.25">
      <c r="B20" s="20"/>
      <c r="C20" s="5" t="s">
        <v>150</v>
      </c>
      <c r="D20" s="6" t="s">
        <v>23</v>
      </c>
      <c r="E20" s="11">
        <v>6.2037000000000002E-2</v>
      </c>
      <c r="F20" s="1"/>
      <c r="G20" s="1"/>
      <c r="H20" s="1"/>
      <c r="I20" s="1"/>
      <c r="J20" s="1"/>
      <c r="K20" s="1"/>
      <c r="L20" s="1"/>
      <c r="M20" s="1"/>
      <c r="N20" s="18"/>
    </row>
    <row r="21" spans="2:14" ht="15" customHeight="1" x14ac:dyDescent="0.25">
      <c r="B21" s="20"/>
      <c r="C21" s="5" t="s">
        <v>33</v>
      </c>
      <c r="D21" s="6" t="s">
        <v>23</v>
      </c>
      <c r="E21" s="11">
        <v>3.0886E-2</v>
      </c>
      <c r="F21" s="1"/>
      <c r="G21" s="1"/>
      <c r="H21" s="1"/>
      <c r="I21" s="1"/>
      <c r="J21" s="1"/>
      <c r="K21" s="1"/>
      <c r="L21" s="1"/>
      <c r="M21" s="1"/>
      <c r="N21" s="18"/>
    </row>
    <row r="22" spans="2:14" ht="15" customHeight="1" x14ac:dyDescent="0.25">
      <c r="B22" s="20"/>
      <c r="C22" s="5" t="s">
        <v>165</v>
      </c>
      <c r="D22" s="6" t="s">
        <v>23</v>
      </c>
      <c r="E22" s="11">
        <v>2.2884000000000002E-2</v>
      </c>
      <c r="F22" s="1"/>
      <c r="G22" s="1"/>
      <c r="H22" s="1"/>
      <c r="I22" s="1"/>
      <c r="J22" s="1"/>
      <c r="K22" s="1"/>
      <c r="L22" s="1"/>
      <c r="M22" s="1"/>
      <c r="N22" s="18"/>
    </row>
    <row r="23" spans="2:14" ht="15" customHeight="1" x14ac:dyDescent="0.25">
      <c r="B23" s="20"/>
      <c r="C23" s="5" t="s">
        <v>72</v>
      </c>
      <c r="D23" s="6" t="s">
        <v>23</v>
      </c>
      <c r="E23" s="11">
        <v>1.5685000000000001E-2</v>
      </c>
      <c r="F23" s="1"/>
      <c r="G23" s="1"/>
      <c r="H23" s="1"/>
      <c r="I23" s="1"/>
      <c r="J23" s="1"/>
      <c r="K23" s="1"/>
      <c r="L23" s="1"/>
      <c r="M23" s="1"/>
      <c r="N23" s="18"/>
    </row>
    <row r="24" spans="2:14" ht="15" customHeight="1" x14ac:dyDescent="0.25">
      <c r="B24" s="20"/>
      <c r="C24" s="5" t="s">
        <v>149</v>
      </c>
      <c r="D24" s="6" t="s">
        <v>23</v>
      </c>
      <c r="E24" s="11">
        <v>1.5438E-2</v>
      </c>
      <c r="F24" s="1"/>
      <c r="G24" s="51" t="s">
        <v>123</v>
      </c>
      <c r="H24" s="52"/>
      <c r="I24" s="52"/>
      <c r="J24" s="52"/>
      <c r="K24" s="52"/>
      <c r="L24" s="33">
        <v>168.9888346354644</v>
      </c>
      <c r="M24" s="27"/>
      <c r="N24" s="28"/>
    </row>
    <row r="25" spans="2:14" ht="15" customHeight="1" x14ac:dyDescent="0.25">
      <c r="B25" s="20"/>
      <c r="C25" s="5" t="s">
        <v>38</v>
      </c>
      <c r="D25" s="6" t="s">
        <v>23</v>
      </c>
      <c r="E25" s="11">
        <v>7.724E-3</v>
      </c>
      <c r="F25" s="1"/>
      <c r="G25" s="1"/>
      <c r="H25" s="1"/>
      <c r="I25" s="1"/>
      <c r="J25" s="1"/>
      <c r="K25" s="1"/>
      <c r="L25" s="1"/>
      <c r="M25" s="1"/>
      <c r="N25" s="18"/>
    </row>
    <row r="26" spans="2:14" ht="15.75" customHeight="1" x14ac:dyDescent="0.25">
      <c r="B26" s="20"/>
      <c r="C26" s="7" t="s">
        <v>73</v>
      </c>
      <c r="D26" s="8"/>
      <c r="E26" s="12">
        <v>0.30270900000000001</v>
      </c>
      <c r="F26" s="1"/>
      <c r="G26" s="51" t="s">
        <v>19</v>
      </c>
      <c r="H26" s="52"/>
      <c r="I26" s="52"/>
      <c r="J26" s="52"/>
      <c r="K26" s="52"/>
      <c r="L26" s="52"/>
      <c r="M26" s="52"/>
      <c r="N26" s="53"/>
    </row>
    <row r="27" spans="2:14" ht="15" customHeight="1" x14ac:dyDescent="0.25">
      <c r="B27" s="20"/>
      <c r="C27" s="5" t="s">
        <v>194</v>
      </c>
      <c r="D27" s="6" t="s">
        <v>47</v>
      </c>
      <c r="E27" s="11">
        <v>9.7090000000000006E-3</v>
      </c>
      <c r="F27" s="1"/>
      <c r="G27" s="1"/>
      <c r="H27" s="1"/>
      <c r="I27" s="1"/>
      <c r="J27" s="1"/>
      <c r="K27" s="1"/>
      <c r="L27" s="1"/>
      <c r="M27" s="1"/>
      <c r="N27" s="18"/>
    </row>
    <row r="28" spans="2:14" ht="15.75" customHeight="1" x14ac:dyDescent="0.25">
      <c r="B28" s="20"/>
      <c r="C28" s="5" t="s">
        <v>197</v>
      </c>
      <c r="D28" s="6" t="s">
        <v>47</v>
      </c>
      <c r="E28" s="11">
        <v>9.6810000000000004E-3</v>
      </c>
      <c r="F28" s="1"/>
      <c r="G28" s="1"/>
      <c r="H28" s="1"/>
      <c r="I28" s="1"/>
      <c r="J28" s="1"/>
      <c r="K28" s="1"/>
      <c r="L28" s="1"/>
      <c r="M28" s="1"/>
      <c r="N28" s="18"/>
    </row>
    <row r="29" spans="2:14" ht="15" customHeight="1" x14ac:dyDescent="0.25">
      <c r="B29" s="20"/>
      <c r="C29" s="5" t="s">
        <v>195</v>
      </c>
      <c r="D29" s="6" t="s">
        <v>47</v>
      </c>
      <c r="E29" s="11">
        <v>8.1040000000000001E-3</v>
      </c>
      <c r="F29" s="1"/>
      <c r="G29" s="1"/>
      <c r="H29" s="1"/>
      <c r="I29" s="1"/>
      <c r="J29" s="1"/>
      <c r="K29" s="1"/>
      <c r="L29" s="1"/>
      <c r="M29" s="1"/>
      <c r="N29" s="18"/>
    </row>
    <row r="30" spans="2:14" ht="15" customHeight="1" x14ac:dyDescent="0.25">
      <c r="B30" s="20"/>
      <c r="C30" s="5" t="s">
        <v>196</v>
      </c>
      <c r="D30" s="6" t="s">
        <v>47</v>
      </c>
      <c r="E30" s="11">
        <v>6.4920000000000004E-3</v>
      </c>
      <c r="F30" s="1"/>
      <c r="G30" s="1"/>
      <c r="H30" s="1"/>
      <c r="I30" s="1"/>
      <c r="J30" s="1"/>
      <c r="K30" s="1"/>
      <c r="L30" s="1"/>
      <c r="M30" s="1"/>
      <c r="N30" s="18"/>
    </row>
    <row r="31" spans="2:14" ht="15" customHeight="1" x14ac:dyDescent="0.25">
      <c r="B31" s="20"/>
      <c r="C31" s="7" t="s">
        <v>52</v>
      </c>
      <c r="D31" s="8"/>
      <c r="E31" s="12">
        <v>3.3986000000000002E-2</v>
      </c>
      <c r="F31" s="1"/>
      <c r="G31" s="1"/>
      <c r="H31" s="1"/>
      <c r="I31" s="1"/>
      <c r="J31" s="1"/>
      <c r="K31" s="1"/>
      <c r="L31" s="1"/>
      <c r="M31" s="1"/>
      <c r="N31" s="18"/>
    </row>
    <row r="32" spans="2:14" ht="15" customHeight="1" x14ac:dyDescent="0.25">
      <c r="B32" s="20"/>
      <c r="C32" s="5" t="s">
        <v>166</v>
      </c>
      <c r="D32" s="6" t="s">
        <v>47</v>
      </c>
      <c r="E32" s="11">
        <v>3.1354E-2</v>
      </c>
      <c r="F32" s="1"/>
      <c r="G32" s="1"/>
      <c r="H32" s="1"/>
      <c r="I32" s="1"/>
      <c r="J32" s="1"/>
      <c r="K32" s="1"/>
      <c r="L32" s="1"/>
      <c r="M32" s="1"/>
      <c r="N32" s="18"/>
    </row>
    <row r="33" spans="2:14" ht="15" customHeight="1" x14ac:dyDescent="0.25">
      <c r="B33" s="20"/>
      <c r="C33" s="5" t="s">
        <v>162</v>
      </c>
      <c r="D33" s="6" t="s">
        <v>47</v>
      </c>
      <c r="E33" s="11">
        <v>3.1102999999999999E-2</v>
      </c>
      <c r="F33" s="1"/>
      <c r="G33" s="1"/>
      <c r="H33" s="1"/>
      <c r="I33" s="1"/>
      <c r="J33" s="1"/>
      <c r="K33" s="1"/>
      <c r="L33" s="1"/>
      <c r="M33" s="1"/>
      <c r="N33" s="18"/>
    </row>
    <row r="34" spans="2:14" ht="15.75" customHeight="1" x14ac:dyDescent="0.25">
      <c r="B34" s="20"/>
      <c r="C34" s="5" t="s">
        <v>75</v>
      </c>
      <c r="D34" s="6" t="s">
        <v>47</v>
      </c>
      <c r="E34" s="11">
        <v>2.6401999999999998E-2</v>
      </c>
      <c r="F34" s="1"/>
      <c r="G34" s="1"/>
      <c r="H34" s="1"/>
      <c r="I34" s="1"/>
      <c r="J34" s="1"/>
      <c r="K34" s="1"/>
      <c r="L34" s="1"/>
      <c r="M34" s="1"/>
      <c r="N34" s="18"/>
    </row>
    <row r="35" spans="2:14" ht="15" customHeight="1" x14ac:dyDescent="0.25">
      <c r="B35" s="20"/>
      <c r="C35" s="5" t="s">
        <v>167</v>
      </c>
      <c r="D35" s="6" t="s">
        <v>47</v>
      </c>
      <c r="E35" s="11">
        <v>1.5572000000000001E-2</v>
      </c>
      <c r="F35" s="1"/>
      <c r="G35" s="1"/>
      <c r="H35" s="1"/>
      <c r="I35" s="1"/>
      <c r="J35" s="1"/>
      <c r="K35" s="1"/>
      <c r="L35" s="1"/>
      <c r="M35" s="1"/>
      <c r="N35" s="18"/>
    </row>
    <row r="36" spans="2:14" ht="15.75" customHeight="1" x14ac:dyDescent="0.25">
      <c r="B36" s="20"/>
      <c r="C36" s="5" t="s">
        <v>168</v>
      </c>
      <c r="D36" s="6" t="s">
        <v>47</v>
      </c>
      <c r="E36" s="11">
        <v>9.3670000000000003E-3</v>
      </c>
      <c r="F36" s="1"/>
      <c r="G36" s="1"/>
      <c r="H36" s="1"/>
      <c r="I36" s="1"/>
      <c r="J36" s="1"/>
      <c r="K36" s="1"/>
      <c r="L36" s="1"/>
      <c r="M36" s="1"/>
      <c r="N36" s="18"/>
    </row>
    <row r="37" spans="2:14" ht="15" customHeight="1" x14ac:dyDescent="0.25">
      <c r="B37" s="20"/>
      <c r="C37" s="7" t="s">
        <v>76</v>
      </c>
      <c r="D37" s="8"/>
      <c r="E37" s="12">
        <v>0.113798</v>
      </c>
      <c r="F37" s="1"/>
      <c r="G37" s="1"/>
      <c r="H37" s="1"/>
      <c r="I37" s="1"/>
      <c r="J37" s="1"/>
      <c r="K37" s="1"/>
      <c r="L37" s="1"/>
      <c r="M37" s="1"/>
      <c r="N37" s="18"/>
    </row>
    <row r="38" spans="2:14" ht="15.75" customHeight="1" x14ac:dyDescent="0.25">
      <c r="B38" s="20"/>
      <c r="C38" s="5" t="s">
        <v>9</v>
      </c>
      <c r="D38" s="6"/>
      <c r="E38" s="11">
        <v>2.3037999999999999E-2</v>
      </c>
      <c r="F38" s="1"/>
      <c r="G38" s="1"/>
      <c r="H38" s="1"/>
      <c r="I38" s="1"/>
      <c r="J38" s="1"/>
      <c r="K38" s="1"/>
      <c r="L38" s="1"/>
      <c r="M38" s="1"/>
      <c r="N38" s="18"/>
    </row>
    <row r="39" spans="2:14" ht="15" customHeight="1" x14ac:dyDescent="0.25">
      <c r="B39" s="20"/>
      <c r="C39" s="7" t="s">
        <v>10</v>
      </c>
      <c r="D39" s="8"/>
      <c r="E39" s="12">
        <v>2.3037999999999999E-2</v>
      </c>
      <c r="F39" s="1"/>
      <c r="G39" s="1"/>
      <c r="H39" s="1"/>
      <c r="I39" s="1"/>
      <c r="J39" s="1"/>
      <c r="K39" s="1"/>
      <c r="L39" s="1"/>
      <c r="M39" s="1"/>
      <c r="N39" s="18"/>
    </row>
    <row r="40" spans="2:14" ht="15" customHeight="1" x14ac:dyDescent="0.25">
      <c r="B40" s="20"/>
      <c r="C40" s="5"/>
      <c r="D40" s="6"/>
      <c r="E40" s="11"/>
      <c r="F40" s="1"/>
      <c r="G40" s="1"/>
      <c r="H40" s="1"/>
      <c r="I40" s="1"/>
      <c r="J40" s="1"/>
      <c r="K40" s="1"/>
      <c r="L40" s="1"/>
      <c r="M40" s="1"/>
      <c r="N40" s="18"/>
    </row>
    <row r="41" spans="2:14" ht="15" customHeight="1" x14ac:dyDescent="0.25">
      <c r="B41" s="20"/>
      <c r="C41" s="7" t="s">
        <v>11</v>
      </c>
      <c r="D41" s="8"/>
      <c r="E41" s="12">
        <v>-1.0020000000000001E-3</v>
      </c>
      <c r="F41" s="1"/>
      <c r="G41" s="1"/>
      <c r="H41" s="1"/>
      <c r="I41" s="1"/>
      <c r="J41" s="1"/>
      <c r="K41" s="1"/>
      <c r="L41" s="1"/>
      <c r="M41" s="1"/>
      <c r="N41" s="18"/>
    </row>
    <row r="42" spans="2:14" ht="15" customHeight="1" x14ac:dyDescent="0.25">
      <c r="B42" s="20"/>
      <c r="C42" s="5"/>
      <c r="D42" s="6"/>
      <c r="E42" s="11"/>
      <c r="F42" s="1"/>
      <c r="G42" s="1"/>
      <c r="H42" s="1"/>
      <c r="I42" s="1"/>
      <c r="J42" s="1"/>
      <c r="K42" s="1"/>
      <c r="L42" s="1"/>
      <c r="M42" s="1"/>
      <c r="N42" s="18"/>
    </row>
    <row r="43" spans="2:14" ht="15" customHeight="1" x14ac:dyDescent="0.25">
      <c r="B43" s="20"/>
      <c r="C43" s="9" t="s">
        <v>12</v>
      </c>
      <c r="D43" s="10"/>
      <c r="E43" s="13">
        <v>1</v>
      </c>
      <c r="F43" s="1"/>
      <c r="G43" s="1"/>
      <c r="H43" s="1"/>
      <c r="I43" s="1"/>
      <c r="J43" s="1"/>
      <c r="K43" s="1"/>
      <c r="L43" s="1"/>
      <c r="M43" s="1"/>
      <c r="N43" s="18"/>
    </row>
    <row r="44" spans="2:14" ht="15" customHeight="1" x14ac:dyDescent="0.25">
      <c r="B44" s="20"/>
      <c r="C44" s="1"/>
      <c r="D44" s="1"/>
      <c r="E44" s="1"/>
      <c r="F44" s="1"/>
      <c r="G44" s="1"/>
      <c r="H44" s="1"/>
      <c r="I44" s="1"/>
      <c r="J44" s="1"/>
      <c r="K44" s="1"/>
      <c r="L44" s="1"/>
      <c r="M44" s="1"/>
      <c r="N44" s="18"/>
    </row>
    <row r="45" spans="2:14" ht="15" customHeight="1" thickBot="1" x14ac:dyDescent="0.3">
      <c r="B45" s="21"/>
      <c r="C45" s="22"/>
      <c r="D45" s="22"/>
      <c r="E45" s="22"/>
      <c r="F45" s="22"/>
      <c r="G45" s="22"/>
      <c r="H45" s="22"/>
      <c r="I45" s="22"/>
      <c r="J45" s="22"/>
      <c r="K45" s="22"/>
      <c r="L45" s="22"/>
      <c r="M45" s="22"/>
      <c r="N45" s="23"/>
    </row>
    <row r="46" spans="2:14" ht="15" customHeight="1" thickBot="1" x14ac:dyDescent="0.3"/>
    <row r="47" spans="2:14" ht="121.5" customHeight="1" thickBot="1" x14ac:dyDescent="0.3">
      <c r="B47" s="43" t="s">
        <v>295</v>
      </c>
      <c r="C47" s="44"/>
      <c r="D47" s="44"/>
      <c r="E47" s="44"/>
      <c r="F47" s="44"/>
      <c r="G47" s="44"/>
      <c r="H47" s="44"/>
      <c r="I47" s="44"/>
      <c r="J47" s="44"/>
      <c r="K47" s="44"/>
      <c r="L47" s="44"/>
      <c r="M47" s="44"/>
      <c r="N47" s="45"/>
    </row>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sheetData>
  <sortState ref="C27:E30">
    <sortCondition descending="1" ref="E27"/>
  </sortState>
  <mergeCells count="6">
    <mergeCell ref="B47:N47"/>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F951A-2820-4AE4-A88A-AEBAE2437078}">
  <dimension ref="B1:N5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175</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176</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25</v>
      </c>
      <c r="D8" s="6" t="s">
        <v>23</v>
      </c>
      <c r="E8" s="11">
        <v>0.114343</v>
      </c>
      <c r="F8" s="1"/>
      <c r="G8" s="24" t="s">
        <v>16</v>
      </c>
      <c r="H8" s="25">
        <v>1</v>
      </c>
      <c r="I8" s="1"/>
      <c r="J8" s="24" t="s">
        <v>13</v>
      </c>
      <c r="K8" s="24" t="s">
        <v>5</v>
      </c>
      <c r="L8" s="1"/>
      <c r="M8" s="1"/>
      <c r="N8" s="18"/>
    </row>
    <row r="9" spans="2:14" ht="15" customHeight="1" x14ac:dyDescent="0.25">
      <c r="B9" s="20"/>
      <c r="C9" s="5" t="s">
        <v>30</v>
      </c>
      <c r="D9" s="6" t="s">
        <v>23</v>
      </c>
      <c r="E9" s="11">
        <v>8.6713999999999999E-2</v>
      </c>
      <c r="F9" s="1"/>
      <c r="G9" s="1"/>
      <c r="H9" s="1"/>
      <c r="I9" s="1"/>
      <c r="J9" s="24" t="s">
        <v>11</v>
      </c>
      <c r="K9" s="29">
        <v>1.2307E-2</v>
      </c>
      <c r="L9" s="1"/>
      <c r="M9" s="1"/>
      <c r="N9" s="18"/>
    </row>
    <row r="10" spans="2:14" ht="15" customHeight="1" x14ac:dyDescent="0.25">
      <c r="B10" s="20"/>
      <c r="C10" s="5" t="s">
        <v>140</v>
      </c>
      <c r="D10" s="6" t="s">
        <v>23</v>
      </c>
      <c r="E10" s="11">
        <v>6.8789999999999997E-3</v>
      </c>
      <c r="F10" s="1"/>
      <c r="G10" s="1"/>
      <c r="H10" s="1"/>
      <c r="I10" s="1"/>
      <c r="J10" s="24" t="s">
        <v>14</v>
      </c>
      <c r="K10" s="29">
        <v>0.176256</v>
      </c>
      <c r="L10" s="1"/>
      <c r="M10" s="1"/>
      <c r="N10" s="18"/>
    </row>
    <row r="11" spans="2:14" ht="15.75" customHeight="1" x14ac:dyDescent="0.25">
      <c r="B11" s="20"/>
      <c r="C11" s="7" t="s">
        <v>26</v>
      </c>
      <c r="D11" s="8"/>
      <c r="E11" s="12">
        <v>0.20793600000000001</v>
      </c>
      <c r="F11" s="1"/>
      <c r="G11" s="1"/>
      <c r="H11" s="1"/>
      <c r="I11" s="1"/>
      <c r="J11" s="24" t="s">
        <v>53</v>
      </c>
      <c r="K11" s="29">
        <v>0.20793600000000001</v>
      </c>
      <c r="L11" s="1"/>
      <c r="M11" s="1"/>
      <c r="N11" s="18"/>
    </row>
    <row r="12" spans="2:14" ht="15" customHeight="1" x14ac:dyDescent="0.25">
      <c r="B12" s="20"/>
      <c r="C12" s="5" t="s">
        <v>83</v>
      </c>
      <c r="D12" s="6" t="s">
        <v>23</v>
      </c>
      <c r="E12" s="11">
        <v>7.6322000000000001E-2</v>
      </c>
      <c r="F12" s="1"/>
      <c r="G12" s="1"/>
      <c r="H12" s="1"/>
      <c r="I12" s="1"/>
      <c r="J12" s="24" t="s">
        <v>54</v>
      </c>
      <c r="K12" s="29">
        <v>0.33877400000000002</v>
      </c>
      <c r="L12" s="1"/>
      <c r="M12" s="1"/>
      <c r="N12" s="18"/>
    </row>
    <row r="13" spans="2:14" ht="15" customHeight="1" x14ac:dyDescent="0.25">
      <c r="B13" s="20"/>
      <c r="C13" s="5" t="s">
        <v>145</v>
      </c>
      <c r="D13" s="6" t="s">
        <v>23</v>
      </c>
      <c r="E13" s="11">
        <v>6.9283999999999998E-2</v>
      </c>
      <c r="F13" s="1"/>
      <c r="G13" s="1"/>
      <c r="H13" s="1"/>
      <c r="I13" s="1"/>
      <c r="J13" s="24" t="s">
        <v>77</v>
      </c>
      <c r="K13" s="29">
        <v>0.220001</v>
      </c>
      <c r="L13" s="1"/>
      <c r="M13" s="1"/>
      <c r="N13" s="18"/>
    </row>
    <row r="14" spans="2:14" ht="15" customHeight="1" x14ac:dyDescent="0.25">
      <c r="B14" s="20"/>
      <c r="C14" s="5" t="s">
        <v>31</v>
      </c>
      <c r="D14" s="6" t="s">
        <v>23</v>
      </c>
      <c r="E14" s="11">
        <v>5.4132E-2</v>
      </c>
      <c r="F14" s="1"/>
      <c r="G14" s="1"/>
      <c r="H14" s="1"/>
      <c r="I14" s="1"/>
      <c r="J14" s="24" t="s">
        <v>56</v>
      </c>
      <c r="K14" s="29">
        <v>3.9043000000000001E-2</v>
      </c>
      <c r="L14" s="1"/>
      <c r="M14" s="1"/>
      <c r="N14" s="18"/>
    </row>
    <row r="15" spans="2:14" ht="15" customHeight="1" x14ac:dyDescent="0.25">
      <c r="B15" s="20"/>
      <c r="C15" s="5" t="s">
        <v>30</v>
      </c>
      <c r="D15" s="6" t="s">
        <v>23</v>
      </c>
      <c r="E15" s="11">
        <v>2.0263E-2</v>
      </c>
      <c r="F15" s="1"/>
      <c r="G15" s="1"/>
      <c r="H15" s="1"/>
      <c r="I15" s="1"/>
      <c r="J15" s="24" t="s">
        <v>78</v>
      </c>
      <c r="K15" s="29">
        <v>5.6829999999999997E-3</v>
      </c>
      <c r="L15" s="1"/>
      <c r="M15" s="1"/>
      <c r="N15" s="18"/>
    </row>
    <row r="16" spans="2:14" ht="15.75" customHeight="1" x14ac:dyDescent="0.25">
      <c r="B16" s="20"/>
      <c r="C16" s="7" t="s">
        <v>73</v>
      </c>
      <c r="D16" s="8"/>
      <c r="E16" s="12">
        <v>0.220001</v>
      </c>
      <c r="F16" s="1"/>
      <c r="G16" s="1"/>
      <c r="H16" s="1"/>
      <c r="I16" s="1"/>
      <c r="J16" s="1"/>
      <c r="K16" s="1"/>
      <c r="L16" s="1"/>
      <c r="M16" s="1"/>
      <c r="N16" s="18"/>
    </row>
    <row r="17" spans="2:14" ht="15" customHeight="1" x14ac:dyDescent="0.25">
      <c r="B17" s="20"/>
      <c r="C17" s="5" t="s">
        <v>27</v>
      </c>
      <c r="D17" s="6" t="s">
        <v>28</v>
      </c>
      <c r="E17" s="11">
        <v>9.7297999999999996E-2</v>
      </c>
      <c r="F17" s="1"/>
      <c r="G17" s="1"/>
      <c r="H17" s="1"/>
      <c r="I17" s="1"/>
      <c r="J17" s="1"/>
      <c r="K17" s="1"/>
      <c r="L17" s="1"/>
      <c r="M17" s="1"/>
      <c r="N17" s="18"/>
    </row>
    <row r="18" spans="2:14" ht="15" customHeight="1" x14ac:dyDescent="0.25">
      <c r="B18" s="20"/>
      <c r="C18" s="5" t="s">
        <v>72</v>
      </c>
      <c r="D18" s="6" t="s">
        <v>28</v>
      </c>
      <c r="E18" s="11">
        <v>5.8639999999999998E-2</v>
      </c>
      <c r="F18" s="1"/>
      <c r="G18" s="1"/>
      <c r="H18" s="1"/>
      <c r="I18" s="1"/>
      <c r="J18" s="1"/>
      <c r="K18" s="1"/>
      <c r="L18" s="1"/>
      <c r="M18" s="1"/>
      <c r="N18" s="18"/>
    </row>
    <row r="19" spans="2:14" ht="15" customHeight="1" x14ac:dyDescent="0.25">
      <c r="B19" s="20"/>
      <c r="C19" s="5" t="s">
        <v>40</v>
      </c>
      <c r="D19" s="6" t="s">
        <v>28</v>
      </c>
      <c r="E19" s="11">
        <v>5.62E-2</v>
      </c>
      <c r="F19" s="1"/>
      <c r="G19" s="1"/>
      <c r="H19" s="1"/>
      <c r="I19" s="1"/>
      <c r="J19" s="1"/>
      <c r="K19" s="1"/>
      <c r="L19" s="1"/>
      <c r="M19" s="1"/>
      <c r="N19" s="18"/>
    </row>
    <row r="20" spans="2:14" ht="15" customHeight="1" x14ac:dyDescent="0.25">
      <c r="B20" s="20"/>
      <c r="C20" s="5" t="s">
        <v>38</v>
      </c>
      <c r="D20" s="6" t="s">
        <v>28</v>
      </c>
      <c r="E20" s="11">
        <v>5.6016000000000003E-2</v>
      </c>
      <c r="F20" s="1"/>
      <c r="G20" s="1"/>
      <c r="H20" s="1"/>
      <c r="I20" s="1"/>
      <c r="J20" s="1"/>
      <c r="K20" s="1"/>
      <c r="L20" s="1"/>
      <c r="M20" s="1"/>
      <c r="N20" s="18"/>
    </row>
    <row r="21" spans="2:14" ht="15" customHeight="1" x14ac:dyDescent="0.25">
      <c r="B21" s="20"/>
      <c r="C21" s="5" t="s">
        <v>32</v>
      </c>
      <c r="D21" s="6" t="s">
        <v>28</v>
      </c>
      <c r="E21" s="11">
        <v>2.6723E-2</v>
      </c>
      <c r="F21" s="1"/>
      <c r="G21" s="1"/>
      <c r="H21" s="1"/>
      <c r="I21" s="1"/>
      <c r="J21" s="1"/>
      <c r="K21" s="1"/>
      <c r="L21" s="1"/>
      <c r="M21" s="1"/>
      <c r="N21" s="18"/>
    </row>
    <row r="22" spans="2:14" ht="15" customHeight="1" x14ac:dyDescent="0.25">
      <c r="B22" s="20"/>
      <c r="C22" s="5" t="s">
        <v>34</v>
      </c>
      <c r="D22" s="6" t="s">
        <v>28</v>
      </c>
      <c r="E22" s="11">
        <v>2.1342E-2</v>
      </c>
      <c r="F22" s="1"/>
      <c r="G22" s="1"/>
      <c r="H22" s="1"/>
      <c r="I22" s="1"/>
      <c r="J22" s="1"/>
      <c r="K22" s="1"/>
      <c r="L22" s="1"/>
      <c r="M22" s="1"/>
      <c r="N22" s="18"/>
    </row>
    <row r="23" spans="2:14" ht="15" customHeight="1" x14ac:dyDescent="0.25">
      <c r="B23" s="20"/>
      <c r="C23" s="5" t="s">
        <v>31</v>
      </c>
      <c r="D23" s="6" t="s">
        <v>28</v>
      </c>
      <c r="E23" s="11">
        <v>8.3979999999999992E-3</v>
      </c>
      <c r="F23" s="1"/>
      <c r="G23" s="1"/>
      <c r="H23" s="1"/>
      <c r="I23" s="1"/>
      <c r="J23" s="1"/>
      <c r="K23" s="1"/>
      <c r="L23" s="1"/>
      <c r="M23" s="1"/>
      <c r="N23" s="18"/>
    </row>
    <row r="24" spans="2:14" ht="15" customHeight="1" x14ac:dyDescent="0.25">
      <c r="B24" s="20"/>
      <c r="C24" s="5" t="s">
        <v>86</v>
      </c>
      <c r="D24" s="6" t="s">
        <v>28</v>
      </c>
      <c r="E24" s="11">
        <v>7.1050000000000002E-3</v>
      </c>
      <c r="F24" s="1"/>
      <c r="G24" s="51" t="s">
        <v>123</v>
      </c>
      <c r="H24" s="52"/>
      <c r="I24" s="52"/>
      <c r="J24" s="52"/>
      <c r="K24" s="52"/>
      <c r="L24" s="33">
        <v>172.85726607757979</v>
      </c>
      <c r="M24" s="27"/>
      <c r="N24" s="28"/>
    </row>
    <row r="25" spans="2:14" ht="15" customHeight="1" x14ac:dyDescent="0.25">
      <c r="B25" s="20"/>
      <c r="C25" s="5" t="s">
        <v>41</v>
      </c>
      <c r="D25" s="6" t="s">
        <v>28</v>
      </c>
      <c r="E25" s="11">
        <v>7.0520000000000001E-3</v>
      </c>
      <c r="F25" s="1"/>
      <c r="G25" s="1"/>
      <c r="H25" s="1"/>
      <c r="I25" s="1"/>
      <c r="J25" s="1"/>
      <c r="K25" s="1"/>
      <c r="L25" s="1"/>
      <c r="M25" s="1"/>
      <c r="N25" s="18"/>
    </row>
    <row r="26" spans="2:14" ht="15.75" customHeight="1" x14ac:dyDescent="0.25">
      <c r="B26" s="20"/>
      <c r="C26" s="7" t="s">
        <v>45</v>
      </c>
      <c r="D26" s="8"/>
      <c r="E26" s="12">
        <v>0.33877400000000002</v>
      </c>
      <c r="F26" s="1"/>
      <c r="G26" s="51" t="s">
        <v>19</v>
      </c>
      <c r="H26" s="52"/>
      <c r="I26" s="52"/>
      <c r="J26" s="52"/>
      <c r="K26" s="52"/>
      <c r="L26" s="52"/>
      <c r="M26" s="52"/>
      <c r="N26" s="53"/>
    </row>
    <row r="27" spans="2:14" ht="15" customHeight="1" x14ac:dyDescent="0.25">
      <c r="B27" s="20"/>
      <c r="C27" s="5" t="s">
        <v>183</v>
      </c>
      <c r="D27" s="6" t="s">
        <v>47</v>
      </c>
      <c r="E27" s="11">
        <v>2.2697999999999999E-2</v>
      </c>
      <c r="F27" s="1"/>
      <c r="G27" s="1"/>
      <c r="H27" s="1"/>
      <c r="I27" s="1"/>
      <c r="J27" s="1"/>
      <c r="K27" s="1"/>
      <c r="L27" s="1"/>
      <c r="M27" s="1"/>
      <c r="N27" s="18"/>
    </row>
    <row r="28" spans="2:14" ht="15.75" customHeight="1" x14ac:dyDescent="0.25">
      <c r="B28" s="20"/>
      <c r="C28" s="5" t="s">
        <v>199</v>
      </c>
      <c r="D28" s="6" t="s">
        <v>47</v>
      </c>
      <c r="E28" s="11">
        <v>8.966E-3</v>
      </c>
      <c r="F28" s="1"/>
      <c r="G28" s="1"/>
      <c r="H28" s="1"/>
      <c r="I28" s="1"/>
      <c r="J28" s="1"/>
      <c r="K28" s="1"/>
      <c r="L28" s="1"/>
      <c r="M28" s="1"/>
      <c r="N28" s="18"/>
    </row>
    <row r="29" spans="2:14" ht="15" customHeight="1" x14ac:dyDescent="0.25">
      <c r="B29" s="20"/>
      <c r="C29" s="5" t="s">
        <v>198</v>
      </c>
      <c r="D29" s="6" t="s">
        <v>47</v>
      </c>
      <c r="E29" s="11">
        <v>7.3790000000000001E-3</v>
      </c>
      <c r="F29" s="1"/>
      <c r="G29" s="1"/>
      <c r="H29" s="1"/>
      <c r="I29" s="1"/>
      <c r="J29" s="1"/>
      <c r="K29" s="1"/>
      <c r="L29" s="1"/>
      <c r="M29" s="1"/>
      <c r="N29" s="18"/>
    </row>
    <row r="30" spans="2:14" ht="15.75" customHeight="1" x14ac:dyDescent="0.25">
      <c r="B30" s="20"/>
      <c r="C30" s="7" t="s">
        <v>52</v>
      </c>
      <c r="D30" s="8"/>
      <c r="E30" s="12">
        <v>3.9043000000000001E-2</v>
      </c>
      <c r="F30" s="1"/>
      <c r="G30" s="1"/>
      <c r="H30" s="1"/>
      <c r="I30" s="1"/>
      <c r="J30" s="1"/>
      <c r="K30" s="1"/>
      <c r="L30" s="1"/>
      <c r="M30" s="1"/>
      <c r="N30" s="18"/>
    </row>
    <row r="31" spans="2:14" ht="15" customHeight="1" x14ac:dyDescent="0.25">
      <c r="B31" s="20"/>
      <c r="C31" s="5" t="s">
        <v>162</v>
      </c>
      <c r="D31" s="6" t="s">
        <v>47</v>
      </c>
      <c r="E31" s="11">
        <v>5.6829999999999997E-3</v>
      </c>
      <c r="F31" s="1"/>
      <c r="G31" s="1"/>
      <c r="H31" s="1"/>
      <c r="I31" s="1"/>
      <c r="J31" s="1"/>
      <c r="K31" s="1"/>
      <c r="L31" s="1"/>
      <c r="M31" s="1"/>
      <c r="N31" s="18"/>
    </row>
    <row r="32" spans="2:14" ht="15.75" customHeight="1" x14ac:dyDescent="0.25">
      <c r="B32" s="20"/>
      <c r="C32" s="7" t="s">
        <v>76</v>
      </c>
      <c r="D32" s="8"/>
      <c r="E32" s="12">
        <v>5.6829999999999997E-3</v>
      </c>
      <c r="F32" s="1"/>
      <c r="G32" s="1"/>
      <c r="H32" s="1"/>
      <c r="I32" s="1"/>
      <c r="J32" s="1"/>
      <c r="K32" s="1"/>
      <c r="L32" s="1"/>
      <c r="M32" s="1"/>
      <c r="N32" s="18"/>
    </row>
    <row r="33" spans="2:14" ht="15" customHeight="1" x14ac:dyDescent="0.25">
      <c r="B33" s="20"/>
      <c r="C33" s="5" t="s">
        <v>9</v>
      </c>
      <c r="D33" s="6"/>
      <c r="E33" s="11">
        <v>0.176256</v>
      </c>
      <c r="F33" s="1"/>
      <c r="G33" s="1"/>
      <c r="H33" s="1"/>
      <c r="I33" s="1"/>
      <c r="J33" s="1"/>
      <c r="K33" s="1"/>
      <c r="L33" s="1"/>
      <c r="M33" s="1"/>
      <c r="N33" s="18"/>
    </row>
    <row r="34" spans="2:14" ht="15.75" customHeight="1" x14ac:dyDescent="0.25">
      <c r="B34" s="20"/>
      <c r="C34" s="7" t="s">
        <v>10</v>
      </c>
      <c r="D34" s="8"/>
      <c r="E34" s="12">
        <v>0.176256</v>
      </c>
      <c r="F34" s="1"/>
      <c r="G34" s="1"/>
      <c r="H34" s="1"/>
      <c r="I34" s="1"/>
      <c r="J34" s="1"/>
      <c r="K34" s="1"/>
      <c r="L34" s="1"/>
      <c r="M34" s="1"/>
      <c r="N34" s="18"/>
    </row>
    <row r="35" spans="2:14" ht="15" customHeight="1" x14ac:dyDescent="0.25">
      <c r="B35" s="20"/>
      <c r="C35" s="5"/>
      <c r="D35" s="6"/>
      <c r="E35" s="11"/>
      <c r="F35" s="1"/>
      <c r="G35" s="1"/>
      <c r="H35" s="1"/>
      <c r="I35" s="1"/>
      <c r="J35" s="1"/>
      <c r="K35" s="1"/>
      <c r="L35" s="1"/>
      <c r="M35" s="1"/>
      <c r="N35" s="18"/>
    </row>
    <row r="36" spans="2:14" ht="15" customHeight="1" x14ac:dyDescent="0.25">
      <c r="B36" s="20"/>
      <c r="C36" s="7" t="s">
        <v>11</v>
      </c>
      <c r="D36" s="8"/>
      <c r="E36" s="12">
        <v>1.2307E-2</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 customHeight="1" x14ac:dyDescent="0.25">
      <c r="B38" s="20"/>
      <c r="C38" s="9" t="s">
        <v>12</v>
      </c>
      <c r="D38" s="10"/>
      <c r="E38" s="13">
        <v>1</v>
      </c>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22.25" customHeight="1" thickBot="1" x14ac:dyDescent="0.3">
      <c r="B45" s="43" t="s">
        <v>295</v>
      </c>
      <c r="C45" s="44"/>
      <c r="D45" s="44"/>
      <c r="E45" s="44"/>
      <c r="F45" s="44"/>
      <c r="G45" s="44"/>
      <c r="H45" s="44"/>
      <c r="I45" s="44"/>
      <c r="J45" s="44"/>
      <c r="K45" s="44"/>
      <c r="L45" s="44"/>
      <c r="M45" s="44"/>
      <c r="N45" s="45"/>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sheetData>
  <sortState ref="C27:E29">
    <sortCondition descending="1" ref="E27"/>
  </sortState>
  <mergeCells count="6">
    <mergeCell ref="B45:N45"/>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D2DE2-92D1-4F9C-8985-53CA5097981C}">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126</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127</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59</v>
      </c>
      <c r="D8" s="6" t="s">
        <v>47</v>
      </c>
      <c r="E8" s="11">
        <v>0.97144399999999997</v>
      </c>
      <c r="F8" s="1"/>
      <c r="G8" s="24" t="s">
        <v>16</v>
      </c>
      <c r="H8" s="25">
        <v>1</v>
      </c>
      <c r="I8" s="1"/>
      <c r="J8" s="24" t="s">
        <v>13</v>
      </c>
      <c r="K8" s="24" t="s">
        <v>5</v>
      </c>
      <c r="L8" s="1"/>
      <c r="M8" s="1"/>
      <c r="N8" s="18"/>
    </row>
    <row r="9" spans="2:14" ht="15" customHeight="1" x14ac:dyDescent="0.25">
      <c r="B9" s="20"/>
      <c r="C9" s="5" t="s">
        <v>46</v>
      </c>
      <c r="D9" s="6" t="s">
        <v>47</v>
      </c>
      <c r="E9" s="11">
        <v>1.315E-3</v>
      </c>
      <c r="F9" s="1"/>
      <c r="G9" s="1"/>
      <c r="H9" s="1"/>
      <c r="I9" s="1"/>
      <c r="J9" s="24" t="s">
        <v>11</v>
      </c>
      <c r="K9" s="29">
        <v>2.5411E-2</v>
      </c>
      <c r="L9" s="1"/>
      <c r="M9" s="1"/>
      <c r="N9" s="18"/>
    </row>
    <row r="10" spans="2:14" ht="15" customHeight="1" x14ac:dyDescent="0.25">
      <c r="B10" s="20"/>
      <c r="C10" s="5" t="s">
        <v>118</v>
      </c>
      <c r="D10" s="6" t="s">
        <v>47</v>
      </c>
      <c r="E10" s="32">
        <v>4.3999999999999999E-5</v>
      </c>
      <c r="F10" s="1"/>
      <c r="G10" s="1"/>
      <c r="H10" s="1"/>
      <c r="I10" s="1"/>
      <c r="J10" s="24" t="s">
        <v>14</v>
      </c>
      <c r="K10" s="29">
        <v>1.7420000000000001E-3</v>
      </c>
      <c r="L10" s="1"/>
      <c r="M10" s="1"/>
      <c r="N10" s="18"/>
    </row>
    <row r="11" spans="2:14" ht="15" customHeight="1" x14ac:dyDescent="0.25">
      <c r="B11" s="20"/>
      <c r="C11" s="5" t="s">
        <v>128</v>
      </c>
      <c r="D11" s="6" t="s">
        <v>47</v>
      </c>
      <c r="E11" s="32">
        <v>4.3999999999999999E-5</v>
      </c>
      <c r="F11" s="1"/>
      <c r="G11" s="1"/>
      <c r="H11" s="1"/>
      <c r="I11" s="1"/>
      <c r="J11" s="24" t="s">
        <v>55</v>
      </c>
      <c r="K11" s="29">
        <v>0.97284700000000002</v>
      </c>
      <c r="L11" s="1"/>
      <c r="M11" s="1"/>
      <c r="N11" s="18"/>
    </row>
    <row r="12" spans="2:14" ht="15.75" customHeight="1" x14ac:dyDescent="0.25">
      <c r="B12" s="20"/>
      <c r="C12" s="7" t="s">
        <v>51</v>
      </c>
      <c r="D12" s="8"/>
      <c r="E12" s="12">
        <v>0.97284700000000002</v>
      </c>
      <c r="F12" s="1"/>
      <c r="G12" s="1"/>
      <c r="H12" s="1"/>
      <c r="I12" s="1"/>
      <c r="J12" s="1"/>
      <c r="K12" s="1"/>
      <c r="L12" s="1"/>
      <c r="M12" s="1"/>
      <c r="N12" s="18"/>
    </row>
    <row r="13" spans="2:14" ht="15" customHeight="1" x14ac:dyDescent="0.25">
      <c r="B13" s="20"/>
      <c r="C13" s="5" t="s">
        <v>9</v>
      </c>
      <c r="D13" s="6"/>
      <c r="E13" s="11">
        <v>1.7420000000000001E-3</v>
      </c>
      <c r="F13" s="1"/>
      <c r="G13" s="1"/>
      <c r="H13" s="1"/>
      <c r="I13" s="1"/>
      <c r="J13" s="1"/>
      <c r="K13" s="1"/>
      <c r="L13" s="1"/>
      <c r="M13" s="1"/>
      <c r="N13" s="18"/>
    </row>
    <row r="14" spans="2:14" ht="15.75" customHeight="1" x14ac:dyDescent="0.25">
      <c r="B14" s="20"/>
      <c r="C14" s="7" t="s">
        <v>10</v>
      </c>
      <c r="D14" s="8"/>
      <c r="E14" s="12">
        <v>1.7420000000000001E-3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2.5411E-2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1" t="s">
        <v>18</v>
      </c>
      <c r="H24" s="52"/>
      <c r="I24" s="52"/>
      <c r="J24" s="52"/>
      <c r="K24" s="52"/>
      <c r="L24" s="26">
        <v>5.6241785435446472</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1" t="s">
        <v>19</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3" customHeight="1" thickBot="1" x14ac:dyDescent="0.3">
      <c r="B45" s="43" t="s">
        <v>295</v>
      </c>
      <c r="C45" s="44"/>
      <c r="D45" s="44"/>
      <c r="E45" s="44"/>
      <c r="F45" s="44"/>
      <c r="G45" s="44"/>
      <c r="H45" s="44"/>
      <c r="I45" s="44"/>
      <c r="J45" s="44"/>
      <c r="K45" s="44"/>
      <c r="L45" s="44"/>
      <c r="M45" s="44"/>
      <c r="N45" s="45"/>
    </row>
  </sheetData>
  <mergeCells count="6">
    <mergeCell ref="B45:N45"/>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3C89A-B010-4F59-ABD1-1A9A64C71231}">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57</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58</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59</v>
      </c>
      <c r="D8" s="6" t="s">
        <v>47</v>
      </c>
      <c r="E8" s="11">
        <v>0.70475699999999997</v>
      </c>
      <c r="F8" s="1"/>
      <c r="G8" s="24" t="s">
        <v>16</v>
      </c>
      <c r="H8" s="25">
        <v>1</v>
      </c>
      <c r="I8" s="1"/>
      <c r="J8" s="24" t="s">
        <v>13</v>
      </c>
      <c r="K8" s="24" t="s">
        <v>5</v>
      </c>
      <c r="L8" s="1"/>
      <c r="M8" s="1"/>
      <c r="N8" s="18"/>
    </row>
    <row r="9" spans="2:14" ht="15" customHeight="1" x14ac:dyDescent="0.25">
      <c r="B9" s="20"/>
      <c r="C9" s="5" t="s">
        <v>60</v>
      </c>
      <c r="D9" s="6" t="s">
        <v>47</v>
      </c>
      <c r="E9" s="11">
        <v>0.24176800000000001</v>
      </c>
      <c r="F9" s="1"/>
      <c r="G9" s="1"/>
      <c r="H9" s="1"/>
      <c r="I9" s="1"/>
      <c r="J9" s="24" t="s">
        <v>11</v>
      </c>
      <c r="K9" s="29">
        <v>1.985E-2</v>
      </c>
      <c r="L9" s="1"/>
      <c r="M9" s="1"/>
      <c r="N9" s="18"/>
    </row>
    <row r="10" spans="2:14" ht="15" customHeight="1" x14ac:dyDescent="0.25">
      <c r="B10" s="20"/>
      <c r="C10" s="5" t="s">
        <v>61</v>
      </c>
      <c r="D10" s="6" t="s">
        <v>47</v>
      </c>
      <c r="E10" s="11">
        <v>2.8273E-2</v>
      </c>
      <c r="F10" s="1"/>
      <c r="G10" s="1"/>
      <c r="H10" s="1"/>
      <c r="I10" s="1"/>
      <c r="J10" s="24" t="s">
        <v>14</v>
      </c>
      <c r="K10" s="29">
        <v>2.5790000000000001E-3</v>
      </c>
      <c r="L10" s="1"/>
      <c r="M10" s="1"/>
      <c r="N10" s="18"/>
    </row>
    <row r="11" spans="2:14" ht="15" customHeight="1" x14ac:dyDescent="0.25">
      <c r="B11" s="20"/>
      <c r="C11" s="5" t="s">
        <v>62</v>
      </c>
      <c r="D11" s="6" t="s">
        <v>47</v>
      </c>
      <c r="E11" s="11">
        <v>1.9889999999999999E-3</v>
      </c>
      <c r="F11" s="1"/>
      <c r="G11" s="1"/>
      <c r="H11" s="1"/>
      <c r="I11" s="1"/>
      <c r="J11" s="24" t="s">
        <v>55</v>
      </c>
      <c r="K11" s="29">
        <v>0.97757099999999997</v>
      </c>
      <c r="L11" s="1"/>
      <c r="M11" s="1"/>
      <c r="N11" s="18"/>
    </row>
    <row r="12" spans="2:14" ht="15" customHeight="1" x14ac:dyDescent="0.25">
      <c r="B12" s="20"/>
      <c r="C12" s="5" t="s">
        <v>63</v>
      </c>
      <c r="D12" s="6" t="s">
        <v>47</v>
      </c>
      <c r="E12" s="11">
        <v>7.8399999999999997E-4</v>
      </c>
      <c r="F12" s="1"/>
      <c r="G12" s="1"/>
      <c r="H12" s="1"/>
      <c r="I12" s="1"/>
      <c r="J12" s="1"/>
      <c r="K12" s="1"/>
      <c r="L12" s="1"/>
      <c r="M12" s="1"/>
      <c r="N12" s="18"/>
    </row>
    <row r="13" spans="2:14" ht="15.75" customHeight="1" x14ac:dyDescent="0.25">
      <c r="B13" s="20"/>
      <c r="C13" s="7" t="s">
        <v>51</v>
      </c>
      <c r="D13" s="8"/>
      <c r="E13" s="12">
        <v>0.97757099999999997</v>
      </c>
      <c r="F13" s="1"/>
      <c r="G13" s="1"/>
      <c r="H13" s="1"/>
      <c r="I13" s="1"/>
      <c r="J13" s="1"/>
      <c r="K13" s="1"/>
      <c r="L13" s="1"/>
      <c r="M13" s="1"/>
      <c r="N13" s="18"/>
    </row>
    <row r="14" spans="2:14" ht="15" customHeight="1" x14ac:dyDescent="0.25">
      <c r="B14" s="20"/>
      <c r="C14" s="5" t="s">
        <v>9</v>
      </c>
      <c r="D14" s="6"/>
      <c r="E14" s="11">
        <v>2.5790000000000001E-3</v>
      </c>
      <c r="F14" s="1"/>
      <c r="G14" s="1"/>
      <c r="H14" s="1"/>
      <c r="I14" s="1"/>
      <c r="J14" s="1"/>
      <c r="K14" s="1"/>
      <c r="L14" s="1"/>
      <c r="M14" s="1"/>
      <c r="N14" s="18"/>
    </row>
    <row r="15" spans="2:14" ht="15.75" customHeight="1" x14ac:dyDescent="0.25">
      <c r="B15" s="20"/>
      <c r="C15" s="7" t="s">
        <v>10</v>
      </c>
      <c r="D15" s="8"/>
      <c r="E15" s="12">
        <v>2.5790000000000001E-3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1.985E-2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1" t="s">
        <v>18</v>
      </c>
      <c r="H24" s="52"/>
      <c r="I24" s="52"/>
      <c r="J24" s="52"/>
      <c r="K24" s="52"/>
      <c r="L24" s="26">
        <v>6.3616885594685009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1" t="s">
        <v>19</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6" customHeight="1" thickBot="1" x14ac:dyDescent="0.3">
      <c r="B45" s="43" t="s">
        <v>295</v>
      </c>
      <c r="C45" s="44"/>
      <c r="D45" s="44"/>
      <c r="E45" s="44"/>
      <c r="F45" s="44"/>
      <c r="G45" s="44"/>
      <c r="H45" s="44"/>
      <c r="I45" s="44"/>
      <c r="J45" s="44"/>
      <c r="K45" s="44"/>
      <c r="L45" s="44"/>
      <c r="M45" s="44"/>
      <c r="N45" s="45"/>
    </row>
  </sheetData>
  <mergeCells count="6">
    <mergeCell ref="B45:N45"/>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2609F-166A-47F7-8B75-F7B7C32D969B}">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64</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65</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59</v>
      </c>
      <c r="D8" s="6" t="s">
        <v>47</v>
      </c>
      <c r="E8" s="11">
        <v>0.53338799999999997</v>
      </c>
      <c r="F8" s="1"/>
      <c r="G8" s="24" t="s">
        <v>16</v>
      </c>
      <c r="H8" s="25">
        <v>1</v>
      </c>
      <c r="I8" s="1"/>
      <c r="J8" s="24" t="s">
        <v>13</v>
      </c>
      <c r="K8" s="24" t="s">
        <v>5</v>
      </c>
      <c r="L8" s="1"/>
      <c r="M8" s="1"/>
      <c r="N8" s="18"/>
    </row>
    <row r="9" spans="2:14" ht="15" customHeight="1" x14ac:dyDescent="0.25">
      <c r="B9" s="20"/>
      <c r="C9" s="5" t="s">
        <v>46</v>
      </c>
      <c r="D9" s="6" t="s">
        <v>47</v>
      </c>
      <c r="E9" s="11">
        <v>0.41700500000000001</v>
      </c>
      <c r="F9" s="1"/>
      <c r="G9" s="1"/>
      <c r="H9" s="1"/>
      <c r="I9" s="1"/>
      <c r="J9" s="24" t="s">
        <v>11</v>
      </c>
      <c r="K9" s="29">
        <v>1.9539999999999998E-2</v>
      </c>
      <c r="L9" s="1"/>
      <c r="M9" s="1"/>
      <c r="N9" s="18"/>
    </row>
    <row r="10" spans="2:14" ht="15" customHeight="1" x14ac:dyDescent="0.25">
      <c r="B10" s="20"/>
      <c r="C10" s="5" t="s">
        <v>62</v>
      </c>
      <c r="D10" s="6" t="s">
        <v>47</v>
      </c>
      <c r="E10" s="11">
        <v>1.07E-4</v>
      </c>
      <c r="F10" s="1"/>
      <c r="G10" s="1"/>
      <c r="H10" s="1"/>
      <c r="I10" s="1"/>
      <c r="J10" s="24" t="s">
        <v>14</v>
      </c>
      <c r="K10" s="29">
        <v>2.467E-3</v>
      </c>
      <c r="L10" s="1"/>
      <c r="M10" s="1"/>
      <c r="N10" s="18"/>
    </row>
    <row r="11" spans="2:14" ht="15" customHeight="1" x14ac:dyDescent="0.25">
      <c r="B11" s="20"/>
      <c r="C11" s="5" t="s">
        <v>66</v>
      </c>
      <c r="D11" s="6" t="s">
        <v>47</v>
      </c>
      <c r="E11" s="11">
        <v>6.2000000000000003E-5</v>
      </c>
      <c r="F11" s="1"/>
      <c r="G11" s="1"/>
      <c r="H11" s="1"/>
      <c r="I11" s="1"/>
      <c r="J11" s="24" t="s">
        <v>55</v>
      </c>
      <c r="K11" s="29">
        <v>0.95056200000000002</v>
      </c>
      <c r="L11" s="1"/>
      <c r="M11" s="1"/>
      <c r="N11" s="18"/>
    </row>
    <row r="12" spans="2:14" ht="15.75" customHeight="1" x14ac:dyDescent="0.25">
      <c r="B12" s="20"/>
      <c r="C12" s="7" t="s">
        <v>51</v>
      </c>
      <c r="D12" s="8"/>
      <c r="E12" s="12">
        <v>0.95056200000000002</v>
      </c>
      <c r="F12" s="1"/>
      <c r="G12" s="1"/>
      <c r="H12" s="1"/>
      <c r="I12" s="1"/>
      <c r="J12" s="24" t="s">
        <v>69</v>
      </c>
      <c r="K12" s="29">
        <v>9.7780000000000002E-3</v>
      </c>
      <c r="L12" s="1"/>
      <c r="M12" s="1"/>
      <c r="N12" s="18"/>
    </row>
    <row r="13" spans="2:14" ht="15" customHeight="1" x14ac:dyDescent="0.25">
      <c r="B13" s="20"/>
      <c r="C13" s="5" t="s">
        <v>292</v>
      </c>
      <c r="D13" s="6" t="s">
        <v>67</v>
      </c>
      <c r="E13" s="11">
        <v>9.7780000000000002E-3</v>
      </c>
      <c r="F13" s="1"/>
      <c r="G13" s="1"/>
      <c r="H13" s="1"/>
      <c r="I13" s="1"/>
      <c r="J13" s="24" t="s">
        <v>56</v>
      </c>
      <c r="K13" s="29">
        <v>1.7652999999999999E-2</v>
      </c>
      <c r="L13" s="1"/>
      <c r="M13" s="1"/>
      <c r="N13" s="18"/>
    </row>
    <row r="14" spans="2:14" ht="15.75" customHeight="1" x14ac:dyDescent="0.25">
      <c r="B14" s="20"/>
      <c r="C14" s="7" t="s">
        <v>68</v>
      </c>
      <c r="D14" s="8"/>
      <c r="E14" s="12">
        <v>9.7780000000000002E-3</v>
      </c>
      <c r="F14" s="1"/>
      <c r="G14" s="1"/>
      <c r="H14" s="1"/>
      <c r="I14" s="1"/>
      <c r="J14" s="1"/>
      <c r="K14" s="1"/>
      <c r="L14" s="1"/>
      <c r="M14" s="1"/>
      <c r="N14" s="18"/>
    </row>
    <row r="15" spans="2:14" ht="15" customHeight="1" x14ac:dyDescent="0.25">
      <c r="B15" s="20"/>
      <c r="C15" s="5" t="s">
        <v>200</v>
      </c>
      <c r="D15" s="6" t="s">
        <v>47</v>
      </c>
      <c r="E15" s="11">
        <v>8.2769999999999996E-3</v>
      </c>
      <c r="F15" s="1"/>
      <c r="G15" s="1"/>
      <c r="H15" s="1"/>
      <c r="I15" s="1"/>
      <c r="J15" s="1"/>
      <c r="K15" s="1"/>
      <c r="L15" s="1"/>
      <c r="M15" s="1"/>
      <c r="N15" s="18"/>
    </row>
    <row r="16" spans="2:14" ht="15.75" customHeight="1" x14ac:dyDescent="0.25">
      <c r="B16" s="20"/>
      <c r="C16" s="5" t="s">
        <v>201</v>
      </c>
      <c r="D16" s="6" t="s">
        <v>47</v>
      </c>
      <c r="E16" s="11">
        <v>8.2760000000000004E-3</v>
      </c>
      <c r="F16" s="1"/>
      <c r="G16" s="1"/>
      <c r="H16" s="1"/>
      <c r="I16" s="1"/>
      <c r="J16" s="1"/>
      <c r="K16" s="1"/>
      <c r="L16" s="1"/>
      <c r="M16" s="1"/>
      <c r="N16" s="18"/>
    </row>
    <row r="17" spans="2:14" ht="15" customHeight="1" x14ac:dyDescent="0.25">
      <c r="B17" s="20"/>
      <c r="C17" s="5" t="s">
        <v>202</v>
      </c>
      <c r="D17" s="6" t="s">
        <v>47</v>
      </c>
      <c r="E17" s="11">
        <v>1.1000000000000001E-3</v>
      </c>
      <c r="F17" s="1"/>
      <c r="G17" s="1"/>
      <c r="H17" s="1"/>
      <c r="I17" s="1"/>
      <c r="J17" s="1"/>
      <c r="K17" s="1"/>
      <c r="L17" s="1"/>
      <c r="M17" s="1"/>
      <c r="N17" s="18"/>
    </row>
    <row r="18" spans="2:14" ht="15.75" customHeight="1" x14ac:dyDescent="0.25">
      <c r="B18" s="20"/>
      <c r="C18" s="7" t="s">
        <v>52</v>
      </c>
      <c r="D18" s="8"/>
      <c r="E18" s="12">
        <v>1.7652999999999999E-2</v>
      </c>
      <c r="F18" s="1"/>
      <c r="G18" s="1"/>
      <c r="H18" s="1"/>
      <c r="I18" s="1"/>
      <c r="J18" s="1"/>
      <c r="K18" s="1"/>
      <c r="L18" s="1"/>
      <c r="M18" s="1"/>
      <c r="N18" s="18"/>
    </row>
    <row r="19" spans="2:14" ht="15" customHeight="1" x14ac:dyDescent="0.25">
      <c r="B19" s="20"/>
      <c r="C19" s="5" t="s">
        <v>9</v>
      </c>
      <c r="D19" s="6"/>
      <c r="E19" s="11">
        <v>2.467E-3</v>
      </c>
      <c r="F19" s="1"/>
      <c r="G19" s="1"/>
      <c r="H19" s="1"/>
      <c r="I19" s="1"/>
      <c r="J19" s="1"/>
      <c r="K19" s="1"/>
      <c r="L19" s="1"/>
      <c r="M19" s="1"/>
      <c r="N19" s="18"/>
    </row>
    <row r="20" spans="2:14" ht="15.75" customHeight="1" x14ac:dyDescent="0.25">
      <c r="B20" s="20"/>
      <c r="C20" s="7" t="s">
        <v>10</v>
      </c>
      <c r="D20" s="8"/>
      <c r="E20" s="12">
        <v>2.467E-3</v>
      </c>
      <c r="F20" s="1"/>
      <c r="G20" s="1"/>
      <c r="H20" s="1"/>
      <c r="I20" s="1"/>
      <c r="J20" s="1"/>
      <c r="K20" s="1"/>
      <c r="L20" s="1"/>
      <c r="M20" s="1"/>
      <c r="N20" s="18"/>
    </row>
    <row r="21" spans="2:14" ht="15" customHeight="1" x14ac:dyDescent="0.25">
      <c r="B21" s="20"/>
      <c r="C21" s="5"/>
      <c r="D21" s="6"/>
      <c r="E21" s="11"/>
      <c r="F21" s="1"/>
      <c r="G21" s="1"/>
      <c r="H21" s="1"/>
      <c r="I21" s="1"/>
      <c r="J21" s="1"/>
      <c r="K21" s="1"/>
      <c r="L21" s="1"/>
      <c r="M21" s="1"/>
      <c r="N21" s="18"/>
    </row>
    <row r="22" spans="2:14" ht="15" customHeight="1" x14ac:dyDescent="0.25">
      <c r="B22" s="20"/>
      <c r="C22" s="7" t="s">
        <v>11</v>
      </c>
      <c r="D22" s="8"/>
      <c r="E22" s="12">
        <v>1.9539999999999998E-2</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9" t="s">
        <v>12</v>
      </c>
      <c r="D24" s="10"/>
      <c r="E24" s="13">
        <v>1</v>
      </c>
      <c r="F24" s="1"/>
      <c r="G24" s="51" t="s">
        <v>18</v>
      </c>
      <c r="H24" s="52"/>
      <c r="I24" s="52"/>
      <c r="J24" s="52"/>
      <c r="K24" s="52"/>
      <c r="L24" s="26">
        <v>4.7383093892380943</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t="s">
        <v>291</v>
      </c>
      <c r="D26" s="1"/>
      <c r="E26" s="1"/>
      <c r="F26" s="1"/>
      <c r="G26" s="51" t="s">
        <v>19</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F28" s="1"/>
      <c r="G28" s="1"/>
      <c r="H28" s="1"/>
      <c r="I28" s="1"/>
      <c r="J28" s="1"/>
      <c r="K28" s="1"/>
      <c r="L28" s="1"/>
      <c r="M28" s="1"/>
      <c r="N28" s="18"/>
    </row>
    <row r="29" spans="2:14" ht="15" customHeight="1" x14ac:dyDescent="0.25">
      <c r="B29" s="20"/>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1.25" customHeight="1" thickBot="1" x14ac:dyDescent="0.3">
      <c r="B45" s="43" t="s">
        <v>295</v>
      </c>
      <c r="C45" s="44"/>
      <c r="D45" s="44"/>
      <c r="E45" s="44"/>
      <c r="F45" s="44"/>
      <c r="G45" s="44"/>
      <c r="H45" s="44"/>
      <c r="I45" s="44"/>
      <c r="J45" s="44"/>
      <c r="K45" s="44"/>
      <c r="L45" s="44"/>
      <c r="M45" s="44"/>
      <c r="N45" s="45"/>
    </row>
  </sheetData>
  <sortState ref="C15:E17">
    <sortCondition descending="1" ref="E15"/>
  </sortState>
  <mergeCells count="6">
    <mergeCell ref="B45:N45"/>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5904F-7EAE-4258-A2D2-3994E025ADA3}">
  <dimension ref="B1:N5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70</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71</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30</v>
      </c>
      <c r="D8" s="6" t="s">
        <v>23</v>
      </c>
      <c r="E8" s="11">
        <v>4.4200999999999997E-2</v>
      </c>
      <c r="F8" s="1"/>
      <c r="G8" s="24" t="s">
        <v>16</v>
      </c>
      <c r="H8" s="25">
        <v>1</v>
      </c>
      <c r="I8" s="1"/>
      <c r="J8" s="24" t="s">
        <v>13</v>
      </c>
      <c r="K8" s="24" t="s">
        <v>5</v>
      </c>
      <c r="L8" s="1"/>
      <c r="M8" s="1"/>
      <c r="N8" s="18"/>
    </row>
    <row r="9" spans="2:14" ht="15" customHeight="1" x14ac:dyDescent="0.25">
      <c r="B9" s="20"/>
      <c r="C9" s="5" t="s">
        <v>25</v>
      </c>
      <c r="D9" s="6" t="s">
        <v>23</v>
      </c>
      <c r="E9" s="11">
        <v>2.7690000000000002E-3</v>
      </c>
      <c r="F9" s="1"/>
      <c r="G9" s="1"/>
      <c r="H9" s="1"/>
      <c r="I9" s="1"/>
      <c r="J9" s="24" t="s">
        <v>11</v>
      </c>
      <c r="K9" s="29">
        <v>1.5827999999999998E-2</v>
      </c>
      <c r="L9" s="1"/>
      <c r="M9" s="1"/>
      <c r="N9" s="18"/>
    </row>
    <row r="10" spans="2:14" ht="15.75" customHeight="1" x14ac:dyDescent="0.25">
      <c r="B10" s="20"/>
      <c r="C10" s="7" t="s">
        <v>26</v>
      </c>
      <c r="D10" s="8"/>
      <c r="E10" s="12">
        <v>4.6969999999999998E-2</v>
      </c>
      <c r="F10" s="1"/>
      <c r="G10" s="1"/>
      <c r="H10" s="1"/>
      <c r="I10" s="1"/>
      <c r="J10" s="24" t="s">
        <v>14</v>
      </c>
      <c r="K10" s="29">
        <v>1.5250000000000001E-3</v>
      </c>
      <c r="L10" s="1"/>
      <c r="M10" s="1"/>
      <c r="N10" s="18"/>
    </row>
    <row r="11" spans="2:14" ht="15" customHeight="1" x14ac:dyDescent="0.25">
      <c r="B11" s="20"/>
      <c r="C11" s="5" t="s">
        <v>31</v>
      </c>
      <c r="D11" s="6" t="s">
        <v>23</v>
      </c>
      <c r="E11" s="11">
        <v>7.2452000000000003E-2</v>
      </c>
      <c r="F11" s="1"/>
      <c r="G11" s="1"/>
      <c r="H11" s="1"/>
      <c r="I11" s="1"/>
      <c r="J11" s="24" t="s">
        <v>53</v>
      </c>
      <c r="K11" s="29">
        <v>4.6969999999999998E-2</v>
      </c>
      <c r="L11" s="1"/>
      <c r="M11" s="1"/>
      <c r="N11" s="18"/>
    </row>
    <row r="12" spans="2:14" ht="15" customHeight="1" x14ac:dyDescent="0.25">
      <c r="B12" s="20"/>
      <c r="C12" s="5" t="s">
        <v>38</v>
      </c>
      <c r="D12" s="6" t="s">
        <v>23</v>
      </c>
      <c r="E12" s="11">
        <v>1.6392E-2</v>
      </c>
      <c r="F12" s="1"/>
      <c r="G12" s="1"/>
      <c r="H12" s="1"/>
      <c r="I12" s="1"/>
      <c r="J12" s="24" t="s">
        <v>54</v>
      </c>
      <c r="K12" s="29">
        <v>9.3757999999999994E-2</v>
      </c>
      <c r="L12" s="1"/>
      <c r="M12" s="1"/>
      <c r="N12" s="18"/>
    </row>
    <row r="13" spans="2:14" ht="15" customHeight="1" x14ac:dyDescent="0.25">
      <c r="B13" s="20"/>
      <c r="C13" s="5" t="s">
        <v>30</v>
      </c>
      <c r="D13" s="6" t="s">
        <v>23</v>
      </c>
      <c r="E13" s="11">
        <v>1.1564E-2</v>
      </c>
      <c r="F13" s="1"/>
      <c r="G13" s="1"/>
      <c r="H13" s="1"/>
      <c r="I13" s="1"/>
      <c r="J13" s="24" t="s">
        <v>77</v>
      </c>
      <c r="K13" s="29">
        <v>0.10595599999999999</v>
      </c>
      <c r="L13" s="1"/>
      <c r="M13" s="1"/>
      <c r="N13" s="18"/>
    </row>
    <row r="14" spans="2:14" ht="15" customHeight="1" x14ac:dyDescent="0.25">
      <c r="B14" s="20"/>
      <c r="C14" s="5" t="s">
        <v>72</v>
      </c>
      <c r="D14" s="6" t="s">
        <v>23</v>
      </c>
      <c r="E14" s="11">
        <v>5.548E-3</v>
      </c>
      <c r="F14" s="1"/>
      <c r="G14" s="1"/>
      <c r="H14" s="1"/>
      <c r="I14" s="1"/>
      <c r="J14" s="24" t="s">
        <v>55</v>
      </c>
      <c r="K14" s="29">
        <v>0.73163999999999996</v>
      </c>
      <c r="L14" s="1"/>
      <c r="M14" s="1"/>
      <c r="N14" s="18"/>
    </row>
    <row r="15" spans="2:14" ht="15.75" customHeight="1" x14ac:dyDescent="0.25">
      <c r="B15" s="20"/>
      <c r="C15" s="7" t="s">
        <v>73</v>
      </c>
      <c r="D15" s="8"/>
      <c r="E15" s="12">
        <v>0.10595599999999999</v>
      </c>
      <c r="F15" s="1"/>
      <c r="G15" s="1"/>
      <c r="H15" s="1"/>
      <c r="I15" s="1"/>
      <c r="J15" s="24" t="s">
        <v>69</v>
      </c>
      <c r="K15" s="29">
        <v>3.993E-3</v>
      </c>
      <c r="L15" s="1"/>
      <c r="M15" s="1"/>
      <c r="N15" s="18"/>
    </row>
    <row r="16" spans="2:14" ht="15" customHeight="1" x14ac:dyDescent="0.25">
      <c r="B16" s="20"/>
      <c r="C16" s="5" t="s">
        <v>38</v>
      </c>
      <c r="D16" s="6" t="s">
        <v>28</v>
      </c>
      <c r="E16" s="11">
        <v>7.3118000000000002E-2</v>
      </c>
      <c r="F16" s="1"/>
      <c r="G16" s="1"/>
      <c r="H16" s="1"/>
      <c r="I16" s="1"/>
      <c r="J16" s="24" t="s">
        <v>78</v>
      </c>
      <c r="K16" s="29">
        <v>3.3E-4</v>
      </c>
      <c r="L16" s="1"/>
      <c r="M16" s="1"/>
      <c r="N16" s="18"/>
    </row>
    <row r="17" spans="2:14" ht="15" customHeight="1" x14ac:dyDescent="0.25">
      <c r="B17" s="20"/>
      <c r="C17" s="5" t="s">
        <v>74</v>
      </c>
      <c r="D17" s="6" t="s">
        <v>28</v>
      </c>
      <c r="E17" s="11">
        <v>1.7128999999999998E-2</v>
      </c>
      <c r="F17" s="1"/>
      <c r="G17" s="1"/>
      <c r="H17" s="1"/>
      <c r="I17" s="1"/>
      <c r="J17" s="1"/>
      <c r="K17" s="1"/>
      <c r="L17" s="1"/>
      <c r="M17" s="1"/>
      <c r="N17" s="18"/>
    </row>
    <row r="18" spans="2:14" ht="15" customHeight="1" x14ac:dyDescent="0.25">
      <c r="B18" s="20"/>
      <c r="C18" s="5" t="s">
        <v>31</v>
      </c>
      <c r="D18" s="6" t="s">
        <v>28</v>
      </c>
      <c r="E18" s="11">
        <v>2.8370000000000001E-3</v>
      </c>
      <c r="F18" s="1"/>
      <c r="G18" s="1"/>
      <c r="H18" s="1"/>
      <c r="I18" s="1"/>
      <c r="J18" s="1"/>
      <c r="K18" s="1"/>
      <c r="L18" s="1"/>
      <c r="M18" s="1"/>
      <c r="N18" s="18"/>
    </row>
    <row r="19" spans="2:14" ht="15" customHeight="1" x14ac:dyDescent="0.25">
      <c r="B19" s="20"/>
      <c r="C19" s="5" t="s">
        <v>72</v>
      </c>
      <c r="D19" s="6" t="s">
        <v>28</v>
      </c>
      <c r="E19" s="11">
        <v>5.6099999999999998E-4</v>
      </c>
      <c r="F19" s="1"/>
      <c r="G19" s="1"/>
      <c r="H19" s="1"/>
      <c r="I19" s="1"/>
      <c r="J19" s="1"/>
      <c r="K19" s="1"/>
      <c r="L19" s="1"/>
      <c r="M19" s="1"/>
      <c r="N19" s="18"/>
    </row>
    <row r="20" spans="2:14" ht="15" customHeight="1" x14ac:dyDescent="0.25">
      <c r="B20" s="20"/>
      <c r="C20" s="5" t="s">
        <v>27</v>
      </c>
      <c r="D20" s="6" t="s">
        <v>28</v>
      </c>
      <c r="E20" s="11">
        <v>1.13E-4</v>
      </c>
      <c r="F20" s="1"/>
      <c r="G20" s="1"/>
      <c r="H20" s="1"/>
      <c r="I20" s="1"/>
      <c r="J20" s="1"/>
      <c r="K20" s="1"/>
      <c r="L20" s="1"/>
      <c r="M20" s="1"/>
      <c r="N20" s="18"/>
    </row>
    <row r="21" spans="2:14" ht="15.75" customHeight="1" x14ac:dyDescent="0.25">
      <c r="B21" s="20"/>
      <c r="C21" s="7" t="s">
        <v>45</v>
      </c>
      <c r="D21" s="8"/>
      <c r="E21" s="12">
        <v>9.3757999999999994E-2</v>
      </c>
      <c r="F21" s="1"/>
      <c r="G21" s="1"/>
      <c r="H21" s="1"/>
      <c r="I21" s="1"/>
      <c r="J21" s="1"/>
      <c r="K21" s="1"/>
      <c r="L21" s="1"/>
      <c r="M21" s="1"/>
      <c r="N21" s="18"/>
    </row>
    <row r="22" spans="2:14" ht="15" customHeight="1" x14ac:dyDescent="0.25">
      <c r="B22" s="20"/>
      <c r="C22" s="5" t="s">
        <v>46</v>
      </c>
      <c r="D22" s="6" t="s">
        <v>47</v>
      </c>
      <c r="E22" s="11">
        <v>0.52425299999999997</v>
      </c>
      <c r="F22" s="1"/>
      <c r="G22" s="1"/>
      <c r="H22" s="1"/>
      <c r="I22" s="1"/>
      <c r="J22" s="1"/>
      <c r="K22" s="1"/>
      <c r="L22" s="1"/>
      <c r="M22" s="1"/>
      <c r="N22" s="18"/>
    </row>
    <row r="23" spans="2:14" ht="15" customHeight="1" x14ac:dyDescent="0.25">
      <c r="B23" s="20"/>
      <c r="C23" s="5" t="s">
        <v>49</v>
      </c>
      <c r="D23" s="6" t="s">
        <v>47</v>
      </c>
      <c r="E23" s="11">
        <v>0.204565</v>
      </c>
      <c r="F23" s="1"/>
      <c r="G23" s="1"/>
      <c r="H23" s="1"/>
      <c r="I23" s="1"/>
      <c r="J23" s="1"/>
      <c r="K23" s="1"/>
      <c r="L23" s="1"/>
      <c r="M23" s="1"/>
      <c r="N23" s="18"/>
    </row>
    <row r="24" spans="2:14" ht="15" customHeight="1" x14ac:dyDescent="0.25">
      <c r="B24" s="20"/>
      <c r="C24" s="5" t="s">
        <v>59</v>
      </c>
      <c r="D24" s="6" t="s">
        <v>47</v>
      </c>
      <c r="E24" s="11">
        <v>2.6090000000000002E-3</v>
      </c>
      <c r="F24" s="1"/>
      <c r="G24" s="51" t="s">
        <v>18</v>
      </c>
      <c r="H24" s="52"/>
      <c r="I24" s="52"/>
      <c r="J24" s="52"/>
      <c r="K24" s="52"/>
      <c r="L24" s="26">
        <v>2.8280330946230023</v>
      </c>
      <c r="M24" s="27"/>
      <c r="N24" s="28"/>
    </row>
    <row r="25" spans="2:14" ht="15" customHeight="1" x14ac:dyDescent="0.25">
      <c r="B25" s="20"/>
      <c r="C25" s="5" t="s">
        <v>66</v>
      </c>
      <c r="D25" s="6" t="s">
        <v>47</v>
      </c>
      <c r="E25" s="11">
        <v>1.17E-4</v>
      </c>
      <c r="F25" s="1"/>
      <c r="G25" s="1"/>
      <c r="H25" s="1"/>
      <c r="I25" s="1"/>
      <c r="J25" s="1"/>
      <c r="K25" s="1"/>
      <c r="L25" s="1"/>
      <c r="M25" s="1"/>
      <c r="N25" s="18"/>
    </row>
    <row r="26" spans="2:14" ht="15" customHeight="1" x14ac:dyDescent="0.25">
      <c r="B26" s="20"/>
      <c r="C26" s="5" t="s">
        <v>62</v>
      </c>
      <c r="D26" s="6" t="s">
        <v>47</v>
      </c>
      <c r="E26" s="11">
        <v>9.6000000000000002E-5</v>
      </c>
      <c r="F26" s="1"/>
      <c r="G26" s="51" t="s">
        <v>19</v>
      </c>
      <c r="H26" s="52"/>
      <c r="I26" s="52"/>
      <c r="J26" s="52"/>
      <c r="K26" s="52"/>
      <c r="L26" s="52"/>
      <c r="M26" s="52"/>
      <c r="N26" s="53"/>
    </row>
    <row r="27" spans="2:14" ht="15.75" customHeight="1" x14ac:dyDescent="0.25">
      <c r="B27" s="20"/>
      <c r="C27" s="7" t="s">
        <v>51</v>
      </c>
      <c r="D27" s="8"/>
      <c r="E27" s="12">
        <v>0.73163999999999996</v>
      </c>
      <c r="F27" s="1"/>
      <c r="G27" s="1"/>
      <c r="H27" s="1"/>
      <c r="I27" s="1"/>
      <c r="J27" s="1"/>
      <c r="K27" s="1"/>
      <c r="L27" s="1"/>
      <c r="M27" s="1"/>
      <c r="N27" s="18"/>
    </row>
    <row r="28" spans="2:14" ht="15" customHeight="1" x14ac:dyDescent="0.25">
      <c r="B28" s="20"/>
      <c r="C28" s="5" t="s">
        <v>292</v>
      </c>
      <c r="D28" s="6" t="s">
        <v>67</v>
      </c>
      <c r="E28" s="11">
        <v>3.993E-3</v>
      </c>
      <c r="F28" s="1"/>
      <c r="G28" s="1"/>
      <c r="H28" s="1"/>
      <c r="I28" s="1"/>
      <c r="J28" s="1"/>
      <c r="K28" s="1"/>
      <c r="L28" s="1"/>
      <c r="M28" s="1"/>
      <c r="N28" s="18"/>
    </row>
    <row r="29" spans="2:14" ht="15.75" customHeight="1" x14ac:dyDescent="0.25">
      <c r="B29" s="20"/>
      <c r="C29" s="7" t="s">
        <v>68</v>
      </c>
      <c r="D29" s="8"/>
      <c r="E29" s="12">
        <v>3.993E-3</v>
      </c>
      <c r="F29" s="1"/>
      <c r="G29" s="1"/>
      <c r="H29" s="1"/>
      <c r="I29" s="1"/>
      <c r="J29" s="1"/>
      <c r="K29" s="1"/>
      <c r="L29" s="1"/>
      <c r="M29" s="1"/>
      <c r="N29" s="18"/>
    </row>
    <row r="30" spans="2:14" ht="15" customHeight="1" x14ac:dyDescent="0.25">
      <c r="B30" s="20"/>
      <c r="C30" s="5" t="s">
        <v>75</v>
      </c>
      <c r="D30" s="6" t="s">
        <v>47</v>
      </c>
      <c r="E30" s="11">
        <v>3.3E-4</v>
      </c>
      <c r="F30" s="1"/>
      <c r="G30" s="1"/>
      <c r="H30" s="1"/>
      <c r="I30" s="1"/>
      <c r="J30" s="1"/>
      <c r="K30" s="1"/>
      <c r="L30" s="1"/>
      <c r="M30" s="1"/>
      <c r="N30" s="18"/>
    </row>
    <row r="31" spans="2:14" ht="15.75" customHeight="1" x14ac:dyDescent="0.25">
      <c r="B31" s="20"/>
      <c r="C31" s="7" t="s">
        <v>76</v>
      </c>
      <c r="D31" s="8"/>
      <c r="E31" s="12">
        <v>3.3E-4</v>
      </c>
      <c r="F31" s="1"/>
      <c r="G31" s="1"/>
      <c r="H31" s="1"/>
      <c r="I31" s="1"/>
      <c r="J31" s="1"/>
      <c r="K31" s="1"/>
      <c r="L31" s="1"/>
      <c r="M31" s="1"/>
      <c r="N31" s="18"/>
    </row>
    <row r="32" spans="2:14" ht="15" customHeight="1" x14ac:dyDescent="0.25">
      <c r="B32" s="20"/>
      <c r="C32" s="5" t="s">
        <v>9</v>
      </c>
      <c r="D32" s="6"/>
      <c r="E32" s="11">
        <v>1.5250000000000001E-3</v>
      </c>
      <c r="F32" s="1"/>
      <c r="G32" s="1"/>
      <c r="H32" s="1"/>
      <c r="I32" s="1"/>
      <c r="J32" s="1"/>
      <c r="K32" s="1"/>
      <c r="L32" s="1"/>
      <c r="M32" s="1"/>
      <c r="N32" s="18"/>
    </row>
    <row r="33" spans="2:14" ht="15.75" customHeight="1" x14ac:dyDescent="0.25">
      <c r="B33" s="20"/>
      <c r="C33" s="7" t="s">
        <v>10</v>
      </c>
      <c r="D33" s="8"/>
      <c r="E33" s="12">
        <v>1.5250000000000001E-3</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75" customHeight="1" x14ac:dyDescent="0.25">
      <c r="B35" s="20"/>
      <c r="C35" s="7" t="s">
        <v>11</v>
      </c>
      <c r="D35" s="8"/>
      <c r="E35" s="12">
        <v>1.5827999999999998E-2</v>
      </c>
      <c r="F35" s="1"/>
      <c r="G35" s="1"/>
      <c r="H35" s="1"/>
      <c r="I35" s="1"/>
      <c r="J35" s="1"/>
      <c r="K35" s="1"/>
      <c r="L35" s="1"/>
      <c r="M35" s="1"/>
      <c r="N35" s="18"/>
    </row>
    <row r="36" spans="2:14" ht="15" customHeight="1" x14ac:dyDescent="0.25">
      <c r="B36" s="20"/>
      <c r="C36" s="5"/>
      <c r="D36" s="6"/>
      <c r="E36" s="11"/>
      <c r="F36" s="1"/>
      <c r="G36" s="1"/>
      <c r="H36" s="1"/>
      <c r="I36" s="1"/>
      <c r="J36" s="1"/>
      <c r="K36" s="1"/>
      <c r="L36" s="1"/>
      <c r="M36" s="1"/>
      <c r="N36" s="18"/>
    </row>
    <row r="37" spans="2:14" ht="15" customHeight="1" x14ac:dyDescent="0.25">
      <c r="B37" s="20"/>
      <c r="C37" s="9" t="s">
        <v>12</v>
      </c>
      <c r="D37" s="10"/>
      <c r="E37" s="13">
        <v>1</v>
      </c>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t="s">
        <v>291</v>
      </c>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25.25" customHeight="1" thickBot="1" x14ac:dyDescent="0.3">
      <c r="B45" s="43" t="s">
        <v>295</v>
      </c>
      <c r="C45" s="44"/>
      <c r="D45" s="44"/>
      <c r="E45" s="44"/>
      <c r="F45" s="44"/>
      <c r="G45" s="44"/>
      <c r="H45" s="44"/>
      <c r="I45" s="44"/>
      <c r="J45" s="44"/>
      <c r="K45" s="44"/>
      <c r="L45" s="44"/>
      <c r="M45" s="44"/>
      <c r="N45" s="45"/>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96649-CC7B-45B8-AA3D-5487ADFDAF10}">
  <dimension ref="B1:N8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20</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21</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22</v>
      </c>
      <c r="D8" s="6" t="s">
        <v>23</v>
      </c>
      <c r="E8" s="11">
        <v>1.2963000000000001E-2</v>
      </c>
      <c r="F8" s="1"/>
      <c r="G8" s="24" t="s">
        <v>16</v>
      </c>
      <c r="H8" s="25">
        <v>1</v>
      </c>
      <c r="I8" s="1"/>
      <c r="J8" s="24" t="s">
        <v>13</v>
      </c>
      <c r="K8" s="24" t="s">
        <v>5</v>
      </c>
      <c r="L8" s="1"/>
      <c r="M8" s="1"/>
      <c r="N8" s="18"/>
    </row>
    <row r="9" spans="2:14" ht="15" customHeight="1" x14ac:dyDescent="0.25">
      <c r="B9" s="20"/>
      <c r="C9" s="5" t="s">
        <v>24</v>
      </c>
      <c r="D9" s="6" t="s">
        <v>23</v>
      </c>
      <c r="E9" s="11">
        <v>9.7210000000000005E-3</v>
      </c>
      <c r="F9" s="1"/>
      <c r="G9" s="1"/>
      <c r="H9" s="1"/>
      <c r="I9" s="1"/>
      <c r="J9" s="24" t="s">
        <v>11</v>
      </c>
      <c r="K9" s="29">
        <v>3.0824000000000001E-2</v>
      </c>
      <c r="L9" s="1"/>
      <c r="M9" s="1"/>
      <c r="N9" s="18"/>
    </row>
    <row r="10" spans="2:14" ht="15" customHeight="1" x14ac:dyDescent="0.25">
      <c r="B10" s="20"/>
      <c r="C10" s="5" t="s">
        <v>25</v>
      </c>
      <c r="D10" s="6" t="s">
        <v>23</v>
      </c>
      <c r="E10" s="11">
        <v>3.2399999999999998E-3</v>
      </c>
      <c r="F10" s="1"/>
      <c r="G10" s="1"/>
      <c r="H10" s="1"/>
      <c r="I10" s="1"/>
      <c r="J10" s="24" t="s">
        <v>14</v>
      </c>
      <c r="K10" s="29">
        <v>5.5099999999999995E-4</v>
      </c>
      <c r="L10" s="1"/>
      <c r="M10" s="1"/>
      <c r="N10" s="18"/>
    </row>
    <row r="11" spans="2:14" ht="15.75" customHeight="1" x14ac:dyDescent="0.25">
      <c r="B11" s="20"/>
      <c r="C11" s="7" t="s">
        <v>26</v>
      </c>
      <c r="D11" s="8"/>
      <c r="E11" s="12">
        <v>2.5923999999999999E-2</v>
      </c>
      <c r="F11" s="1"/>
      <c r="G11" s="1"/>
      <c r="H11" s="1"/>
      <c r="I11" s="1"/>
      <c r="J11" s="24" t="s">
        <v>53</v>
      </c>
      <c r="K11" s="29">
        <v>2.5923999999999999E-2</v>
      </c>
      <c r="L11" s="1"/>
      <c r="M11" s="1"/>
      <c r="N11" s="18"/>
    </row>
    <row r="12" spans="2:14" ht="15" customHeight="1" x14ac:dyDescent="0.25">
      <c r="B12" s="20"/>
      <c r="C12" s="5" t="s">
        <v>27</v>
      </c>
      <c r="D12" s="6" t="s">
        <v>28</v>
      </c>
      <c r="E12" s="11">
        <v>0.108711</v>
      </c>
      <c r="F12" s="1"/>
      <c r="G12" s="1"/>
      <c r="H12" s="1"/>
      <c r="I12" s="1"/>
      <c r="J12" s="24" t="s">
        <v>54</v>
      </c>
      <c r="K12" s="29">
        <v>0.749556</v>
      </c>
      <c r="L12" s="1"/>
      <c r="M12" s="1"/>
      <c r="N12" s="18"/>
    </row>
    <row r="13" spans="2:14" ht="15" customHeight="1" x14ac:dyDescent="0.25">
      <c r="B13" s="20"/>
      <c r="C13" s="5" t="s">
        <v>29</v>
      </c>
      <c r="D13" s="6" t="s">
        <v>28</v>
      </c>
      <c r="E13" s="11">
        <v>0.10394</v>
      </c>
      <c r="F13" s="1"/>
      <c r="G13" s="1"/>
      <c r="H13" s="1"/>
      <c r="I13" s="1"/>
      <c r="J13" s="24" t="s">
        <v>55</v>
      </c>
      <c r="K13" s="29">
        <v>0.13401099999999999</v>
      </c>
      <c r="L13" s="1"/>
      <c r="M13" s="1"/>
      <c r="N13" s="18"/>
    </row>
    <row r="14" spans="2:14" ht="15" customHeight="1" x14ac:dyDescent="0.25">
      <c r="B14" s="20"/>
      <c r="C14" s="5" t="s">
        <v>30</v>
      </c>
      <c r="D14" s="6" t="s">
        <v>28</v>
      </c>
      <c r="E14" s="11">
        <v>0.102546</v>
      </c>
      <c r="F14" s="1"/>
      <c r="G14" s="1"/>
      <c r="H14" s="1"/>
      <c r="I14" s="1"/>
      <c r="J14" s="24" t="s">
        <v>56</v>
      </c>
      <c r="K14" s="29">
        <v>5.9133999999999999E-2</v>
      </c>
      <c r="L14" s="1"/>
      <c r="M14" s="1"/>
      <c r="N14" s="18"/>
    </row>
    <row r="15" spans="2:14" ht="15" customHeight="1" x14ac:dyDescent="0.25">
      <c r="B15" s="20"/>
      <c r="C15" s="5" t="s">
        <v>31</v>
      </c>
      <c r="D15" s="6" t="s">
        <v>28</v>
      </c>
      <c r="E15" s="11">
        <v>8.8731000000000004E-2</v>
      </c>
      <c r="F15" s="1"/>
      <c r="G15" s="1"/>
      <c r="H15" s="1"/>
      <c r="I15" s="1"/>
      <c r="J15" s="1"/>
      <c r="K15" s="1"/>
      <c r="L15" s="1"/>
      <c r="M15" s="1"/>
      <c r="N15" s="18"/>
    </row>
    <row r="16" spans="2:14" ht="15" customHeight="1" x14ac:dyDescent="0.25">
      <c r="B16" s="20"/>
      <c r="C16" s="5" t="s">
        <v>32</v>
      </c>
      <c r="D16" s="6" t="s">
        <v>28</v>
      </c>
      <c r="E16" s="11">
        <v>7.0560999999999999E-2</v>
      </c>
      <c r="F16" s="1"/>
      <c r="G16" s="1"/>
      <c r="H16" s="1"/>
      <c r="I16" s="1"/>
      <c r="J16" s="1"/>
      <c r="K16" s="1"/>
      <c r="L16" s="1"/>
      <c r="M16" s="1"/>
      <c r="N16" s="18"/>
    </row>
    <row r="17" spans="2:14" ht="15" customHeight="1" x14ac:dyDescent="0.25">
      <c r="B17" s="20"/>
      <c r="C17" s="5" t="s">
        <v>33</v>
      </c>
      <c r="D17" s="6" t="s">
        <v>28</v>
      </c>
      <c r="E17" s="11">
        <v>6.2727000000000005E-2</v>
      </c>
      <c r="F17" s="1"/>
      <c r="G17" s="1"/>
      <c r="H17" s="1"/>
      <c r="I17" s="1"/>
      <c r="J17" s="1"/>
      <c r="K17" s="1"/>
      <c r="L17" s="1"/>
      <c r="M17" s="1"/>
      <c r="N17" s="18"/>
    </row>
    <row r="18" spans="2:14" ht="15" customHeight="1" x14ac:dyDescent="0.25">
      <c r="B18" s="20"/>
      <c r="C18" s="5" t="s">
        <v>34</v>
      </c>
      <c r="D18" s="6" t="s">
        <v>28</v>
      </c>
      <c r="E18" s="11">
        <v>5.5574999999999999E-2</v>
      </c>
      <c r="F18" s="1"/>
      <c r="G18" s="1"/>
      <c r="H18" s="1"/>
      <c r="I18" s="1"/>
      <c r="J18" s="1"/>
      <c r="K18" s="1"/>
      <c r="L18" s="1"/>
      <c r="M18" s="1"/>
      <c r="N18" s="18"/>
    </row>
    <row r="19" spans="2:14" ht="15" customHeight="1" x14ac:dyDescent="0.25">
      <c r="B19" s="20"/>
      <c r="C19" s="5" t="s">
        <v>35</v>
      </c>
      <c r="D19" s="6" t="s">
        <v>28</v>
      </c>
      <c r="E19" s="11">
        <v>4.1727E-2</v>
      </c>
      <c r="F19" s="1"/>
      <c r="G19" s="1"/>
      <c r="H19" s="1"/>
      <c r="I19" s="1"/>
      <c r="J19" s="1"/>
      <c r="K19" s="1"/>
      <c r="L19" s="1"/>
      <c r="M19" s="1"/>
      <c r="N19" s="18"/>
    </row>
    <row r="20" spans="2:14" ht="15" customHeight="1" x14ac:dyDescent="0.25">
      <c r="B20" s="20"/>
      <c r="C20" s="5" t="s">
        <v>36</v>
      </c>
      <c r="D20" s="6" t="s">
        <v>28</v>
      </c>
      <c r="E20" s="11">
        <v>2.9998E-2</v>
      </c>
      <c r="F20" s="1"/>
      <c r="G20" s="1"/>
      <c r="H20" s="1"/>
      <c r="I20" s="1"/>
      <c r="J20" s="1"/>
      <c r="K20" s="1"/>
      <c r="L20" s="1"/>
      <c r="M20" s="1"/>
      <c r="N20" s="18"/>
    </row>
    <row r="21" spans="2:14" ht="15" customHeight="1" x14ac:dyDescent="0.25">
      <c r="B21" s="20"/>
      <c r="C21" s="5" t="s">
        <v>25</v>
      </c>
      <c r="D21" s="6" t="s">
        <v>28</v>
      </c>
      <c r="E21" s="11">
        <v>2.2644999999999998E-2</v>
      </c>
      <c r="F21" s="1"/>
      <c r="G21" s="1"/>
      <c r="H21" s="1"/>
      <c r="I21" s="1"/>
      <c r="J21" s="1"/>
      <c r="K21" s="1"/>
      <c r="L21" s="1"/>
      <c r="M21" s="1"/>
      <c r="N21" s="18"/>
    </row>
    <row r="22" spans="2:14" ht="15" customHeight="1" x14ac:dyDescent="0.25">
      <c r="B22" s="20"/>
      <c r="C22" s="5" t="s">
        <v>37</v>
      </c>
      <c r="D22" s="6" t="s">
        <v>28</v>
      </c>
      <c r="E22" s="11">
        <v>1.7023E-2</v>
      </c>
      <c r="F22" s="1"/>
      <c r="G22" s="1"/>
      <c r="H22" s="1"/>
      <c r="I22" s="1"/>
      <c r="J22" s="1"/>
      <c r="K22" s="1"/>
      <c r="L22" s="1"/>
      <c r="M22" s="1"/>
      <c r="N22" s="18"/>
    </row>
    <row r="23" spans="2:14" ht="15" customHeight="1" x14ac:dyDescent="0.25">
      <c r="B23" s="20"/>
      <c r="C23" s="5" t="s">
        <v>38</v>
      </c>
      <c r="D23" s="6" t="s">
        <v>28</v>
      </c>
      <c r="E23" s="11">
        <v>1.5016E-2</v>
      </c>
      <c r="F23" s="1"/>
      <c r="G23" s="1"/>
      <c r="H23" s="1"/>
      <c r="I23" s="1"/>
      <c r="J23" s="1"/>
      <c r="K23" s="1"/>
      <c r="L23" s="1"/>
      <c r="M23" s="1"/>
      <c r="N23" s="18"/>
    </row>
    <row r="24" spans="2:14" ht="15" customHeight="1" x14ac:dyDescent="0.25">
      <c r="B24" s="20"/>
      <c r="C24" s="5" t="s">
        <v>39</v>
      </c>
      <c r="D24" s="6" t="s">
        <v>28</v>
      </c>
      <c r="E24" s="11">
        <v>1.4932000000000001E-2</v>
      </c>
      <c r="F24" s="1"/>
      <c r="G24" s="51" t="s">
        <v>18</v>
      </c>
      <c r="H24" s="52"/>
      <c r="I24" s="52"/>
      <c r="J24" s="52"/>
      <c r="K24" s="52"/>
      <c r="L24" s="26">
        <v>2.5994702127591842</v>
      </c>
      <c r="M24" s="27"/>
      <c r="N24" s="28"/>
    </row>
    <row r="25" spans="2:14" ht="15" customHeight="1" x14ac:dyDescent="0.25">
      <c r="B25" s="20"/>
      <c r="C25" s="5" t="s">
        <v>40</v>
      </c>
      <c r="D25" s="6" t="s">
        <v>28</v>
      </c>
      <c r="E25" s="11">
        <v>5.7089999999999997E-3</v>
      </c>
      <c r="F25" s="1"/>
      <c r="G25" s="1"/>
      <c r="H25" s="1"/>
      <c r="I25" s="1"/>
      <c r="J25" s="1"/>
      <c r="K25" s="1"/>
      <c r="L25" s="1"/>
      <c r="M25" s="1"/>
      <c r="N25" s="18"/>
    </row>
    <row r="26" spans="2:14" ht="15" customHeight="1" x14ac:dyDescent="0.25">
      <c r="B26" s="20"/>
      <c r="C26" s="5" t="s">
        <v>41</v>
      </c>
      <c r="D26" s="6" t="s">
        <v>28</v>
      </c>
      <c r="E26" s="11">
        <v>3.4039999999999999E-3</v>
      </c>
      <c r="F26" s="1"/>
      <c r="G26" s="51" t="s">
        <v>19</v>
      </c>
      <c r="H26" s="52"/>
      <c r="I26" s="52"/>
      <c r="J26" s="52"/>
      <c r="K26" s="52"/>
      <c r="L26" s="52"/>
      <c r="M26" s="52"/>
      <c r="N26" s="53"/>
    </row>
    <row r="27" spans="2:14" ht="15" customHeight="1" x14ac:dyDescent="0.25">
      <c r="B27" s="20"/>
      <c r="C27" s="5" t="s">
        <v>42</v>
      </c>
      <c r="D27" s="6" t="s">
        <v>28</v>
      </c>
      <c r="E27" s="11">
        <v>3.075E-3</v>
      </c>
      <c r="F27" s="1"/>
      <c r="G27" s="1"/>
      <c r="H27" s="1"/>
      <c r="I27" s="1"/>
      <c r="J27" s="1"/>
      <c r="K27" s="1"/>
      <c r="L27" s="1"/>
      <c r="M27" s="1"/>
      <c r="N27" s="18"/>
    </row>
    <row r="28" spans="2:14" ht="15" customHeight="1" x14ac:dyDescent="0.25">
      <c r="B28" s="20"/>
      <c r="C28" s="5" t="s">
        <v>43</v>
      </c>
      <c r="D28" s="6" t="s">
        <v>28</v>
      </c>
      <c r="E28" s="11">
        <v>1.8829999999999999E-3</v>
      </c>
      <c r="F28" s="1"/>
      <c r="G28" s="1"/>
      <c r="H28" s="1"/>
      <c r="I28" s="1"/>
      <c r="J28" s="1"/>
      <c r="K28" s="1"/>
      <c r="L28" s="1"/>
      <c r="M28" s="1"/>
      <c r="N28" s="18"/>
    </row>
    <row r="29" spans="2:14" ht="15" customHeight="1" x14ac:dyDescent="0.25">
      <c r="B29" s="20"/>
      <c r="C29" s="5" t="s">
        <v>44</v>
      </c>
      <c r="D29" s="6" t="s">
        <v>28</v>
      </c>
      <c r="E29" s="11">
        <v>1.353E-3</v>
      </c>
      <c r="F29" s="1"/>
      <c r="G29" s="1"/>
      <c r="H29" s="1"/>
      <c r="I29" s="1"/>
      <c r="J29" s="1"/>
      <c r="K29" s="1"/>
      <c r="L29" s="1"/>
      <c r="M29" s="1"/>
      <c r="N29" s="18"/>
    </row>
    <row r="30" spans="2:14" ht="15.75" customHeight="1" x14ac:dyDescent="0.25">
      <c r="B30" s="20"/>
      <c r="C30" s="7" t="s">
        <v>45</v>
      </c>
      <c r="D30" s="8"/>
      <c r="E30" s="12">
        <v>0.749556</v>
      </c>
      <c r="F30" s="1"/>
      <c r="G30" s="1"/>
      <c r="H30" s="1"/>
      <c r="I30" s="1"/>
      <c r="J30" s="1"/>
      <c r="K30" s="1"/>
      <c r="L30" s="1"/>
      <c r="M30" s="1"/>
      <c r="N30" s="18"/>
    </row>
    <row r="31" spans="2:14" ht="15" customHeight="1" x14ac:dyDescent="0.25">
      <c r="B31" s="20"/>
      <c r="C31" s="5" t="s">
        <v>46</v>
      </c>
      <c r="D31" s="6" t="s">
        <v>47</v>
      </c>
      <c r="E31" s="11">
        <v>5.5919999999999997E-2</v>
      </c>
      <c r="F31" s="1"/>
      <c r="G31" s="1"/>
      <c r="H31" s="1"/>
      <c r="I31" s="1"/>
      <c r="J31" s="1"/>
      <c r="K31" s="1"/>
      <c r="L31" s="1"/>
      <c r="M31" s="1"/>
      <c r="N31" s="18"/>
    </row>
    <row r="32" spans="2:14" ht="15" customHeight="1" x14ac:dyDescent="0.25">
      <c r="B32" s="20"/>
      <c r="C32" s="5" t="s">
        <v>48</v>
      </c>
      <c r="D32" s="6" t="s">
        <v>47</v>
      </c>
      <c r="E32" s="11">
        <v>3.6448000000000001E-2</v>
      </c>
      <c r="F32" s="1"/>
      <c r="G32" s="1"/>
      <c r="H32" s="1"/>
      <c r="I32" s="1"/>
      <c r="J32" s="1"/>
      <c r="K32" s="1"/>
      <c r="L32" s="1"/>
      <c r="M32" s="1"/>
      <c r="N32" s="18"/>
    </row>
    <row r="33" spans="2:14" ht="15" customHeight="1" x14ac:dyDescent="0.25">
      <c r="B33" s="20"/>
      <c r="C33" s="5" t="s">
        <v>49</v>
      </c>
      <c r="D33" s="6" t="s">
        <v>47</v>
      </c>
      <c r="E33" s="11">
        <v>2.4663000000000001E-2</v>
      </c>
      <c r="F33" s="1"/>
      <c r="G33" s="1"/>
      <c r="H33" s="1"/>
      <c r="I33" s="1"/>
      <c r="J33" s="1"/>
      <c r="K33" s="1"/>
      <c r="L33" s="1"/>
      <c r="M33" s="1"/>
      <c r="N33" s="18"/>
    </row>
    <row r="34" spans="2:14" ht="15" customHeight="1" x14ac:dyDescent="0.25">
      <c r="B34" s="20"/>
      <c r="C34" s="5" t="s">
        <v>50</v>
      </c>
      <c r="D34" s="6" t="s">
        <v>47</v>
      </c>
      <c r="E34" s="11">
        <v>1.6979999999999999E-2</v>
      </c>
      <c r="F34" s="1"/>
      <c r="G34" s="1"/>
      <c r="H34" s="1"/>
      <c r="I34" s="1"/>
      <c r="J34" s="1"/>
      <c r="K34" s="1"/>
      <c r="L34" s="1"/>
      <c r="M34" s="1"/>
      <c r="N34" s="18"/>
    </row>
    <row r="35" spans="2:14" ht="15.75" customHeight="1" x14ac:dyDescent="0.25">
      <c r="B35" s="20"/>
      <c r="C35" s="7" t="s">
        <v>51</v>
      </c>
      <c r="D35" s="8"/>
      <c r="E35" s="12">
        <v>0.13401099999999999</v>
      </c>
      <c r="F35" s="1"/>
      <c r="G35" s="1"/>
      <c r="H35" s="1"/>
      <c r="I35" s="1"/>
      <c r="J35" s="1"/>
      <c r="K35" s="1"/>
      <c r="L35" s="1"/>
      <c r="M35" s="1"/>
      <c r="N35" s="18"/>
    </row>
    <row r="36" spans="2:14" ht="15" customHeight="1" x14ac:dyDescent="0.25">
      <c r="B36" s="20"/>
      <c r="C36" s="5" t="s">
        <v>220</v>
      </c>
      <c r="D36" s="6" t="s">
        <v>47</v>
      </c>
      <c r="E36" s="11">
        <v>1.2798E-2</v>
      </c>
      <c r="F36" s="1"/>
      <c r="G36" s="1"/>
      <c r="H36" s="1"/>
      <c r="I36" s="1"/>
      <c r="J36" s="1"/>
      <c r="K36" s="1"/>
      <c r="L36" s="1"/>
      <c r="M36" s="1"/>
      <c r="N36" s="18"/>
    </row>
    <row r="37" spans="2:14" ht="15.75" customHeight="1" x14ac:dyDescent="0.25">
      <c r="B37" s="20"/>
      <c r="C37" s="5" t="s">
        <v>210</v>
      </c>
      <c r="D37" s="6" t="s">
        <v>47</v>
      </c>
      <c r="E37" s="11">
        <v>9.6699999999999998E-3</v>
      </c>
      <c r="F37" s="1"/>
      <c r="G37" s="1"/>
      <c r="H37" s="1"/>
      <c r="I37" s="1"/>
      <c r="J37" s="1"/>
      <c r="K37" s="1"/>
      <c r="L37" s="1"/>
      <c r="M37" s="1"/>
      <c r="N37" s="18"/>
    </row>
    <row r="38" spans="2:14" ht="15" customHeight="1" x14ac:dyDescent="0.25">
      <c r="B38" s="20"/>
      <c r="C38" s="5" t="s">
        <v>206</v>
      </c>
      <c r="D38" s="6" t="s">
        <v>47</v>
      </c>
      <c r="E38" s="11">
        <v>5.1219999999999998E-3</v>
      </c>
      <c r="F38" s="1"/>
      <c r="G38" s="1"/>
      <c r="H38" s="1"/>
      <c r="I38" s="1"/>
      <c r="J38" s="1"/>
      <c r="K38" s="1"/>
      <c r="L38" s="1"/>
      <c r="M38" s="1"/>
      <c r="N38" s="18"/>
    </row>
    <row r="39" spans="2:14" ht="15.75" customHeight="1" x14ac:dyDescent="0.25">
      <c r="B39" s="20"/>
      <c r="C39" s="5" t="s">
        <v>209</v>
      </c>
      <c r="D39" s="6" t="s">
        <v>47</v>
      </c>
      <c r="E39" s="11">
        <v>4.8139999999999997E-3</v>
      </c>
      <c r="F39" s="1"/>
      <c r="G39" s="1"/>
      <c r="H39" s="1"/>
      <c r="I39" s="1"/>
      <c r="J39" s="1"/>
      <c r="K39" s="1"/>
      <c r="L39" s="1"/>
      <c r="M39" s="1"/>
      <c r="N39" s="18"/>
    </row>
    <row r="40" spans="2:14" ht="15" customHeight="1" x14ac:dyDescent="0.25">
      <c r="B40" s="20"/>
      <c r="C40" s="5" t="s">
        <v>212</v>
      </c>
      <c r="D40" s="6" t="s">
        <v>47</v>
      </c>
      <c r="E40" s="11">
        <v>4.1180000000000001E-3</v>
      </c>
      <c r="F40" s="1"/>
      <c r="G40" s="1"/>
      <c r="H40" s="1"/>
      <c r="I40" s="1"/>
      <c r="J40" s="1"/>
      <c r="K40" s="1"/>
      <c r="L40" s="1"/>
      <c r="M40" s="1"/>
      <c r="N40" s="18"/>
    </row>
    <row r="41" spans="2:14" ht="15.75" customHeight="1" x14ac:dyDescent="0.25">
      <c r="B41" s="20"/>
      <c r="C41" s="5" t="s">
        <v>214</v>
      </c>
      <c r="D41" s="6" t="s">
        <v>47</v>
      </c>
      <c r="E41" s="11">
        <v>3.751E-3</v>
      </c>
      <c r="F41" s="1"/>
      <c r="G41" s="1"/>
      <c r="H41" s="1"/>
      <c r="I41" s="1"/>
      <c r="J41" s="1"/>
      <c r="K41" s="1"/>
      <c r="L41" s="1"/>
      <c r="M41" s="1"/>
      <c r="N41" s="18"/>
    </row>
    <row r="42" spans="2:14" ht="15" customHeight="1" x14ac:dyDescent="0.25">
      <c r="B42" s="20"/>
      <c r="C42" s="5" t="s">
        <v>213</v>
      </c>
      <c r="D42" s="6" t="s">
        <v>47</v>
      </c>
      <c r="E42" s="11">
        <v>3.4250000000000001E-3</v>
      </c>
      <c r="F42" s="1"/>
      <c r="G42" s="1"/>
      <c r="H42" s="1"/>
      <c r="I42" s="1"/>
      <c r="J42" s="1"/>
      <c r="K42" s="1"/>
      <c r="L42" s="1"/>
      <c r="M42" s="1"/>
      <c r="N42" s="18"/>
    </row>
    <row r="43" spans="2:14" ht="15" customHeight="1" x14ac:dyDescent="0.25">
      <c r="B43" s="20"/>
      <c r="C43" s="5" t="s">
        <v>221</v>
      </c>
      <c r="D43" s="6" t="s">
        <v>47</v>
      </c>
      <c r="E43" s="11">
        <v>3.3760000000000001E-3</v>
      </c>
      <c r="F43" s="1"/>
      <c r="G43" s="1"/>
      <c r="H43" s="1"/>
      <c r="I43" s="1"/>
      <c r="J43" s="1"/>
      <c r="K43" s="1"/>
      <c r="L43" s="1"/>
      <c r="M43" s="1"/>
      <c r="N43" s="18"/>
    </row>
    <row r="44" spans="2:14" ht="15" customHeight="1" x14ac:dyDescent="0.25">
      <c r="B44" s="20"/>
      <c r="C44" s="5" t="s">
        <v>204</v>
      </c>
      <c r="D44" s="6" t="s">
        <v>47</v>
      </c>
      <c r="E44" s="11">
        <v>2.0439999999999998E-3</v>
      </c>
      <c r="F44" s="1"/>
      <c r="G44" s="1"/>
      <c r="H44" s="1"/>
      <c r="I44" s="1"/>
      <c r="J44" s="1"/>
      <c r="K44" s="1"/>
      <c r="L44" s="1"/>
      <c r="M44" s="1"/>
      <c r="N44" s="18"/>
    </row>
    <row r="45" spans="2:14" ht="15" customHeight="1" x14ac:dyDescent="0.25">
      <c r="B45" s="20"/>
      <c r="C45" s="5" t="s">
        <v>211</v>
      </c>
      <c r="D45" s="6" t="s">
        <v>47</v>
      </c>
      <c r="E45" s="11">
        <v>1.7279999999999999E-3</v>
      </c>
      <c r="F45" s="1"/>
      <c r="G45" s="1"/>
      <c r="H45" s="1"/>
      <c r="I45" s="1"/>
      <c r="J45" s="1"/>
      <c r="K45" s="1"/>
      <c r="L45" s="1"/>
      <c r="M45" s="1"/>
      <c r="N45" s="18"/>
    </row>
    <row r="46" spans="2:14" ht="15" customHeight="1" x14ac:dyDescent="0.25">
      <c r="B46" s="20"/>
      <c r="C46" s="5" t="s">
        <v>203</v>
      </c>
      <c r="D46" s="6" t="s">
        <v>47</v>
      </c>
      <c r="E46" s="11">
        <v>1.7110000000000001E-3</v>
      </c>
      <c r="F46" s="1"/>
      <c r="G46" s="1"/>
      <c r="H46" s="1"/>
      <c r="I46" s="1"/>
      <c r="J46" s="1"/>
      <c r="K46" s="1"/>
      <c r="L46" s="1"/>
      <c r="M46" s="1"/>
      <c r="N46" s="18"/>
    </row>
    <row r="47" spans="2:14" ht="15" customHeight="1" x14ac:dyDescent="0.25">
      <c r="B47" s="20"/>
      <c r="C47" s="5" t="s">
        <v>205</v>
      </c>
      <c r="D47" s="6" t="s">
        <v>47</v>
      </c>
      <c r="E47" s="11">
        <v>1.709E-3</v>
      </c>
      <c r="F47" s="1"/>
      <c r="G47" s="1"/>
      <c r="H47" s="1"/>
      <c r="I47" s="1"/>
      <c r="J47" s="1"/>
      <c r="K47" s="1"/>
      <c r="L47" s="1"/>
      <c r="M47" s="1"/>
      <c r="N47" s="18"/>
    </row>
    <row r="48" spans="2:14" ht="15" customHeight="1" x14ac:dyDescent="0.25">
      <c r="B48" s="20"/>
      <c r="C48" s="5" t="s">
        <v>207</v>
      </c>
      <c r="D48" s="6" t="s">
        <v>47</v>
      </c>
      <c r="E48" s="11">
        <v>1.372E-3</v>
      </c>
      <c r="F48" s="1"/>
      <c r="G48" s="1"/>
      <c r="H48" s="1"/>
      <c r="I48" s="1"/>
      <c r="J48" s="1"/>
      <c r="K48" s="1"/>
      <c r="L48" s="1"/>
      <c r="M48" s="1"/>
      <c r="N48" s="18"/>
    </row>
    <row r="49" spans="2:14" ht="15" customHeight="1" x14ac:dyDescent="0.25">
      <c r="B49" s="20"/>
      <c r="C49" s="5" t="s">
        <v>208</v>
      </c>
      <c r="D49" s="6" t="s">
        <v>47</v>
      </c>
      <c r="E49" s="11">
        <v>1.029E-3</v>
      </c>
      <c r="F49" s="1"/>
      <c r="G49" s="1"/>
      <c r="H49" s="1"/>
      <c r="I49" s="1"/>
      <c r="J49" s="1"/>
      <c r="K49" s="1"/>
      <c r="L49" s="1"/>
      <c r="M49" s="1"/>
      <c r="N49" s="18"/>
    </row>
    <row r="50" spans="2:14" ht="15" customHeight="1" x14ac:dyDescent="0.25">
      <c r="B50" s="20"/>
      <c r="C50" s="5" t="s">
        <v>218</v>
      </c>
      <c r="D50" s="6" t="s">
        <v>47</v>
      </c>
      <c r="E50" s="11">
        <v>6.8599999999999998E-4</v>
      </c>
      <c r="F50" s="1"/>
      <c r="G50" s="1"/>
      <c r="H50" s="1"/>
      <c r="I50" s="1"/>
      <c r="J50" s="1"/>
      <c r="K50" s="1"/>
      <c r="L50" s="1"/>
      <c r="M50" s="1"/>
      <c r="N50" s="18"/>
    </row>
    <row r="51" spans="2:14" ht="15" customHeight="1" x14ac:dyDescent="0.25">
      <c r="B51" s="20"/>
      <c r="C51" s="5" t="s">
        <v>219</v>
      </c>
      <c r="D51" s="6" t="s">
        <v>47</v>
      </c>
      <c r="E51" s="11">
        <v>6.8599999999999998E-4</v>
      </c>
      <c r="F51" s="1"/>
      <c r="G51" s="1"/>
      <c r="H51" s="1"/>
      <c r="I51" s="1"/>
      <c r="J51" s="1"/>
      <c r="K51" s="1"/>
      <c r="L51" s="1"/>
      <c r="M51" s="1"/>
      <c r="N51" s="18"/>
    </row>
    <row r="52" spans="2:14" ht="15" customHeight="1" x14ac:dyDescent="0.25">
      <c r="B52" s="20"/>
      <c r="C52" s="5" t="s">
        <v>216</v>
      </c>
      <c r="D52" s="6" t="s">
        <v>47</v>
      </c>
      <c r="E52" s="11">
        <v>6.7500000000000004E-4</v>
      </c>
      <c r="F52" s="1"/>
      <c r="G52" s="1"/>
      <c r="H52" s="1"/>
      <c r="I52" s="1"/>
      <c r="J52" s="1"/>
      <c r="K52" s="1"/>
      <c r="L52" s="1"/>
      <c r="M52" s="1"/>
      <c r="N52" s="18"/>
    </row>
    <row r="53" spans="2:14" ht="15" customHeight="1" x14ac:dyDescent="0.25">
      <c r="B53" s="20"/>
      <c r="C53" s="5" t="s">
        <v>217</v>
      </c>
      <c r="D53" s="6" t="s">
        <v>47</v>
      </c>
      <c r="E53" s="11">
        <v>3.4000000000000002E-4</v>
      </c>
      <c r="F53" s="1"/>
      <c r="G53" s="1"/>
      <c r="H53" s="1"/>
      <c r="I53" s="1"/>
      <c r="J53" s="1"/>
      <c r="K53" s="1"/>
      <c r="L53" s="1"/>
      <c r="M53" s="1"/>
      <c r="N53" s="18"/>
    </row>
    <row r="54" spans="2:14" ht="15" customHeight="1" x14ac:dyDescent="0.25">
      <c r="B54" s="20"/>
      <c r="C54" s="5" t="s">
        <v>215</v>
      </c>
      <c r="D54" s="6" t="s">
        <v>47</v>
      </c>
      <c r="E54" s="11">
        <v>8.0000000000000007E-5</v>
      </c>
      <c r="F54" s="1"/>
      <c r="G54" s="1"/>
      <c r="H54" s="1"/>
      <c r="I54" s="1"/>
      <c r="J54" s="1"/>
      <c r="K54" s="1"/>
      <c r="L54" s="1"/>
      <c r="M54" s="1"/>
      <c r="N54" s="18"/>
    </row>
    <row r="55" spans="2:14" ht="15" customHeight="1" x14ac:dyDescent="0.25">
      <c r="B55" s="20"/>
      <c r="C55" s="7" t="s">
        <v>52</v>
      </c>
      <c r="D55" s="8"/>
      <c r="E55" s="12">
        <v>5.9133999999999999E-2</v>
      </c>
      <c r="F55" s="1"/>
      <c r="G55" s="1"/>
      <c r="H55" s="1"/>
      <c r="I55" s="1"/>
      <c r="J55" s="1"/>
      <c r="K55" s="1"/>
      <c r="L55" s="1"/>
      <c r="M55" s="1"/>
      <c r="N55" s="18"/>
    </row>
    <row r="56" spans="2:14" ht="15" customHeight="1" x14ac:dyDescent="0.25">
      <c r="B56" s="20"/>
      <c r="C56" s="5" t="s">
        <v>9</v>
      </c>
      <c r="D56" s="6"/>
      <c r="E56" s="11">
        <v>5.5099999999999995E-4</v>
      </c>
      <c r="F56" s="1"/>
      <c r="G56" s="1"/>
      <c r="H56" s="1"/>
      <c r="I56" s="1"/>
      <c r="J56" s="1"/>
      <c r="K56" s="1"/>
      <c r="L56" s="1"/>
      <c r="M56" s="1"/>
      <c r="N56" s="18"/>
    </row>
    <row r="57" spans="2:14" ht="15" customHeight="1" x14ac:dyDescent="0.25">
      <c r="B57" s="20"/>
      <c r="C57" s="7" t="s">
        <v>10</v>
      </c>
      <c r="D57" s="8"/>
      <c r="E57" s="12">
        <v>5.5099999999999995E-4</v>
      </c>
      <c r="F57" s="1"/>
      <c r="G57" s="1"/>
      <c r="H57" s="1"/>
      <c r="I57" s="1"/>
      <c r="J57" s="1"/>
      <c r="K57" s="1"/>
      <c r="L57" s="1"/>
      <c r="M57" s="1"/>
      <c r="N57" s="18"/>
    </row>
    <row r="58" spans="2:14" ht="15" customHeight="1" x14ac:dyDescent="0.25">
      <c r="B58" s="20"/>
      <c r="C58" s="5"/>
      <c r="D58" s="6"/>
      <c r="E58" s="11"/>
      <c r="F58" s="1"/>
      <c r="G58" s="1"/>
      <c r="H58" s="1"/>
      <c r="I58" s="1"/>
      <c r="J58" s="1"/>
      <c r="K58" s="1"/>
      <c r="L58" s="1"/>
      <c r="M58" s="1"/>
      <c r="N58" s="18"/>
    </row>
    <row r="59" spans="2:14" ht="15" customHeight="1" x14ac:dyDescent="0.25">
      <c r="B59" s="20"/>
      <c r="C59" s="7" t="s">
        <v>11</v>
      </c>
      <c r="D59" s="8"/>
      <c r="E59" s="12">
        <v>3.0824000000000001E-2</v>
      </c>
      <c r="F59" s="1"/>
      <c r="G59" s="1"/>
      <c r="H59" s="1"/>
      <c r="I59" s="1"/>
      <c r="J59" s="1"/>
      <c r="K59" s="1"/>
      <c r="L59" s="1"/>
      <c r="M59" s="1"/>
      <c r="N59" s="18"/>
    </row>
    <row r="60" spans="2:14" ht="15" customHeight="1" x14ac:dyDescent="0.25">
      <c r="B60" s="20"/>
      <c r="C60" s="5"/>
      <c r="D60" s="6"/>
      <c r="E60" s="11"/>
      <c r="F60" s="1"/>
      <c r="G60" s="1"/>
      <c r="H60" s="1"/>
      <c r="I60" s="1"/>
      <c r="J60" s="1"/>
      <c r="K60" s="1"/>
      <c r="L60" s="1"/>
      <c r="M60" s="1"/>
      <c r="N60" s="18"/>
    </row>
    <row r="61" spans="2:14" ht="15" customHeight="1" x14ac:dyDescent="0.25">
      <c r="B61" s="20"/>
      <c r="C61" s="9" t="s">
        <v>12</v>
      </c>
      <c r="D61" s="10"/>
      <c r="E61" s="13">
        <v>1</v>
      </c>
      <c r="F61" s="1"/>
      <c r="G61" s="1"/>
      <c r="H61" s="1"/>
      <c r="I61" s="1"/>
      <c r="J61" s="1"/>
      <c r="K61" s="1"/>
      <c r="L61" s="1"/>
      <c r="M61" s="1"/>
      <c r="N61" s="18"/>
    </row>
    <row r="62" spans="2:14" ht="15" customHeight="1" x14ac:dyDescent="0.25">
      <c r="B62" s="20"/>
      <c r="C62" s="1"/>
      <c r="D62" s="1"/>
      <c r="E62" s="1"/>
      <c r="F62" s="1"/>
      <c r="G62" s="1"/>
      <c r="H62" s="1"/>
      <c r="I62" s="1"/>
      <c r="J62" s="1"/>
      <c r="K62" s="1"/>
      <c r="L62" s="1"/>
      <c r="M62" s="1"/>
      <c r="N62" s="18"/>
    </row>
    <row r="63" spans="2:14" ht="15" customHeight="1" thickBot="1" x14ac:dyDescent="0.3">
      <c r="B63" s="21"/>
      <c r="C63" s="22"/>
      <c r="D63" s="22"/>
      <c r="E63" s="22"/>
      <c r="F63" s="22"/>
      <c r="G63" s="22"/>
      <c r="H63" s="22"/>
      <c r="I63" s="22"/>
      <c r="J63" s="22"/>
      <c r="K63" s="22"/>
      <c r="L63" s="22"/>
      <c r="M63" s="22"/>
      <c r="N63" s="23"/>
    </row>
    <row r="64" spans="2:14" ht="15" customHeight="1" thickBot="1" x14ac:dyDescent="0.3"/>
    <row r="65" spans="2:14" ht="126" customHeight="1" thickBot="1" x14ac:dyDescent="0.3">
      <c r="B65" s="43" t="s">
        <v>295</v>
      </c>
      <c r="C65" s="44"/>
      <c r="D65" s="44"/>
      <c r="E65" s="44"/>
      <c r="F65" s="44"/>
      <c r="G65" s="44"/>
      <c r="H65" s="44"/>
      <c r="I65" s="44"/>
      <c r="J65" s="44"/>
      <c r="K65" s="44"/>
      <c r="L65" s="44"/>
      <c r="M65" s="44"/>
      <c r="N65" s="45"/>
    </row>
    <row r="66" spans="2:14" ht="15" customHeight="1" x14ac:dyDescent="0.25"/>
    <row r="67" spans="2:14" ht="15" customHeight="1" x14ac:dyDescent="0.25"/>
    <row r="68" spans="2:14" ht="15" customHeight="1" x14ac:dyDescent="0.25"/>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sheetData>
  <sortState ref="C36:E54">
    <sortCondition descending="1" ref="E36"/>
  </sortState>
  <mergeCells count="6">
    <mergeCell ref="B65:N65"/>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EC305-3A06-478F-AB75-53AD0ACF44D0}">
  <dimension ref="B1:N9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79</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80</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22</v>
      </c>
      <c r="D8" s="6" t="s">
        <v>23</v>
      </c>
      <c r="E8" s="11">
        <v>1.5129999999999999E-2</v>
      </c>
      <c r="F8" s="1"/>
      <c r="G8" s="24" t="s">
        <v>16</v>
      </c>
      <c r="H8" s="25">
        <v>1</v>
      </c>
      <c r="I8" s="1"/>
      <c r="J8" s="24" t="s">
        <v>13</v>
      </c>
      <c r="K8" s="24" t="s">
        <v>5</v>
      </c>
      <c r="L8" s="1"/>
      <c r="M8" s="1"/>
      <c r="N8" s="18"/>
    </row>
    <row r="9" spans="2:14" ht="15" customHeight="1" x14ac:dyDescent="0.25">
      <c r="B9" s="20"/>
      <c r="C9" s="5" t="s">
        <v>30</v>
      </c>
      <c r="D9" s="6" t="s">
        <v>23</v>
      </c>
      <c r="E9" s="11">
        <v>1.0208999999999999E-2</v>
      </c>
      <c r="F9" s="1"/>
      <c r="G9" s="1"/>
      <c r="H9" s="1"/>
      <c r="I9" s="1"/>
      <c r="J9" s="24" t="s">
        <v>11</v>
      </c>
      <c r="K9" s="29">
        <v>2.5010000000000001E-2</v>
      </c>
      <c r="L9" s="1"/>
      <c r="M9" s="1"/>
      <c r="N9" s="18"/>
    </row>
    <row r="10" spans="2:14" ht="15" customHeight="1" x14ac:dyDescent="0.25">
      <c r="B10" s="20"/>
      <c r="C10" s="5" t="s">
        <v>25</v>
      </c>
      <c r="D10" s="6" t="s">
        <v>23</v>
      </c>
      <c r="E10" s="11">
        <v>1.0085E-2</v>
      </c>
      <c r="F10" s="1"/>
      <c r="G10" s="1"/>
      <c r="H10" s="1"/>
      <c r="I10" s="1"/>
      <c r="J10" s="24" t="s">
        <v>14</v>
      </c>
      <c r="K10" s="29">
        <v>1.8010000000000001E-3</v>
      </c>
      <c r="L10" s="1"/>
      <c r="M10" s="1"/>
      <c r="N10" s="18"/>
    </row>
    <row r="11" spans="2:14" ht="15.75" customHeight="1" x14ac:dyDescent="0.25">
      <c r="B11" s="20"/>
      <c r="C11" s="7" t="s">
        <v>26</v>
      </c>
      <c r="D11" s="8"/>
      <c r="E11" s="12">
        <v>3.5423999999999997E-2</v>
      </c>
      <c r="F11" s="1"/>
      <c r="G11" s="1"/>
      <c r="H11" s="1"/>
      <c r="I11" s="1"/>
      <c r="J11" s="24" t="s">
        <v>53</v>
      </c>
      <c r="K11" s="29">
        <v>3.5423999999999997E-2</v>
      </c>
      <c r="L11" s="1"/>
      <c r="M11" s="1"/>
      <c r="N11" s="18"/>
    </row>
    <row r="12" spans="2:14" ht="15" customHeight="1" x14ac:dyDescent="0.25">
      <c r="B12" s="20"/>
      <c r="C12" s="5" t="s">
        <v>31</v>
      </c>
      <c r="D12" s="6" t="s">
        <v>23</v>
      </c>
      <c r="E12" s="11">
        <v>2.5207E-2</v>
      </c>
      <c r="F12" s="1"/>
      <c r="G12" s="1"/>
      <c r="H12" s="1"/>
      <c r="I12" s="1"/>
      <c r="J12" s="24" t="s">
        <v>54</v>
      </c>
      <c r="K12" s="29">
        <v>0.73767199999999999</v>
      </c>
      <c r="L12" s="1"/>
      <c r="M12" s="1"/>
      <c r="N12" s="18"/>
    </row>
    <row r="13" spans="2:14" ht="15" customHeight="1" x14ac:dyDescent="0.25">
      <c r="B13" s="20"/>
      <c r="C13" s="5" t="s">
        <v>30</v>
      </c>
      <c r="D13" s="6" t="s">
        <v>23</v>
      </c>
      <c r="E13" s="11">
        <v>2.3524E-2</v>
      </c>
      <c r="F13" s="1"/>
      <c r="G13" s="1"/>
      <c r="H13" s="1"/>
      <c r="I13" s="1"/>
      <c r="J13" s="24" t="s">
        <v>77</v>
      </c>
      <c r="K13" s="29">
        <v>8.584E-2</v>
      </c>
      <c r="L13" s="1"/>
      <c r="M13" s="1"/>
      <c r="N13" s="18"/>
    </row>
    <row r="14" spans="2:14" ht="15" customHeight="1" x14ac:dyDescent="0.25">
      <c r="B14" s="20"/>
      <c r="C14" s="5" t="s">
        <v>38</v>
      </c>
      <c r="D14" s="6" t="s">
        <v>23</v>
      </c>
      <c r="E14" s="11">
        <v>2.0202999999999999E-2</v>
      </c>
      <c r="F14" s="1"/>
      <c r="G14" s="1"/>
      <c r="H14" s="1"/>
      <c r="I14" s="1"/>
      <c r="J14" s="24" t="s">
        <v>55</v>
      </c>
      <c r="K14" s="29">
        <v>3.5E-4</v>
      </c>
      <c r="L14" s="1"/>
      <c r="M14" s="1"/>
      <c r="N14" s="18"/>
    </row>
    <row r="15" spans="2:14" ht="15" customHeight="1" x14ac:dyDescent="0.25">
      <c r="B15" s="20"/>
      <c r="C15" s="5" t="s">
        <v>72</v>
      </c>
      <c r="D15" s="6" t="s">
        <v>23</v>
      </c>
      <c r="E15" s="11">
        <v>1.6906000000000001E-2</v>
      </c>
      <c r="F15" s="1"/>
      <c r="G15" s="1"/>
      <c r="H15" s="1"/>
      <c r="I15" s="1"/>
      <c r="J15" s="24" t="s">
        <v>56</v>
      </c>
      <c r="K15" s="29">
        <v>3.3780999999999999E-2</v>
      </c>
      <c r="L15" s="1"/>
      <c r="M15" s="1"/>
      <c r="N15" s="18"/>
    </row>
    <row r="16" spans="2:14" ht="15.75" customHeight="1" x14ac:dyDescent="0.25">
      <c r="B16" s="20"/>
      <c r="C16" s="7" t="s">
        <v>73</v>
      </c>
      <c r="D16" s="8"/>
      <c r="E16" s="12">
        <v>8.584E-2</v>
      </c>
      <c r="F16" s="1"/>
      <c r="G16" s="1"/>
      <c r="H16" s="1"/>
      <c r="I16" s="1"/>
      <c r="J16" s="24" t="s">
        <v>78</v>
      </c>
      <c r="K16" s="29">
        <v>7.7407000000000004E-2</v>
      </c>
      <c r="L16" s="1"/>
      <c r="M16" s="1"/>
      <c r="N16" s="18"/>
    </row>
    <row r="17" spans="2:14" ht="15" customHeight="1" x14ac:dyDescent="0.25">
      <c r="B17" s="20"/>
      <c r="C17" s="5" t="s">
        <v>27</v>
      </c>
      <c r="D17" s="6" t="s">
        <v>28</v>
      </c>
      <c r="E17" s="11">
        <v>0.112415</v>
      </c>
      <c r="F17" s="1"/>
      <c r="G17" s="1"/>
      <c r="H17" s="1"/>
      <c r="I17" s="1"/>
      <c r="J17" s="24" t="s">
        <v>91</v>
      </c>
      <c r="K17" s="29">
        <v>2.715E-3</v>
      </c>
      <c r="L17" s="1"/>
      <c r="M17" s="1"/>
      <c r="N17" s="18"/>
    </row>
    <row r="18" spans="2:14" ht="15" customHeight="1" x14ac:dyDescent="0.25">
      <c r="B18" s="20"/>
      <c r="C18" s="5" t="s">
        <v>40</v>
      </c>
      <c r="D18" s="6" t="s">
        <v>28</v>
      </c>
      <c r="E18" s="11">
        <v>9.1437000000000004E-2</v>
      </c>
      <c r="F18" s="1"/>
      <c r="G18" s="1"/>
      <c r="H18" s="1"/>
      <c r="I18" s="1"/>
      <c r="J18" s="1"/>
      <c r="K18" s="1"/>
      <c r="L18" s="1"/>
      <c r="M18" s="1"/>
      <c r="N18" s="18"/>
    </row>
    <row r="19" spans="2:14" ht="15" customHeight="1" x14ac:dyDescent="0.25">
      <c r="B19" s="20"/>
      <c r="C19" s="5" t="s">
        <v>31</v>
      </c>
      <c r="D19" s="6" t="s">
        <v>28</v>
      </c>
      <c r="E19" s="11">
        <v>8.9909000000000003E-2</v>
      </c>
      <c r="F19" s="1"/>
      <c r="G19" s="1"/>
      <c r="H19" s="1"/>
      <c r="I19" s="1"/>
      <c r="J19" s="1"/>
      <c r="K19" s="1"/>
      <c r="L19" s="1"/>
      <c r="M19" s="1"/>
      <c r="N19" s="18"/>
    </row>
    <row r="20" spans="2:14" ht="15" customHeight="1" x14ac:dyDescent="0.25">
      <c r="B20" s="20"/>
      <c r="C20" s="5" t="s">
        <v>32</v>
      </c>
      <c r="D20" s="6" t="s">
        <v>28</v>
      </c>
      <c r="E20" s="11">
        <v>8.7388999999999994E-2</v>
      </c>
      <c r="F20" s="1"/>
      <c r="G20" s="1"/>
      <c r="H20" s="1"/>
      <c r="I20" s="1"/>
      <c r="J20" s="1"/>
      <c r="K20" s="1"/>
      <c r="L20" s="1"/>
      <c r="M20" s="1"/>
      <c r="N20" s="18"/>
    </row>
    <row r="21" spans="2:14" ht="15" customHeight="1" x14ac:dyDescent="0.25">
      <c r="B21" s="20"/>
      <c r="C21" s="5" t="s">
        <v>81</v>
      </c>
      <c r="D21" s="6" t="s">
        <v>28</v>
      </c>
      <c r="E21" s="11">
        <v>5.0541000000000003E-2</v>
      </c>
      <c r="F21" s="1"/>
      <c r="G21" s="1"/>
      <c r="H21" s="1"/>
      <c r="I21" s="1"/>
      <c r="J21" s="1"/>
      <c r="K21" s="1"/>
      <c r="L21" s="1"/>
      <c r="M21" s="1"/>
      <c r="N21" s="18"/>
    </row>
    <row r="22" spans="2:14" ht="15" customHeight="1" x14ac:dyDescent="0.25">
      <c r="B22" s="20"/>
      <c r="C22" s="5" t="s">
        <v>41</v>
      </c>
      <c r="D22" s="6" t="s">
        <v>28</v>
      </c>
      <c r="E22" s="11">
        <v>4.9834999999999997E-2</v>
      </c>
      <c r="F22" s="1"/>
      <c r="G22" s="1"/>
      <c r="H22" s="1"/>
      <c r="I22" s="1"/>
      <c r="J22" s="1"/>
      <c r="K22" s="1"/>
      <c r="L22" s="1"/>
      <c r="M22" s="1"/>
      <c r="N22" s="18"/>
    </row>
    <row r="23" spans="2:14" ht="15" customHeight="1" x14ac:dyDescent="0.25">
      <c r="B23" s="20"/>
      <c r="C23" s="5" t="s">
        <v>25</v>
      </c>
      <c r="D23" s="6" t="s">
        <v>28</v>
      </c>
      <c r="E23" s="11">
        <v>3.5955000000000001E-2</v>
      </c>
      <c r="F23" s="1"/>
      <c r="G23" s="1"/>
      <c r="H23" s="1"/>
      <c r="I23" s="1"/>
      <c r="J23" s="1"/>
      <c r="K23" s="1"/>
      <c r="L23" s="1"/>
      <c r="M23" s="1"/>
      <c r="N23" s="18"/>
    </row>
    <row r="24" spans="2:14" ht="15" customHeight="1" x14ac:dyDescent="0.25">
      <c r="B24" s="20"/>
      <c r="C24" s="5" t="s">
        <v>29</v>
      </c>
      <c r="D24" s="6" t="s">
        <v>28</v>
      </c>
      <c r="E24" s="11">
        <v>2.8891E-2</v>
      </c>
      <c r="F24" s="1"/>
      <c r="G24" s="51" t="s">
        <v>18</v>
      </c>
      <c r="H24" s="52"/>
      <c r="I24" s="52"/>
      <c r="J24" s="52"/>
      <c r="K24" s="52"/>
      <c r="L24" s="26">
        <v>0.53525625638090213</v>
      </c>
      <c r="M24" s="27"/>
      <c r="N24" s="28"/>
    </row>
    <row r="25" spans="2:14" ht="15" customHeight="1" x14ac:dyDescent="0.25">
      <c r="B25" s="20"/>
      <c r="C25" s="5" t="s">
        <v>38</v>
      </c>
      <c r="D25" s="6" t="s">
        <v>28</v>
      </c>
      <c r="E25" s="11">
        <v>2.1774000000000002E-2</v>
      </c>
      <c r="F25" s="1"/>
      <c r="G25" s="1"/>
      <c r="H25" s="1"/>
      <c r="I25" s="1"/>
      <c r="J25" s="1"/>
      <c r="K25" s="1"/>
      <c r="L25" s="1"/>
      <c r="M25" s="1"/>
      <c r="N25" s="18"/>
    </row>
    <row r="26" spans="2:14" ht="15" customHeight="1" x14ac:dyDescent="0.25">
      <c r="B26" s="20"/>
      <c r="C26" s="5" t="s">
        <v>36</v>
      </c>
      <c r="D26" s="6" t="s">
        <v>28</v>
      </c>
      <c r="E26" s="11">
        <v>2.1762E-2</v>
      </c>
      <c r="F26" s="1"/>
      <c r="G26" s="51" t="s">
        <v>19</v>
      </c>
      <c r="H26" s="52"/>
      <c r="I26" s="52"/>
      <c r="J26" s="52"/>
      <c r="K26" s="52"/>
      <c r="L26" s="52"/>
      <c r="M26" s="52"/>
      <c r="N26" s="53"/>
    </row>
    <row r="27" spans="2:14" ht="15" customHeight="1" x14ac:dyDescent="0.25">
      <c r="B27" s="20"/>
      <c r="C27" s="5" t="s">
        <v>82</v>
      </c>
      <c r="D27" s="6" t="s">
        <v>28</v>
      </c>
      <c r="E27" s="11">
        <v>2.1402999999999998E-2</v>
      </c>
      <c r="F27" s="1"/>
      <c r="G27" s="1"/>
      <c r="H27" s="1"/>
      <c r="I27" s="1"/>
      <c r="J27" s="1"/>
      <c r="K27" s="1"/>
      <c r="L27" s="1"/>
      <c r="M27" s="1"/>
      <c r="N27" s="18"/>
    </row>
    <row r="28" spans="2:14" ht="15" customHeight="1" x14ac:dyDescent="0.25">
      <c r="B28" s="20"/>
      <c r="C28" s="5" t="s">
        <v>33</v>
      </c>
      <c r="D28" s="6" t="s">
        <v>28</v>
      </c>
      <c r="E28" s="11">
        <v>1.9746E-2</v>
      </c>
      <c r="F28" s="1"/>
      <c r="G28" s="1"/>
      <c r="H28" s="1"/>
      <c r="I28" s="1"/>
      <c r="J28" s="1"/>
      <c r="K28" s="1"/>
      <c r="L28" s="1"/>
      <c r="M28" s="1"/>
      <c r="N28" s="18"/>
    </row>
    <row r="29" spans="2:14" ht="15" customHeight="1" x14ac:dyDescent="0.25">
      <c r="B29" s="20"/>
      <c r="C29" s="5" t="s">
        <v>83</v>
      </c>
      <c r="D29" s="6" t="s">
        <v>28</v>
      </c>
      <c r="E29" s="11">
        <v>1.7773000000000001E-2</v>
      </c>
      <c r="F29" s="1"/>
      <c r="G29" s="1"/>
      <c r="H29" s="1"/>
      <c r="I29" s="1"/>
      <c r="J29" s="1"/>
      <c r="K29" s="1"/>
      <c r="L29" s="1"/>
      <c r="M29" s="1"/>
      <c r="N29" s="18"/>
    </row>
    <row r="30" spans="2:14" ht="15" customHeight="1" x14ac:dyDescent="0.25">
      <c r="B30" s="20"/>
      <c r="C30" s="5" t="s">
        <v>42</v>
      </c>
      <c r="D30" s="6" t="s">
        <v>28</v>
      </c>
      <c r="E30" s="11">
        <v>1.7474E-2</v>
      </c>
      <c r="F30" s="1"/>
      <c r="G30" s="1"/>
      <c r="H30" s="1"/>
      <c r="I30" s="1"/>
      <c r="J30" s="1"/>
      <c r="K30" s="1"/>
      <c r="L30" s="1"/>
      <c r="M30" s="1"/>
      <c r="N30" s="18"/>
    </row>
    <row r="31" spans="2:14" ht="15" customHeight="1" x14ac:dyDescent="0.25">
      <c r="B31" s="20"/>
      <c r="C31" s="5" t="s">
        <v>34</v>
      </c>
      <c r="D31" s="6" t="s">
        <v>28</v>
      </c>
      <c r="E31" s="11">
        <v>1.6785999999999999E-2</v>
      </c>
      <c r="F31" s="1"/>
      <c r="G31" s="1"/>
      <c r="H31" s="1"/>
      <c r="I31" s="1"/>
      <c r="J31" s="1"/>
      <c r="K31" s="1"/>
      <c r="L31" s="1"/>
      <c r="M31" s="1"/>
      <c r="N31" s="18"/>
    </row>
    <row r="32" spans="2:14" ht="15" customHeight="1" x14ac:dyDescent="0.25">
      <c r="B32" s="20"/>
      <c r="C32" s="5" t="s">
        <v>35</v>
      </c>
      <c r="D32" s="6" t="s">
        <v>28</v>
      </c>
      <c r="E32" s="11">
        <v>1.4703000000000001E-2</v>
      </c>
      <c r="F32" s="1"/>
      <c r="G32" s="1"/>
      <c r="H32" s="1"/>
      <c r="I32" s="1"/>
      <c r="J32" s="1"/>
      <c r="K32" s="1"/>
      <c r="L32" s="1"/>
      <c r="M32" s="1"/>
      <c r="N32" s="18"/>
    </row>
    <row r="33" spans="2:14" ht="15" customHeight="1" x14ac:dyDescent="0.25">
      <c r="B33" s="20"/>
      <c r="C33" s="5" t="s">
        <v>30</v>
      </c>
      <c r="D33" s="6" t="s">
        <v>28</v>
      </c>
      <c r="E33" s="11">
        <v>1.3091E-2</v>
      </c>
      <c r="F33" s="1"/>
      <c r="G33" s="1"/>
      <c r="H33" s="1"/>
      <c r="I33" s="1"/>
      <c r="J33" s="1"/>
      <c r="K33" s="1"/>
      <c r="L33" s="1"/>
      <c r="M33" s="1"/>
      <c r="N33" s="18"/>
    </row>
    <row r="34" spans="2:14" ht="15" customHeight="1" x14ac:dyDescent="0.25">
      <c r="B34" s="20"/>
      <c r="C34" s="5" t="s">
        <v>84</v>
      </c>
      <c r="D34" s="6" t="s">
        <v>28</v>
      </c>
      <c r="E34" s="11">
        <v>1.1761000000000001E-2</v>
      </c>
      <c r="F34" s="1"/>
      <c r="G34" s="1"/>
      <c r="H34" s="1"/>
      <c r="I34" s="1"/>
      <c r="J34" s="1"/>
      <c r="K34" s="1"/>
      <c r="L34" s="1"/>
      <c r="M34" s="1"/>
      <c r="N34" s="18"/>
    </row>
    <row r="35" spans="2:14" ht="15" customHeight="1" x14ac:dyDescent="0.25">
      <c r="B35" s="20"/>
      <c r="C35" s="5" t="s">
        <v>43</v>
      </c>
      <c r="D35" s="6" t="s">
        <v>28</v>
      </c>
      <c r="E35" s="11">
        <v>6.9950000000000003E-3</v>
      </c>
      <c r="F35" s="1"/>
      <c r="G35" s="1"/>
      <c r="H35" s="1"/>
      <c r="I35" s="1"/>
      <c r="J35" s="1"/>
      <c r="K35" s="1"/>
      <c r="L35" s="1"/>
      <c r="M35" s="1"/>
      <c r="N35" s="18"/>
    </row>
    <row r="36" spans="2:14" ht="15" customHeight="1" x14ac:dyDescent="0.25">
      <c r="B36" s="20"/>
      <c r="C36" s="5" t="s">
        <v>85</v>
      </c>
      <c r="D36" s="6" t="s">
        <v>28</v>
      </c>
      <c r="E36" s="11">
        <v>5.2449999999999997E-3</v>
      </c>
      <c r="F36" s="1"/>
      <c r="G36" s="1"/>
      <c r="H36" s="1"/>
      <c r="I36" s="1"/>
      <c r="J36" s="1"/>
      <c r="K36" s="1"/>
      <c r="L36" s="1"/>
      <c r="M36" s="1"/>
      <c r="N36" s="18"/>
    </row>
    <row r="37" spans="2:14" ht="15" customHeight="1" x14ac:dyDescent="0.25">
      <c r="B37" s="20"/>
      <c r="C37" s="5" t="s">
        <v>72</v>
      </c>
      <c r="D37" s="6" t="s">
        <v>28</v>
      </c>
      <c r="E37" s="11">
        <v>1.72E-3</v>
      </c>
      <c r="F37" s="1"/>
      <c r="G37" s="1"/>
      <c r="H37" s="1"/>
      <c r="I37" s="1"/>
      <c r="J37" s="1"/>
      <c r="K37" s="1"/>
      <c r="L37" s="1"/>
      <c r="M37" s="1"/>
      <c r="N37" s="18"/>
    </row>
    <row r="38" spans="2:14" ht="15" customHeight="1" x14ac:dyDescent="0.25">
      <c r="B38" s="20"/>
      <c r="C38" s="5" t="s">
        <v>86</v>
      </c>
      <c r="D38" s="6" t="s">
        <v>28</v>
      </c>
      <c r="E38" s="11">
        <v>1.067E-3</v>
      </c>
      <c r="F38" s="1"/>
      <c r="G38" s="1"/>
      <c r="H38" s="1"/>
      <c r="I38" s="1"/>
      <c r="J38" s="1"/>
      <c r="K38" s="1"/>
      <c r="L38" s="1"/>
      <c r="M38" s="1"/>
      <c r="N38" s="18"/>
    </row>
    <row r="39" spans="2:14" ht="15.75" customHeight="1" x14ac:dyDescent="0.25">
      <c r="B39" s="20"/>
      <c r="C39" s="7" t="s">
        <v>45</v>
      </c>
      <c r="D39" s="8"/>
      <c r="E39" s="12">
        <v>0.73767199999999999</v>
      </c>
      <c r="F39" s="1"/>
      <c r="G39" s="1"/>
      <c r="H39" s="1"/>
      <c r="I39" s="1"/>
      <c r="J39" s="1"/>
      <c r="K39" s="1"/>
      <c r="L39" s="1"/>
      <c r="M39" s="1"/>
      <c r="N39" s="18"/>
    </row>
    <row r="40" spans="2:14" ht="15" customHeight="1" x14ac:dyDescent="0.25">
      <c r="B40" s="20"/>
      <c r="C40" s="5" t="s">
        <v>87</v>
      </c>
      <c r="D40" s="6" t="s">
        <v>47</v>
      </c>
      <c r="E40" s="11">
        <v>3.5E-4</v>
      </c>
      <c r="F40" s="1"/>
      <c r="G40" s="1"/>
      <c r="H40" s="1"/>
      <c r="I40" s="1"/>
      <c r="J40" s="1"/>
      <c r="K40" s="1"/>
      <c r="L40" s="1"/>
      <c r="M40" s="1"/>
      <c r="N40" s="18"/>
    </row>
    <row r="41" spans="2:14" ht="15.75" customHeight="1" x14ac:dyDescent="0.25">
      <c r="B41" s="20"/>
      <c r="C41" s="7" t="s">
        <v>51</v>
      </c>
      <c r="D41" s="8"/>
      <c r="E41" s="12">
        <v>3.5E-4</v>
      </c>
      <c r="F41" s="1"/>
      <c r="G41" s="1"/>
      <c r="H41" s="1"/>
      <c r="I41" s="1"/>
      <c r="J41" s="1"/>
      <c r="K41" s="1"/>
      <c r="L41" s="1"/>
      <c r="M41" s="1"/>
      <c r="N41" s="18"/>
    </row>
    <row r="42" spans="2:14" ht="15" customHeight="1" x14ac:dyDescent="0.25">
      <c r="B42" s="20"/>
      <c r="C42" s="5" t="s">
        <v>237</v>
      </c>
      <c r="D42" s="6" t="s">
        <v>47</v>
      </c>
      <c r="E42" s="11">
        <v>4.8780000000000004E-3</v>
      </c>
      <c r="F42" s="1"/>
      <c r="G42" s="1"/>
      <c r="H42" s="1"/>
      <c r="I42" s="1"/>
      <c r="J42" s="1"/>
      <c r="K42" s="1"/>
      <c r="L42" s="1"/>
      <c r="M42" s="1"/>
      <c r="N42" s="18"/>
    </row>
    <row r="43" spans="2:14" ht="15.75" customHeight="1" x14ac:dyDescent="0.25">
      <c r="B43" s="20"/>
      <c r="C43" s="5" t="s">
        <v>231</v>
      </c>
      <c r="D43" s="6" t="s">
        <v>47</v>
      </c>
      <c r="E43" s="11">
        <v>4.2469999999999999E-3</v>
      </c>
      <c r="F43" s="1"/>
      <c r="G43" s="1"/>
      <c r="H43" s="1"/>
      <c r="I43" s="1"/>
      <c r="J43" s="1"/>
      <c r="K43" s="1"/>
      <c r="L43" s="1"/>
      <c r="M43" s="1"/>
      <c r="N43" s="18"/>
    </row>
    <row r="44" spans="2:14" ht="15" customHeight="1" x14ac:dyDescent="0.25">
      <c r="B44" s="20"/>
      <c r="C44" s="5" t="s">
        <v>235</v>
      </c>
      <c r="D44" s="6" t="s">
        <v>47</v>
      </c>
      <c r="E44" s="11">
        <v>3.5349999999999999E-3</v>
      </c>
      <c r="F44" s="1"/>
      <c r="G44" s="1"/>
      <c r="H44" s="1"/>
      <c r="I44" s="1"/>
      <c r="J44" s="1"/>
      <c r="K44" s="1"/>
      <c r="L44" s="1"/>
      <c r="M44" s="1"/>
      <c r="N44" s="18"/>
    </row>
    <row r="45" spans="2:14" ht="15" customHeight="1" x14ac:dyDescent="0.25">
      <c r="B45" s="20"/>
      <c r="C45" s="5" t="s">
        <v>238</v>
      </c>
      <c r="D45" s="6" t="s">
        <v>47</v>
      </c>
      <c r="E45" s="11">
        <v>2.9520000000000002E-3</v>
      </c>
      <c r="F45" s="1"/>
      <c r="G45" s="1"/>
      <c r="H45" s="1"/>
      <c r="I45" s="1"/>
      <c r="J45" s="1"/>
      <c r="K45" s="1"/>
      <c r="L45" s="1"/>
      <c r="M45" s="1"/>
      <c r="N45" s="18"/>
    </row>
    <row r="46" spans="2:14" ht="15" customHeight="1" x14ac:dyDescent="0.25">
      <c r="B46" s="20"/>
      <c r="C46" s="5" t="s">
        <v>230</v>
      </c>
      <c r="D46" s="6" t="s">
        <v>47</v>
      </c>
      <c r="E46" s="11">
        <v>2.4750000000000002E-3</v>
      </c>
      <c r="F46" s="1"/>
      <c r="G46" s="1"/>
      <c r="H46" s="1"/>
      <c r="I46" s="1"/>
      <c r="J46" s="1"/>
      <c r="K46" s="1"/>
      <c r="L46" s="1"/>
      <c r="M46" s="1"/>
      <c r="N46" s="18"/>
    </row>
    <row r="47" spans="2:14" ht="15.75" customHeight="1" x14ac:dyDescent="0.25">
      <c r="B47" s="20"/>
      <c r="C47" s="5" t="s">
        <v>224</v>
      </c>
      <c r="D47" s="6" t="s">
        <v>47</v>
      </c>
      <c r="E47" s="11">
        <v>2.4689999999999998E-3</v>
      </c>
      <c r="F47" s="1"/>
      <c r="G47" s="1"/>
      <c r="H47" s="1"/>
      <c r="I47" s="1"/>
      <c r="J47" s="1"/>
      <c r="K47" s="1"/>
      <c r="L47" s="1"/>
      <c r="M47" s="1"/>
      <c r="N47" s="18"/>
    </row>
    <row r="48" spans="2:14" ht="15" customHeight="1" x14ac:dyDescent="0.25">
      <c r="B48" s="20"/>
      <c r="C48" s="5" t="s">
        <v>225</v>
      </c>
      <c r="D48" s="6" t="s">
        <v>47</v>
      </c>
      <c r="E48" s="11">
        <v>2.117E-3</v>
      </c>
      <c r="F48" s="1"/>
      <c r="G48" s="1"/>
      <c r="H48" s="1"/>
      <c r="I48" s="1"/>
      <c r="J48" s="1"/>
      <c r="K48" s="1"/>
      <c r="L48" s="1"/>
      <c r="M48" s="1"/>
      <c r="N48" s="18"/>
    </row>
    <row r="49" spans="2:14" ht="15.75" customHeight="1" x14ac:dyDescent="0.25">
      <c r="B49" s="20"/>
      <c r="C49" s="5" t="s">
        <v>226</v>
      </c>
      <c r="D49" s="6" t="s">
        <v>47</v>
      </c>
      <c r="E49" s="11">
        <v>1.7669999999999999E-3</v>
      </c>
      <c r="F49" s="1"/>
      <c r="G49" s="1"/>
      <c r="H49" s="1"/>
      <c r="I49" s="1"/>
      <c r="J49" s="1"/>
      <c r="K49" s="1"/>
      <c r="L49" s="1"/>
      <c r="M49" s="1"/>
      <c r="N49" s="18"/>
    </row>
    <row r="50" spans="2:14" ht="15" customHeight="1" x14ac:dyDescent="0.25">
      <c r="B50" s="20"/>
      <c r="C50" s="5" t="s">
        <v>234</v>
      </c>
      <c r="D50" s="6" t="s">
        <v>47</v>
      </c>
      <c r="E50" s="11">
        <v>1.4139999999999999E-3</v>
      </c>
      <c r="F50" s="1"/>
      <c r="G50" s="1"/>
      <c r="H50" s="1"/>
      <c r="I50" s="1"/>
      <c r="J50" s="1"/>
      <c r="K50" s="1"/>
      <c r="L50" s="1"/>
      <c r="M50" s="1"/>
      <c r="N50" s="18"/>
    </row>
    <row r="51" spans="2:14" ht="15.75" customHeight="1" x14ac:dyDescent="0.25">
      <c r="B51" s="20"/>
      <c r="C51" s="5" t="s">
        <v>236</v>
      </c>
      <c r="D51" s="6" t="s">
        <v>47</v>
      </c>
      <c r="E51" s="11">
        <v>1.4139999999999999E-3</v>
      </c>
      <c r="F51" s="1"/>
      <c r="G51" s="1"/>
      <c r="H51" s="1"/>
      <c r="I51" s="1"/>
      <c r="J51" s="1"/>
      <c r="K51" s="1"/>
      <c r="L51" s="1"/>
      <c r="M51" s="1"/>
      <c r="N51" s="18"/>
    </row>
    <row r="52" spans="2:14" ht="15.75" customHeight="1" x14ac:dyDescent="0.25">
      <c r="B52" s="20"/>
      <c r="C52" s="5" t="s">
        <v>223</v>
      </c>
      <c r="D52" s="6" t="s">
        <v>47</v>
      </c>
      <c r="E52" s="11">
        <v>1.4090000000000001E-3</v>
      </c>
      <c r="F52" s="1"/>
      <c r="G52" s="1"/>
      <c r="H52" s="1"/>
      <c r="I52" s="1"/>
      <c r="J52" s="1"/>
      <c r="K52" s="1"/>
      <c r="L52" s="1"/>
      <c r="M52" s="1"/>
      <c r="N52" s="18"/>
    </row>
    <row r="53" spans="2:14" ht="15.75" customHeight="1" x14ac:dyDescent="0.25">
      <c r="B53" s="20"/>
      <c r="C53" s="5" t="s">
        <v>229</v>
      </c>
      <c r="D53" s="6" t="s">
        <v>47</v>
      </c>
      <c r="E53" s="11">
        <v>1.0610000000000001E-3</v>
      </c>
      <c r="F53" s="1"/>
      <c r="G53" s="1"/>
      <c r="H53" s="1"/>
      <c r="I53" s="1"/>
      <c r="J53" s="1"/>
      <c r="K53" s="1"/>
      <c r="L53" s="1"/>
      <c r="M53" s="1"/>
      <c r="N53" s="18"/>
    </row>
    <row r="54" spans="2:14" ht="15.75" customHeight="1" x14ac:dyDescent="0.25">
      <c r="B54" s="20"/>
      <c r="C54" s="5" t="s">
        <v>222</v>
      </c>
      <c r="D54" s="6" t="s">
        <v>47</v>
      </c>
      <c r="E54" s="11">
        <v>1.0480000000000001E-3</v>
      </c>
      <c r="F54" s="1"/>
      <c r="G54" s="1"/>
      <c r="H54" s="1"/>
      <c r="I54" s="1"/>
      <c r="J54" s="1"/>
      <c r="K54" s="1"/>
      <c r="L54" s="1"/>
      <c r="M54" s="1"/>
      <c r="N54" s="18"/>
    </row>
    <row r="55" spans="2:14" ht="15.75" customHeight="1" x14ac:dyDescent="0.25">
      <c r="B55" s="20"/>
      <c r="C55" s="5" t="s">
        <v>233</v>
      </c>
      <c r="D55" s="6" t="s">
        <v>47</v>
      </c>
      <c r="E55" s="11">
        <v>7.0799999999999997E-4</v>
      </c>
      <c r="F55" s="1"/>
      <c r="G55" s="1"/>
      <c r="H55" s="1"/>
      <c r="I55" s="1"/>
      <c r="J55" s="1"/>
      <c r="K55" s="1"/>
      <c r="L55" s="1"/>
      <c r="M55" s="1"/>
      <c r="N55" s="18"/>
    </row>
    <row r="56" spans="2:14" ht="15.75" customHeight="1" x14ac:dyDescent="0.25">
      <c r="B56" s="20"/>
      <c r="C56" s="5" t="s">
        <v>227</v>
      </c>
      <c r="D56" s="6" t="s">
        <v>47</v>
      </c>
      <c r="E56" s="11">
        <v>7.0699999999999995E-4</v>
      </c>
      <c r="F56" s="1"/>
      <c r="G56" s="1"/>
      <c r="H56" s="1"/>
      <c r="I56" s="1"/>
      <c r="J56" s="1"/>
      <c r="K56" s="1"/>
      <c r="L56" s="1"/>
      <c r="M56" s="1"/>
      <c r="N56" s="18"/>
    </row>
    <row r="57" spans="2:14" ht="15.75" customHeight="1" x14ac:dyDescent="0.25">
      <c r="B57" s="20"/>
      <c r="C57" s="5" t="s">
        <v>228</v>
      </c>
      <c r="D57" s="6" t="s">
        <v>47</v>
      </c>
      <c r="E57" s="11">
        <v>7.0699999999999995E-4</v>
      </c>
      <c r="F57" s="1"/>
      <c r="G57" s="1"/>
      <c r="H57" s="1"/>
      <c r="I57" s="1"/>
      <c r="J57" s="1"/>
      <c r="K57" s="1"/>
      <c r="L57" s="1"/>
      <c r="M57" s="1"/>
      <c r="N57" s="18"/>
    </row>
    <row r="58" spans="2:14" ht="15.75" customHeight="1" x14ac:dyDescent="0.25">
      <c r="B58" s="20"/>
      <c r="C58" s="5" t="s">
        <v>232</v>
      </c>
      <c r="D58" s="6" t="s">
        <v>47</v>
      </c>
      <c r="E58" s="11">
        <v>7.0299999999999996E-4</v>
      </c>
      <c r="F58" s="1"/>
      <c r="G58" s="1"/>
      <c r="H58" s="1"/>
      <c r="I58" s="1"/>
      <c r="J58" s="1"/>
      <c r="K58" s="1"/>
      <c r="L58" s="1"/>
      <c r="M58" s="1"/>
      <c r="N58" s="18"/>
    </row>
    <row r="59" spans="2:14" ht="15.75" customHeight="1" x14ac:dyDescent="0.25">
      <c r="B59" s="20"/>
      <c r="C59" s="5" t="s">
        <v>239</v>
      </c>
      <c r="D59" s="6" t="s">
        <v>47</v>
      </c>
      <c r="E59" s="11">
        <v>1.7000000000000001E-4</v>
      </c>
      <c r="F59" s="1"/>
      <c r="G59" s="1"/>
      <c r="H59" s="1"/>
      <c r="I59" s="1"/>
      <c r="J59" s="1"/>
      <c r="K59" s="1"/>
      <c r="L59" s="1"/>
      <c r="M59" s="1"/>
      <c r="N59" s="18"/>
    </row>
    <row r="60" spans="2:14" ht="15" customHeight="1" x14ac:dyDescent="0.25">
      <c r="B60" s="20"/>
      <c r="C60" s="7" t="s">
        <v>52</v>
      </c>
      <c r="D60" s="8"/>
      <c r="E60" s="12">
        <v>3.3780999999999999E-2</v>
      </c>
      <c r="F60" s="1"/>
      <c r="G60" s="1"/>
      <c r="H60" s="1"/>
      <c r="I60" s="1"/>
      <c r="J60" s="1"/>
      <c r="K60" s="1"/>
      <c r="L60" s="1"/>
      <c r="M60" s="1"/>
      <c r="N60" s="18"/>
    </row>
    <row r="61" spans="2:14" ht="15" customHeight="1" x14ac:dyDescent="0.25">
      <c r="B61" s="20"/>
      <c r="C61" s="5" t="s">
        <v>88</v>
      </c>
      <c r="D61" s="6" t="s">
        <v>47</v>
      </c>
      <c r="E61" s="11">
        <v>5.8906E-2</v>
      </c>
      <c r="F61" s="1"/>
      <c r="G61" s="1"/>
      <c r="H61" s="1"/>
      <c r="I61" s="1"/>
      <c r="J61" s="1"/>
      <c r="K61" s="1"/>
      <c r="L61" s="1"/>
      <c r="M61" s="1"/>
      <c r="N61" s="18"/>
    </row>
    <row r="62" spans="2:14" ht="15" customHeight="1" x14ac:dyDescent="0.25">
      <c r="B62" s="20"/>
      <c r="C62" s="5" t="s">
        <v>89</v>
      </c>
      <c r="D62" s="6" t="s">
        <v>47</v>
      </c>
      <c r="E62" s="11">
        <v>1.3445E-2</v>
      </c>
      <c r="F62" s="1"/>
      <c r="G62" s="1"/>
      <c r="H62" s="1"/>
      <c r="I62" s="1"/>
      <c r="J62" s="1"/>
      <c r="K62" s="1"/>
      <c r="L62" s="1"/>
      <c r="M62" s="1"/>
      <c r="N62" s="18"/>
    </row>
    <row r="63" spans="2:14" ht="15" customHeight="1" x14ac:dyDescent="0.25">
      <c r="B63" s="20"/>
      <c r="C63" s="5" t="s">
        <v>75</v>
      </c>
      <c r="D63" s="6" t="s">
        <v>47</v>
      </c>
      <c r="E63" s="11">
        <v>5.0559999999999997E-3</v>
      </c>
      <c r="F63" s="1"/>
      <c r="G63" s="1"/>
      <c r="H63" s="1"/>
      <c r="I63" s="1"/>
      <c r="J63" s="1"/>
      <c r="K63" s="1"/>
      <c r="L63" s="1"/>
      <c r="M63" s="1"/>
      <c r="N63" s="18"/>
    </row>
    <row r="64" spans="2:14" ht="15" customHeight="1" x14ac:dyDescent="0.25">
      <c r="B64" s="20"/>
      <c r="C64" s="7" t="s">
        <v>76</v>
      </c>
      <c r="D64" s="8"/>
      <c r="E64" s="12">
        <v>7.7407000000000004E-2</v>
      </c>
      <c r="F64" s="1"/>
      <c r="G64" s="1"/>
      <c r="H64" s="1"/>
      <c r="I64" s="1"/>
      <c r="J64" s="1"/>
      <c r="K64" s="1"/>
      <c r="L64" s="1"/>
      <c r="M64" s="1"/>
      <c r="N64" s="18"/>
    </row>
    <row r="65" spans="2:14" ht="15" customHeight="1" x14ac:dyDescent="0.25">
      <c r="B65" s="20"/>
      <c r="C65" s="5" t="s">
        <v>9</v>
      </c>
      <c r="D65" s="6"/>
      <c r="E65" s="11">
        <v>1.8010000000000001E-3</v>
      </c>
      <c r="F65" s="1"/>
      <c r="G65" s="1"/>
      <c r="H65" s="1"/>
      <c r="I65" s="1"/>
      <c r="J65" s="1"/>
      <c r="K65" s="1"/>
      <c r="L65" s="1"/>
      <c r="M65" s="1"/>
      <c r="N65" s="18"/>
    </row>
    <row r="66" spans="2:14" ht="15" customHeight="1" x14ac:dyDescent="0.25">
      <c r="B66" s="20"/>
      <c r="C66" s="7" t="s">
        <v>10</v>
      </c>
      <c r="D66" s="8"/>
      <c r="E66" s="12">
        <v>1.8010000000000001E-3</v>
      </c>
      <c r="F66" s="1"/>
      <c r="G66" s="1"/>
      <c r="H66" s="1"/>
      <c r="I66" s="1"/>
      <c r="J66" s="1"/>
      <c r="K66" s="1"/>
      <c r="L66" s="1"/>
      <c r="M66" s="1"/>
      <c r="N66" s="18"/>
    </row>
    <row r="67" spans="2:14" ht="15" customHeight="1" x14ac:dyDescent="0.25">
      <c r="B67" s="20"/>
      <c r="C67" s="5" t="s">
        <v>72</v>
      </c>
      <c r="D67" s="6" t="s">
        <v>28</v>
      </c>
      <c r="E67" s="11">
        <v>2.715E-3</v>
      </c>
      <c r="F67" s="1"/>
      <c r="G67" s="1"/>
      <c r="H67" s="1"/>
      <c r="I67" s="1"/>
      <c r="J67" s="1"/>
      <c r="K67" s="1"/>
      <c r="L67" s="1"/>
      <c r="M67" s="1"/>
      <c r="N67" s="18"/>
    </row>
    <row r="68" spans="2:14" ht="15" customHeight="1" x14ac:dyDescent="0.25">
      <c r="B68" s="20"/>
      <c r="C68" s="7" t="s">
        <v>90</v>
      </c>
      <c r="D68" s="8"/>
      <c r="E68" s="12">
        <v>2.715E-3</v>
      </c>
      <c r="F68" s="1"/>
      <c r="G68" s="1"/>
      <c r="H68" s="1"/>
      <c r="I68" s="1"/>
      <c r="J68" s="1"/>
      <c r="K68" s="1"/>
      <c r="L68" s="1"/>
      <c r="M68" s="1"/>
      <c r="N68" s="18"/>
    </row>
    <row r="69" spans="2:14" ht="15" customHeight="1" x14ac:dyDescent="0.25">
      <c r="B69" s="20"/>
      <c r="C69" s="5"/>
      <c r="D69" s="6"/>
      <c r="E69" s="11"/>
      <c r="F69" s="1"/>
      <c r="G69" s="1"/>
      <c r="H69" s="1"/>
      <c r="I69" s="1"/>
      <c r="J69" s="1"/>
      <c r="K69" s="1"/>
      <c r="L69" s="1"/>
      <c r="M69" s="1"/>
      <c r="N69" s="18"/>
    </row>
    <row r="70" spans="2:14" ht="15" customHeight="1" x14ac:dyDescent="0.25">
      <c r="B70" s="20"/>
      <c r="C70" s="7" t="s">
        <v>11</v>
      </c>
      <c r="D70" s="8"/>
      <c r="E70" s="12">
        <v>2.5010000000000001E-2</v>
      </c>
      <c r="F70" s="1"/>
      <c r="G70" s="1"/>
      <c r="H70" s="1"/>
      <c r="I70" s="1"/>
      <c r="J70" s="1"/>
      <c r="K70" s="1"/>
      <c r="L70" s="1"/>
      <c r="M70" s="1"/>
      <c r="N70" s="18"/>
    </row>
    <row r="71" spans="2:14" ht="15" customHeight="1" x14ac:dyDescent="0.25">
      <c r="B71" s="20"/>
      <c r="C71" s="5"/>
      <c r="D71" s="6"/>
      <c r="E71" s="11"/>
      <c r="F71" s="1"/>
      <c r="G71" s="1"/>
      <c r="H71" s="1"/>
      <c r="I71" s="1"/>
      <c r="J71" s="1"/>
      <c r="K71" s="1"/>
      <c r="L71" s="1"/>
      <c r="M71" s="1"/>
      <c r="N71" s="18"/>
    </row>
    <row r="72" spans="2:14" ht="15" customHeight="1" x14ac:dyDescent="0.25">
      <c r="B72" s="20"/>
      <c r="C72" s="9" t="s">
        <v>12</v>
      </c>
      <c r="D72" s="10"/>
      <c r="E72" s="13">
        <v>1</v>
      </c>
      <c r="F72" s="1"/>
      <c r="G72" s="1"/>
      <c r="H72" s="1"/>
      <c r="I72" s="1"/>
      <c r="J72" s="1"/>
      <c r="K72" s="1"/>
      <c r="L72" s="1"/>
      <c r="M72" s="1"/>
      <c r="N72" s="18"/>
    </row>
    <row r="73" spans="2:14" ht="15" customHeight="1" x14ac:dyDescent="0.25">
      <c r="B73" s="20"/>
      <c r="C73" s="1"/>
      <c r="D73" s="1"/>
      <c r="E73" s="1"/>
      <c r="F73" s="1"/>
      <c r="G73" s="1"/>
      <c r="H73" s="1"/>
      <c r="I73" s="1"/>
      <c r="J73" s="1"/>
      <c r="K73" s="1"/>
      <c r="L73" s="1"/>
      <c r="M73" s="1"/>
      <c r="N73" s="18"/>
    </row>
    <row r="74" spans="2:14" ht="15" customHeight="1" thickBot="1" x14ac:dyDescent="0.3">
      <c r="B74" s="21"/>
      <c r="C74" s="22"/>
      <c r="D74" s="22"/>
      <c r="E74" s="22"/>
      <c r="F74" s="22"/>
      <c r="G74" s="22"/>
      <c r="H74" s="22"/>
      <c r="I74" s="22"/>
      <c r="J74" s="22"/>
      <c r="K74" s="22"/>
      <c r="L74" s="22"/>
      <c r="M74" s="22"/>
      <c r="N74" s="23"/>
    </row>
    <row r="75" spans="2:14" ht="15" customHeight="1" thickBot="1" x14ac:dyDescent="0.3"/>
    <row r="76" spans="2:14" ht="127.5" customHeight="1" thickBot="1" x14ac:dyDescent="0.3">
      <c r="B76" s="43" t="s">
        <v>295</v>
      </c>
      <c r="C76" s="44"/>
      <c r="D76" s="44"/>
      <c r="E76" s="44"/>
      <c r="F76" s="44"/>
      <c r="G76" s="44"/>
      <c r="H76" s="44"/>
      <c r="I76" s="44"/>
      <c r="J76" s="44"/>
      <c r="K76" s="44"/>
      <c r="L76" s="44"/>
      <c r="M76" s="44"/>
      <c r="N76" s="45"/>
    </row>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sheetData>
  <sortState ref="C42:E59">
    <sortCondition descending="1" ref="E42"/>
  </sortState>
  <mergeCells count="6">
    <mergeCell ref="B76:N76"/>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24944-2F4B-4C6A-8408-AFDD3517AAE5}">
  <dimension ref="B1:N5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129</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130</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27</v>
      </c>
      <c r="D8" s="6" t="s">
        <v>23</v>
      </c>
      <c r="E8" s="11">
        <v>0.117365</v>
      </c>
      <c r="F8" s="1"/>
      <c r="G8" s="24" t="s">
        <v>16</v>
      </c>
      <c r="H8" s="29">
        <v>0.902092</v>
      </c>
      <c r="I8" s="1"/>
      <c r="J8" s="24" t="s">
        <v>13</v>
      </c>
      <c r="K8" s="24" t="s">
        <v>5</v>
      </c>
      <c r="L8" s="1"/>
      <c r="M8" s="1"/>
      <c r="N8" s="18"/>
    </row>
    <row r="9" spans="2:14" ht="15" customHeight="1" x14ac:dyDescent="0.25">
      <c r="B9" s="20"/>
      <c r="C9" s="5" t="s">
        <v>25</v>
      </c>
      <c r="D9" s="6" t="s">
        <v>23</v>
      </c>
      <c r="E9" s="11">
        <v>0.116123</v>
      </c>
      <c r="F9" s="1"/>
      <c r="G9" s="24" t="s">
        <v>105</v>
      </c>
      <c r="H9" s="29">
        <v>9.7907999999999995E-2</v>
      </c>
      <c r="I9" s="1"/>
      <c r="J9" s="24" t="s">
        <v>11</v>
      </c>
      <c r="K9" s="29">
        <v>1.7358999999999999E-2</v>
      </c>
      <c r="L9" s="1"/>
      <c r="M9" s="1"/>
      <c r="N9" s="18"/>
    </row>
    <row r="10" spans="2:14" ht="15.75" customHeight="1" x14ac:dyDescent="0.25">
      <c r="B10" s="20"/>
      <c r="C10" s="7" t="s">
        <v>26</v>
      </c>
      <c r="D10" s="8"/>
      <c r="E10" s="12">
        <v>0.233488</v>
      </c>
      <c r="F10" s="1"/>
      <c r="G10" s="1"/>
      <c r="H10" s="1"/>
      <c r="I10" s="1"/>
      <c r="J10" s="24" t="s">
        <v>14</v>
      </c>
      <c r="K10" s="29">
        <v>9.6319999999999999E-3</v>
      </c>
      <c r="L10" s="1"/>
      <c r="M10" s="1"/>
      <c r="N10" s="18"/>
    </row>
    <row r="11" spans="2:14" ht="15" customHeight="1" x14ac:dyDescent="0.25">
      <c r="B11" s="20"/>
      <c r="C11" s="5" t="s">
        <v>31</v>
      </c>
      <c r="D11" s="6" t="s">
        <v>23</v>
      </c>
      <c r="E11" s="11">
        <v>0.143123</v>
      </c>
      <c r="F11" s="1"/>
      <c r="G11" s="1"/>
      <c r="H11" s="1"/>
      <c r="I11" s="1"/>
      <c r="J11" s="24" t="s">
        <v>53</v>
      </c>
      <c r="K11" s="29">
        <v>0.233488</v>
      </c>
      <c r="L11" s="1"/>
      <c r="M11" s="1"/>
      <c r="N11" s="18"/>
    </row>
    <row r="12" spans="2:14" ht="15" customHeight="1" x14ac:dyDescent="0.25">
      <c r="B12" s="20"/>
      <c r="C12" s="5" t="s">
        <v>30</v>
      </c>
      <c r="D12" s="6" t="s">
        <v>23</v>
      </c>
      <c r="E12" s="11">
        <v>9.4098000000000001E-2</v>
      </c>
      <c r="F12" s="1"/>
      <c r="G12" s="1"/>
      <c r="H12" s="1"/>
      <c r="I12" s="1"/>
      <c r="J12" s="24" t="s">
        <v>54</v>
      </c>
      <c r="K12" s="29">
        <v>0.35856900000000003</v>
      </c>
      <c r="L12" s="1"/>
      <c r="M12" s="1"/>
      <c r="N12" s="18"/>
    </row>
    <row r="13" spans="2:14" ht="15.75" customHeight="1" x14ac:dyDescent="0.25">
      <c r="B13" s="20"/>
      <c r="C13" s="7" t="s">
        <v>73</v>
      </c>
      <c r="D13" s="8"/>
      <c r="E13" s="12">
        <v>0.23722099999999999</v>
      </c>
      <c r="F13" s="1"/>
      <c r="G13" s="1"/>
      <c r="H13" s="1"/>
      <c r="I13" s="1"/>
      <c r="J13" s="24" t="s">
        <v>77</v>
      </c>
      <c r="K13" s="29">
        <v>0.23722099999999999</v>
      </c>
      <c r="L13" s="1"/>
      <c r="M13" s="1"/>
      <c r="N13" s="18"/>
    </row>
    <row r="14" spans="2:14" ht="15" customHeight="1" x14ac:dyDescent="0.25">
      <c r="B14" s="20"/>
      <c r="C14" s="5" t="s">
        <v>131</v>
      </c>
      <c r="D14" s="6" t="s">
        <v>103</v>
      </c>
      <c r="E14" s="11">
        <v>9.7907999999999995E-2</v>
      </c>
      <c r="F14" s="1"/>
      <c r="G14" s="1"/>
      <c r="H14" s="1"/>
      <c r="I14" s="1"/>
      <c r="J14" s="24" t="s">
        <v>55</v>
      </c>
      <c r="K14" s="29">
        <v>0.13428300000000001</v>
      </c>
      <c r="L14" s="1"/>
      <c r="M14" s="1"/>
      <c r="N14" s="18"/>
    </row>
    <row r="15" spans="2:14" ht="15" customHeight="1" x14ac:dyDescent="0.25">
      <c r="B15" s="20"/>
      <c r="C15" s="5" t="s">
        <v>38</v>
      </c>
      <c r="D15" s="6" t="s">
        <v>28</v>
      </c>
      <c r="E15" s="11">
        <v>9.6068000000000001E-2</v>
      </c>
      <c r="F15" s="1"/>
      <c r="G15" s="1"/>
      <c r="H15" s="1"/>
      <c r="I15" s="1"/>
      <c r="J15" s="24"/>
      <c r="K15" s="29"/>
      <c r="L15" s="1"/>
      <c r="M15" s="1"/>
      <c r="N15" s="18"/>
    </row>
    <row r="16" spans="2:14" ht="15" customHeight="1" x14ac:dyDescent="0.25">
      <c r="B16" s="20"/>
      <c r="C16" s="5" t="s">
        <v>34</v>
      </c>
      <c r="D16" s="6" t="s">
        <v>28</v>
      </c>
      <c r="E16" s="11">
        <v>7.2767999999999999E-2</v>
      </c>
      <c r="F16" s="1"/>
      <c r="G16" s="1"/>
      <c r="H16" s="1"/>
      <c r="I16" s="1"/>
      <c r="J16" s="24" t="s">
        <v>78</v>
      </c>
      <c r="K16" s="29">
        <v>9.4380000000000002E-3</v>
      </c>
      <c r="L16" s="1"/>
      <c r="M16" s="1"/>
      <c r="N16" s="18"/>
    </row>
    <row r="17" spans="2:14" ht="15" customHeight="1" x14ac:dyDescent="0.25">
      <c r="B17" s="20"/>
      <c r="C17" s="5" t="s">
        <v>72</v>
      </c>
      <c r="D17" s="6" t="s">
        <v>28</v>
      </c>
      <c r="E17" s="11">
        <v>4.8152E-2</v>
      </c>
      <c r="F17" s="1"/>
      <c r="G17" s="1"/>
      <c r="H17" s="1"/>
      <c r="I17" s="1"/>
      <c r="J17" s="1"/>
      <c r="K17" s="1"/>
      <c r="L17" s="1"/>
      <c r="M17" s="1"/>
      <c r="N17" s="18"/>
    </row>
    <row r="18" spans="2:14" ht="15" customHeight="1" x14ac:dyDescent="0.25">
      <c r="B18" s="20"/>
      <c r="C18" s="5" t="s">
        <v>27</v>
      </c>
      <c r="D18" s="6" t="s">
        <v>28</v>
      </c>
      <c r="E18" s="11">
        <v>4.3672999999999997E-2</v>
      </c>
      <c r="F18" s="1"/>
      <c r="G18" s="1"/>
      <c r="H18" s="1"/>
      <c r="I18" s="1"/>
      <c r="J18" s="1"/>
      <c r="K18" s="1"/>
      <c r="L18" s="1"/>
      <c r="M18" s="1"/>
      <c r="N18" s="18"/>
    </row>
    <row r="19" spans="2:14" ht="15.75" customHeight="1" x14ac:dyDescent="0.25">
      <c r="B19" s="20"/>
      <c r="C19" s="7" t="s">
        <v>45</v>
      </c>
      <c r="D19" s="8"/>
      <c r="E19" s="12">
        <v>0.35856900000000003</v>
      </c>
      <c r="F19" s="1"/>
      <c r="G19" s="1"/>
      <c r="H19" s="1"/>
      <c r="I19" s="1"/>
      <c r="J19" s="1"/>
      <c r="K19" s="1"/>
      <c r="L19" s="1"/>
      <c r="M19" s="1"/>
      <c r="N19" s="18"/>
    </row>
    <row r="20" spans="2:14" ht="15" customHeight="1" x14ac:dyDescent="0.25">
      <c r="B20" s="20"/>
      <c r="C20" s="5" t="s">
        <v>49</v>
      </c>
      <c r="D20" s="6" t="s">
        <v>47</v>
      </c>
      <c r="E20" s="11">
        <v>8.0131999999999995E-2</v>
      </c>
      <c r="F20" s="1"/>
      <c r="G20" s="1"/>
      <c r="H20" s="1"/>
      <c r="I20" s="1"/>
      <c r="J20" s="1"/>
      <c r="K20" s="1"/>
      <c r="L20" s="1"/>
      <c r="M20" s="1"/>
      <c r="N20" s="18"/>
    </row>
    <row r="21" spans="2:14" ht="15" customHeight="1" x14ac:dyDescent="0.25">
      <c r="B21" s="20"/>
      <c r="C21" s="5" t="s">
        <v>46</v>
      </c>
      <c r="D21" s="6" t="s">
        <v>47</v>
      </c>
      <c r="E21" s="11">
        <v>5.4150999999999998E-2</v>
      </c>
      <c r="F21" s="1"/>
      <c r="G21" s="1"/>
      <c r="H21" s="1"/>
      <c r="I21" s="1"/>
      <c r="J21" s="1"/>
      <c r="K21" s="1"/>
      <c r="L21" s="1"/>
      <c r="M21" s="1"/>
      <c r="N21" s="18"/>
    </row>
    <row r="22" spans="2:14" ht="15.75" customHeight="1" x14ac:dyDescent="0.25">
      <c r="B22" s="20"/>
      <c r="C22" s="7" t="s">
        <v>51</v>
      </c>
      <c r="D22" s="8"/>
      <c r="E22" s="12">
        <v>0.13428300000000001</v>
      </c>
      <c r="F22" s="1"/>
      <c r="G22" s="1"/>
      <c r="H22" s="1"/>
      <c r="I22" s="1"/>
      <c r="J22" s="1"/>
      <c r="K22" s="1"/>
      <c r="L22" s="1"/>
      <c r="M22" s="1"/>
      <c r="N22" s="18"/>
    </row>
    <row r="23" spans="2:14" ht="15" customHeight="1" x14ac:dyDescent="0.25">
      <c r="B23" s="20"/>
      <c r="C23" s="5" t="s">
        <v>75</v>
      </c>
      <c r="D23" s="6" t="s">
        <v>47</v>
      </c>
      <c r="E23" s="11">
        <v>9.4380000000000002E-3</v>
      </c>
      <c r="F23" s="1"/>
      <c r="G23" s="1"/>
      <c r="H23" s="1"/>
      <c r="I23" s="1"/>
      <c r="J23" s="1"/>
      <c r="K23" s="1"/>
      <c r="L23" s="1"/>
      <c r="M23" s="1"/>
      <c r="N23" s="18"/>
    </row>
    <row r="24" spans="2:14" ht="15.75" customHeight="1" x14ac:dyDescent="0.25">
      <c r="B24" s="20"/>
      <c r="C24" s="7" t="s">
        <v>76</v>
      </c>
      <c r="D24" s="8"/>
      <c r="E24" s="12">
        <v>9.4380000000000002E-3</v>
      </c>
      <c r="F24" s="1"/>
      <c r="G24" s="51" t="s">
        <v>18</v>
      </c>
      <c r="H24" s="52"/>
      <c r="I24" s="52"/>
      <c r="J24" s="52"/>
      <c r="K24" s="52"/>
      <c r="L24" s="26">
        <v>1.1871467554687662</v>
      </c>
      <c r="M24" s="27"/>
      <c r="N24" s="28"/>
    </row>
    <row r="25" spans="2:14" ht="15" customHeight="1" x14ac:dyDescent="0.25">
      <c r="B25" s="20"/>
      <c r="C25" s="5" t="s">
        <v>9</v>
      </c>
      <c r="D25" s="6"/>
      <c r="E25" s="11">
        <v>9.6319999999999999E-3</v>
      </c>
      <c r="F25" s="1"/>
      <c r="G25" s="1"/>
      <c r="H25" s="1"/>
      <c r="I25" s="1"/>
      <c r="J25" s="1"/>
      <c r="K25" s="1"/>
      <c r="L25" s="1"/>
      <c r="M25" s="1"/>
      <c r="N25" s="18"/>
    </row>
    <row r="26" spans="2:14" ht="15.75" customHeight="1" x14ac:dyDescent="0.25">
      <c r="B26" s="20"/>
      <c r="C26" s="7" t="s">
        <v>10</v>
      </c>
      <c r="D26" s="8"/>
      <c r="E26" s="12">
        <v>9.6319999999999999E-3</v>
      </c>
      <c r="F26" s="1"/>
      <c r="G26" s="51" t="s">
        <v>19</v>
      </c>
      <c r="H26" s="52"/>
      <c r="I26" s="52"/>
      <c r="J26" s="52"/>
      <c r="K26" s="52"/>
      <c r="L26" s="52"/>
      <c r="M26" s="52"/>
      <c r="N26" s="53"/>
    </row>
    <row r="27" spans="2:14" ht="15" customHeight="1" x14ac:dyDescent="0.25">
      <c r="B27" s="20"/>
      <c r="C27" s="5"/>
      <c r="D27" s="6"/>
      <c r="E27" s="11"/>
      <c r="F27" s="1"/>
      <c r="G27" s="1"/>
      <c r="H27" s="1"/>
      <c r="I27" s="1"/>
      <c r="J27" s="1"/>
      <c r="K27" s="1"/>
      <c r="L27" s="1"/>
      <c r="M27" s="1"/>
      <c r="N27" s="18"/>
    </row>
    <row r="28" spans="2:14" ht="15.75" customHeight="1" x14ac:dyDescent="0.25">
      <c r="B28" s="20"/>
      <c r="C28" s="7" t="s">
        <v>11</v>
      </c>
      <c r="D28" s="8"/>
      <c r="E28" s="12">
        <v>1.7358999999999999E-2</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75" customHeight="1" x14ac:dyDescent="0.25">
      <c r="B30" s="20"/>
      <c r="C30" s="9" t="s">
        <v>12</v>
      </c>
      <c r="D30" s="10"/>
      <c r="E30" s="13">
        <v>1</v>
      </c>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30" t="s">
        <v>132</v>
      </c>
      <c r="D32" s="30"/>
      <c r="E32" s="31">
        <v>0.61109999999999998</v>
      </c>
      <c r="F32" s="1"/>
      <c r="G32" s="1"/>
      <c r="H32" s="1"/>
      <c r="I32" s="1"/>
      <c r="J32" s="1"/>
      <c r="K32" s="1"/>
      <c r="L32" s="1"/>
      <c r="M32" s="1"/>
      <c r="N32" s="18"/>
    </row>
    <row r="33" spans="2:14" ht="15" customHeight="1" x14ac:dyDescent="0.25">
      <c r="B33" s="20"/>
      <c r="F33" s="1"/>
      <c r="G33" s="1"/>
      <c r="H33" s="1"/>
      <c r="I33" s="1"/>
      <c r="J33" s="1"/>
      <c r="K33" s="1"/>
      <c r="L33" s="1"/>
      <c r="M33" s="1"/>
      <c r="N33" s="18"/>
    </row>
    <row r="34" spans="2:14" ht="15" customHeight="1" x14ac:dyDescent="0.25">
      <c r="B34" s="20"/>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61.5" customHeight="1" thickBot="1" x14ac:dyDescent="0.3">
      <c r="B45" s="43" t="s">
        <v>293</v>
      </c>
      <c r="C45" s="44"/>
      <c r="D45" s="44"/>
      <c r="E45" s="44"/>
      <c r="F45" s="44"/>
      <c r="G45" s="44"/>
      <c r="H45" s="44"/>
      <c r="I45" s="44"/>
      <c r="J45" s="44"/>
      <c r="K45" s="44"/>
      <c r="L45" s="44"/>
      <c r="M45" s="44"/>
      <c r="N45" s="45"/>
    </row>
    <row r="46" spans="2:14" ht="15" customHeight="1" thickBot="1" x14ac:dyDescent="0.3"/>
    <row r="47" spans="2:14" ht="130.5" customHeight="1" thickBot="1" x14ac:dyDescent="0.3">
      <c r="B47" s="43" t="s">
        <v>295</v>
      </c>
      <c r="C47" s="44"/>
      <c r="D47" s="44"/>
      <c r="E47" s="44"/>
      <c r="F47" s="44"/>
      <c r="G47" s="44"/>
      <c r="H47" s="44"/>
      <c r="I47" s="44"/>
      <c r="J47" s="44"/>
      <c r="K47" s="44"/>
      <c r="L47" s="44"/>
      <c r="M47" s="44"/>
      <c r="N47" s="45"/>
    </row>
    <row r="48" spans="2:14" ht="15" customHeight="1" x14ac:dyDescent="0.25"/>
    <row r="49" ht="15" customHeight="1" x14ac:dyDescent="0.25"/>
    <row r="50" ht="15" customHeight="1" x14ac:dyDescent="0.25"/>
    <row r="51" ht="15" customHeight="1" x14ac:dyDescent="0.25"/>
    <row r="52" ht="15" customHeight="1" x14ac:dyDescent="0.25"/>
  </sheetData>
  <mergeCells count="7">
    <mergeCell ref="B45:N45"/>
    <mergeCell ref="B47:N47"/>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35ED3-2A1E-4EC0-A0C2-C9FFD8DA6BCF}">
  <dimension ref="B1:N46"/>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92</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93</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94</v>
      </c>
      <c r="D8" s="6" t="s">
        <v>95</v>
      </c>
      <c r="E8" s="11">
        <v>9.6865999999999994E-2</v>
      </c>
      <c r="F8" s="1"/>
      <c r="G8" s="24" t="s">
        <v>104</v>
      </c>
      <c r="H8" s="29">
        <v>0.48529299999999997</v>
      </c>
      <c r="I8" s="1"/>
      <c r="J8" s="24" t="s">
        <v>13</v>
      </c>
      <c r="K8" s="24" t="s">
        <v>5</v>
      </c>
      <c r="L8" s="1"/>
      <c r="M8" s="1"/>
      <c r="N8" s="18"/>
    </row>
    <row r="9" spans="2:14" ht="15" customHeight="1" x14ac:dyDescent="0.25">
      <c r="B9" s="20"/>
      <c r="C9" s="5" t="s">
        <v>96</v>
      </c>
      <c r="D9" s="6" t="s">
        <v>95</v>
      </c>
      <c r="E9" s="11">
        <v>9.5996999999999999E-2</v>
      </c>
      <c r="F9" s="1"/>
      <c r="G9" s="24" t="s">
        <v>16</v>
      </c>
      <c r="H9" s="29">
        <v>0.47885499999999998</v>
      </c>
      <c r="I9" s="1"/>
      <c r="J9" s="24" t="s">
        <v>11</v>
      </c>
      <c r="K9" s="29">
        <v>1.8096999999999999E-2</v>
      </c>
      <c r="L9" s="1"/>
      <c r="M9" s="1"/>
      <c r="N9" s="18"/>
    </row>
    <row r="10" spans="2:14" ht="15" customHeight="1" x14ac:dyDescent="0.25">
      <c r="B10" s="20"/>
      <c r="C10" s="5" t="s">
        <v>97</v>
      </c>
      <c r="D10" s="6" t="s">
        <v>95</v>
      </c>
      <c r="E10" s="11">
        <v>7.3732000000000006E-2</v>
      </c>
      <c r="F10" s="1"/>
      <c r="G10" s="24" t="s">
        <v>105</v>
      </c>
      <c r="H10" s="29">
        <v>3.5852000000000002E-2</v>
      </c>
      <c r="I10" s="1"/>
      <c r="J10" s="24" t="s">
        <v>14</v>
      </c>
      <c r="K10" s="29">
        <v>0.102725</v>
      </c>
      <c r="L10" s="1"/>
      <c r="M10" s="1"/>
      <c r="N10" s="18"/>
    </row>
    <row r="11" spans="2:14" ht="15" customHeight="1" x14ac:dyDescent="0.25">
      <c r="B11" s="20"/>
      <c r="C11" s="5" t="s">
        <v>98</v>
      </c>
      <c r="D11" s="6" t="s">
        <v>95</v>
      </c>
      <c r="E11" s="11">
        <v>7.3326000000000002E-2</v>
      </c>
      <c r="F11" s="1"/>
      <c r="G11" s="1"/>
      <c r="H11" s="1"/>
      <c r="I11" s="1"/>
      <c r="J11" s="24" t="s">
        <v>54</v>
      </c>
      <c r="K11" s="29">
        <v>0.52114499999999997</v>
      </c>
      <c r="L11" s="1"/>
      <c r="M11" s="1"/>
      <c r="N11" s="18"/>
    </row>
    <row r="12" spans="2:14" ht="15" customHeight="1" x14ac:dyDescent="0.25">
      <c r="B12" s="20"/>
      <c r="C12" s="5" t="s">
        <v>99</v>
      </c>
      <c r="D12" s="6" t="s">
        <v>95</v>
      </c>
      <c r="E12" s="11">
        <v>5.0266999999999999E-2</v>
      </c>
      <c r="F12" s="1"/>
      <c r="G12" s="1"/>
      <c r="H12" s="1"/>
      <c r="I12" s="1"/>
      <c r="J12" s="24" t="s">
        <v>55</v>
      </c>
      <c r="K12" s="29">
        <v>0.277337</v>
      </c>
      <c r="L12" s="1"/>
      <c r="M12" s="1"/>
      <c r="N12" s="18"/>
    </row>
    <row r="13" spans="2:14" ht="15" customHeight="1" x14ac:dyDescent="0.25">
      <c r="B13" s="20"/>
      <c r="C13" s="5" t="s">
        <v>100</v>
      </c>
      <c r="D13" s="6" t="s">
        <v>95</v>
      </c>
      <c r="E13" s="11">
        <v>4.8756000000000001E-2</v>
      </c>
      <c r="F13" s="1"/>
      <c r="G13" s="1"/>
      <c r="H13" s="1"/>
      <c r="I13" s="1"/>
      <c r="J13" s="24" t="s">
        <v>69</v>
      </c>
      <c r="K13" s="29">
        <v>8.0696000000000004E-2</v>
      </c>
      <c r="L13" s="1"/>
      <c r="M13" s="1"/>
      <c r="N13" s="18"/>
    </row>
    <row r="14" spans="2:14" ht="15" customHeight="1" x14ac:dyDescent="0.25">
      <c r="B14" s="20"/>
      <c r="C14" s="5" t="s">
        <v>101</v>
      </c>
      <c r="D14" s="6" t="s">
        <v>95</v>
      </c>
      <c r="E14" s="11">
        <v>4.6349000000000001E-2</v>
      </c>
      <c r="F14" s="1"/>
      <c r="G14" s="1"/>
      <c r="H14" s="1"/>
      <c r="I14" s="1"/>
      <c r="J14" s="1"/>
      <c r="K14" s="1"/>
      <c r="L14" s="1"/>
      <c r="M14" s="1"/>
      <c r="N14" s="18"/>
    </row>
    <row r="15" spans="2:14" ht="15" customHeight="1" x14ac:dyDescent="0.25">
      <c r="B15" s="20"/>
      <c r="C15" s="5" t="s">
        <v>102</v>
      </c>
      <c r="D15" s="6" t="s">
        <v>103</v>
      </c>
      <c r="E15" s="11">
        <v>3.5852000000000002E-2</v>
      </c>
      <c r="F15" s="1"/>
      <c r="G15" s="1"/>
      <c r="H15" s="1"/>
      <c r="I15" s="1"/>
      <c r="J15" s="1"/>
      <c r="K15" s="1"/>
      <c r="L15" s="1"/>
      <c r="M15" s="1"/>
      <c r="N15" s="18"/>
    </row>
    <row r="16" spans="2:14" ht="15.75" customHeight="1" x14ac:dyDescent="0.25">
      <c r="B16" s="20"/>
      <c r="C16" s="7" t="s">
        <v>45</v>
      </c>
      <c r="D16" s="8"/>
      <c r="E16" s="12">
        <v>0.52114499999999997</v>
      </c>
      <c r="F16" s="1"/>
      <c r="G16" s="1"/>
      <c r="H16" s="1"/>
      <c r="I16" s="1"/>
      <c r="J16" s="1"/>
      <c r="K16" s="1"/>
      <c r="L16" s="1"/>
      <c r="M16" s="1"/>
      <c r="N16" s="18"/>
    </row>
    <row r="17" spans="2:14" ht="15" customHeight="1" x14ac:dyDescent="0.25">
      <c r="B17" s="20"/>
      <c r="C17" s="5" t="s">
        <v>46</v>
      </c>
      <c r="D17" s="6" t="s">
        <v>47</v>
      </c>
      <c r="E17" s="11">
        <v>0.277337</v>
      </c>
      <c r="F17" s="1"/>
      <c r="G17" s="1"/>
      <c r="H17" s="1"/>
      <c r="I17" s="1"/>
      <c r="J17" s="1"/>
      <c r="K17" s="1"/>
      <c r="L17" s="1"/>
      <c r="M17" s="1"/>
      <c r="N17" s="18"/>
    </row>
    <row r="18" spans="2:14" ht="15.75" customHeight="1" x14ac:dyDescent="0.25">
      <c r="B18" s="20"/>
      <c r="C18" s="7" t="s">
        <v>51</v>
      </c>
      <c r="D18" s="8"/>
      <c r="E18" s="12">
        <v>0.277337</v>
      </c>
      <c r="F18" s="1"/>
      <c r="G18" s="1"/>
      <c r="H18" s="1"/>
      <c r="I18" s="1"/>
      <c r="J18" s="1"/>
      <c r="K18" s="1"/>
      <c r="L18" s="1"/>
      <c r="M18" s="1"/>
      <c r="N18" s="18"/>
    </row>
    <row r="19" spans="2:14" ht="15" customHeight="1" x14ac:dyDescent="0.25">
      <c r="B19" s="20"/>
      <c r="C19" s="5" t="s">
        <v>292</v>
      </c>
      <c r="D19" s="6" t="s">
        <v>67</v>
      </c>
      <c r="E19" s="11">
        <v>8.0696000000000004E-2</v>
      </c>
      <c r="F19" s="1"/>
      <c r="G19" s="1"/>
      <c r="H19" s="1"/>
      <c r="I19" s="1"/>
      <c r="J19" s="1"/>
      <c r="K19" s="1"/>
      <c r="L19" s="1"/>
      <c r="M19" s="1"/>
      <c r="N19" s="18"/>
    </row>
    <row r="20" spans="2:14" ht="15.75" customHeight="1" x14ac:dyDescent="0.25">
      <c r="B20" s="20"/>
      <c r="C20" s="7" t="s">
        <v>68</v>
      </c>
      <c r="D20" s="8"/>
      <c r="E20" s="12">
        <v>8.0696000000000004E-2</v>
      </c>
      <c r="F20" s="1"/>
      <c r="G20" s="1"/>
      <c r="H20" s="1"/>
      <c r="I20" s="1"/>
      <c r="J20" s="1"/>
      <c r="K20" s="1"/>
      <c r="L20" s="1"/>
      <c r="M20" s="1"/>
      <c r="N20" s="18"/>
    </row>
    <row r="21" spans="2:14" ht="15" customHeight="1" x14ac:dyDescent="0.25">
      <c r="B21" s="20"/>
      <c r="C21" s="5" t="s">
        <v>9</v>
      </c>
      <c r="D21" s="6"/>
      <c r="E21" s="11">
        <v>0.102725</v>
      </c>
      <c r="F21" s="1"/>
      <c r="G21" s="1"/>
      <c r="H21" s="1"/>
      <c r="I21" s="1"/>
      <c r="J21" s="1"/>
      <c r="K21" s="1"/>
      <c r="L21" s="1"/>
      <c r="M21" s="1"/>
      <c r="N21" s="18"/>
    </row>
    <row r="22" spans="2:14" ht="15.75" customHeight="1" x14ac:dyDescent="0.25">
      <c r="B22" s="20"/>
      <c r="C22" s="7" t="s">
        <v>10</v>
      </c>
      <c r="D22" s="8"/>
      <c r="E22" s="12">
        <v>0.102725</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75" customHeight="1" x14ac:dyDescent="0.25">
      <c r="B24" s="20"/>
      <c r="C24" s="7" t="s">
        <v>11</v>
      </c>
      <c r="D24" s="8"/>
      <c r="E24" s="12">
        <v>1.8096999999999999E-2</v>
      </c>
      <c r="F24" s="1"/>
      <c r="G24" s="51" t="s">
        <v>18</v>
      </c>
      <c r="H24" s="52"/>
      <c r="I24" s="52"/>
      <c r="J24" s="52"/>
      <c r="K24" s="52"/>
      <c r="L24" s="26">
        <v>16.599383233781584</v>
      </c>
      <c r="M24" s="27"/>
      <c r="N24" s="28"/>
    </row>
    <row r="25" spans="2:14" ht="15" customHeight="1" x14ac:dyDescent="0.25">
      <c r="B25" s="20"/>
      <c r="C25" s="5"/>
      <c r="D25" s="6"/>
      <c r="E25" s="11"/>
      <c r="F25" s="1"/>
      <c r="G25" s="1"/>
      <c r="H25" s="1"/>
      <c r="I25" s="1"/>
      <c r="J25" s="1"/>
      <c r="K25" s="1"/>
      <c r="L25" s="1"/>
      <c r="M25" s="1"/>
      <c r="N25" s="18"/>
    </row>
    <row r="26" spans="2:14" ht="15" customHeight="1" x14ac:dyDescent="0.25">
      <c r="B26" s="20"/>
      <c r="C26" s="9" t="s">
        <v>12</v>
      </c>
      <c r="D26" s="10"/>
      <c r="E26" s="13">
        <v>1</v>
      </c>
      <c r="F26" s="1"/>
      <c r="G26" s="51" t="s">
        <v>19</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C28" s="1" t="s">
        <v>291</v>
      </c>
      <c r="D28" s="1"/>
      <c r="E28" s="1"/>
      <c r="F28" s="1"/>
      <c r="G28" s="1"/>
      <c r="H28" s="1"/>
      <c r="I28" s="1"/>
      <c r="J28" s="1"/>
      <c r="K28" s="1"/>
      <c r="L28" s="1"/>
      <c r="M28" s="1"/>
      <c r="N28" s="18"/>
    </row>
    <row r="29" spans="2:14" ht="15" customHeight="1" x14ac:dyDescent="0.25">
      <c r="B29" s="20"/>
      <c r="C29" s="1" t="s">
        <v>294</v>
      </c>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28.25" customHeight="1" thickBot="1" x14ac:dyDescent="0.3">
      <c r="B45" s="43" t="s">
        <v>295</v>
      </c>
      <c r="C45" s="44"/>
      <c r="D45" s="44"/>
      <c r="E45" s="44"/>
      <c r="F45" s="44"/>
      <c r="G45" s="44"/>
      <c r="H45" s="44"/>
      <c r="I45" s="44"/>
      <c r="J45" s="44"/>
      <c r="K45" s="44"/>
      <c r="L45" s="44"/>
      <c r="M45" s="44"/>
      <c r="N45" s="45"/>
    </row>
    <row r="46" spans="2:14"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606DE-5ABC-4AAB-B2A8-B2FB40DAA473}">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136</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137</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59</v>
      </c>
      <c r="D8" s="6" t="s">
        <v>47</v>
      </c>
      <c r="E8" s="11">
        <v>0.97140099999999996</v>
      </c>
      <c r="F8" s="1"/>
      <c r="G8" s="24" t="s">
        <v>16</v>
      </c>
      <c r="H8" s="25">
        <v>1</v>
      </c>
      <c r="I8" s="1"/>
      <c r="J8" s="24" t="s">
        <v>13</v>
      </c>
      <c r="K8" s="24" t="s">
        <v>5</v>
      </c>
      <c r="L8" s="1"/>
      <c r="M8" s="1"/>
      <c r="N8" s="18"/>
    </row>
    <row r="9" spans="2:14" ht="15" customHeight="1" x14ac:dyDescent="0.25">
      <c r="B9" s="20"/>
      <c r="C9" s="5" t="s">
        <v>46</v>
      </c>
      <c r="D9" s="6" t="s">
        <v>47</v>
      </c>
      <c r="E9" s="11">
        <v>1.3860000000000001E-3</v>
      </c>
      <c r="F9" s="1"/>
      <c r="G9" s="1"/>
      <c r="H9" s="1"/>
      <c r="I9" s="1"/>
      <c r="J9" s="24" t="s">
        <v>11</v>
      </c>
      <c r="K9" s="29">
        <v>2.7150000000000001E-2</v>
      </c>
      <c r="L9" s="1"/>
      <c r="M9" s="1"/>
      <c r="N9" s="18"/>
    </row>
    <row r="10" spans="2:14" ht="15" customHeight="1" x14ac:dyDescent="0.25">
      <c r="B10" s="20"/>
      <c r="C10" s="5" t="s">
        <v>118</v>
      </c>
      <c r="D10" s="6" t="s">
        <v>47</v>
      </c>
      <c r="E10" s="32">
        <v>4.3000000000000002E-5</v>
      </c>
      <c r="F10" s="1"/>
      <c r="G10" s="1"/>
      <c r="H10" s="1"/>
      <c r="I10" s="1"/>
      <c r="J10" s="24" t="s">
        <v>14</v>
      </c>
      <c r="K10" s="29">
        <v>2.0000000000000002E-5</v>
      </c>
      <c r="L10" s="1"/>
      <c r="M10" s="1"/>
      <c r="N10" s="18"/>
    </row>
    <row r="11" spans="2:14" ht="15.75" customHeight="1" x14ac:dyDescent="0.25">
      <c r="B11" s="20"/>
      <c r="C11" s="7" t="s">
        <v>51</v>
      </c>
      <c r="D11" s="8"/>
      <c r="E11" s="12">
        <v>0.97282999999999997</v>
      </c>
      <c r="F11" s="1"/>
      <c r="G11" s="1"/>
      <c r="H11" s="1"/>
      <c r="I11" s="1"/>
      <c r="J11" s="24" t="s">
        <v>55</v>
      </c>
      <c r="K11" s="29">
        <v>0.97282999999999997</v>
      </c>
      <c r="L11" s="1"/>
      <c r="M11" s="1"/>
      <c r="N11" s="18"/>
    </row>
    <row r="12" spans="2:14" ht="15" customHeight="1" x14ac:dyDescent="0.25">
      <c r="B12" s="20"/>
      <c r="C12" s="5" t="s">
        <v>9</v>
      </c>
      <c r="D12" s="6"/>
      <c r="E12" s="11">
        <v>2.0000000000000002E-5</v>
      </c>
      <c r="F12" s="1"/>
      <c r="G12" s="1"/>
      <c r="H12" s="1"/>
      <c r="I12" s="1"/>
      <c r="J12" s="1"/>
      <c r="K12" s="1"/>
      <c r="L12" s="1"/>
      <c r="M12" s="1"/>
      <c r="N12" s="18"/>
    </row>
    <row r="13" spans="2:14" ht="15.75" customHeight="1" x14ac:dyDescent="0.25">
      <c r="B13" s="20"/>
      <c r="C13" s="7" t="s">
        <v>10</v>
      </c>
      <c r="D13" s="8"/>
      <c r="E13" s="12">
        <v>2.0000000000000002E-5</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2.7150000000000001E-2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1" t="s">
        <v>18</v>
      </c>
      <c r="H24" s="52"/>
      <c r="I24" s="52"/>
      <c r="J24" s="52"/>
      <c r="K24" s="52"/>
      <c r="L24" s="26">
        <v>5.6241025850964439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1" t="s">
        <v>19</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3.5" customHeight="1" thickBot="1" x14ac:dyDescent="0.3">
      <c r="B45" s="43" t="s">
        <v>295</v>
      </c>
      <c r="C45" s="44"/>
      <c r="D45" s="44"/>
      <c r="E45" s="44"/>
      <c r="F45" s="44"/>
      <c r="G45" s="44"/>
      <c r="H45" s="44"/>
      <c r="I45" s="44"/>
      <c r="J45" s="44"/>
      <c r="K45" s="44"/>
      <c r="L45" s="44"/>
      <c r="M45" s="44"/>
      <c r="N45" s="45"/>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A230B-FB2C-492A-AFDD-924746BF48F8}">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133</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134</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135</v>
      </c>
      <c r="D8" s="6" t="s">
        <v>47</v>
      </c>
      <c r="E8" s="11">
        <v>0.96766099999999999</v>
      </c>
      <c r="F8" s="1"/>
      <c r="G8" s="24" t="s">
        <v>16</v>
      </c>
      <c r="H8" s="25">
        <v>1</v>
      </c>
      <c r="I8" s="1"/>
      <c r="J8" s="24" t="s">
        <v>13</v>
      </c>
      <c r="K8" s="24" t="s">
        <v>5</v>
      </c>
      <c r="L8" s="1"/>
      <c r="M8" s="1"/>
      <c r="N8" s="18"/>
    </row>
    <row r="9" spans="2:14" ht="15" customHeight="1" x14ac:dyDescent="0.25">
      <c r="B9" s="20"/>
      <c r="C9" s="5" t="s">
        <v>66</v>
      </c>
      <c r="D9" s="6" t="s">
        <v>47</v>
      </c>
      <c r="E9" s="11">
        <v>7.2989999999999999E-3</v>
      </c>
      <c r="F9" s="1"/>
      <c r="G9" s="1"/>
      <c r="H9" s="1"/>
      <c r="I9" s="1"/>
      <c r="J9" s="24" t="s">
        <v>11</v>
      </c>
      <c r="K9" s="29">
        <v>4.7609999999999996E-3</v>
      </c>
      <c r="L9" s="1"/>
      <c r="M9" s="1"/>
      <c r="N9" s="18"/>
    </row>
    <row r="10" spans="2:14" ht="15" customHeight="1" x14ac:dyDescent="0.25">
      <c r="B10" s="20"/>
      <c r="C10" s="5" t="s">
        <v>62</v>
      </c>
      <c r="D10" s="6" t="s">
        <v>47</v>
      </c>
      <c r="E10" s="11">
        <v>4.8919999999999996E-3</v>
      </c>
      <c r="F10" s="1"/>
      <c r="G10" s="1"/>
      <c r="H10" s="1"/>
      <c r="I10" s="1"/>
      <c r="J10" s="24" t="s">
        <v>14</v>
      </c>
      <c r="K10" s="29">
        <v>1.1508000000000001E-2</v>
      </c>
      <c r="L10" s="1"/>
      <c r="M10" s="1"/>
      <c r="N10" s="18"/>
    </row>
    <row r="11" spans="2:14" ht="15" customHeight="1" x14ac:dyDescent="0.25">
      <c r="B11" s="20"/>
      <c r="C11" s="5" t="s">
        <v>118</v>
      </c>
      <c r="D11" s="6" t="s">
        <v>47</v>
      </c>
      <c r="E11" s="11">
        <v>2.3149999999999998E-3</v>
      </c>
      <c r="F11" s="1"/>
      <c r="G11" s="1"/>
      <c r="H11" s="1"/>
      <c r="I11" s="1"/>
      <c r="J11" s="24" t="s">
        <v>55</v>
      </c>
      <c r="K11" s="29">
        <v>0.98373100000000002</v>
      </c>
      <c r="L11" s="1"/>
      <c r="M11" s="1"/>
      <c r="N11" s="18"/>
    </row>
    <row r="12" spans="2:14" ht="15" customHeight="1" x14ac:dyDescent="0.25">
      <c r="B12" s="20"/>
      <c r="C12" s="5" t="s">
        <v>60</v>
      </c>
      <c r="D12" s="6" t="s">
        <v>47</v>
      </c>
      <c r="E12" s="11">
        <v>1.5640000000000001E-3</v>
      </c>
      <c r="F12" s="1"/>
      <c r="G12" s="1"/>
      <c r="H12" s="1"/>
      <c r="I12" s="1"/>
      <c r="J12" s="1"/>
      <c r="K12" s="1"/>
      <c r="L12" s="1"/>
      <c r="M12" s="1"/>
      <c r="N12" s="18"/>
    </row>
    <row r="13" spans="2:14" ht="15.75" customHeight="1" x14ac:dyDescent="0.25">
      <c r="B13" s="20"/>
      <c r="C13" s="7" t="s">
        <v>51</v>
      </c>
      <c r="D13" s="8"/>
      <c r="E13" s="12">
        <v>0.98373100000000002</v>
      </c>
      <c r="F13" s="1"/>
      <c r="G13" s="1"/>
      <c r="H13" s="1"/>
      <c r="I13" s="1"/>
      <c r="J13" s="1"/>
      <c r="K13" s="1"/>
      <c r="L13" s="1"/>
      <c r="M13" s="1"/>
      <c r="N13" s="18"/>
    </row>
    <row r="14" spans="2:14" ht="15" customHeight="1" x14ac:dyDescent="0.25">
      <c r="B14" s="20"/>
      <c r="C14" s="5" t="s">
        <v>9</v>
      </c>
      <c r="D14" s="6"/>
      <c r="E14" s="11">
        <v>1.1508000000000001E-2</v>
      </c>
      <c r="F14" s="1"/>
      <c r="G14" s="1"/>
      <c r="H14" s="1"/>
      <c r="I14" s="1"/>
      <c r="J14" s="1"/>
      <c r="K14" s="1"/>
      <c r="L14" s="1"/>
      <c r="M14" s="1"/>
      <c r="N14" s="18"/>
    </row>
    <row r="15" spans="2:14" ht="15.75" customHeight="1" x14ac:dyDescent="0.25">
      <c r="B15" s="20"/>
      <c r="C15" s="7" t="s">
        <v>10</v>
      </c>
      <c r="D15" s="8"/>
      <c r="E15" s="12">
        <v>1.1508000000000001E-2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4.7609999999999996E-3</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1" t="s">
        <v>18</v>
      </c>
      <c r="H24" s="52"/>
      <c r="I24" s="52"/>
      <c r="J24" s="52"/>
      <c r="K24" s="52"/>
      <c r="L24" s="26">
        <v>9.2515408688268668</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1" t="s">
        <v>19</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 customHeight="1" thickBot="1" x14ac:dyDescent="0.3">
      <c r="B45" s="43" t="s">
        <v>295</v>
      </c>
      <c r="C45" s="44"/>
      <c r="D45" s="44"/>
      <c r="E45" s="44"/>
      <c r="F45" s="44"/>
      <c r="G45" s="44"/>
      <c r="H45" s="44"/>
      <c r="I45" s="44"/>
      <c r="J45" s="44"/>
      <c r="K45" s="44"/>
      <c r="L45" s="44"/>
      <c r="M45" s="44"/>
      <c r="N45" s="45"/>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0340B-12AE-420C-89C3-5BAFF7F75678}">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113</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114</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49</v>
      </c>
      <c r="D8" s="6" t="s">
        <v>47</v>
      </c>
      <c r="E8" s="11">
        <v>0.56992600000000004</v>
      </c>
      <c r="F8" s="1"/>
      <c r="G8" s="24" t="s">
        <v>16</v>
      </c>
      <c r="H8" s="25">
        <v>1</v>
      </c>
      <c r="I8" s="1"/>
      <c r="J8" s="24" t="s">
        <v>13</v>
      </c>
      <c r="K8" s="24" t="s">
        <v>5</v>
      </c>
      <c r="L8" s="1"/>
      <c r="M8" s="1"/>
      <c r="N8" s="18"/>
    </row>
    <row r="9" spans="2:14" ht="15" customHeight="1" x14ac:dyDescent="0.25">
      <c r="B9" s="20"/>
      <c r="C9" s="5" t="s">
        <v>50</v>
      </c>
      <c r="D9" s="6" t="s">
        <v>47</v>
      </c>
      <c r="E9" s="11">
        <v>0.22051000000000001</v>
      </c>
      <c r="F9" s="1"/>
      <c r="G9" s="1"/>
      <c r="H9" s="1"/>
      <c r="I9" s="1"/>
      <c r="J9" s="24" t="s">
        <v>11</v>
      </c>
      <c r="K9" s="29">
        <v>1.8350999999999999E-2</v>
      </c>
      <c r="L9" s="1"/>
      <c r="M9" s="1"/>
      <c r="N9" s="18"/>
    </row>
    <row r="10" spans="2:14" ht="15" customHeight="1" x14ac:dyDescent="0.25">
      <c r="B10" s="20"/>
      <c r="C10" s="5" t="s">
        <v>115</v>
      </c>
      <c r="D10" s="6" t="s">
        <v>47</v>
      </c>
      <c r="E10" s="11">
        <v>0.13989799999999999</v>
      </c>
      <c r="F10" s="1"/>
      <c r="G10" s="1"/>
      <c r="H10" s="1"/>
      <c r="I10" s="1"/>
      <c r="J10" s="24" t="s">
        <v>14</v>
      </c>
      <c r="K10" s="29">
        <v>9.5750000000000002E-3</v>
      </c>
      <c r="L10" s="1"/>
      <c r="M10" s="1"/>
      <c r="N10" s="18"/>
    </row>
    <row r="11" spans="2:14" ht="15" customHeight="1" x14ac:dyDescent="0.25">
      <c r="B11" s="20"/>
      <c r="C11" s="5" t="s">
        <v>48</v>
      </c>
      <c r="D11" s="6" t="s">
        <v>47</v>
      </c>
      <c r="E11" s="11">
        <v>4.1739999999999999E-2</v>
      </c>
      <c r="F11" s="1"/>
      <c r="G11" s="1"/>
      <c r="H11" s="1"/>
      <c r="I11" s="1"/>
      <c r="J11" s="24" t="s">
        <v>55</v>
      </c>
      <c r="K11" s="29">
        <v>0.97207399999999999</v>
      </c>
      <c r="L11" s="1"/>
      <c r="M11" s="1"/>
      <c r="N11" s="18"/>
    </row>
    <row r="12" spans="2:14" ht="15.75" customHeight="1" x14ac:dyDescent="0.25">
      <c r="B12" s="20"/>
      <c r="C12" s="7" t="s">
        <v>51</v>
      </c>
      <c r="D12" s="8"/>
      <c r="E12" s="12">
        <v>0.97207399999999999</v>
      </c>
      <c r="F12" s="1"/>
      <c r="G12" s="1"/>
      <c r="H12" s="1"/>
      <c r="I12" s="1"/>
      <c r="J12" s="1"/>
      <c r="K12" s="1"/>
      <c r="L12" s="1"/>
      <c r="M12" s="1"/>
      <c r="N12" s="18"/>
    </row>
    <row r="13" spans="2:14" ht="15" customHeight="1" x14ac:dyDescent="0.25">
      <c r="B13" s="20"/>
      <c r="C13" s="5" t="s">
        <v>9</v>
      </c>
      <c r="D13" s="6"/>
      <c r="E13" s="11">
        <v>9.5750000000000002E-3</v>
      </c>
      <c r="F13" s="1"/>
      <c r="G13" s="1"/>
      <c r="H13" s="1"/>
      <c r="I13" s="1"/>
      <c r="J13" s="1"/>
      <c r="K13" s="1"/>
      <c r="L13" s="1"/>
      <c r="M13" s="1"/>
      <c r="N13" s="18"/>
    </row>
    <row r="14" spans="2:14" ht="15.75" customHeight="1" x14ac:dyDescent="0.25">
      <c r="B14" s="20"/>
      <c r="C14" s="7" t="s">
        <v>10</v>
      </c>
      <c r="D14" s="8"/>
      <c r="E14" s="12">
        <v>9.5750000000000002E-3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1.8350999999999999E-2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1" t="s">
        <v>18</v>
      </c>
      <c r="H24" s="52"/>
      <c r="I24" s="52"/>
      <c r="J24" s="52"/>
      <c r="K24" s="52"/>
      <c r="L24" s="26">
        <v>2.4762663516555472</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1" t="s">
        <v>19</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7.5" customHeight="1" thickBot="1" x14ac:dyDescent="0.3">
      <c r="B45" s="43" t="s">
        <v>295</v>
      </c>
      <c r="C45" s="44"/>
      <c r="D45" s="44"/>
      <c r="E45" s="44"/>
      <c r="F45" s="44"/>
      <c r="G45" s="44"/>
      <c r="H45" s="44"/>
      <c r="I45" s="44"/>
      <c r="J45" s="44"/>
      <c r="K45" s="44"/>
      <c r="L45" s="44"/>
      <c r="M45" s="44"/>
      <c r="N45" s="45"/>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D0003-274E-47E7-BAFA-360B09210711}">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124</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125</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46</v>
      </c>
      <c r="D8" s="6" t="s">
        <v>47</v>
      </c>
      <c r="E8" s="11">
        <v>0.69185799999999997</v>
      </c>
      <c r="F8" s="1"/>
      <c r="G8" s="24" t="s">
        <v>16</v>
      </c>
      <c r="H8" s="25">
        <v>1</v>
      </c>
      <c r="I8" s="1"/>
      <c r="J8" s="24" t="s">
        <v>13</v>
      </c>
      <c r="K8" s="24" t="s">
        <v>5</v>
      </c>
      <c r="L8" s="1"/>
      <c r="M8" s="1"/>
      <c r="N8" s="18"/>
    </row>
    <row r="9" spans="2:14" ht="15" customHeight="1" x14ac:dyDescent="0.25">
      <c r="B9" s="20"/>
      <c r="C9" s="5" t="s">
        <v>62</v>
      </c>
      <c r="D9" s="6" t="s">
        <v>47</v>
      </c>
      <c r="E9" s="11">
        <v>0.1406</v>
      </c>
      <c r="F9" s="1"/>
      <c r="G9" s="1"/>
      <c r="H9" s="1"/>
      <c r="I9" s="1"/>
      <c r="J9" s="24" t="s">
        <v>11</v>
      </c>
      <c r="K9" s="29">
        <v>1.2562E-2</v>
      </c>
      <c r="L9" s="1"/>
      <c r="M9" s="1"/>
      <c r="N9" s="18"/>
    </row>
    <row r="10" spans="2:14" ht="15" customHeight="1" x14ac:dyDescent="0.25">
      <c r="B10" s="20"/>
      <c r="C10" s="5" t="s">
        <v>66</v>
      </c>
      <c r="D10" s="6" t="s">
        <v>47</v>
      </c>
      <c r="E10" s="11">
        <v>0.13881299999999999</v>
      </c>
      <c r="F10" s="1"/>
      <c r="G10" s="1"/>
      <c r="H10" s="1"/>
      <c r="I10" s="1"/>
      <c r="J10" s="24" t="s">
        <v>14</v>
      </c>
      <c r="K10" s="29">
        <v>1.0111999999999999E-2</v>
      </c>
      <c r="L10" s="1"/>
      <c r="M10" s="1"/>
      <c r="N10" s="18"/>
    </row>
    <row r="11" spans="2:14" ht="15.75" customHeight="1" x14ac:dyDescent="0.25">
      <c r="B11" s="20"/>
      <c r="C11" s="7" t="s">
        <v>51</v>
      </c>
      <c r="D11" s="8"/>
      <c r="E11" s="12">
        <v>0.971271</v>
      </c>
      <c r="F11" s="1"/>
      <c r="G11" s="1"/>
      <c r="H11" s="1"/>
      <c r="I11" s="1"/>
      <c r="J11" s="24" t="s">
        <v>55</v>
      </c>
      <c r="K11" s="29">
        <v>0.971271</v>
      </c>
      <c r="L11" s="1"/>
      <c r="M11" s="1"/>
      <c r="N11" s="18"/>
    </row>
    <row r="12" spans="2:14" ht="15" customHeight="1" x14ac:dyDescent="0.25">
      <c r="B12" s="20"/>
      <c r="C12" s="5" t="s">
        <v>120</v>
      </c>
      <c r="D12" s="6" t="s">
        <v>47</v>
      </c>
      <c r="E12" s="11">
        <v>6.0549999999999996E-3</v>
      </c>
      <c r="F12" s="1"/>
      <c r="G12" s="1"/>
      <c r="H12" s="1"/>
      <c r="I12" s="1"/>
      <c r="J12" s="24" t="s">
        <v>78</v>
      </c>
      <c r="K12" s="29">
        <v>6.0549999999999996E-3</v>
      </c>
      <c r="L12" s="1"/>
      <c r="M12" s="1"/>
      <c r="N12" s="18"/>
    </row>
    <row r="13" spans="2:14" ht="15.75" customHeight="1" x14ac:dyDescent="0.25">
      <c r="B13" s="20"/>
      <c r="C13" s="7" t="s">
        <v>76</v>
      </c>
      <c r="D13" s="8"/>
      <c r="E13" s="12">
        <v>6.0549999999999996E-3</v>
      </c>
      <c r="F13" s="1"/>
      <c r="G13" s="1"/>
      <c r="H13" s="1"/>
      <c r="I13" s="1"/>
      <c r="J13" s="1"/>
      <c r="K13" s="1"/>
      <c r="L13" s="1"/>
      <c r="M13" s="1"/>
      <c r="N13" s="18"/>
    </row>
    <row r="14" spans="2:14" ht="15" customHeight="1" x14ac:dyDescent="0.25">
      <c r="B14" s="20"/>
      <c r="C14" s="5" t="s">
        <v>9</v>
      </c>
      <c r="D14" s="6"/>
      <c r="E14" s="11">
        <v>1.0111999999999999E-2</v>
      </c>
      <c r="F14" s="1"/>
      <c r="G14" s="1"/>
      <c r="H14" s="1"/>
      <c r="I14" s="1"/>
      <c r="J14" s="1"/>
      <c r="K14" s="1"/>
      <c r="L14" s="1"/>
      <c r="M14" s="1"/>
      <c r="N14" s="18"/>
    </row>
    <row r="15" spans="2:14" ht="15.75" customHeight="1" x14ac:dyDescent="0.25">
      <c r="B15" s="20"/>
      <c r="C15" s="7" t="s">
        <v>10</v>
      </c>
      <c r="D15" s="8"/>
      <c r="E15" s="12">
        <v>1.0111999999999999E-2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1.2562E-2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1" t="s">
        <v>18</v>
      </c>
      <c r="H24" s="52"/>
      <c r="I24" s="52"/>
      <c r="J24" s="52"/>
      <c r="K24" s="52"/>
      <c r="L24" s="26">
        <v>3.68532503355872</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1" t="s">
        <v>19</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0.5" customHeight="1" thickBot="1" x14ac:dyDescent="0.3">
      <c r="B45" s="43" t="s">
        <v>295</v>
      </c>
      <c r="C45" s="44"/>
      <c r="D45" s="44"/>
      <c r="E45" s="44"/>
      <c r="F45" s="44"/>
      <c r="G45" s="44"/>
      <c r="H45" s="44"/>
      <c r="I45" s="44"/>
      <c r="J45" s="44"/>
      <c r="K45" s="44"/>
      <c r="L45" s="44"/>
      <c r="M45" s="44"/>
      <c r="N45" s="45"/>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D1B39-A642-412E-AA2D-10C91CD67DF0}">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116</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117</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118</v>
      </c>
      <c r="D8" s="6" t="s">
        <v>47</v>
      </c>
      <c r="E8" s="11">
        <v>0.52443099999999998</v>
      </c>
      <c r="F8" s="1"/>
      <c r="G8" s="24" t="s">
        <v>16</v>
      </c>
      <c r="H8" s="25">
        <v>1</v>
      </c>
      <c r="I8" s="1"/>
      <c r="J8" s="24" t="s">
        <v>13</v>
      </c>
      <c r="K8" s="24" t="s">
        <v>5</v>
      </c>
      <c r="L8" s="1"/>
      <c r="M8" s="1"/>
      <c r="N8" s="18"/>
    </row>
    <row r="9" spans="2:14" ht="15" customHeight="1" x14ac:dyDescent="0.25">
      <c r="B9" s="20"/>
      <c r="C9" s="5" t="s">
        <v>119</v>
      </c>
      <c r="D9" s="6" t="s">
        <v>47</v>
      </c>
      <c r="E9" s="11">
        <v>0.422572</v>
      </c>
      <c r="F9" s="1"/>
      <c r="G9" s="1"/>
      <c r="H9" s="1"/>
      <c r="I9" s="1"/>
      <c r="J9" s="24" t="s">
        <v>11</v>
      </c>
      <c r="K9" s="29">
        <v>2.0555E-2</v>
      </c>
      <c r="L9" s="1"/>
      <c r="M9" s="1"/>
      <c r="N9" s="18"/>
    </row>
    <row r="10" spans="2:14" ht="15" customHeight="1" x14ac:dyDescent="0.25">
      <c r="B10" s="20"/>
      <c r="C10" s="5" t="s">
        <v>46</v>
      </c>
      <c r="D10" s="6" t="s">
        <v>47</v>
      </c>
      <c r="E10" s="11">
        <v>1.7003999999999998E-2</v>
      </c>
      <c r="F10" s="1"/>
      <c r="G10" s="1"/>
      <c r="H10" s="1"/>
      <c r="I10" s="1"/>
      <c r="J10" s="24" t="s">
        <v>14</v>
      </c>
      <c r="K10" s="29">
        <v>1.0173E-2</v>
      </c>
      <c r="L10" s="1"/>
      <c r="M10" s="1"/>
      <c r="N10" s="18"/>
    </row>
    <row r="11" spans="2:14" ht="15.75" customHeight="1" x14ac:dyDescent="0.25">
      <c r="B11" s="20"/>
      <c r="C11" s="7" t="s">
        <v>51</v>
      </c>
      <c r="D11" s="8"/>
      <c r="E11" s="12">
        <v>0.96400699999999995</v>
      </c>
      <c r="F11" s="1"/>
      <c r="G11" s="1"/>
      <c r="H11" s="1"/>
      <c r="I11" s="1"/>
      <c r="J11" s="24" t="s">
        <v>55</v>
      </c>
      <c r="K11" s="29">
        <v>0.96400699999999995</v>
      </c>
      <c r="L11" s="1"/>
      <c r="M11" s="1"/>
      <c r="N11" s="18"/>
    </row>
    <row r="12" spans="2:14" ht="15" customHeight="1" x14ac:dyDescent="0.25">
      <c r="B12" s="20"/>
      <c r="C12" s="5" t="s">
        <v>120</v>
      </c>
      <c r="D12" s="6" t="s">
        <v>47</v>
      </c>
      <c r="E12" s="11">
        <v>5.2649999999999997E-3</v>
      </c>
      <c r="F12" s="1"/>
      <c r="G12" s="1"/>
      <c r="H12" s="1"/>
      <c r="I12" s="1"/>
      <c r="J12" s="24" t="s">
        <v>78</v>
      </c>
      <c r="K12" s="29">
        <v>5.2649999999999997E-3</v>
      </c>
      <c r="L12" s="1"/>
      <c r="M12" s="1"/>
      <c r="N12" s="18"/>
    </row>
    <row r="13" spans="2:14" ht="15.75" customHeight="1" x14ac:dyDescent="0.25">
      <c r="B13" s="20"/>
      <c r="C13" s="7" t="s">
        <v>76</v>
      </c>
      <c r="D13" s="8"/>
      <c r="E13" s="12">
        <v>5.2649999999999997E-3</v>
      </c>
      <c r="F13" s="1"/>
      <c r="G13" s="1"/>
      <c r="H13" s="1"/>
      <c r="I13" s="1"/>
      <c r="J13" s="1"/>
      <c r="K13" s="1"/>
      <c r="L13" s="1"/>
      <c r="M13" s="1"/>
      <c r="N13" s="18"/>
    </row>
    <row r="14" spans="2:14" ht="15" customHeight="1" x14ac:dyDescent="0.25">
      <c r="B14" s="20"/>
      <c r="C14" s="5" t="s">
        <v>9</v>
      </c>
      <c r="D14" s="6"/>
      <c r="E14" s="11">
        <v>1.0173E-2</v>
      </c>
      <c r="F14" s="1"/>
      <c r="G14" s="1"/>
      <c r="H14" s="1"/>
      <c r="I14" s="1"/>
      <c r="J14" s="1"/>
      <c r="K14" s="1"/>
      <c r="L14" s="1"/>
      <c r="M14" s="1"/>
      <c r="N14" s="18"/>
    </row>
    <row r="15" spans="2:14" ht="15.75" customHeight="1" x14ac:dyDescent="0.25">
      <c r="B15" s="20"/>
      <c r="C15" s="7" t="s">
        <v>10</v>
      </c>
      <c r="D15" s="8"/>
      <c r="E15" s="12">
        <v>1.0173E-2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2.0555E-2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1" t="s">
        <v>18</v>
      </c>
      <c r="H24" s="52"/>
      <c r="I24" s="52"/>
      <c r="J24" s="52"/>
      <c r="K24" s="52"/>
      <c r="L24" s="26">
        <v>4.1525090881115725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1" t="s">
        <v>19</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8.25" customHeight="1" thickBot="1" x14ac:dyDescent="0.3">
      <c r="B45" s="43" t="s">
        <v>295</v>
      </c>
      <c r="C45" s="44"/>
      <c r="D45" s="44"/>
      <c r="E45" s="44"/>
      <c r="F45" s="44"/>
      <c r="G45" s="44"/>
      <c r="H45" s="44"/>
      <c r="I45" s="44"/>
      <c r="J45" s="44"/>
      <c r="K45" s="44"/>
      <c r="L45" s="44"/>
      <c r="M45" s="44"/>
      <c r="N45" s="45"/>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6E37-15CE-4370-9D0B-300237A3EAB6}">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121</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122</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60</v>
      </c>
      <c r="D8" s="6" t="s">
        <v>47</v>
      </c>
      <c r="E8" s="11">
        <v>0.73502599999999996</v>
      </c>
      <c r="F8" s="1"/>
      <c r="G8" s="24" t="s">
        <v>16</v>
      </c>
      <c r="H8" s="25">
        <v>1</v>
      </c>
      <c r="I8" s="1"/>
      <c r="J8" s="24" t="s">
        <v>13</v>
      </c>
      <c r="K8" s="24" t="s">
        <v>5</v>
      </c>
      <c r="L8" s="1"/>
      <c r="M8" s="1"/>
      <c r="N8" s="18"/>
    </row>
    <row r="9" spans="2:14" ht="15" customHeight="1" x14ac:dyDescent="0.25">
      <c r="B9" s="20"/>
      <c r="C9" s="5" t="s">
        <v>61</v>
      </c>
      <c r="D9" s="6" t="s">
        <v>47</v>
      </c>
      <c r="E9" s="11">
        <v>0.24949299999999999</v>
      </c>
      <c r="F9" s="1"/>
      <c r="G9" s="1"/>
      <c r="H9" s="1"/>
      <c r="I9" s="1"/>
      <c r="J9" s="24" t="s">
        <v>11</v>
      </c>
      <c r="K9" s="29">
        <v>7.9710000000000007E-3</v>
      </c>
      <c r="L9" s="1"/>
      <c r="M9" s="1"/>
      <c r="N9" s="18"/>
    </row>
    <row r="10" spans="2:14" ht="15.75" customHeight="1" x14ac:dyDescent="0.25">
      <c r="B10" s="20"/>
      <c r="C10" s="7" t="s">
        <v>51</v>
      </c>
      <c r="D10" s="8"/>
      <c r="E10" s="12">
        <v>0.98451900000000003</v>
      </c>
      <c r="F10" s="1"/>
      <c r="G10" s="1"/>
      <c r="H10" s="1"/>
      <c r="I10" s="1"/>
      <c r="J10" s="24" t="s">
        <v>14</v>
      </c>
      <c r="K10" s="29">
        <v>7.5100000000000002E-3</v>
      </c>
      <c r="L10" s="1"/>
      <c r="M10" s="1"/>
      <c r="N10" s="18"/>
    </row>
    <row r="11" spans="2:14" ht="15" customHeight="1" x14ac:dyDescent="0.25">
      <c r="B11" s="20"/>
      <c r="C11" s="5" t="s">
        <v>9</v>
      </c>
      <c r="D11" s="6"/>
      <c r="E11" s="11">
        <v>7.5100000000000002E-3</v>
      </c>
      <c r="F11" s="1"/>
      <c r="G11" s="1"/>
      <c r="H11" s="1"/>
      <c r="I11" s="1"/>
      <c r="J11" s="24" t="s">
        <v>55</v>
      </c>
      <c r="K11" s="29">
        <v>0.98451900000000003</v>
      </c>
      <c r="L11" s="1"/>
      <c r="M11" s="1"/>
      <c r="N11" s="18"/>
    </row>
    <row r="12" spans="2:14" ht="15.75" customHeight="1" x14ac:dyDescent="0.25">
      <c r="B12" s="20"/>
      <c r="C12" s="7" t="s">
        <v>10</v>
      </c>
      <c r="D12" s="8"/>
      <c r="E12" s="12">
        <v>7.5100000000000002E-3</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11</v>
      </c>
      <c r="D14" s="8"/>
      <c r="E14" s="12">
        <v>7.9710000000000007E-3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12</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1" t="s">
        <v>18</v>
      </c>
      <c r="H24" s="52"/>
      <c r="I24" s="52"/>
      <c r="J24" s="52"/>
      <c r="K24" s="52"/>
      <c r="L24" s="26">
        <v>8.1960653686697302</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1" t="s">
        <v>19</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0.25" customHeight="1" thickBot="1" x14ac:dyDescent="0.3">
      <c r="B45" s="43" t="s">
        <v>295</v>
      </c>
      <c r="C45" s="44"/>
      <c r="D45" s="44"/>
      <c r="E45" s="44"/>
      <c r="F45" s="44"/>
      <c r="G45" s="44"/>
      <c r="H45" s="44"/>
      <c r="I45" s="44"/>
      <c r="J45" s="44"/>
      <c r="K45" s="44"/>
      <c r="L45" s="44"/>
      <c r="M45" s="44"/>
      <c r="N45" s="45"/>
    </row>
  </sheetData>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7F7F8-AD34-477F-89D8-9F0B6360B8DF}">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108</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109</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110</v>
      </c>
      <c r="D8" s="6" t="s">
        <v>47</v>
      </c>
      <c r="E8" s="11">
        <v>0.13067799999999999</v>
      </c>
      <c r="F8" s="1"/>
      <c r="G8" s="24" t="s">
        <v>16</v>
      </c>
      <c r="H8" s="25">
        <v>1</v>
      </c>
      <c r="I8" s="1"/>
      <c r="J8" s="24" t="s">
        <v>13</v>
      </c>
      <c r="K8" s="24" t="s">
        <v>5</v>
      </c>
      <c r="L8" s="1"/>
      <c r="M8" s="1"/>
      <c r="N8" s="18"/>
    </row>
    <row r="9" spans="2:14" ht="15.75" customHeight="1" x14ac:dyDescent="0.25">
      <c r="B9" s="20"/>
      <c r="C9" s="7" t="s">
        <v>51</v>
      </c>
      <c r="D9" s="8"/>
      <c r="E9" s="12">
        <v>0.13067799999999999</v>
      </c>
      <c r="F9" s="1"/>
      <c r="G9" s="1"/>
      <c r="H9" s="1"/>
      <c r="I9" s="1"/>
      <c r="J9" s="24" t="s">
        <v>11</v>
      </c>
      <c r="K9" s="29">
        <v>1.7138E-2</v>
      </c>
      <c r="L9" s="1"/>
      <c r="M9" s="1"/>
      <c r="N9" s="18"/>
    </row>
    <row r="10" spans="2:14" ht="15" customHeight="1" x14ac:dyDescent="0.25">
      <c r="B10" s="20"/>
      <c r="C10" s="5" t="s">
        <v>249</v>
      </c>
      <c r="D10" s="6" t="s">
        <v>47</v>
      </c>
      <c r="E10" s="11">
        <v>0.159695</v>
      </c>
      <c r="F10" s="1"/>
      <c r="G10" s="1"/>
      <c r="H10" s="1"/>
      <c r="I10" s="1"/>
      <c r="J10" s="24" t="s">
        <v>14</v>
      </c>
      <c r="K10" s="29">
        <v>3.6956999999999997E-2</v>
      </c>
      <c r="L10" s="1"/>
      <c r="M10" s="1"/>
      <c r="N10" s="18"/>
    </row>
    <row r="11" spans="2:14" ht="15.75" customHeight="1" x14ac:dyDescent="0.25">
      <c r="B11" s="20"/>
      <c r="C11" s="5" t="s">
        <v>244</v>
      </c>
      <c r="D11" s="6" t="s">
        <v>47</v>
      </c>
      <c r="E11" s="11">
        <v>0.13220699999999999</v>
      </c>
      <c r="F11" s="1"/>
      <c r="G11" s="1"/>
      <c r="H11" s="1"/>
      <c r="I11" s="1"/>
      <c r="J11" s="24" t="s">
        <v>55</v>
      </c>
      <c r="K11" s="29">
        <v>0.13067799999999999</v>
      </c>
      <c r="L11" s="1"/>
      <c r="M11" s="1"/>
      <c r="N11" s="18"/>
    </row>
    <row r="12" spans="2:14" ht="15" customHeight="1" x14ac:dyDescent="0.25">
      <c r="B12" s="20"/>
      <c r="C12" s="5" t="s">
        <v>246</v>
      </c>
      <c r="D12" s="6" t="s">
        <v>47</v>
      </c>
      <c r="E12" s="11">
        <v>9.0785000000000005E-2</v>
      </c>
      <c r="F12" s="1"/>
      <c r="G12" s="1"/>
      <c r="H12" s="1"/>
      <c r="I12" s="1"/>
      <c r="J12" s="24" t="s">
        <v>56</v>
      </c>
      <c r="K12" s="29">
        <v>0.81522700000000003</v>
      </c>
      <c r="L12" s="1"/>
      <c r="M12" s="1"/>
      <c r="N12" s="18"/>
    </row>
    <row r="13" spans="2:14" ht="15.75" customHeight="1" x14ac:dyDescent="0.25">
      <c r="B13" s="20"/>
      <c r="C13" s="5" t="s">
        <v>252</v>
      </c>
      <c r="D13" s="6" t="s">
        <v>47</v>
      </c>
      <c r="E13" s="11">
        <v>5.5753999999999998E-2</v>
      </c>
      <c r="F13" s="1"/>
      <c r="G13" s="1"/>
      <c r="H13" s="1"/>
      <c r="I13" s="1"/>
      <c r="J13" s="1"/>
      <c r="K13" s="1"/>
      <c r="L13" s="1"/>
      <c r="M13" s="1"/>
      <c r="N13" s="18"/>
    </row>
    <row r="14" spans="2:14" ht="15" customHeight="1" x14ac:dyDescent="0.25">
      <c r="B14" s="20"/>
      <c r="C14" s="5" t="s">
        <v>242</v>
      </c>
      <c r="D14" s="6" t="s">
        <v>47</v>
      </c>
      <c r="E14" s="11">
        <v>4.5206999999999997E-2</v>
      </c>
      <c r="F14" s="1"/>
      <c r="G14" s="1"/>
      <c r="H14" s="1"/>
      <c r="I14" s="1"/>
      <c r="J14" s="1"/>
      <c r="K14" s="1"/>
      <c r="L14" s="1"/>
      <c r="M14" s="1"/>
      <c r="N14" s="18"/>
    </row>
    <row r="15" spans="2:14" ht="15.75" customHeight="1" x14ac:dyDescent="0.25">
      <c r="B15" s="20"/>
      <c r="C15" s="5" t="s">
        <v>247</v>
      </c>
      <c r="D15" s="6" t="s">
        <v>47</v>
      </c>
      <c r="E15" s="11">
        <v>4.5124999999999998E-2</v>
      </c>
      <c r="F15" s="1"/>
      <c r="G15" s="1"/>
      <c r="H15" s="1"/>
      <c r="I15" s="1"/>
      <c r="J15" s="1"/>
      <c r="K15" s="1"/>
      <c r="L15" s="1"/>
      <c r="M15" s="1"/>
      <c r="N15" s="18"/>
    </row>
    <row r="16" spans="2:14" ht="15" customHeight="1" x14ac:dyDescent="0.25">
      <c r="B16" s="20"/>
      <c r="C16" s="5" t="s">
        <v>241</v>
      </c>
      <c r="D16" s="6" t="s">
        <v>47</v>
      </c>
      <c r="E16" s="11">
        <v>4.5006999999999998E-2</v>
      </c>
      <c r="F16" s="1"/>
      <c r="G16" s="1"/>
      <c r="H16" s="1"/>
      <c r="I16" s="1"/>
      <c r="J16" s="1"/>
      <c r="K16" s="1"/>
      <c r="L16" s="1"/>
      <c r="M16" s="1"/>
      <c r="N16" s="18"/>
    </row>
    <row r="17" spans="2:14" ht="15" customHeight="1" x14ac:dyDescent="0.25">
      <c r="B17" s="20"/>
      <c r="C17" s="5" t="s">
        <v>248</v>
      </c>
      <c r="D17" s="6" t="s">
        <v>47</v>
      </c>
      <c r="E17" s="11">
        <v>3.7031000000000001E-2</v>
      </c>
      <c r="F17" s="1"/>
      <c r="G17" s="1"/>
      <c r="H17" s="1"/>
      <c r="I17" s="1"/>
      <c r="J17" s="1"/>
      <c r="K17" s="1"/>
      <c r="L17" s="1"/>
      <c r="M17" s="1"/>
      <c r="N17" s="18"/>
    </row>
    <row r="18" spans="2:14" ht="15" customHeight="1" x14ac:dyDescent="0.25">
      <c r="B18" s="20"/>
      <c r="C18" s="5" t="s">
        <v>253</v>
      </c>
      <c r="D18" s="6" t="s">
        <v>47</v>
      </c>
      <c r="E18" s="11">
        <v>3.6755999999999997E-2</v>
      </c>
      <c r="F18" s="1"/>
      <c r="G18" s="1"/>
      <c r="H18" s="1"/>
      <c r="I18" s="1"/>
      <c r="J18" s="1"/>
      <c r="K18" s="1"/>
      <c r="L18" s="1"/>
      <c r="M18" s="1"/>
      <c r="N18" s="18"/>
    </row>
    <row r="19" spans="2:14" ht="15" customHeight="1" x14ac:dyDescent="0.25">
      <c r="B19" s="20"/>
      <c r="C19" s="5" t="s">
        <v>250</v>
      </c>
      <c r="D19" s="6" t="s">
        <v>47</v>
      </c>
      <c r="E19" s="11">
        <v>3.6489000000000001E-2</v>
      </c>
      <c r="F19" s="1"/>
      <c r="G19" s="1"/>
      <c r="H19" s="1"/>
      <c r="I19" s="1"/>
      <c r="J19" s="1"/>
      <c r="K19" s="1"/>
      <c r="L19" s="1"/>
      <c r="M19" s="1"/>
      <c r="N19" s="18"/>
    </row>
    <row r="20" spans="2:14" ht="15" customHeight="1" x14ac:dyDescent="0.25">
      <c r="B20" s="20"/>
      <c r="C20" s="5" t="s">
        <v>190</v>
      </c>
      <c r="D20" s="6" t="s">
        <v>47</v>
      </c>
      <c r="E20" s="11">
        <v>3.1785000000000001E-2</v>
      </c>
      <c r="F20" s="1"/>
      <c r="G20" s="1"/>
      <c r="H20" s="1"/>
      <c r="I20" s="1"/>
      <c r="J20" s="1"/>
      <c r="K20" s="1"/>
      <c r="L20" s="1"/>
      <c r="M20" s="1"/>
      <c r="N20" s="18"/>
    </row>
    <row r="21" spans="2:14" ht="15" customHeight="1" x14ac:dyDescent="0.25">
      <c r="B21" s="20"/>
      <c r="C21" s="5" t="s">
        <v>251</v>
      </c>
      <c r="D21" s="6" t="s">
        <v>47</v>
      </c>
      <c r="E21" s="11">
        <v>3.0993E-2</v>
      </c>
      <c r="F21" s="1"/>
      <c r="G21" s="1"/>
      <c r="H21" s="1"/>
      <c r="I21" s="1"/>
      <c r="J21" s="1"/>
      <c r="K21" s="1"/>
      <c r="L21" s="1"/>
      <c r="M21" s="1"/>
      <c r="N21" s="18"/>
    </row>
    <row r="22" spans="2:14" ht="15" customHeight="1" x14ac:dyDescent="0.25">
      <c r="B22" s="20"/>
      <c r="C22" s="5" t="s">
        <v>240</v>
      </c>
      <c r="D22" s="6" t="s">
        <v>47</v>
      </c>
      <c r="E22" s="11">
        <v>2.2565999999999999E-2</v>
      </c>
      <c r="F22" s="1"/>
      <c r="G22" s="1"/>
      <c r="H22" s="1"/>
      <c r="I22" s="1"/>
      <c r="J22" s="1"/>
      <c r="K22" s="1"/>
      <c r="L22" s="1"/>
      <c r="M22" s="1"/>
      <c r="N22" s="18"/>
    </row>
    <row r="23" spans="2:14" ht="15" customHeight="1" x14ac:dyDescent="0.25">
      <c r="B23" s="20"/>
      <c r="C23" s="5" t="s">
        <v>255</v>
      </c>
      <c r="D23" s="6" t="s">
        <v>47</v>
      </c>
      <c r="E23" s="11">
        <v>1.8051000000000001E-2</v>
      </c>
      <c r="F23" s="1"/>
      <c r="G23" s="1"/>
      <c r="H23" s="1"/>
      <c r="I23" s="1"/>
      <c r="J23" s="1"/>
      <c r="K23" s="1"/>
      <c r="L23" s="1"/>
      <c r="M23" s="1"/>
      <c r="N23" s="18"/>
    </row>
    <row r="24" spans="2:14" ht="15" customHeight="1" x14ac:dyDescent="0.25">
      <c r="B24" s="20"/>
      <c r="C24" s="5" t="s">
        <v>254</v>
      </c>
      <c r="D24" s="6" t="s">
        <v>47</v>
      </c>
      <c r="E24" s="11">
        <v>9.0329999999999994E-3</v>
      </c>
      <c r="F24" s="1"/>
      <c r="G24" s="51" t="s">
        <v>18</v>
      </c>
      <c r="H24" s="52"/>
      <c r="I24" s="52"/>
      <c r="J24" s="52"/>
      <c r="K24" s="52"/>
      <c r="L24" s="26">
        <v>2.9814458722986221</v>
      </c>
      <c r="M24" s="27"/>
      <c r="N24" s="28"/>
    </row>
    <row r="25" spans="2:14" ht="15" customHeight="1" x14ac:dyDescent="0.25">
      <c r="B25" s="20"/>
      <c r="C25" s="5" t="s">
        <v>256</v>
      </c>
      <c r="D25" s="6" t="s">
        <v>47</v>
      </c>
      <c r="E25" s="11">
        <v>9.0170000000000007E-3</v>
      </c>
      <c r="F25" s="1"/>
      <c r="G25" s="1"/>
      <c r="H25" s="1"/>
      <c r="I25" s="1"/>
      <c r="J25" s="1"/>
      <c r="K25" s="1"/>
      <c r="L25" s="1"/>
      <c r="M25" s="1"/>
      <c r="N25" s="18"/>
    </row>
    <row r="26" spans="2:14" ht="15" customHeight="1" x14ac:dyDescent="0.25">
      <c r="B26" s="20"/>
      <c r="C26" s="5" t="s">
        <v>245</v>
      </c>
      <c r="D26" s="6" t="s">
        <v>47</v>
      </c>
      <c r="E26" s="11">
        <v>5.2560000000000003E-3</v>
      </c>
      <c r="F26" s="1"/>
      <c r="G26" s="51" t="s">
        <v>19</v>
      </c>
      <c r="H26" s="52"/>
      <c r="I26" s="52"/>
      <c r="J26" s="52"/>
      <c r="K26" s="52"/>
      <c r="L26" s="52"/>
      <c r="M26" s="52"/>
      <c r="N26" s="53"/>
    </row>
    <row r="27" spans="2:14" ht="15" customHeight="1" x14ac:dyDescent="0.25">
      <c r="B27" s="20"/>
      <c r="C27" s="5" t="s">
        <v>243</v>
      </c>
      <c r="D27" s="6" t="s">
        <v>47</v>
      </c>
      <c r="E27" s="11">
        <v>4.47E-3</v>
      </c>
      <c r="F27" s="1"/>
      <c r="G27" s="1"/>
      <c r="H27" s="1"/>
      <c r="I27" s="1"/>
      <c r="J27" s="1"/>
      <c r="K27" s="1"/>
      <c r="L27" s="1"/>
      <c r="M27" s="1"/>
      <c r="N27" s="18"/>
    </row>
    <row r="28" spans="2:14" ht="15" customHeight="1" x14ac:dyDescent="0.25">
      <c r="B28" s="20"/>
      <c r="C28" s="7" t="s">
        <v>52</v>
      </c>
      <c r="D28" s="8"/>
      <c r="E28" s="12">
        <v>0.81522700000000003</v>
      </c>
      <c r="F28" s="1"/>
      <c r="G28" s="1"/>
      <c r="H28" s="1"/>
      <c r="I28" s="1"/>
      <c r="J28" s="1"/>
      <c r="K28" s="1"/>
      <c r="L28" s="1"/>
      <c r="M28" s="1"/>
      <c r="N28" s="18"/>
    </row>
    <row r="29" spans="2:14" ht="15" customHeight="1" x14ac:dyDescent="0.25">
      <c r="B29" s="20"/>
      <c r="C29" s="5" t="s">
        <v>9</v>
      </c>
      <c r="D29" s="6"/>
      <c r="E29" s="11">
        <v>3.6956999999999997E-2</v>
      </c>
      <c r="F29" s="1"/>
      <c r="G29" s="1"/>
      <c r="H29" s="1"/>
      <c r="I29" s="1"/>
      <c r="J29" s="1"/>
      <c r="K29" s="1"/>
      <c r="L29" s="1"/>
      <c r="M29" s="1"/>
      <c r="N29" s="18"/>
    </row>
    <row r="30" spans="2:14" ht="15" customHeight="1" x14ac:dyDescent="0.25">
      <c r="B30" s="20"/>
      <c r="C30" s="7" t="s">
        <v>10</v>
      </c>
      <c r="D30" s="8"/>
      <c r="E30" s="12">
        <v>3.6956999999999997E-2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7" t="s">
        <v>11</v>
      </c>
      <c r="D32" s="8"/>
      <c r="E32" s="12">
        <v>1.7138E-2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9" t="s">
        <v>12</v>
      </c>
      <c r="D34" s="10"/>
      <c r="E34" s="13">
        <v>1</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1.25" customHeight="1" thickBot="1" x14ac:dyDescent="0.3">
      <c r="B45" s="43" t="s">
        <v>295</v>
      </c>
      <c r="C45" s="44"/>
      <c r="D45" s="44"/>
      <c r="E45" s="44"/>
      <c r="F45" s="44"/>
      <c r="G45" s="44"/>
      <c r="H45" s="44"/>
      <c r="I45" s="44"/>
      <c r="J45" s="44"/>
      <c r="K45" s="44"/>
      <c r="L45" s="44"/>
      <c r="M45" s="44"/>
      <c r="N45" s="45"/>
    </row>
  </sheetData>
  <sortState ref="C10:E27">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90810-01DA-4E4F-A616-B7F8FDB9E005}">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111</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112</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46</v>
      </c>
      <c r="D8" s="6" t="s">
        <v>47</v>
      </c>
      <c r="E8" s="11">
        <v>0.16091800000000001</v>
      </c>
      <c r="F8" s="1"/>
      <c r="G8" s="24" t="s">
        <v>16</v>
      </c>
      <c r="H8" s="25">
        <v>1</v>
      </c>
      <c r="I8" s="1"/>
      <c r="J8" s="24" t="s">
        <v>13</v>
      </c>
      <c r="K8" s="24" t="s">
        <v>5</v>
      </c>
      <c r="L8" s="1"/>
      <c r="M8" s="1"/>
      <c r="N8" s="18"/>
    </row>
    <row r="9" spans="2:14" ht="15.75" customHeight="1" x14ac:dyDescent="0.25">
      <c r="B9" s="20"/>
      <c r="C9" s="7" t="s">
        <v>51</v>
      </c>
      <c r="D9" s="8"/>
      <c r="E9" s="12">
        <v>0.16091800000000001</v>
      </c>
      <c r="F9" s="1"/>
      <c r="G9" s="1"/>
      <c r="H9" s="1"/>
      <c r="I9" s="1"/>
      <c r="J9" s="24" t="s">
        <v>11</v>
      </c>
      <c r="K9" s="29">
        <v>1.1753E-2</v>
      </c>
      <c r="L9" s="1"/>
      <c r="M9" s="1"/>
      <c r="N9" s="18"/>
    </row>
    <row r="10" spans="2:14" ht="15" customHeight="1" x14ac:dyDescent="0.25">
      <c r="B10" s="20"/>
      <c r="C10" s="5" t="s">
        <v>259</v>
      </c>
      <c r="D10" s="6" t="s">
        <v>47</v>
      </c>
      <c r="E10" s="11">
        <v>0.18637200000000001</v>
      </c>
      <c r="F10" s="1"/>
      <c r="G10" s="1"/>
      <c r="H10" s="1"/>
      <c r="I10" s="1"/>
      <c r="J10" s="24" t="s">
        <v>14</v>
      </c>
      <c r="K10" s="29">
        <v>2.4538999999999998E-2</v>
      </c>
      <c r="L10" s="1"/>
      <c r="M10" s="1"/>
      <c r="N10" s="18"/>
    </row>
    <row r="11" spans="2:14" ht="15.75" customHeight="1" x14ac:dyDescent="0.25">
      <c r="B11" s="20"/>
      <c r="C11" s="5" t="s">
        <v>215</v>
      </c>
      <c r="D11" s="6" t="s">
        <v>47</v>
      </c>
      <c r="E11" s="11">
        <v>0.13078100000000001</v>
      </c>
      <c r="F11" s="1"/>
      <c r="G11" s="1"/>
      <c r="H11" s="1"/>
      <c r="I11" s="1"/>
      <c r="J11" s="24" t="s">
        <v>55</v>
      </c>
      <c r="K11" s="29">
        <v>0.16091800000000001</v>
      </c>
      <c r="L11" s="1"/>
      <c r="M11" s="1"/>
      <c r="N11" s="18"/>
    </row>
    <row r="12" spans="2:14" ht="15" customHeight="1" x14ac:dyDescent="0.25">
      <c r="B12" s="20"/>
      <c r="C12" s="5" t="s">
        <v>265</v>
      </c>
      <c r="D12" s="6" t="s">
        <v>47</v>
      </c>
      <c r="E12" s="11">
        <v>0.12826799999999999</v>
      </c>
      <c r="F12" s="1"/>
      <c r="G12" s="1"/>
      <c r="H12" s="1"/>
      <c r="I12" s="1"/>
      <c r="J12" s="24" t="s">
        <v>56</v>
      </c>
      <c r="K12" s="29">
        <v>0.80279</v>
      </c>
      <c r="L12" s="1"/>
      <c r="M12" s="1"/>
      <c r="N12" s="18"/>
    </row>
    <row r="13" spans="2:14" ht="15.75" customHeight="1" x14ac:dyDescent="0.25">
      <c r="B13" s="20"/>
      <c r="C13" s="5" t="s">
        <v>257</v>
      </c>
      <c r="D13" s="6" t="s">
        <v>47</v>
      </c>
      <c r="E13" s="11">
        <v>0.127971</v>
      </c>
      <c r="F13" s="1"/>
      <c r="G13" s="1"/>
      <c r="H13" s="1"/>
      <c r="I13" s="1"/>
      <c r="J13" s="1"/>
      <c r="K13" s="1"/>
      <c r="L13" s="1"/>
      <c r="M13" s="1"/>
      <c r="N13" s="18"/>
    </row>
    <row r="14" spans="2:14" ht="15" customHeight="1" x14ac:dyDescent="0.25">
      <c r="B14" s="20"/>
      <c r="C14" s="5" t="s">
        <v>262</v>
      </c>
      <c r="D14" s="6" t="s">
        <v>47</v>
      </c>
      <c r="E14" s="11">
        <v>6.4077999999999996E-2</v>
      </c>
      <c r="F14" s="1"/>
      <c r="G14" s="1"/>
      <c r="H14" s="1"/>
      <c r="I14" s="1"/>
      <c r="J14" s="1"/>
      <c r="K14" s="1"/>
      <c r="L14" s="1"/>
      <c r="M14" s="1"/>
      <c r="N14" s="18"/>
    </row>
    <row r="15" spans="2:14" ht="15.75" customHeight="1" x14ac:dyDescent="0.25">
      <c r="B15" s="20"/>
      <c r="C15" s="5" t="s">
        <v>260</v>
      </c>
      <c r="D15" s="6" t="s">
        <v>47</v>
      </c>
      <c r="E15" s="11">
        <v>6.1863000000000001E-2</v>
      </c>
      <c r="F15" s="1"/>
      <c r="G15" s="1"/>
      <c r="H15" s="1"/>
      <c r="I15" s="1"/>
      <c r="J15" s="1"/>
      <c r="K15" s="1"/>
      <c r="L15" s="1"/>
      <c r="M15" s="1"/>
      <c r="N15" s="18"/>
    </row>
    <row r="16" spans="2:14" ht="15" customHeight="1" x14ac:dyDescent="0.25">
      <c r="B16" s="20"/>
      <c r="C16" s="5" t="s">
        <v>261</v>
      </c>
      <c r="D16" s="6" t="s">
        <v>47</v>
      </c>
      <c r="E16" s="11">
        <v>3.8476000000000003E-2</v>
      </c>
      <c r="F16" s="1"/>
      <c r="G16" s="1"/>
      <c r="H16" s="1"/>
      <c r="I16" s="1"/>
      <c r="J16" s="1"/>
      <c r="K16" s="1"/>
      <c r="L16" s="1"/>
      <c r="M16" s="1"/>
      <c r="N16" s="18"/>
    </row>
    <row r="17" spans="2:14" ht="15" customHeight="1" x14ac:dyDescent="0.25">
      <c r="B17" s="20"/>
      <c r="C17" s="5" t="s">
        <v>264</v>
      </c>
      <c r="D17" s="6" t="s">
        <v>47</v>
      </c>
      <c r="E17" s="11">
        <v>3.1997999999999999E-2</v>
      </c>
      <c r="F17" s="1"/>
      <c r="G17" s="1"/>
      <c r="H17" s="1"/>
      <c r="I17" s="1"/>
      <c r="J17" s="1"/>
      <c r="K17" s="1"/>
      <c r="L17" s="1"/>
      <c r="M17" s="1"/>
      <c r="N17" s="18"/>
    </row>
    <row r="18" spans="2:14" ht="15" customHeight="1" x14ac:dyDescent="0.25">
      <c r="B18" s="20"/>
      <c r="C18" s="5" t="s">
        <v>263</v>
      </c>
      <c r="D18" s="6" t="s">
        <v>47</v>
      </c>
      <c r="E18" s="11">
        <v>2.9083000000000001E-2</v>
      </c>
      <c r="F18" s="1"/>
      <c r="G18" s="1"/>
      <c r="H18" s="1"/>
      <c r="I18" s="1"/>
      <c r="J18" s="1"/>
      <c r="K18" s="1"/>
      <c r="L18" s="1"/>
      <c r="M18" s="1"/>
      <c r="N18" s="18"/>
    </row>
    <row r="19" spans="2:14" ht="15" customHeight="1" x14ac:dyDescent="0.25">
      <c r="B19" s="20"/>
      <c r="C19" s="5" t="s">
        <v>258</v>
      </c>
      <c r="D19" s="6" t="s">
        <v>47</v>
      </c>
      <c r="E19" s="11">
        <v>3.8999999999999998E-3</v>
      </c>
      <c r="F19" s="1"/>
      <c r="G19" s="1"/>
      <c r="H19" s="1"/>
      <c r="I19" s="1"/>
      <c r="J19" s="1"/>
      <c r="K19" s="1"/>
      <c r="L19" s="1"/>
      <c r="M19" s="1"/>
      <c r="N19" s="18"/>
    </row>
    <row r="20" spans="2:14" ht="15" customHeight="1" x14ac:dyDescent="0.25">
      <c r="B20" s="20"/>
      <c r="C20" s="7" t="s">
        <v>52</v>
      </c>
      <c r="D20" s="8"/>
      <c r="E20" s="12">
        <v>0.80279</v>
      </c>
      <c r="F20" s="1"/>
      <c r="G20" s="1"/>
      <c r="H20" s="1"/>
      <c r="I20" s="1"/>
      <c r="J20" s="1"/>
      <c r="K20" s="1"/>
      <c r="L20" s="1"/>
      <c r="M20" s="1"/>
      <c r="N20" s="18"/>
    </row>
    <row r="21" spans="2:14" ht="15" customHeight="1" x14ac:dyDescent="0.25">
      <c r="B21" s="20"/>
      <c r="C21" s="5" t="s">
        <v>9</v>
      </c>
      <c r="D21" s="6"/>
      <c r="E21" s="11">
        <v>2.4538999999999998E-2</v>
      </c>
      <c r="F21" s="1"/>
      <c r="G21" s="1"/>
      <c r="H21" s="1"/>
      <c r="I21" s="1"/>
      <c r="J21" s="1"/>
      <c r="K21" s="1"/>
      <c r="L21" s="1"/>
      <c r="M21" s="1"/>
      <c r="N21" s="18"/>
    </row>
    <row r="22" spans="2:14" ht="15" customHeight="1" x14ac:dyDescent="0.25">
      <c r="B22" s="20"/>
      <c r="C22" s="7" t="s">
        <v>10</v>
      </c>
      <c r="D22" s="8"/>
      <c r="E22" s="12">
        <v>2.4538999999999998E-2</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7" t="s">
        <v>11</v>
      </c>
      <c r="D24" s="8"/>
      <c r="E24" s="12">
        <v>1.1753E-2</v>
      </c>
      <c r="F24" s="1"/>
      <c r="G24" s="51" t="s">
        <v>18</v>
      </c>
      <c r="H24" s="52"/>
      <c r="I24" s="52"/>
      <c r="J24" s="52"/>
      <c r="K24" s="52"/>
      <c r="L24" s="26">
        <v>3.8348891872405613</v>
      </c>
      <c r="M24" s="27"/>
      <c r="N24" s="28"/>
    </row>
    <row r="25" spans="2:14" ht="15" customHeight="1" x14ac:dyDescent="0.25">
      <c r="B25" s="20"/>
      <c r="C25" s="5"/>
      <c r="D25" s="6"/>
      <c r="E25" s="11"/>
      <c r="F25" s="1"/>
      <c r="G25" s="1"/>
      <c r="H25" s="1"/>
      <c r="I25" s="1"/>
      <c r="J25" s="1"/>
      <c r="K25" s="1"/>
      <c r="L25" s="1"/>
      <c r="M25" s="1"/>
      <c r="N25" s="18"/>
    </row>
    <row r="26" spans="2:14" ht="15" customHeight="1" x14ac:dyDescent="0.25">
      <c r="B26" s="20"/>
      <c r="C26" s="9" t="s">
        <v>12</v>
      </c>
      <c r="D26" s="10"/>
      <c r="E26" s="13">
        <v>1</v>
      </c>
      <c r="F26" s="1"/>
      <c r="G26" s="51" t="s">
        <v>19</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5.25" customHeight="1" thickBot="1" x14ac:dyDescent="0.3">
      <c r="B45" s="43" t="s">
        <v>295</v>
      </c>
      <c r="C45" s="44"/>
      <c r="D45" s="44"/>
      <c r="E45" s="44"/>
      <c r="F45" s="44"/>
      <c r="G45" s="44"/>
      <c r="H45" s="44"/>
      <c r="I45" s="44"/>
      <c r="J45" s="44"/>
      <c r="K45" s="44"/>
      <c r="L45" s="44"/>
      <c r="M45" s="44"/>
      <c r="N45" s="45"/>
    </row>
  </sheetData>
  <sortState ref="C10:E19">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931A3-907D-457B-B6ED-EF3F1055D387}">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106</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107</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60</v>
      </c>
      <c r="D8" s="6" t="s">
        <v>47</v>
      </c>
      <c r="E8" s="11">
        <v>6.3464000000000007E-2</v>
      </c>
      <c r="F8" s="1"/>
      <c r="G8" s="24" t="s">
        <v>16</v>
      </c>
      <c r="H8" s="25">
        <v>1</v>
      </c>
      <c r="I8" s="1"/>
      <c r="J8" s="24" t="s">
        <v>13</v>
      </c>
      <c r="K8" s="24" t="s">
        <v>5</v>
      </c>
      <c r="L8" s="1"/>
      <c r="M8" s="1"/>
      <c r="N8" s="18"/>
    </row>
    <row r="9" spans="2:14" ht="15.75" customHeight="1" x14ac:dyDescent="0.25">
      <c r="B9" s="20"/>
      <c r="C9" s="7" t="s">
        <v>51</v>
      </c>
      <c r="D9" s="8"/>
      <c r="E9" s="12">
        <v>6.3464000000000007E-2</v>
      </c>
      <c r="F9" s="1"/>
      <c r="G9" s="1"/>
      <c r="H9" s="1"/>
      <c r="I9" s="1"/>
      <c r="J9" s="24" t="s">
        <v>11</v>
      </c>
      <c r="K9" s="29">
        <v>2.6017999999999999E-2</v>
      </c>
      <c r="L9" s="1"/>
      <c r="M9" s="1"/>
      <c r="N9" s="18"/>
    </row>
    <row r="10" spans="2:14" ht="15" customHeight="1" x14ac:dyDescent="0.25">
      <c r="B10" s="20"/>
      <c r="C10" s="5" t="s">
        <v>287</v>
      </c>
      <c r="D10" s="6" t="s">
        <v>47</v>
      </c>
      <c r="E10" s="11">
        <v>0.156835</v>
      </c>
      <c r="F10" s="1"/>
      <c r="G10" s="1"/>
      <c r="H10" s="1"/>
      <c r="I10" s="1"/>
      <c r="J10" s="24" t="s">
        <v>14</v>
      </c>
      <c r="K10" s="29">
        <v>6.5199999999999998E-3</v>
      </c>
      <c r="L10" s="1"/>
      <c r="M10" s="1"/>
      <c r="N10" s="18"/>
    </row>
    <row r="11" spans="2:14" ht="15.75" customHeight="1" x14ac:dyDescent="0.25">
      <c r="B11" s="20"/>
      <c r="C11" s="5" t="s">
        <v>288</v>
      </c>
      <c r="D11" s="6" t="s">
        <v>47</v>
      </c>
      <c r="E11" s="11">
        <v>0.156497</v>
      </c>
      <c r="F11" s="1"/>
      <c r="G11" s="1"/>
      <c r="H11" s="1"/>
      <c r="I11" s="1"/>
      <c r="J11" s="24" t="s">
        <v>55</v>
      </c>
      <c r="K11" s="29">
        <v>6.3464000000000007E-2</v>
      </c>
      <c r="L11" s="1"/>
      <c r="M11" s="1"/>
      <c r="N11" s="18"/>
    </row>
    <row r="12" spans="2:14" ht="15" customHeight="1" x14ac:dyDescent="0.25">
      <c r="B12" s="20"/>
      <c r="C12" s="5" t="s">
        <v>285</v>
      </c>
      <c r="D12" s="6" t="s">
        <v>47</v>
      </c>
      <c r="E12" s="11">
        <v>0.13156499999999999</v>
      </c>
      <c r="F12" s="1"/>
      <c r="G12" s="1"/>
      <c r="H12" s="1"/>
      <c r="I12" s="1"/>
      <c r="J12" s="24" t="s">
        <v>56</v>
      </c>
      <c r="K12" s="29">
        <v>0.90399799999999997</v>
      </c>
      <c r="L12" s="1"/>
      <c r="M12" s="1"/>
      <c r="N12" s="18"/>
    </row>
    <row r="13" spans="2:14" ht="15.75" customHeight="1" x14ac:dyDescent="0.25">
      <c r="B13" s="20"/>
      <c r="C13" s="5" t="s">
        <v>286</v>
      </c>
      <c r="D13" s="6" t="s">
        <v>47</v>
      </c>
      <c r="E13" s="11">
        <v>8.7753999999999999E-2</v>
      </c>
      <c r="F13" s="1"/>
      <c r="G13" s="1"/>
      <c r="H13" s="1"/>
      <c r="I13" s="1"/>
      <c r="J13" s="1"/>
      <c r="K13" s="1"/>
      <c r="L13" s="1"/>
      <c r="M13" s="1"/>
      <c r="N13" s="18"/>
    </row>
    <row r="14" spans="2:14" ht="15" customHeight="1" x14ac:dyDescent="0.25">
      <c r="B14" s="20"/>
      <c r="C14" s="5" t="s">
        <v>276</v>
      </c>
      <c r="D14" s="6" t="s">
        <v>47</v>
      </c>
      <c r="E14" s="11">
        <v>4.5813E-2</v>
      </c>
      <c r="F14" s="1"/>
      <c r="G14" s="1"/>
      <c r="H14" s="1"/>
      <c r="I14" s="1"/>
      <c r="J14" s="1"/>
      <c r="K14" s="1"/>
      <c r="L14" s="1"/>
      <c r="M14" s="1"/>
      <c r="N14" s="18"/>
    </row>
    <row r="15" spans="2:14" ht="15.75" customHeight="1" x14ac:dyDescent="0.25">
      <c r="B15" s="20"/>
      <c r="C15" s="5" t="s">
        <v>283</v>
      </c>
      <c r="D15" s="6" t="s">
        <v>47</v>
      </c>
      <c r="E15" s="11">
        <v>4.0475999999999998E-2</v>
      </c>
      <c r="F15" s="1"/>
      <c r="G15" s="1"/>
      <c r="H15" s="1"/>
      <c r="I15" s="1"/>
      <c r="J15" s="1"/>
      <c r="K15" s="1"/>
      <c r="L15" s="1"/>
      <c r="M15" s="1"/>
      <c r="N15" s="18"/>
    </row>
    <row r="16" spans="2:14" ht="15" customHeight="1" x14ac:dyDescent="0.25">
      <c r="B16" s="20"/>
      <c r="C16" s="5" t="s">
        <v>278</v>
      </c>
      <c r="D16" s="6" t="s">
        <v>47</v>
      </c>
      <c r="E16" s="11">
        <v>3.5378E-2</v>
      </c>
      <c r="F16" s="1"/>
      <c r="G16" s="1"/>
      <c r="H16" s="1"/>
      <c r="I16" s="1"/>
      <c r="J16" s="1"/>
      <c r="K16" s="1"/>
      <c r="L16" s="1"/>
      <c r="M16" s="1"/>
      <c r="N16" s="18"/>
    </row>
    <row r="17" spans="2:14" ht="15" customHeight="1" x14ac:dyDescent="0.25">
      <c r="B17" s="20"/>
      <c r="C17" s="5" t="s">
        <v>279</v>
      </c>
      <c r="D17" s="6" t="s">
        <v>47</v>
      </c>
      <c r="E17" s="11">
        <v>3.1210999999999999E-2</v>
      </c>
      <c r="F17" s="1"/>
      <c r="G17" s="1"/>
      <c r="H17" s="1"/>
      <c r="I17" s="1"/>
      <c r="J17" s="1"/>
      <c r="K17" s="1"/>
      <c r="L17" s="1"/>
      <c r="M17" s="1"/>
      <c r="N17" s="18"/>
    </row>
    <row r="18" spans="2:14" ht="15" customHeight="1" x14ac:dyDescent="0.25">
      <c r="B18" s="20"/>
      <c r="C18" s="5" t="s">
        <v>272</v>
      </c>
      <c r="D18" s="6" t="s">
        <v>47</v>
      </c>
      <c r="E18" s="11">
        <v>3.0113999999999998E-2</v>
      </c>
      <c r="F18" s="1"/>
      <c r="G18" s="1"/>
      <c r="H18" s="1"/>
      <c r="I18" s="1"/>
      <c r="J18" s="1"/>
      <c r="K18" s="1"/>
      <c r="L18" s="1"/>
      <c r="M18" s="1"/>
      <c r="N18" s="18"/>
    </row>
    <row r="19" spans="2:14" ht="15" customHeight="1" x14ac:dyDescent="0.25">
      <c r="B19" s="20"/>
      <c r="C19" s="5" t="s">
        <v>269</v>
      </c>
      <c r="D19" s="6" t="s">
        <v>47</v>
      </c>
      <c r="E19" s="11">
        <v>2.8199999999999999E-2</v>
      </c>
      <c r="F19" s="1"/>
      <c r="G19" s="1"/>
      <c r="H19" s="1"/>
      <c r="I19" s="1"/>
      <c r="J19" s="1"/>
      <c r="K19" s="1"/>
      <c r="L19" s="1"/>
      <c r="M19" s="1"/>
      <c r="N19" s="18"/>
    </row>
    <row r="20" spans="2:14" ht="15" customHeight="1" x14ac:dyDescent="0.25">
      <c r="B20" s="20"/>
      <c r="C20" s="5" t="s">
        <v>271</v>
      </c>
      <c r="D20" s="6" t="s">
        <v>47</v>
      </c>
      <c r="E20" s="11">
        <v>2.1186E-2</v>
      </c>
      <c r="F20" s="1"/>
      <c r="G20" s="1"/>
      <c r="H20" s="1"/>
      <c r="I20" s="1"/>
      <c r="J20" s="1"/>
      <c r="K20" s="1"/>
      <c r="L20" s="1"/>
      <c r="M20" s="1"/>
      <c r="N20" s="18"/>
    </row>
    <row r="21" spans="2:14" ht="15" customHeight="1" x14ac:dyDescent="0.25">
      <c r="B21" s="20"/>
      <c r="C21" s="5" t="s">
        <v>274</v>
      </c>
      <c r="D21" s="6" t="s">
        <v>47</v>
      </c>
      <c r="E21" s="11">
        <v>1.6723999999999999E-2</v>
      </c>
      <c r="F21" s="1"/>
      <c r="G21" s="1"/>
      <c r="H21" s="1"/>
      <c r="I21" s="1"/>
      <c r="J21" s="1"/>
      <c r="K21" s="1"/>
      <c r="L21" s="1"/>
      <c r="M21" s="1"/>
      <c r="N21" s="18"/>
    </row>
    <row r="22" spans="2:14" ht="15" customHeight="1" x14ac:dyDescent="0.25">
      <c r="B22" s="20"/>
      <c r="C22" s="5" t="s">
        <v>266</v>
      </c>
      <c r="D22" s="6" t="s">
        <v>47</v>
      </c>
      <c r="E22" s="11">
        <v>1.5824000000000001E-2</v>
      </c>
      <c r="F22" s="1"/>
      <c r="G22" s="1"/>
      <c r="H22" s="1"/>
      <c r="I22" s="1"/>
      <c r="J22" s="1"/>
      <c r="K22" s="1"/>
      <c r="L22" s="1"/>
      <c r="M22" s="1"/>
      <c r="N22" s="18"/>
    </row>
    <row r="23" spans="2:14" ht="15" customHeight="1" x14ac:dyDescent="0.25">
      <c r="B23" s="20"/>
      <c r="C23" s="5" t="s">
        <v>277</v>
      </c>
      <c r="D23" s="6" t="s">
        <v>47</v>
      </c>
      <c r="E23" s="11">
        <v>1.5706999999999999E-2</v>
      </c>
      <c r="F23" s="1"/>
      <c r="G23" s="1"/>
      <c r="H23" s="1"/>
      <c r="I23" s="1"/>
      <c r="J23" s="1"/>
      <c r="K23" s="1"/>
      <c r="L23" s="1"/>
      <c r="M23" s="1"/>
      <c r="N23" s="18"/>
    </row>
    <row r="24" spans="2:14" ht="15" customHeight="1" x14ac:dyDescent="0.25">
      <c r="B24" s="20"/>
      <c r="C24" s="5" t="s">
        <v>284</v>
      </c>
      <c r="D24" s="6" t="s">
        <v>47</v>
      </c>
      <c r="E24" s="11">
        <v>1.5692999999999999E-2</v>
      </c>
      <c r="F24" s="1"/>
      <c r="G24" s="51" t="s">
        <v>18</v>
      </c>
      <c r="H24" s="52"/>
      <c r="I24" s="52"/>
      <c r="J24" s="52"/>
      <c r="K24" s="52"/>
      <c r="L24" s="26">
        <v>8.4188767406537703</v>
      </c>
      <c r="M24" s="27"/>
      <c r="N24" s="28"/>
    </row>
    <row r="25" spans="2:14" ht="15" customHeight="1" x14ac:dyDescent="0.25">
      <c r="B25" s="20"/>
      <c r="C25" s="5" t="s">
        <v>275</v>
      </c>
      <c r="D25" s="6" t="s">
        <v>47</v>
      </c>
      <c r="E25" s="11">
        <v>1.5258000000000001E-2</v>
      </c>
      <c r="F25" s="1"/>
      <c r="G25" s="1"/>
      <c r="H25" s="1"/>
      <c r="I25" s="1"/>
      <c r="J25" s="1"/>
      <c r="K25" s="1"/>
      <c r="L25" s="1"/>
      <c r="M25" s="1"/>
      <c r="N25" s="18"/>
    </row>
    <row r="26" spans="2:14" ht="15" customHeight="1" x14ac:dyDescent="0.25">
      <c r="B26" s="20"/>
      <c r="C26" s="5" t="s">
        <v>270</v>
      </c>
      <c r="D26" s="6" t="s">
        <v>47</v>
      </c>
      <c r="E26" s="11">
        <v>1.5096999999999999E-2</v>
      </c>
      <c r="F26" s="1"/>
      <c r="G26" s="51" t="s">
        <v>19</v>
      </c>
      <c r="H26" s="52"/>
      <c r="I26" s="52"/>
      <c r="J26" s="52"/>
      <c r="K26" s="52"/>
      <c r="L26" s="52"/>
      <c r="M26" s="52"/>
      <c r="N26" s="53"/>
    </row>
    <row r="27" spans="2:14" ht="15" customHeight="1" x14ac:dyDescent="0.25">
      <c r="B27" s="20"/>
      <c r="C27" s="5" t="s">
        <v>268</v>
      </c>
      <c r="D27" s="6" t="s">
        <v>47</v>
      </c>
      <c r="E27" s="11">
        <v>1.4873000000000001E-2</v>
      </c>
      <c r="F27" s="1"/>
      <c r="G27" s="1"/>
      <c r="H27" s="1"/>
      <c r="I27" s="1"/>
      <c r="J27" s="1"/>
      <c r="K27" s="1"/>
      <c r="L27" s="1"/>
      <c r="M27" s="1"/>
      <c r="N27" s="18"/>
    </row>
    <row r="28" spans="2:14" ht="15" customHeight="1" x14ac:dyDescent="0.25">
      <c r="B28" s="20"/>
      <c r="C28" s="5" t="s">
        <v>282</v>
      </c>
      <c r="D28" s="6" t="s">
        <v>47</v>
      </c>
      <c r="E28" s="11">
        <v>9.306E-3</v>
      </c>
      <c r="F28" s="1"/>
      <c r="G28" s="1"/>
      <c r="H28" s="1"/>
      <c r="I28" s="1"/>
      <c r="J28" s="1"/>
      <c r="K28" s="1"/>
      <c r="L28" s="1"/>
      <c r="M28" s="1"/>
      <c r="N28" s="18"/>
    </row>
    <row r="29" spans="2:14" ht="15" customHeight="1" x14ac:dyDescent="0.25">
      <c r="B29" s="20"/>
      <c r="C29" s="5" t="s">
        <v>281</v>
      </c>
      <c r="D29" s="6" t="s">
        <v>47</v>
      </c>
      <c r="E29" s="11">
        <v>7.5940000000000001E-3</v>
      </c>
      <c r="F29" s="1"/>
      <c r="G29" s="1"/>
      <c r="H29" s="1"/>
      <c r="I29" s="1"/>
      <c r="J29" s="1"/>
      <c r="K29" s="1"/>
      <c r="L29" s="1"/>
      <c r="M29" s="1"/>
      <c r="N29" s="18"/>
    </row>
    <row r="30" spans="2:14" ht="15" customHeight="1" x14ac:dyDescent="0.25">
      <c r="B30" s="20"/>
      <c r="C30" s="5" t="s">
        <v>280</v>
      </c>
      <c r="D30" s="6" t="s">
        <v>47</v>
      </c>
      <c r="E30" s="11">
        <v>5.9639999999999997E-3</v>
      </c>
      <c r="F30" s="1"/>
      <c r="G30" s="1"/>
      <c r="H30" s="1"/>
      <c r="I30" s="1"/>
      <c r="J30" s="1"/>
      <c r="K30" s="1"/>
      <c r="L30" s="1"/>
      <c r="M30" s="1"/>
      <c r="N30" s="18"/>
    </row>
    <row r="31" spans="2:14" ht="15" customHeight="1" x14ac:dyDescent="0.25">
      <c r="B31" s="20"/>
      <c r="C31" s="5" t="s">
        <v>273</v>
      </c>
      <c r="D31" s="6" t="s">
        <v>47</v>
      </c>
      <c r="E31" s="11">
        <v>4.2500000000000003E-3</v>
      </c>
      <c r="F31" s="1"/>
      <c r="G31" s="1"/>
      <c r="H31" s="1"/>
      <c r="I31" s="1"/>
      <c r="J31" s="1"/>
      <c r="K31" s="1"/>
      <c r="L31" s="1"/>
      <c r="M31" s="1"/>
      <c r="N31" s="18"/>
    </row>
    <row r="32" spans="2:14" ht="15" customHeight="1" x14ac:dyDescent="0.25">
      <c r="B32" s="20"/>
      <c r="C32" s="5" t="s">
        <v>267</v>
      </c>
      <c r="D32" s="6" t="s">
        <v>47</v>
      </c>
      <c r="E32" s="11">
        <v>2.679E-3</v>
      </c>
      <c r="F32" s="1"/>
      <c r="G32" s="1"/>
      <c r="H32" s="1"/>
      <c r="I32" s="1"/>
      <c r="J32" s="1"/>
      <c r="K32" s="1"/>
      <c r="L32" s="1"/>
      <c r="M32" s="1"/>
      <c r="N32" s="18"/>
    </row>
    <row r="33" spans="2:14" ht="15" customHeight="1" x14ac:dyDescent="0.25">
      <c r="B33" s="20"/>
      <c r="C33" s="7" t="s">
        <v>52</v>
      </c>
      <c r="D33" s="8"/>
      <c r="E33" s="12">
        <v>0.90399799999999997</v>
      </c>
      <c r="F33" s="1"/>
      <c r="G33" s="1"/>
      <c r="H33" s="1"/>
      <c r="I33" s="1"/>
      <c r="J33" s="1"/>
      <c r="K33" s="1"/>
      <c r="L33" s="1"/>
      <c r="M33" s="1"/>
      <c r="N33" s="18"/>
    </row>
    <row r="34" spans="2:14" ht="15" customHeight="1" x14ac:dyDescent="0.25">
      <c r="B34" s="20"/>
      <c r="C34" s="5" t="s">
        <v>9</v>
      </c>
      <c r="D34" s="6"/>
      <c r="E34" s="11">
        <v>6.5199999999999998E-3</v>
      </c>
      <c r="F34" s="1"/>
      <c r="G34" s="1"/>
      <c r="H34" s="1"/>
      <c r="I34" s="1"/>
      <c r="J34" s="1"/>
      <c r="K34" s="1"/>
      <c r="L34" s="1"/>
      <c r="M34" s="1"/>
      <c r="N34" s="18"/>
    </row>
    <row r="35" spans="2:14" ht="15" customHeight="1" x14ac:dyDescent="0.25">
      <c r="B35" s="20"/>
      <c r="C35" s="7" t="s">
        <v>10</v>
      </c>
      <c r="D35" s="8"/>
      <c r="E35" s="12">
        <v>6.5199999999999998E-3</v>
      </c>
      <c r="F35" s="1"/>
      <c r="G35" s="1"/>
      <c r="H35" s="1"/>
      <c r="I35" s="1"/>
      <c r="J35" s="1"/>
      <c r="K35" s="1"/>
      <c r="L35" s="1"/>
      <c r="M35" s="1"/>
      <c r="N35" s="18"/>
    </row>
    <row r="36" spans="2:14" ht="15" customHeight="1" x14ac:dyDescent="0.25">
      <c r="B36" s="20"/>
      <c r="C36" s="5"/>
      <c r="D36" s="6"/>
      <c r="E36" s="11"/>
      <c r="F36" s="1"/>
      <c r="G36" s="1"/>
      <c r="H36" s="1"/>
      <c r="I36" s="1"/>
      <c r="J36" s="1"/>
      <c r="K36" s="1"/>
      <c r="L36" s="1"/>
      <c r="M36" s="1"/>
      <c r="N36" s="18"/>
    </row>
    <row r="37" spans="2:14" ht="15" customHeight="1" x14ac:dyDescent="0.25">
      <c r="B37" s="20"/>
      <c r="C37" s="7" t="s">
        <v>11</v>
      </c>
      <c r="D37" s="8"/>
      <c r="E37" s="12">
        <v>2.6017999999999999E-2</v>
      </c>
      <c r="F37" s="1"/>
      <c r="G37" s="1"/>
      <c r="H37" s="1"/>
      <c r="I37" s="1"/>
      <c r="J37" s="1"/>
      <c r="K37" s="1"/>
      <c r="L37" s="1"/>
      <c r="M37" s="1"/>
      <c r="N37" s="18"/>
    </row>
    <row r="38" spans="2:14" ht="15" customHeight="1" x14ac:dyDescent="0.25">
      <c r="B38" s="20"/>
      <c r="C38" s="5"/>
      <c r="D38" s="6"/>
      <c r="E38" s="11"/>
      <c r="F38" s="1"/>
      <c r="G38" s="1"/>
      <c r="H38" s="1"/>
      <c r="I38" s="1"/>
      <c r="J38" s="1"/>
      <c r="K38" s="1"/>
      <c r="L38" s="1"/>
      <c r="M38" s="1"/>
      <c r="N38" s="18"/>
    </row>
    <row r="39" spans="2:14" ht="15" customHeight="1" x14ac:dyDescent="0.25">
      <c r="B39" s="20"/>
      <c r="C39" s="9" t="s">
        <v>12</v>
      </c>
      <c r="D39" s="10"/>
      <c r="E39" s="13">
        <v>1</v>
      </c>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2" customHeight="1" thickBot="1" x14ac:dyDescent="0.3">
      <c r="B45" s="43" t="s">
        <v>295</v>
      </c>
      <c r="C45" s="44"/>
      <c r="D45" s="44"/>
      <c r="E45" s="44"/>
      <c r="F45" s="44"/>
      <c r="G45" s="44"/>
      <c r="H45" s="44"/>
      <c r="I45" s="44"/>
      <c r="J45" s="44"/>
      <c r="K45" s="44"/>
      <c r="L45" s="44"/>
      <c r="M45" s="44"/>
      <c r="N45" s="45"/>
    </row>
  </sheetData>
  <sortState ref="C10:E32">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8016D-48D7-415E-A58B-85AF2CABFAE9}">
  <sheetPr>
    <tabColor rgb="FFE5E3E3"/>
    <pageSetUpPr fitToPage="1"/>
  </sheetPr>
  <dimension ref="B1:X691"/>
  <sheetViews>
    <sheetView showGridLines="0" zoomScale="75" zoomScaleNormal="75" workbookViewId="0"/>
  </sheetViews>
  <sheetFormatPr defaultRowHeight="15" x14ac:dyDescent="0.2"/>
  <cols>
    <col min="1" max="1" width="2.85546875" style="54" customWidth="1"/>
    <col min="2" max="2" width="3.85546875" style="54" customWidth="1"/>
    <col min="3" max="3" width="57.28515625" style="54" customWidth="1"/>
    <col min="4" max="4" width="15.42578125" style="54" bestFit="1" customWidth="1"/>
    <col min="5" max="5" width="9.140625" style="54"/>
    <col min="6" max="6" width="10.7109375" style="54" customWidth="1"/>
    <col min="7" max="7" width="10.5703125" style="54" bestFit="1" customWidth="1"/>
    <col min="8" max="9" width="9.140625" style="54"/>
    <col min="10" max="11" width="16.42578125" style="54" customWidth="1"/>
    <col min="12" max="18" width="9.140625" style="54"/>
    <col min="19" max="19" width="9.85546875" style="54" customWidth="1"/>
    <col min="20" max="21" width="9.28515625" style="54" bestFit="1" customWidth="1"/>
    <col min="22" max="16384" width="9.140625" style="54"/>
  </cols>
  <sheetData>
    <row r="1" spans="2:24" ht="15.75" thickBot="1" x14ac:dyDescent="0.25"/>
    <row r="2" spans="2:24" x14ac:dyDescent="0.2">
      <c r="B2" s="55"/>
      <c r="C2" s="56"/>
      <c r="D2" s="56"/>
      <c r="E2" s="56"/>
      <c r="F2" s="56"/>
      <c r="G2" s="56"/>
      <c r="H2" s="56"/>
      <c r="I2" s="56"/>
      <c r="J2" s="56"/>
      <c r="K2" s="56"/>
      <c r="L2" s="56"/>
      <c r="M2" s="57"/>
    </row>
    <row r="3" spans="2:24" ht="20.25" customHeight="1" x14ac:dyDescent="0.2">
      <c r="B3" s="58"/>
      <c r="C3" s="59" t="s">
        <v>296</v>
      </c>
      <c r="D3" s="59"/>
      <c r="E3" s="59"/>
      <c r="F3" s="59"/>
      <c r="G3" s="59"/>
      <c r="H3" s="59"/>
      <c r="I3" s="59"/>
      <c r="J3" s="59"/>
      <c r="K3" s="59"/>
      <c r="L3" s="59"/>
      <c r="M3" s="60"/>
    </row>
    <row r="4" spans="2:24" ht="15.75" x14ac:dyDescent="0.25">
      <c r="B4" s="58"/>
      <c r="C4" s="61" t="s">
        <v>297</v>
      </c>
      <c r="D4" s="62"/>
      <c r="E4" s="62"/>
      <c r="F4" s="63"/>
      <c r="G4" s="63"/>
      <c r="H4" s="63"/>
      <c r="I4" s="63"/>
      <c r="J4" s="63"/>
      <c r="K4" s="63"/>
      <c r="L4" s="63"/>
      <c r="M4" s="64"/>
    </row>
    <row r="5" spans="2:24" ht="20.25" customHeight="1" x14ac:dyDescent="0.25">
      <c r="B5" s="58"/>
      <c r="C5" s="65" t="s">
        <v>298</v>
      </c>
      <c r="D5" s="66" t="s">
        <v>299</v>
      </c>
      <c r="E5" s="67"/>
      <c r="F5" s="63"/>
      <c r="G5" s="63"/>
      <c r="H5" s="63"/>
      <c r="I5" s="63"/>
      <c r="J5" s="63"/>
      <c r="K5" s="63"/>
      <c r="L5" s="63"/>
      <c r="M5" s="64"/>
    </row>
    <row r="6" spans="2:24" x14ac:dyDescent="0.2">
      <c r="B6" s="58"/>
      <c r="C6" s="63"/>
      <c r="D6" s="63"/>
      <c r="E6" s="63"/>
      <c r="F6" s="63"/>
      <c r="G6" s="63"/>
      <c r="H6" s="63"/>
      <c r="I6" s="63"/>
      <c r="J6" s="63"/>
      <c r="K6" s="63"/>
      <c r="L6" s="63"/>
      <c r="M6" s="64"/>
    </row>
    <row r="7" spans="2:24" ht="15.75" x14ac:dyDescent="0.2">
      <c r="B7" s="58"/>
      <c r="C7" s="68" t="s">
        <v>3</v>
      </c>
      <c r="D7" s="69" t="s">
        <v>5</v>
      </c>
      <c r="E7" s="63"/>
      <c r="F7" s="70" t="s">
        <v>19</v>
      </c>
      <c r="G7" s="70"/>
      <c r="H7" s="70"/>
      <c r="I7" s="70"/>
      <c r="J7" s="70"/>
      <c r="K7" s="70"/>
      <c r="L7" s="70"/>
      <c r="M7" s="71"/>
    </row>
    <row r="8" spans="2:24" ht="30" x14ac:dyDescent="0.2">
      <c r="B8" s="58"/>
      <c r="C8" s="72" t="s">
        <v>300</v>
      </c>
      <c r="D8" s="73">
        <v>0.98224500000000003</v>
      </c>
      <c r="E8" s="63"/>
      <c r="F8" s="63"/>
      <c r="G8" s="74"/>
      <c r="H8" s="63"/>
      <c r="I8" s="63" t="s">
        <v>301</v>
      </c>
      <c r="J8" s="75">
        <f>D9</f>
        <v>0.98224500000000003</v>
      </c>
      <c r="K8" s="63"/>
      <c r="L8" s="63"/>
      <c r="M8" s="64"/>
      <c r="S8" s="76"/>
      <c r="W8" s="54" t="s">
        <v>302</v>
      </c>
      <c r="X8" s="54">
        <v>0.25058799999999998</v>
      </c>
    </row>
    <row r="9" spans="2:24" ht="15.75" x14ac:dyDescent="0.25">
      <c r="B9" s="58"/>
      <c r="C9" s="77" t="s">
        <v>301</v>
      </c>
      <c r="D9" s="78">
        <v>0.98224500000000003</v>
      </c>
      <c r="E9" s="63"/>
      <c r="F9" s="63"/>
      <c r="G9" s="63"/>
      <c r="H9" s="63"/>
      <c r="I9" s="63" t="s">
        <v>11</v>
      </c>
      <c r="J9" s="75">
        <f>D13</f>
        <v>-2.1580000000000002E-3</v>
      </c>
      <c r="K9" s="63"/>
      <c r="L9" s="63"/>
      <c r="M9" s="64"/>
      <c r="S9" s="76"/>
      <c r="W9" s="54" t="s">
        <v>303</v>
      </c>
      <c r="X9" s="54">
        <v>6.1296999999999997E-2</v>
      </c>
    </row>
    <row r="10" spans="2:24" x14ac:dyDescent="0.2">
      <c r="B10" s="58"/>
      <c r="C10" s="79" t="s">
        <v>9</v>
      </c>
      <c r="D10" s="80">
        <v>1.9913E-2</v>
      </c>
      <c r="E10" s="63"/>
      <c r="F10" s="63"/>
      <c r="G10" s="63"/>
      <c r="I10" s="54" t="s">
        <v>10</v>
      </c>
      <c r="J10" s="75">
        <f>D11</f>
        <v>1.9913E-2</v>
      </c>
      <c r="K10" s="63"/>
      <c r="L10" s="63"/>
      <c r="M10" s="64"/>
      <c r="S10" s="76"/>
      <c r="W10" s="54" t="s">
        <v>304</v>
      </c>
      <c r="X10" s="54">
        <v>3.0130999999999998E-2</v>
      </c>
    </row>
    <row r="11" spans="2:24" ht="15.75" x14ac:dyDescent="0.2">
      <c r="B11" s="58"/>
      <c r="C11" s="81" t="s">
        <v>10</v>
      </c>
      <c r="D11" s="82">
        <v>1.9913E-2</v>
      </c>
      <c r="E11" s="63"/>
      <c r="F11" s="63"/>
      <c r="G11" s="63"/>
      <c r="J11" s="63"/>
      <c r="K11" s="63"/>
      <c r="L11" s="63"/>
      <c r="M11" s="64"/>
      <c r="S11" s="76"/>
      <c r="W11" s="54" t="s">
        <v>305</v>
      </c>
      <c r="X11" s="54">
        <v>2.7299E-2</v>
      </c>
    </row>
    <row r="12" spans="2:24" x14ac:dyDescent="0.2">
      <c r="B12" s="58"/>
      <c r="C12" s="79"/>
      <c r="D12" s="83"/>
      <c r="E12" s="63"/>
      <c r="F12" s="63"/>
      <c r="G12" s="63"/>
      <c r="J12" s="63"/>
      <c r="K12" s="63"/>
      <c r="L12" s="63"/>
      <c r="M12" s="64"/>
      <c r="S12" s="76"/>
      <c r="W12" s="54" t="s">
        <v>306</v>
      </c>
      <c r="X12" s="54">
        <v>2.5925E-2</v>
      </c>
    </row>
    <row r="13" spans="2:24" ht="15.75" x14ac:dyDescent="0.2">
      <c r="B13" s="58"/>
      <c r="C13" s="81" t="s">
        <v>11</v>
      </c>
      <c r="D13" s="82">
        <v>-2.1580000000000002E-3</v>
      </c>
      <c r="E13" s="63"/>
      <c r="F13" s="63"/>
      <c r="G13" s="63"/>
      <c r="J13" s="63"/>
      <c r="K13" s="63"/>
      <c r="L13" s="63"/>
      <c r="M13" s="64"/>
      <c r="S13" s="76"/>
      <c r="W13" s="54" t="s">
        <v>307</v>
      </c>
      <c r="X13" s="54">
        <v>2.3822000000000003E-2</v>
      </c>
    </row>
    <row r="14" spans="2:24" x14ac:dyDescent="0.2">
      <c r="B14" s="58"/>
      <c r="C14" s="79"/>
      <c r="D14" s="83"/>
      <c r="E14" s="63"/>
      <c r="F14" s="63"/>
      <c r="G14" s="63"/>
      <c r="H14" s="63"/>
      <c r="I14" s="63"/>
      <c r="J14" s="63"/>
      <c r="K14" s="63"/>
      <c r="L14" s="63"/>
      <c r="M14" s="64"/>
      <c r="S14" s="76"/>
      <c r="W14" s="54" t="s">
        <v>308</v>
      </c>
      <c r="X14" s="54">
        <v>2.3753E-2</v>
      </c>
    </row>
    <row r="15" spans="2:24" ht="15.75" x14ac:dyDescent="0.2">
      <c r="B15" s="58"/>
      <c r="C15" s="84" t="s">
        <v>12</v>
      </c>
      <c r="D15" s="85">
        <f>D13+D11+D9</f>
        <v>1</v>
      </c>
      <c r="E15" s="63"/>
      <c r="F15" s="63"/>
      <c r="G15" s="63"/>
      <c r="H15" s="63"/>
      <c r="I15" s="63"/>
      <c r="J15" s="63"/>
      <c r="K15" s="63"/>
      <c r="L15" s="63"/>
      <c r="M15" s="64"/>
      <c r="S15" s="76"/>
      <c r="W15" s="54" t="s">
        <v>309</v>
      </c>
      <c r="X15" s="54">
        <v>1.8620999999999999E-2</v>
      </c>
    </row>
    <row r="16" spans="2:24" x14ac:dyDescent="0.2">
      <c r="B16" s="58"/>
      <c r="E16" s="63"/>
      <c r="F16" s="63"/>
      <c r="G16" s="63"/>
      <c r="H16" s="63"/>
      <c r="I16" s="63"/>
      <c r="J16" s="63"/>
      <c r="K16" s="63"/>
      <c r="L16" s="63"/>
      <c r="M16" s="64"/>
      <c r="S16" s="76"/>
      <c r="W16" s="54" t="s">
        <v>310</v>
      </c>
      <c r="X16" s="54">
        <v>1.7219000000000002E-2</v>
      </c>
    </row>
    <row r="17" spans="2:24" ht="15.75" x14ac:dyDescent="0.25">
      <c r="B17" s="58"/>
      <c r="C17" s="86"/>
      <c r="D17" s="87"/>
      <c r="E17" s="63"/>
      <c r="F17" s="63"/>
      <c r="G17" s="63"/>
      <c r="H17" s="63"/>
      <c r="I17" s="63"/>
      <c r="J17" s="63"/>
      <c r="K17" s="63"/>
      <c r="L17" s="63"/>
      <c r="M17" s="64"/>
      <c r="S17" s="76"/>
      <c r="W17" s="54" t="s">
        <v>311</v>
      </c>
      <c r="X17" s="54">
        <v>1.6056000000000001E-2</v>
      </c>
    </row>
    <row r="18" spans="2:24" x14ac:dyDescent="0.2">
      <c r="B18" s="58"/>
      <c r="C18" s="88"/>
      <c r="D18" s="88"/>
      <c r="E18" s="63"/>
      <c r="F18" s="63"/>
      <c r="G18" s="63"/>
      <c r="H18" s="63"/>
      <c r="I18" s="63"/>
      <c r="J18" s="63"/>
      <c r="K18" s="63"/>
      <c r="L18" s="63"/>
      <c r="M18" s="64"/>
      <c r="S18" s="76"/>
      <c r="W18" s="54" t="s">
        <v>312</v>
      </c>
      <c r="X18" s="54">
        <v>1.41E-2</v>
      </c>
    </row>
    <row r="19" spans="2:24" ht="15.75" x14ac:dyDescent="0.25">
      <c r="B19" s="58"/>
      <c r="C19" s="86"/>
      <c r="D19" s="89"/>
      <c r="E19" s="63"/>
      <c r="F19" s="63"/>
      <c r="G19" s="63"/>
      <c r="H19" s="63"/>
      <c r="I19" s="63"/>
      <c r="J19" s="63"/>
      <c r="K19" s="63"/>
      <c r="L19" s="63"/>
      <c r="M19" s="64"/>
      <c r="S19" s="76"/>
      <c r="W19" s="54" t="s">
        <v>313</v>
      </c>
      <c r="X19" s="54">
        <v>1.1167E-2</v>
      </c>
    </row>
    <row r="20" spans="2:24" x14ac:dyDescent="0.2">
      <c r="B20" s="58"/>
      <c r="E20" s="63"/>
      <c r="F20" s="63"/>
      <c r="G20" s="63"/>
      <c r="H20" s="63"/>
      <c r="I20" s="63"/>
      <c r="J20" s="63"/>
      <c r="K20" s="63"/>
      <c r="L20" s="63"/>
      <c r="M20" s="64"/>
      <c r="S20" s="76"/>
      <c r="W20" s="54" t="s">
        <v>314</v>
      </c>
      <c r="X20" s="54">
        <v>1.1159000000000001E-2</v>
      </c>
    </row>
    <row r="21" spans="2:24" x14ac:dyDescent="0.2">
      <c r="B21" s="58"/>
      <c r="E21" s="63"/>
      <c r="F21" s="63"/>
      <c r="G21" s="63"/>
      <c r="H21" s="63"/>
      <c r="I21" s="63"/>
      <c r="J21" s="63"/>
      <c r="K21" s="63"/>
      <c r="L21" s="63"/>
      <c r="M21" s="64"/>
      <c r="S21" s="76"/>
      <c r="W21" s="54" t="s">
        <v>315</v>
      </c>
      <c r="X21" s="54">
        <v>1.0543E-2</v>
      </c>
    </row>
    <row r="22" spans="2:24" ht="16.5" thickBot="1" x14ac:dyDescent="0.3">
      <c r="B22" s="90"/>
      <c r="C22" s="91"/>
      <c r="D22" s="91"/>
      <c r="E22" s="91"/>
      <c r="F22" s="91"/>
      <c r="G22" s="91"/>
      <c r="H22" s="91"/>
      <c r="I22" s="91"/>
      <c r="J22" s="91"/>
      <c r="K22" s="91"/>
      <c r="L22" s="91"/>
      <c r="M22" s="92"/>
      <c r="S22" s="76"/>
    </row>
    <row r="23" spans="2:24" ht="15.75" thickBot="1" x14ac:dyDescent="0.25">
      <c r="S23" s="76"/>
    </row>
    <row r="24" spans="2:24" ht="15" customHeight="1" x14ac:dyDescent="0.2">
      <c r="B24" s="93" t="s">
        <v>295</v>
      </c>
      <c r="C24" s="94"/>
      <c r="D24" s="94"/>
      <c r="E24" s="94"/>
      <c r="F24" s="94"/>
      <c r="G24" s="94"/>
      <c r="H24" s="94"/>
      <c r="I24" s="94"/>
      <c r="J24" s="94"/>
      <c r="K24" s="94"/>
      <c r="L24" s="94"/>
      <c r="M24" s="94"/>
      <c r="N24" s="95"/>
      <c r="S24" s="76"/>
    </row>
    <row r="25" spans="2:24" ht="15.75" customHeight="1" x14ac:dyDescent="0.2">
      <c r="B25" s="96"/>
      <c r="C25" s="97"/>
      <c r="D25" s="97"/>
      <c r="E25" s="97"/>
      <c r="F25" s="97"/>
      <c r="G25" s="97"/>
      <c r="H25" s="97"/>
      <c r="I25" s="97"/>
      <c r="J25" s="97"/>
      <c r="K25" s="97"/>
      <c r="L25" s="97"/>
      <c r="M25" s="97"/>
      <c r="N25" s="98"/>
      <c r="S25" s="76"/>
    </row>
    <row r="26" spans="2:24" ht="15.75" customHeight="1" x14ac:dyDescent="0.2">
      <c r="B26" s="96"/>
      <c r="C26" s="97"/>
      <c r="D26" s="97"/>
      <c r="E26" s="97"/>
      <c r="F26" s="97"/>
      <c r="G26" s="97"/>
      <c r="H26" s="97"/>
      <c r="I26" s="97"/>
      <c r="J26" s="97"/>
      <c r="K26" s="97"/>
      <c r="L26" s="97"/>
      <c r="M26" s="97"/>
      <c r="N26" s="98"/>
      <c r="S26" s="76"/>
    </row>
    <row r="27" spans="2:24" ht="15.75" customHeight="1" x14ac:dyDescent="0.2">
      <c r="B27" s="96"/>
      <c r="C27" s="97"/>
      <c r="D27" s="97"/>
      <c r="E27" s="97"/>
      <c r="F27" s="97"/>
      <c r="G27" s="97"/>
      <c r="H27" s="97"/>
      <c r="I27" s="97"/>
      <c r="J27" s="97"/>
      <c r="K27" s="97"/>
      <c r="L27" s="97"/>
      <c r="M27" s="97"/>
      <c r="N27" s="98"/>
      <c r="S27" s="76"/>
    </row>
    <row r="28" spans="2:24" ht="15.75" customHeight="1" x14ac:dyDescent="0.2">
      <c r="B28" s="96"/>
      <c r="C28" s="97"/>
      <c r="D28" s="97"/>
      <c r="E28" s="97"/>
      <c r="F28" s="97"/>
      <c r="G28" s="97"/>
      <c r="H28" s="97"/>
      <c r="I28" s="97"/>
      <c r="J28" s="97"/>
      <c r="K28" s="97"/>
      <c r="L28" s="97"/>
      <c r="M28" s="97"/>
      <c r="N28" s="98"/>
      <c r="S28" s="76"/>
    </row>
    <row r="29" spans="2:24" ht="15.75" customHeight="1" x14ac:dyDescent="0.2">
      <c r="B29" s="96"/>
      <c r="C29" s="97"/>
      <c r="D29" s="97"/>
      <c r="E29" s="97"/>
      <c r="F29" s="97"/>
      <c r="G29" s="97"/>
      <c r="H29" s="97"/>
      <c r="I29" s="97"/>
      <c r="J29" s="97"/>
      <c r="K29" s="97"/>
      <c r="L29" s="97"/>
      <c r="M29" s="97"/>
      <c r="N29" s="98"/>
      <c r="S29" s="76"/>
    </row>
    <row r="30" spans="2:24" ht="28.5" customHeight="1" thickBot="1" x14ac:dyDescent="0.25">
      <c r="B30" s="99"/>
      <c r="C30" s="100"/>
      <c r="D30" s="100"/>
      <c r="E30" s="100"/>
      <c r="F30" s="100"/>
      <c r="G30" s="100"/>
      <c r="H30" s="100"/>
      <c r="I30" s="100"/>
      <c r="J30" s="100"/>
      <c r="K30" s="100"/>
      <c r="L30" s="100"/>
      <c r="M30" s="100"/>
      <c r="N30" s="101"/>
      <c r="S30" s="76"/>
    </row>
    <row r="31" spans="2:24" ht="15.75" thickBot="1" x14ac:dyDescent="0.25">
      <c r="S31" s="76"/>
    </row>
    <row r="32" spans="2:24" x14ac:dyDescent="0.2">
      <c r="B32" s="93" t="s">
        <v>316</v>
      </c>
      <c r="C32" s="94"/>
      <c r="D32" s="94"/>
      <c r="E32" s="94"/>
      <c r="F32" s="94"/>
      <c r="G32" s="94"/>
      <c r="H32" s="94"/>
      <c r="I32" s="94"/>
      <c r="J32" s="94"/>
      <c r="K32" s="94"/>
      <c r="L32" s="94"/>
      <c r="M32" s="94"/>
      <c r="N32" s="95"/>
      <c r="S32" s="76"/>
    </row>
    <row r="33" spans="2:19" x14ac:dyDescent="0.2">
      <c r="B33" s="96"/>
      <c r="C33" s="97"/>
      <c r="D33" s="97"/>
      <c r="E33" s="97"/>
      <c r="F33" s="97"/>
      <c r="G33" s="97"/>
      <c r="H33" s="97"/>
      <c r="I33" s="97"/>
      <c r="J33" s="97"/>
      <c r="K33" s="97"/>
      <c r="L33" s="97"/>
      <c r="M33" s="97"/>
      <c r="N33" s="98"/>
      <c r="S33" s="76"/>
    </row>
    <row r="34" spans="2:19" x14ac:dyDescent="0.2">
      <c r="B34" s="96"/>
      <c r="C34" s="97"/>
      <c r="D34" s="97"/>
      <c r="E34" s="97"/>
      <c r="F34" s="97"/>
      <c r="G34" s="97"/>
      <c r="H34" s="97"/>
      <c r="I34" s="97"/>
      <c r="J34" s="97"/>
      <c r="K34" s="97"/>
      <c r="L34" s="97"/>
      <c r="M34" s="97"/>
      <c r="N34" s="98"/>
      <c r="S34" s="76"/>
    </row>
    <row r="35" spans="2:19" x14ac:dyDescent="0.2">
      <c r="B35" s="96"/>
      <c r="C35" s="97"/>
      <c r="D35" s="97"/>
      <c r="E35" s="97"/>
      <c r="F35" s="97"/>
      <c r="G35" s="97"/>
      <c r="H35" s="97"/>
      <c r="I35" s="97"/>
      <c r="J35" s="97"/>
      <c r="K35" s="97"/>
      <c r="L35" s="97"/>
      <c r="M35" s="97"/>
      <c r="N35" s="98"/>
      <c r="S35" s="76"/>
    </row>
    <row r="36" spans="2:19" x14ac:dyDescent="0.2">
      <c r="B36" s="96"/>
      <c r="C36" s="97"/>
      <c r="D36" s="97"/>
      <c r="E36" s="97"/>
      <c r="F36" s="97"/>
      <c r="G36" s="97"/>
      <c r="H36" s="97"/>
      <c r="I36" s="97"/>
      <c r="J36" s="97"/>
      <c r="K36" s="97"/>
      <c r="L36" s="97"/>
      <c r="M36" s="97"/>
      <c r="N36" s="98"/>
      <c r="S36" s="76"/>
    </row>
    <row r="37" spans="2:19" x14ac:dyDescent="0.2">
      <c r="B37" s="96"/>
      <c r="C37" s="97"/>
      <c r="D37" s="97"/>
      <c r="E37" s="97"/>
      <c r="F37" s="97"/>
      <c r="G37" s="97"/>
      <c r="H37" s="97"/>
      <c r="I37" s="97"/>
      <c r="J37" s="97"/>
      <c r="K37" s="97"/>
      <c r="L37" s="97"/>
      <c r="M37" s="97"/>
      <c r="N37" s="98"/>
      <c r="S37" s="76"/>
    </row>
    <row r="38" spans="2:19" ht="15.75" thickBot="1" x14ac:dyDescent="0.25">
      <c r="B38" s="99"/>
      <c r="C38" s="100"/>
      <c r="D38" s="100"/>
      <c r="E38" s="100"/>
      <c r="F38" s="100"/>
      <c r="G38" s="100"/>
      <c r="H38" s="100"/>
      <c r="I38" s="100"/>
      <c r="J38" s="100"/>
      <c r="K38" s="100"/>
      <c r="L38" s="100"/>
      <c r="M38" s="100"/>
      <c r="N38" s="101"/>
      <c r="S38" s="76"/>
    </row>
    <row r="39" spans="2:19" x14ac:dyDescent="0.2">
      <c r="S39" s="76"/>
    </row>
    <row r="40" spans="2:19" x14ac:dyDescent="0.2">
      <c r="S40" s="76"/>
    </row>
    <row r="41" spans="2:19" x14ac:dyDescent="0.2">
      <c r="S41" s="76"/>
    </row>
    <row r="42" spans="2:19" x14ac:dyDescent="0.2">
      <c r="S42" s="76"/>
    </row>
    <row r="43" spans="2:19" x14ac:dyDescent="0.2">
      <c r="S43" s="76"/>
    </row>
    <row r="44" spans="2:19" x14ac:dyDescent="0.2">
      <c r="S44" s="76"/>
    </row>
    <row r="45" spans="2:19" x14ac:dyDescent="0.2">
      <c r="S45" s="76"/>
    </row>
    <row r="46" spans="2:19" x14ac:dyDescent="0.2">
      <c r="S46" s="76"/>
    </row>
    <row r="47" spans="2:19" x14ac:dyDescent="0.2">
      <c r="S47" s="76"/>
    </row>
    <row r="48" spans="2:19" x14ac:dyDescent="0.2">
      <c r="S48" s="76"/>
    </row>
    <row r="49" spans="19:19" x14ac:dyDescent="0.2">
      <c r="S49" s="76"/>
    </row>
    <row r="50" spans="19:19" x14ac:dyDescent="0.2">
      <c r="S50" s="76"/>
    </row>
    <row r="51" spans="19:19" x14ac:dyDescent="0.2">
      <c r="S51" s="76"/>
    </row>
    <row r="52" spans="19:19" x14ac:dyDescent="0.2">
      <c r="S52" s="76"/>
    </row>
    <row r="53" spans="19:19" x14ac:dyDescent="0.2">
      <c r="S53" s="76"/>
    </row>
    <row r="54" spans="19:19" x14ac:dyDescent="0.2">
      <c r="S54" s="76"/>
    </row>
    <row r="55" spans="19:19" x14ac:dyDescent="0.2">
      <c r="S55" s="76"/>
    </row>
    <row r="56" spans="19:19" x14ac:dyDescent="0.2">
      <c r="S56" s="76"/>
    </row>
    <row r="57" spans="19:19" x14ac:dyDescent="0.2">
      <c r="S57" s="76"/>
    </row>
    <row r="58" spans="19:19" x14ac:dyDescent="0.2">
      <c r="S58" s="76"/>
    </row>
    <row r="59" spans="19:19" x14ac:dyDescent="0.2">
      <c r="S59" s="76"/>
    </row>
    <row r="60" spans="19:19" x14ac:dyDescent="0.2">
      <c r="S60" s="76"/>
    </row>
    <row r="61" spans="19:19" x14ac:dyDescent="0.2">
      <c r="S61" s="76"/>
    </row>
    <row r="62" spans="19:19" x14ac:dyDescent="0.2">
      <c r="S62" s="76"/>
    </row>
    <row r="63" spans="19:19" x14ac:dyDescent="0.2">
      <c r="S63" s="76"/>
    </row>
    <row r="64" spans="19:19" x14ac:dyDescent="0.2">
      <c r="S64" s="76"/>
    </row>
    <row r="65" spans="19:19" x14ac:dyDescent="0.2">
      <c r="S65" s="76"/>
    </row>
    <row r="66" spans="19:19" x14ac:dyDescent="0.2">
      <c r="S66" s="76"/>
    </row>
    <row r="67" spans="19:19" x14ac:dyDescent="0.2">
      <c r="S67" s="76"/>
    </row>
    <row r="68" spans="19:19" x14ac:dyDescent="0.2">
      <c r="S68" s="76"/>
    </row>
    <row r="69" spans="19:19" x14ac:dyDescent="0.2">
      <c r="S69" s="76"/>
    </row>
    <row r="70" spans="19:19" x14ac:dyDescent="0.2">
      <c r="S70" s="76"/>
    </row>
    <row r="71" spans="19:19" x14ac:dyDescent="0.2">
      <c r="S71" s="76"/>
    </row>
    <row r="72" spans="19:19" x14ac:dyDescent="0.2">
      <c r="S72" s="76"/>
    </row>
    <row r="73" spans="19:19" x14ac:dyDescent="0.2">
      <c r="S73" s="76"/>
    </row>
    <row r="74" spans="19:19" x14ac:dyDescent="0.2">
      <c r="S74" s="76"/>
    </row>
    <row r="75" spans="19:19" x14ac:dyDescent="0.2">
      <c r="S75" s="76"/>
    </row>
    <row r="76" spans="19:19" x14ac:dyDescent="0.2">
      <c r="S76" s="76"/>
    </row>
    <row r="77" spans="19:19" x14ac:dyDescent="0.2">
      <c r="S77" s="76"/>
    </row>
    <row r="78" spans="19:19" x14ac:dyDescent="0.2">
      <c r="S78" s="76"/>
    </row>
    <row r="79" spans="19:19" x14ac:dyDescent="0.2">
      <c r="S79" s="76"/>
    </row>
    <row r="80" spans="19:19" x14ac:dyDescent="0.2">
      <c r="S80" s="76"/>
    </row>
    <row r="81" spans="19:19" x14ac:dyDescent="0.2">
      <c r="S81" s="76"/>
    </row>
    <row r="82" spans="19:19" x14ac:dyDescent="0.2">
      <c r="S82" s="76"/>
    </row>
    <row r="83" spans="19:19" x14ac:dyDescent="0.2">
      <c r="S83" s="76"/>
    </row>
    <row r="84" spans="19:19" x14ac:dyDescent="0.2">
      <c r="S84" s="76"/>
    </row>
    <row r="85" spans="19:19" x14ac:dyDescent="0.2">
      <c r="S85" s="76"/>
    </row>
    <row r="86" spans="19:19" x14ac:dyDescent="0.2">
      <c r="S86" s="76"/>
    </row>
    <row r="87" spans="19:19" x14ac:dyDescent="0.2">
      <c r="S87" s="76"/>
    </row>
    <row r="88" spans="19:19" x14ac:dyDescent="0.2">
      <c r="S88" s="76"/>
    </row>
    <row r="89" spans="19:19" x14ac:dyDescent="0.2">
      <c r="S89" s="76"/>
    </row>
    <row r="90" spans="19:19" x14ac:dyDescent="0.2">
      <c r="S90" s="76"/>
    </row>
    <row r="91" spans="19:19" x14ac:dyDescent="0.2">
      <c r="S91" s="76"/>
    </row>
    <row r="92" spans="19:19" x14ac:dyDescent="0.2">
      <c r="S92" s="76"/>
    </row>
    <row r="93" spans="19:19" x14ac:dyDescent="0.2">
      <c r="S93" s="76"/>
    </row>
    <row r="94" spans="19:19" x14ac:dyDescent="0.2">
      <c r="S94" s="76"/>
    </row>
    <row r="95" spans="19:19" x14ac:dyDescent="0.2">
      <c r="S95" s="76"/>
    </row>
    <row r="96" spans="19:19" x14ac:dyDescent="0.2">
      <c r="S96" s="76"/>
    </row>
    <row r="97" spans="19:19" x14ac:dyDescent="0.2">
      <c r="S97" s="76"/>
    </row>
    <row r="98" spans="19:19" x14ac:dyDescent="0.2">
      <c r="S98" s="76"/>
    </row>
    <row r="99" spans="19:19" x14ac:dyDescent="0.2">
      <c r="S99" s="76"/>
    </row>
    <row r="100" spans="19:19" x14ac:dyDescent="0.2">
      <c r="S100" s="76"/>
    </row>
    <row r="101" spans="19:19" x14ac:dyDescent="0.2">
      <c r="S101" s="76"/>
    </row>
    <row r="102" spans="19:19" x14ac:dyDescent="0.2">
      <c r="S102" s="76"/>
    </row>
    <row r="103" spans="19:19" x14ac:dyDescent="0.2">
      <c r="S103" s="76"/>
    </row>
    <row r="104" spans="19:19" x14ac:dyDescent="0.2">
      <c r="S104" s="76"/>
    </row>
    <row r="105" spans="19:19" x14ac:dyDescent="0.2">
      <c r="S105" s="76"/>
    </row>
    <row r="106" spans="19:19" x14ac:dyDescent="0.2">
      <c r="S106" s="76"/>
    </row>
    <row r="107" spans="19:19" x14ac:dyDescent="0.2">
      <c r="S107" s="76"/>
    </row>
    <row r="108" spans="19:19" x14ac:dyDescent="0.2">
      <c r="S108" s="76"/>
    </row>
    <row r="109" spans="19:19" x14ac:dyDescent="0.2">
      <c r="S109" s="76"/>
    </row>
    <row r="110" spans="19:19" x14ac:dyDescent="0.2">
      <c r="S110" s="76"/>
    </row>
    <row r="111" spans="19:19" x14ac:dyDescent="0.2">
      <c r="S111" s="76"/>
    </row>
    <row r="112" spans="19:19" x14ac:dyDescent="0.2">
      <c r="S112" s="76"/>
    </row>
    <row r="113" spans="19:19" x14ac:dyDescent="0.2">
      <c r="S113" s="76"/>
    </row>
    <row r="114" spans="19:19" x14ac:dyDescent="0.2">
      <c r="S114" s="76"/>
    </row>
    <row r="115" spans="19:19" x14ac:dyDescent="0.2">
      <c r="S115" s="76"/>
    </row>
    <row r="116" spans="19:19" x14ac:dyDescent="0.2">
      <c r="S116" s="76"/>
    </row>
    <row r="117" spans="19:19" x14ac:dyDescent="0.2">
      <c r="S117" s="76"/>
    </row>
    <row r="118" spans="19:19" x14ac:dyDescent="0.2">
      <c r="S118" s="76"/>
    </row>
    <row r="119" spans="19:19" x14ac:dyDescent="0.2">
      <c r="S119" s="76"/>
    </row>
    <row r="120" spans="19:19" x14ac:dyDescent="0.2">
      <c r="S120" s="76"/>
    </row>
    <row r="121" spans="19:19" x14ac:dyDescent="0.2">
      <c r="S121" s="76"/>
    </row>
    <row r="122" spans="19:19" x14ac:dyDescent="0.2">
      <c r="S122" s="76"/>
    </row>
    <row r="123" spans="19:19" x14ac:dyDescent="0.2">
      <c r="S123" s="76"/>
    </row>
    <row r="124" spans="19:19" x14ac:dyDescent="0.2">
      <c r="S124" s="76"/>
    </row>
    <row r="125" spans="19:19" x14ac:dyDescent="0.2">
      <c r="S125" s="76"/>
    </row>
    <row r="126" spans="19:19" x14ac:dyDescent="0.2">
      <c r="S126" s="76"/>
    </row>
    <row r="127" spans="19:19" x14ac:dyDescent="0.2">
      <c r="S127" s="76"/>
    </row>
    <row r="128" spans="19:19" x14ac:dyDescent="0.2">
      <c r="S128" s="76"/>
    </row>
    <row r="129" spans="19:19" x14ac:dyDescent="0.2">
      <c r="S129" s="76"/>
    </row>
    <row r="130" spans="19:19" x14ac:dyDescent="0.2">
      <c r="S130" s="76"/>
    </row>
    <row r="131" spans="19:19" x14ac:dyDescent="0.2">
      <c r="S131" s="76"/>
    </row>
    <row r="132" spans="19:19" x14ac:dyDescent="0.2">
      <c r="S132" s="76"/>
    </row>
    <row r="133" spans="19:19" x14ac:dyDescent="0.2">
      <c r="S133" s="76"/>
    </row>
    <row r="134" spans="19:19" x14ac:dyDescent="0.2">
      <c r="S134" s="76"/>
    </row>
    <row r="135" spans="19:19" x14ac:dyDescent="0.2">
      <c r="S135" s="76"/>
    </row>
    <row r="136" spans="19:19" x14ac:dyDescent="0.2">
      <c r="S136" s="76"/>
    </row>
    <row r="137" spans="19:19" x14ac:dyDescent="0.2">
      <c r="S137" s="76"/>
    </row>
    <row r="138" spans="19:19" x14ac:dyDescent="0.2">
      <c r="S138" s="76"/>
    </row>
    <row r="139" spans="19:19" x14ac:dyDescent="0.2">
      <c r="S139" s="76"/>
    </row>
    <row r="140" spans="19:19" x14ac:dyDescent="0.2">
      <c r="S140" s="76"/>
    </row>
    <row r="141" spans="19:19" x14ac:dyDescent="0.2">
      <c r="S141" s="76"/>
    </row>
    <row r="142" spans="19:19" x14ac:dyDescent="0.2">
      <c r="S142" s="76"/>
    </row>
    <row r="143" spans="19:19" x14ac:dyDescent="0.2">
      <c r="S143" s="76"/>
    </row>
    <row r="144" spans="19:19" x14ac:dyDescent="0.2">
      <c r="S144" s="76"/>
    </row>
    <row r="145" spans="19:19" x14ac:dyDescent="0.2">
      <c r="S145" s="76"/>
    </row>
    <row r="146" spans="19:19" x14ac:dyDescent="0.2">
      <c r="S146" s="76"/>
    </row>
    <row r="147" spans="19:19" x14ac:dyDescent="0.2">
      <c r="S147" s="76"/>
    </row>
    <row r="148" spans="19:19" x14ac:dyDescent="0.2">
      <c r="S148" s="76"/>
    </row>
    <row r="149" spans="19:19" x14ac:dyDescent="0.2">
      <c r="S149" s="76"/>
    </row>
    <row r="150" spans="19:19" x14ac:dyDescent="0.2">
      <c r="S150" s="76"/>
    </row>
    <row r="151" spans="19:19" x14ac:dyDescent="0.2">
      <c r="S151" s="76"/>
    </row>
    <row r="152" spans="19:19" x14ac:dyDescent="0.2">
      <c r="S152" s="76"/>
    </row>
    <row r="153" spans="19:19" x14ac:dyDescent="0.2">
      <c r="S153" s="76"/>
    </row>
    <row r="154" spans="19:19" x14ac:dyDescent="0.2">
      <c r="S154" s="76"/>
    </row>
    <row r="155" spans="19:19" x14ac:dyDescent="0.2">
      <c r="S155" s="76"/>
    </row>
    <row r="156" spans="19:19" x14ac:dyDescent="0.2">
      <c r="S156" s="76"/>
    </row>
    <row r="157" spans="19:19" x14ac:dyDescent="0.2">
      <c r="S157" s="76"/>
    </row>
    <row r="158" spans="19:19" x14ac:dyDescent="0.2">
      <c r="S158" s="76"/>
    </row>
    <row r="159" spans="19:19" x14ac:dyDescent="0.2">
      <c r="S159" s="76"/>
    </row>
    <row r="160" spans="19:19" x14ac:dyDescent="0.2">
      <c r="S160" s="76"/>
    </row>
    <row r="161" spans="19:19" x14ac:dyDescent="0.2">
      <c r="S161" s="76"/>
    </row>
    <row r="162" spans="19:19" x14ac:dyDescent="0.2">
      <c r="S162" s="76"/>
    </row>
    <row r="163" spans="19:19" x14ac:dyDescent="0.2">
      <c r="S163" s="76"/>
    </row>
    <row r="164" spans="19:19" x14ac:dyDescent="0.2">
      <c r="S164" s="76"/>
    </row>
    <row r="165" spans="19:19" x14ac:dyDescent="0.2">
      <c r="S165" s="76"/>
    </row>
    <row r="166" spans="19:19" x14ac:dyDescent="0.2">
      <c r="S166" s="76"/>
    </row>
    <row r="167" spans="19:19" x14ac:dyDescent="0.2">
      <c r="S167" s="76"/>
    </row>
    <row r="168" spans="19:19" x14ac:dyDescent="0.2">
      <c r="S168" s="76"/>
    </row>
    <row r="169" spans="19:19" x14ac:dyDescent="0.2">
      <c r="S169" s="76"/>
    </row>
    <row r="170" spans="19:19" x14ac:dyDescent="0.2">
      <c r="S170" s="76"/>
    </row>
    <row r="171" spans="19:19" x14ac:dyDescent="0.2">
      <c r="S171" s="76"/>
    </row>
    <row r="172" spans="19:19" x14ac:dyDescent="0.2">
      <c r="S172" s="76"/>
    </row>
    <row r="173" spans="19:19" x14ac:dyDescent="0.2">
      <c r="S173" s="76"/>
    </row>
    <row r="174" spans="19:19" x14ac:dyDescent="0.2">
      <c r="S174" s="76"/>
    </row>
    <row r="175" spans="19:19" x14ac:dyDescent="0.2">
      <c r="S175" s="76"/>
    </row>
    <row r="176" spans="19:19" x14ac:dyDescent="0.2">
      <c r="S176" s="76"/>
    </row>
    <row r="177" spans="19:19" x14ac:dyDescent="0.2">
      <c r="S177" s="76"/>
    </row>
    <row r="178" spans="19:19" x14ac:dyDescent="0.2">
      <c r="S178" s="76"/>
    </row>
    <row r="179" spans="19:19" x14ac:dyDescent="0.2">
      <c r="S179" s="76"/>
    </row>
    <row r="180" spans="19:19" x14ac:dyDescent="0.2">
      <c r="S180" s="76"/>
    </row>
    <row r="181" spans="19:19" x14ac:dyDescent="0.2">
      <c r="S181" s="76"/>
    </row>
    <row r="182" spans="19:19" x14ac:dyDescent="0.2">
      <c r="S182" s="76"/>
    </row>
    <row r="183" spans="19:19" x14ac:dyDescent="0.2">
      <c r="S183" s="76"/>
    </row>
    <row r="184" spans="19:19" x14ac:dyDescent="0.2">
      <c r="S184" s="76"/>
    </row>
    <row r="185" spans="19:19" x14ac:dyDescent="0.2">
      <c r="S185" s="76"/>
    </row>
    <row r="186" spans="19:19" x14ac:dyDescent="0.2">
      <c r="S186" s="76"/>
    </row>
    <row r="187" spans="19:19" x14ac:dyDescent="0.2">
      <c r="S187" s="76"/>
    </row>
    <row r="188" spans="19:19" x14ac:dyDescent="0.2">
      <c r="S188" s="76"/>
    </row>
    <row r="189" spans="19:19" x14ac:dyDescent="0.2">
      <c r="S189" s="76"/>
    </row>
    <row r="190" spans="19:19" x14ac:dyDescent="0.2">
      <c r="S190" s="76"/>
    </row>
    <row r="191" spans="19:19" x14ac:dyDescent="0.2">
      <c r="S191" s="76"/>
    </row>
    <row r="192" spans="19:19" x14ac:dyDescent="0.2">
      <c r="S192" s="76"/>
    </row>
    <row r="193" spans="19:19" x14ac:dyDescent="0.2">
      <c r="S193" s="76"/>
    </row>
    <row r="194" spans="19:19" x14ac:dyDescent="0.2">
      <c r="S194" s="76"/>
    </row>
    <row r="195" spans="19:19" x14ac:dyDescent="0.2">
      <c r="S195" s="76"/>
    </row>
    <row r="196" spans="19:19" x14ac:dyDescent="0.2">
      <c r="S196" s="76"/>
    </row>
    <row r="197" spans="19:19" x14ac:dyDescent="0.2">
      <c r="S197" s="76"/>
    </row>
    <row r="198" spans="19:19" x14ac:dyDescent="0.2">
      <c r="S198" s="76"/>
    </row>
    <row r="199" spans="19:19" x14ac:dyDescent="0.2">
      <c r="S199" s="76"/>
    </row>
    <row r="200" spans="19:19" x14ac:dyDescent="0.2">
      <c r="S200" s="76"/>
    </row>
    <row r="201" spans="19:19" x14ac:dyDescent="0.2">
      <c r="S201" s="76"/>
    </row>
    <row r="202" spans="19:19" x14ac:dyDescent="0.2">
      <c r="S202" s="76"/>
    </row>
    <row r="203" spans="19:19" x14ac:dyDescent="0.2">
      <c r="S203" s="76"/>
    </row>
    <row r="204" spans="19:19" x14ac:dyDescent="0.2">
      <c r="S204" s="76"/>
    </row>
    <row r="205" spans="19:19" x14ac:dyDescent="0.2">
      <c r="S205" s="76"/>
    </row>
    <row r="206" spans="19:19" x14ac:dyDescent="0.2">
      <c r="S206" s="76"/>
    </row>
    <row r="207" spans="19:19" x14ac:dyDescent="0.2">
      <c r="S207" s="76"/>
    </row>
    <row r="208" spans="19:19" x14ac:dyDescent="0.2">
      <c r="S208" s="76"/>
    </row>
    <row r="209" spans="19:19" x14ac:dyDescent="0.2">
      <c r="S209" s="76"/>
    </row>
    <row r="210" spans="19:19" x14ac:dyDescent="0.2">
      <c r="S210" s="76"/>
    </row>
    <row r="211" spans="19:19" x14ac:dyDescent="0.2">
      <c r="S211" s="76"/>
    </row>
    <row r="212" spans="19:19" x14ac:dyDescent="0.2">
      <c r="S212" s="76"/>
    </row>
    <row r="213" spans="19:19" x14ac:dyDescent="0.2">
      <c r="S213" s="76"/>
    </row>
    <row r="214" spans="19:19" x14ac:dyDescent="0.2">
      <c r="S214" s="76"/>
    </row>
    <row r="215" spans="19:19" x14ac:dyDescent="0.2">
      <c r="S215" s="76"/>
    </row>
    <row r="216" spans="19:19" x14ac:dyDescent="0.2">
      <c r="S216" s="76"/>
    </row>
    <row r="217" spans="19:19" x14ac:dyDescent="0.2">
      <c r="S217" s="76"/>
    </row>
    <row r="218" spans="19:19" x14ac:dyDescent="0.2">
      <c r="S218" s="76"/>
    </row>
    <row r="219" spans="19:19" x14ac:dyDescent="0.2">
      <c r="S219" s="76"/>
    </row>
    <row r="220" spans="19:19" x14ac:dyDescent="0.2">
      <c r="S220" s="76"/>
    </row>
    <row r="221" spans="19:19" x14ac:dyDescent="0.2">
      <c r="S221" s="76"/>
    </row>
    <row r="222" spans="19:19" x14ac:dyDescent="0.2">
      <c r="S222" s="76"/>
    </row>
    <row r="223" spans="19:19" x14ac:dyDescent="0.2">
      <c r="S223" s="76"/>
    </row>
    <row r="224" spans="19:19" x14ac:dyDescent="0.2">
      <c r="S224" s="76"/>
    </row>
    <row r="225" spans="19:19" x14ac:dyDescent="0.2">
      <c r="S225" s="76"/>
    </row>
    <row r="226" spans="19:19" x14ac:dyDescent="0.2">
      <c r="S226" s="76"/>
    </row>
    <row r="227" spans="19:19" x14ac:dyDescent="0.2">
      <c r="S227" s="76"/>
    </row>
    <row r="228" spans="19:19" x14ac:dyDescent="0.2">
      <c r="S228" s="76"/>
    </row>
    <row r="229" spans="19:19" x14ac:dyDescent="0.2">
      <c r="S229" s="76"/>
    </row>
    <row r="230" spans="19:19" x14ac:dyDescent="0.2">
      <c r="S230" s="76"/>
    </row>
    <row r="231" spans="19:19" x14ac:dyDescent="0.2">
      <c r="S231" s="76"/>
    </row>
    <row r="232" spans="19:19" x14ac:dyDescent="0.2">
      <c r="S232" s="76"/>
    </row>
    <row r="233" spans="19:19" x14ac:dyDescent="0.2">
      <c r="S233" s="76"/>
    </row>
    <row r="234" spans="19:19" x14ac:dyDescent="0.2">
      <c r="S234" s="76"/>
    </row>
    <row r="235" spans="19:19" x14ac:dyDescent="0.2">
      <c r="S235" s="76"/>
    </row>
    <row r="236" spans="19:19" x14ac:dyDescent="0.2">
      <c r="S236" s="76"/>
    </row>
    <row r="237" spans="19:19" x14ac:dyDescent="0.2">
      <c r="S237" s="76"/>
    </row>
    <row r="238" spans="19:19" x14ac:dyDescent="0.2">
      <c r="S238" s="76"/>
    </row>
    <row r="239" spans="19:19" x14ac:dyDescent="0.2">
      <c r="S239" s="76"/>
    </row>
    <row r="240" spans="19:19" x14ac:dyDescent="0.2">
      <c r="S240" s="76"/>
    </row>
    <row r="241" spans="19:19" x14ac:dyDescent="0.2">
      <c r="S241" s="76"/>
    </row>
    <row r="242" spans="19:19" x14ac:dyDescent="0.2">
      <c r="S242" s="76"/>
    </row>
    <row r="243" spans="19:19" x14ac:dyDescent="0.2">
      <c r="S243" s="76"/>
    </row>
    <row r="244" spans="19:19" x14ac:dyDescent="0.2">
      <c r="S244" s="76"/>
    </row>
    <row r="245" spans="19:19" x14ac:dyDescent="0.2">
      <c r="S245" s="76"/>
    </row>
    <row r="246" spans="19:19" x14ac:dyDescent="0.2">
      <c r="S246" s="76"/>
    </row>
    <row r="247" spans="19:19" x14ac:dyDescent="0.2">
      <c r="S247" s="76"/>
    </row>
    <row r="248" spans="19:19" x14ac:dyDescent="0.2">
      <c r="S248" s="76"/>
    </row>
    <row r="249" spans="19:19" x14ac:dyDescent="0.2">
      <c r="S249" s="76"/>
    </row>
    <row r="250" spans="19:19" x14ac:dyDescent="0.2">
      <c r="S250" s="76"/>
    </row>
    <row r="251" spans="19:19" x14ac:dyDescent="0.2">
      <c r="S251" s="76"/>
    </row>
    <row r="252" spans="19:19" x14ac:dyDescent="0.2">
      <c r="S252" s="76"/>
    </row>
    <row r="253" spans="19:19" x14ac:dyDescent="0.2">
      <c r="S253" s="76"/>
    </row>
    <row r="254" spans="19:19" x14ac:dyDescent="0.2">
      <c r="S254" s="76"/>
    </row>
    <row r="255" spans="19:19" x14ac:dyDescent="0.2">
      <c r="S255" s="76"/>
    </row>
    <row r="256" spans="19:19" x14ac:dyDescent="0.2">
      <c r="S256" s="76"/>
    </row>
    <row r="257" spans="19:19" x14ac:dyDescent="0.2">
      <c r="S257" s="76"/>
    </row>
    <row r="258" spans="19:19" x14ac:dyDescent="0.2">
      <c r="S258" s="76"/>
    </row>
    <row r="259" spans="19:19" x14ac:dyDescent="0.2">
      <c r="S259" s="76"/>
    </row>
    <row r="260" spans="19:19" x14ac:dyDescent="0.2">
      <c r="S260" s="76"/>
    </row>
    <row r="261" spans="19:19" x14ac:dyDescent="0.2">
      <c r="S261" s="76"/>
    </row>
    <row r="262" spans="19:19" x14ac:dyDescent="0.2">
      <c r="S262" s="76"/>
    </row>
    <row r="263" spans="19:19" x14ac:dyDescent="0.2">
      <c r="S263" s="76"/>
    </row>
    <row r="264" spans="19:19" x14ac:dyDescent="0.2">
      <c r="S264" s="76"/>
    </row>
    <row r="265" spans="19:19" x14ac:dyDescent="0.2">
      <c r="S265" s="76"/>
    </row>
    <row r="266" spans="19:19" x14ac:dyDescent="0.2">
      <c r="S266" s="76"/>
    </row>
    <row r="267" spans="19:19" x14ac:dyDescent="0.2">
      <c r="S267" s="76"/>
    </row>
    <row r="268" spans="19:19" x14ac:dyDescent="0.2">
      <c r="S268" s="76"/>
    </row>
    <row r="269" spans="19:19" x14ac:dyDescent="0.2">
      <c r="S269" s="76"/>
    </row>
    <row r="270" spans="19:19" x14ac:dyDescent="0.2">
      <c r="S270" s="76"/>
    </row>
    <row r="271" spans="19:19" x14ac:dyDescent="0.2">
      <c r="S271" s="76"/>
    </row>
    <row r="272" spans="19:19" x14ac:dyDescent="0.2">
      <c r="S272" s="76"/>
    </row>
    <row r="273" spans="19:19" x14ac:dyDescent="0.2">
      <c r="S273" s="76"/>
    </row>
    <row r="274" spans="19:19" x14ac:dyDescent="0.2">
      <c r="S274" s="76"/>
    </row>
    <row r="275" spans="19:19" x14ac:dyDescent="0.2">
      <c r="S275" s="76"/>
    </row>
    <row r="276" spans="19:19" x14ac:dyDescent="0.2">
      <c r="S276" s="76"/>
    </row>
    <row r="277" spans="19:19" x14ac:dyDescent="0.2">
      <c r="S277" s="76"/>
    </row>
    <row r="278" spans="19:19" x14ac:dyDescent="0.2">
      <c r="S278" s="76"/>
    </row>
    <row r="279" spans="19:19" x14ac:dyDescent="0.2">
      <c r="S279" s="76"/>
    </row>
    <row r="280" spans="19:19" x14ac:dyDescent="0.2">
      <c r="S280" s="76"/>
    </row>
    <row r="281" spans="19:19" x14ac:dyDescent="0.2">
      <c r="S281" s="76"/>
    </row>
    <row r="282" spans="19:19" x14ac:dyDescent="0.2">
      <c r="S282" s="76"/>
    </row>
    <row r="283" spans="19:19" x14ac:dyDescent="0.2">
      <c r="S283" s="76"/>
    </row>
    <row r="284" spans="19:19" x14ac:dyDescent="0.2">
      <c r="S284" s="76"/>
    </row>
    <row r="285" spans="19:19" x14ac:dyDescent="0.2">
      <c r="S285" s="76"/>
    </row>
    <row r="286" spans="19:19" x14ac:dyDescent="0.2">
      <c r="S286" s="76"/>
    </row>
    <row r="287" spans="19:19" x14ac:dyDescent="0.2">
      <c r="S287" s="76"/>
    </row>
    <row r="288" spans="19:19" x14ac:dyDescent="0.2">
      <c r="S288" s="76"/>
    </row>
    <row r="289" spans="19:19" x14ac:dyDescent="0.2">
      <c r="S289" s="76"/>
    </row>
    <row r="290" spans="19:19" x14ac:dyDescent="0.2">
      <c r="S290" s="76"/>
    </row>
    <row r="291" spans="19:19" x14ac:dyDescent="0.2">
      <c r="S291" s="76"/>
    </row>
    <row r="292" spans="19:19" x14ac:dyDescent="0.2">
      <c r="S292" s="76"/>
    </row>
    <row r="293" spans="19:19" x14ac:dyDescent="0.2">
      <c r="S293" s="76"/>
    </row>
    <row r="294" spans="19:19" x14ac:dyDescent="0.2">
      <c r="S294" s="76"/>
    </row>
    <row r="295" spans="19:19" x14ac:dyDescent="0.2">
      <c r="S295" s="76"/>
    </row>
    <row r="296" spans="19:19" x14ac:dyDescent="0.2">
      <c r="S296" s="76"/>
    </row>
    <row r="297" spans="19:19" x14ac:dyDescent="0.2">
      <c r="S297" s="76"/>
    </row>
    <row r="298" spans="19:19" x14ac:dyDescent="0.2">
      <c r="S298" s="76"/>
    </row>
    <row r="299" spans="19:19" x14ac:dyDescent="0.2">
      <c r="S299" s="76"/>
    </row>
    <row r="300" spans="19:19" x14ac:dyDescent="0.2">
      <c r="S300" s="76"/>
    </row>
    <row r="301" spans="19:19" x14ac:dyDescent="0.2">
      <c r="S301" s="76"/>
    </row>
    <row r="302" spans="19:19" x14ac:dyDescent="0.2">
      <c r="S302" s="76"/>
    </row>
    <row r="303" spans="19:19" x14ac:dyDescent="0.2">
      <c r="S303" s="76"/>
    </row>
    <row r="304" spans="19:19" x14ac:dyDescent="0.2">
      <c r="S304" s="76"/>
    </row>
    <row r="305" spans="19:19" x14ac:dyDescent="0.2">
      <c r="S305" s="76"/>
    </row>
    <row r="306" spans="19:19" x14ac:dyDescent="0.2">
      <c r="S306" s="76"/>
    </row>
    <row r="307" spans="19:19" x14ac:dyDescent="0.2">
      <c r="S307" s="76"/>
    </row>
    <row r="308" spans="19:19" x14ac:dyDescent="0.2">
      <c r="S308" s="76"/>
    </row>
    <row r="309" spans="19:19" x14ac:dyDescent="0.2">
      <c r="S309" s="76"/>
    </row>
    <row r="310" spans="19:19" x14ac:dyDescent="0.2">
      <c r="S310" s="76"/>
    </row>
    <row r="311" spans="19:19" x14ac:dyDescent="0.2">
      <c r="S311" s="76"/>
    </row>
    <row r="312" spans="19:19" x14ac:dyDescent="0.2">
      <c r="S312" s="76"/>
    </row>
    <row r="313" spans="19:19" x14ac:dyDescent="0.2">
      <c r="S313" s="76"/>
    </row>
    <row r="314" spans="19:19" x14ac:dyDescent="0.2">
      <c r="S314" s="76"/>
    </row>
    <row r="315" spans="19:19" x14ac:dyDescent="0.2">
      <c r="S315" s="76"/>
    </row>
    <row r="316" spans="19:19" x14ac:dyDescent="0.2">
      <c r="S316" s="76"/>
    </row>
    <row r="317" spans="19:19" x14ac:dyDescent="0.2">
      <c r="S317" s="76"/>
    </row>
    <row r="318" spans="19:19" x14ac:dyDescent="0.2">
      <c r="S318" s="76"/>
    </row>
    <row r="319" spans="19:19" x14ac:dyDescent="0.2">
      <c r="S319" s="76"/>
    </row>
    <row r="320" spans="19:19" x14ac:dyDescent="0.2">
      <c r="S320" s="76"/>
    </row>
    <row r="321" spans="19:19" x14ac:dyDescent="0.2">
      <c r="S321" s="76"/>
    </row>
    <row r="322" spans="19:19" x14ac:dyDescent="0.2">
      <c r="S322" s="76"/>
    </row>
    <row r="323" spans="19:19" x14ac:dyDescent="0.2">
      <c r="S323" s="76"/>
    </row>
    <row r="324" spans="19:19" x14ac:dyDescent="0.2">
      <c r="S324" s="76"/>
    </row>
    <row r="325" spans="19:19" x14ac:dyDescent="0.2">
      <c r="S325" s="76"/>
    </row>
    <row r="326" spans="19:19" x14ac:dyDescent="0.2">
      <c r="S326" s="76"/>
    </row>
    <row r="327" spans="19:19" x14ac:dyDescent="0.2">
      <c r="S327" s="76"/>
    </row>
    <row r="328" spans="19:19" x14ac:dyDescent="0.2">
      <c r="S328" s="76"/>
    </row>
    <row r="329" spans="19:19" x14ac:dyDescent="0.2">
      <c r="S329" s="76"/>
    </row>
    <row r="330" spans="19:19" x14ac:dyDescent="0.2">
      <c r="S330" s="76"/>
    </row>
    <row r="331" spans="19:19" x14ac:dyDescent="0.2">
      <c r="S331" s="76"/>
    </row>
    <row r="332" spans="19:19" x14ac:dyDescent="0.2">
      <c r="S332" s="76"/>
    </row>
    <row r="333" spans="19:19" x14ac:dyDescent="0.2">
      <c r="S333" s="76"/>
    </row>
    <row r="334" spans="19:19" x14ac:dyDescent="0.2">
      <c r="S334" s="76"/>
    </row>
    <row r="335" spans="19:19" x14ac:dyDescent="0.2">
      <c r="S335" s="76"/>
    </row>
    <row r="336" spans="19:19" x14ac:dyDescent="0.2">
      <c r="S336" s="76"/>
    </row>
    <row r="337" spans="19:19" x14ac:dyDescent="0.2">
      <c r="S337" s="76"/>
    </row>
    <row r="338" spans="19:19" x14ac:dyDescent="0.2">
      <c r="S338" s="76"/>
    </row>
    <row r="339" spans="19:19" x14ac:dyDescent="0.2">
      <c r="S339" s="76"/>
    </row>
    <row r="340" spans="19:19" x14ac:dyDescent="0.2">
      <c r="S340" s="76"/>
    </row>
    <row r="341" spans="19:19" x14ac:dyDescent="0.2">
      <c r="S341" s="76"/>
    </row>
    <row r="342" spans="19:19" x14ac:dyDescent="0.2">
      <c r="S342" s="76"/>
    </row>
    <row r="343" spans="19:19" x14ac:dyDescent="0.2">
      <c r="S343" s="76"/>
    </row>
    <row r="344" spans="19:19" x14ac:dyDescent="0.2">
      <c r="S344" s="76"/>
    </row>
    <row r="345" spans="19:19" x14ac:dyDescent="0.2">
      <c r="S345" s="76"/>
    </row>
    <row r="346" spans="19:19" x14ac:dyDescent="0.2">
      <c r="S346" s="76"/>
    </row>
    <row r="347" spans="19:19" x14ac:dyDescent="0.2">
      <c r="S347" s="76"/>
    </row>
    <row r="348" spans="19:19" x14ac:dyDescent="0.2">
      <c r="S348" s="76"/>
    </row>
    <row r="349" spans="19:19" x14ac:dyDescent="0.2">
      <c r="S349" s="76"/>
    </row>
    <row r="350" spans="19:19" x14ac:dyDescent="0.2">
      <c r="S350" s="76"/>
    </row>
    <row r="351" spans="19:19" x14ac:dyDescent="0.2">
      <c r="S351" s="76"/>
    </row>
    <row r="352" spans="19:19" x14ac:dyDescent="0.2">
      <c r="S352" s="76"/>
    </row>
    <row r="353" spans="19:19" x14ac:dyDescent="0.2">
      <c r="S353" s="76"/>
    </row>
    <row r="354" spans="19:19" x14ac:dyDescent="0.2">
      <c r="S354" s="76"/>
    </row>
    <row r="355" spans="19:19" x14ac:dyDescent="0.2">
      <c r="S355" s="76"/>
    </row>
    <row r="356" spans="19:19" x14ac:dyDescent="0.2">
      <c r="S356" s="76"/>
    </row>
    <row r="357" spans="19:19" x14ac:dyDescent="0.2">
      <c r="S357" s="76"/>
    </row>
    <row r="358" spans="19:19" x14ac:dyDescent="0.2">
      <c r="S358" s="76"/>
    </row>
    <row r="359" spans="19:19" x14ac:dyDescent="0.2">
      <c r="S359" s="76"/>
    </row>
    <row r="360" spans="19:19" x14ac:dyDescent="0.2">
      <c r="S360" s="76"/>
    </row>
    <row r="361" spans="19:19" x14ac:dyDescent="0.2">
      <c r="S361" s="76"/>
    </row>
    <row r="362" spans="19:19" x14ac:dyDescent="0.2">
      <c r="S362" s="76"/>
    </row>
    <row r="363" spans="19:19" x14ac:dyDescent="0.2">
      <c r="S363" s="76"/>
    </row>
    <row r="364" spans="19:19" x14ac:dyDescent="0.2">
      <c r="S364" s="76"/>
    </row>
    <row r="365" spans="19:19" x14ac:dyDescent="0.2">
      <c r="S365" s="76"/>
    </row>
    <row r="366" spans="19:19" x14ac:dyDescent="0.2">
      <c r="S366" s="76"/>
    </row>
    <row r="367" spans="19:19" x14ac:dyDescent="0.2">
      <c r="S367" s="76"/>
    </row>
    <row r="368" spans="19:19" x14ac:dyDescent="0.2">
      <c r="S368" s="76"/>
    </row>
    <row r="369" spans="19:19" x14ac:dyDescent="0.2">
      <c r="S369" s="76"/>
    </row>
    <row r="370" spans="19:19" x14ac:dyDescent="0.2">
      <c r="S370" s="76"/>
    </row>
    <row r="371" spans="19:19" x14ac:dyDescent="0.2">
      <c r="S371" s="76"/>
    </row>
    <row r="372" spans="19:19" x14ac:dyDescent="0.2">
      <c r="S372" s="76"/>
    </row>
    <row r="373" spans="19:19" x14ac:dyDescent="0.2">
      <c r="S373" s="76"/>
    </row>
    <row r="374" spans="19:19" x14ac:dyDescent="0.2">
      <c r="S374" s="76"/>
    </row>
    <row r="375" spans="19:19" x14ac:dyDescent="0.2">
      <c r="S375" s="76"/>
    </row>
    <row r="376" spans="19:19" x14ac:dyDescent="0.2">
      <c r="S376" s="76"/>
    </row>
    <row r="377" spans="19:19" x14ac:dyDescent="0.2">
      <c r="S377" s="76"/>
    </row>
    <row r="378" spans="19:19" x14ac:dyDescent="0.2">
      <c r="S378" s="76"/>
    </row>
    <row r="379" spans="19:19" x14ac:dyDescent="0.2">
      <c r="S379" s="76"/>
    </row>
    <row r="380" spans="19:19" x14ac:dyDescent="0.2">
      <c r="S380" s="76"/>
    </row>
    <row r="381" spans="19:19" x14ac:dyDescent="0.2">
      <c r="S381" s="76"/>
    </row>
    <row r="382" spans="19:19" x14ac:dyDescent="0.2">
      <c r="S382" s="76"/>
    </row>
    <row r="383" spans="19:19" x14ac:dyDescent="0.2">
      <c r="S383" s="76"/>
    </row>
    <row r="384" spans="19:19" x14ac:dyDescent="0.2">
      <c r="S384" s="76"/>
    </row>
    <row r="385" spans="19:19" x14ac:dyDescent="0.2">
      <c r="S385" s="76"/>
    </row>
    <row r="386" spans="19:19" x14ac:dyDescent="0.2">
      <c r="S386" s="76"/>
    </row>
    <row r="387" spans="19:19" x14ac:dyDescent="0.2">
      <c r="S387" s="76"/>
    </row>
    <row r="388" spans="19:19" x14ac:dyDescent="0.2">
      <c r="S388" s="76"/>
    </row>
    <row r="389" spans="19:19" x14ac:dyDescent="0.2">
      <c r="S389" s="76"/>
    </row>
    <row r="390" spans="19:19" x14ac:dyDescent="0.2">
      <c r="S390" s="76"/>
    </row>
    <row r="391" spans="19:19" x14ac:dyDescent="0.2">
      <c r="S391" s="76"/>
    </row>
    <row r="392" spans="19:19" x14ac:dyDescent="0.2">
      <c r="S392" s="76"/>
    </row>
    <row r="393" spans="19:19" x14ac:dyDescent="0.2">
      <c r="S393" s="76"/>
    </row>
    <row r="394" spans="19:19" x14ac:dyDescent="0.2">
      <c r="S394" s="76"/>
    </row>
    <row r="395" spans="19:19" x14ac:dyDescent="0.2">
      <c r="S395" s="76"/>
    </row>
    <row r="396" spans="19:19" x14ac:dyDescent="0.2">
      <c r="S396" s="76"/>
    </row>
    <row r="397" spans="19:19" x14ac:dyDescent="0.2">
      <c r="S397" s="76"/>
    </row>
    <row r="398" spans="19:19" x14ac:dyDescent="0.2">
      <c r="S398" s="76"/>
    </row>
    <row r="399" spans="19:19" x14ac:dyDescent="0.2">
      <c r="S399" s="76"/>
    </row>
    <row r="400" spans="19:19" x14ac:dyDescent="0.2">
      <c r="S400" s="76"/>
    </row>
    <row r="401" spans="19:19" x14ac:dyDescent="0.2">
      <c r="S401" s="76"/>
    </row>
    <row r="402" spans="19:19" x14ac:dyDescent="0.2">
      <c r="S402" s="76"/>
    </row>
    <row r="403" spans="19:19" x14ac:dyDescent="0.2">
      <c r="S403" s="76"/>
    </row>
    <row r="404" spans="19:19" x14ac:dyDescent="0.2">
      <c r="S404" s="76"/>
    </row>
    <row r="405" spans="19:19" x14ac:dyDescent="0.2">
      <c r="S405" s="76"/>
    </row>
    <row r="406" spans="19:19" x14ac:dyDescent="0.2">
      <c r="S406" s="76"/>
    </row>
    <row r="407" spans="19:19" x14ac:dyDescent="0.2">
      <c r="S407" s="76"/>
    </row>
    <row r="408" spans="19:19" x14ac:dyDescent="0.2">
      <c r="S408" s="76"/>
    </row>
    <row r="409" spans="19:19" x14ac:dyDescent="0.2">
      <c r="S409" s="76"/>
    </row>
    <row r="410" spans="19:19" x14ac:dyDescent="0.2">
      <c r="S410" s="76"/>
    </row>
    <row r="411" spans="19:19" x14ac:dyDescent="0.2">
      <c r="S411" s="76"/>
    </row>
    <row r="412" spans="19:19" x14ac:dyDescent="0.2">
      <c r="S412" s="76"/>
    </row>
    <row r="413" spans="19:19" x14ac:dyDescent="0.2">
      <c r="S413" s="76"/>
    </row>
    <row r="414" spans="19:19" x14ac:dyDescent="0.2">
      <c r="S414" s="76"/>
    </row>
    <row r="415" spans="19:19" x14ac:dyDescent="0.2">
      <c r="S415" s="76"/>
    </row>
    <row r="416" spans="19:19" x14ac:dyDescent="0.2">
      <c r="S416" s="76"/>
    </row>
    <row r="417" spans="19:19" x14ac:dyDescent="0.2">
      <c r="S417" s="76"/>
    </row>
    <row r="418" spans="19:19" x14ac:dyDescent="0.2">
      <c r="S418" s="76"/>
    </row>
    <row r="419" spans="19:19" x14ac:dyDescent="0.2">
      <c r="S419" s="76"/>
    </row>
    <row r="420" spans="19:19" x14ac:dyDescent="0.2">
      <c r="S420" s="76"/>
    </row>
    <row r="421" spans="19:19" x14ac:dyDescent="0.2">
      <c r="S421" s="76"/>
    </row>
    <row r="422" spans="19:19" x14ac:dyDescent="0.2">
      <c r="S422" s="76"/>
    </row>
    <row r="423" spans="19:19" x14ac:dyDescent="0.2">
      <c r="S423" s="76"/>
    </row>
    <row r="424" spans="19:19" x14ac:dyDescent="0.2">
      <c r="S424" s="76"/>
    </row>
    <row r="425" spans="19:19" x14ac:dyDescent="0.2">
      <c r="S425" s="76"/>
    </row>
    <row r="426" spans="19:19" x14ac:dyDescent="0.2">
      <c r="S426" s="76"/>
    </row>
    <row r="427" spans="19:19" x14ac:dyDescent="0.2">
      <c r="S427" s="76"/>
    </row>
    <row r="428" spans="19:19" x14ac:dyDescent="0.2">
      <c r="S428" s="76"/>
    </row>
    <row r="429" spans="19:19" x14ac:dyDescent="0.2">
      <c r="S429" s="76"/>
    </row>
    <row r="430" spans="19:19" x14ac:dyDescent="0.2">
      <c r="S430" s="76"/>
    </row>
    <row r="431" spans="19:19" x14ac:dyDescent="0.2">
      <c r="S431" s="76"/>
    </row>
    <row r="432" spans="19:19" x14ac:dyDescent="0.2">
      <c r="S432" s="76"/>
    </row>
    <row r="433" spans="19:19" x14ac:dyDescent="0.2">
      <c r="S433" s="76"/>
    </row>
    <row r="434" spans="19:19" x14ac:dyDescent="0.2">
      <c r="S434" s="76"/>
    </row>
    <row r="435" spans="19:19" x14ac:dyDescent="0.2">
      <c r="S435" s="76"/>
    </row>
    <row r="436" spans="19:19" x14ac:dyDescent="0.2">
      <c r="S436" s="76"/>
    </row>
    <row r="437" spans="19:19" x14ac:dyDescent="0.2">
      <c r="S437" s="76"/>
    </row>
    <row r="438" spans="19:19" x14ac:dyDescent="0.2">
      <c r="S438" s="76"/>
    </row>
    <row r="439" spans="19:19" x14ac:dyDescent="0.2">
      <c r="S439" s="76"/>
    </row>
    <row r="440" spans="19:19" x14ac:dyDescent="0.2">
      <c r="S440" s="76"/>
    </row>
    <row r="441" spans="19:19" x14ac:dyDescent="0.2">
      <c r="S441" s="76"/>
    </row>
    <row r="442" spans="19:19" x14ac:dyDescent="0.2">
      <c r="S442" s="76"/>
    </row>
    <row r="443" spans="19:19" x14ac:dyDescent="0.2">
      <c r="S443" s="76"/>
    </row>
    <row r="444" spans="19:19" x14ac:dyDescent="0.2">
      <c r="S444" s="76"/>
    </row>
    <row r="445" spans="19:19" x14ac:dyDescent="0.2">
      <c r="S445" s="76"/>
    </row>
    <row r="446" spans="19:19" x14ac:dyDescent="0.2">
      <c r="S446" s="76"/>
    </row>
    <row r="447" spans="19:19" x14ac:dyDescent="0.2">
      <c r="S447" s="76"/>
    </row>
    <row r="448" spans="19:19" x14ac:dyDescent="0.2">
      <c r="S448" s="76"/>
    </row>
    <row r="449" spans="19:19" x14ac:dyDescent="0.2">
      <c r="S449" s="76"/>
    </row>
    <row r="450" spans="19:19" x14ac:dyDescent="0.2">
      <c r="S450" s="76"/>
    </row>
    <row r="451" spans="19:19" x14ac:dyDescent="0.2">
      <c r="S451" s="76"/>
    </row>
    <row r="452" spans="19:19" x14ac:dyDescent="0.2">
      <c r="S452" s="76"/>
    </row>
    <row r="453" spans="19:19" x14ac:dyDescent="0.2">
      <c r="S453" s="76"/>
    </row>
    <row r="454" spans="19:19" x14ac:dyDescent="0.2">
      <c r="S454" s="76"/>
    </row>
    <row r="455" spans="19:19" x14ac:dyDescent="0.2">
      <c r="S455" s="76"/>
    </row>
    <row r="456" spans="19:19" x14ac:dyDescent="0.2">
      <c r="S456" s="76"/>
    </row>
    <row r="457" spans="19:19" x14ac:dyDescent="0.2">
      <c r="S457" s="76"/>
    </row>
    <row r="458" spans="19:19" x14ac:dyDescent="0.2">
      <c r="S458" s="76"/>
    </row>
    <row r="459" spans="19:19" x14ac:dyDescent="0.2">
      <c r="S459" s="76"/>
    </row>
    <row r="460" spans="19:19" x14ac:dyDescent="0.2">
      <c r="S460" s="76"/>
    </row>
    <row r="461" spans="19:19" x14ac:dyDescent="0.2">
      <c r="S461" s="76"/>
    </row>
    <row r="462" spans="19:19" x14ac:dyDescent="0.2">
      <c r="S462" s="76"/>
    </row>
    <row r="463" spans="19:19" x14ac:dyDescent="0.2">
      <c r="S463" s="76"/>
    </row>
    <row r="464" spans="19:19" x14ac:dyDescent="0.2">
      <c r="S464" s="76"/>
    </row>
    <row r="465" spans="19:19" x14ac:dyDescent="0.2">
      <c r="S465" s="76"/>
    </row>
    <row r="466" spans="19:19" x14ac:dyDescent="0.2">
      <c r="S466" s="76"/>
    </row>
    <row r="467" spans="19:19" x14ac:dyDescent="0.2">
      <c r="S467" s="76"/>
    </row>
    <row r="468" spans="19:19" x14ac:dyDescent="0.2">
      <c r="S468" s="76"/>
    </row>
    <row r="469" spans="19:19" x14ac:dyDescent="0.2">
      <c r="S469" s="76"/>
    </row>
    <row r="470" spans="19:19" x14ac:dyDescent="0.2">
      <c r="S470" s="76"/>
    </row>
    <row r="471" spans="19:19" x14ac:dyDescent="0.2">
      <c r="S471" s="76"/>
    </row>
    <row r="472" spans="19:19" x14ac:dyDescent="0.2">
      <c r="S472" s="76"/>
    </row>
    <row r="473" spans="19:19" x14ac:dyDescent="0.2">
      <c r="S473" s="76"/>
    </row>
    <row r="474" spans="19:19" x14ac:dyDescent="0.2">
      <c r="S474" s="76"/>
    </row>
    <row r="475" spans="19:19" x14ac:dyDescent="0.2">
      <c r="S475" s="76"/>
    </row>
    <row r="476" spans="19:19" x14ac:dyDescent="0.2">
      <c r="S476" s="76"/>
    </row>
    <row r="477" spans="19:19" x14ac:dyDescent="0.2">
      <c r="S477" s="76"/>
    </row>
    <row r="478" spans="19:19" x14ac:dyDescent="0.2">
      <c r="S478" s="76"/>
    </row>
    <row r="479" spans="19:19" x14ac:dyDescent="0.2">
      <c r="S479" s="76"/>
    </row>
    <row r="480" spans="19:19" x14ac:dyDescent="0.2">
      <c r="S480" s="76"/>
    </row>
    <row r="481" spans="19:19" x14ac:dyDescent="0.2">
      <c r="S481" s="76"/>
    </row>
    <row r="482" spans="19:19" x14ac:dyDescent="0.2">
      <c r="S482" s="76"/>
    </row>
    <row r="483" spans="19:19" x14ac:dyDescent="0.2">
      <c r="S483" s="76"/>
    </row>
    <row r="484" spans="19:19" x14ac:dyDescent="0.2">
      <c r="S484" s="76"/>
    </row>
    <row r="485" spans="19:19" x14ac:dyDescent="0.2">
      <c r="S485" s="76"/>
    </row>
    <row r="486" spans="19:19" x14ac:dyDescent="0.2">
      <c r="S486" s="76"/>
    </row>
    <row r="487" spans="19:19" x14ac:dyDescent="0.2">
      <c r="S487" s="76"/>
    </row>
    <row r="488" spans="19:19" x14ac:dyDescent="0.2">
      <c r="S488" s="76"/>
    </row>
    <row r="489" spans="19:19" x14ac:dyDescent="0.2">
      <c r="S489" s="76"/>
    </row>
    <row r="490" spans="19:19" x14ac:dyDescent="0.2">
      <c r="S490" s="76"/>
    </row>
    <row r="491" spans="19:19" x14ac:dyDescent="0.2">
      <c r="S491" s="76"/>
    </row>
    <row r="492" spans="19:19" x14ac:dyDescent="0.2">
      <c r="S492" s="76"/>
    </row>
    <row r="493" spans="19:19" x14ac:dyDescent="0.2">
      <c r="S493" s="76"/>
    </row>
    <row r="494" spans="19:19" x14ac:dyDescent="0.2">
      <c r="S494" s="76"/>
    </row>
    <row r="495" spans="19:19" x14ac:dyDescent="0.2">
      <c r="S495" s="76"/>
    </row>
    <row r="496" spans="19:19" x14ac:dyDescent="0.2">
      <c r="S496" s="76"/>
    </row>
    <row r="497" spans="19:19" x14ac:dyDescent="0.2">
      <c r="S497" s="76"/>
    </row>
    <row r="498" spans="19:19" x14ac:dyDescent="0.2">
      <c r="S498" s="76"/>
    </row>
    <row r="499" spans="19:19" x14ac:dyDescent="0.2">
      <c r="S499" s="76"/>
    </row>
    <row r="500" spans="19:19" x14ac:dyDescent="0.2">
      <c r="S500" s="76"/>
    </row>
    <row r="501" spans="19:19" x14ac:dyDescent="0.2">
      <c r="S501" s="76"/>
    </row>
    <row r="502" spans="19:19" x14ac:dyDescent="0.2">
      <c r="S502" s="76"/>
    </row>
    <row r="503" spans="19:19" x14ac:dyDescent="0.2">
      <c r="S503" s="76"/>
    </row>
    <row r="504" spans="19:19" x14ac:dyDescent="0.2">
      <c r="S504" s="76"/>
    </row>
    <row r="505" spans="19:19" x14ac:dyDescent="0.2">
      <c r="S505" s="76"/>
    </row>
    <row r="506" spans="19:19" x14ac:dyDescent="0.2">
      <c r="S506" s="76"/>
    </row>
    <row r="507" spans="19:19" x14ac:dyDescent="0.2">
      <c r="S507" s="76"/>
    </row>
    <row r="508" spans="19:19" x14ac:dyDescent="0.2">
      <c r="S508" s="76"/>
    </row>
    <row r="509" spans="19:19" x14ac:dyDescent="0.2">
      <c r="S509" s="76"/>
    </row>
    <row r="510" spans="19:19" x14ac:dyDescent="0.2">
      <c r="S510" s="76"/>
    </row>
    <row r="511" spans="19:19" x14ac:dyDescent="0.2">
      <c r="S511" s="76"/>
    </row>
    <row r="512" spans="19:19" x14ac:dyDescent="0.2">
      <c r="S512" s="76"/>
    </row>
    <row r="513" spans="19:19" x14ac:dyDescent="0.2">
      <c r="S513" s="76"/>
    </row>
    <row r="514" spans="19:19" x14ac:dyDescent="0.2">
      <c r="S514" s="76"/>
    </row>
    <row r="515" spans="19:19" x14ac:dyDescent="0.2">
      <c r="S515" s="76"/>
    </row>
    <row r="516" spans="19:19" x14ac:dyDescent="0.2">
      <c r="S516" s="76"/>
    </row>
    <row r="517" spans="19:19" x14ac:dyDescent="0.2">
      <c r="S517" s="76"/>
    </row>
    <row r="518" spans="19:19" x14ac:dyDescent="0.2">
      <c r="S518" s="76"/>
    </row>
    <row r="519" spans="19:19" x14ac:dyDescent="0.2">
      <c r="S519" s="76"/>
    </row>
    <row r="520" spans="19:19" x14ac:dyDescent="0.2">
      <c r="S520" s="76"/>
    </row>
    <row r="521" spans="19:19" x14ac:dyDescent="0.2">
      <c r="S521" s="76"/>
    </row>
    <row r="522" spans="19:19" x14ac:dyDescent="0.2">
      <c r="S522" s="76"/>
    </row>
    <row r="523" spans="19:19" x14ac:dyDescent="0.2">
      <c r="S523" s="76"/>
    </row>
    <row r="524" spans="19:19" x14ac:dyDescent="0.2">
      <c r="S524" s="76"/>
    </row>
    <row r="525" spans="19:19" x14ac:dyDescent="0.2">
      <c r="S525" s="76"/>
    </row>
    <row r="526" spans="19:19" x14ac:dyDescent="0.2">
      <c r="S526" s="76"/>
    </row>
    <row r="527" spans="19:19" x14ac:dyDescent="0.2">
      <c r="S527" s="76"/>
    </row>
    <row r="528" spans="19:19" x14ac:dyDescent="0.2">
      <c r="S528" s="76"/>
    </row>
    <row r="529" spans="19:19" x14ac:dyDescent="0.2">
      <c r="S529" s="76"/>
    </row>
    <row r="530" spans="19:19" x14ac:dyDescent="0.2">
      <c r="S530" s="76"/>
    </row>
    <row r="531" spans="19:19" x14ac:dyDescent="0.2">
      <c r="S531" s="76"/>
    </row>
    <row r="532" spans="19:19" x14ac:dyDescent="0.2">
      <c r="S532" s="76"/>
    </row>
    <row r="533" spans="19:19" x14ac:dyDescent="0.2">
      <c r="S533" s="76"/>
    </row>
    <row r="534" spans="19:19" x14ac:dyDescent="0.2">
      <c r="S534" s="76"/>
    </row>
    <row r="535" spans="19:19" x14ac:dyDescent="0.2">
      <c r="S535" s="76"/>
    </row>
    <row r="536" spans="19:19" x14ac:dyDescent="0.2">
      <c r="S536" s="76"/>
    </row>
    <row r="537" spans="19:19" x14ac:dyDescent="0.2">
      <c r="S537" s="76"/>
    </row>
    <row r="538" spans="19:19" x14ac:dyDescent="0.2">
      <c r="S538" s="76"/>
    </row>
    <row r="539" spans="19:19" x14ac:dyDescent="0.2">
      <c r="S539" s="76"/>
    </row>
    <row r="540" spans="19:19" x14ac:dyDescent="0.2">
      <c r="S540" s="76"/>
    </row>
    <row r="541" spans="19:19" x14ac:dyDescent="0.2">
      <c r="S541" s="76"/>
    </row>
    <row r="542" spans="19:19" x14ac:dyDescent="0.2">
      <c r="S542" s="76"/>
    </row>
    <row r="543" spans="19:19" x14ac:dyDescent="0.2">
      <c r="S543" s="76"/>
    </row>
    <row r="544" spans="19:19" x14ac:dyDescent="0.2">
      <c r="S544" s="76"/>
    </row>
    <row r="545" spans="19:19" x14ac:dyDescent="0.2">
      <c r="S545" s="76"/>
    </row>
    <row r="546" spans="19:19" x14ac:dyDescent="0.2">
      <c r="S546" s="76"/>
    </row>
    <row r="547" spans="19:19" x14ac:dyDescent="0.2">
      <c r="S547" s="76"/>
    </row>
    <row r="548" spans="19:19" x14ac:dyDescent="0.2">
      <c r="S548" s="76"/>
    </row>
    <row r="549" spans="19:19" x14ac:dyDescent="0.2">
      <c r="S549" s="76"/>
    </row>
    <row r="550" spans="19:19" x14ac:dyDescent="0.2">
      <c r="S550" s="76"/>
    </row>
    <row r="551" spans="19:19" x14ac:dyDescent="0.2">
      <c r="S551" s="76"/>
    </row>
    <row r="552" spans="19:19" x14ac:dyDescent="0.2">
      <c r="S552" s="76"/>
    </row>
    <row r="553" spans="19:19" x14ac:dyDescent="0.2">
      <c r="S553" s="76"/>
    </row>
    <row r="554" spans="19:19" x14ac:dyDescent="0.2">
      <c r="S554" s="76"/>
    </row>
    <row r="555" spans="19:19" x14ac:dyDescent="0.2">
      <c r="S555" s="76"/>
    </row>
    <row r="556" spans="19:19" x14ac:dyDescent="0.2">
      <c r="S556" s="76"/>
    </row>
    <row r="557" spans="19:19" x14ac:dyDescent="0.2">
      <c r="S557" s="76"/>
    </row>
    <row r="558" spans="19:19" x14ac:dyDescent="0.2">
      <c r="S558" s="76"/>
    </row>
    <row r="559" spans="19:19" x14ac:dyDescent="0.2">
      <c r="S559" s="76"/>
    </row>
    <row r="560" spans="19:19" x14ac:dyDescent="0.2">
      <c r="S560" s="76"/>
    </row>
    <row r="561" spans="19:19" x14ac:dyDescent="0.2">
      <c r="S561" s="76"/>
    </row>
    <row r="562" spans="19:19" x14ac:dyDescent="0.2">
      <c r="S562" s="76"/>
    </row>
    <row r="563" spans="19:19" x14ac:dyDescent="0.2">
      <c r="S563" s="76"/>
    </row>
    <row r="564" spans="19:19" x14ac:dyDescent="0.2">
      <c r="S564" s="76"/>
    </row>
    <row r="565" spans="19:19" x14ac:dyDescent="0.2">
      <c r="S565" s="76"/>
    </row>
    <row r="566" spans="19:19" x14ac:dyDescent="0.2">
      <c r="S566" s="76"/>
    </row>
    <row r="567" spans="19:19" x14ac:dyDescent="0.2">
      <c r="S567" s="76"/>
    </row>
    <row r="568" spans="19:19" x14ac:dyDescent="0.2">
      <c r="S568" s="76"/>
    </row>
    <row r="569" spans="19:19" x14ac:dyDescent="0.2">
      <c r="S569" s="76"/>
    </row>
    <row r="570" spans="19:19" x14ac:dyDescent="0.2">
      <c r="S570" s="76"/>
    </row>
    <row r="571" spans="19:19" x14ac:dyDescent="0.2">
      <c r="S571" s="76"/>
    </row>
    <row r="572" spans="19:19" x14ac:dyDescent="0.2">
      <c r="S572" s="76"/>
    </row>
    <row r="573" spans="19:19" x14ac:dyDescent="0.2">
      <c r="S573" s="76"/>
    </row>
    <row r="574" spans="19:19" x14ac:dyDescent="0.2">
      <c r="S574" s="76"/>
    </row>
    <row r="575" spans="19:19" x14ac:dyDescent="0.2">
      <c r="S575" s="76"/>
    </row>
    <row r="576" spans="19:19" x14ac:dyDescent="0.2">
      <c r="S576" s="76"/>
    </row>
    <row r="577" spans="19:19" x14ac:dyDescent="0.2">
      <c r="S577" s="76"/>
    </row>
    <row r="578" spans="19:19" x14ac:dyDescent="0.2">
      <c r="S578" s="76"/>
    </row>
    <row r="579" spans="19:19" x14ac:dyDescent="0.2">
      <c r="S579" s="76"/>
    </row>
    <row r="580" spans="19:19" x14ac:dyDescent="0.2">
      <c r="S580" s="76"/>
    </row>
    <row r="581" spans="19:19" x14ac:dyDescent="0.2">
      <c r="S581" s="76"/>
    </row>
    <row r="582" spans="19:19" x14ac:dyDescent="0.2">
      <c r="S582" s="76"/>
    </row>
    <row r="583" spans="19:19" x14ac:dyDescent="0.2">
      <c r="S583" s="76"/>
    </row>
    <row r="584" spans="19:19" x14ac:dyDescent="0.2">
      <c r="S584" s="76"/>
    </row>
    <row r="585" spans="19:19" x14ac:dyDescent="0.2">
      <c r="S585" s="76"/>
    </row>
    <row r="586" spans="19:19" x14ac:dyDescent="0.2">
      <c r="S586" s="76"/>
    </row>
    <row r="587" spans="19:19" x14ac:dyDescent="0.2">
      <c r="S587" s="76"/>
    </row>
    <row r="588" spans="19:19" x14ac:dyDescent="0.2">
      <c r="S588" s="76"/>
    </row>
    <row r="589" spans="19:19" x14ac:dyDescent="0.2">
      <c r="S589" s="76"/>
    </row>
    <row r="590" spans="19:19" x14ac:dyDescent="0.2">
      <c r="S590" s="76"/>
    </row>
    <row r="591" spans="19:19" x14ac:dyDescent="0.2">
      <c r="S591" s="76"/>
    </row>
    <row r="592" spans="19:19" x14ac:dyDescent="0.2">
      <c r="S592" s="76"/>
    </row>
    <row r="593" spans="19:19" x14ac:dyDescent="0.2">
      <c r="S593" s="76"/>
    </row>
    <row r="594" spans="19:19" x14ac:dyDescent="0.2">
      <c r="S594" s="76"/>
    </row>
    <row r="595" spans="19:19" x14ac:dyDescent="0.2">
      <c r="S595" s="76"/>
    </row>
    <row r="596" spans="19:19" x14ac:dyDescent="0.2">
      <c r="S596" s="76"/>
    </row>
    <row r="597" spans="19:19" x14ac:dyDescent="0.2">
      <c r="S597" s="76"/>
    </row>
    <row r="598" spans="19:19" x14ac:dyDescent="0.2">
      <c r="S598" s="76"/>
    </row>
    <row r="599" spans="19:19" x14ac:dyDescent="0.2">
      <c r="S599" s="76"/>
    </row>
    <row r="600" spans="19:19" x14ac:dyDescent="0.2">
      <c r="S600" s="76"/>
    </row>
    <row r="601" spans="19:19" x14ac:dyDescent="0.2">
      <c r="S601" s="76"/>
    </row>
    <row r="602" spans="19:19" x14ac:dyDescent="0.2">
      <c r="S602" s="76"/>
    </row>
    <row r="603" spans="19:19" x14ac:dyDescent="0.2">
      <c r="S603" s="76"/>
    </row>
    <row r="604" spans="19:19" x14ac:dyDescent="0.2">
      <c r="S604" s="76"/>
    </row>
    <row r="605" spans="19:19" x14ac:dyDescent="0.2">
      <c r="S605" s="76"/>
    </row>
    <row r="606" spans="19:19" x14ac:dyDescent="0.2">
      <c r="S606" s="76"/>
    </row>
    <row r="607" spans="19:19" x14ac:dyDescent="0.2">
      <c r="S607" s="76"/>
    </row>
    <row r="608" spans="19:19" x14ac:dyDescent="0.2">
      <c r="S608" s="76"/>
    </row>
    <row r="609" spans="19:19" x14ac:dyDescent="0.2">
      <c r="S609" s="76"/>
    </row>
    <row r="610" spans="19:19" x14ac:dyDescent="0.2">
      <c r="S610" s="76"/>
    </row>
    <row r="611" spans="19:19" x14ac:dyDescent="0.2">
      <c r="S611" s="76"/>
    </row>
    <row r="612" spans="19:19" x14ac:dyDescent="0.2">
      <c r="S612" s="76"/>
    </row>
    <row r="613" spans="19:19" x14ac:dyDescent="0.2">
      <c r="S613" s="76"/>
    </row>
    <row r="614" spans="19:19" x14ac:dyDescent="0.2">
      <c r="S614" s="76"/>
    </row>
    <row r="615" spans="19:19" x14ac:dyDescent="0.2">
      <c r="S615" s="76"/>
    </row>
    <row r="616" spans="19:19" x14ac:dyDescent="0.2">
      <c r="S616" s="76"/>
    </row>
    <row r="617" spans="19:19" x14ac:dyDescent="0.2">
      <c r="S617" s="76"/>
    </row>
    <row r="618" spans="19:19" x14ac:dyDescent="0.2">
      <c r="S618" s="76"/>
    </row>
    <row r="619" spans="19:19" x14ac:dyDescent="0.2">
      <c r="S619" s="76"/>
    </row>
    <row r="620" spans="19:19" x14ac:dyDescent="0.2">
      <c r="S620" s="76"/>
    </row>
    <row r="621" spans="19:19" x14ac:dyDescent="0.2">
      <c r="S621" s="76"/>
    </row>
    <row r="622" spans="19:19" x14ac:dyDescent="0.2">
      <c r="S622" s="76"/>
    </row>
    <row r="623" spans="19:19" x14ac:dyDescent="0.2">
      <c r="S623" s="76"/>
    </row>
    <row r="624" spans="19:19" x14ac:dyDescent="0.2">
      <c r="S624" s="76"/>
    </row>
    <row r="625" spans="19:19" x14ac:dyDescent="0.2">
      <c r="S625" s="76"/>
    </row>
    <row r="626" spans="19:19" x14ac:dyDescent="0.2">
      <c r="S626" s="76"/>
    </row>
    <row r="627" spans="19:19" x14ac:dyDescent="0.2">
      <c r="S627" s="76"/>
    </row>
    <row r="628" spans="19:19" x14ac:dyDescent="0.2">
      <c r="S628" s="76"/>
    </row>
    <row r="629" spans="19:19" x14ac:dyDescent="0.2">
      <c r="S629" s="76"/>
    </row>
    <row r="630" spans="19:19" x14ac:dyDescent="0.2">
      <c r="S630" s="76"/>
    </row>
    <row r="631" spans="19:19" x14ac:dyDescent="0.2">
      <c r="S631" s="76"/>
    </row>
    <row r="632" spans="19:19" x14ac:dyDescent="0.2">
      <c r="S632" s="76"/>
    </row>
    <row r="633" spans="19:19" x14ac:dyDescent="0.2">
      <c r="S633" s="76"/>
    </row>
    <row r="634" spans="19:19" x14ac:dyDescent="0.2">
      <c r="S634" s="76"/>
    </row>
    <row r="635" spans="19:19" x14ac:dyDescent="0.2">
      <c r="S635" s="76"/>
    </row>
    <row r="636" spans="19:19" x14ac:dyDescent="0.2">
      <c r="S636" s="76"/>
    </row>
    <row r="637" spans="19:19" x14ac:dyDescent="0.2">
      <c r="S637" s="76"/>
    </row>
    <row r="638" spans="19:19" x14ac:dyDescent="0.2">
      <c r="S638" s="76"/>
    </row>
    <row r="639" spans="19:19" x14ac:dyDescent="0.2">
      <c r="S639" s="76"/>
    </row>
    <row r="640" spans="19:19" x14ac:dyDescent="0.2">
      <c r="S640" s="76"/>
    </row>
    <row r="641" spans="19:19" x14ac:dyDescent="0.2">
      <c r="S641" s="76"/>
    </row>
    <row r="642" spans="19:19" x14ac:dyDescent="0.2">
      <c r="S642" s="76"/>
    </row>
    <row r="643" spans="19:19" x14ac:dyDescent="0.2">
      <c r="S643" s="76"/>
    </row>
    <row r="644" spans="19:19" x14ac:dyDescent="0.2">
      <c r="S644" s="76"/>
    </row>
    <row r="645" spans="19:19" x14ac:dyDescent="0.2">
      <c r="S645" s="76"/>
    </row>
    <row r="646" spans="19:19" x14ac:dyDescent="0.2">
      <c r="S646" s="76"/>
    </row>
    <row r="647" spans="19:19" x14ac:dyDescent="0.2">
      <c r="S647" s="76"/>
    </row>
    <row r="648" spans="19:19" x14ac:dyDescent="0.2">
      <c r="S648" s="76"/>
    </row>
    <row r="649" spans="19:19" x14ac:dyDescent="0.2">
      <c r="S649" s="76"/>
    </row>
    <row r="650" spans="19:19" x14ac:dyDescent="0.2">
      <c r="S650" s="76"/>
    </row>
    <row r="651" spans="19:19" x14ac:dyDescent="0.2">
      <c r="S651" s="76"/>
    </row>
    <row r="652" spans="19:19" x14ac:dyDescent="0.2">
      <c r="S652" s="76"/>
    </row>
    <row r="653" spans="19:19" x14ac:dyDescent="0.2">
      <c r="S653" s="76"/>
    </row>
    <row r="654" spans="19:19" x14ac:dyDescent="0.2">
      <c r="S654" s="76"/>
    </row>
    <row r="655" spans="19:19" x14ac:dyDescent="0.2">
      <c r="S655" s="76"/>
    </row>
    <row r="656" spans="19:19" x14ac:dyDescent="0.2">
      <c r="S656" s="76"/>
    </row>
    <row r="657" spans="19:19" x14ac:dyDescent="0.2">
      <c r="S657" s="76"/>
    </row>
    <row r="658" spans="19:19" x14ac:dyDescent="0.2">
      <c r="S658" s="76"/>
    </row>
    <row r="659" spans="19:19" x14ac:dyDescent="0.2">
      <c r="S659" s="76"/>
    </row>
    <row r="660" spans="19:19" x14ac:dyDescent="0.2">
      <c r="S660" s="76"/>
    </row>
    <row r="661" spans="19:19" x14ac:dyDescent="0.2">
      <c r="S661" s="76"/>
    </row>
    <row r="662" spans="19:19" x14ac:dyDescent="0.2">
      <c r="S662" s="76"/>
    </row>
    <row r="663" spans="19:19" x14ac:dyDescent="0.2">
      <c r="S663" s="76"/>
    </row>
    <row r="664" spans="19:19" x14ac:dyDescent="0.2">
      <c r="S664" s="76"/>
    </row>
    <row r="665" spans="19:19" x14ac:dyDescent="0.2">
      <c r="S665" s="76"/>
    </row>
    <row r="666" spans="19:19" x14ac:dyDescent="0.2">
      <c r="S666" s="76"/>
    </row>
    <row r="667" spans="19:19" x14ac:dyDescent="0.2">
      <c r="S667" s="76"/>
    </row>
    <row r="668" spans="19:19" x14ac:dyDescent="0.2">
      <c r="S668" s="76"/>
    </row>
    <row r="669" spans="19:19" x14ac:dyDescent="0.2">
      <c r="S669" s="76"/>
    </row>
    <row r="670" spans="19:19" x14ac:dyDescent="0.2">
      <c r="S670" s="76"/>
    </row>
    <row r="671" spans="19:19" x14ac:dyDescent="0.2">
      <c r="S671" s="76"/>
    </row>
    <row r="672" spans="19:19" x14ac:dyDescent="0.2">
      <c r="S672" s="76"/>
    </row>
    <row r="673" spans="19:19" x14ac:dyDescent="0.2">
      <c r="S673" s="76"/>
    </row>
    <row r="674" spans="19:19" x14ac:dyDescent="0.2">
      <c r="S674" s="76"/>
    </row>
    <row r="675" spans="19:19" x14ac:dyDescent="0.2">
      <c r="S675" s="76"/>
    </row>
    <row r="676" spans="19:19" x14ac:dyDescent="0.2">
      <c r="S676" s="76"/>
    </row>
    <row r="677" spans="19:19" x14ac:dyDescent="0.2">
      <c r="S677" s="76"/>
    </row>
    <row r="678" spans="19:19" x14ac:dyDescent="0.2">
      <c r="S678" s="76"/>
    </row>
    <row r="679" spans="19:19" x14ac:dyDescent="0.2">
      <c r="S679" s="76"/>
    </row>
    <row r="680" spans="19:19" x14ac:dyDescent="0.2">
      <c r="S680" s="76"/>
    </row>
    <row r="681" spans="19:19" x14ac:dyDescent="0.2">
      <c r="S681" s="76"/>
    </row>
    <row r="682" spans="19:19" x14ac:dyDescent="0.2">
      <c r="S682" s="76"/>
    </row>
    <row r="683" spans="19:19" x14ac:dyDescent="0.2">
      <c r="S683" s="76"/>
    </row>
    <row r="684" spans="19:19" x14ac:dyDescent="0.2">
      <c r="S684" s="76"/>
    </row>
    <row r="685" spans="19:19" x14ac:dyDescent="0.2">
      <c r="S685" s="76"/>
    </row>
    <row r="686" spans="19:19" x14ac:dyDescent="0.2">
      <c r="S686" s="76"/>
    </row>
    <row r="687" spans="19:19" x14ac:dyDescent="0.2">
      <c r="S687" s="76"/>
    </row>
    <row r="688" spans="19:19" x14ac:dyDescent="0.2">
      <c r="S688" s="76"/>
    </row>
    <row r="689" spans="19:19" x14ac:dyDescent="0.2">
      <c r="S689" s="76"/>
    </row>
    <row r="690" spans="19:19" x14ac:dyDescent="0.2">
      <c r="S690" s="76"/>
    </row>
    <row r="691" spans="19:19" x14ac:dyDescent="0.2">
      <c r="S691" s="76"/>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FC11B-D897-4DCC-87A9-1E992C500CFF}">
  <dimension ref="B1:N45"/>
  <sheetViews>
    <sheetView showGridLines="0" zoomScale="75" zoomScaleNormal="75" workbookViewId="0"/>
  </sheetViews>
  <sheetFormatPr defaultRowHeight="15" x14ac:dyDescent="0.25"/>
  <cols>
    <col min="1" max="1" width="2.85546875" customWidth="1"/>
    <col min="2" max="2" width="3.85546875" customWidth="1"/>
    <col min="3" max="3" width="6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6" t="s">
        <v>0</v>
      </c>
      <c r="D3" s="47"/>
      <c r="E3" s="47"/>
      <c r="F3" s="47"/>
      <c r="G3" s="47"/>
      <c r="H3" s="47"/>
      <c r="I3" s="47"/>
      <c r="J3" s="47"/>
      <c r="K3" s="47"/>
      <c r="L3" s="47"/>
      <c r="M3" s="47"/>
      <c r="N3" s="48"/>
    </row>
    <row r="4" spans="2:14" ht="15.75" customHeight="1" x14ac:dyDescent="0.25">
      <c r="B4" s="20"/>
      <c r="C4" s="14"/>
      <c r="D4" s="1"/>
      <c r="E4" s="1"/>
      <c r="F4" s="1"/>
      <c r="G4" s="1"/>
      <c r="H4" s="1"/>
      <c r="I4" s="1"/>
      <c r="J4" s="1"/>
      <c r="K4" s="1"/>
      <c r="L4" s="1"/>
      <c r="M4" s="1"/>
      <c r="N4" s="18"/>
    </row>
    <row r="5" spans="2:14" ht="18" customHeight="1" x14ac:dyDescent="0.25">
      <c r="B5" s="20"/>
      <c r="C5" s="15" t="s">
        <v>1</v>
      </c>
      <c r="D5" s="49" t="s">
        <v>2</v>
      </c>
      <c r="E5" s="50"/>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1" t="s">
        <v>17</v>
      </c>
      <c r="H7" s="52"/>
      <c r="I7" s="52"/>
      <c r="J7" s="52"/>
      <c r="K7" s="52"/>
      <c r="L7" s="52"/>
      <c r="M7" s="52"/>
      <c r="N7" s="53"/>
    </row>
    <row r="8" spans="2:14" ht="15" customHeight="1" x14ac:dyDescent="0.25">
      <c r="B8" s="20"/>
      <c r="C8" s="5" t="s">
        <v>6</v>
      </c>
      <c r="D8" s="6"/>
      <c r="E8" s="11">
        <v>0.601603</v>
      </c>
      <c r="F8" s="1"/>
      <c r="G8" s="24" t="s">
        <v>16</v>
      </c>
      <c r="H8" s="25">
        <v>1</v>
      </c>
      <c r="I8" s="1"/>
      <c r="J8" s="24" t="s">
        <v>13</v>
      </c>
      <c r="K8" s="24" t="s">
        <v>5</v>
      </c>
      <c r="L8" s="1"/>
      <c r="M8" s="1"/>
      <c r="N8" s="18"/>
    </row>
    <row r="9" spans="2:14" ht="15" customHeight="1" x14ac:dyDescent="0.25">
      <c r="B9" s="20"/>
      <c r="C9" s="5" t="s">
        <v>289</v>
      </c>
      <c r="D9" s="6"/>
      <c r="E9" s="11">
        <v>0.380855</v>
      </c>
      <c r="F9" s="1"/>
      <c r="G9" s="1"/>
      <c r="H9" s="1"/>
      <c r="I9" s="1"/>
      <c r="J9" s="24" t="s">
        <v>11</v>
      </c>
      <c r="K9" s="29">
        <v>-1.797E-3</v>
      </c>
      <c r="L9" s="1"/>
      <c r="M9" s="1"/>
      <c r="N9" s="18"/>
    </row>
    <row r="10" spans="2:14" ht="15" customHeight="1" x14ac:dyDescent="0.25">
      <c r="B10" s="20"/>
      <c r="C10" s="5" t="s">
        <v>7</v>
      </c>
      <c r="D10" s="6"/>
      <c r="E10" s="11">
        <v>9.8770000000000004E-3</v>
      </c>
      <c r="F10" s="1"/>
      <c r="G10" s="1"/>
      <c r="H10" s="1"/>
      <c r="I10" s="1"/>
      <c r="J10" s="24" t="s">
        <v>14</v>
      </c>
      <c r="K10" s="29">
        <v>9.4619999999999999E-3</v>
      </c>
      <c r="L10" s="1"/>
      <c r="M10" s="1"/>
      <c r="N10" s="18"/>
    </row>
    <row r="11" spans="2:14" ht="15.75" customHeight="1" x14ac:dyDescent="0.25">
      <c r="B11" s="20"/>
      <c r="C11" s="7" t="s">
        <v>8</v>
      </c>
      <c r="D11" s="8"/>
      <c r="E11" s="12">
        <v>0.99233499999999997</v>
      </c>
      <c r="F11" s="1"/>
      <c r="G11" s="1"/>
      <c r="H11" s="1"/>
      <c r="I11" s="1"/>
      <c r="J11" s="24" t="s">
        <v>15</v>
      </c>
      <c r="K11" s="29">
        <v>0.99233499999999997</v>
      </c>
      <c r="L11" s="1"/>
      <c r="M11" s="1"/>
      <c r="N11" s="18"/>
    </row>
    <row r="12" spans="2:14" ht="15" customHeight="1" x14ac:dyDescent="0.25">
      <c r="B12" s="20"/>
      <c r="C12" s="5" t="s">
        <v>9</v>
      </c>
      <c r="D12" s="6"/>
      <c r="E12" s="11">
        <v>9.4619999999999999E-3</v>
      </c>
      <c r="F12" s="1"/>
      <c r="G12" s="1"/>
      <c r="H12" s="1"/>
      <c r="I12" s="1"/>
      <c r="J12" s="1"/>
      <c r="K12" s="1"/>
      <c r="L12" s="1"/>
      <c r="M12" s="1"/>
      <c r="N12" s="18"/>
    </row>
    <row r="13" spans="2:14" ht="15.75" customHeight="1" x14ac:dyDescent="0.25">
      <c r="B13" s="20"/>
      <c r="C13" s="7" t="s">
        <v>10</v>
      </c>
      <c r="D13" s="8"/>
      <c r="E13" s="12">
        <v>9.4619999999999999E-3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-1.797E-3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1" t="s">
        <v>18</v>
      </c>
      <c r="H24" s="52"/>
      <c r="I24" s="52"/>
      <c r="J24" s="52"/>
      <c r="K24" s="52"/>
      <c r="L24" s="26">
        <v>2.6966877930183233</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1" t="s">
        <v>19</v>
      </c>
      <c r="H26" s="52"/>
      <c r="I26" s="52"/>
      <c r="J26" s="52"/>
      <c r="K26" s="52"/>
      <c r="L26" s="52"/>
      <c r="M26" s="52"/>
      <c r="N26" s="5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75" customHeight="1" thickBot="1" x14ac:dyDescent="0.3">
      <c r="B45" s="43" t="s">
        <v>295</v>
      </c>
      <c r="C45" s="44"/>
      <c r="D45" s="44"/>
      <c r="E45" s="44"/>
      <c r="F45" s="44"/>
      <c r="G45" s="44"/>
      <c r="H45" s="44"/>
      <c r="I45" s="44"/>
      <c r="J45" s="44"/>
      <c r="K45" s="44"/>
      <c r="L45" s="44"/>
      <c r="M45" s="44"/>
      <c r="N45" s="45"/>
    </row>
  </sheetData>
  <mergeCells count="6">
    <mergeCell ref="B45:N45"/>
    <mergeCell ref="C3:N3"/>
    <mergeCell ref="D5:E5"/>
    <mergeCell ref="G7:N7"/>
    <mergeCell ref="G24:K24"/>
    <mergeCell ref="G26:N26"/>
  </mergeCells>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BANDHAN OF</vt:lpstr>
      <vt:lpstr>BANDHAN CF</vt:lpstr>
      <vt:lpstr>BANDHAN LDF</vt:lpstr>
      <vt:lpstr>BANDHAN MMF</vt:lpstr>
      <vt:lpstr>BANDHAN USTF</vt:lpstr>
      <vt:lpstr>BANDHAN DBF</vt:lpstr>
      <vt:lpstr>BANDHAN BOND IP</vt:lpstr>
      <vt:lpstr>BANDHAN BOND MT</vt:lpstr>
      <vt:lpstr>BANDHAN BOND ST</vt:lpstr>
      <vt:lpstr>BANDHAN BPDF</vt:lpstr>
      <vt:lpstr>BANDHAN CBF</vt:lpstr>
      <vt:lpstr>BANDHAN FRF</vt:lpstr>
      <vt:lpstr>BANDHAN CRF</vt:lpstr>
      <vt:lpstr>BANDHAN GSF-IP</vt:lpstr>
      <vt:lpstr>BANDHAN GSF - CMP</vt:lpstr>
      <vt:lpstr>BANDHAN GIF26</vt:lpstr>
      <vt:lpstr>BANDHAN GIF2027</vt:lpstr>
      <vt:lpstr>BANDHAN GIF2028</vt:lpstr>
      <vt:lpstr>BANDHAN GIF32</vt:lpstr>
      <vt:lpstr>BANDHAN SDLGIF26</vt:lpstr>
      <vt:lpstr>BANDHAN SDLGIF27</vt:lpstr>
      <vt:lpstr>BANDHAN SDLGIF32</vt:lpstr>
      <vt:lpstr>BANDHAN-US TB FOF 0-1 yr</vt:lpstr>
      <vt:lpstr>BANDHAN ASBF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IDFCMF Products2</dc:creator>
  <cp:lastModifiedBy>IDFCMF Products2</cp:lastModifiedBy>
  <dcterms:created xsi:type="dcterms:W3CDTF">2023-09-01T03:49:35Z</dcterms:created>
  <dcterms:modified xsi:type="dcterms:W3CDTF">2023-09-04T11:43:19Z</dcterms:modified>
</cp:coreProperties>
</file>