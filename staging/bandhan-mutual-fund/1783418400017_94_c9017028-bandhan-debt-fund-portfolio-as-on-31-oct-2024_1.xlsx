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Nov 2024\"/>
    </mc:Choice>
  </mc:AlternateContent>
  <xr:revisionPtr revIDLastSave="0" documentId="13_ncr:1_{E3A32766-2AC1-42F0-8AE2-1E35E1E25159}" xr6:coauthVersionLast="36" xr6:coauthVersionMax="36" xr10:uidLastSave="{00000000-0000-0000-0000-000000000000}"/>
  <bookViews>
    <workbookView xWindow="0" yWindow="0" windowWidth="10215" windowHeight="2595" xr2:uid="{17BEFBCB-8CE3-40E8-9559-12386311FD9E}"/>
  </bookViews>
  <sheets>
    <sheet name="BANDHAN OF" sheetId="24" r:id="rId1"/>
    <sheet name="BANDHAN C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Long Dur"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K15" i="3" l="1"/>
  <c r="K14" i="3"/>
  <c r="K13" i="3"/>
  <c r="K12" i="3"/>
  <c r="K11" i="3"/>
  <c r="K10" i="3"/>
  <c r="K9" i="3"/>
  <c r="K11" i="2" l="1"/>
  <c r="K10" i="2"/>
  <c r="K9" i="2"/>
  <c r="E33" i="7" l="1"/>
</calcChain>
</file>

<file path=xl/sharedStrings.xml><?xml version="1.0" encoding="utf-8"?>
<sst xmlns="http://schemas.openxmlformats.org/spreadsheetml/2006/main" count="1485" uniqueCount="349">
  <si>
    <t>Bandhan All Seasons Bond Fund (31 October, 2024 )</t>
  </si>
  <si>
    <t>Name</t>
  </si>
  <si>
    <t>Rating</t>
  </si>
  <si>
    <t>Total</t>
  </si>
  <si>
    <t>AAA EQUIVALENT</t>
  </si>
  <si>
    <t>Asset Quality</t>
  </si>
  <si>
    <t>Average Maturity Years</t>
  </si>
  <si>
    <t>Asset Allocation</t>
  </si>
  <si>
    <t>Bandhan Banking &amp; PSU Debt Fund (31 October, 2024 )</t>
  </si>
  <si>
    <t>Bandhan Bond Fund - Income Plan (31 October, 2024 )</t>
  </si>
  <si>
    <t>Net Assets as on 31 October, 2024</t>
  </si>
  <si>
    <t>482.13 crs</t>
  </si>
  <si>
    <t>HDFC Bank Limited</t>
  </si>
  <si>
    <t xml:space="preserve"> A1+</t>
  </si>
  <si>
    <t>Bank of Baroda</t>
  </si>
  <si>
    <t>Certificate of Deposit Total</t>
  </si>
  <si>
    <t>Tata Capital Limited</t>
  </si>
  <si>
    <t xml:space="preserve"> AAA</t>
  </si>
  <si>
    <t>Bajaj Housing Finance Limited</t>
  </si>
  <si>
    <t>National Bank For Agriculture and Rural Development</t>
  </si>
  <si>
    <t>REC Limited</t>
  </si>
  <si>
    <t>Corporate Bond Total</t>
  </si>
  <si>
    <t>Corporate Debt Market Development Fund</t>
  </si>
  <si>
    <t>Corporate Debt Market Development Fund Total</t>
  </si>
  <si>
    <t>7.3% GOI (MD 19/06/2053)</t>
  </si>
  <si>
    <t>7.18% GOI (MD 14/08/2033)</t>
  </si>
  <si>
    <t>7.17% GOI (MD 17/04/2030)</t>
  </si>
  <si>
    <t>6.79% GOI (MD 15/05/2027)</t>
  </si>
  <si>
    <t>7.73% GOI (MD 19/12/2034)</t>
  </si>
  <si>
    <t>Government Bond Total</t>
  </si>
  <si>
    <t>Clearing Corporation of India Ltd</t>
  </si>
  <si>
    <t>TRI Party Repo Total</t>
  </si>
  <si>
    <t>Net Current Asset</t>
  </si>
  <si>
    <t>Grand Total</t>
  </si>
  <si>
    <t>Company</t>
  </si>
  <si>
    <t>TRI Party Repo</t>
  </si>
  <si>
    <t>Certificate of Deposit</t>
  </si>
  <si>
    <t>Corporate Bond</t>
  </si>
  <si>
    <t>Government Bond</t>
  </si>
  <si>
    <t>Bandhan Bond Fund - Medium Term Plan (31 October, 2024 )</t>
  </si>
  <si>
    <t>1492.28 crs</t>
  </si>
  <si>
    <t>Axis Bank Limited</t>
  </si>
  <si>
    <t>Punjab National Bank</t>
  </si>
  <si>
    <t>Tata Capital Housing Finance Limited</t>
  </si>
  <si>
    <t>Bajaj Finance Limited</t>
  </si>
  <si>
    <t>8.24% GOI (MD 15/02/2027)</t>
  </si>
  <si>
    <t>State Government Bond Total</t>
  </si>
  <si>
    <t>State Government Bond</t>
  </si>
  <si>
    <t>Bandhan Bond Fund - Short Term Plan (31 October, 2024 )</t>
  </si>
  <si>
    <t>9724.53 crs</t>
  </si>
  <si>
    <t>Power Finance Corporation Limited</t>
  </si>
  <si>
    <t>Kotak Mahindra Prime Limited</t>
  </si>
  <si>
    <t>Sundaram Finance Limited</t>
  </si>
  <si>
    <t>5.63% GOI (MD 12/04/2026)</t>
  </si>
  <si>
    <t>Bandhan Corporate Bond Fund (31 October, 2024 )</t>
  </si>
  <si>
    <t>14098.42 crs</t>
  </si>
  <si>
    <t>Export Import Bank of India</t>
  </si>
  <si>
    <t>National Housing Bank</t>
  </si>
  <si>
    <t>Indian Railway Finance Corporation Limited</t>
  </si>
  <si>
    <t>Grasim Industries Limited</t>
  </si>
  <si>
    <t>Power Grid Corporation of India Limited</t>
  </si>
  <si>
    <t>Reliance Industries Limited</t>
  </si>
  <si>
    <t>Nuclear Power Corporation Of India Limited</t>
  </si>
  <si>
    <t>Mahindra &amp; Mahindra Limited</t>
  </si>
  <si>
    <t>Small Industries Dev Bank of India</t>
  </si>
  <si>
    <t>NTPC Limited</t>
  </si>
  <si>
    <t>Indian Oil Corporation Limited</t>
  </si>
  <si>
    <t>National Highways Authority Of India</t>
  </si>
  <si>
    <t>Hindustan Petroleum Corporation Limited</t>
  </si>
  <si>
    <t>7.1% GOI (MD 08/04/2034)</t>
  </si>
  <si>
    <t>7.26% GOI (MD 22/08/2032)</t>
  </si>
  <si>
    <t>Zero Coupon Bond Total</t>
  </si>
  <si>
    <t>Zero Coupon Bond</t>
  </si>
  <si>
    <t>Bandhan Credit Risk Fund (31 October, 2024 )</t>
  </si>
  <si>
    <t>305.41 crs</t>
  </si>
  <si>
    <t>Aditya Birla Real Estate Limited</t>
  </si>
  <si>
    <t xml:space="preserve"> AA</t>
  </si>
  <si>
    <t>Tata Projects Limited</t>
  </si>
  <si>
    <t>Godrej Industries Limited</t>
  </si>
  <si>
    <t xml:space="preserve"> AA+</t>
  </si>
  <si>
    <t>TVS Credit Services Limited</t>
  </si>
  <si>
    <t>AU Small Finance Bank Limited</t>
  </si>
  <si>
    <t>Aadhar Housing Finance Limited</t>
  </si>
  <si>
    <t>Nirma Limited</t>
  </si>
  <si>
    <t>Muthoot Finance Limited</t>
  </si>
  <si>
    <t>Nuvoco Vistas Corporation Limited</t>
  </si>
  <si>
    <t>Godrej Properties Limited</t>
  </si>
  <si>
    <t>Godrej Housing Finance Limited</t>
  </si>
  <si>
    <t>7.18% GOI (MD 24/07/2037)</t>
  </si>
  <si>
    <t>AA</t>
  </si>
  <si>
    <t>AA+</t>
  </si>
  <si>
    <t>Bandhan CRISIL IBX 90:10 SDL+Gilt Apr32 Index Fund (31 October, 2024 )</t>
  </si>
  <si>
    <t>543.94 crs</t>
  </si>
  <si>
    <t>6.54% GOI (MD 17/01/2032)</t>
  </si>
  <si>
    <t>6.1% GOI (MD 12/07/2031)</t>
  </si>
  <si>
    <t>Bandhan CRISIL IBX 90:10 SDL+Gilt Nov26 Index Fund (31 October, 2024 )</t>
  </si>
  <si>
    <t>114.03 crs</t>
  </si>
  <si>
    <t>5.74% GOI (MD 15/11/2026)</t>
  </si>
  <si>
    <t>Bandhan CRISIL IBX 90:10 SDL+Gilt Sep27 Index Fund (31 October, 2024 )</t>
  </si>
  <si>
    <t>150.60 crs</t>
  </si>
  <si>
    <t>7.38% GOI (MD 20/06/2027)</t>
  </si>
  <si>
    <t>Bandhan CRISIL IBX Gilt April 2026 Index Fund (31 October, 2024 )</t>
  </si>
  <si>
    <t>486.13 crs</t>
  </si>
  <si>
    <t>6.99% GOI (MD 17/04/2026)</t>
  </si>
  <si>
    <t>7.59% GOI(MD 11/01/2026)</t>
  </si>
  <si>
    <t>5.15% GOI (MD 09/11/2025)</t>
  </si>
  <si>
    <t>7.27% GOI (MD 08/04/2026)</t>
  </si>
  <si>
    <t>Bandhan CRISIL IBX Gilt April 2028 Index Fund (31 October, 2024 )</t>
  </si>
  <si>
    <t>4747.79 crs</t>
  </si>
  <si>
    <t>7.17% GOI (MD 08/01/2028)</t>
  </si>
  <si>
    <t>8.28% GOI (M/D 21/09/2027)</t>
  </si>
  <si>
    <t>Bandhan CRISIL IBX GILT APRIL 2032 INDEX FUND (31 October, 2024 )</t>
  </si>
  <si>
    <t>413.94 crs</t>
  </si>
  <si>
    <t>Average Maturity in Days</t>
  </si>
  <si>
    <t>Bandhan CRISIL IBX Gilt June 2027 Index Fund (31 October, 2024 )</t>
  </si>
  <si>
    <t>7121.76 crs</t>
  </si>
  <si>
    <t>Bandhan Dynamic Bond Fund (31 October, 2024 )</t>
  </si>
  <si>
    <t>3048.03 crs</t>
  </si>
  <si>
    <t>8.20% GOI (MD 24/09/2025)</t>
  </si>
  <si>
    <t>Bandhan Floating Rate Fund (31 October, 2024 )</t>
  </si>
  <si>
    <t>329.93 crs</t>
  </si>
  <si>
    <t>Cholamandalam Investment and Finance Company Ltd</t>
  </si>
  <si>
    <t>7.32% GOI (MD 13/11/2030)</t>
  </si>
  <si>
    <t>Interest Rate Swaps</t>
  </si>
  <si>
    <t>Interest Rate Swap Total</t>
  </si>
  <si>
    <t>Bandhan Government Sec Fund-Constant Maturity Plan (31 October, 2024 )</t>
  </si>
  <si>
    <t>343.73 crs</t>
  </si>
  <si>
    <t>Bandhan Government Securities Fund-Investment Plan (31 October, 2024 )</t>
  </si>
  <si>
    <t>3206.45 crs</t>
  </si>
  <si>
    <t>Bandhan Liquid Fund (31 October, 2024 )</t>
  </si>
  <si>
    <t>13348.48 crs</t>
  </si>
  <si>
    <t>Canara Bank</t>
  </si>
  <si>
    <t>Union Bank of India</t>
  </si>
  <si>
    <t>Kotak Mahindra Bank Limited</t>
  </si>
  <si>
    <t>Reliance Jio Infocomm Limited</t>
  </si>
  <si>
    <t>Reliance Retail Ventures Limited</t>
  </si>
  <si>
    <t>UltraTech Cement Limited</t>
  </si>
  <si>
    <t>ICICI Securities Limited</t>
  </si>
  <si>
    <t>Mahindra &amp; Mahindra Financial Services Limited</t>
  </si>
  <si>
    <t>Larsen &amp; Toubro Limited</t>
  </si>
  <si>
    <t>Kotak Securities Limited</t>
  </si>
  <si>
    <t>HDFC Securities Limited</t>
  </si>
  <si>
    <t>Tata Steel Limited</t>
  </si>
  <si>
    <t>Bajaj Financial Securities Limited</t>
  </si>
  <si>
    <t>Axis Securities Limited</t>
  </si>
  <si>
    <t>Godrej Consumer Products Limited</t>
  </si>
  <si>
    <t>Tata Motors Finance Limited</t>
  </si>
  <si>
    <t>Barclays Investments &amp; Loans (India) Private Limited</t>
  </si>
  <si>
    <t>Commercial Paper Total</t>
  </si>
  <si>
    <t>91 Days Tbill (MD 21/11/2024)</t>
  </si>
  <si>
    <t>364 Days Tbill (MD 14/11/2024)</t>
  </si>
  <si>
    <t>364 Days Tbill (MD 28/11/2024)</t>
  </si>
  <si>
    <t>182 Days Tbill (MD 12/12/2024)</t>
  </si>
  <si>
    <t>364 Days Tbill (MD 19/12/2024)</t>
  </si>
  <si>
    <t>364 Days Tbill (MD 07/11/2024)</t>
  </si>
  <si>
    <t>91 Days Tbill (MD 16/01/2025)</t>
  </si>
  <si>
    <t>91 Days Tbill (MD 12/12/2024)</t>
  </si>
  <si>
    <t>91 Days Tbill (MD 05/12/2024)</t>
  </si>
  <si>
    <t>91 Days Tbill (MD 07/11/2024)</t>
  </si>
  <si>
    <t>182 Days Tbill (MD 28/11/2024)</t>
  </si>
  <si>
    <t>91 Days Tbill (MD 28/11/2024)</t>
  </si>
  <si>
    <t>Treasury Bill Total</t>
  </si>
  <si>
    <t>Commercial Paper</t>
  </si>
  <si>
    <t>Treasury Bill</t>
  </si>
  <si>
    <t>Bandhan Long Duration Fund (31 October, 2024 )</t>
  </si>
  <si>
    <t>218.43 crs</t>
  </si>
  <si>
    <t>7.46% GOI (MD 06/11/2073)</t>
  </si>
  <si>
    <t>Bandhan Low Duration Fund (31 October, 2024 )</t>
  </si>
  <si>
    <t>5529.40 crs</t>
  </si>
  <si>
    <t>Panatone Finvest Limited</t>
  </si>
  <si>
    <t>Bandhan Money Manager Fund (31 October, 2024 )</t>
  </si>
  <si>
    <t>11051.28 crs</t>
  </si>
  <si>
    <t>ICICI Bank Limited</t>
  </si>
  <si>
    <t>IndusInd Bank Limited</t>
  </si>
  <si>
    <t>L&amp;T Finance Limited</t>
  </si>
  <si>
    <t>Titan Company Limited</t>
  </si>
  <si>
    <t>Bharti Telecom Limited</t>
  </si>
  <si>
    <t>Government Bond Strips Total</t>
  </si>
  <si>
    <t>182 Days Tbill (MD 27/02/2025)</t>
  </si>
  <si>
    <t>182 Days Tbill (MD 13/03/2025)</t>
  </si>
  <si>
    <t>182 Days Tbill (MD 30/01/2025)</t>
  </si>
  <si>
    <t>182 Days Tbill (MD 14/02/2025)</t>
  </si>
  <si>
    <t>182 Days Tbill (MD 20/02/2025)</t>
  </si>
  <si>
    <t>Government Bond Strips</t>
  </si>
  <si>
    <t>Bandhan Overnight Fund (31 October, 2024 )</t>
  </si>
  <si>
    <t>1145.63 crs</t>
  </si>
  <si>
    <t>REPO Total</t>
  </si>
  <si>
    <t>364 Days Tbill (MD 21/11/2024)</t>
  </si>
  <si>
    <t>REPO</t>
  </si>
  <si>
    <t>Bandhan Ultra Short Term Fund (31 October, 2024 )</t>
  </si>
  <si>
    <t>3662.43 crs</t>
  </si>
  <si>
    <t>NHPC Limited</t>
  </si>
  <si>
    <t xml:space="preserve">SOV </t>
  </si>
  <si>
    <t>8.28% Maharashtra SDL (MD 29/07/2025)</t>
  </si>
  <si>
    <t>8.12% Maharashtra SDL (MD 13/11/2025)</t>
  </si>
  <si>
    <t>8.17% Tamilnadu SDL (MD 26/11/2025)</t>
  </si>
  <si>
    <t>8.27% Gujarat SDL (MD 13/01/2026)</t>
  </si>
  <si>
    <t>8.30% Rajastan SDL (MD 13/01/2026)</t>
  </si>
  <si>
    <t>8.38% Karnataka SDL (MD 27/01/2026)</t>
  </si>
  <si>
    <t>8.39% Andhra Pradesh SDL (MD 27/01/2026)</t>
  </si>
  <si>
    <t>8.39% Madhya Pradesh SDL (MD 27/01/2026)</t>
  </si>
  <si>
    <t>8.54% Bihar SDL (MD 10/02/2026)</t>
  </si>
  <si>
    <t>8.49% Tamil Nadu SDL (MD 10/02/2026)</t>
  </si>
  <si>
    <t>8.82% Bihar SDL (MD 24/02/2026)</t>
  </si>
  <si>
    <t>8.67% Karnataka SDL (MD 24/02/2026)</t>
  </si>
  <si>
    <t>8.76% Madhya Pradesh SDL (MD 24/02/2026)</t>
  </si>
  <si>
    <t>8.69% Tamilnadu SDL (MD 24/02/2026)</t>
  </si>
  <si>
    <t>8.65% Rajasthan SDL(MD 24/02/2026)</t>
  </si>
  <si>
    <t>7.51% Maharashtra SDL (MD 24/05/2027)</t>
  </si>
  <si>
    <t>7.59% Haryana SDL (MD 15/02/2027)</t>
  </si>
  <si>
    <t>8.07% Rajasthan SDL (MD 31/01/2028)</t>
  </si>
  <si>
    <t>8.28% Rajasthan SDL (MD 14/03/2028)</t>
  </si>
  <si>
    <t>8.43% Uttar Pradesh SDL (MD 06/03/2029)</t>
  </si>
  <si>
    <t>8.27% Haryana SDL (MD 13/05/2025)</t>
  </si>
  <si>
    <t>8.32% Uttar Pradesh SDL (MD 13/02/2029)</t>
  </si>
  <si>
    <t>7.16% Maharashtra SDL (MD 28/09/2026)</t>
  </si>
  <si>
    <t>8.31% TELANGANA SDL (MD 13/01/2026)</t>
  </si>
  <si>
    <t>8.14% Rajasthan SDL (MD 13/11/2025)</t>
  </si>
  <si>
    <t>8.34% Uttar Pradesh SDL (MD 13/01/2026)</t>
  </si>
  <si>
    <t>7.15% Maharashtra SDL (MD 13/10/2026)</t>
  </si>
  <si>
    <t>8.23% Chhatisgarh SDL (MD 09/12/2025)</t>
  </si>
  <si>
    <t>6.10% Rajasthan SDL (MD 25/05/2026)</t>
  </si>
  <si>
    <t>8.52% Telangana SDL (MD 10/02/2026)</t>
  </si>
  <si>
    <t>6.24% Maharashtra SDL (MD 11/08/2026)</t>
  </si>
  <si>
    <t>7.38% Madhya Pradesh SDL (MD 14/09/2026)</t>
  </si>
  <si>
    <t>8.16% Rajasthan SDL (MD 09/05/2028)</t>
  </si>
  <si>
    <t>8.16% Gujarat SDL (MD 09/05/2028)</t>
  </si>
  <si>
    <t>8.38% Rajasthan SDL (MD 05/12/2028)</t>
  </si>
  <si>
    <t>7.41% Uttar Pradesh SDL (MD 09/11/2026)</t>
  </si>
  <si>
    <t>7.49% Gujarat SDL (MD 28/09/2026)</t>
  </si>
  <si>
    <t>7.22% Gujarat SDL (MD 14/06/2028)</t>
  </si>
  <si>
    <t>7.61% Andhra Pradesh SDL (MD 15/02/2027)</t>
  </si>
  <si>
    <t>8.07% Gujrat SDL (MD 11/02/2025)</t>
  </si>
  <si>
    <t>8.17% West Bengal SDL (MD 27/05/2025)</t>
  </si>
  <si>
    <t>8.29% Kerala SDL (MD 29/07/2025)</t>
  </si>
  <si>
    <t>8.29% Gujarat SDL  (MD 26/08/2025)</t>
  </si>
  <si>
    <t>8.23% Maharashtra SDL (09/09/2025)</t>
  </si>
  <si>
    <t>8.16% Maharastra SDL (23/09/2025)</t>
  </si>
  <si>
    <t>8.24% Tamilnadu SDL(MD 09/09/2025)</t>
  </si>
  <si>
    <t>8.06% Tamilnadu SDL (MD 29/04/2025)</t>
  </si>
  <si>
    <t>8.24% Tamilnadu SDL (MD 10/06/2025)</t>
  </si>
  <si>
    <t>7.89%  GUJARAT SDL (MD 15/05/2025)</t>
  </si>
  <si>
    <t>8.09% Madhya Pradesh SDL (MD 11/03/2025)</t>
  </si>
  <si>
    <t>5.95% Tamilnadu SDL (MD 13/05/2025)</t>
  </si>
  <si>
    <t>6.69% Madhya Pradesh SDL (MD 17/03/2025)</t>
  </si>
  <si>
    <t>8.09% Andhra Pradesh SDL (MD 28/01/2025)</t>
  </si>
  <si>
    <t>5.75% Rajasthan SDL (MD 10/06/2025)</t>
  </si>
  <si>
    <t>5.8% Maharashtra SDL (MD 02/02/2025)</t>
  </si>
  <si>
    <t>8.29% Haryana SDL (MD 29/07/2025)</t>
  </si>
  <si>
    <t>GOI Strips (MD 19/03/2025)</t>
  </si>
  <si>
    <t>7.36% GOI (MD12/09/2052)-Strips (C)-(MD12/03/2025)</t>
  </si>
  <si>
    <t>GOI Strips (MD 12/12/2024 )</t>
  </si>
  <si>
    <t>8.27% Karnataka SDL (MD 13/01/2026)</t>
  </si>
  <si>
    <t>8.67% Maharastra SDL (MD 24/02/2026)</t>
  </si>
  <si>
    <t>8.25% Maharashtra SDL(MD 10/06/2025)</t>
  </si>
  <si>
    <t>8.53% Uttar Pradesh SDL (MD 10/02/2026)</t>
  </si>
  <si>
    <t>7.98% Tamilnadu SDL (MD 25/05/2026)</t>
  </si>
  <si>
    <t>8.05% Haryana SDL (MD 25/02/2025)</t>
  </si>
  <si>
    <t>6.03% Rajasthan SDL (MD 11/03/2025)</t>
  </si>
  <si>
    <t>8.37% Tamil Nadu SDL (MD 05/12/2028)</t>
  </si>
  <si>
    <t>7.18% Tamilnadu SDL (MD 26/07/2027)</t>
  </si>
  <si>
    <t>Tata Capital Limited*</t>
  </si>
  <si>
    <t>Power Grid Corporation of India Limited*</t>
  </si>
  <si>
    <t>5.75% Tamilnadu SDL (MD 27/05/2025)</t>
  </si>
  <si>
    <t>8.72% Tamilnadu SDL (MD 19/09/2026)</t>
  </si>
  <si>
    <t>7.04% Gujarat SDL (MD 07/08/2026)</t>
  </si>
  <si>
    <t>7.22% Maharashtra SDL (MD 26/10/2026)</t>
  </si>
  <si>
    <t>6.82% Maharashtra SDL (MD 23/11/2026)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</si>
  <si>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</si>
  <si>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</si>
  <si>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</si>
  <si>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</si>
  <si>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</si>
  <si>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</si>
  <si>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</si>
  <si>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7.69% Tamilnadu SDL (MD 27/07/2026)</t>
  </si>
  <si>
    <t>7.18% Haryana SDL (MD 28/09/2026)</t>
  </si>
  <si>
    <t>7.19% West Bangal SDL (MD 28/09/2026)</t>
  </si>
  <si>
    <t>7.15% Madhya Pradesh SDL (MD 13/10/2026)</t>
  </si>
  <si>
    <t>7.58% Tamilnadu SDL (MD 24/08/2026)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</si>
  <si>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</si>
  <si>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</si>
  <si>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</si>
  <si>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</si>
  <si>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</si>
  <si>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</si>
  <si>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</si>
  <si>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</si>
  <si>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</si>
  <si>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</si>
  <si>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</si>
  <si>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</si>
  <si>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</si>
  <si>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7.02% Karnataka SDL (MD 29/12/2031)</t>
  </si>
  <si>
    <t>7.28% Uttar Pradesh SDL (MD 25/01/2032)</t>
  </si>
  <si>
    <t>7.12% Gujarat SDL (MD 02/03/2032)</t>
  </si>
  <si>
    <t>7.17% Kerala SDL (MD 02/03/2032)</t>
  </si>
  <si>
    <t>7.09% Rajasthan SDL (MD 16/02/2032)</t>
  </si>
  <si>
    <t>7.22% Rajasthan SDL (MD 16/03/2032)</t>
  </si>
  <si>
    <t>7.23% Tamilnadu SDL (MD 23/03/2032)</t>
  </si>
  <si>
    <t>7.29% Gujarat SDL (MD 30/03/2032)</t>
  </si>
  <si>
    <t>7.25% Gujarat SDL (MD 09/03/2032)</t>
  </si>
  <si>
    <t>7.3% Tamilnadu SDL (MD 30/03/2032)</t>
  </si>
  <si>
    <t>7.8% Andhra Pradesh SDL (MD 22/06/2031)</t>
  </si>
  <si>
    <t>7.13% Haryana SDL (MD 05/01/2032)</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</si>
  <si>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</si>
  <si>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</si>
  <si>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</si>
  <si>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</si>
  <si>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</si>
  <si>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</si>
  <si>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</si>
  <si>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</si>
  <si>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</si>
  <si>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</si>
  <si>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</si>
  <si>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7.24% Rajasthan SDL (MD 09/02/2032)</t>
  </si>
  <si>
    <t>7.19% Tamilnadu SDL (MD 16/03/2032)</t>
  </si>
  <si>
    <t>Bandhan Bond Fund -Short Term Pl Direct Pl-Growth</t>
  </si>
  <si>
    <t>Bandhan Floating Rate Fund Direct Growth</t>
  </si>
  <si>
    <t>Mutual Fund Units</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</si>
  <si>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</si>
  <si>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</si>
  <si>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</si>
  <si>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*Reduced Face Value Bonds</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</si>
  <si>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</si>
  <si>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</si>
  <si>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125.03 crs</t>
  </si>
  <si>
    <t>13,429.06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</si>
  <si>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</si>
  <si>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</si>
  <si>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</si>
  <si>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</si>
  <si>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</si>
  <si>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</si>
  <si>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</si>
  <si>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</si>
  <si>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</si>
  <si>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</si>
  <si>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</si>
  <si>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</si>
  <si>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</si>
  <si>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</si>
  <si>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</si>
  <si>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</si>
  <si>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</si>
  <si>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</si>
  <si>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141.11 crs</t>
  </si>
  <si>
    <t>BANDHAN US TREASURY BOND 0-1 YEAR FUND OF FUND (31 October,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</si>
</sst>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name val="Calibri"/>
      <family val="2"/>
      <scheme val="minor"/>
    </font>
    <font>
      <sz val="11"/>
      <color theme="1"/>
      <name val="Calibri"/>
      <family val="2"/>
      <scheme val="minor"/>
    </font>
    <font>
      <sz val="12"/>
      <name val="Arial"/>
      <family val="2"/>
    </font>
    <font>
      <b/>
      <sz val="16"/>
      <name val="Arial"/>
      <family val="2"/>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0" fillId="0" borderId="0" applyFont="0" applyFill="0" applyBorder="0" applyAlignment="0" applyProtection="0"/>
  </cellStyleXfs>
  <cellXfs count="10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0" fontId="9" fillId="0" borderId="0" xfId="0" applyFont="1" applyBorder="1"/>
    <xf numFmtId="1"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0" fontId="11" fillId="0" borderId="0" xfId="0" applyFont="1"/>
    <xf numFmtId="0" fontId="11" fillId="0" borderId="19" xfId="0" applyFont="1" applyBorder="1"/>
    <xf numFmtId="0" fontId="11" fillId="0" borderId="20" xfId="0" applyFont="1" applyBorder="1"/>
    <xf numFmtId="0" fontId="11" fillId="0" borderId="21" xfId="0" applyFont="1" applyBorder="1"/>
    <xf numFmtId="0" fontId="11" fillId="0" borderId="22" xfId="0" applyFont="1" applyBorder="1"/>
    <xf numFmtId="0" fontId="11" fillId="0" borderId="0" xfId="0" applyFont="1" applyBorder="1"/>
    <xf numFmtId="0" fontId="11" fillId="0" borderId="23" xfId="0" applyFont="1" applyBorder="1"/>
    <xf numFmtId="0" fontId="12" fillId="3" borderId="0" xfId="0" applyFont="1" applyFill="1" applyBorder="1" applyAlignment="1">
      <alignment vertical="center"/>
    </xf>
    <xf numFmtId="0" fontId="9"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1" fillId="0" borderId="32" xfId="0" applyFont="1" applyBorder="1" applyAlignment="1">
      <alignment horizontal="left" vertical="center" wrapText="1"/>
    </xf>
    <xf numFmtId="166" fontId="11" fillId="0" borderId="33" xfId="1" applyNumberFormat="1" applyFont="1" applyBorder="1" applyAlignment="1">
      <alignment horizontal="right"/>
    </xf>
    <xf numFmtId="10" fontId="11" fillId="0" borderId="0" xfId="0" applyNumberFormat="1" applyFont="1" applyBorder="1"/>
    <xf numFmtId="10" fontId="11" fillId="0" borderId="0" xfId="1" applyNumberFormat="1" applyFont="1" applyBorder="1"/>
    <xf numFmtId="14" fontId="11"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1" fillId="0" borderId="8" xfId="0" applyFont="1" applyBorder="1" applyAlignment="1">
      <alignment vertical="center"/>
    </xf>
    <xf numFmtId="166" fontId="11"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1"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1" fillId="0" borderId="0" xfId="0" applyFont="1" applyFill="1" applyBorder="1"/>
    <xf numFmtId="10" fontId="13" fillId="0" borderId="0" xfId="1" applyNumberFormat="1" applyFont="1" applyFill="1" applyBorder="1" applyAlignment="1">
      <alignment horizontal="right"/>
    </xf>
    <xf numFmtId="0" fontId="11" fillId="0" borderId="24" xfId="0" applyFont="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2" fillId="3" borderId="0"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3" fillId="0" borderId="25" xfId="0" applyFont="1" applyBorder="1" applyAlignment="1"/>
    <xf numFmtId="0" fontId="13" fillId="0" borderId="26" xfId="0" applyFont="1" applyBorder="1" applyAlignment="1"/>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21" xfId="0" applyFont="1" applyBorder="1" applyAlignment="1">
      <alignment horizontal="left" vertical="top" wrapText="1"/>
    </xf>
    <xf numFmtId="0" fontId="9" fillId="0" borderId="22" xfId="0" applyFont="1" applyBorder="1" applyAlignment="1">
      <alignment horizontal="left" vertical="top" wrapText="1"/>
    </xf>
    <xf numFmtId="0" fontId="9" fillId="0" borderId="0" xfId="0" applyFont="1" applyBorder="1" applyAlignment="1">
      <alignment horizontal="left" vertical="top" wrapText="1"/>
    </xf>
    <xf numFmtId="0" fontId="9" fillId="0" borderId="23" xfId="0" applyFont="1" applyBorder="1" applyAlignment="1">
      <alignment horizontal="left" vertical="top" wrapText="1"/>
    </xf>
    <xf numFmtId="0" fontId="9" fillId="0" borderId="24" xfId="0" applyFont="1" applyBorder="1" applyAlignment="1">
      <alignment horizontal="left" vertical="top" wrapText="1"/>
    </xf>
    <xf numFmtId="0" fontId="9" fillId="0" borderId="25" xfId="0" applyFont="1" applyBorder="1" applyAlignment="1">
      <alignment horizontal="left" vertical="top" wrapText="1"/>
    </xf>
    <xf numFmtId="0" fontId="9"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76-4D13-9B00-7A7F7B8F7A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6176-4D13-9B00-7A7F7B8F7A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E1-4E4A-9239-EE7A49036451}"/>
                </c:ext>
              </c:extLst>
            </c:dLbl>
            <c:dLbl>
              <c:idx val="1"/>
              <c:layout>
                <c:manualLayout>
                  <c:x val="-1.254447048508658E-4"/>
                  <c:y val="-3.27209098862642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E1-4E4A-9239-EE7A49036451}"/>
                </c:ext>
              </c:extLst>
            </c:dLbl>
            <c:dLbl>
              <c:idx val="2"/>
              <c:layout>
                <c:manualLayout>
                  <c:x val="-0.13849989040449173"/>
                  <c:y val="4.092038495188101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AE1-4E4A-9239-EE7A49036451}"/>
                </c:ext>
              </c:extLst>
            </c:dLbl>
            <c:dLbl>
              <c:idx val="3"/>
              <c:layout>
                <c:manualLayout>
                  <c:x val="-0.16637559223726583"/>
                  <c:y val="-6.47475065616797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AE1-4E4A-9239-EE7A490364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4.0379999999999999E-3</c:v>
                </c:pt>
                <c:pt idx="1">
                  <c:v>9.4466999999999995E-2</c:v>
                </c:pt>
                <c:pt idx="2">
                  <c:v>0.84929600000000005</c:v>
                </c:pt>
                <c:pt idx="3">
                  <c:v>5.2199000000000002E-2</c:v>
                </c:pt>
              </c:numCache>
            </c:numRef>
          </c:val>
          <c:extLst>
            <c:ext xmlns:c16="http://schemas.microsoft.com/office/drawing/2014/chart" uri="{C3380CC4-5D6E-409C-BE32-E72D297353CC}">
              <c16:uniqueId val="{0000000C-AAE1-4E4A-9239-EE7A490364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117697145458532"/>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32-4D25-88DC-15BC74FBF9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2732-4D25-88DC-15BC74FBF91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DC-4BF6-8472-586762D47A3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DC-4BF6-8472-586762D47A3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DC-4BF6-8472-586762D47A30}"/>
                </c:ext>
              </c:extLst>
            </c:dLbl>
            <c:dLbl>
              <c:idx val="3"/>
              <c:layout>
                <c:manualLayout>
                  <c:x val="-5.9917044630663135E-2"/>
                  <c:y val="0.181400617740462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4DC-4BF6-8472-586762D47A30}"/>
                </c:ext>
              </c:extLst>
            </c:dLbl>
            <c:dLbl>
              <c:idx val="4"/>
              <c:layout>
                <c:manualLayout>
                  <c:x val="-2.4359287797804711E-2"/>
                  <c:y val="4.06744681776656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4DC-4BF6-8472-586762D47A30}"/>
                </c:ext>
              </c:extLst>
            </c:dLbl>
            <c:dLbl>
              <c:idx val="5"/>
              <c:layout>
                <c:manualLayout>
                  <c:x val="3.481764993508574E-5"/>
                  <c:y val="-0.171962587549484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4DC-4BF6-8472-586762D47A3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4DC-4BF6-8472-586762D47A3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Corporate Debt Market Development Fund</c:v>
                </c:pt>
                <c:pt idx="6">
                  <c:v>Treasury Bill</c:v>
                </c:pt>
              </c:strCache>
            </c:strRef>
          </c:cat>
          <c:val>
            <c:numRef>
              <c:f>'BANDHAN CF'!$K$9:$K$15</c:f>
              <c:numCache>
                <c:formatCode>0.00%</c:formatCode>
                <c:ptCount val="7"/>
                <c:pt idx="0">
                  <c:v>-1.0245000000000001E-2</c:v>
                </c:pt>
                <c:pt idx="1">
                  <c:v>3.6000000000000001E-5</c:v>
                </c:pt>
                <c:pt idx="2">
                  <c:v>0.31440200000000001</c:v>
                </c:pt>
                <c:pt idx="3">
                  <c:v>4.7926000000000003E-2</c:v>
                </c:pt>
                <c:pt idx="4">
                  <c:v>0.44294299999999998</c:v>
                </c:pt>
                <c:pt idx="5">
                  <c:v>2.5630000000000002E-3</c:v>
                </c:pt>
                <c:pt idx="6">
                  <c:v>0.202375</c:v>
                </c:pt>
              </c:numCache>
            </c:numRef>
          </c:val>
          <c:extLst>
            <c:ext xmlns:c16="http://schemas.microsoft.com/office/drawing/2014/chart" uri="{C3380CC4-5D6E-409C-BE32-E72D297353CC}">
              <c16:uniqueId val="{0000000C-B4DC-4BF6-8472-586762D47A3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3787418435650567"/>
                  <c:y val="-1.21145374449339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19823788546256"/>
                    </c:manualLayout>
                  </c15:layout>
                </c:ext>
                <c:ext xmlns:c16="http://schemas.microsoft.com/office/drawing/2014/chart" uri="{C3380CC4-5D6E-409C-BE32-E72D297353CC}">
                  <c16:uniqueId val="{0000000D-D070-4800-B7EB-9C85040C8061}"/>
                </c:ext>
              </c:extLst>
            </c:dLbl>
            <c:dLbl>
              <c:idx val="1"/>
              <c:layout>
                <c:manualLayout>
                  <c:x val="-0.16414304742956382"/>
                  <c:y val="-2.13843699053036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70-4800-B7EB-9C85040C80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0.97393200000000002</c:v>
                </c:pt>
                <c:pt idx="1">
                  <c:v>2.6068000000000001E-2</c:v>
                </c:pt>
              </c:numCache>
            </c:numRef>
          </c:val>
          <c:extLst>
            <c:ext xmlns:c16="http://schemas.microsoft.com/office/drawing/2014/chart" uri="{C3380CC4-5D6E-409C-BE32-E72D297353CC}">
              <c16:uniqueId val="{0000000C-D070-4800-B7EB-9C85040C80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1E-4864-90C4-E4A5B491E5FE}"/>
                </c:ext>
              </c:extLst>
            </c:dLbl>
            <c:dLbl>
              <c:idx val="1"/>
              <c:layout>
                <c:manualLayout>
                  <c:x val="4.7775379790588275E-2"/>
                  <c:y val="-6.14272186724221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71E-4864-90C4-E4A5B491E5F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71E-4864-90C4-E4A5B491E5FE}"/>
                </c:ext>
              </c:extLst>
            </c:dLbl>
            <c:dLbl>
              <c:idx val="3"/>
              <c:layout>
                <c:manualLayout>
                  <c:x val="9.2922490684381798E-2"/>
                  <c:y val="1.76842033424045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71E-4864-90C4-E4A5B491E5FE}"/>
                </c:ext>
              </c:extLst>
            </c:dLbl>
            <c:dLbl>
              <c:idx val="4"/>
              <c:layout>
                <c:manualLayout>
                  <c:x val="0.51673725741455767"/>
                  <c:y val="0.230715997986708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71E-4864-90C4-E4A5B491E5FE}"/>
                </c:ext>
              </c:extLst>
            </c:dLbl>
            <c:dLbl>
              <c:idx val="5"/>
              <c:layout>
                <c:manualLayout>
                  <c:x val="-7.1921630781163065E-3"/>
                  <c:y val="0.193456462579230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71E-4864-90C4-E4A5B491E5FE}"/>
                </c:ext>
              </c:extLst>
            </c:dLbl>
            <c:dLbl>
              <c:idx val="6"/>
              <c:layout>
                <c:manualLayout>
                  <c:x val="0.23813974270346827"/>
                  <c:y val="0.2542517125770979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71E-4864-90C4-E4A5B491E5FE}"/>
                </c:ext>
              </c:extLst>
            </c:dLbl>
            <c:dLbl>
              <c:idx val="7"/>
              <c:layout>
                <c:manualLayout>
                  <c:x val="0"/>
                  <c:y val="-0.17420428080292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71E-4864-90C4-E4A5B491E5FE}"/>
                </c:ext>
              </c:extLst>
            </c:dLbl>
            <c:dLbl>
              <c:idx val="8"/>
              <c:layout>
                <c:manualLayout>
                  <c:x val="-8.1578849752988583E-2"/>
                  <c:y val="-1.14894088943107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B71E-4864-90C4-E4A5B491E5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Zero Coupon Bond</c:v>
                </c:pt>
              </c:strCache>
            </c:strRef>
          </c:cat>
          <c:val>
            <c:numRef>
              <c:f>'BANDHAN LDF'!$K$9:$K$17</c:f>
              <c:numCache>
                <c:formatCode>0.00%</c:formatCode>
                <c:ptCount val="9"/>
                <c:pt idx="0">
                  <c:v>1.4818E-2</c:v>
                </c:pt>
                <c:pt idx="1">
                  <c:v>3.8321000000000001E-2</c:v>
                </c:pt>
                <c:pt idx="2">
                  <c:v>0.195049</c:v>
                </c:pt>
                <c:pt idx="3">
                  <c:v>0.40928900000000001</c:v>
                </c:pt>
                <c:pt idx="4">
                  <c:v>4.45E-3</c:v>
                </c:pt>
                <c:pt idx="5">
                  <c:v>2.8470000000000001E-3</c:v>
                </c:pt>
                <c:pt idx="6">
                  <c:v>1.2849999999999999E-3</c:v>
                </c:pt>
                <c:pt idx="7">
                  <c:v>0.30687900000000001</c:v>
                </c:pt>
                <c:pt idx="8">
                  <c:v>2.7061999999999999E-2</c:v>
                </c:pt>
              </c:numCache>
            </c:numRef>
          </c:val>
          <c:extLst>
            <c:ext xmlns:c16="http://schemas.microsoft.com/office/drawing/2014/chart" uri="{C3380CC4-5D6E-409C-BE32-E72D297353CC}">
              <c16:uniqueId val="{0000000C-B71E-4864-90C4-E4A5B491E5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679795646529194"/>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59A-4369-9188-827F6928B4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A59A-4369-9188-827F6928B4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687848387259942"/>
                  <c:y val="2.94879293934412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92-4ACD-89C6-126747B5CFC0}"/>
                </c:ext>
              </c:extLst>
            </c:dLbl>
            <c:dLbl>
              <c:idx val="1"/>
              <c:layout>
                <c:manualLayout>
                  <c:x val="0.26083309447132813"/>
                  <c:y val="-0.115495370770961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192-4ACD-89C6-126747B5CFC0}"/>
                </c:ext>
              </c:extLst>
            </c:dLbl>
            <c:dLbl>
              <c:idx val="2"/>
              <c:layout>
                <c:manualLayout>
                  <c:x val="-8.1480213795545361E-2"/>
                  <c:y val="0.162114043436878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192-4ACD-89C6-126747B5CFC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192-4ACD-89C6-126747B5CFC0}"/>
                </c:ext>
              </c:extLst>
            </c:dLbl>
            <c:dLbl>
              <c:idx val="4"/>
              <c:layout>
                <c:manualLayout>
                  <c:x val="-6.4614476723600128E-2"/>
                  <c:y val="0.576601540192091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192-4ACD-89C6-126747B5CFC0}"/>
                </c:ext>
              </c:extLst>
            </c:dLbl>
            <c:dLbl>
              <c:idx val="5"/>
              <c:layout>
                <c:manualLayout>
                  <c:x val="0.20226221989917212"/>
                  <c:y val="0.617204464826512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192-4ACD-89C6-126747B5CFC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192-4ACD-89C6-126747B5CFC0}"/>
                </c:ext>
              </c:extLst>
            </c:dLbl>
            <c:dLbl>
              <c:idx val="7"/>
              <c:layout>
                <c:manualLayout>
                  <c:x val="0.17175985095010876"/>
                  <c:y val="-2.20493207579821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192-4ACD-89C6-126747B5CF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-1.7136999999999999E-2</c:v>
                </c:pt>
                <c:pt idx="1">
                  <c:v>2.2359E-2</c:v>
                </c:pt>
                <c:pt idx="2">
                  <c:v>0.68355299999999997</c:v>
                </c:pt>
                <c:pt idx="3">
                  <c:v>0.16861000000000001</c:v>
                </c:pt>
                <c:pt idx="4">
                  <c:v>1.189E-3</c:v>
                </c:pt>
                <c:pt idx="5">
                  <c:v>1.0703000000000001E-2</c:v>
                </c:pt>
                <c:pt idx="6">
                  <c:v>7.3099999999999998E-2</c:v>
                </c:pt>
                <c:pt idx="7">
                  <c:v>5.7623000000000001E-2</c:v>
                </c:pt>
              </c:numCache>
            </c:numRef>
          </c:val>
          <c:extLst>
            <c:ext xmlns:c16="http://schemas.microsoft.com/office/drawing/2014/chart" uri="{C3380CC4-5D6E-409C-BE32-E72D297353CC}">
              <c16:uniqueId val="{0000000C-6192-4ACD-89C6-126747B5CF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3935591562831948"/>
                  <c:y val="-2.97356828193832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519823788546256"/>
                    </c:manualLayout>
                  </c15:layout>
                </c:ext>
                <c:ext xmlns:c16="http://schemas.microsoft.com/office/drawing/2014/chart" uri="{C3380CC4-5D6E-409C-BE32-E72D297353CC}">
                  <c16:uniqueId val="{0000000D-668F-472E-B355-0CFD655228F6}"/>
                </c:ext>
              </c:extLst>
            </c:dLbl>
            <c:dLbl>
              <c:idx val="1"/>
              <c:layout>
                <c:manualLayout>
                  <c:x val="-0.14272985550253756"/>
                  <c:y val="-4.7816087966977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8F-472E-B355-0CFD655228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0.97405299999999995</c:v>
                </c:pt>
                <c:pt idx="1">
                  <c:v>2.5947000000000001E-2</c:v>
                </c:pt>
              </c:numCache>
            </c:numRef>
          </c:val>
          <c:extLst>
            <c:ext xmlns:c16="http://schemas.microsoft.com/office/drawing/2014/chart" uri="{C3380CC4-5D6E-409C-BE32-E72D297353CC}">
              <c16:uniqueId val="{0000000C-668F-472E-B355-0CFD655228F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27433087726989158"/>
                  <c:y val="-2.777565425681013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85-4E41-A8C2-7351ABE470EE}"/>
                </c:ext>
              </c:extLst>
            </c:dLbl>
            <c:dLbl>
              <c:idx val="1"/>
              <c:layout>
                <c:manualLayout>
                  <c:x val="0.18072467922237773"/>
                  <c:y val="-0.1735089909877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E85-4E41-A8C2-7351ABE470EE}"/>
                </c:ext>
              </c:extLst>
            </c:dLbl>
            <c:dLbl>
              <c:idx val="2"/>
              <c:layout>
                <c:manualLayout>
                  <c:x val="-5.6854946129592472E-2"/>
                  <c:y val="0.360117897884123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E85-4E41-A8C2-7351ABE470EE}"/>
                </c:ext>
              </c:extLst>
            </c:dLbl>
            <c:dLbl>
              <c:idx val="3"/>
              <c:layout>
                <c:manualLayout>
                  <c:x val="0.45305408959854321"/>
                  <c:y val="0.211581173712509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E85-4E41-A8C2-7351ABE470EE}"/>
                </c:ext>
              </c:extLst>
            </c:dLbl>
            <c:dLbl>
              <c:idx val="4"/>
              <c:layout>
                <c:manualLayout>
                  <c:x val="-0.11506542008801363"/>
                  <c:y val="0.636001325077083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E85-4E41-A8C2-7351ABE470E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E85-4E41-A8C2-7351ABE470EE}"/>
                </c:ext>
              </c:extLst>
            </c:dLbl>
            <c:dLbl>
              <c:idx val="6"/>
              <c:layout>
                <c:manualLayout>
                  <c:x val="-0.26175496130435516"/>
                  <c:y val="-9.73354058897977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E85-4E41-A8C2-7351ABE470EE}"/>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E85-4E41-A8C2-7351ABE470EE}"/>
                </c:ext>
              </c:extLst>
            </c:dLbl>
            <c:dLbl>
              <c:idx val="8"/>
              <c:layout>
                <c:manualLayout>
                  <c:x val="0.17174358023234249"/>
                  <c:y val="-2.43525384569647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AE85-4E41-A8C2-7351ABE470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USTF'!$J$9:$J$17</c:f>
              <c:strCache>
                <c:ptCount val="9"/>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pt idx="8">
                  <c:v>Zero Coupon Bond</c:v>
                </c:pt>
              </c:strCache>
            </c:strRef>
          </c:cat>
          <c:val>
            <c:numRef>
              <c:f>'BANDHAN USTF'!$K$9:$K$17</c:f>
              <c:numCache>
                <c:formatCode>0.00%</c:formatCode>
                <c:ptCount val="9"/>
                <c:pt idx="0">
                  <c:v>1.0291E-2</c:v>
                </c:pt>
                <c:pt idx="1">
                  <c:v>0.10485700000000001</c:v>
                </c:pt>
                <c:pt idx="2">
                  <c:v>0.30119600000000002</c:v>
                </c:pt>
                <c:pt idx="3">
                  <c:v>0.47858699999999998</c:v>
                </c:pt>
                <c:pt idx="4">
                  <c:v>3.6694999999999998E-2</c:v>
                </c:pt>
                <c:pt idx="5">
                  <c:v>2.8029999999999999E-3</c:v>
                </c:pt>
                <c:pt idx="6">
                  <c:v>4.5483999999999997E-2</c:v>
                </c:pt>
                <c:pt idx="7">
                  <c:v>1.3369000000000001E-2</c:v>
                </c:pt>
                <c:pt idx="8">
                  <c:v>6.718E-3</c:v>
                </c:pt>
              </c:numCache>
            </c:numRef>
          </c:val>
          <c:extLst>
            <c:ext xmlns:c16="http://schemas.microsoft.com/office/drawing/2014/chart" uri="{C3380CC4-5D6E-409C-BE32-E72D297353CC}">
              <c16:uniqueId val="{0000000C-AE85-4E41-A8C2-7351ABE470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34-4E28-B255-044F7652AF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9E34-4E28-B255-044F7652AF2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31194371849129138"/>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B46-4E04-9579-99C51275AF7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B46-4E04-9579-99C51275AF73}"/>
                </c:ext>
              </c:extLst>
            </c:dLbl>
            <c:dLbl>
              <c:idx val="2"/>
              <c:layout>
                <c:manualLayout>
                  <c:x val="0.16424454973106947"/>
                  <c:y val="2.52524934383202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B46-4E04-9579-99C51275AF73}"/>
                </c:ext>
              </c:extLst>
            </c:dLbl>
            <c:dLbl>
              <c:idx val="3"/>
              <c:layout>
                <c:manualLayout>
                  <c:x val="-0.24044293446188605"/>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B46-4E04-9579-99C51275AF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2.3552E-2</c:v>
                </c:pt>
                <c:pt idx="1">
                  <c:v>1.134E-3</c:v>
                </c:pt>
                <c:pt idx="2">
                  <c:v>2.0219999999999999E-3</c:v>
                </c:pt>
                <c:pt idx="3">
                  <c:v>0.97329200000000005</c:v>
                </c:pt>
              </c:numCache>
            </c:numRef>
          </c:val>
          <c:extLst>
            <c:ext xmlns:c16="http://schemas.microsoft.com/office/drawing/2014/chart" uri="{C3380CC4-5D6E-409C-BE32-E72D297353CC}">
              <c16:uniqueId val="{0000000C-9B46-4E04-9579-99C51275AF7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7A-48C6-936C-0C5FA775C3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247A-48C6-936C-0C5FA775C3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A0D-4618-B236-6BD490A66415}"/>
                </c:ext>
              </c:extLst>
            </c:dLbl>
            <c:dLbl>
              <c:idx val="1"/>
              <c:layout>
                <c:manualLayout>
                  <c:x val="-0.40745780572931595"/>
                  <c:y val="-2.7626943544956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A0D-4618-B236-6BD490A6641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A0D-4618-B236-6BD490A66415}"/>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A0D-4618-B236-6BD490A6641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A0D-4618-B236-6BD490A66415}"/>
                </c:ext>
              </c:extLst>
            </c:dLbl>
            <c:dLbl>
              <c:idx val="5"/>
              <c:layout>
                <c:manualLayout>
                  <c:x val="9.7593704159571054E-2"/>
                  <c:y val="0.176624504075910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A0D-4618-B236-6BD490A664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IP'!$K$9:$K$14</c:f>
              <c:numCache>
                <c:formatCode>0.00%</c:formatCode>
                <c:ptCount val="6"/>
                <c:pt idx="0">
                  <c:v>2.4985E-2</c:v>
                </c:pt>
                <c:pt idx="1">
                  <c:v>5.6340000000000001E-3</c:v>
                </c:pt>
                <c:pt idx="2">
                  <c:v>0.109435</c:v>
                </c:pt>
                <c:pt idx="3">
                  <c:v>0.19556999999999999</c:v>
                </c:pt>
                <c:pt idx="4">
                  <c:v>2.7139999999999998E-3</c:v>
                </c:pt>
                <c:pt idx="5">
                  <c:v>0.66166199999999997</c:v>
                </c:pt>
              </c:numCache>
            </c:numRef>
          </c:val>
          <c:extLst>
            <c:ext xmlns:c16="http://schemas.microsoft.com/office/drawing/2014/chart" uri="{C3380CC4-5D6E-409C-BE32-E72D297353CC}">
              <c16:uniqueId val="{0000000C-EA0D-4618-B236-6BD490A664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653-45EB-B9FA-0AF3C9ED89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F653-45EB-B9FA-0AF3C9ED89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29763484462729095"/>
                  <c:y val="-6.60522352738694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3D-4A47-AD9A-F9DD9AEF49C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3D-4A47-AD9A-F9DD9AEF49CE}"/>
                </c:ext>
              </c:extLst>
            </c:dLbl>
            <c:dLbl>
              <c:idx val="2"/>
              <c:layout>
                <c:manualLayout>
                  <c:x val="-1.0472778161830414E-2"/>
                  <c:y val="-0.163999827890366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3D-4A47-AD9A-F9DD9AEF49CE}"/>
                </c:ext>
              </c:extLst>
            </c:dLbl>
            <c:dLbl>
              <c:idx val="3"/>
              <c:layout>
                <c:manualLayout>
                  <c:x val="-1.4617258763425451E-2"/>
                  <c:y val="-0.4108897207521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43D-4A47-AD9A-F9DD9AEF49C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43D-4A47-AD9A-F9DD9AEF49CE}"/>
                </c:ext>
              </c:extLst>
            </c:dLbl>
            <c:dLbl>
              <c:idx val="5"/>
              <c:layout>
                <c:manualLayout>
                  <c:x val="7.2165438634945789E-2"/>
                  <c:y val="0.291431521879437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43D-4A47-AD9A-F9DD9AEF49CE}"/>
                </c:ext>
              </c:extLst>
            </c:dLbl>
            <c:dLbl>
              <c:idx val="6"/>
              <c:layout>
                <c:manualLayout>
                  <c:x val="-0.37714208636126051"/>
                  <c:y val="-4.04850049481519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43D-4A47-AD9A-F9DD9AEF49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1.8048000000000002E-2</c:v>
                </c:pt>
                <c:pt idx="1">
                  <c:v>5.4469999999999996E-3</c:v>
                </c:pt>
                <c:pt idx="2">
                  <c:v>0.13941100000000001</c:v>
                </c:pt>
                <c:pt idx="3">
                  <c:v>0.295989</c:v>
                </c:pt>
                <c:pt idx="4">
                  <c:v>3.5560000000000001E-3</c:v>
                </c:pt>
                <c:pt idx="5">
                  <c:v>0.53618200000000005</c:v>
                </c:pt>
                <c:pt idx="6">
                  <c:v>1.3669999999999999E-3</c:v>
                </c:pt>
              </c:numCache>
            </c:numRef>
          </c:val>
          <c:extLst>
            <c:ext xmlns:c16="http://schemas.microsoft.com/office/drawing/2014/chart" uri="{C3380CC4-5D6E-409C-BE32-E72D297353CC}">
              <c16:uniqueId val="{0000000C-B43D-4A47-AD9A-F9DD9AEF49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02493719334333"/>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F0-4CBC-AAB7-746A34C4D4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1FF0-4CBC-AAB7-746A34C4D4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30102977625655464"/>
                  <c:y val="-2.2998666150337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07-4D3C-B5A2-8D151AAA88D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407-4D3C-B5A2-8D151AAA88D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407-4D3C-B5A2-8D151AAA88D9}"/>
                </c:ext>
              </c:extLst>
            </c:dLbl>
            <c:dLbl>
              <c:idx val="3"/>
              <c:layout>
                <c:manualLayout>
                  <c:x val="-0.14151385118616061"/>
                  <c:y val="0.10264997203218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407-4D3C-B5A2-8D151AAA88D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407-4D3C-B5A2-8D151AAA88D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407-4D3C-B5A2-8D151AAA88D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ST'!$K$9:$K$14</c:f>
              <c:numCache>
                <c:formatCode>0.00%</c:formatCode>
                <c:ptCount val="6"/>
                <c:pt idx="0">
                  <c:v>2.0844999999999999E-2</c:v>
                </c:pt>
                <c:pt idx="1">
                  <c:v>3.3839999999999999E-3</c:v>
                </c:pt>
                <c:pt idx="2">
                  <c:v>0.1794</c:v>
                </c:pt>
                <c:pt idx="3">
                  <c:v>0.39902900000000002</c:v>
                </c:pt>
                <c:pt idx="4">
                  <c:v>2.5530000000000001E-3</c:v>
                </c:pt>
                <c:pt idx="5">
                  <c:v>0.394789</c:v>
                </c:pt>
              </c:numCache>
            </c:numRef>
          </c:val>
          <c:extLst>
            <c:ext xmlns:c16="http://schemas.microsoft.com/office/drawing/2014/chart" uri="{C3380CC4-5D6E-409C-BE32-E72D297353CC}">
              <c16:uniqueId val="{0000000C-F407-4D3C-B5A2-8D151AAA88D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0E-49E2-BA3E-05ACB33CC7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510E-49E2-BA3E-05ACB33CC7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CF-4D82-9524-198FD5658C33}"/>
                </c:ext>
              </c:extLst>
            </c:dLbl>
            <c:dLbl>
              <c:idx val="1"/>
              <c:layout>
                <c:manualLayout>
                  <c:x val="2.6008278676086259E-2"/>
                  <c:y val="-2.68909778348191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CF-4D82-9524-198FD5658C33}"/>
                </c:ext>
              </c:extLst>
            </c:dLbl>
            <c:dLbl>
              <c:idx val="2"/>
              <c:layout>
                <c:manualLayout>
                  <c:x val="4.119745738420813E-2"/>
                  <c:y val="-3.51541850220264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CF-4D82-9524-198FD5658C33}"/>
                </c:ext>
              </c:extLst>
            </c:dLbl>
            <c:dLbl>
              <c:idx val="3"/>
              <c:layout>
                <c:manualLayout>
                  <c:x val="8.6377952755905513E-2"/>
                  <c:y val="1.17524020951125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6CF-4D82-9524-198FD5658C3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6CF-4D82-9524-198FD5658C33}"/>
                </c:ext>
              </c:extLst>
            </c:dLbl>
            <c:dLbl>
              <c:idx val="5"/>
              <c:layout>
                <c:manualLayout>
                  <c:x val="-8.4299094572493211E-2"/>
                  <c:y val="-0.116514967567380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6CF-4D82-9524-198FD5658C33}"/>
                </c:ext>
              </c:extLst>
            </c:dLbl>
            <c:dLbl>
              <c:idx val="6"/>
              <c:layout>
                <c:manualLayout>
                  <c:x val="-0.23474379942335902"/>
                  <c:y val="-1.91817267334975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6CF-4D82-9524-198FD5658C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2.112E-2</c:v>
                </c:pt>
                <c:pt idx="1">
                  <c:v>2.6489999999999999E-3</c:v>
                </c:pt>
                <c:pt idx="2">
                  <c:v>0.16131300000000001</c:v>
                </c:pt>
                <c:pt idx="3">
                  <c:v>0.54417899999999997</c:v>
                </c:pt>
                <c:pt idx="4">
                  <c:v>2.8310000000000002E-3</c:v>
                </c:pt>
                <c:pt idx="5">
                  <c:v>0.267818</c:v>
                </c:pt>
                <c:pt idx="6">
                  <c:v>9.0000000000000006E-5</c:v>
                </c:pt>
              </c:numCache>
            </c:numRef>
          </c:val>
          <c:extLst>
            <c:ext xmlns:c16="http://schemas.microsoft.com/office/drawing/2014/chart" uri="{C3380CC4-5D6E-409C-BE32-E72D297353CC}">
              <c16:uniqueId val="{0000000C-76CF-4D82-9524-198FD5658C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5.66666666666666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8C-45FB-ABA1-5779ADBC86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7C8C-45FB-ABA1-5779ADBC86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3097534944106291"/>
                  <c:y val="-9.67053324249036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8C-4D2D-B5D2-8C35062D4B0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08C-4D2D-B5D2-8C35062D4B05}"/>
                </c:ext>
              </c:extLst>
            </c:dLbl>
            <c:dLbl>
              <c:idx val="2"/>
              <c:layout>
                <c:manualLayout>
                  <c:x val="-2.6929892596401894E-2"/>
                  <c:y val="0.119607420375848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08C-4D2D-B5D2-8C35062D4B05}"/>
                </c:ext>
              </c:extLst>
            </c:dLbl>
            <c:dLbl>
              <c:idx val="3"/>
              <c:layout>
                <c:manualLayout>
                  <c:x val="1.1544453624239155E-2"/>
                  <c:y val="0.25865960621296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08C-4D2D-B5D2-8C35062D4B05}"/>
                </c:ext>
              </c:extLst>
            </c:dLbl>
            <c:dLbl>
              <c:idx val="4"/>
              <c:layout>
                <c:manualLayout>
                  <c:x val="-2.9808545077475594E-2"/>
                  <c:y val="-5.08093936231684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08C-4D2D-B5D2-8C35062D4B0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08C-4D2D-B5D2-8C35062D4B05}"/>
                </c:ext>
              </c:extLst>
            </c:dLbl>
            <c:dLbl>
              <c:idx val="6"/>
              <c:layout>
                <c:manualLayout>
                  <c:x val="-0.26900512569761759"/>
                  <c:y val="-7.3704237134651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08C-4D2D-B5D2-8C35062D4B0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08C-4D2D-B5D2-8C35062D4B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Corporate Bond</c:v>
                </c:pt>
                <c:pt idx="3">
                  <c:v>Corporate Debt Market Development Fund</c:v>
                </c:pt>
                <c:pt idx="4">
                  <c:v>Government Bond</c:v>
                </c:pt>
                <c:pt idx="6">
                  <c:v>State Government Bond</c:v>
                </c:pt>
                <c:pt idx="7">
                  <c:v>Zero Coupon Bond</c:v>
                </c:pt>
              </c:strCache>
            </c:strRef>
          </c:cat>
          <c:val>
            <c:numRef>
              <c:f>'BANDHAN CBF'!$K$9:$K$16</c:f>
              <c:numCache>
                <c:formatCode>0.00%</c:formatCode>
                <c:ptCount val="8"/>
                <c:pt idx="0">
                  <c:v>2.7857E-2</c:v>
                </c:pt>
                <c:pt idx="1">
                  <c:v>5.1970000000000002E-3</c:v>
                </c:pt>
                <c:pt idx="2">
                  <c:v>0.68195700000000015</c:v>
                </c:pt>
                <c:pt idx="3">
                  <c:v>2.8500000000000001E-3</c:v>
                </c:pt>
                <c:pt idx="4">
                  <c:v>0.28113700000000003</c:v>
                </c:pt>
                <c:pt idx="5">
                  <c:v>9.9810000000000003E-3</c:v>
                </c:pt>
                <c:pt idx="6">
                  <c:v>1.76E-4</c:v>
                </c:pt>
                <c:pt idx="7">
                  <c:v>8.2600000000000002E-4</c:v>
                </c:pt>
              </c:numCache>
            </c:numRef>
          </c:val>
          <c:extLst>
            <c:ext xmlns:c16="http://schemas.microsoft.com/office/drawing/2014/chart" uri="{C3380CC4-5D6E-409C-BE32-E72D297353CC}">
              <c16:uniqueId val="{0000000C-808C-4D2D-B5D2-8C35062D4B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3.7315247264327507E-2"/>
                  <c:y val="0.268138108842589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92920353982302"/>
                    </c:manualLayout>
                  </c15:layout>
                </c:ext>
                <c:ext xmlns:c16="http://schemas.microsoft.com/office/drawing/2014/chart" uri="{C3380CC4-5D6E-409C-BE32-E72D297353CC}">
                  <c16:uniqueId val="{0000000D-88EA-4A95-B342-78236A15B76D}"/>
                </c:ext>
              </c:extLst>
            </c:dLbl>
            <c:dLbl>
              <c:idx val="1"/>
              <c:layout>
                <c:manualLayout>
                  <c:x val="3.4970577821241293E-2"/>
                  <c:y val="-0.43725489512925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8EA-4A95-B342-78236A15B76D}"/>
                </c:ext>
              </c:extLst>
            </c:dLbl>
            <c:dLbl>
              <c:idx val="2"/>
              <c:layout>
                <c:manualLayout>
                  <c:x val="0.11820474127029625"/>
                  <c:y val="-6.13009546373075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8EA-4A95-B342-78236A15B76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0.58932499999999999</c:v>
                </c:pt>
                <c:pt idx="1">
                  <c:v>0.21340799999999999</c:v>
                </c:pt>
                <c:pt idx="2">
                  <c:v>0.197267</c:v>
                </c:pt>
              </c:numCache>
            </c:numRef>
          </c:val>
          <c:extLst>
            <c:ext xmlns:c16="http://schemas.microsoft.com/office/drawing/2014/chart" uri="{C3380CC4-5D6E-409C-BE32-E72D297353CC}">
              <c16:uniqueId val="{0000000C-88EA-4A95-B342-78236A15B76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C0B-4165-AB73-49FECD4C1AC1}"/>
                </c:ext>
              </c:extLst>
            </c:dLbl>
            <c:dLbl>
              <c:idx val="1"/>
              <c:layout>
                <c:manualLayout>
                  <c:x val="0.13042447183395436"/>
                  <c:y val="-2.88467489598734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C0B-4165-AB73-49FECD4C1AC1}"/>
                </c:ext>
              </c:extLst>
            </c:dLbl>
            <c:dLbl>
              <c:idx val="2"/>
              <c:layout>
                <c:manualLayout>
                  <c:x val="-9.7326038206680274E-2"/>
                  <c:y val="0.156989650311178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C0B-4165-AB73-49FECD4C1AC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C0B-4165-AB73-49FECD4C1AC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C0B-4165-AB73-49FECD4C1AC1}"/>
                </c:ext>
              </c:extLst>
            </c:dLbl>
            <c:dLbl>
              <c:idx val="5"/>
              <c:layout>
                <c:manualLayout>
                  <c:x val="-0.18040761098652819"/>
                  <c:y val="-2.3384107554241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C0B-4165-AB73-49FECD4C1A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FRF'!$J$9:$J$14</c:f>
              <c:strCache>
                <c:ptCount val="5"/>
                <c:pt idx="0">
                  <c:v>Net Current Asset</c:v>
                </c:pt>
                <c:pt idx="1">
                  <c:v>TRI Party Repo</c:v>
                </c:pt>
                <c:pt idx="2">
                  <c:v>Corporate Bond</c:v>
                </c:pt>
                <c:pt idx="3">
                  <c:v>Corporate Debt Market Development Fund</c:v>
                </c:pt>
                <c:pt idx="4">
                  <c:v>Government Bond</c:v>
                </c:pt>
              </c:strCache>
            </c:strRef>
          </c:cat>
          <c:val>
            <c:numRef>
              <c:f>'BANDHAN FRF'!$K$9:$K$14</c:f>
              <c:numCache>
                <c:formatCode>0.00%</c:formatCode>
                <c:ptCount val="6"/>
                <c:pt idx="0">
                  <c:v>2.9713E-2</c:v>
                </c:pt>
                <c:pt idx="1">
                  <c:v>2.3788E-2</c:v>
                </c:pt>
                <c:pt idx="2">
                  <c:v>0.60652200000000001</c:v>
                </c:pt>
                <c:pt idx="3">
                  <c:v>2.7590000000000002E-3</c:v>
                </c:pt>
                <c:pt idx="4">
                  <c:v>0.33721499999999999</c:v>
                </c:pt>
              </c:numCache>
            </c:numRef>
          </c:val>
          <c:extLst>
            <c:ext xmlns:c16="http://schemas.microsoft.com/office/drawing/2014/chart" uri="{C3380CC4-5D6E-409C-BE32-E72D297353CC}">
              <c16:uniqueId val="{0000000C-2C0B-4165-AB73-49FECD4C1A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509905747862888"/>
                  <c:y val="-0.423909258038780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0F-49BE-82D2-93352101F770}"/>
                </c:ext>
              </c:extLst>
            </c:dLbl>
            <c:dLbl>
              <c:idx val="1"/>
              <c:layout>
                <c:manualLayout>
                  <c:x val="0.69363233236102451"/>
                  <c:y val="0.221432585244025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19823788546256"/>
                    </c:manualLayout>
                  </c15:layout>
                </c:ext>
                <c:ext xmlns:c16="http://schemas.microsoft.com/office/drawing/2014/chart" uri="{C3380CC4-5D6E-409C-BE32-E72D297353CC}">
                  <c16:uniqueId val="{0000000E-3A0F-49BE-82D2-93352101F770}"/>
                </c:ext>
              </c:extLst>
            </c:dLbl>
            <c:dLbl>
              <c:idx val="2"/>
              <c:layout>
                <c:manualLayout>
                  <c:x val="-5.145728304304574E-2"/>
                  <c:y val="-6.38443927989177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A0F-49BE-82D2-93352101F77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0.55769800000000003</c:v>
                </c:pt>
                <c:pt idx="1">
                  <c:v>0.244702</c:v>
                </c:pt>
                <c:pt idx="2">
                  <c:v>0.1976</c:v>
                </c:pt>
              </c:numCache>
            </c:numRef>
          </c:val>
          <c:extLst>
            <c:ext xmlns:c16="http://schemas.microsoft.com/office/drawing/2014/chart" uri="{C3380CC4-5D6E-409C-BE32-E72D297353CC}">
              <c16:uniqueId val="{0000000C-3A0F-49BE-82D2-93352101F77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25174290579844544"/>
                  <c:y val="-1.87903358827665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91-42F8-86D6-CF69994F22C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91-42F8-86D6-CF69994F22C1}"/>
                </c:ext>
              </c:extLst>
            </c:dLbl>
            <c:dLbl>
              <c:idx val="2"/>
              <c:layout>
                <c:manualLayout>
                  <c:x val="-1.4446205466286735E-2"/>
                  <c:y val="0.11472067645348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91-42F8-86D6-CF69994F22C1}"/>
                </c:ext>
              </c:extLst>
            </c:dLbl>
            <c:dLbl>
              <c:idx val="3"/>
              <c:layout>
                <c:manualLayout>
                  <c:x val="-7.1921630781163065E-3"/>
                  <c:y val="0.55587981491288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E91-42F8-86D6-CF69994F22C1}"/>
                </c:ext>
              </c:extLst>
            </c:dLbl>
            <c:dLbl>
              <c:idx val="4"/>
              <c:layout>
                <c:manualLayout>
                  <c:x val="-0.1346541840192888"/>
                  <c:y val="-0.102877531708756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E91-42F8-86D6-CF69994F22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2.673E-2</c:v>
                </c:pt>
                <c:pt idx="1">
                  <c:v>1.1846000000000001E-2</c:v>
                </c:pt>
                <c:pt idx="2">
                  <c:v>0.75529800000000002</c:v>
                </c:pt>
                <c:pt idx="3">
                  <c:v>4.8260000000000004E-3</c:v>
                </c:pt>
                <c:pt idx="4">
                  <c:v>0.20130000000000001</c:v>
                </c:pt>
              </c:numCache>
            </c:numRef>
          </c:val>
          <c:extLst>
            <c:ext xmlns:c16="http://schemas.microsoft.com/office/drawing/2014/chart" uri="{C3380CC4-5D6E-409C-BE32-E72D297353CC}">
              <c16:uniqueId val="{0000000C-5E91-42F8-86D6-CF69994F22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2B-47C6-BA5C-F50F0B1FA9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0F2B-47C6-BA5C-F50F0B1FA9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layout>
                <c:manualLayout>
                  <c:x val="-0.28469658905056566"/>
                  <c:y val="-2.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66-4520-9221-FCEF3525D84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66-4520-9221-FCEF3525D84E}"/>
                </c:ext>
              </c:extLst>
            </c:dLbl>
            <c:dLbl>
              <c:idx val="2"/>
              <c:layout>
                <c:manualLayout>
                  <c:x val="0.23916842300494023"/>
                  <c:y val="0.731161154855643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766-4520-9221-FCEF3525D84E}"/>
                </c:ext>
              </c:extLst>
            </c:dLbl>
            <c:dLbl>
              <c:idx val="3"/>
              <c:layout>
                <c:manualLayout>
                  <c:x val="-0.25222023638908092"/>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766-4520-9221-FCEF3525D8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1.4818E-2</c:v>
                </c:pt>
                <c:pt idx="1">
                  <c:v>1.2263E-2</c:v>
                </c:pt>
                <c:pt idx="2">
                  <c:v>1.0070000000000001E-3</c:v>
                </c:pt>
                <c:pt idx="3">
                  <c:v>0.971912</c:v>
                </c:pt>
              </c:numCache>
            </c:numRef>
          </c:val>
          <c:extLst>
            <c:ext xmlns:c16="http://schemas.microsoft.com/office/drawing/2014/chart" uri="{C3380CC4-5D6E-409C-BE32-E72D297353CC}">
              <c16:uniqueId val="{0000000C-7766-4520-9221-FCEF3525D8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8A5-416E-AD4B-DEB2B3FECC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88A5-416E-AD4B-DEB2B3FECC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10F-4F7E-8293-0C08E294B4C5}"/>
                </c:ext>
              </c:extLst>
            </c:dLbl>
            <c:dLbl>
              <c:idx val="1"/>
              <c:layout>
                <c:manualLayout>
                  <c:x val="0.1507687703383972"/>
                  <c:y val="-1.03030621172353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10F-4F7E-8293-0C08E294B4C5}"/>
                </c:ext>
              </c:extLst>
            </c:dLbl>
            <c:dLbl>
              <c:idx val="2"/>
              <c:layout>
                <c:manualLayout>
                  <c:x val="-0.21197760879461802"/>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10F-4F7E-8293-0C08E294B4C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2.3494000000000001E-2</c:v>
                </c:pt>
                <c:pt idx="1">
                  <c:v>1.065E-3</c:v>
                </c:pt>
                <c:pt idx="2">
                  <c:v>0.975441</c:v>
                </c:pt>
              </c:numCache>
            </c:numRef>
          </c:val>
          <c:extLst>
            <c:ext xmlns:c16="http://schemas.microsoft.com/office/drawing/2014/chart" uri="{C3380CC4-5D6E-409C-BE32-E72D297353CC}">
              <c16:uniqueId val="{0000000C-110F-4F7E-8293-0C08E294B4C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56737594631506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65-4EF1-84BA-39D36D1317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1965-4EF1-84BA-39D36D1317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84D-4B13-BE53-5CFA2B7C085A}"/>
                </c:ext>
              </c:extLst>
            </c:dLbl>
            <c:dLbl>
              <c:idx val="1"/>
              <c:layout>
                <c:manualLayout>
                  <c:x val="0.15188951086681618"/>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84D-4B13-BE53-5CFA2B7C085A}"/>
                </c:ext>
              </c:extLst>
            </c:dLbl>
            <c:dLbl>
              <c:idx val="2"/>
              <c:layout>
                <c:manualLayout>
                  <c:x val="-0.24818602572965318"/>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84D-4B13-BE53-5CFA2B7C08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1.3292999999999999E-2</c:v>
                </c:pt>
                <c:pt idx="1">
                  <c:v>6.888E-3</c:v>
                </c:pt>
                <c:pt idx="2">
                  <c:v>0.979819</c:v>
                </c:pt>
              </c:numCache>
            </c:numRef>
          </c:val>
          <c:extLst>
            <c:ext xmlns:c16="http://schemas.microsoft.com/office/drawing/2014/chart" uri="{C3380CC4-5D6E-409C-BE32-E72D297353CC}">
              <c16:uniqueId val="{0000000C-784D-4B13-BE53-5CFA2B7C08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0D-4555-8C13-A57169B3A7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3A0D-4555-8C13-A57169B3A7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C5-403F-87CA-1C248F5BF0C9}"/>
                </c:ext>
              </c:extLst>
            </c:dLbl>
            <c:dLbl>
              <c:idx val="1"/>
              <c:layout>
                <c:manualLayout>
                  <c:x val="0.1378372591006424"/>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4C5-403F-87CA-1C248F5BF0C9}"/>
                </c:ext>
              </c:extLst>
            </c:dLbl>
            <c:dLbl>
              <c:idx val="2"/>
              <c:layout>
                <c:manualLayout>
                  <c:x val="-0.30401507359759899"/>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4C5-403F-87CA-1C248F5BF0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8.5450000000000005E-3</c:v>
                </c:pt>
                <c:pt idx="1">
                  <c:v>1.3500000000000001E-3</c:v>
                </c:pt>
                <c:pt idx="2">
                  <c:v>0.99010500000000001</c:v>
                </c:pt>
              </c:numCache>
            </c:numRef>
          </c:val>
          <c:extLst>
            <c:ext xmlns:c16="http://schemas.microsoft.com/office/drawing/2014/chart" uri="{C3380CC4-5D6E-409C-BE32-E72D297353CC}">
              <c16:uniqueId val="{0000000C-24C5-403F-87CA-1C248F5BF0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61-4C92-BE6D-F795023F462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1561-4C92-BE6D-F795023F462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CB9-4266-ABAB-F117C99A622D}"/>
                </c:ext>
              </c:extLst>
            </c:dLbl>
            <c:dLbl>
              <c:idx val="1"/>
              <c:layout>
                <c:manualLayout>
                  <c:x val="0.12458463302365584"/>
                  <c:y val="-1.36363954505686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CB9-4266-ABAB-F117C99A622D}"/>
                </c:ext>
              </c:extLst>
            </c:dLbl>
            <c:dLbl>
              <c:idx val="2"/>
              <c:layout>
                <c:manualLayout>
                  <c:x val="-0.24017526850899526"/>
                  <c:y val="-1.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CB9-4266-ABAB-F117C99A62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2.4885999999999998E-2</c:v>
                </c:pt>
                <c:pt idx="1">
                  <c:v>3.2980000000000002E-3</c:v>
                </c:pt>
                <c:pt idx="2">
                  <c:v>0.97181600000000001</c:v>
                </c:pt>
              </c:numCache>
            </c:numRef>
          </c:val>
          <c:extLst>
            <c:ext xmlns:c16="http://schemas.microsoft.com/office/drawing/2014/chart" uri="{C3380CC4-5D6E-409C-BE32-E72D297353CC}">
              <c16:uniqueId val="{0000000C-ECB9-4266-ABAB-F117C99A62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CC-4FCD-B120-A1B60F3AB29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34CC-4FCD-B120-A1B60F3AB29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65-4407-84A1-7FCB022204B4}"/>
                </c:ext>
              </c:extLst>
            </c:dLbl>
            <c:dLbl>
              <c:idx val="1"/>
              <c:layout>
                <c:manualLayout>
                  <c:x val="0.11177932522888601"/>
                  <c:y val="-2.0478040244969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C65-4407-84A1-7FCB022204B4}"/>
                </c:ext>
              </c:extLst>
            </c:dLbl>
            <c:dLbl>
              <c:idx val="2"/>
              <c:layout>
                <c:manualLayout>
                  <c:x val="-0.29690122915577738"/>
                  <c:y val="-7.02635170603674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C65-4407-84A1-7FCB022204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1.7614000000000001E-2</c:v>
                </c:pt>
                <c:pt idx="1">
                  <c:v>3.346E-3</c:v>
                </c:pt>
                <c:pt idx="2">
                  <c:v>0.97904000000000002</c:v>
                </c:pt>
              </c:numCache>
            </c:numRef>
          </c:val>
          <c:extLst>
            <c:ext xmlns:c16="http://schemas.microsoft.com/office/drawing/2014/chart" uri="{C3380CC4-5D6E-409C-BE32-E72D297353CC}">
              <c16:uniqueId val="{0000000C-3C65-4407-84A1-7FCB022204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B9-4998-900B-E5195AD3E9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86B9-4998-900B-E5195AD3E9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89-4F85-BF1B-6FEF58F34F04}"/>
                </c:ext>
              </c:extLst>
            </c:dLbl>
            <c:dLbl>
              <c:idx val="1"/>
              <c:layout>
                <c:manualLayout>
                  <c:x val="0.18612343826400715"/>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089-4F85-BF1B-6FEF58F34F04}"/>
                </c:ext>
              </c:extLst>
            </c:dLbl>
            <c:dLbl>
              <c:idx val="2"/>
              <c:layout>
                <c:manualLayout>
                  <c:x val="-0.2179589944190595"/>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089-4F85-BF1B-6FEF58F34F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1.8523000000000001E-2</c:v>
                </c:pt>
                <c:pt idx="1">
                  <c:v>9.391E-3</c:v>
                </c:pt>
                <c:pt idx="2">
                  <c:v>0.97208600000000001</c:v>
                </c:pt>
              </c:numCache>
            </c:numRef>
          </c:val>
          <c:extLst>
            <c:ext xmlns:c16="http://schemas.microsoft.com/office/drawing/2014/chart" uri="{C3380CC4-5D6E-409C-BE32-E72D297353CC}">
              <c16:uniqueId val="{0000000C-8089-4F85-BF1B-6FEF58F34F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2D-4D7A-9728-349B4ABBB6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F72D-4D7A-9728-349B4ABBB6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3047221332344163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44-4D2D-9074-55915AF1A8A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44-4D2D-9074-55915AF1A8AE}"/>
                </c:ext>
              </c:extLst>
            </c:dLbl>
            <c:dLbl>
              <c:idx val="2"/>
              <c:layout>
                <c:manualLayout>
                  <c:x val="4.2033671112310107E-2"/>
                  <c:y val="-6.50446194225721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44-4D2D-9074-55915AF1A8AE}"/>
                </c:ext>
              </c:extLst>
            </c:dLbl>
            <c:dLbl>
              <c:idx val="3"/>
              <c:layout>
                <c:manualLayout>
                  <c:x val="-2.3219578816031292E-2"/>
                  <c:y val="3.45928258967629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944-4D2D-9074-55915AF1A8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1.9616000000000001E-2</c:v>
                </c:pt>
                <c:pt idx="1">
                  <c:v>1.1481E-2</c:v>
                </c:pt>
                <c:pt idx="2">
                  <c:v>0.129163</c:v>
                </c:pt>
                <c:pt idx="3">
                  <c:v>0.83974000000000004</c:v>
                </c:pt>
              </c:numCache>
            </c:numRef>
          </c:val>
          <c:extLst>
            <c:ext xmlns:c16="http://schemas.microsoft.com/office/drawing/2014/chart" uri="{C3380CC4-5D6E-409C-BE32-E72D297353CC}">
              <c16:uniqueId val="{0000000C-2944-4D2D-9074-55915AF1A8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01-4687-87BD-614A7C9643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9101-4687-87BD-614A7C9643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7559594665227877"/>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4D-4086-A16B-73A29A4A523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B4D-4086-A16B-73A29A4A5232}"/>
                </c:ext>
              </c:extLst>
            </c:dLbl>
            <c:dLbl>
              <c:idx val="2"/>
              <c:layout>
                <c:manualLayout>
                  <c:x val="5.5917314404221957E-2"/>
                  <c:y val="-8.01956255468066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B4D-4086-A16B-73A29A4A5232}"/>
                </c:ext>
              </c:extLst>
            </c:dLbl>
            <c:dLbl>
              <c:idx val="3"/>
              <c:layout>
                <c:manualLayout>
                  <c:x val="-6.0252238277495825E-2"/>
                  <c:y val="1.71464566929133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B4D-4086-A16B-73A29A4A52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1.5701E-2</c:v>
                </c:pt>
                <c:pt idx="1">
                  <c:v>2.8881E-2</c:v>
                </c:pt>
                <c:pt idx="2">
                  <c:v>6.2783000000000005E-2</c:v>
                </c:pt>
                <c:pt idx="3">
                  <c:v>0.89263499999999996</c:v>
                </c:pt>
              </c:numCache>
            </c:numRef>
          </c:val>
          <c:extLst>
            <c:ext xmlns:c16="http://schemas.microsoft.com/office/drawing/2014/chart" uri="{C3380CC4-5D6E-409C-BE32-E72D297353CC}">
              <c16:uniqueId val="{0000000C-6B4D-4086-A16B-73A29A4A523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0B-4013-A4BB-EB4C1CE94B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D10B-4013-A4BB-EB4C1CE94B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FC-45E8-842E-6356D660AD8D}"/>
                </c:ext>
              </c:extLst>
            </c:dLbl>
            <c:dLbl>
              <c:idx val="1"/>
              <c:layout>
                <c:manualLayout>
                  <c:x val="-0.30346465123337096"/>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FC-45E8-842E-6356D660AD8D}"/>
                </c:ext>
              </c:extLst>
            </c:dLbl>
            <c:dLbl>
              <c:idx val="2"/>
              <c:layout>
                <c:manualLayout>
                  <c:x val="4.4326324841086513E-3"/>
                  <c:y val="-9.12346456692913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FC-45E8-842E-6356D660AD8D}"/>
                </c:ext>
              </c:extLst>
            </c:dLbl>
            <c:dLbl>
              <c:idx val="3"/>
              <c:layout>
                <c:manualLayout>
                  <c:x val="-2.1168456726635081E-2"/>
                  <c:y val="7.345581802274715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4FC-45E8-842E-6356D660AD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1.4234E-2</c:v>
                </c:pt>
                <c:pt idx="1">
                  <c:v>3.3019999999999998E-3</c:v>
                </c:pt>
                <c:pt idx="2">
                  <c:v>0.13638600000000001</c:v>
                </c:pt>
                <c:pt idx="3">
                  <c:v>0.846078</c:v>
                </c:pt>
              </c:numCache>
            </c:numRef>
          </c:val>
          <c:extLst>
            <c:ext xmlns:c16="http://schemas.microsoft.com/office/drawing/2014/chart" uri="{C3380CC4-5D6E-409C-BE32-E72D297353CC}">
              <c16:uniqueId val="{0000000C-84FC-45E8-842E-6356D660AD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5A9-4498-AB60-06B32947FF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D5A9-4498-AB60-06B32947FF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AB-4A95-9F68-BC6C1523FE8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8AB-4A95-9F68-BC6C1523FE84}"/>
                </c:ext>
              </c:extLst>
            </c:dLbl>
            <c:dLbl>
              <c:idx val="2"/>
              <c:layout>
                <c:manualLayout>
                  <c:x val="-0.10261882682223608"/>
                  <c:y val="-1.51338582677165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8AB-4A95-9F68-BC6C1523FE8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-5.6149999999999999E-2</c:v>
                </c:pt>
                <c:pt idx="1">
                  <c:v>8.1697000000000006E-2</c:v>
                </c:pt>
                <c:pt idx="2">
                  <c:v>0.97445300000000001</c:v>
                </c:pt>
              </c:numCache>
            </c:numRef>
          </c:val>
          <c:extLst>
            <c:ext xmlns:c16="http://schemas.microsoft.com/office/drawing/2014/chart" uri="{C3380CC4-5D6E-409C-BE32-E72D297353CC}">
              <c16:uniqueId val="{0000000C-98AB-4A95-9F68-BC6C1523FE8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114-4C70-B20F-DCD1E7EC6A5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114-4C70-B20F-DCD1E7EC6A5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114-4C70-B20F-DCD1E7EC6A5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114-4C70-B20F-DCD1E7EC6A5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0.99012199999999995</c:v>
                </c:pt>
                <c:pt idx="1">
                  <c:v>-1.743E-3</c:v>
                </c:pt>
                <c:pt idx="2">
                  <c:v>1.1620999999999999E-2</c:v>
                </c:pt>
              </c:numCache>
            </c:numRef>
          </c:val>
          <c:extLst>
            <c:ext xmlns:c16="http://schemas.microsoft.com/office/drawing/2014/chart" uri="{C3380CC4-5D6E-409C-BE32-E72D297353CC}">
              <c16:uniqueId val="{00000004-5114-4C70-B20F-DCD1E7EC6A5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AAC94F2-0631-4712-807A-9914707D7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E01C753-8D57-46C4-85A3-C15FF570D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26CA708-E74D-426B-936F-CCA40AB6B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F86DE69-1E49-4C8D-A8D7-AC361FB29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04373CD-69FC-4308-8149-92A774AE0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43B601F4-B987-4082-914D-DB5E04BF7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DBDE06-D9A7-44B1-9D99-A0DF98B03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C10793FB-8107-41A6-AB73-F0F739DBA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C003A5F-5E1E-42D1-92E1-FCB1C0649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E962647-43B2-4D6D-9686-0F539EA8A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4FF8D7C-B899-40C6-9D23-B01C6564C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339195B-D35F-405D-8C79-C2F717787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78D734C-D1B3-4D5C-97B4-DED4D87E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DC3370F-5F12-4434-ACBE-63FF00C97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5690FB0-A62F-4BFA-9DD0-B430E854E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5BECA5E9-9CD0-4EC5-A565-CA9DE2ACB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90DBD62-79D8-4C69-9724-49D1857C3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C7BF4093-5E17-4F54-97F2-20AF86A8E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50801</xdr:rowOff>
    </xdr:from>
    <xdr:to>
      <xdr:col>13</xdr:col>
      <xdr:colOff>546100</xdr:colOff>
      <xdr:row>22</xdr:row>
      <xdr:rowOff>50801</xdr:rowOff>
    </xdr:to>
    <xdr:graphicFrame macro="">
      <xdr:nvGraphicFramePr>
        <xdr:cNvPr id="2" name="Chart 1">
          <a:extLst>
            <a:ext uri="{FF2B5EF4-FFF2-40B4-BE49-F238E27FC236}">
              <a16:creationId xmlns:a16="http://schemas.microsoft.com/office/drawing/2014/main" id="{A7D3657D-665E-42D8-89CE-72C423EAF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BFF87FF-8873-46F9-B3CA-2AD7EBED2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571500</xdr:colOff>
      <xdr:row>7</xdr:row>
      <xdr:rowOff>38100</xdr:rowOff>
    </xdr:from>
    <xdr:to>
      <xdr:col>13</xdr:col>
      <xdr:colOff>508000</xdr:colOff>
      <xdr:row>22</xdr:row>
      <xdr:rowOff>38100</xdr:rowOff>
    </xdr:to>
    <xdr:graphicFrame macro="">
      <xdr:nvGraphicFramePr>
        <xdr:cNvPr id="2" name="Chart 1">
          <a:extLst>
            <a:ext uri="{FF2B5EF4-FFF2-40B4-BE49-F238E27FC236}">
              <a16:creationId xmlns:a16="http://schemas.microsoft.com/office/drawing/2014/main" id="{15C2D559-5485-48C1-BCCD-B6474EA01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7009A0D3-7D14-43F0-AEB6-EC5E79592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38100</xdr:colOff>
      <xdr:row>7</xdr:row>
      <xdr:rowOff>50801</xdr:rowOff>
    </xdr:from>
    <xdr:to>
      <xdr:col>13</xdr:col>
      <xdr:colOff>584200</xdr:colOff>
      <xdr:row>22</xdr:row>
      <xdr:rowOff>50801</xdr:rowOff>
    </xdr:to>
    <xdr:graphicFrame macro="">
      <xdr:nvGraphicFramePr>
        <xdr:cNvPr id="2" name="Chart 1">
          <a:extLst>
            <a:ext uri="{FF2B5EF4-FFF2-40B4-BE49-F238E27FC236}">
              <a16:creationId xmlns:a16="http://schemas.microsoft.com/office/drawing/2014/main" id="{3E312C27-41AA-49B6-BA5E-C60873164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76A02CC-9FCF-48AC-A715-16A8CC704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D71B8FA-B44F-4CCA-B006-033B6811B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E54A5CEE-BD3E-4238-91EF-FBD7ABC50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580C37D-1EC9-4267-8017-E4B23369E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D94F207-B080-4659-9498-C91121D04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9B4D4E1-8306-4B94-88B1-EB35164D8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C4E4AC5-D327-4AA5-804D-E4B73C304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DB597BC-7C6B-4406-8A7D-D1BBDDF41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C83CC25-0B07-4B4D-95EC-EC23A245E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3F973CB-120B-478A-B99A-09B19A176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FAA165-CECE-44A0-871C-77CCD741C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2A8797A-4D06-43DE-8BB7-03987B33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A666FD3-B888-462B-B744-5712FCECC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26A1405-5A46-4615-8D08-75F7955B1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AB2F81A-ED1E-45AA-B647-DD5458D44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53F2479-E62B-42F8-98D5-64A82FFAA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576BBAF-C322-49AE-9FB9-876D1DE25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BEA9DF7-2169-4669-9E89-E81D04917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930893C-B633-4473-9ED0-4A35F946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D7EE9E0-944B-4BCA-A3B6-962A77DB1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7B9F09D-59B8-4CE5-AC2F-7521AB202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6278310-88F9-4283-9F66-77BA0FC22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2E15900-152B-41C6-AD61-8B35C7D92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BA00A082-C89A-4C2E-8BD3-54F974A3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E8F8D2C-74B1-4559-8345-C4864767F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749C8922-6FE0-4AD1-BE4E-B89D8CDFC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D77C-ADD1-4D33-A4E7-B46B95273F8B}">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184</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185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30</v>
      </c>
      <c r="D8" s="6"/>
      <c r="E8" s="11">
        <v>0.84929600000000005</v>
      </c>
      <c r="F8" s="1"/>
      <c r="G8" s="24" t="s">
        <v>4</v>
      </c>
      <c r="H8" s="25">
        <v>1</v>
      </c>
      <c r="I8" s="1"/>
      <c r="J8" s="24" t="s">
        <v>34</v>
      </c>
      <c r="K8" s="24" t="s">
        <v>3</v>
      </c>
      <c r="L8" s="1"/>
      <c r="M8" s="1"/>
      <c r="N8" s="18"/>
    </row>
    <row r="9" spans="2:14" ht="15.75" customHeight="1" x14ac:dyDescent="0.25">
      <c r="B9" s="20"/>
      <c r="C9" s="7" t="s">
        <v>186</v>
      </c>
      <c r="D9" s="8"/>
      <c r="E9" s="12">
        <v>0.84929600000000005</v>
      </c>
      <c r="F9" s="1"/>
      <c r="G9" s="1"/>
      <c r="H9" s="1"/>
      <c r="I9" s="1"/>
      <c r="J9" s="24" t="s">
        <v>32</v>
      </c>
      <c r="K9" s="29">
        <v>4.0379999999999999E-3</v>
      </c>
      <c r="L9" s="1"/>
      <c r="M9" s="1"/>
      <c r="N9" s="18"/>
    </row>
    <row r="10" spans="2:14" ht="15" customHeight="1" x14ac:dyDescent="0.25">
      <c r="B10" s="20"/>
      <c r="C10" s="5" t="s">
        <v>187</v>
      </c>
      <c r="D10" s="6" t="s">
        <v>192</v>
      </c>
      <c r="E10" s="11">
        <v>2.6093999999999999E-2</v>
      </c>
      <c r="F10" s="1"/>
      <c r="G10" s="1"/>
      <c r="H10" s="1"/>
      <c r="I10" s="1"/>
      <c r="J10" s="24" t="s">
        <v>35</v>
      </c>
      <c r="K10" s="29">
        <v>9.4466999999999995E-2</v>
      </c>
      <c r="L10" s="1"/>
      <c r="M10" s="1"/>
      <c r="N10" s="18"/>
    </row>
    <row r="11" spans="2:14" ht="15" customHeight="1" x14ac:dyDescent="0.25">
      <c r="B11" s="20"/>
      <c r="C11" s="5" t="s">
        <v>159</v>
      </c>
      <c r="D11" s="6" t="s">
        <v>192</v>
      </c>
      <c r="E11" s="11">
        <v>1.3030999999999999E-2</v>
      </c>
      <c r="F11" s="1"/>
      <c r="G11" s="1"/>
      <c r="H11" s="1"/>
      <c r="I11" s="1"/>
      <c r="J11" s="24" t="s">
        <v>188</v>
      </c>
      <c r="K11" s="29">
        <v>0.84929600000000005</v>
      </c>
      <c r="L11" s="1"/>
      <c r="M11" s="1"/>
      <c r="N11" s="18"/>
    </row>
    <row r="12" spans="2:14" ht="15" customHeight="1" x14ac:dyDescent="0.25">
      <c r="B12" s="20"/>
      <c r="C12" s="5" t="s">
        <v>158</v>
      </c>
      <c r="D12" s="6" t="s">
        <v>192</v>
      </c>
      <c r="E12" s="11">
        <v>8.7200000000000003E-3</v>
      </c>
      <c r="F12" s="1"/>
      <c r="G12" s="1"/>
      <c r="H12" s="1"/>
      <c r="I12" s="1"/>
      <c r="J12" s="24" t="s">
        <v>163</v>
      </c>
      <c r="K12" s="29">
        <v>5.2199000000000002E-2</v>
      </c>
      <c r="L12" s="1"/>
      <c r="M12" s="1"/>
      <c r="N12" s="18"/>
    </row>
    <row r="13" spans="2:14" ht="15" customHeight="1" x14ac:dyDescent="0.25">
      <c r="B13" s="20"/>
      <c r="C13" s="5" t="s">
        <v>150</v>
      </c>
      <c r="D13" s="6" t="s">
        <v>192</v>
      </c>
      <c r="E13" s="11">
        <v>4.3540000000000002E-3</v>
      </c>
      <c r="F13" s="1"/>
      <c r="G13" s="1"/>
      <c r="H13" s="1"/>
      <c r="I13" s="1"/>
      <c r="J13" s="1"/>
      <c r="K13" s="1"/>
      <c r="L13" s="1"/>
      <c r="M13" s="1"/>
      <c r="N13" s="18"/>
    </row>
    <row r="14" spans="2:14" ht="15.75" customHeight="1" x14ac:dyDescent="0.25">
      <c r="B14" s="20"/>
      <c r="C14" s="7" t="s">
        <v>161</v>
      </c>
      <c r="D14" s="8"/>
      <c r="E14" s="12">
        <v>5.2199000000000002E-2</v>
      </c>
      <c r="F14" s="1"/>
      <c r="G14" s="1"/>
      <c r="H14" s="1"/>
      <c r="I14" s="1"/>
      <c r="J14" s="1"/>
      <c r="K14" s="1"/>
      <c r="L14" s="1"/>
      <c r="M14" s="1"/>
      <c r="N14" s="18"/>
    </row>
    <row r="15" spans="2:14" ht="15" customHeight="1" x14ac:dyDescent="0.25">
      <c r="B15" s="20"/>
      <c r="C15" s="5" t="s">
        <v>30</v>
      </c>
      <c r="D15" s="6"/>
      <c r="E15" s="11">
        <v>9.4466999999999995E-2</v>
      </c>
      <c r="F15" s="1"/>
      <c r="G15" s="1"/>
      <c r="H15" s="1"/>
      <c r="I15" s="1"/>
      <c r="J15" s="1"/>
      <c r="K15" s="1"/>
      <c r="L15" s="1"/>
      <c r="M15" s="1"/>
      <c r="N15" s="18"/>
    </row>
    <row r="16" spans="2:14" ht="15.75" customHeight="1" x14ac:dyDescent="0.25">
      <c r="B16" s="20"/>
      <c r="C16" s="7" t="s">
        <v>31</v>
      </c>
      <c r="D16" s="8"/>
      <c r="E16" s="12">
        <v>9.4466999999999995E-2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32</v>
      </c>
      <c r="D18" s="8"/>
      <c r="E18" s="12">
        <v>4.0379999999999999E-3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33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113</v>
      </c>
      <c r="H24" s="87"/>
      <c r="I24" s="87"/>
      <c r="J24" s="87"/>
      <c r="K24" s="87"/>
      <c r="L24" s="37">
        <v>4.8104855311339927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9" t="s">
        <v>322</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ht="15.75" thickBot="1" x14ac:dyDescent="0.3">
      <c r="B47" s="75"/>
      <c r="C47" s="76"/>
      <c r="D47" s="76"/>
      <c r="E47" s="76"/>
      <c r="F47" s="76"/>
      <c r="G47" s="76"/>
      <c r="H47" s="76"/>
      <c r="I47" s="76"/>
      <c r="J47" s="76"/>
      <c r="K47" s="76"/>
      <c r="L47" s="76"/>
      <c r="M47" s="76"/>
      <c r="N47" s="77"/>
    </row>
    <row r="48" spans="2:14" ht="15.75" thickBot="1" x14ac:dyDescent="0.3"/>
    <row r="49" spans="2:14" ht="126.75" customHeight="1" thickBot="1" x14ac:dyDescent="0.3">
      <c r="B49" s="78" t="s">
        <v>323</v>
      </c>
      <c r="C49" s="79"/>
      <c r="D49" s="79"/>
      <c r="E49" s="79"/>
      <c r="F49" s="79"/>
      <c r="G49" s="79"/>
      <c r="H49" s="79"/>
      <c r="I49" s="79"/>
      <c r="J49" s="79"/>
      <c r="K49" s="79"/>
      <c r="L49" s="79"/>
      <c r="M49" s="79"/>
      <c r="N49" s="80"/>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6114-2ADD-4080-861D-E960D1E55D48}">
  <dimension ref="B1:N8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130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12</v>
      </c>
      <c r="D8" s="6" t="s">
        <v>13</v>
      </c>
      <c r="E8" s="11">
        <v>8.5805999999999993E-2</v>
      </c>
      <c r="F8" s="1"/>
      <c r="G8" s="24" t="s">
        <v>4</v>
      </c>
      <c r="H8" s="25">
        <v>1</v>
      </c>
      <c r="I8" s="1"/>
      <c r="J8" s="24" t="s">
        <v>34</v>
      </c>
      <c r="K8" s="24" t="s">
        <v>3</v>
      </c>
      <c r="L8" s="1"/>
      <c r="M8" s="1"/>
      <c r="N8" s="18"/>
    </row>
    <row r="9" spans="2:14" ht="15" customHeight="1" x14ac:dyDescent="0.25">
      <c r="B9" s="20"/>
      <c r="C9" s="5" t="s">
        <v>41</v>
      </c>
      <c r="D9" s="6" t="s">
        <v>13</v>
      </c>
      <c r="E9" s="11">
        <v>8.5670999999999997E-2</v>
      </c>
      <c r="F9" s="1"/>
      <c r="G9" s="1"/>
      <c r="H9" s="1"/>
      <c r="I9" s="1"/>
      <c r="J9" s="24" t="s">
        <v>32</v>
      </c>
      <c r="K9" s="29">
        <v>-1.0245000000000001E-2</v>
      </c>
      <c r="L9" s="1"/>
      <c r="M9" s="1"/>
      <c r="N9" s="18"/>
    </row>
    <row r="10" spans="2:14" ht="15" customHeight="1" x14ac:dyDescent="0.25">
      <c r="B10" s="20"/>
      <c r="C10" s="5" t="s">
        <v>42</v>
      </c>
      <c r="D10" s="6" t="s">
        <v>13</v>
      </c>
      <c r="E10" s="11">
        <v>7.7993999999999994E-2</v>
      </c>
      <c r="F10" s="1"/>
      <c r="G10" s="1"/>
      <c r="H10" s="1"/>
      <c r="I10" s="1"/>
      <c r="J10" s="24" t="s">
        <v>35</v>
      </c>
      <c r="K10" s="29">
        <v>3.6000000000000001E-5</v>
      </c>
      <c r="L10" s="1"/>
      <c r="M10" s="1"/>
      <c r="N10" s="18"/>
    </row>
    <row r="11" spans="2:14" ht="15" customHeight="1" x14ac:dyDescent="0.25">
      <c r="B11" s="20"/>
      <c r="C11" s="5" t="s">
        <v>131</v>
      </c>
      <c r="D11" s="6" t="s">
        <v>13</v>
      </c>
      <c r="E11" s="11">
        <v>3.1614000000000003E-2</v>
      </c>
      <c r="F11" s="1"/>
      <c r="G11" s="1"/>
      <c r="H11" s="1"/>
      <c r="I11" s="1"/>
      <c r="J11" s="24" t="s">
        <v>36</v>
      </c>
      <c r="K11" s="29">
        <v>0.31440200000000001</v>
      </c>
      <c r="L11" s="1"/>
      <c r="M11" s="1"/>
      <c r="N11" s="18"/>
    </row>
    <row r="12" spans="2:14" ht="15" customHeight="1" x14ac:dyDescent="0.25">
      <c r="B12" s="20"/>
      <c r="C12" s="5" t="s">
        <v>14</v>
      </c>
      <c r="D12" s="6" t="s">
        <v>13</v>
      </c>
      <c r="E12" s="11">
        <v>1.4883E-2</v>
      </c>
      <c r="F12" s="1"/>
      <c r="G12" s="1"/>
      <c r="H12" s="1"/>
      <c r="I12" s="1"/>
      <c r="J12" s="24" t="s">
        <v>37</v>
      </c>
      <c r="K12" s="29">
        <v>4.7926000000000003E-2</v>
      </c>
      <c r="L12" s="1"/>
      <c r="M12" s="1"/>
      <c r="N12" s="18"/>
    </row>
    <row r="13" spans="2:14" ht="15" customHeight="1" x14ac:dyDescent="0.25">
      <c r="B13" s="20"/>
      <c r="C13" s="5" t="s">
        <v>132</v>
      </c>
      <c r="D13" s="6" t="s">
        <v>13</v>
      </c>
      <c r="E13" s="11">
        <v>1.1055000000000001E-2</v>
      </c>
      <c r="F13" s="1"/>
      <c r="G13" s="1"/>
      <c r="H13" s="1"/>
      <c r="I13" s="1"/>
      <c r="J13" s="24" t="s">
        <v>162</v>
      </c>
      <c r="K13" s="29">
        <v>0.44294299999999998</v>
      </c>
      <c r="L13" s="1"/>
      <c r="M13" s="1"/>
      <c r="N13" s="18"/>
    </row>
    <row r="14" spans="2:14" ht="15" customHeight="1" x14ac:dyDescent="0.25">
      <c r="B14" s="20"/>
      <c r="C14" s="5" t="s">
        <v>133</v>
      </c>
      <c r="D14" s="6" t="s">
        <v>13</v>
      </c>
      <c r="E14" s="11">
        <v>7.3790000000000001E-3</v>
      </c>
      <c r="F14" s="1"/>
      <c r="G14" s="1"/>
      <c r="H14" s="1"/>
      <c r="I14" s="1"/>
      <c r="J14" s="24" t="s">
        <v>22</v>
      </c>
      <c r="K14" s="29">
        <v>2.5630000000000002E-3</v>
      </c>
      <c r="L14" s="1"/>
      <c r="M14" s="1"/>
      <c r="N14" s="18"/>
    </row>
    <row r="15" spans="2:14" ht="15.75" customHeight="1" x14ac:dyDescent="0.25">
      <c r="B15" s="20"/>
      <c r="C15" s="7" t="s">
        <v>15</v>
      </c>
      <c r="D15" s="8"/>
      <c r="E15" s="12">
        <v>0.31440200000000001</v>
      </c>
      <c r="F15" s="1"/>
      <c r="G15" s="1"/>
      <c r="H15" s="1"/>
      <c r="I15" s="1"/>
      <c r="J15" s="24" t="s">
        <v>163</v>
      </c>
      <c r="K15" s="29">
        <v>0.202375</v>
      </c>
      <c r="L15" s="1"/>
      <c r="M15" s="1"/>
      <c r="N15" s="18"/>
    </row>
    <row r="16" spans="2:14" ht="15" customHeight="1" x14ac:dyDescent="0.25">
      <c r="B16" s="20"/>
      <c r="C16" s="5" t="s">
        <v>134</v>
      </c>
      <c r="D16" s="6" t="s">
        <v>13</v>
      </c>
      <c r="E16" s="11">
        <v>6.8935999999999997E-2</v>
      </c>
      <c r="F16" s="1"/>
      <c r="G16" s="1"/>
      <c r="H16" s="1"/>
      <c r="I16" s="1"/>
      <c r="J16" s="1"/>
      <c r="K16" s="1"/>
      <c r="L16" s="1"/>
      <c r="M16" s="1"/>
      <c r="N16" s="18"/>
    </row>
    <row r="17" spans="2:14" ht="15" customHeight="1" x14ac:dyDescent="0.25">
      <c r="B17" s="20"/>
      <c r="C17" s="5" t="s">
        <v>56</v>
      </c>
      <c r="D17" s="6" t="s">
        <v>13</v>
      </c>
      <c r="E17" s="11">
        <v>5.2074000000000002E-2</v>
      </c>
      <c r="F17" s="1"/>
      <c r="G17" s="1"/>
      <c r="H17" s="1"/>
      <c r="I17" s="1"/>
      <c r="J17" s="1"/>
      <c r="K17" s="1"/>
      <c r="L17" s="1"/>
      <c r="M17" s="1"/>
      <c r="N17" s="18"/>
    </row>
    <row r="18" spans="2:14" ht="15" customHeight="1" x14ac:dyDescent="0.25">
      <c r="B18" s="20"/>
      <c r="C18" s="5" t="s">
        <v>135</v>
      </c>
      <c r="D18" s="6" t="s">
        <v>13</v>
      </c>
      <c r="E18" s="11">
        <v>5.0333999999999997E-2</v>
      </c>
      <c r="F18" s="1"/>
      <c r="G18" s="1"/>
      <c r="H18" s="1"/>
      <c r="I18" s="1"/>
      <c r="J18" s="1"/>
      <c r="K18" s="1"/>
      <c r="L18" s="1"/>
      <c r="M18" s="1"/>
      <c r="N18" s="18"/>
    </row>
    <row r="19" spans="2:14" ht="15" customHeight="1" x14ac:dyDescent="0.25">
      <c r="B19" s="20"/>
      <c r="C19" s="5" t="s">
        <v>16</v>
      </c>
      <c r="D19" s="6" t="s">
        <v>13</v>
      </c>
      <c r="E19" s="11">
        <v>2.9852E-2</v>
      </c>
      <c r="F19" s="1"/>
      <c r="G19" s="1"/>
      <c r="H19" s="1"/>
      <c r="I19" s="1"/>
      <c r="J19" s="1"/>
      <c r="K19" s="1"/>
      <c r="L19" s="1"/>
      <c r="M19" s="1"/>
      <c r="N19" s="18"/>
    </row>
    <row r="20" spans="2:14" ht="15" customHeight="1" x14ac:dyDescent="0.25">
      <c r="B20" s="20"/>
      <c r="C20" s="5" t="s">
        <v>136</v>
      </c>
      <c r="D20" s="6" t="s">
        <v>13</v>
      </c>
      <c r="E20" s="11">
        <v>2.2329999999999999E-2</v>
      </c>
      <c r="F20" s="1"/>
      <c r="G20" s="1"/>
      <c r="H20" s="1"/>
      <c r="I20" s="1"/>
      <c r="J20" s="1"/>
      <c r="K20" s="1"/>
      <c r="L20" s="1"/>
      <c r="M20" s="1"/>
      <c r="N20" s="18"/>
    </row>
    <row r="21" spans="2:14" ht="15" customHeight="1" x14ac:dyDescent="0.25">
      <c r="B21" s="20"/>
      <c r="C21" s="5" t="s">
        <v>59</v>
      </c>
      <c r="D21" s="6" t="s">
        <v>13</v>
      </c>
      <c r="E21" s="11">
        <v>2.2314000000000001E-2</v>
      </c>
      <c r="F21" s="1"/>
      <c r="G21" s="1"/>
      <c r="H21" s="1"/>
      <c r="I21" s="1"/>
      <c r="J21" s="1"/>
      <c r="K21" s="1"/>
      <c r="L21" s="1"/>
      <c r="M21" s="1"/>
      <c r="N21" s="18"/>
    </row>
    <row r="22" spans="2:14" ht="15" customHeight="1" x14ac:dyDescent="0.25">
      <c r="B22" s="20"/>
      <c r="C22" s="5" t="s">
        <v>137</v>
      </c>
      <c r="D22" s="6" t="s">
        <v>13</v>
      </c>
      <c r="E22" s="11">
        <v>2.053E-2</v>
      </c>
      <c r="F22" s="1"/>
      <c r="G22" s="1"/>
      <c r="H22" s="1"/>
      <c r="I22" s="1"/>
      <c r="J22" s="1"/>
      <c r="K22" s="1"/>
      <c r="L22" s="1"/>
      <c r="M22" s="1"/>
      <c r="N22" s="18"/>
    </row>
    <row r="23" spans="2:14" ht="15" customHeight="1" x14ac:dyDescent="0.25">
      <c r="B23" s="20"/>
      <c r="C23" s="5" t="s">
        <v>138</v>
      </c>
      <c r="D23" s="6" t="s">
        <v>13</v>
      </c>
      <c r="E23" s="11">
        <v>1.8652999999999999E-2</v>
      </c>
      <c r="F23" s="1"/>
      <c r="G23" s="1"/>
      <c r="H23" s="1"/>
      <c r="I23" s="1"/>
      <c r="J23" s="1"/>
      <c r="K23" s="1"/>
      <c r="L23" s="1"/>
      <c r="M23" s="1"/>
      <c r="N23" s="18"/>
    </row>
    <row r="24" spans="2:14" ht="15" customHeight="1" x14ac:dyDescent="0.25">
      <c r="B24" s="20"/>
      <c r="C24" s="5" t="s">
        <v>139</v>
      </c>
      <c r="D24" s="6" t="s">
        <v>13</v>
      </c>
      <c r="E24" s="11">
        <v>1.8589999999999999E-2</v>
      </c>
      <c r="F24" s="1"/>
      <c r="G24" s="86" t="s">
        <v>113</v>
      </c>
      <c r="H24" s="87"/>
      <c r="I24" s="87"/>
      <c r="J24" s="87"/>
      <c r="K24" s="87"/>
      <c r="L24" s="37">
        <v>37.052491638037999</v>
      </c>
      <c r="M24" s="27"/>
      <c r="N24" s="28"/>
    </row>
    <row r="25" spans="2:14" ht="15" customHeight="1" x14ac:dyDescent="0.25">
      <c r="B25" s="20"/>
      <c r="C25" s="5" t="s">
        <v>140</v>
      </c>
      <c r="D25" s="6" t="s">
        <v>13</v>
      </c>
      <c r="E25" s="11">
        <v>1.6775000000000002E-2</v>
      </c>
      <c r="F25" s="1"/>
      <c r="G25" s="1"/>
      <c r="H25" s="1"/>
      <c r="I25" s="1"/>
      <c r="J25" s="1"/>
      <c r="K25" s="1"/>
      <c r="L25" s="1"/>
      <c r="M25" s="1"/>
      <c r="N25" s="18"/>
    </row>
    <row r="26" spans="2:14" ht="15" customHeight="1" x14ac:dyDescent="0.25">
      <c r="B26" s="20"/>
      <c r="C26" s="5" t="s">
        <v>141</v>
      </c>
      <c r="D26" s="6" t="s">
        <v>13</v>
      </c>
      <c r="E26" s="11">
        <v>1.4937000000000001E-2</v>
      </c>
      <c r="F26" s="1"/>
      <c r="G26" s="86" t="s">
        <v>7</v>
      </c>
      <c r="H26" s="87"/>
      <c r="I26" s="87"/>
      <c r="J26" s="87"/>
      <c r="K26" s="87"/>
      <c r="L26" s="87"/>
      <c r="M26" s="87"/>
      <c r="N26" s="88"/>
    </row>
    <row r="27" spans="2:14" ht="15" customHeight="1" x14ac:dyDescent="0.25">
      <c r="B27" s="20"/>
      <c r="C27" s="5" t="s">
        <v>19</v>
      </c>
      <c r="D27" s="6" t="s">
        <v>13</v>
      </c>
      <c r="E27" s="11">
        <v>1.4891E-2</v>
      </c>
      <c r="F27" s="1"/>
      <c r="G27" s="1"/>
      <c r="H27" s="1"/>
      <c r="I27" s="1"/>
      <c r="J27" s="1"/>
      <c r="K27" s="1"/>
      <c r="L27" s="1"/>
      <c r="M27" s="1"/>
      <c r="N27" s="18"/>
    </row>
    <row r="28" spans="2:14" ht="15" customHeight="1" x14ac:dyDescent="0.25">
      <c r="B28" s="20"/>
      <c r="C28" s="5" t="s">
        <v>142</v>
      </c>
      <c r="D28" s="6" t="s">
        <v>13</v>
      </c>
      <c r="E28" s="11">
        <v>1.4886E-2</v>
      </c>
      <c r="F28" s="1"/>
      <c r="G28" s="1"/>
      <c r="H28" s="1"/>
      <c r="I28" s="1"/>
      <c r="J28" s="1"/>
      <c r="K28" s="1"/>
      <c r="L28" s="1"/>
      <c r="M28" s="1"/>
      <c r="N28" s="18"/>
    </row>
    <row r="29" spans="2:14" ht="15" customHeight="1" x14ac:dyDescent="0.25">
      <c r="B29" s="20"/>
      <c r="C29" s="5" t="s">
        <v>143</v>
      </c>
      <c r="D29" s="6" t="s">
        <v>13</v>
      </c>
      <c r="E29" s="11">
        <v>1.4885000000000001E-2</v>
      </c>
      <c r="F29" s="1"/>
      <c r="G29" s="1"/>
      <c r="H29" s="1"/>
      <c r="I29" s="1"/>
      <c r="J29" s="1"/>
      <c r="K29" s="1"/>
      <c r="L29" s="1"/>
      <c r="M29" s="1"/>
      <c r="N29" s="18"/>
    </row>
    <row r="30" spans="2:14" ht="15" customHeight="1" x14ac:dyDescent="0.25">
      <c r="B30" s="20"/>
      <c r="C30" s="5" t="s">
        <v>144</v>
      </c>
      <c r="D30" s="6" t="s">
        <v>13</v>
      </c>
      <c r="E30" s="11">
        <v>1.4725E-2</v>
      </c>
      <c r="F30" s="1"/>
      <c r="G30" s="1"/>
      <c r="H30" s="1"/>
      <c r="I30" s="1"/>
      <c r="J30" s="1"/>
      <c r="K30" s="1"/>
      <c r="L30" s="1"/>
      <c r="M30" s="1"/>
      <c r="N30" s="18"/>
    </row>
    <row r="31" spans="2:14" ht="15" customHeight="1" x14ac:dyDescent="0.25">
      <c r="B31" s="20"/>
      <c r="C31" s="5" t="s">
        <v>121</v>
      </c>
      <c r="D31" s="6" t="s">
        <v>13</v>
      </c>
      <c r="E31" s="11">
        <v>1.4707E-2</v>
      </c>
      <c r="F31" s="1"/>
      <c r="G31" s="1"/>
      <c r="H31" s="1"/>
      <c r="I31" s="1"/>
      <c r="J31" s="1"/>
      <c r="K31" s="1"/>
      <c r="L31" s="1"/>
      <c r="M31" s="1"/>
      <c r="N31" s="18"/>
    </row>
    <row r="32" spans="2:14" ht="15" customHeight="1" x14ac:dyDescent="0.25">
      <c r="B32" s="20"/>
      <c r="C32" s="5" t="s">
        <v>145</v>
      </c>
      <c r="D32" s="6" t="s">
        <v>13</v>
      </c>
      <c r="E32" s="11">
        <v>9.3539999999999995E-3</v>
      </c>
      <c r="F32" s="1"/>
      <c r="G32" s="1"/>
      <c r="H32" s="1"/>
      <c r="I32" s="1"/>
      <c r="J32" s="1"/>
      <c r="K32" s="1"/>
      <c r="L32" s="1"/>
      <c r="M32" s="1"/>
      <c r="N32" s="18"/>
    </row>
    <row r="33" spans="2:14" ht="15" customHeight="1" x14ac:dyDescent="0.25">
      <c r="B33" s="20"/>
      <c r="C33" s="5" t="s">
        <v>51</v>
      </c>
      <c r="D33" s="6" t="s">
        <v>13</v>
      </c>
      <c r="E33" s="11">
        <v>9.306E-3</v>
      </c>
      <c r="F33" s="1"/>
      <c r="G33" s="1"/>
      <c r="H33" s="1"/>
      <c r="I33" s="1"/>
      <c r="J33" s="1"/>
      <c r="K33" s="1"/>
      <c r="L33" s="1"/>
      <c r="M33" s="1"/>
      <c r="N33" s="18"/>
    </row>
    <row r="34" spans="2:14" ht="15" customHeight="1" x14ac:dyDescent="0.25">
      <c r="B34" s="20"/>
      <c r="C34" s="5" t="s">
        <v>146</v>
      </c>
      <c r="D34" s="6" t="s">
        <v>13</v>
      </c>
      <c r="E34" s="11">
        <v>7.4650000000000003E-3</v>
      </c>
      <c r="F34" s="1"/>
      <c r="G34" s="1"/>
      <c r="H34" s="1"/>
      <c r="I34" s="1"/>
      <c r="J34" s="1"/>
      <c r="K34" s="1"/>
      <c r="L34" s="1"/>
      <c r="M34" s="1"/>
      <c r="N34" s="18"/>
    </row>
    <row r="35" spans="2:14" ht="15" customHeight="1" x14ac:dyDescent="0.25">
      <c r="B35" s="20"/>
      <c r="C35" s="5" t="s">
        <v>61</v>
      </c>
      <c r="D35" s="6" t="s">
        <v>13</v>
      </c>
      <c r="E35" s="11">
        <v>5.5589999999999997E-3</v>
      </c>
      <c r="F35" s="1"/>
      <c r="G35" s="1"/>
      <c r="H35" s="1"/>
      <c r="I35" s="1"/>
      <c r="J35" s="1"/>
      <c r="K35" s="1"/>
      <c r="L35" s="1"/>
      <c r="M35" s="1"/>
      <c r="N35" s="18"/>
    </row>
    <row r="36" spans="2:14" ht="15" customHeight="1" x14ac:dyDescent="0.25">
      <c r="B36" s="20"/>
      <c r="C36" s="5" t="s">
        <v>147</v>
      </c>
      <c r="D36" s="6" t="s">
        <v>13</v>
      </c>
      <c r="E36" s="11">
        <v>1.8400000000000001E-3</v>
      </c>
      <c r="F36" s="1"/>
      <c r="G36" s="1"/>
      <c r="H36" s="1"/>
      <c r="I36" s="1"/>
      <c r="J36" s="1"/>
      <c r="K36" s="1"/>
      <c r="L36" s="1"/>
      <c r="M36" s="1"/>
      <c r="N36" s="18"/>
    </row>
    <row r="37" spans="2:14" ht="15.75" customHeight="1" x14ac:dyDescent="0.25">
      <c r="B37" s="20"/>
      <c r="C37" s="7" t="s">
        <v>148</v>
      </c>
      <c r="D37" s="8"/>
      <c r="E37" s="12">
        <v>0.44294299999999998</v>
      </c>
      <c r="F37" s="1"/>
      <c r="G37" s="1"/>
      <c r="H37" s="1"/>
      <c r="I37" s="1"/>
      <c r="J37" s="1"/>
      <c r="K37" s="1"/>
      <c r="L37" s="1"/>
      <c r="M37" s="1"/>
      <c r="N37" s="18"/>
    </row>
    <row r="38" spans="2:14" ht="15" customHeight="1" x14ac:dyDescent="0.25">
      <c r="B38" s="20"/>
      <c r="C38" s="5" t="s">
        <v>50</v>
      </c>
      <c r="D38" s="6" t="s">
        <v>17</v>
      </c>
      <c r="E38" s="11">
        <v>2.9959E-2</v>
      </c>
      <c r="F38" s="1"/>
      <c r="G38" s="1"/>
      <c r="H38" s="1"/>
      <c r="I38" s="1"/>
      <c r="J38" s="1"/>
      <c r="K38" s="1"/>
      <c r="L38" s="1"/>
      <c r="M38" s="1"/>
      <c r="N38" s="18"/>
    </row>
    <row r="39" spans="2:14" ht="15" customHeight="1" x14ac:dyDescent="0.25">
      <c r="B39" s="20"/>
      <c r="C39" s="5" t="s">
        <v>57</v>
      </c>
      <c r="D39" s="6" t="s">
        <v>17</v>
      </c>
      <c r="E39" s="11">
        <v>1.7967E-2</v>
      </c>
      <c r="F39" s="1"/>
      <c r="G39" s="1"/>
      <c r="H39" s="1"/>
      <c r="I39" s="1"/>
      <c r="J39" s="1"/>
      <c r="K39" s="1"/>
      <c r="L39" s="1"/>
      <c r="M39" s="1"/>
      <c r="N39" s="18"/>
    </row>
    <row r="40" spans="2:14" ht="15.75" customHeight="1" x14ac:dyDescent="0.25">
      <c r="B40" s="20"/>
      <c r="C40" s="7" t="s">
        <v>21</v>
      </c>
      <c r="D40" s="8"/>
      <c r="E40" s="12">
        <v>4.7926000000000003E-2</v>
      </c>
      <c r="F40" s="1"/>
      <c r="G40" s="1"/>
      <c r="H40" s="1"/>
      <c r="I40" s="1"/>
      <c r="J40" s="1"/>
      <c r="K40" s="1"/>
      <c r="L40" s="1"/>
      <c r="M40" s="1"/>
      <c r="N40" s="18"/>
    </row>
    <row r="41" spans="2:14" ht="15" customHeight="1" x14ac:dyDescent="0.25">
      <c r="B41" s="20"/>
      <c r="C41" s="5" t="s">
        <v>22</v>
      </c>
      <c r="D41" s="6"/>
      <c r="E41" s="11">
        <v>2.5630000000000002E-3</v>
      </c>
      <c r="F41" s="1"/>
      <c r="G41" s="1"/>
      <c r="H41" s="1"/>
      <c r="I41" s="1"/>
      <c r="J41" s="1"/>
      <c r="K41" s="1"/>
      <c r="L41" s="1"/>
      <c r="M41" s="1"/>
      <c r="N41" s="18"/>
    </row>
    <row r="42" spans="2:14" ht="15.75" customHeight="1" x14ac:dyDescent="0.25">
      <c r="B42" s="20"/>
      <c r="C42" s="7" t="s">
        <v>23</v>
      </c>
      <c r="D42" s="8"/>
      <c r="E42" s="12">
        <v>2.5630000000000002E-3</v>
      </c>
      <c r="F42" s="1"/>
      <c r="G42" s="1"/>
      <c r="H42" s="1"/>
      <c r="I42" s="1"/>
      <c r="J42" s="1"/>
      <c r="K42" s="1"/>
      <c r="L42" s="1"/>
      <c r="M42" s="1"/>
      <c r="N42" s="18"/>
    </row>
    <row r="43" spans="2:14" ht="15" customHeight="1" x14ac:dyDescent="0.25">
      <c r="B43" s="20"/>
      <c r="C43" s="5" t="s">
        <v>149</v>
      </c>
      <c r="D43" s="6" t="s">
        <v>192</v>
      </c>
      <c r="E43" s="11">
        <v>4.5164000000000003E-2</v>
      </c>
      <c r="F43" s="1"/>
      <c r="G43" s="1"/>
      <c r="H43" s="1"/>
      <c r="I43" s="1"/>
      <c r="J43" s="1"/>
      <c r="K43" s="1"/>
      <c r="L43" s="1"/>
      <c r="M43" s="1"/>
      <c r="N43" s="18"/>
    </row>
    <row r="44" spans="2:14" ht="15" customHeight="1" x14ac:dyDescent="0.25">
      <c r="B44" s="20"/>
      <c r="C44" s="5" t="s">
        <v>150</v>
      </c>
      <c r="D44" s="6" t="s">
        <v>192</v>
      </c>
      <c r="E44" s="11">
        <v>3.3633999999999997E-2</v>
      </c>
      <c r="F44" s="1"/>
      <c r="G44" s="1"/>
      <c r="H44" s="1"/>
      <c r="I44" s="1"/>
      <c r="J44" s="1"/>
      <c r="K44" s="1"/>
      <c r="L44" s="1"/>
      <c r="M44" s="1"/>
      <c r="N44" s="18"/>
    </row>
    <row r="45" spans="2:14" ht="15" customHeight="1" x14ac:dyDescent="0.25">
      <c r="B45" s="20"/>
      <c r="C45" s="5" t="s">
        <v>151</v>
      </c>
      <c r="D45" s="6" t="s">
        <v>192</v>
      </c>
      <c r="E45" s="11">
        <v>3.3179E-2</v>
      </c>
      <c r="F45" s="1"/>
      <c r="G45" s="1"/>
      <c r="H45" s="1"/>
      <c r="I45" s="1"/>
      <c r="J45" s="1"/>
      <c r="K45" s="1"/>
      <c r="L45" s="1"/>
      <c r="M45" s="1"/>
      <c r="N45" s="18"/>
    </row>
    <row r="46" spans="2:14" ht="15" customHeight="1" x14ac:dyDescent="0.25">
      <c r="B46" s="20"/>
      <c r="C46" s="5" t="s">
        <v>152</v>
      </c>
      <c r="D46" s="6" t="s">
        <v>192</v>
      </c>
      <c r="E46" s="11">
        <v>2.9749999999999999E-2</v>
      </c>
      <c r="F46" s="1"/>
      <c r="G46" s="1"/>
      <c r="H46" s="1"/>
      <c r="I46" s="1"/>
      <c r="J46" s="1"/>
      <c r="K46" s="1"/>
      <c r="L46" s="1"/>
      <c r="M46" s="1"/>
      <c r="N46" s="18"/>
    </row>
    <row r="47" spans="2:14" ht="15" customHeight="1" x14ac:dyDescent="0.25">
      <c r="B47" s="20"/>
      <c r="C47" s="5" t="s">
        <v>153</v>
      </c>
      <c r="D47" s="6" t="s">
        <v>192</v>
      </c>
      <c r="E47" s="11">
        <v>1.4485E-2</v>
      </c>
      <c r="F47" s="1"/>
      <c r="G47" s="1"/>
      <c r="H47" s="1"/>
      <c r="I47" s="1"/>
      <c r="J47" s="1"/>
      <c r="K47" s="1"/>
      <c r="L47" s="1"/>
      <c r="M47" s="1"/>
      <c r="N47" s="18"/>
    </row>
    <row r="48" spans="2:14" ht="15" customHeight="1" x14ac:dyDescent="0.25">
      <c r="B48" s="20"/>
      <c r="C48" s="5" t="s">
        <v>154</v>
      </c>
      <c r="D48" s="6" t="s">
        <v>192</v>
      </c>
      <c r="E48" s="11">
        <v>1.3469999999999999E-2</v>
      </c>
      <c r="F48" s="1"/>
      <c r="G48" s="1"/>
      <c r="H48" s="1"/>
      <c r="I48" s="1"/>
      <c r="J48" s="1"/>
      <c r="K48" s="1"/>
      <c r="L48" s="1"/>
      <c r="M48" s="1"/>
      <c r="N48" s="18"/>
    </row>
    <row r="49" spans="2:14" ht="15" customHeight="1" x14ac:dyDescent="0.25">
      <c r="B49" s="20"/>
      <c r="C49" s="5" t="s">
        <v>155</v>
      </c>
      <c r="D49" s="6" t="s">
        <v>192</v>
      </c>
      <c r="E49" s="11">
        <v>1.1087E-2</v>
      </c>
      <c r="F49" s="1"/>
      <c r="G49" s="1"/>
      <c r="H49" s="1"/>
      <c r="I49" s="1"/>
      <c r="J49" s="1"/>
      <c r="K49" s="1"/>
      <c r="L49" s="1"/>
      <c r="M49" s="1"/>
      <c r="N49" s="18"/>
    </row>
    <row r="50" spans="2:14" ht="15" customHeight="1" x14ac:dyDescent="0.25">
      <c r="B50" s="20"/>
      <c r="C50" s="5" t="s">
        <v>156</v>
      </c>
      <c r="D50" s="6" t="s">
        <v>192</v>
      </c>
      <c r="E50" s="11">
        <v>7.809E-3</v>
      </c>
      <c r="F50" s="1"/>
      <c r="G50" s="1"/>
      <c r="H50" s="1"/>
      <c r="I50" s="1"/>
      <c r="J50" s="1"/>
      <c r="K50" s="1"/>
      <c r="L50" s="1"/>
      <c r="M50" s="1"/>
      <c r="N50" s="18"/>
    </row>
    <row r="51" spans="2:14" ht="15" customHeight="1" x14ac:dyDescent="0.25">
      <c r="B51" s="20"/>
      <c r="C51" s="5" t="s">
        <v>157</v>
      </c>
      <c r="D51" s="6" t="s">
        <v>192</v>
      </c>
      <c r="E51" s="11">
        <v>7.4469999999999996E-3</v>
      </c>
      <c r="F51" s="1"/>
      <c r="G51" s="1"/>
      <c r="H51" s="1"/>
      <c r="I51" s="1"/>
      <c r="J51" s="1"/>
      <c r="K51" s="1"/>
      <c r="L51" s="1"/>
      <c r="M51" s="1"/>
      <c r="N51" s="18"/>
    </row>
    <row r="52" spans="2:14" ht="15" customHeight="1" x14ac:dyDescent="0.25">
      <c r="B52" s="20"/>
      <c r="C52" s="5" t="s">
        <v>158</v>
      </c>
      <c r="D52" s="6" t="s">
        <v>192</v>
      </c>
      <c r="E52" s="11">
        <v>3.3679999999999999E-3</v>
      </c>
      <c r="F52" s="1"/>
      <c r="G52" s="1"/>
      <c r="H52" s="1"/>
      <c r="I52" s="1"/>
      <c r="J52" s="1"/>
      <c r="K52" s="1"/>
      <c r="L52" s="1"/>
      <c r="M52" s="1"/>
      <c r="N52" s="18"/>
    </row>
    <row r="53" spans="2:14" ht="15" customHeight="1" x14ac:dyDescent="0.25">
      <c r="B53" s="20"/>
      <c r="C53" s="5" t="s">
        <v>159</v>
      </c>
      <c r="D53" s="6" t="s">
        <v>192</v>
      </c>
      <c r="E53" s="11">
        <v>1.864E-3</v>
      </c>
      <c r="F53" s="1"/>
      <c r="G53" s="1"/>
      <c r="H53" s="1"/>
      <c r="I53" s="1"/>
      <c r="J53" s="1"/>
      <c r="K53" s="1"/>
      <c r="L53" s="1"/>
      <c r="M53" s="1"/>
      <c r="N53" s="18"/>
    </row>
    <row r="54" spans="2:14" ht="15" customHeight="1" x14ac:dyDescent="0.25">
      <c r="B54" s="20"/>
      <c r="C54" s="5" t="s">
        <v>160</v>
      </c>
      <c r="D54" s="6" t="s">
        <v>192</v>
      </c>
      <c r="E54" s="11">
        <v>1.1180000000000001E-3</v>
      </c>
      <c r="F54" s="1"/>
      <c r="G54" s="1"/>
      <c r="H54" s="1"/>
      <c r="I54" s="1"/>
      <c r="J54" s="1"/>
      <c r="K54" s="1"/>
      <c r="L54" s="1"/>
      <c r="M54" s="1"/>
      <c r="N54" s="18"/>
    </row>
    <row r="55" spans="2:14" ht="15.75" customHeight="1" x14ac:dyDescent="0.25">
      <c r="B55" s="20"/>
      <c r="C55" s="7" t="s">
        <v>161</v>
      </c>
      <c r="D55" s="8"/>
      <c r="E55" s="12">
        <v>0.202375</v>
      </c>
      <c r="F55" s="1"/>
      <c r="G55" s="1"/>
      <c r="H55" s="1"/>
      <c r="I55" s="1"/>
      <c r="J55" s="1"/>
      <c r="K55" s="1"/>
      <c r="L55" s="1"/>
      <c r="M55" s="1"/>
      <c r="N55" s="18"/>
    </row>
    <row r="56" spans="2:14" ht="15" customHeight="1" x14ac:dyDescent="0.25">
      <c r="B56" s="20"/>
      <c r="C56" s="5" t="s">
        <v>30</v>
      </c>
      <c r="D56" s="6"/>
      <c r="E56" s="11">
        <v>3.6000000000000001E-5</v>
      </c>
      <c r="F56" s="1"/>
      <c r="G56" s="1"/>
      <c r="H56" s="1"/>
      <c r="I56" s="1"/>
      <c r="J56" s="1"/>
      <c r="K56" s="1"/>
      <c r="L56" s="1"/>
      <c r="M56" s="1"/>
      <c r="N56" s="18"/>
    </row>
    <row r="57" spans="2:14" ht="15.75" customHeight="1" x14ac:dyDescent="0.25">
      <c r="B57" s="20"/>
      <c r="C57" s="7" t="s">
        <v>31</v>
      </c>
      <c r="D57" s="8"/>
      <c r="E57" s="12">
        <v>3.6000000000000001E-5</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75" customHeight="1" x14ac:dyDescent="0.25">
      <c r="B59" s="20"/>
      <c r="C59" s="7" t="s">
        <v>32</v>
      </c>
      <c r="D59" s="8"/>
      <c r="E59" s="12">
        <v>-1.0245000000000001E-2</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9" t="s">
        <v>33</v>
      </c>
      <c r="D61" s="10"/>
      <c r="E61" s="13">
        <v>1</v>
      </c>
      <c r="F61" s="1"/>
      <c r="G61" s="1"/>
      <c r="H61" s="1"/>
      <c r="I61" s="1"/>
      <c r="J61" s="1"/>
      <c r="K61" s="1"/>
      <c r="L61" s="1"/>
      <c r="M61" s="1"/>
      <c r="N61" s="18"/>
    </row>
    <row r="62" spans="2:14" ht="15" customHeight="1" x14ac:dyDescent="0.25">
      <c r="B62" s="20"/>
      <c r="C62" s="1"/>
      <c r="D62" s="1"/>
      <c r="E62" s="1"/>
      <c r="F62" s="1"/>
      <c r="G62" s="1"/>
      <c r="H62" s="1"/>
      <c r="I62" s="1"/>
      <c r="J62" s="1"/>
      <c r="K62" s="1"/>
      <c r="L62" s="1"/>
      <c r="M62" s="1"/>
      <c r="N62" s="18"/>
    </row>
    <row r="63" spans="2:14" ht="15" customHeight="1" thickBot="1" x14ac:dyDescent="0.3">
      <c r="B63" s="21"/>
      <c r="C63" s="22"/>
      <c r="D63" s="22"/>
      <c r="E63" s="22"/>
      <c r="F63" s="22"/>
      <c r="G63" s="22"/>
      <c r="H63" s="22"/>
      <c r="I63" s="22"/>
      <c r="J63" s="22"/>
      <c r="K63" s="22"/>
      <c r="L63" s="22"/>
      <c r="M63" s="22"/>
      <c r="N63" s="23"/>
    </row>
    <row r="64" spans="2:14" ht="15" customHeight="1" thickBot="1" x14ac:dyDescent="0.3"/>
    <row r="65" spans="2:14" ht="15" customHeight="1" x14ac:dyDescent="0.25">
      <c r="B65" s="69" t="s">
        <v>325</v>
      </c>
      <c r="C65" s="70"/>
      <c r="D65" s="70"/>
      <c r="E65" s="70"/>
      <c r="F65" s="70"/>
      <c r="G65" s="70"/>
      <c r="H65" s="70"/>
      <c r="I65" s="70"/>
      <c r="J65" s="70"/>
      <c r="K65" s="70"/>
      <c r="L65" s="70"/>
      <c r="M65" s="70"/>
      <c r="N65" s="71"/>
    </row>
    <row r="66" spans="2:14" ht="15" customHeight="1" x14ac:dyDescent="0.25">
      <c r="B66" s="72"/>
      <c r="C66" s="73"/>
      <c r="D66" s="73"/>
      <c r="E66" s="73"/>
      <c r="F66" s="73"/>
      <c r="G66" s="73"/>
      <c r="H66" s="73"/>
      <c r="I66" s="73"/>
      <c r="J66" s="73"/>
      <c r="K66" s="73"/>
      <c r="L66" s="73"/>
      <c r="M66" s="73"/>
      <c r="N66" s="74"/>
    </row>
    <row r="67" spans="2:14" ht="15" customHeight="1" x14ac:dyDescent="0.25">
      <c r="B67" s="72"/>
      <c r="C67" s="73"/>
      <c r="D67" s="73"/>
      <c r="E67" s="73"/>
      <c r="F67" s="73"/>
      <c r="G67" s="73"/>
      <c r="H67" s="73"/>
      <c r="I67" s="73"/>
      <c r="J67" s="73"/>
      <c r="K67" s="73"/>
      <c r="L67" s="73"/>
      <c r="M67" s="73"/>
      <c r="N67" s="74"/>
    </row>
    <row r="68" spans="2:14" ht="15" customHeight="1" thickBot="1" x14ac:dyDescent="0.3">
      <c r="B68" s="75"/>
      <c r="C68" s="76"/>
      <c r="D68" s="76"/>
      <c r="E68" s="76"/>
      <c r="F68" s="76"/>
      <c r="G68" s="76"/>
      <c r="H68" s="76"/>
      <c r="I68" s="76"/>
      <c r="J68" s="76"/>
      <c r="K68" s="76"/>
      <c r="L68" s="76"/>
      <c r="M68" s="76"/>
      <c r="N68" s="77"/>
    </row>
    <row r="69" spans="2:14" ht="15" customHeight="1" thickBot="1" x14ac:dyDescent="0.3"/>
    <row r="70" spans="2:14" ht="127.5" customHeight="1" thickBot="1" x14ac:dyDescent="0.3">
      <c r="B70" s="78" t="s">
        <v>323</v>
      </c>
      <c r="C70" s="79"/>
      <c r="D70" s="79"/>
      <c r="E70" s="79"/>
      <c r="F70" s="79"/>
      <c r="G70" s="79"/>
      <c r="H70" s="79"/>
      <c r="I70" s="79"/>
      <c r="J70" s="79"/>
      <c r="K70" s="79"/>
      <c r="L70" s="79"/>
      <c r="M70" s="79"/>
      <c r="N70" s="80"/>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sheetData>
  <mergeCells count="7">
    <mergeCell ref="B65:N68"/>
    <mergeCell ref="B70:N70"/>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FF8-3246-426C-8C6F-E0AB91F93AA1}">
  <dimension ref="B1:N9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167</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168</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14</v>
      </c>
      <c r="D8" s="6" t="s">
        <v>13</v>
      </c>
      <c r="E8" s="11">
        <v>0.10442899999999999</v>
      </c>
      <c r="F8" s="1"/>
      <c r="G8" s="24" t="s">
        <v>4</v>
      </c>
      <c r="H8" s="29">
        <v>0.97393200000000002</v>
      </c>
      <c r="I8" s="1"/>
      <c r="J8" s="24" t="s">
        <v>34</v>
      </c>
      <c r="K8" s="24" t="s">
        <v>3</v>
      </c>
      <c r="L8" s="1"/>
      <c r="M8" s="1"/>
      <c r="N8" s="18"/>
    </row>
    <row r="9" spans="2:14" ht="15" customHeight="1" x14ac:dyDescent="0.25">
      <c r="B9" s="20"/>
      <c r="C9" s="5" t="s">
        <v>41</v>
      </c>
      <c r="D9" s="6" t="s">
        <v>13</v>
      </c>
      <c r="E9" s="11">
        <v>3.7595999999999997E-2</v>
      </c>
      <c r="F9" s="1"/>
      <c r="G9" s="24" t="s">
        <v>90</v>
      </c>
      <c r="H9" s="29">
        <v>2.6068000000000001E-2</v>
      </c>
      <c r="I9" s="1"/>
      <c r="J9" s="24" t="s">
        <v>32</v>
      </c>
      <c r="K9" s="29">
        <v>1.4818E-2</v>
      </c>
      <c r="L9" s="1"/>
      <c r="M9" s="1"/>
      <c r="N9" s="18"/>
    </row>
    <row r="10" spans="2:14" ht="15" customHeight="1" x14ac:dyDescent="0.25">
      <c r="B10" s="20"/>
      <c r="C10" s="5" t="s">
        <v>12</v>
      </c>
      <c r="D10" s="6" t="s">
        <v>13</v>
      </c>
      <c r="E10" s="11">
        <v>3.0827E-2</v>
      </c>
      <c r="F10" s="1"/>
      <c r="G10" s="1"/>
      <c r="H10" s="1"/>
      <c r="I10" s="1"/>
      <c r="J10" s="24" t="s">
        <v>35</v>
      </c>
      <c r="K10" s="29">
        <v>3.8321000000000001E-2</v>
      </c>
      <c r="L10" s="1"/>
      <c r="M10" s="1"/>
      <c r="N10" s="18"/>
    </row>
    <row r="11" spans="2:14" ht="15" customHeight="1" x14ac:dyDescent="0.25">
      <c r="B11" s="20"/>
      <c r="C11" s="5" t="s">
        <v>42</v>
      </c>
      <c r="D11" s="6" t="s">
        <v>13</v>
      </c>
      <c r="E11" s="11">
        <v>2.2197000000000001E-2</v>
      </c>
      <c r="F11" s="1"/>
      <c r="G11" s="1"/>
      <c r="H11" s="1"/>
      <c r="I11" s="1"/>
      <c r="J11" s="24" t="s">
        <v>36</v>
      </c>
      <c r="K11" s="29">
        <v>0.195049</v>
      </c>
      <c r="L11" s="1"/>
      <c r="M11" s="1"/>
      <c r="N11" s="18"/>
    </row>
    <row r="12" spans="2:14" ht="15.75" customHeight="1" x14ac:dyDescent="0.25">
      <c r="B12" s="20"/>
      <c r="C12" s="7" t="s">
        <v>15</v>
      </c>
      <c r="D12" s="8"/>
      <c r="E12" s="12">
        <v>0.195049</v>
      </c>
      <c r="F12" s="1"/>
      <c r="G12" s="1"/>
      <c r="H12" s="1"/>
      <c r="I12" s="1"/>
      <c r="J12" s="24" t="s">
        <v>37</v>
      </c>
      <c r="K12" s="29">
        <v>0.40928900000000001</v>
      </c>
      <c r="L12" s="1"/>
      <c r="M12" s="1"/>
      <c r="N12" s="18"/>
    </row>
    <row r="13" spans="2:14" ht="15" customHeight="1" x14ac:dyDescent="0.25">
      <c r="B13" s="20"/>
      <c r="C13" s="5" t="s">
        <v>169</v>
      </c>
      <c r="D13" s="6" t="s">
        <v>13</v>
      </c>
      <c r="E13" s="11">
        <v>4.45E-3</v>
      </c>
      <c r="F13" s="1"/>
      <c r="G13" s="1"/>
      <c r="H13" s="1"/>
      <c r="I13" s="1"/>
      <c r="J13" s="24" t="s">
        <v>162</v>
      </c>
      <c r="K13" s="29">
        <v>4.45E-3</v>
      </c>
      <c r="L13" s="1"/>
      <c r="M13" s="1"/>
      <c r="N13" s="18"/>
    </row>
    <row r="14" spans="2:14" ht="15.75" customHeight="1" x14ac:dyDescent="0.25">
      <c r="B14" s="20"/>
      <c r="C14" s="7" t="s">
        <v>148</v>
      </c>
      <c r="D14" s="8"/>
      <c r="E14" s="12">
        <v>4.45E-3</v>
      </c>
      <c r="F14" s="1"/>
      <c r="G14" s="1"/>
      <c r="H14" s="1"/>
      <c r="I14" s="1"/>
      <c r="J14" s="24" t="s">
        <v>22</v>
      </c>
      <c r="K14" s="29">
        <v>2.8470000000000001E-3</v>
      </c>
      <c r="L14" s="1"/>
      <c r="M14" s="1"/>
      <c r="N14" s="18"/>
    </row>
    <row r="15" spans="2:14" ht="15" customHeight="1" x14ac:dyDescent="0.25">
      <c r="B15" s="20"/>
      <c r="C15" s="5" t="s">
        <v>18</v>
      </c>
      <c r="D15" s="6" t="s">
        <v>17</v>
      </c>
      <c r="E15" s="11">
        <v>0.11003400000000001</v>
      </c>
      <c r="F15" s="1"/>
      <c r="G15" s="1"/>
      <c r="H15" s="1"/>
      <c r="I15" s="1"/>
      <c r="J15" s="24" t="s">
        <v>38</v>
      </c>
      <c r="K15" s="29">
        <v>1.2849999999999999E-3</v>
      </c>
      <c r="L15" s="1"/>
      <c r="M15" s="1"/>
      <c r="N15" s="18"/>
    </row>
    <row r="16" spans="2:14" ht="15" customHeight="1" x14ac:dyDescent="0.25">
      <c r="B16" s="20"/>
      <c r="C16" s="5" t="s">
        <v>19</v>
      </c>
      <c r="D16" s="6" t="s">
        <v>17</v>
      </c>
      <c r="E16" s="11">
        <v>9.7105999999999998E-2</v>
      </c>
      <c r="F16" s="1"/>
      <c r="G16" s="1"/>
      <c r="H16" s="1"/>
      <c r="I16" s="1"/>
      <c r="J16" s="24" t="s">
        <v>47</v>
      </c>
      <c r="K16" s="29">
        <v>0.30687900000000001</v>
      </c>
      <c r="L16" s="1"/>
      <c r="M16" s="1"/>
      <c r="N16" s="18"/>
    </row>
    <row r="17" spans="2:14" ht="15" customHeight="1" x14ac:dyDescent="0.25">
      <c r="B17" s="20"/>
      <c r="C17" s="5" t="s">
        <v>12</v>
      </c>
      <c r="D17" s="6" t="s">
        <v>17</v>
      </c>
      <c r="E17" s="11">
        <v>7.5728000000000004E-2</v>
      </c>
      <c r="F17" s="1"/>
      <c r="G17" s="1"/>
      <c r="H17" s="1"/>
      <c r="I17" s="1"/>
      <c r="J17" s="24" t="s">
        <v>72</v>
      </c>
      <c r="K17" s="29">
        <v>2.7061999999999999E-2</v>
      </c>
      <c r="L17" s="1"/>
      <c r="M17" s="1"/>
      <c r="N17" s="18"/>
    </row>
    <row r="18" spans="2:14" ht="15" customHeight="1" x14ac:dyDescent="0.25">
      <c r="B18" s="20"/>
      <c r="C18" s="5" t="s">
        <v>44</v>
      </c>
      <c r="D18" s="6" t="s">
        <v>17</v>
      </c>
      <c r="E18" s="11">
        <v>5.7019E-2</v>
      </c>
      <c r="F18" s="1"/>
      <c r="G18" s="1"/>
      <c r="H18" s="1"/>
      <c r="I18" s="1"/>
      <c r="J18" s="1"/>
      <c r="K18" s="1"/>
      <c r="L18" s="1"/>
      <c r="M18" s="1"/>
      <c r="N18" s="18"/>
    </row>
    <row r="19" spans="2:14" ht="15" customHeight="1" x14ac:dyDescent="0.25">
      <c r="B19" s="20"/>
      <c r="C19" s="5" t="s">
        <v>50</v>
      </c>
      <c r="D19" s="6" t="s">
        <v>17</v>
      </c>
      <c r="E19" s="11">
        <v>4.1473000000000003E-2</v>
      </c>
      <c r="F19" s="1"/>
      <c r="G19" s="1"/>
      <c r="H19" s="1"/>
      <c r="I19" s="1"/>
      <c r="J19" s="1"/>
      <c r="K19" s="1"/>
      <c r="L19" s="1"/>
      <c r="M19" s="1"/>
      <c r="N19" s="18"/>
    </row>
    <row r="20" spans="2:14" ht="15" customHeight="1" x14ac:dyDescent="0.25">
      <c r="B20" s="20"/>
      <c r="C20" s="5" t="s">
        <v>64</v>
      </c>
      <c r="D20" s="6" t="s">
        <v>17</v>
      </c>
      <c r="E20" s="11">
        <v>1.3479E-2</v>
      </c>
      <c r="F20" s="1"/>
      <c r="G20" s="1"/>
      <c r="H20" s="1"/>
      <c r="I20" s="1"/>
      <c r="J20" s="1"/>
      <c r="K20" s="1"/>
      <c r="L20" s="1"/>
      <c r="M20" s="1"/>
      <c r="N20" s="18"/>
    </row>
    <row r="21" spans="2:14" ht="15" customHeight="1" x14ac:dyDescent="0.25">
      <c r="B21" s="20"/>
      <c r="C21" s="5" t="s">
        <v>52</v>
      </c>
      <c r="D21" s="6" t="s">
        <v>17</v>
      </c>
      <c r="E21" s="11">
        <v>9.9430000000000004E-3</v>
      </c>
      <c r="F21" s="1"/>
      <c r="G21" s="1"/>
      <c r="H21" s="1"/>
      <c r="I21" s="1"/>
      <c r="J21" s="1"/>
      <c r="K21" s="1"/>
      <c r="L21" s="1"/>
      <c r="M21" s="1"/>
      <c r="N21" s="18"/>
    </row>
    <row r="22" spans="2:14" ht="15" customHeight="1" x14ac:dyDescent="0.25">
      <c r="B22" s="20"/>
      <c r="C22" s="5" t="s">
        <v>121</v>
      </c>
      <c r="D22" s="6" t="s">
        <v>79</v>
      </c>
      <c r="E22" s="11">
        <v>4.5069999999999997E-3</v>
      </c>
      <c r="F22" s="1"/>
      <c r="G22" s="1"/>
      <c r="H22" s="1"/>
      <c r="I22" s="1"/>
      <c r="J22" s="1"/>
      <c r="K22" s="1"/>
      <c r="L22" s="1"/>
      <c r="M22" s="1"/>
      <c r="N22" s="18"/>
    </row>
    <row r="23" spans="2:14" ht="15.75" customHeight="1" x14ac:dyDescent="0.25">
      <c r="B23" s="20"/>
      <c r="C23" s="7" t="s">
        <v>21</v>
      </c>
      <c r="D23" s="8"/>
      <c r="E23" s="12">
        <v>0.40928900000000001</v>
      </c>
      <c r="F23" s="1"/>
      <c r="G23" s="1"/>
      <c r="H23" s="1"/>
      <c r="I23" s="1"/>
      <c r="J23" s="1"/>
      <c r="K23" s="1"/>
      <c r="L23" s="1"/>
      <c r="M23" s="1"/>
      <c r="N23" s="18"/>
    </row>
    <row r="24" spans="2:14" ht="15" customHeight="1" x14ac:dyDescent="0.25">
      <c r="B24" s="20"/>
      <c r="C24" s="5" t="s">
        <v>22</v>
      </c>
      <c r="D24" s="6"/>
      <c r="E24" s="11">
        <v>2.8470000000000001E-3</v>
      </c>
      <c r="F24" s="1"/>
      <c r="G24" s="86" t="s">
        <v>113</v>
      </c>
      <c r="H24" s="87"/>
      <c r="I24" s="87"/>
      <c r="J24" s="87"/>
      <c r="K24" s="87"/>
      <c r="L24" s="37">
        <v>359.60011914501621</v>
      </c>
      <c r="M24" s="27"/>
      <c r="N24" s="28"/>
    </row>
    <row r="25" spans="2:14" ht="15.75" customHeight="1" x14ac:dyDescent="0.25">
      <c r="B25" s="20"/>
      <c r="C25" s="7" t="s">
        <v>23</v>
      </c>
      <c r="D25" s="8"/>
      <c r="E25" s="12">
        <v>2.8470000000000001E-3</v>
      </c>
      <c r="F25" s="1"/>
      <c r="G25" s="1"/>
      <c r="H25" s="1"/>
      <c r="I25" s="1"/>
      <c r="J25" s="1"/>
      <c r="K25" s="1"/>
      <c r="L25" s="1"/>
      <c r="M25" s="1"/>
      <c r="N25" s="18"/>
    </row>
    <row r="26" spans="2:14" ht="15" customHeight="1" x14ac:dyDescent="0.25">
      <c r="B26" s="20"/>
      <c r="C26" s="5" t="s">
        <v>100</v>
      </c>
      <c r="D26" s="6" t="s">
        <v>192</v>
      </c>
      <c r="E26" s="11">
        <v>1.2849999999999999E-3</v>
      </c>
      <c r="F26" s="1"/>
      <c r="G26" s="86" t="s">
        <v>7</v>
      </c>
      <c r="H26" s="87"/>
      <c r="I26" s="87"/>
      <c r="J26" s="87"/>
      <c r="K26" s="87"/>
      <c r="L26" s="87"/>
      <c r="M26" s="87"/>
      <c r="N26" s="88"/>
    </row>
    <row r="27" spans="2:14" ht="15.75" customHeight="1" x14ac:dyDescent="0.25">
      <c r="B27" s="20"/>
      <c r="C27" s="7" t="s">
        <v>29</v>
      </c>
      <c r="D27" s="8"/>
      <c r="E27" s="12">
        <v>1.2849999999999999E-3</v>
      </c>
      <c r="F27" s="1"/>
      <c r="G27" s="1"/>
      <c r="H27" s="1"/>
      <c r="I27" s="1"/>
      <c r="J27" s="1"/>
      <c r="K27" s="1"/>
      <c r="L27" s="1"/>
      <c r="M27" s="1"/>
      <c r="N27" s="18"/>
    </row>
    <row r="28" spans="2:14" ht="15" customHeight="1" x14ac:dyDescent="0.25">
      <c r="B28" s="20"/>
      <c r="C28" s="5" t="s">
        <v>217</v>
      </c>
      <c r="D28" s="6" t="s">
        <v>192</v>
      </c>
      <c r="E28" s="11">
        <v>3.7561999999999998E-2</v>
      </c>
      <c r="F28" s="1"/>
      <c r="G28" s="1"/>
      <c r="H28" s="1"/>
      <c r="I28" s="1"/>
      <c r="J28" s="1"/>
      <c r="K28" s="1"/>
      <c r="L28" s="1"/>
      <c r="M28" s="1"/>
      <c r="N28" s="18"/>
    </row>
    <row r="29" spans="2:14" ht="15.75" customHeight="1" x14ac:dyDescent="0.25">
      <c r="B29" s="20"/>
      <c r="C29" s="5" t="s">
        <v>222</v>
      </c>
      <c r="D29" s="6" t="s">
        <v>192</v>
      </c>
      <c r="E29" s="11">
        <v>2.0288E-2</v>
      </c>
      <c r="F29" s="1"/>
      <c r="G29" s="1"/>
      <c r="H29" s="1"/>
      <c r="I29" s="1"/>
      <c r="J29" s="1"/>
      <c r="K29" s="1"/>
      <c r="L29" s="1"/>
      <c r="M29" s="1"/>
      <c r="N29" s="18"/>
    </row>
    <row r="30" spans="2:14" ht="15" customHeight="1" x14ac:dyDescent="0.25">
      <c r="B30" s="20"/>
      <c r="C30" s="5" t="s">
        <v>227</v>
      </c>
      <c r="D30" s="6" t="s">
        <v>192</v>
      </c>
      <c r="E30" s="11">
        <v>1.8966E-2</v>
      </c>
      <c r="F30" s="1"/>
      <c r="G30" s="1"/>
      <c r="H30" s="1"/>
      <c r="I30" s="1"/>
      <c r="J30" s="1"/>
      <c r="K30" s="1"/>
      <c r="L30" s="1"/>
      <c r="M30" s="1"/>
      <c r="N30" s="18"/>
    </row>
    <row r="31" spans="2:14" ht="15.75" customHeight="1" x14ac:dyDescent="0.25">
      <c r="B31" s="20"/>
      <c r="C31" s="5" t="s">
        <v>197</v>
      </c>
      <c r="D31" s="6" t="s">
        <v>192</v>
      </c>
      <c r="E31" s="11">
        <v>1.8377000000000001E-2</v>
      </c>
      <c r="F31" s="1"/>
      <c r="G31" s="1"/>
      <c r="H31" s="1"/>
      <c r="I31" s="1"/>
      <c r="J31" s="1"/>
      <c r="K31" s="1"/>
      <c r="L31" s="1"/>
      <c r="M31" s="1"/>
      <c r="N31" s="18"/>
    </row>
    <row r="32" spans="2:14" ht="15" customHeight="1" x14ac:dyDescent="0.25">
      <c r="B32" s="20"/>
      <c r="C32" s="5" t="s">
        <v>205</v>
      </c>
      <c r="D32" s="6" t="s">
        <v>192</v>
      </c>
      <c r="E32" s="11">
        <v>1.6707E-2</v>
      </c>
      <c r="F32" s="1"/>
      <c r="G32" s="1"/>
      <c r="H32" s="1"/>
      <c r="I32" s="1"/>
      <c r="J32" s="1"/>
      <c r="K32" s="1"/>
      <c r="L32" s="1"/>
      <c r="M32" s="1"/>
      <c r="N32" s="18"/>
    </row>
    <row r="33" spans="2:14" ht="15" customHeight="1" x14ac:dyDescent="0.25">
      <c r="B33" s="20"/>
      <c r="C33" s="5" t="s">
        <v>215</v>
      </c>
      <c r="D33" s="6" t="s">
        <v>192</v>
      </c>
      <c r="E33" s="11">
        <v>1.2722000000000001E-2</v>
      </c>
      <c r="F33" s="1"/>
      <c r="G33" s="1"/>
      <c r="H33" s="1"/>
      <c r="I33" s="1"/>
      <c r="J33" s="1"/>
      <c r="K33" s="1"/>
      <c r="L33" s="1"/>
      <c r="M33" s="1"/>
      <c r="N33" s="18"/>
    </row>
    <row r="34" spans="2:14" ht="15" customHeight="1" x14ac:dyDescent="0.25">
      <c r="B34" s="20"/>
      <c r="C34" s="5" t="s">
        <v>221</v>
      </c>
      <c r="D34" s="6" t="s">
        <v>192</v>
      </c>
      <c r="E34" s="11">
        <v>1.1631000000000001E-2</v>
      </c>
      <c r="F34" s="1"/>
      <c r="G34" s="1"/>
      <c r="H34" s="1"/>
      <c r="I34" s="1"/>
      <c r="J34" s="1"/>
      <c r="K34" s="1"/>
      <c r="L34" s="1"/>
      <c r="M34" s="1"/>
      <c r="N34" s="18"/>
    </row>
    <row r="35" spans="2:14" ht="15.75" customHeight="1" x14ac:dyDescent="0.25">
      <c r="B35" s="20"/>
      <c r="C35" s="5" t="s">
        <v>230</v>
      </c>
      <c r="D35" s="6" t="s">
        <v>192</v>
      </c>
      <c r="E35" s="11">
        <v>1.1516999999999999E-2</v>
      </c>
      <c r="F35" s="1"/>
      <c r="G35" s="1"/>
      <c r="H35" s="1"/>
      <c r="I35" s="1"/>
      <c r="J35" s="1"/>
      <c r="K35" s="1"/>
      <c r="L35" s="1"/>
      <c r="M35" s="1"/>
      <c r="N35" s="18"/>
    </row>
    <row r="36" spans="2:14" ht="15" customHeight="1" x14ac:dyDescent="0.25">
      <c r="B36" s="20"/>
      <c r="C36" s="5" t="s">
        <v>204</v>
      </c>
      <c r="D36" s="6" t="s">
        <v>192</v>
      </c>
      <c r="E36" s="11">
        <v>1.1098E-2</v>
      </c>
      <c r="F36" s="1"/>
      <c r="G36" s="1"/>
      <c r="H36" s="1"/>
      <c r="I36" s="1"/>
      <c r="J36" s="1"/>
      <c r="K36" s="1"/>
      <c r="L36" s="1"/>
      <c r="M36" s="1"/>
      <c r="N36" s="18"/>
    </row>
    <row r="37" spans="2:14" ht="15.75" customHeight="1" x14ac:dyDescent="0.25">
      <c r="B37" s="20"/>
      <c r="C37" s="5" t="s">
        <v>208</v>
      </c>
      <c r="D37" s="6" t="s">
        <v>192</v>
      </c>
      <c r="E37" s="11">
        <v>1.0085E-2</v>
      </c>
      <c r="F37" s="1"/>
      <c r="G37" s="1"/>
      <c r="H37" s="1"/>
      <c r="I37" s="1"/>
      <c r="J37" s="1"/>
      <c r="K37" s="1"/>
      <c r="L37" s="1"/>
      <c r="M37" s="1"/>
      <c r="N37" s="18"/>
    </row>
    <row r="38" spans="2:14" ht="15" customHeight="1" x14ac:dyDescent="0.25">
      <c r="B38" s="20"/>
      <c r="C38" s="5" t="s">
        <v>202</v>
      </c>
      <c r="D38" s="6" t="s">
        <v>192</v>
      </c>
      <c r="E38" s="11">
        <v>9.3699999999999999E-3</v>
      </c>
      <c r="F38" s="1"/>
      <c r="G38" s="1"/>
      <c r="H38" s="1"/>
      <c r="I38" s="1"/>
      <c r="J38" s="1"/>
      <c r="K38" s="1"/>
      <c r="L38" s="1"/>
      <c r="M38" s="1"/>
      <c r="N38" s="18"/>
    </row>
    <row r="39" spans="2:14" ht="15" customHeight="1" x14ac:dyDescent="0.25">
      <c r="B39" s="20"/>
      <c r="C39" s="5" t="s">
        <v>199</v>
      </c>
      <c r="D39" s="6" t="s">
        <v>192</v>
      </c>
      <c r="E39" s="11">
        <v>9.2040000000000004E-3</v>
      </c>
      <c r="F39" s="1"/>
      <c r="G39" s="1"/>
      <c r="H39" s="1"/>
      <c r="I39" s="1"/>
      <c r="J39" s="1"/>
      <c r="K39" s="1"/>
      <c r="L39" s="1"/>
      <c r="M39" s="1"/>
      <c r="N39" s="18"/>
    </row>
    <row r="40" spans="2:14" ht="15" customHeight="1" x14ac:dyDescent="0.25">
      <c r="B40" s="20"/>
      <c r="C40" s="5" t="s">
        <v>231</v>
      </c>
      <c r="D40" s="6" t="s">
        <v>192</v>
      </c>
      <c r="E40" s="11">
        <v>9.1769999999999994E-3</v>
      </c>
      <c r="F40" s="1"/>
      <c r="G40" s="1"/>
      <c r="H40" s="1"/>
      <c r="I40" s="1"/>
      <c r="J40" s="1"/>
      <c r="K40" s="1"/>
      <c r="L40" s="1"/>
      <c r="M40" s="1"/>
      <c r="N40" s="18"/>
    </row>
    <row r="41" spans="2:14" ht="15" customHeight="1" x14ac:dyDescent="0.25">
      <c r="B41" s="20"/>
      <c r="C41" s="5" t="s">
        <v>209</v>
      </c>
      <c r="D41" s="6" t="s">
        <v>192</v>
      </c>
      <c r="E41" s="11">
        <v>9.1699999999999993E-3</v>
      </c>
      <c r="F41" s="1"/>
      <c r="G41" s="1"/>
      <c r="H41" s="1"/>
      <c r="I41" s="1"/>
      <c r="J41" s="1"/>
      <c r="K41" s="1"/>
      <c r="L41" s="1"/>
      <c r="M41" s="1"/>
      <c r="N41" s="18"/>
    </row>
    <row r="42" spans="2:14" ht="15" customHeight="1" x14ac:dyDescent="0.25">
      <c r="B42" s="20"/>
      <c r="C42" s="5" t="s">
        <v>228</v>
      </c>
      <c r="D42" s="6" t="s">
        <v>192</v>
      </c>
      <c r="E42" s="11">
        <v>8.4910000000000003E-3</v>
      </c>
      <c r="F42" s="1"/>
      <c r="G42" s="1"/>
      <c r="H42" s="1"/>
      <c r="I42" s="1"/>
      <c r="J42" s="1"/>
      <c r="K42" s="1"/>
      <c r="L42" s="1"/>
      <c r="M42" s="1"/>
      <c r="N42" s="18"/>
    </row>
    <row r="43" spans="2:14" ht="15" customHeight="1" x14ac:dyDescent="0.25">
      <c r="B43" s="20"/>
      <c r="C43" s="5" t="s">
        <v>196</v>
      </c>
      <c r="D43" s="6" t="s">
        <v>192</v>
      </c>
      <c r="E43" s="11">
        <v>7.3509999999999999E-3</v>
      </c>
      <c r="F43" s="1"/>
      <c r="G43" s="1"/>
      <c r="H43" s="1"/>
      <c r="I43" s="1"/>
      <c r="J43" s="1"/>
      <c r="K43" s="1"/>
      <c r="L43" s="1"/>
      <c r="M43" s="1"/>
      <c r="N43" s="18"/>
    </row>
    <row r="44" spans="2:14" ht="15" customHeight="1" x14ac:dyDescent="0.25">
      <c r="B44" s="20"/>
      <c r="C44" s="5" t="s">
        <v>194</v>
      </c>
      <c r="D44" s="6" t="s">
        <v>192</v>
      </c>
      <c r="E44" s="11">
        <v>7.3289999999999996E-3</v>
      </c>
      <c r="F44" s="1"/>
      <c r="G44" s="1"/>
      <c r="H44" s="1"/>
      <c r="I44" s="1"/>
      <c r="J44" s="1"/>
      <c r="K44" s="1"/>
      <c r="L44" s="1"/>
      <c r="M44" s="1"/>
      <c r="N44" s="18"/>
    </row>
    <row r="45" spans="2:14" ht="15" customHeight="1" x14ac:dyDescent="0.25">
      <c r="B45" s="20"/>
      <c r="C45" s="5" t="s">
        <v>201</v>
      </c>
      <c r="D45" s="6" t="s">
        <v>192</v>
      </c>
      <c r="E45" s="11">
        <v>6.4580000000000002E-3</v>
      </c>
      <c r="F45" s="1"/>
      <c r="G45" s="1"/>
      <c r="H45" s="1"/>
      <c r="I45" s="1"/>
      <c r="J45" s="1"/>
      <c r="K45" s="1"/>
      <c r="L45" s="1"/>
      <c r="M45" s="1"/>
      <c r="N45" s="18"/>
    </row>
    <row r="46" spans="2:14" ht="15" customHeight="1" x14ac:dyDescent="0.25">
      <c r="B46" s="20"/>
      <c r="C46" s="5" t="s">
        <v>223</v>
      </c>
      <c r="D46" s="6" t="s">
        <v>192</v>
      </c>
      <c r="E46" s="11">
        <v>5.3680000000000004E-3</v>
      </c>
      <c r="F46" s="1"/>
      <c r="G46" s="1"/>
      <c r="H46" s="1"/>
      <c r="I46" s="1"/>
      <c r="J46" s="1"/>
      <c r="K46" s="1"/>
      <c r="L46" s="1"/>
      <c r="M46" s="1"/>
      <c r="N46" s="18"/>
    </row>
    <row r="47" spans="2:14" ht="15" customHeight="1" x14ac:dyDescent="0.25">
      <c r="B47" s="20"/>
      <c r="C47" s="5" t="s">
        <v>212</v>
      </c>
      <c r="D47" s="6" t="s">
        <v>192</v>
      </c>
      <c r="E47" s="11">
        <v>4.751E-3</v>
      </c>
      <c r="F47" s="1"/>
      <c r="G47" s="1"/>
      <c r="H47" s="1"/>
      <c r="I47" s="1"/>
      <c r="J47" s="1"/>
      <c r="K47" s="1"/>
      <c r="L47" s="1"/>
      <c r="M47" s="1"/>
      <c r="N47" s="18"/>
    </row>
    <row r="48" spans="2:14" ht="15" customHeight="1" x14ac:dyDescent="0.25">
      <c r="B48" s="20"/>
      <c r="C48" s="5" t="s">
        <v>214</v>
      </c>
      <c r="D48" s="6" t="s">
        <v>192</v>
      </c>
      <c r="E48" s="11">
        <v>4.7289999999999997E-3</v>
      </c>
      <c r="F48" s="1"/>
      <c r="G48" s="1"/>
      <c r="H48" s="1"/>
      <c r="I48" s="1"/>
      <c r="J48" s="1"/>
      <c r="K48" s="1"/>
      <c r="L48" s="1"/>
      <c r="M48" s="1"/>
      <c r="N48" s="18"/>
    </row>
    <row r="49" spans="2:14" ht="15" customHeight="1" x14ac:dyDescent="0.25">
      <c r="B49" s="20"/>
      <c r="C49" s="5" t="s">
        <v>225</v>
      </c>
      <c r="D49" s="6" t="s">
        <v>192</v>
      </c>
      <c r="E49" s="11">
        <v>4.6839999999999998E-3</v>
      </c>
      <c r="F49" s="1"/>
      <c r="G49" s="1"/>
      <c r="H49" s="1"/>
      <c r="I49" s="1"/>
      <c r="J49" s="1"/>
      <c r="K49" s="1"/>
      <c r="L49" s="1"/>
      <c r="M49" s="1"/>
      <c r="N49" s="18"/>
    </row>
    <row r="50" spans="2:14" ht="15" customHeight="1" x14ac:dyDescent="0.25">
      <c r="B50" s="20"/>
      <c r="C50" s="5" t="s">
        <v>226</v>
      </c>
      <c r="D50" s="6" t="s">
        <v>192</v>
      </c>
      <c r="E50" s="11">
        <v>4.6839999999999998E-3</v>
      </c>
      <c r="F50" s="1"/>
      <c r="G50" s="1"/>
      <c r="H50" s="1"/>
      <c r="I50" s="1"/>
      <c r="J50" s="1"/>
      <c r="K50" s="1"/>
      <c r="L50" s="1"/>
      <c r="M50" s="1"/>
      <c r="N50" s="18"/>
    </row>
    <row r="51" spans="2:14" ht="15" customHeight="1" x14ac:dyDescent="0.25">
      <c r="B51" s="20"/>
      <c r="C51" s="5" t="s">
        <v>210</v>
      </c>
      <c r="D51" s="6" t="s">
        <v>192</v>
      </c>
      <c r="E51" s="11">
        <v>4.6600000000000001E-3</v>
      </c>
      <c r="F51" s="1"/>
      <c r="G51" s="1"/>
      <c r="H51" s="1"/>
      <c r="I51" s="1"/>
      <c r="J51" s="1"/>
      <c r="K51" s="1"/>
      <c r="L51" s="1"/>
      <c r="M51" s="1"/>
      <c r="N51" s="18"/>
    </row>
    <row r="52" spans="2:14" ht="15" customHeight="1" x14ac:dyDescent="0.25">
      <c r="B52" s="20"/>
      <c r="C52" s="5" t="s">
        <v>207</v>
      </c>
      <c r="D52" s="6" t="s">
        <v>192</v>
      </c>
      <c r="E52" s="11">
        <v>4.6210000000000001E-3</v>
      </c>
      <c r="F52" s="1"/>
      <c r="G52" s="1"/>
      <c r="H52" s="1"/>
      <c r="I52" s="1"/>
      <c r="J52" s="1"/>
      <c r="K52" s="1"/>
      <c r="L52" s="1"/>
      <c r="M52" s="1"/>
      <c r="N52" s="18"/>
    </row>
    <row r="53" spans="2:14" ht="15" customHeight="1" x14ac:dyDescent="0.25">
      <c r="B53" s="20"/>
      <c r="C53" s="5" t="s">
        <v>198</v>
      </c>
      <c r="D53" s="6" t="s">
        <v>192</v>
      </c>
      <c r="E53" s="11">
        <v>4.6020000000000002E-3</v>
      </c>
      <c r="F53" s="1"/>
      <c r="G53" s="1"/>
      <c r="H53" s="1"/>
      <c r="I53" s="1"/>
      <c r="J53" s="1"/>
      <c r="K53" s="1"/>
      <c r="L53" s="1"/>
      <c r="M53" s="1"/>
      <c r="N53" s="18"/>
    </row>
    <row r="54" spans="2:14" ht="15" customHeight="1" x14ac:dyDescent="0.25">
      <c r="B54" s="20"/>
      <c r="C54" s="5" t="s">
        <v>216</v>
      </c>
      <c r="D54" s="6" t="s">
        <v>192</v>
      </c>
      <c r="E54" s="11">
        <v>4.5950000000000001E-3</v>
      </c>
      <c r="F54" s="1"/>
      <c r="G54" s="1"/>
      <c r="H54" s="1"/>
      <c r="I54" s="1"/>
      <c r="J54" s="1"/>
      <c r="K54" s="1"/>
      <c r="L54" s="1"/>
      <c r="M54" s="1"/>
      <c r="N54" s="18"/>
    </row>
    <row r="55" spans="2:14" ht="15" customHeight="1" x14ac:dyDescent="0.25">
      <c r="B55" s="20"/>
      <c r="C55" s="5" t="s">
        <v>224</v>
      </c>
      <c r="D55" s="6" t="s">
        <v>192</v>
      </c>
      <c r="E55" s="11">
        <v>4.5599999999999998E-3</v>
      </c>
      <c r="F55" s="1"/>
      <c r="G55" s="1"/>
      <c r="H55" s="1"/>
      <c r="I55" s="1"/>
      <c r="J55" s="1"/>
      <c r="K55" s="1"/>
      <c r="L55" s="1"/>
      <c r="M55" s="1"/>
      <c r="N55" s="18"/>
    </row>
    <row r="56" spans="2:14" ht="15" customHeight="1" x14ac:dyDescent="0.25">
      <c r="B56" s="20"/>
      <c r="C56" s="5" t="s">
        <v>211</v>
      </c>
      <c r="D56" s="6" t="s">
        <v>192</v>
      </c>
      <c r="E56" s="11">
        <v>3.7529999999999998E-3</v>
      </c>
      <c r="F56" s="1"/>
      <c r="G56" s="1"/>
      <c r="H56" s="1"/>
      <c r="I56" s="1"/>
      <c r="J56" s="1"/>
      <c r="K56" s="1"/>
      <c r="L56" s="1"/>
      <c r="M56" s="1"/>
      <c r="N56" s="18"/>
    </row>
    <row r="57" spans="2:14" ht="15" customHeight="1" x14ac:dyDescent="0.25">
      <c r="B57" s="20"/>
      <c r="C57" s="5" t="s">
        <v>229</v>
      </c>
      <c r="D57" s="6" t="s">
        <v>192</v>
      </c>
      <c r="E57" s="11">
        <v>3.656E-3</v>
      </c>
      <c r="F57" s="1"/>
      <c r="G57" s="1"/>
      <c r="H57" s="1"/>
      <c r="I57" s="1"/>
      <c r="J57" s="1"/>
      <c r="K57" s="1"/>
      <c r="L57" s="1"/>
      <c r="M57" s="1"/>
      <c r="N57" s="18"/>
    </row>
    <row r="58" spans="2:14" ht="15" customHeight="1" x14ac:dyDescent="0.25">
      <c r="B58" s="20"/>
      <c r="C58" s="5" t="s">
        <v>206</v>
      </c>
      <c r="D58" s="6" t="s">
        <v>192</v>
      </c>
      <c r="E58" s="11">
        <v>2.96E-3</v>
      </c>
      <c r="F58" s="1"/>
      <c r="G58" s="1"/>
      <c r="H58" s="1"/>
      <c r="I58" s="1"/>
      <c r="J58" s="1"/>
      <c r="K58" s="1"/>
      <c r="L58" s="1"/>
      <c r="M58" s="1"/>
      <c r="N58" s="18"/>
    </row>
    <row r="59" spans="2:14" ht="15" customHeight="1" x14ac:dyDescent="0.25">
      <c r="B59" s="20"/>
      <c r="C59" s="5" t="s">
        <v>219</v>
      </c>
      <c r="D59" s="6" t="s">
        <v>192</v>
      </c>
      <c r="E59" s="11">
        <v>2.7260000000000001E-3</v>
      </c>
      <c r="F59" s="1"/>
      <c r="G59" s="1"/>
      <c r="H59" s="1"/>
      <c r="I59" s="1"/>
      <c r="J59" s="1"/>
      <c r="K59" s="1"/>
      <c r="L59" s="1"/>
      <c r="M59" s="1"/>
      <c r="N59" s="18"/>
    </row>
    <row r="60" spans="2:14" ht="15" customHeight="1" x14ac:dyDescent="0.25">
      <c r="B60" s="20"/>
      <c r="C60" s="5" t="s">
        <v>203</v>
      </c>
      <c r="D60" s="6" t="s">
        <v>192</v>
      </c>
      <c r="E60" s="11">
        <v>1.8519999999999999E-3</v>
      </c>
      <c r="F60" s="1"/>
      <c r="G60" s="1"/>
      <c r="H60" s="1"/>
      <c r="I60" s="1"/>
      <c r="J60" s="1"/>
      <c r="K60" s="1"/>
      <c r="L60" s="1"/>
      <c r="M60" s="1"/>
      <c r="N60" s="18"/>
    </row>
    <row r="61" spans="2:14" ht="15" customHeight="1" x14ac:dyDescent="0.25">
      <c r="B61" s="20"/>
      <c r="C61" s="5" t="s">
        <v>200</v>
      </c>
      <c r="D61" s="6" t="s">
        <v>192</v>
      </c>
      <c r="E61" s="11">
        <v>1.841E-3</v>
      </c>
      <c r="F61" s="1"/>
      <c r="G61" s="1"/>
      <c r="H61" s="1"/>
      <c r="I61" s="1"/>
      <c r="J61" s="1"/>
      <c r="K61" s="1"/>
      <c r="L61" s="1"/>
      <c r="M61" s="1"/>
      <c r="N61" s="18"/>
    </row>
    <row r="62" spans="2:14" ht="15" customHeight="1" x14ac:dyDescent="0.25">
      <c r="B62" s="20"/>
      <c r="C62" s="5" t="s">
        <v>218</v>
      </c>
      <c r="D62" s="6" t="s">
        <v>192</v>
      </c>
      <c r="E62" s="11">
        <v>1.8389999999999999E-3</v>
      </c>
      <c r="F62" s="1"/>
      <c r="G62" s="1"/>
      <c r="H62" s="1"/>
      <c r="I62" s="1"/>
      <c r="J62" s="1"/>
      <c r="K62" s="1"/>
      <c r="L62" s="1"/>
      <c r="M62" s="1"/>
      <c r="N62" s="18"/>
    </row>
    <row r="63" spans="2:14" ht="15" customHeight="1" x14ac:dyDescent="0.25">
      <c r="B63" s="20"/>
      <c r="C63" s="5" t="s">
        <v>220</v>
      </c>
      <c r="D63" s="6" t="s">
        <v>192</v>
      </c>
      <c r="E63" s="11">
        <v>1.835E-3</v>
      </c>
      <c r="F63" s="1"/>
      <c r="G63" s="1"/>
      <c r="H63" s="1"/>
      <c r="I63" s="1"/>
      <c r="J63" s="1"/>
      <c r="K63" s="1"/>
      <c r="L63" s="1"/>
      <c r="M63" s="1"/>
      <c r="N63" s="18"/>
    </row>
    <row r="64" spans="2:14" ht="15" customHeight="1" x14ac:dyDescent="0.25">
      <c r="B64" s="20"/>
      <c r="C64" s="5" t="s">
        <v>195</v>
      </c>
      <c r="D64" s="6" t="s">
        <v>192</v>
      </c>
      <c r="E64" s="11">
        <v>1.8339999999999999E-3</v>
      </c>
      <c r="F64" s="1"/>
      <c r="G64" s="1"/>
      <c r="H64" s="1"/>
      <c r="I64" s="1"/>
      <c r="J64" s="1"/>
      <c r="K64" s="1"/>
      <c r="L64" s="1"/>
      <c r="M64" s="1"/>
      <c r="N64" s="18"/>
    </row>
    <row r="65" spans="2:14" ht="15" customHeight="1" x14ac:dyDescent="0.25">
      <c r="B65" s="20"/>
      <c r="C65" s="5" t="s">
        <v>193</v>
      </c>
      <c r="D65" s="6" t="s">
        <v>192</v>
      </c>
      <c r="E65" s="11">
        <v>9.1399999999999999E-4</v>
      </c>
      <c r="F65" s="1"/>
      <c r="G65" s="1"/>
      <c r="H65" s="1"/>
      <c r="I65" s="1"/>
      <c r="J65" s="1"/>
      <c r="K65" s="1"/>
      <c r="L65" s="1"/>
      <c r="M65" s="1"/>
      <c r="N65" s="18"/>
    </row>
    <row r="66" spans="2:14" ht="15" customHeight="1" x14ac:dyDescent="0.25">
      <c r="B66" s="20"/>
      <c r="C66" s="5" t="s">
        <v>213</v>
      </c>
      <c r="D66" s="6" t="s">
        <v>192</v>
      </c>
      <c r="E66" s="11">
        <v>9.1200000000000005E-4</v>
      </c>
      <c r="F66" s="1"/>
      <c r="G66" s="1"/>
      <c r="H66" s="1"/>
      <c r="I66" s="1"/>
      <c r="J66" s="1"/>
      <c r="K66" s="1"/>
      <c r="L66" s="1"/>
      <c r="M66" s="1"/>
      <c r="N66" s="18"/>
    </row>
    <row r="67" spans="2:14" ht="15" customHeight="1" x14ac:dyDescent="0.25">
      <c r="B67" s="20"/>
      <c r="C67" s="7" t="s">
        <v>46</v>
      </c>
      <c r="D67" s="8"/>
      <c r="E67" s="12">
        <v>0.30687900000000001</v>
      </c>
      <c r="F67" s="1"/>
      <c r="G67" s="1"/>
      <c r="H67" s="1"/>
      <c r="I67" s="1"/>
      <c r="J67" s="1"/>
      <c r="K67" s="1"/>
      <c r="L67" s="1"/>
      <c r="M67" s="1"/>
      <c r="N67" s="18"/>
    </row>
    <row r="68" spans="2:14" ht="15" customHeight="1" x14ac:dyDescent="0.25">
      <c r="B68" s="20"/>
      <c r="C68" s="5" t="s">
        <v>30</v>
      </c>
      <c r="D68" s="6"/>
      <c r="E68" s="11">
        <v>3.8321000000000001E-2</v>
      </c>
      <c r="F68" s="1"/>
      <c r="G68" s="1"/>
      <c r="H68" s="1"/>
      <c r="I68" s="1"/>
      <c r="J68" s="1"/>
      <c r="K68" s="1"/>
      <c r="L68" s="1"/>
      <c r="M68" s="1"/>
      <c r="N68" s="18"/>
    </row>
    <row r="69" spans="2:14" ht="15" customHeight="1" x14ac:dyDescent="0.25">
      <c r="B69" s="20"/>
      <c r="C69" s="7" t="s">
        <v>31</v>
      </c>
      <c r="D69" s="8"/>
      <c r="E69" s="12">
        <v>3.8321000000000001E-2</v>
      </c>
      <c r="F69" s="1"/>
      <c r="G69" s="1"/>
      <c r="H69" s="1"/>
      <c r="I69" s="1"/>
      <c r="J69" s="1"/>
      <c r="K69" s="1"/>
      <c r="L69" s="1"/>
      <c r="M69" s="1"/>
      <c r="N69" s="18"/>
    </row>
    <row r="70" spans="2:14" ht="15" customHeight="1" x14ac:dyDescent="0.25">
      <c r="B70" s="20"/>
      <c r="C70" s="5" t="s">
        <v>121</v>
      </c>
      <c r="D70" s="6" t="s">
        <v>79</v>
      </c>
      <c r="E70" s="11">
        <v>2.1561E-2</v>
      </c>
      <c r="F70" s="1"/>
      <c r="G70" s="1"/>
      <c r="H70" s="1"/>
      <c r="I70" s="1"/>
      <c r="J70" s="1"/>
      <c r="K70" s="1"/>
      <c r="L70" s="1"/>
      <c r="M70" s="1"/>
      <c r="N70" s="18"/>
    </row>
    <row r="71" spans="2:14" ht="15" customHeight="1" x14ac:dyDescent="0.25">
      <c r="B71" s="20"/>
      <c r="C71" s="5" t="s">
        <v>51</v>
      </c>
      <c r="D71" s="6" t="s">
        <v>17</v>
      </c>
      <c r="E71" s="11">
        <v>4.4489999999999998E-3</v>
      </c>
      <c r="F71" s="1"/>
      <c r="G71" s="1"/>
      <c r="H71" s="1"/>
      <c r="I71" s="1"/>
      <c r="J71" s="1"/>
      <c r="K71" s="1"/>
      <c r="L71" s="1"/>
      <c r="M71" s="1"/>
      <c r="N71" s="18"/>
    </row>
    <row r="72" spans="2:14" ht="15" customHeight="1" x14ac:dyDescent="0.25">
      <c r="B72" s="20"/>
      <c r="C72" s="5" t="s">
        <v>44</v>
      </c>
      <c r="D72" s="6" t="s">
        <v>17</v>
      </c>
      <c r="E72" s="11">
        <v>1.052E-3</v>
      </c>
      <c r="F72" s="1"/>
      <c r="G72" s="1"/>
      <c r="H72" s="1"/>
      <c r="I72" s="1"/>
      <c r="J72" s="1"/>
      <c r="K72" s="1"/>
      <c r="L72" s="1"/>
      <c r="M72" s="1"/>
      <c r="N72" s="18"/>
    </row>
    <row r="73" spans="2:14" ht="15" customHeight="1" x14ac:dyDescent="0.25">
      <c r="B73" s="20"/>
      <c r="C73" s="7" t="s">
        <v>71</v>
      </c>
      <c r="D73" s="8"/>
      <c r="E73" s="12">
        <v>2.7061999999999999E-2</v>
      </c>
      <c r="F73" s="1"/>
      <c r="G73" s="1"/>
      <c r="H73" s="1"/>
      <c r="I73" s="1"/>
      <c r="J73" s="1"/>
      <c r="K73" s="1"/>
      <c r="L73" s="1"/>
      <c r="M73" s="1"/>
      <c r="N73" s="18"/>
    </row>
    <row r="74" spans="2:14" ht="15" customHeight="1" x14ac:dyDescent="0.25">
      <c r="B74" s="20"/>
      <c r="C74" s="5"/>
      <c r="D74" s="6"/>
      <c r="E74" s="11"/>
      <c r="F74" s="1"/>
      <c r="G74" s="1"/>
      <c r="H74" s="1"/>
      <c r="I74" s="1"/>
      <c r="J74" s="1"/>
      <c r="K74" s="1"/>
      <c r="L74" s="1"/>
      <c r="M74" s="1"/>
      <c r="N74" s="18"/>
    </row>
    <row r="75" spans="2:14" ht="15" customHeight="1" x14ac:dyDescent="0.25">
      <c r="B75" s="20"/>
      <c r="C75" s="7" t="s">
        <v>32</v>
      </c>
      <c r="D75" s="8"/>
      <c r="E75" s="12">
        <v>1.4818E-2</v>
      </c>
      <c r="F75" s="1"/>
      <c r="G75" s="1"/>
      <c r="H75" s="1"/>
      <c r="I75" s="1"/>
      <c r="J75" s="1"/>
      <c r="K75" s="1"/>
      <c r="L75" s="1"/>
      <c r="M75" s="1"/>
      <c r="N75" s="18"/>
    </row>
    <row r="76" spans="2:14" ht="15" customHeight="1" x14ac:dyDescent="0.25">
      <c r="B76" s="20"/>
      <c r="C76" s="5"/>
      <c r="D76" s="6"/>
      <c r="E76" s="11"/>
      <c r="F76" s="1"/>
      <c r="G76" s="1"/>
      <c r="H76" s="1"/>
      <c r="I76" s="1"/>
      <c r="J76" s="1"/>
      <c r="K76" s="1"/>
      <c r="L76" s="1"/>
      <c r="M76" s="1"/>
      <c r="N76" s="18"/>
    </row>
    <row r="77" spans="2:14" ht="15" customHeight="1" x14ac:dyDescent="0.25">
      <c r="B77" s="20"/>
      <c r="C77" s="9" t="s">
        <v>33</v>
      </c>
      <c r="D77" s="10"/>
      <c r="E77" s="13">
        <v>1</v>
      </c>
      <c r="F77" s="1"/>
      <c r="G77" s="1"/>
      <c r="H77" s="1"/>
      <c r="I77" s="1"/>
      <c r="J77" s="1"/>
      <c r="K77" s="1"/>
      <c r="L77" s="1"/>
      <c r="M77" s="1"/>
      <c r="N77" s="18"/>
    </row>
    <row r="78" spans="2:14" ht="15" customHeight="1" x14ac:dyDescent="0.25">
      <c r="B78" s="20"/>
      <c r="C78" s="1"/>
      <c r="D78" s="1"/>
      <c r="E78" s="1"/>
      <c r="F78" s="1"/>
      <c r="G78" s="1"/>
      <c r="H78" s="1"/>
      <c r="I78" s="1"/>
      <c r="J78" s="1"/>
      <c r="K78" s="1"/>
      <c r="L78" s="1"/>
      <c r="M78" s="1"/>
      <c r="N78" s="18"/>
    </row>
    <row r="79" spans="2:14" ht="15" customHeight="1" thickBot="1" x14ac:dyDescent="0.3">
      <c r="B79" s="21"/>
      <c r="C79" s="22"/>
      <c r="D79" s="22"/>
      <c r="E79" s="22"/>
      <c r="F79" s="22"/>
      <c r="G79" s="22"/>
      <c r="H79" s="22"/>
      <c r="I79" s="22"/>
      <c r="J79" s="22"/>
      <c r="K79" s="22"/>
      <c r="L79" s="22"/>
      <c r="M79" s="22"/>
      <c r="N79" s="23"/>
    </row>
    <row r="80" spans="2:14" ht="15" customHeight="1" thickBot="1" x14ac:dyDescent="0.3"/>
    <row r="81" spans="2:14" ht="15" customHeight="1" x14ac:dyDescent="0.25">
      <c r="B81" s="69" t="s">
        <v>325</v>
      </c>
      <c r="C81" s="70"/>
      <c r="D81" s="70"/>
      <c r="E81" s="70"/>
      <c r="F81" s="70"/>
      <c r="G81" s="70"/>
      <c r="H81" s="70"/>
      <c r="I81" s="70"/>
      <c r="J81" s="70"/>
      <c r="K81" s="70"/>
      <c r="L81" s="70"/>
      <c r="M81" s="70"/>
      <c r="N81" s="71"/>
    </row>
    <row r="82" spans="2:14" ht="15" customHeight="1" x14ac:dyDescent="0.25">
      <c r="B82" s="72"/>
      <c r="C82" s="73"/>
      <c r="D82" s="73"/>
      <c r="E82" s="73"/>
      <c r="F82" s="73"/>
      <c r="G82" s="73"/>
      <c r="H82" s="73"/>
      <c r="I82" s="73"/>
      <c r="J82" s="73"/>
      <c r="K82" s="73"/>
      <c r="L82" s="73"/>
      <c r="M82" s="73"/>
      <c r="N82" s="74"/>
    </row>
    <row r="83" spans="2:14" ht="15" customHeight="1" x14ac:dyDescent="0.25">
      <c r="B83" s="72"/>
      <c r="C83" s="73"/>
      <c r="D83" s="73"/>
      <c r="E83" s="73"/>
      <c r="F83" s="73"/>
      <c r="G83" s="73"/>
      <c r="H83" s="73"/>
      <c r="I83" s="73"/>
      <c r="J83" s="73"/>
      <c r="K83" s="73"/>
      <c r="L83" s="73"/>
      <c r="M83" s="73"/>
      <c r="N83" s="74"/>
    </row>
    <row r="84" spans="2:14" ht="15" customHeight="1" thickBot="1" x14ac:dyDescent="0.3">
      <c r="B84" s="75"/>
      <c r="C84" s="76"/>
      <c r="D84" s="76"/>
      <c r="E84" s="76"/>
      <c r="F84" s="76"/>
      <c r="G84" s="76"/>
      <c r="H84" s="76"/>
      <c r="I84" s="76"/>
      <c r="J84" s="76"/>
      <c r="K84" s="76"/>
      <c r="L84" s="76"/>
      <c r="M84" s="76"/>
      <c r="N84" s="77"/>
    </row>
    <row r="85" spans="2:14" ht="15" customHeight="1" thickBot="1" x14ac:dyDescent="0.3"/>
    <row r="86" spans="2:14" ht="122.25" customHeight="1" thickBot="1" x14ac:dyDescent="0.3">
      <c r="B86" s="78" t="s">
        <v>323</v>
      </c>
      <c r="C86" s="79"/>
      <c r="D86" s="79"/>
      <c r="E86" s="79"/>
      <c r="F86" s="79"/>
      <c r="G86" s="79"/>
      <c r="H86" s="79"/>
      <c r="I86" s="79"/>
      <c r="J86" s="79"/>
      <c r="K86" s="79"/>
      <c r="L86" s="79"/>
      <c r="M86" s="79"/>
      <c r="N86" s="80"/>
    </row>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sheetData>
  <sortState ref="C28:E66">
    <sortCondition descending="1" ref="E28"/>
  </sortState>
  <mergeCells count="7">
    <mergeCell ref="B81:N84"/>
    <mergeCell ref="B86:N8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CA09-AB65-4BE4-BC05-D8115881F098}">
  <dimension ref="B1:N9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170</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171</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12</v>
      </c>
      <c r="D8" s="6" t="s">
        <v>13</v>
      </c>
      <c r="E8" s="11">
        <v>0.115674</v>
      </c>
      <c r="F8" s="1"/>
      <c r="G8" s="24" t="s">
        <v>4</v>
      </c>
      <c r="H8" s="25">
        <v>1</v>
      </c>
      <c r="I8" s="1"/>
      <c r="J8" s="24" t="s">
        <v>34</v>
      </c>
      <c r="K8" s="24" t="s">
        <v>3</v>
      </c>
      <c r="L8" s="1"/>
      <c r="M8" s="1"/>
      <c r="N8" s="18"/>
    </row>
    <row r="9" spans="2:14" ht="15" customHeight="1" x14ac:dyDescent="0.25">
      <c r="B9" s="20"/>
      <c r="C9" s="5" t="s">
        <v>41</v>
      </c>
      <c r="D9" s="6" t="s">
        <v>13</v>
      </c>
      <c r="E9" s="11">
        <v>0.106326</v>
      </c>
      <c r="F9" s="1"/>
      <c r="G9" s="1"/>
      <c r="H9" s="1"/>
      <c r="I9" s="1"/>
      <c r="J9" s="24" t="s">
        <v>32</v>
      </c>
      <c r="K9" s="29">
        <v>-1.7136999999999999E-2</v>
      </c>
      <c r="L9" s="1"/>
      <c r="M9" s="1"/>
      <c r="N9" s="18"/>
    </row>
    <row r="10" spans="2:14" ht="15" customHeight="1" x14ac:dyDescent="0.25">
      <c r="B10" s="20"/>
      <c r="C10" s="5" t="s">
        <v>14</v>
      </c>
      <c r="D10" s="6" t="s">
        <v>13</v>
      </c>
      <c r="E10" s="11">
        <v>7.9108999999999999E-2</v>
      </c>
      <c r="F10" s="1"/>
      <c r="G10" s="1"/>
      <c r="H10" s="1"/>
      <c r="I10" s="1"/>
      <c r="J10" s="24" t="s">
        <v>35</v>
      </c>
      <c r="K10" s="29">
        <v>2.2359E-2</v>
      </c>
      <c r="L10" s="1"/>
      <c r="M10" s="1"/>
      <c r="N10" s="18"/>
    </row>
    <row r="11" spans="2:14" ht="15" customHeight="1" x14ac:dyDescent="0.25">
      <c r="B11" s="20"/>
      <c r="C11" s="5" t="s">
        <v>19</v>
      </c>
      <c r="D11" s="6" t="s">
        <v>13</v>
      </c>
      <c r="E11" s="11">
        <v>7.7511999999999998E-2</v>
      </c>
      <c r="F11" s="1"/>
      <c r="G11" s="1"/>
      <c r="H11" s="1"/>
      <c r="I11" s="1"/>
      <c r="J11" s="24" t="s">
        <v>36</v>
      </c>
      <c r="K11" s="29">
        <v>0.68355299999999997</v>
      </c>
      <c r="L11" s="1"/>
      <c r="M11" s="1"/>
      <c r="N11" s="18"/>
    </row>
    <row r="12" spans="2:14" ht="15" customHeight="1" x14ac:dyDescent="0.25">
      <c r="B12" s="20"/>
      <c r="C12" s="5" t="s">
        <v>42</v>
      </c>
      <c r="D12" s="6" t="s">
        <v>13</v>
      </c>
      <c r="E12" s="11">
        <v>7.5397000000000006E-2</v>
      </c>
      <c r="F12" s="1"/>
      <c r="G12" s="1"/>
      <c r="H12" s="1"/>
      <c r="I12" s="1"/>
      <c r="J12" s="24" t="s">
        <v>162</v>
      </c>
      <c r="K12" s="29">
        <v>0.16861000000000001</v>
      </c>
      <c r="L12" s="1"/>
      <c r="M12" s="1"/>
      <c r="N12" s="18"/>
    </row>
    <row r="13" spans="2:14" ht="15" customHeight="1" x14ac:dyDescent="0.25">
      <c r="B13" s="20"/>
      <c r="C13" s="5" t="s">
        <v>131</v>
      </c>
      <c r="D13" s="6" t="s">
        <v>13</v>
      </c>
      <c r="E13" s="11">
        <v>6.0749999999999998E-2</v>
      </c>
      <c r="F13" s="1"/>
      <c r="G13" s="1"/>
      <c r="H13" s="1"/>
      <c r="I13" s="1"/>
      <c r="J13" s="24" t="s">
        <v>22</v>
      </c>
      <c r="K13" s="29">
        <v>1.189E-3</v>
      </c>
      <c r="L13" s="1"/>
      <c r="M13" s="1"/>
      <c r="N13" s="18"/>
    </row>
    <row r="14" spans="2:14" ht="15" customHeight="1" x14ac:dyDescent="0.25">
      <c r="B14" s="20"/>
      <c r="C14" s="5" t="s">
        <v>132</v>
      </c>
      <c r="D14" s="6" t="s">
        <v>13</v>
      </c>
      <c r="E14" s="11">
        <v>5.96E-2</v>
      </c>
      <c r="F14" s="1"/>
      <c r="G14" s="1"/>
      <c r="H14" s="1"/>
      <c r="I14" s="1"/>
      <c r="J14" s="24" t="s">
        <v>183</v>
      </c>
      <c r="K14" s="29">
        <v>1.0703000000000001E-2</v>
      </c>
      <c r="L14" s="1"/>
      <c r="M14" s="1"/>
      <c r="N14" s="18"/>
    </row>
    <row r="15" spans="2:14" ht="15" customHeight="1" x14ac:dyDescent="0.25">
      <c r="B15" s="20"/>
      <c r="C15" s="5" t="s">
        <v>133</v>
      </c>
      <c r="D15" s="6" t="s">
        <v>13</v>
      </c>
      <c r="E15" s="11">
        <v>4.7917000000000001E-2</v>
      </c>
      <c r="F15" s="1"/>
      <c r="G15" s="1"/>
      <c r="H15" s="1"/>
      <c r="I15" s="1"/>
      <c r="J15" s="24" t="s">
        <v>47</v>
      </c>
      <c r="K15" s="29">
        <v>7.3099999999999998E-2</v>
      </c>
      <c r="L15" s="1"/>
      <c r="M15" s="1"/>
      <c r="N15" s="18"/>
    </row>
    <row r="16" spans="2:14" ht="15" customHeight="1" x14ac:dyDescent="0.25">
      <c r="B16" s="20"/>
      <c r="C16" s="5" t="s">
        <v>172</v>
      </c>
      <c r="D16" s="6" t="s">
        <v>13</v>
      </c>
      <c r="E16" s="11">
        <v>3.7422999999999998E-2</v>
      </c>
      <c r="F16" s="1"/>
      <c r="G16" s="1"/>
      <c r="H16" s="1"/>
      <c r="I16" s="1"/>
      <c r="J16" s="24" t="s">
        <v>163</v>
      </c>
      <c r="K16" s="29">
        <v>5.7623000000000001E-2</v>
      </c>
      <c r="L16" s="1"/>
      <c r="M16" s="1"/>
      <c r="N16" s="18"/>
    </row>
    <row r="17" spans="2:14" ht="15" customHeight="1" x14ac:dyDescent="0.25">
      <c r="B17" s="20"/>
      <c r="C17" s="5" t="s">
        <v>173</v>
      </c>
      <c r="D17" s="6" t="s">
        <v>13</v>
      </c>
      <c r="E17" s="11">
        <v>2.1645999999999999E-2</v>
      </c>
      <c r="F17" s="1"/>
      <c r="G17" s="1"/>
      <c r="H17" s="1"/>
      <c r="I17" s="1"/>
      <c r="J17" s="1"/>
      <c r="K17" s="1"/>
      <c r="L17" s="1"/>
      <c r="M17" s="1"/>
      <c r="N17" s="18"/>
    </row>
    <row r="18" spans="2:14" ht="15" customHeight="1" x14ac:dyDescent="0.25">
      <c r="B18" s="20"/>
      <c r="C18" s="5" t="s">
        <v>56</v>
      </c>
      <c r="D18" s="6" t="s">
        <v>13</v>
      </c>
      <c r="E18" s="11">
        <v>2.199E-3</v>
      </c>
      <c r="F18" s="1"/>
      <c r="G18" s="1"/>
      <c r="H18" s="1"/>
      <c r="I18" s="1"/>
      <c r="J18" s="1"/>
      <c r="K18" s="1"/>
      <c r="L18" s="1"/>
      <c r="M18" s="1"/>
      <c r="N18" s="18"/>
    </row>
    <row r="19" spans="2:14" ht="15.75" customHeight="1" x14ac:dyDescent="0.25">
      <c r="B19" s="20"/>
      <c r="C19" s="7" t="s">
        <v>15</v>
      </c>
      <c r="D19" s="8"/>
      <c r="E19" s="12">
        <v>0.68355299999999997</v>
      </c>
      <c r="F19" s="1"/>
      <c r="G19" s="1"/>
      <c r="H19" s="1"/>
      <c r="I19" s="1"/>
      <c r="J19" s="1"/>
      <c r="K19" s="1"/>
      <c r="L19" s="1"/>
      <c r="M19" s="1"/>
      <c r="N19" s="18"/>
    </row>
    <row r="20" spans="2:14" ht="15" customHeight="1" x14ac:dyDescent="0.25">
      <c r="B20" s="20"/>
      <c r="C20" s="5" t="s">
        <v>169</v>
      </c>
      <c r="D20" s="6" t="s">
        <v>13</v>
      </c>
      <c r="E20" s="11">
        <v>2.6717000000000001E-2</v>
      </c>
      <c r="F20" s="1"/>
      <c r="G20" s="1"/>
      <c r="H20" s="1"/>
      <c r="I20" s="1"/>
      <c r="J20" s="1"/>
      <c r="K20" s="1"/>
      <c r="L20" s="1"/>
      <c r="M20" s="1"/>
      <c r="N20" s="18"/>
    </row>
    <row r="21" spans="2:14" ht="15" customHeight="1" x14ac:dyDescent="0.25">
      <c r="B21" s="20"/>
      <c r="C21" s="5" t="s">
        <v>121</v>
      </c>
      <c r="D21" s="6" t="s">
        <v>13</v>
      </c>
      <c r="E21" s="11">
        <v>2.6549E-2</v>
      </c>
      <c r="F21" s="1"/>
      <c r="G21" s="1"/>
      <c r="H21" s="1"/>
      <c r="I21" s="1"/>
      <c r="J21" s="1"/>
      <c r="K21" s="1"/>
      <c r="L21" s="1"/>
      <c r="M21" s="1"/>
      <c r="N21" s="18"/>
    </row>
    <row r="22" spans="2:14" ht="15" customHeight="1" x14ac:dyDescent="0.25">
      <c r="B22" s="20"/>
      <c r="C22" s="5" t="s">
        <v>51</v>
      </c>
      <c r="D22" s="6" t="s">
        <v>13</v>
      </c>
      <c r="E22" s="11">
        <v>2.4299999999999999E-2</v>
      </c>
      <c r="F22" s="1"/>
      <c r="G22" s="1"/>
      <c r="H22" s="1"/>
      <c r="I22" s="1"/>
      <c r="J22" s="1"/>
      <c r="K22" s="1"/>
      <c r="L22" s="1"/>
      <c r="M22" s="1"/>
      <c r="N22" s="18"/>
    </row>
    <row r="23" spans="2:14" ht="15" customHeight="1" x14ac:dyDescent="0.25">
      <c r="B23" s="20"/>
      <c r="C23" s="5" t="s">
        <v>56</v>
      </c>
      <c r="D23" s="6" t="s">
        <v>13</v>
      </c>
      <c r="E23" s="11">
        <v>2.2096999999999999E-2</v>
      </c>
      <c r="F23" s="1"/>
      <c r="G23" s="1"/>
      <c r="H23" s="1"/>
      <c r="I23" s="1"/>
      <c r="J23" s="1"/>
      <c r="K23" s="1"/>
      <c r="L23" s="1"/>
      <c r="M23" s="1"/>
      <c r="N23" s="18"/>
    </row>
    <row r="24" spans="2:14" ht="15" customHeight="1" x14ac:dyDescent="0.25">
      <c r="B24" s="20"/>
      <c r="C24" s="5" t="s">
        <v>140</v>
      </c>
      <c r="D24" s="6" t="s">
        <v>13</v>
      </c>
      <c r="E24" s="11">
        <v>1.1032999999999999E-2</v>
      </c>
      <c r="F24" s="1"/>
      <c r="G24" s="86" t="s">
        <v>113</v>
      </c>
      <c r="H24" s="87"/>
      <c r="I24" s="87"/>
      <c r="J24" s="87"/>
      <c r="K24" s="87"/>
      <c r="L24" s="37">
        <v>160.51267984603953</v>
      </c>
      <c r="M24" s="27"/>
      <c r="N24" s="28"/>
    </row>
    <row r="25" spans="2:14" ht="15" customHeight="1" x14ac:dyDescent="0.25">
      <c r="B25" s="20"/>
      <c r="C25" s="5" t="s">
        <v>84</v>
      </c>
      <c r="D25" s="6" t="s">
        <v>13</v>
      </c>
      <c r="E25" s="11">
        <v>1.0887000000000001E-2</v>
      </c>
      <c r="F25" s="1"/>
      <c r="G25" s="1"/>
      <c r="H25" s="1"/>
      <c r="I25" s="1"/>
      <c r="J25" s="1"/>
      <c r="K25" s="1"/>
      <c r="L25" s="1"/>
      <c r="M25" s="1"/>
      <c r="N25" s="18"/>
    </row>
    <row r="26" spans="2:14" ht="15" customHeight="1" x14ac:dyDescent="0.25">
      <c r="B26" s="20"/>
      <c r="C26" s="5" t="s">
        <v>147</v>
      </c>
      <c r="D26" s="6" t="s">
        <v>13</v>
      </c>
      <c r="E26" s="11">
        <v>6.6689999999999996E-3</v>
      </c>
      <c r="F26" s="1"/>
      <c r="G26" s="86" t="s">
        <v>7</v>
      </c>
      <c r="H26" s="87"/>
      <c r="I26" s="87"/>
      <c r="J26" s="87"/>
      <c r="K26" s="87"/>
      <c r="L26" s="87"/>
      <c r="M26" s="87"/>
      <c r="N26" s="88"/>
    </row>
    <row r="27" spans="2:14" ht="15" customHeight="1" x14ac:dyDescent="0.25">
      <c r="B27" s="20"/>
      <c r="C27" s="5" t="s">
        <v>137</v>
      </c>
      <c r="D27" s="6" t="s">
        <v>13</v>
      </c>
      <c r="E27" s="11">
        <v>6.6620000000000004E-3</v>
      </c>
      <c r="F27" s="1"/>
      <c r="G27" s="1"/>
      <c r="H27" s="1"/>
      <c r="I27" s="1"/>
      <c r="J27" s="1"/>
      <c r="K27" s="1"/>
      <c r="L27" s="1"/>
      <c r="M27" s="1"/>
      <c r="N27" s="18"/>
    </row>
    <row r="28" spans="2:14" ht="15" customHeight="1" x14ac:dyDescent="0.25">
      <c r="B28" s="20"/>
      <c r="C28" s="5" t="s">
        <v>174</v>
      </c>
      <c r="D28" s="6" t="s">
        <v>13</v>
      </c>
      <c r="E28" s="11">
        <v>6.6270000000000001E-3</v>
      </c>
      <c r="F28" s="1"/>
      <c r="G28" s="1"/>
      <c r="H28" s="1"/>
      <c r="I28" s="1"/>
      <c r="J28" s="1"/>
      <c r="K28" s="1"/>
      <c r="L28" s="1"/>
      <c r="M28" s="1"/>
      <c r="N28" s="18"/>
    </row>
    <row r="29" spans="2:14" ht="15" customHeight="1" x14ac:dyDescent="0.25">
      <c r="B29" s="20"/>
      <c r="C29" s="5" t="s">
        <v>175</v>
      </c>
      <c r="D29" s="6" t="s">
        <v>13</v>
      </c>
      <c r="E29" s="11">
        <v>4.96E-3</v>
      </c>
      <c r="F29" s="1"/>
      <c r="G29" s="1"/>
      <c r="H29" s="1"/>
      <c r="I29" s="1"/>
      <c r="J29" s="1"/>
      <c r="K29" s="1"/>
      <c r="L29" s="1"/>
      <c r="M29" s="1"/>
      <c r="N29" s="18"/>
    </row>
    <row r="30" spans="2:14" ht="15" customHeight="1" x14ac:dyDescent="0.25">
      <c r="B30" s="20"/>
      <c r="C30" s="5" t="s">
        <v>141</v>
      </c>
      <c r="D30" s="6" t="s">
        <v>13</v>
      </c>
      <c r="E30" s="11">
        <v>4.4460000000000003E-3</v>
      </c>
      <c r="F30" s="1"/>
      <c r="G30" s="1"/>
      <c r="H30" s="1"/>
      <c r="I30" s="1"/>
      <c r="J30" s="1"/>
      <c r="K30" s="1"/>
      <c r="L30" s="1"/>
      <c r="M30" s="1"/>
      <c r="N30" s="18"/>
    </row>
    <row r="31" spans="2:14" ht="15" customHeight="1" x14ac:dyDescent="0.25">
      <c r="B31" s="20"/>
      <c r="C31" s="5" t="s">
        <v>43</v>
      </c>
      <c r="D31" s="6" t="s">
        <v>13</v>
      </c>
      <c r="E31" s="11">
        <v>4.4450000000000002E-3</v>
      </c>
      <c r="F31" s="1"/>
      <c r="G31" s="1"/>
      <c r="H31" s="1"/>
      <c r="I31" s="1"/>
      <c r="J31" s="1"/>
      <c r="K31" s="1"/>
      <c r="L31" s="1"/>
      <c r="M31" s="1"/>
      <c r="N31" s="18"/>
    </row>
    <row r="32" spans="2:14" ht="15" customHeight="1" x14ac:dyDescent="0.25">
      <c r="B32" s="20"/>
      <c r="C32" s="5" t="s">
        <v>176</v>
      </c>
      <c r="D32" s="6" t="s">
        <v>13</v>
      </c>
      <c r="E32" s="11">
        <v>4.411E-3</v>
      </c>
      <c r="F32" s="1"/>
      <c r="G32" s="1"/>
      <c r="H32" s="1"/>
      <c r="I32" s="1"/>
      <c r="J32" s="1"/>
      <c r="K32" s="1"/>
      <c r="L32" s="1"/>
      <c r="M32" s="1"/>
      <c r="N32" s="18"/>
    </row>
    <row r="33" spans="2:14" ht="15" customHeight="1" x14ac:dyDescent="0.25">
      <c r="B33" s="20"/>
      <c r="C33" s="5" t="s">
        <v>44</v>
      </c>
      <c r="D33" s="6" t="s">
        <v>13</v>
      </c>
      <c r="E33" s="11">
        <v>4.4039999999999999E-3</v>
      </c>
      <c r="F33" s="1"/>
      <c r="G33" s="1"/>
      <c r="H33" s="1"/>
      <c r="I33" s="1"/>
      <c r="J33" s="1"/>
      <c r="K33" s="1"/>
      <c r="L33" s="1"/>
      <c r="M33" s="1"/>
      <c r="N33" s="18"/>
    </row>
    <row r="34" spans="2:14" ht="15" customHeight="1" x14ac:dyDescent="0.25">
      <c r="B34" s="20"/>
      <c r="C34" s="5" t="s">
        <v>138</v>
      </c>
      <c r="D34" s="6" t="s">
        <v>13</v>
      </c>
      <c r="E34" s="11">
        <v>4.4029999999999998E-3</v>
      </c>
      <c r="F34" s="1"/>
      <c r="G34" s="1"/>
      <c r="H34" s="1"/>
      <c r="I34" s="1"/>
      <c r="J34" s="1"/>
      <c r="K34" s="1"/>
      <c r="L34" s="1"/>
      <c r="M34" s="1"/>
      <c r="N34" s="18"/>
    </row>
    <row r="35" spans="2:14" ht="15.75" customHeight="1" x14ac:dyDescent="0.25">
      <c r="B35" s="20"/>
      <c r="C35" s="7" t="s">
        <v>148</v>
      </c>
      <c r="D35" s="8"/>
      <c r="E35" s="12">
        <v>0.16861000000000001</v>
      </c>
      <c r="F35" s="1"/>
      <c r="G35" s="1"/>
      <c r="H35" s="1"/>
      <c r="I35" s="1"/>
      <c r="J35" s="1"/>
      <c r="K35" s="1"/>
      <c r="L35" s="1"/>
      <c r="M35" s="1"/>
      <c r="N35" s="18"/>
    </row>
    <row r="36" spans="2:14" ht="15" customHeight="1" x14ac:dyDescent="0.25">
      <c r="B36" s="20"/>
      <c r="C36" s="5" t="s">
        <v>22</v>
      </c>
      <c r="D36" s="6"/>
      <c r="E36" s="11">
        <v>1.189E-3</v>
      </c>
      <c r="F36" s="1"/>
      <c r="G36" s="1"/>
      <c r="H36" s="1"/>
      <c r="I36" s="1"/>
      <c r="J36" s="1"/>
      <c r="K36" s="1"/>
      <c r="L36" s="1"/>
      <c r="M36" s="1"/>
      <c r="N36" s="18"/>
    </row>
    <row r="37" spans="2:14" ht="15.75" customHeight="1" x14ac:dyDescent="0.25">
      <c r="B37" s="20"/>
      <c r="C37" s="7" t="s">
        <v>23</v>
      </c>
      <c r="D37" s="8"/>
      <c r="E37" s="12">
        <v>1.189E-3</v>
      </c>
      <c r="F37" s="1"/>
      <c r="G37" s="1"/>
      <c r="H37" s="1"/>
      <c r="I37" s="1"/>
      <c r="J37" s="1"/>
      <c r="K37" s="1"/>
      <c r="L37" s="1"/>
      <c r="M37" s="1"/>
      <c r="N37" s="18"/>
    </row>
    <row r="38" spans="2:14" ht="15" customHeight="1" x14ac:dyDescent="0.25">
      <c r="B38" s="20"/>
      <c r="C38" s="5" t="s">
        <v>249</v>
      </c>
      <c r="D38" s="6" t="s">
        <v>192</v>
      </c>
      <c r="E38" s="11">
        <v>8.0099999999999998E-3</v>
      </c>
      <c r="F38" s="1"/>
      <c r="G38" s="1"/>
      <c r="H38" s="1"/>
      <c r="I38" s="1"/>
      <c r="J38" s="1"/>
      <c r="K38" s="1"/>
      <c r="L38" s="1"/>
      <c r="M38" s="1"/>
      <c r="N38" s="18"/>
    </row>
    <row r="39" spans="2:14" ht="15.75" customHeight="1" x14ac:dyDescent="0.25">
      <c r="B39" s="20"/>
      <c r="C39" s="5" t="s">
        <v>250</v>
      </c>
      <c r="D39" s="6" t="s">
        <v>192</v>
      </c>
      <c r="E39" s="11">
        <v>2.2100000000000002E-3</v>
      </c>
      <c r="F39" s="1"/>
      <c r="G39" s="1"/>
      <c r="H39" s="1"/>
      <c r="I39" s="1"/>
      <c r="J39" s="1"/>
      <c r="K39" s="1"/>
      <c r="L39" s="1"/>
      <c r="M39" s="1"/>
      <c r="N39" s="18"/>
    </row>
    <row r="40" spans="2:14" ht="15" customHeight="1" x14ac:dyDescent="0.25">
      <c r="B40" s="20"/>
      <c r="C40" s="5" t="s">
        <v>251</v>
      </c>
      <c r="D40" s="6" t="s">
        <v>192</v>
      </c>
      <c r="E40" s="11">
        <v>4.8299999999999998E-4</v>
      </c>
      <c r="F40" s="1"/>
      <c r="G40" s="1"/>
      <c r="H40" s="1"/>
      <c r="I40" s="1"/>
      <c r="J40" s="1"/>
      <c r="K40" s="1"/>
      <c r="L40" s="1"/>
      <c r="M40" s="1"/>
      <c r="N40" s="18"/>
    </row>
    <row r="41" spans="2:14" ht="15.75" customHeight="1" x14ac:dyDescent="0.25">
      <c r="B41" s="20"/>
      <c r="C41" s="7" t="s">
        <v>177</v>
      </c>
      <c r="D41" s="8"/>
      <c r="E41" s="12">
        <v>1.0703000000000001E-2</v>
      </c>
      <c r="F41" s="1"/>
      <c r="G41" s="1"/>
      <c r="H41" s="1"/>
      <c r="I41" s="1"/>
      <c r="J41" s="1"/>
      <c r="K41" s="1"/>
      <c r="L41" s="1"/>
      <c r="M41" s="1"/>
      <c r="N41" s="18"/>
    </row>
    <row r="42" spans="2:14" ht="15" customHeight="1" x14ac:dyDescent="0.25">
      <c r="B42" s="20"/>
      <c r="C42" s="5" t="s">
        <v>247</v>
      </c>
      <c r="D42" s="6" t="s">
        <v>192</v>
      </c>
      <c r="E42" s="11">
        <v>1.4891E-2</v>
      </c>
      <c r="F42" s="1"/>
      <c r="G42" s="1"/>
      <c r="H42" s="1"/>
      <c r="I42" s="1"/>
      <c r="J42" s="1"/>
      <c r="K42" s="1"/>
      <c r="L42" s="1"/>
      <c r="M42" s="1"/>
      <c r="N42" s="18"/>
    </row>
    <row r="43" spans="2:14" ht="15" customHeight="1" x14ac:dyDescent="0.25">
      <c r="B43" s="20"/>
      <c r="C43" s="5" t="s">
        <v>234</v>
      </c>
      <c r="D43" s="6" t="s">
        <v>192</v>
      </c>
      <c r="E43" s="11">
        <v>1.0062E-2</v>
      </c>
      <c r="F43" s="1"/>
      <c r="G43" s="1"/>
      <c r="H43" s="1"/>
      <c r="I43" s="1"/>
      <c r="J43" s="1"/>
      <c r="K43" s="1"/>
      <c r="L43" s="1"/>
      <c r="M43" s="1"/>
      <c r="N43" s="18"/>
    </row>
    <row r="44" spans="2:14" ht="15" customHeight="1" x14ac:dyDescent="0.25">
      <c r="B44" s="20"/>
      <c r="C44" s="5" t="s">
        <v>236</v>
      </c>
      <c r="D44" s="6" t="s">
        <v>192</v>
      </c>
      <c r="E44" s="11">
        <v>9.6139999999999993E-3</v>
      </c>
      <c r="F44" s="1"/>
      <c r="G44" s="1"/>
      <c r="H44" s="1"/>
      <c r="I44" s="1"/>
      <c r="J44" s="1"/>
      <c r="K44" s="1"/>
      <c r="L44" s="1"/>
      <c r="M44" s="1"/>
      <c r="N44" s="18"/>
    </row>
    <row r="45" spans="2:14" ht="15" customHeight="1" x14ac:dyDescent="0.25">
      <c r="B45" s="20"/>
      <c r="C45" s="5" t="s">
        <v>232</v>
      </c>
      <c r="D45" s="6" t="s">
        <v>192</v>
      </c>
      <c r="E45" s="11">
        <v>8.1700000000000002E-3</v>
      </c>
      <c r="F45" s="1"/>
      <c r="G45" s="1"/>
      <c r="H45" s="1"/>
      <c r="I45" s="1"/>
      <c r="J45" s="1"/>
      <c r="K45" s="1"/>
      <c r="L45" s="1"/>
      <c r="M45" s="1"/>
      <c r="N45" s="18"/>
    </row>
    <row r="46" spans="2:14" ht="15" customHeight="1" x14ac:dyDescent="0.25">
      <c r="B46" s="20"/>
      <c r="C46" s="5" t="s">
        <v>240</v>
      </c>
      <c r="D46" s="6" t="s">
        <v>192</v>
      </c>
      <c r="E46" s="11">
        <v>6.3899999999999998E-3</v>
      </c>
      <c r="F46" s="1"/>
      <c r="G46" s="1"/>
      <c r="H46" s="1"/>
      <c r="I46" s="1"/>
      <c r="J46" s="1"/>
      <c r="K46" s="1"/>
      <c r="L46" s="1"/>
      <c r="M46" s="1"/>
      <c r="N46" s="18"/>
    </row>
    <row r="47" spans="2:14" ht="15.75" customHeight="1" x14ac:dyDescent="0.25">
      <c r="B47" s="20"/>
      <c r="C47" s="5" t="s">
        <v>243</v>
      </c>
      <c r="D47" s="6" t="s">
        <v>192</v>
      </c>
      <c r="E47" s="11">
        <v>4.5079999999999999E-3</v>
      </c>
      <c r="F47" s="1"/>
      <c r="G47" s="1"/>
      <c r="H47" s="1"/>
      <c r="I47" s="1"/>
      <c r="J47" s="1"/>
      <c r="K47" s="1"/>
      <c r="L47" s="1"/>
      <c r="M47" s="1"/>
      <c r="N47" s="18"/>
    </row>
    <row r="48" spans="2:14" ht="15" customHeight="1" x14ac:dyDescent="0.25">
      <c r="B48" s="20"/>
      <c r="C48" s="5" t="s">
        <v>245</v>
      </c>
      <c r="D48" s="6" t="s">
        <v>192</v>
      </c>
      <c r="E48" s="11">
        <v>4.4339999999999996E-3</v>
      </c>
      <c r="F48" s="1"/>
      <c r="G48" s="1"/>
      <c r="H48" s="1"/>
      <c r="I48" s="1"/>
      <c r="J48" s="1"/>
      <c r="K48" s="1"/>
      <c r="L48" s="1"/>
      <c r="M48" s="1"/>
      <c r="N48" s="18"/>
    </row>
    <row r="49" spans="2:14" ht="15.75" customHeight="1" x14ac:dyDescent="0.25">
      <c r="B49" s="20"/>
      <c r="C49" s="5" t="s">
        <v>242</v>
      </c>
      <c r="D49" s="6" t="s">
        <v>192</v>
      </c>
      <c r="E49" s="11">
        <v>2.2729999999999998E-3</v>
      </c>
      <c r="F49" s="1"/>
      <c r="G49" s="1"/>
      <c r="H49" s="1"/>
      <c r="I49" s="1"/>
      <c r="J49" s="1"/>
      <c r="K49" s="1"/>
      <c r="L49" s="1"/>
      <c r="M49" s="1"/>
      <c r="N49" s="18"/>
    </row>
    <row r="50" spans="2:14" ht="15" customHeight="1" x14ac:dyDescent="0.25">
      <c r="B50" s="20"/>
      <c r="C50" s="5" t="s">
        <v>238</v>
      </c>
      <c r="D50" s="6" t="s">
        <v>192</v>
      </c>
      <c r="E50" s="11">
        <v>1.8320000000000001E-3</v>
      </c>
      <c r="F50" s="1"/>
      <c r="G50" s="1"/>
      <c r="H50" s="1"/>
      <c r="I50" s="1"/>
      <c r="J50" s="1"/>
      <c r="K50" s="1"/>
      <c r="L50" s="1"/>
      <c r="M50" s="1"/>
      <c r="N50" s="18"/>
    </row>
    <row r="51" spans="2:14" ht="15.75" customHeight="1" x14ac:dyDescent="0.25">
      <c r="B51" s="20"/>
      <c r="C51" s="5" t="s">
        <v>237</v>
      </c>
      <c r="D51" s="6" t="s">
        <v>192</v>
      </c>
      <c r="E51" s="11">
        <v>1.8309999999999999E-3</v>
      </c>
      <c r="F51" s="1"/>
      <c r="G51" s="1"/>
      <c r="H51" s="1"/>
      <c r="I51" s="1"/>
      <c r="J51" s="1"/>
      <c r="K51" s="1"/>
      <c r="L51" s="1"/>
      <c r="M51" s="1"/>
      <c r="N51" s="18"/>
    </row>
    <row r="52" spans="2:14" ht="15" customHeight="1" x14ac:dyDescent="0.25">
      <c r="B52" s="20"/>
      <c r="C52" s="5" t="s">
        <v>248</v>
      </c>
      <c r="D52" s="6" t="s">
        <v>192</v>
      </c>
      <c r="E52" s="11">
        <v>1.8289999999999999E-3</v>
      </c>
      <c r="F52" s="1"/>
      <c r="G52" s="1"/>
      <c r="H52" s="1"/>
      <c r="I52" s="1"/>
      <c r="J52" s="1"/>
      <c r="K52" s="1"/>
      <c r="L52" s="1"/>
      <c r="M52" s="1"/>
      <c r="N52" s="18"/>
    </row>
    <row r="53" spans="2:14" ht="15" customHeight="1" x14ac:dyDescent="0.25">
      <c r="B53" s="20"/>
      <c r="C53" s="5" t="s">
        <v>239</v>
      </c>
      <c r="D53" s="6" t="s">
        <v>192</v>
      </c>
      <c r="E53" s="11">
        <v>1.8220000000000001E-3</v>
      </c>
      <c r="F53" s="1"/>
      <c r="G53" s="1"/>
      <c r="H53" s="1"/>
      <c r="I53" s="1"/>
      <c r="J53" s="1"/>
      <c r="K53" s="1"/>
      <c r="L53" s="1"/>
      <c r="M53" s="1"/>
      <c r="N53" s="18"/>
    </row>
    <row r="54" spans="2:14" ht="15" customHeight="1" x14ac:dyDescent="0.25">
      <c r="B54" s="20"/>
      <c r="C54" s="5" t="s">
        <v>246</v>
      </c>
      <c r="D54" s="6" t="s">
        <v>192</v>
      </c>
      <c r="E54" s="11">
        <v>1.799E-3</v>
      </c>
      <c r="F54" s="1"/>
      <c r="G54" s="1"/>
      <c r="H54" s="1"/>
      <c r="I54" s="1"/>
      <c r="J54" s="1"/>
      <c r="K54" s="1"/>
      <c r="L54" s="1"/>
      <c r="M54" s="1"/>
      <c r="N54" s="18"/>
    </row>
    <row r="55" spans="2:14" ht="15" customHeight="1" x14ac:dyDescent="0.25">
      <c r="B55" s="20"/>
      <c r="C55" s="5" t="s">
        <v>235</v>
      </c>
      <c r="D55" s="6" t="s">
        <v>192</v>
      </c>
      <c r="E55" s="11">
        <v>1.3730000000000001E-3</v>
      </c>
      <c r="F55" s="1"/>
      <c r="G55" s="1"/>
      <c r="H55" s="1"/>
      <c r="I55" s="1"/>
      <c r="J55" s="1"/>
      <c r="K55" s="1"/>
      <c r="L55" s="1"/>
      <c r="M55" s="1"/>
      <c r="N55" s="18"/>
    </row>
    <row r="56" spans="2:14" ht="15" customHeight="1" x14ac:dyDescent="0.25">
      <c r="B56" s="20"/>
      <c r="C56" s="5" t="s">
        <v>233</v>
      </c>
      <c r="D56" s="6" t="s">
        <v>192</v>
      </c>
      <c r="E56" s="11">
        <v>9.1200000000000005E-4</v>
      </c>
      <c r="F56" s="1"/>
      <c r="G56" s="1"/>
      <c r="H56" s="1"/>
      <c r="I56" s="1"/>
      <c r="J56" s="1"/>
      <c r="K56" s="1"/>
      <c r="L56" s="1"/>
      <c r="M56" s="1"/>
      <c r="N56" s="18"/>
    </row>
    <row r="57" spans="2:14" ht="15" customHeight="1" x14ac:dyDescent="0.25">
      <c r="B57" s="20"/>
      <c r="C57" s="5" t="s">
        <v>244</v>
      </c>
      <c r="D57" s="6" t="s">
        <v>192</v>
      </c>
      <c r="E57" s="11">
        <v>9.0499999999999999E-4</v>
      </c>
      <c r="F57" s="1"/>
      <c r="G57" s="1"/>
      <c r="H57" s="1"/>
      <c r="I57" s="1"/>
      <c r="J57" s="1"/>
      <c r="K57" s="1"/>
      <c r="L57" s="1"/>
      <c r="M57" s="1"/>
      <c r="N57" s="18"/>
    </row>
    <row r="58" spans="2:14" ht="15" customHeight="1" x14ac:dyDescent="0.25">
      <c r="B58" s="20"/>
      <c r="C58" s="5" t="s">
        <v>241</v>
      </c>
      <c r="D58" s="6" t="s">
        <v>192</v>
      </c>
      <c r="E58" s="11">
        <v>4.55E-4</v>
      </c>
      <c r="F58" s="1"/>
      <c r="G58" s="1"/>
      <c r="H58" s="1"/>
      <c r="I58" s="1"/>
      <c r="J58" s="1"/>
      <c r="K58" s="1"/>
      <c r="L58" s="1"/>
      <c r="M58" s="1"/>
      <c r="N58" s="18"/>
    </row>
    <row r="59" spans="2:14" ht="15" customHeight="1" x14ac:dyDescent="0.25">
      <c r="B59" s="20"/>
      <c r="C59" s="7" t="s">
        <v>46</v>
      </c>
      <c r="D59" s="8"/>
      <c r="E59" s="12">
        <v>7.3099999999999998E-2</v>
      </c>
      <c r="F59" s="1"/>
      <c r="G59" s="1"/>
      <c r="H59" s="1"/>
      <c r="I59" s="1"/>
      <c r="J59" s="1"/>
      <c r="K59" s="1"/>
      <c r="L59" s="1"/>
      <c r="M59" s="1"/>
      <c r="N59" s="18"/>
    </row>
    <row r="60" spans="2:14" ht="15" customHeight="1" x14ac:dyDescent="0.25">
      <c r="B60" s="20"/>
      <c r="C60" s="5" t="s">
        <v>178</v>
      </c>
      <c r="D60" s="6" t="s">
        <v>192</v>
      </c>
      <c r="E60" s="11">
        <v>1.7722000000000002E-2</v>
      </c>
      <c r="F60" s="1"/>
      <c r="G60" s="1"/>
      <c r="H60" s="1"/>
      <c r="I60" s="1"/>
      <c r="J60" s="1"/>
      <c r="K60" s="1"/>
      <c r="L60" s="1"/>
      <c r="M60" s="1"/>
      <c r="N60" s="18"/>
    </row>
    <row r="61" spans="2:14" ht="15" customHeight="1" x14ac:dyDescent="0.25">
      <c r="B61" s="20"/>
      <c r="C61" s="5" t="s">
        <v>179</v>
      </c>
      <c r="D61" s="6" t="s">
        <v>192</v>
      </c>
      <c r="E61" s="11">
        <v>1.7677999999999999E-2</v>
      </c>
      <c r="F61" s="1"/>
      <c r="G61" s="1"/>
      <c r="H61" s="1"/>
      <c r="I61" s="1"/>
      <c r="J61" s="1"/>
      <c r="K61" s="1"/>
      <c r="L61" s="1"/>
      <c r="M61" s="1"/>
      <c r="N61" s="18"/>
    </row>
    <row r="62" spans="2:14" ht="15" customHeight="1" x14ac:dyDescent="0.25">
      <c r="B62" s="20"/>
      <c r="C62" s="5" t="s">
        <v>180</v>
      </c>
      <c r="D62" s="6" t="s">
        <v>192</v>
      </c>
      <c r="E62" s="11">
        <v>8.9060000000000007E-3</v>
      </c>
      <c r="F62" s="1"/>
      <c r="G62" s="1"/>
      <c r="H62" s="1"/>
      <c r="I62" s="1"/>
      <c r="J62" s="1"/>
      <c r="K62" s="1"/>
      <c r="L62" s="1"/>
      <c r="M62" s="1"/>
      <c r="N62" s="18"/>
    </row>
    <row r="63" spans="2:14" ht="15" customHeight="1" x14ac:dyDescent="0.25">
      <c r="B63" s="20"/>
      <c r="C63" s="5" t="s">
        <v>181</v>
      </c>
      <c r="D63" s="6" t="s">
        <v>192</v>
      </c>
      <c r="E63" s="11">
        <v>8.881E-3</v>
      </c>
      <c r="F63" s="1"/>
      <c r="G63" s="1"/>
      <c r="H63" s="1"/>
      <c r="I63" s="1"/>
      <c r="J63" s="1"/>
      <c r="K63" s="1"/>
      <c r="L63" s="1"/>
      <c r="M63" s="1"/>
      <c r="N63" s="18"/>
    </row>
    <row r="64" spans="2:14" ht="15" customHeight="1" x14ac:dyDescent="0.25">
      <c r="B64" s="20"/>
      <c r="C64" s="5" t="s">
        <v>182</v>
      </c>
      <c r="D64" s="6" t="s">
        <v>192</v>
      </c>
      <c r="E64" s="11">
        <v>4.4359999999999998E-3</v>
      </c>
      <c r="F64" s="1"/>
      <c r="G64" s="1"/>
      <c r="H64" s="1"/>
      <c r="I64" s="1"/>
      <c r="J64" s="1"/>
      <c r="K64" s="1"/>
      <c r="L64" s="1"/>
      <c r="M64" s="1"/>
      <c r="N64" s="18"/>
    </row>
    <row r="65" spans="2:14" ht="15" customHeight="1" x14ac:dyDescent="0.25">
      <c r="B65" s="20"/>
      <c r="C65" s="7" t="s">
        <v>161</v>
      </c>
      <c r="D65" s="8"/>
      <c r="E65" s="12">
        <v>5.7623000000000001E-2</v>
      </c>
      <c r="F65" s="1"/>
      <c r="G65" s="1"/>
      <c r="H65" s="1"/>
      <c r="I65" s="1"/>
      <c r="J65" s="1"/>
      <c r="K65" s="1"/>
      <c r="L65" s="1"/>
      <c r="M65" s="1"/>
      <c r="N65" s="18"/>
    </row>
    <row r="66" spans="2:14" ht="15" customHeight="1" x14ac:dyDescent="0.25">
      <c r="B66" s="20"/>
      <c r="C66" s="5" t="s">
        <v>30</v>
      </c>
      <c r="D66" s="6"/>
      <c r="E66" s="11">
        <v>2.2359E-2</v>
      </c>
      <c r="F66" s="1"/>
      <c r="G66" s="1"/>
      <c r="H66" s="1"/>
      <c r="I66" s="1"/>
      <c r="J66" s="1"/>
      <c r="K66" s="1"/>
      <c r="L66" s="1"/>
      <c r="M66" s="1"/>
      <c r="N66" s="18"/>
    </row>
    <row r="67" spans="2:14" ht="15" customHeight="1" x14ac:dyDescent="0.25">
      <c r="B67" s="20"/>
      <c r="C67" s="7" t="s">
        <v>31</v>
      </c>
      <c r="D67" s="8"/>
      <c r="E67" s="12">
        <v>2.2359E-2</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 customHeight="1" x14ac:dyDescent="0.25">
      <c r="B69" s="20"/>
      <c r="C69" s="7" t="s">
        <v>32</v>
      </c>
      <c r="D69" s="8"/>
      <c r="E69" s="12">
        <v>-1.7136999999999999E-2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33</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5" customHeight="1" x14ac:dyDescent="0.25">
      <c r="B75" s="69" t="s">
        <v>325</v>
      </c>
      <c r="C75" s="70"/>
      <c r="D75" s="70"/>
      <c r="E75" s="70"/>
      <c r="F75" s="70"/>
      <c r="G75" s="70"/>
      <c r="H75" s="70"/>
      <c r="I75" s="70"/>
      <c r="J75" s="70"/>
      <c r="K75" s="70"/>
      <c r="L75" s="70"/>
      <c r="M75" s="70"/>
      <c r="N75" s="71"/>
    </row>
    <row r="76" spans="2:14" ht="15" customHeight="1" x14ac:dyDescent="0.25">
      <c r="B76" s="72"/>
      <c r="C76" s="73"/>
      <c r="D76" s="73"/>
      <c r="E76" s="73"/>
      <c r="F76" s="73"/>
      <c r="G76" s="73"/>
      <c r="H76" s="73"/>
      <c r="I76" s="73"/>
      <c r="J76" s="73"/>
      <c r="K76" s="73"/>
      <c r="L76" s="73"/>
      <c r="M76" s="73"/>
      <c r="N76" s="74"/>
    </row>
    <row r="77" spans="2:14" ht="15" customHeight="1" x14ac:dyDescent="0.25">
      <c r="B77" s="72"/>
      <c r="C77" s="73"/>
      <c r="D77" s="73"/>
      <c r="E77" s="73"/>
      <c r="F77" s="73"/>
      <c r="G77" s="73"/>
      <c r="H77" s="73"/>
      <c r="I77" s="73"/>
      <c r="J77" s="73"/>
      <c r="K77" s="73"/>
      <c r="L77" s="73"/>
      <c r="M77" s="73"/>
      <c r="N77" s="74"/>
    </row>
    <row r="78" spans="2:14" ht="15" customHeight="1" thickBot="1" x14ac:dyDescent="0.3">
      <c r="B78" s="75"/>
      <c r="C78" s="76"/>
      <c r="D78" s="76"/>
      <c r="E78" s="76"/>
      <c r="F78" s="76"/>
      <c r="G78" s="76"/>
      <c r="H78" s="76"/>
      <c r="I78" s="76"/>
      <c r="J78" s="76"/>
      <c r="K78" s="76"/>
      <c r="L78" s="76"/>
      <c r="M78" s="76"/>
      <c r="N78" s="77"/>
    </row>
    <row r="79" spans="2:14" ht="15" customHeight="1" thickBot="1" x14ac:dyDescent="0.3"/>
    <row r="80" spans="2:14" ht="120" customHeight="1" thickBot="1" x14ac:dyDescent="0.3">
      <c r="B80" s="78" t="s">
        <v>323</v>
      </c>
      <c r="C80" s="79"/>
      <c r="D80" s="79"/>
      <c r="E80" s="79"/>
      <c r="F80" s="79"/>
      <c r="G80" s="79"/>
      <c r="H80" s="79"/>
      <c r="I80" s="79"/>
      <c r="J80" s="79"/>
      <c r="K80" s="79"/>
      <c r="L80" s="79"/>
      <c r="M80" s="79"/>
      <c r="N80" s="80"/>
    </row>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sortState ref="C38:E40">
    <sortCondition descending="1" ref="E38"/>
  </sortState>
  <mergeCells count="7">
    <mergeCell ref="B75:N78"/>
    <mergeCell ref="B80:N80"/>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BC60-01A9-467A-A35D-C2BE51C1D118}">
  <dimension ref="B1:N67"/>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189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190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14</v>
      </c>
      <c r="D8" s="6" t="s">
        <v>13</v>
      </c>
      <c r="E8" s="11">
        <v>0.113325</v>
      </c>
      <c r="F8" s="1"/>
      <c r="G8" s="24" t="s">
        <v>4</v>
      </c>
      <c r="H8" s="29">
        <v>0.97405299999999995</v>
      </c>
      <c r="I8" s="1"/>
      <c r="J8" s="24" t="s">
        <v>34</v>
      </c>
      <c r="K8" s="24" t="s">
        <v>3</v>
      </c>
      <c r="L8" s="1"/>
      <c r="M8" s="1"/>
      <c r="N8" s="18"/>
    </row>
    <row r="9" spans="2:14" ht="15" customHeight="1" x14ac:dyDescent="0.25">
      <c r="B9" s="20"/>
      <c r="C9" s="5" t="s">
        <v>42</v>
      </c>
      <c r="D9" s="6" t="s">
        <v>13</v>
      </c>
      <c r="E9" s="11">
        <v>8.0107999999999999E-2</v>
      </c>
      <c r="F9" s="1"/>
      <c r="G9" s="24" t="s">
        <v>90</v>
      </c>
      <c r="H9" s="29">
        <v>2.5947000000000001E-2</v>
      </c>
      <c r="I9" s="1"/>
      <c r="J9" s="24" t="s">
        <v>32</v>
      </c>
      <c r="K9" s="29">
        <v>1.0291E-2</v>
      </c>
      <c r="L9" s="1"/>
      <c r="M9" s="1"/>
      <c r="N9" s="18"/>
    </row>
    <row r="10" spans="2:14" ht="15" customHeight="1" x14ac:dyDescent="0.25">
      <c r="B10" s="20"/>
      <c r="C10" s="5" t="s">
        <v>41</v>
      </c>
      <c r="D10" s="6" t="s">
        <v>13</v>
      </c>
      <c r="E10" s="11">
        <v>7.1732000000000004E-2</v>
      </c>
      <c r="F10" s="1"/>
      <c r="G10" s="1"/>
      <c r="H10" s="1"/>
      <c r="I10" s="1"/>
      <c r="J10" s="24" t="s">
        <v>35</v>
      </c>
      <c r="K10" s="29">
        <v>0.10485700000000001</v>
      </c>
      <c r="L10" s="1"/>
      <c r="M10" s="1"/>
      <c r="N10" s="18"/>
    </row>
    <row r="11" spans="2:14" ht="15" customHeight="1" x14ac:dyDescent="0.25">
      <c r="B11" s="20"/>
      <c r="C11" s="5" t="s">
        <v>133</v>
      </c>
      <c r="D11" s="6" t="s">
        <v>13</v>
      </c>
      <c r="E11" s="11">
        <v>1.6182999999999999E-2</v>
      </c>
      <c r="F11" s="1"/>
      <c r="G11" s="1"/>
      <c r="H11" s="1"/>
      <c r="I11" s="1"/>
      <c r="J11" s="24" t="s">
        <v>36</v>
      </c>
      <c r="K11" s="29">
        <v>0.30119600000000002</v>
      </c>
      <c r="L11" s="1"/>
      <c r="M11" s="1"/>
      <c r="N11" s="18"/>
    </row>
    <row r="12" spans="2:14" ht="15" customHeight="1" x14ac:dyDescent="0.25">
      <c r="B12" s="20"/>
      <c r="C12" s="5" t="s">
        <v>132</v>
      </c>
      <c r="D12" s="6" t="s">
        <v>13</v>
      </c>
      <c r="E12" s="11">
        <v>1.3410999999999999E-2</v>
      </c>
      <c r="F12" s="1"/>
      <c r="G12" s="1"/>
      <c r="H12" s="1"/>
      <c r="I12" s="1"/>
      <c r="J12" s="24" t="s">
        <v>37</v>
      </c>
      <c r="K12" s="29">
        <v>0.47858699999999998</v>
      </c>
      <c r="L12" s="1"/>
      <c r="M12" s="1"/>
      <c r="N12" s="18"/>
    </row>
    <row r="13" spans="2:14" ht="15" customHeight="1" x14ac:dyDescent="0.25">
      <c r="B13" s="20"/>
      <c r="C13" s="5" t="s">
        <v>173</v>
      </c>
      <c r="D13" s="6" t="s">
        <v>13</v>
      </c>
      <c r="E13" s="11">
        <v>6.437E-3</v>
      </c>
      <c r="F13" s="1"/>
      <c r="G13" s="1"/>
      <c r="H13" s="1"/>
      <c r="I13" s="1"/>
      <c r="J13" s="24" t="s">
        <v>162</v>
      </c>
      <c r="K13" s="29">
        <v>3.6694999999999998E-2</v>
      </c>
      <c r="L13" s="1"/>
      <c r="M13" s="1"/>
      <c r="N13" s="18"/>
    </row>
    <row r="14" spans="2:14" ht="15.75" customHeight="1" x14ac:dyDescent="0.25">
      <c r="B14" s="20"/>
      <c r="C14" s="7" t="s">
        <v>15</v>
      </c>
      <c r="D14" s="8"/>
      <c r="E14" s="12">
        <v>0.30119600000000002</v>
      </c>
      <c r="F14" s="1"/>
      <c r="G14" s="1"/>
      <c r="H14" s="1"/>
      <c r="I14" s="1"/>
      <c r="J14" s="24" t="s">
        <v>22</v>
      </c>
      <c r="K14" s="29">
        <v>2.8029999999999999E-3</v>
      </c>
      <c r="L14" s="1"/>
      <c r="M14" s="1"/>
      <c r="N14" s="18"/>
    </row>
    <row r="15" spans="2:14" ht="15" customHeight="1" x14ac:dyDescent="0.25">
      <c r="B15" s="20"/>
      <c r="C15" s="5" t="s">
        <v>143</v>
      </c>
      <c r="D15" s="6" t="s">
        <v>13</v>
      </c>
      <c r="E15" s="11">
        <v>2.5995000000000001E-2</v>
      </c>
      <c r="F15" s="1"/>
      <c r="G15" s="1"/>
      <c r="H15" s="1"/>
      <c r="I15" s="1"/>
      <c r="J15" s="24" t="s">
        <v>47</v>
      </c>
      <c r="K15" s="29">
        <v>4.5483999999999997E-2</v>
      </c>
      <c r="L15" s="1"/>
      <c r="M15" s="1"/>
      <c r="N15" s="18"/>
    </row>
    <row r="16" spans="2:14" ht="15" customHeight="1" x14ac:dyDescent="0.25">
      <c r="B16" s="20"/>
      <c r="C16" s="5" t="s">
        <v>137</v>
      </c>
      <c r="D16" s="6" t="s">
        <v>13</v>
      </c>
      <c r="E16" s="11">
        <v>1.0699999999999999E-2</v>
      </c>
      <c r="F16" s="1"/>
      <c r="G16" s="1"/>
      <c r="H16" s="1"/>
      <c r="I16" s="1"/>
      <c r="J16" s="24" t="s">
        <v>163</v>
      </c>
      <c r="K16" s="29">
        <v>1.3369000000000001E-2</v>
      </c>
      <c r="L16" s="1"/>
      <c r="M16" s="1"/>
      <c r="N16" s="18"/>
    </row>
    <row r="17" spans="2:14" ht="15.75" customHeight="1" x14ac:dyDescent="0.25">
      <c r="B17" s="20"/>
      <c r="C17" s="7" t="s">
        <v>148</v>
      </c>
      <c r="D17" s="8"/>
      <c r="E17" s="12">
        <v>3.6694999999999998E-2</v>
      </c>
      <c r="F17" s="1"/>
      <c r="G17" s="1"/>
      <c r="H17" s="1"/>
      <c r="I17" s="1"/>
      <c r="J17" s="24" t="s">
        <v>72</v>
      </c>
      <c r="K17" s="29">
        <v>6.718E-3</v>
      </c>
      <c r="L17" s="1"/>
      <c r="M17" s="1"/>
      <c r="N17" s="18"/>
    </row>
    <row r="18" spans="2:14" ht="15" customHeight="1" x14ac:dyDescent="0.25">
      <c r="B18" s="20"/>
      <c r="C18" s="5" t="s">
        <v>19</v>
      </c>
      <c r="D18" s="6" t="s">
        <v>17</v>
      </c>
      <c r="E18" s="11">
        <v>0.114005</v>
      </c>
      <c r="F18" s="1"/>
      <c r="G18" s="1"/>
      <c r="H18" s="1"/>
      <c r="I18" s="1"/>
      <c r="J18" s="1"/>
      <c r="K18" s="1"/>
      <c r="L18" s="1"/>
      <c r="M18" s="1"/>
      <c r="N18" s="18"/>
    </row>
    <row r="19" spans="2:14" ht="15" customHeight="1" x14ac:dyDescent="0.25">
      <c r="B19" s="20"/>
      <c r="C19" s="5" t="s">
        <v>12</v>
      </c>
      <c r="D19" s="6" t="s">
        <v>17</v>
      </c>
      <c r="E19" s="11">
        <v>0.11319799999999999</v>
      </c>
      <c r="F19" s="1"/>
      <c r="G19" s="1"/>
      <c r="H19" s="1"/>
      <c r="I19" s="1"/>
      <c r="J19" s="1"/>
      <c r="K19" s="1"/>
      <c r="L19" s="1"/>
      <c r="M19" s="1"/>
      <c r="N19" s="18"/>
    </row>
    <row r="20" spans="2:14" ht="15" customHeight="1" x14ac:dyDescent="0.25">
      <c r="B20" s="20"/>
      <c r="C20" s="5" t="s">
        <v>50</v>
      </c>
      <c r="D20" s="6" t="s">
        <v>17</v>
      </c>
      <c r="E20" s="11">
        <v>8.1542000000000003E-2</v>
      </c>
      <c r="F20" s="1"/>
      <c r="G20" s="1"/>
      <c r="H20" s="1"/>
      <c r="I20" s="1"/>
      <c r="J20" s="1"/>
      <c r="K20" s="1"/>
      <c r="L20" s="1"/>
      <c r="M20" s="1"/>
      <c r="N20" s="18"/>
    </row>
    <row r="21" spans="2:14" ht="15" customHeight="1" x14ac:dyDescent="0.25">
      <c r="B21" s="20"/>
      <c r="C21" s="5" t="s">
        <v>18</v>
      </c>
      <c r="D21" s="6" t="s">
        <v>17</v>
      </c>
      <c r="E21" s="11">
        <v>6.7459000000000005E-2</v>
      </c>
      <c r="F21" s="1"/>
      <c r="G21" s="1"/>
      <c r="H21" s="1"/>
      <c r="I21" s="1"/>
      <c r="J21" s="1"/>
      <c r="K21" s="1"/>
      <c r="L21" s="1"/>
      <c r="M21" s="1"/>
      <c r="N21" s="18"/>
    </row>
    <row r="22" spans="2:14" ht="15" customHeight="1" x14ac:dyDescent="0.25">
      <c r="B22" s="20"/>
      <c r="C22" s="5" t="s">
        <v>139</v>
      </c>
      <c r="D22" s="6" t="s">
        <v>17</v>
      </c>
      <c r="E22" s="11">
        <v>5.4580999999999998E-2</v>
      </c>
      <c r="F22" s="1"/>
      <c r="G22" s="1"/>
      <c r="H22" s="1"/>
      <c r="I22" s="1"/>
      <c r="J22" s="1"/>
      <c r="K22" s="1"/>
      <c r="L22" s="1"/>
      <c r="M22" s="1"/>
      <c r="N22" s="18"/>
    </row>
    <row r="23" spans="2:14" ht="15" customHeight="1" x14ac:dyDescent="0.25">
      <c r="B23" s="20"/>
      <c r="C23" s="5" t="s">
        <v>121</v>
      </c>
      <c r="D23" s="6" t="s">
        <v>79</v>
      </c>
      <c r="E23" s="11">
        <v>2.5947000000000001E-2</v>
      </c>
      <c r="F23" s="1"/>
      <c r="G23" s="1"/>
      <c r="H23" s="1"/>
      <c r="I23" s="1"/>
      <c r="J23" s="1"/>
      <c r="K23" s="1"/>
      <c r="L23" s="1"/>
      <c r="M23" s="1"/>
      <c r="N23" s="18"/>
    </row>
    <row r="24" spans="2:14" ht="15" customHeight="1" x14ac:dyDescent="0.25">
      <c r="B24" s="20"/>
      <c r="C24" s="5" t="s">
        <v>43</v>
      </c>
      <c r="D24" s="6" t="s">
        <v>17</v>
      </c>
      <c r="E24" s="11">
        <v>1.5044999999999999E-2</v>
      </c>
      <c r="F24" s="1"/>
      <c r="G24" s="86" t="s">
        <v>113</v>
      </c>
      <c r="H24" s="87"/>
      <c r="I24" s="87"/>
      <c r="J24" s="87"/>
      <c r="K24" s="87"/>
      <c r="L24" s="37">
        <v>169.77467159305991</v>
      </c>
      <c r="M24" s="27"/>
      <c r="N24" s="28"/>
    </row>
    <row r="25" spans="2:14" ht="15" customHeight="1" x14ac:dyDescent="0.25">
      <c r="B25" s="20"/>
      <c r="C25" s="5" t="s">
        <v>20</v>
      </c>
      <c r="D25" s="6" t="s">
        <v>17</v>
      </c>
      <c r="E25" s="11">
        <v>6.8100000000000001E-3</v>
      </c>
      <c r="F25" s="1"/>
      <c r="G25" s="1"/>
      <c r="H25" s="1"/>
      <c r="I25" s="1"/>
      <c r="J25" s="1"/>
      <c r="K25" s="1"/>
      <c r="L25" s="1"/>
      <c r="M25" s="1"/>
      <c r="N25" s="18"/>
    </row>
    <row r="26" spans="2:14" ht="15.75" customHeight="1" x14ac:dyDescent="0.25">
      <c r="B26" s="20"/>
      <c r="C26" s="7" t="s">
        <v>21</v>
      </c>
      <c r="D26" s="8"/>
      <c r="E26" s="12">
        <v>0.47858699999999998</v>
      </c>
      <c r="F26" s="1"/>
      <c r="G26" s="86" t="s">
        <v>7</v>
      </c>
      <c r="H26" s="87"/>
      <c r="I26" s="87"/>
      <c r="J26" s="87"/>
      <c r="K26" s="87"/>
      <c r="L26" s="87"/>
      <c r="M26" s="87"/>
      <c r="N26" s="88"/>
    </row>
    <row r="27" spans="2:14" ht="15" customHeight="1" x14ac:dyDescent="0.25">
      <c r="B27" s="20"/>
      <c r="C27" s="5" t="s">
        <v>22</v>
      </c>
      <c r="D27" s="6"/>
      <c r="E27" s="11">
        <v>2.8029999999999999E-3</v>
      </c>
      <c r="F27" s="1"/>
      <c r="G27" s="1"/>
      <c r="H27" s="1"/>
      <c r="I27" s="1"/>
      <c r="J27" s="1"/>
      <c r="K27" s="1"/>
      <c r="L27" s="1"/>
      <c r="M27" s="1"/>
      <c r="N27" s="18"/>
    </row>
    <row r="28" spans="2:14" ht="15.75" customHeight="1" x14ac:dyDescent="0.25">
      <c r="B28" s="20"/>
      <c r="C28" s="7" t="s">
        <v>23</v>
      </c>
      <c r="D28" s="8"/>
      <c r="E28" s="12">
        <v>2.8029999999999999E-3</v>
      </c>
      <c r="F28" s="1"/>
      <c r="G28" s="1"/>
      <c r="H28" s="1"/>
      <c r="I28" s="1"/>
      <c r="J28" s="1"/>
      <c r="K28" s="1"/>
      <c r="L28" s="1"/>
      <c r="M28" s="1"/>
      <c r="N28" s="18"/>
    </row>
    <row r="29" spans="2:14" ht="15" customHeight="1" x14ac:dyDescent="0.25">
      <c r="B29" s="20"/>
      <c r="C29" s="5" t="s">
        <v>253</v>
      </c>
      <c r="D29" s="6" t="s">
        <v>192</v>
      </c>
      <c r="E29" s="11">
        <v>8.3759999999999998E-3</v>
      </c>
      <c r="F29" s="1"/>
      <c r="G29" s="1"/>
      <c r="H29" s="1"/>
      <c r="I29" s="1"/>
      <c r="J29" s="1"/>
      <c r="K29" s="1"/>
      <c r="L29" s="1"/>
      <c r="M29" s="1"/>
      <c r="N29" s="18"/>
    </row>
    <row r="30" spans="2:14" ht="15.75" customHeight="1" x14ac:dyDescent="0.25">
      <c r="B30" s="20"/>
      <c r="C30" s="5" t="s">
        <v>255</v>
      </c>
      <c r="D30" s="6" t="s">
        <v>192</v>
      </c>
      <c r="E30" s="11">
        <v>6.9629999999999996E-3</v>
      </c>
      <c r="F30" s="1"/>
      <c r="G30" s="1"/>
      <c r="H30" s="1"/>
      <c r="I30" s="1"/>
      <c r="J30" s="1"/>
      <c r="K30" s="1"/>
      <c r="L30" s="1"/>
      <c r="M30" s="1"/>
      <c r="N30" s="18"/>
    </row>
    <row r="31" spans="2:14" ht="15" customHeight="1" x14ac:dyDescent="0.25">
      <c r="B31" s="20"/>
      <c r="C31" s="5" t="s">
        <v>198</v>
      </c>
      <c r="D31" s="6" t="s">
        <v>192</v>
      </c>
      <c r="E31" s="11">
        <v>6.9490000000000003E-3</v>
      </c>
      <c r="F31" s="1"/>
      <c r="G31" s="1"/>
      <c r="H31" s="1"/>
      <c r="I31" s="1"/>
      <c r="J31" s="1"/>
      <c r="K31" s="1"/>
      <c r="L31" s="1"/>
      <c r="M31" s="1"/>
      <c r="N31" s="18"/>
    </row>
    <row r="32" spans="2:14" ht="15.75" customHeight="1" x14ac:dyDescent="0.25">
      <c r="B32" s="20"/>
      <c r="C32" s="5" t="s">
        <v>256</v>
      </c>
      <c r="D32" s="6" t="s">
        <v>192</v>
      </c>
      <c r="E32" s="11">
        <v>6.9389999999999999E-3</v>
      </c>
      <c r="F32" s="1"/>
      <c r="G32" s="1"/>
      <c r="H32" s="1"/>
      <c r="I32" s="1"/>
      <c r="J32" s="1"/>
      <c r="K32" s="1"/>
      <c r="L32" s="1"/>
      <c r="M32" s="1"/>
      <c r="N32" s="18"/>
    </row>
    <row r="33" spans="2:14" ht="15" customHeight="1" x14ac:dyDescent="0.25">
      <c r="B33" s="20"/>
      <c r="C33" s="5" t="s">
        <v>252</v>
      </c>
      <c r="D33" s="6" t="s">
        <v>192</v>
      </c>
      <c r="E33" s="11">
        <v>6.9360000000000003E-3</v>
      </c>
      <c r="F33" s="1"/>
      <c r="G33" s="1"/>
      <c r="H33" s="1"/>
      <c r="I33" s="1"/>
      <c r="J33" s="1"/>
      <c r="K33" s="1"/>
      <c r="L33" s="1"/>
      <c r="M33" s="1"/>
      <c r="N33" s="18"/>
    </row>
    <row r="34" spans="2:14" ht="15.75" customHeight="1" x14ac:dyDescent="0.25">
      <c r="B34" s="20"/>
      <c r="C34" s="5" t="s">
        <v>258</v>
      </c>
      <c r="D34" s="6" t="s">
        <v>192</v>
      </c>
      <c r="E34" s="11">
        <v>4.0870000000000004E-3</v>
      </c>
      <c r="F34" s="1"/>
      <c r="G34" s="1"/>
      <c r="H34" s="1"/>
      <c r="I34" s="1"/>
      <c r="J34" s="1"/>
      <c r="K34" s="1"/>
      <c r="L34" s="1"/>
      <c r="M34" s="1"/>
      <c r="N34" s="18"/>
    </row>
    <row r="35" spans="2:14" ht="15" customHeight="1" x14ac:dyDescent="0.25">
      <c r="B35" s="20"/>
      <c r="C35" s="5" t="s">
        <v>257</v>
      </c>
      <c r="D35" s="6" t="s">
        <v>192</v>
      </c>
      <c r="E35" s="11">
        <v>2.7399999999999998E-3</v>
      </c>
      <c r="F35" s="1"/>
      <c r="G35" s="1"/>
      <c r="H35" s="1"/>
      <c r="I35" s="1"/>
      <c r="J35" s="1"/>
      <c r="K35" s="1"/>
      <c r="L35" s="1"/>
      <c r="M35" s="1"/>
      <c r="N35" s="18"/>
    </row>
    <row r="36" spans="2:14" ht="15.75" customHeight="1" x14ac:dyDescent="0.25">
      <c r="B36" s="20"/>
      <c r="C36" s="5" t="s">
        <v>254</v>
      </c>
      <c r="D36" s="6" t="s">
        <v>192</v>
      </c>
      <c r="E36" s="11">
        <v>1.377E-3</v>
      </c>
      <c r="F36" s="1"/>
      <c r="G36" s="1"/>
      <c r="H36" s="1"/>
      <c r="I36" s="1"/>
      <c r="J36" s="1"/>
      <c r="K36" s="1"/>
      <c r="L36" s="1"/>
      <c r="M36" s="1"/>
      <c r="N36" s="18"/>
    </row>
    <row r="37" spans="2:14" ht="15" customHeight="1" x14ac:dyDescent="0.25">
      <c r="B37" s="20"/>
      <c r="C37" s="5" t="s">
        <v>206</v>
      </c>
      <c r="D37" s="6" t="s">
        <v>192</v>
      </c>
      <c r="E37" s="11">
        <v>1.1169999999999999E-3</v>
      </c>
      <c r="F37" s="1"/>
      <c r="G37" s="1"/>
      <c r="H37" s="1"/>
      <c r="I37" s="1"/>
      <c r="J37" s="1"/>
      <c r="K37" s="1"/>
      <c r="L37" s="1"/>
      <c r="M37" s="1"/>
      <c r="N37" s="18"/>
    </row>
    <row r="38" spans="2:14" ht="15.75" customHeight="1" x14ac:dyDescent="0.25">
      <c r="B38" s="20"/>
      <c r="C38" s="7" t="s">
        <v>46</v>
      </c>
      <c r="D38" s="8"/>
      <c r="E38" s="12">
        <v>4.5483999999999997E-2</v>
      </c>
      <c r="F38" s="1"/>
      <c r="G38" s="1"/>
      <c r="H38" s="1"/>
      <c r="I38" s="1"/>
      <c r="J38" s="1"/>
      <c r="K38" s="1"/>
      <c r="L38" s="1"/>
      <c r="M38" s="1"/>
      <c r="N38" s="18"/>
    </row>
    <row r="39" spans="2:14" ht="15" customHeight="1" x14ac:dyDescent="0.25">
      <c r="B39" s="20"/>
      <c r="C39" s="5" t="s">
        <v>178</v>
      </c>
      <c r="D39" s="6" t="s">
        <v>192</v>
      </c>
      <c r="E39" s="11">
        <v>1.3369000000000001E-2</v>
      </c>
      <c r="F39" s="1"/>
      <c r="G39" s="1"/>
      <c r="H39" s="1"/>
      <c r="I39" s="1"/>
      <c r="J39" s="1"/>
      <c r="K39" s="1"/>
      <c r="L39" s="1"/>
      <c r="M39" s="1"/>
      <c r="N39" s="18"/>
    </row>
    <row r="40" spans="2:14" ht="15" customHeight="1" x14ac:dyDescent="0.25">
      <c r="B40" s="20"/>
      <c r="C40" s="7" t="s">
        <v>161</v>
      </c>
      <c r="D40" s="8"/>
      <c r="E40" s="12">
        <v>1.3369000000000001E-2</v>
      </c>
      <c r="F40" s="1"/>
      <c r="G40" s="1"/>
      <c r="H40" s="1"/>
      <c r="I40" s="1"/>
      <c r="J40" s="1"/>
      <c r="K40" s="1"/>
      <c r="L40" s="1"/>
      <c r="M40" s="1"/>
      <c r="N40" s="18"/>
    </row>
    <row r="41" spans="2:14" ht="15" customHeight="1" x14ac:dyDescent="0.25">
      <c r="B41" s="20"/>
      <c r="C41" s="5" t="s">
        <v>30</v>
      </c>
      <c r="D41" s="6"/>
      <c r="E41" s="11">
        <v>0.10485700000000001</v>
      </c>
      <c r="F41" s="1"/>
      <c r="G41" s="1"/>
      <c r="H41" s="1"/>
      <c r="I41" s="1"/>
      <c r="J41" s="1"/>
      <c r="K41" s="1"/>
      <c r="L41" s="1"/>
      <c r="M41" s="1"/>
      <c r="N41" s="18"/>
    </row>
    <row r="42" spans="2:14" ht="15" customHeight="1" x14ac:dyDescent="0.25">
      <c r="B42" s="20"/>
      <c r="C42" s="7" t="s">
        <v>31</v>
      </c>
      <c r="D42" s="8"/>
      <c r="E42" s="12">
        <v>0.10485700000000001</v>
      </c>
      <c r="F42" s="1"/>
      <c r="G42" s="1"/>
      <c r="H42" s="1"/>
      <c r="I42" s="1"/>
      <c r="J42" s="1"/>
      <c r="K42" s="1"/>
      <c r="L42" s="1"/>
      <c r="M42" s="1"/>
      <c r="N42" s="18"/>
    </row>
    <row r="43" spans="2:14" ht="15" customHeight="1" x14ac:dyDescent="0.25">
      <c r="B43" s="20"/>
      <c r="C43" s="5" t="s">
        <v>51</v>
      </c>
      <c r="D43" s="6" t="s">
        <v>17</v>
      </c>
      <c r="E43" s="11">
        <v>6.718E-3</v>
      </c>
      <c r="F43" s="1"/>
      <c r="G43" s="1"/>
      <c r="H43" s="1"/>
      <c r="I43" s="1"/>
      <c r="J43" s="1"/>
      <c r="K43" s="1"/>
      <c r="L43" s="1"/>
      <c r="M43" s="1"/>
      <c r="N43" s="18"/>
    </row>
    <row r="44" spans="2:14" ht="15" customHeight="1" x14ac:dyDescent="0.25">
      <c r="B44" s="20"/>
      <c r="C44" s="7" t="s">
        <v>71</v>
      </c>
      <c r="D44" s="8"/>
      <c r="E44" s="12">
        <v>6.718E-3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7" t="s">
        <v>32</v>
      </c>
      <c r="D46" s="8"/>
      <c r="E46" s="12">
        <v>1.0291E-2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33</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9" t="s">
        <v>325</v>
      </c>
      <c r="C52" s="70"/>
      <c r="D52" s="70"/>
      <c r="E52" s="70"/>
      <c r="F52" s="70"/>
      <c r="G52" s="70"/>
      <c r="H52" s="70"/>
      <c r="I52" s="70"/>
      <c r="J52" s="70"/>
      <c r="K52" s="70"/>
      <c r="L52" s="70"/>
      <c r="M52" s="70"/>
      <c r="N52" s="71"/>
    </row>
    <row r="53" spans="2:14" ht="15" customHeight="1" x14ac:dyDescent="0.25">
      <c r="B53" s="72"/>
      <c r="C53" s="73"/>
      <c r="D53" s="73"/>
      <c r="E53" s="73"/>
      <c r="F53" s="73"/>
      <c r="G53" s="73"/>
      <c r="H53" s="73"/>
      <c r="I53" s="73"/>
      <c r="J53" s="73"/>
      <c r="K53" s="73"/>
      <c r="L53" s="73"/>
      <c r="M53" s="73"/>
      <c r="N53" s="74"/>
    </row>
    <row r="54" spans="2:14" ht="15" customHeight="1" x14ac:dyDescent="0.25">
      <c r="B54" s="72"/>
      <c r="C54" s="73"/>
      <c r="D54" s="73"/>
      <c r="E54" s="73"/>
      <c r="F54" s="73"/>
      <c r="G54" s="73"/>
      <c r="H54" s="73"/>
      <c r="I54" s="73"/>
      <c r="J54" s="73"/>
      <c r="K54" s="73"/>
      <c r="L54" s="73"/>
      <c r="M54" s="73"/>
      <c r="N54" s="74"/>
    </row>
    <row r="55" spans="2:14" ht="15" customHeight="1" thickBot="1" x14ac:dyDescent="0.3">
      <c r="B55" s="75"/>
      <c r="C55" s="76"/>
      <c r="D55" s="76"/>
      <c r="E55" s="76"/>
      <c r="F55" s="76"/>
      <c r="G55" s="76"/>
      <c r="H55" s="76"/>
      <c r="I55" s="76"/>
      <c r="J55" s="76"/>
      <c r="K55" s="76"/>
      <c r="L55" s="76"/>
      <c r="M55" s="76"/>
      <c r="N55" s="77"/>
    </row>
    <row r="56" spans="2:14" ht="15" customHeight="1" thickBot="1" x14ac:dyDescent="0.3"/>
    <row r="57" spans="2:14" ht="128.25" customHeight="1" thickBot="1" x14ac:dyDescent="0.3">
      <c r="B57" s="78" t="s">
        <v>323</v>
      </c>
      <c r="C57" s="79"/>
      <c r="D57" s="79"/>
      <c r="E57" s="79"/>
      <c r="F57" s="79"/>
      <c r="G57" s="79"/>
      <c r="H57" s="79"/>
      <c r="I57" s="79"/>
      <c r="J57" s="79"/>
      <c r="K57" s="79"/>
      <c r="L57" s="79"/>
      <c r="M57" s="79"/>
      <c r="N57" s="80"/>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sortState ref="C29:E37">
    <sortCondition descending="1" ref="E29"/>
  </sortState>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415F-2723-4FCF-9137-CA247CA0A72A}">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116</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117</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22</v>
      </c>
      <c r="D8" s="6"/>
      <c r="E8" s="11">
        <v>2.0219999999999999E-3</v>
      </c>
      <c r="F8" s="1"/>
      <c r="G8" s="24" t="s">
        <v>4</v>
      </c>
      <c r="H8" s="25">
        <v>1</v>
      </c>
      <c r="I8" s="1"/>
      <c r="J8" s="24" t="s">
        <v>34</v>
      </c>
      <c r="K8" s="24" t="s">
        <v>3</v>
      </c>
      <c r="L8" s="1"/>
      <c r="M8" s="1"/>
      <c r="N8" s="18"/>
    </row>
    <row r="9" spans="2:14" ht="15.75" customHeight="1" x14ac:dyDescent="0.25">
      <c r="B9" s="20"/>
      <c r="C9" s="7" t="s">
        <v>23</v>
      </c>
      <c r="D9" s="8"/>
      <c r="E9" s="12">
        <v>2.0219999999999999E-3</v>
      </c>
      <c r="F9" s="1"/>
      <c r="G9" s="1"/>
      <c r="H9" s="1"/>
      <c r="I9" s="1"/>
      <c r="J9" s="24" t="s">
        <v>32</v>
      </c>
      <c r="K9" s="29">
        <v>2.3552E-2</v>
      </c>
      <c r="L9" s="1"/>
      <c r="M9" s="1"/>
      <c r="N9" s="18"/>
    </row>
    <row r="10" spans="2:14" ht="15" customHeight="1" x14ac:dyDescent="0.25">
      <c r="B10" s="20"/>
      <c r="C10" s="5" t="s">
        <v>24</v>
      </c>
      <c r="D10" s="6" t="s">
        <v>192</v>
      </c>
      <c r="E10" s="11">
        <v>0.97322600000000004</v>
      </c>
      <c r="F10" s="1"/>
      <c r="G10" s="1"/>
      <c r="H10" s="1"/>
      <c r="I10" s="1"/>
      <c r="J10" s="24" t="s">
        <v>35</v>
      </c>
      <c r="K10" s="29">
        <v>1.134E-3</v>
      </c>
      <c r="L10" s="1"/>
      <c r="M10" s="1"/>
      <c r="N10" s="18"/>
    </row>
    <row r="11" spans="2:14" ht="15" customHeight="1" x14ac:dyDescent="0.25">
      <c r="B11" s="20"/>
      <c r="C11" s="5" t="s">
        <v>109</v>
      </c>
      <c r="D11" s="6" t="s">
        <v>192</v>
      </c>
      <c r="E11" s="30">
        <v>3.3000000000000003E-5</v>
      </c>
      <c r="F11" s="1"/>
      <c r="G11" s="1"/>
      <c r="H11" s="1"/>
      <c r="I11" s="1"/>
      <c r="J11" s="24" t="s">
        <v>22</v>
      </c>
      <c r="K11" s="29">
        <v>2.0219999999999999E-3</v>
      </c>
      <c r="L11" s="1"/>
      <c r="M11" s="1"/>
      <c r="N11" s="18"/>
    </row>
    <row r="12" spans="2:14" ht="15" customHeight="1" x14ac:dyDescent="0.25">
      <c r="B12" s="20"/>
      <c r="C12" s="5" t="s">
        <v>118</v>
      </c>
      <c r="D12" s="6" t="s">
        <v>192</v>
      </c>
      <c r="E12" s="30">
        <v>3.3000000000000003E-5</v>
      </c>
      <c r="F12" s="1"/>
      <c r="G12" s="1"/>
      <c r="H12" s="1"/>
      <c r="I12" s="1"/>
      <c r="J12" s="24" t="s">
        <v>38</v>
      </c>
      <c r="K12" s="29">
        <v>0.97329200000000005</v>
      </c>
      <c r="L12" s="1"/>
      <c r="M12" s="1"/>
      <c r="N12" s="18"/>
    </row>
    <row r="13" spans="2:14" ht="15.75" customHeight="1" x14ac:dyDescent="0.25">
      <c r="B13" s="20"/>
      <c r="C13" s="7" t="s">
        <v>29</v>
      </c>
      <c r="D13" s="8"/>
      <c r="E13" s="12">
        <v>0.97329200000000005</v>
      </c>
      <c r="F13" s="1"/>
      <c r="G13" s="1"/>
      <c r="H13" s="1"/>
      <c r="I13" s="1"/>
      <c r="J13" s="1"/>
      <c r="K13" s="1"/>
      <c r="L13" s="1"/>
      <c r="M13" s="1"/>
      <c r="N13" s="18"/>
    </row>
    <row r="14" spans="2:14" ht="15" customHeight="1" x14ac:dyDescent="0.25">
      <c r="B14" s="20"/>
      <c r="C14" s="5" t="s">
        <v>30</v>
      </c>
      <c r="D14" s="6"/>
      <c r="E14" s="11">
        <v>1.134E-3</v>
      </c>
      <c r="F14" s="1"/>
      <c r="G14" s="1"/>
      <c r="H14" s="1"/>
      <c r="I14" s="1"/>
      <c r="J14" s="1"/>
      <c r="K14" s="1"/>
      <c r="L14" s="1"/>
      <c r="M14" s="1"/>
      <c r="N14" s="18"/>
    </row>
    <row r="15" spans="2:14" ht="15.75" customHeight="1" x14ac:dyDescent="0.25">
      <c r="B15" s="20"/>
      <c r="C15" s="7" t="s">
        <v>31</v>
      </c>
      <c r="D15" s="8"/>
      <c r="E15" s="12">
        <v>1.134E-3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32</v>
      </c>
      <c r="D17" s="8"/>
      <c r="E17" s="12">
        <v>2.3552E-2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28.660651075181928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9" t="s">
        <v>325</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x14ac:dyDescent="0.25">
      <c r="B47" s="72"/>
      <c r="C47" s="73"/>
      <c r="D47" s="73"/>
      <c r="E47" s="73"/>
      <c r="F47" s="73"/>
      <c r="G47" s="73"/>
      <c r="H47" s="73"/>
      <c r="I47" s="73"/>
      <c r="J47" s="73"/>
      <c r="K47" s="73"/>
      <c r="L47" s="73"/>
      <c r="M47" s="73"/>
      <c r="N47" s="74"/>
    </row>
    <row r="48" spans="2:14" ht="15.75" thickBot="1" x14ac:dyDescent="0.3">
      <c r="B48" s="75"/>
      <c r="C48" s="76"/>
      <c r="D48" s="76"/>
      <c r="E48" s="76"/>
      <c r="F48" s="76"/>
      <c r="G48" s="76"/>
      <c r="H48" s="76"/>
      <c r="I48" s="76"/>
      <c r="J48" s="76"/>
      <c r="K48" s="76"/>
      <c r="L48" s="76"/>
      <c r="M48" s="76"/>
      <c r="N48" s="77"/>
    </row>
    <row r="49" spans="2:14" ht="15.75" thickBot="1" x14ac:dyDescent="0.3"/>
    <row r="50" spans="2:14" ht="141" customHeight="1" thickBot="1" x14ac:dyDescent="0.3">
      <c r="B50" s="78" t="s">
        <v>323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5D86-DEBF-4F2D-B33A-6AB27D5C0E17}">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11</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12</v>
      </c>
      <c r="D8" s="6" t="s">
        <v>13</v>
      </c>
      <c r="E8" s="11">
        <v>6.8845000000000003E-2</v>
      </c>
      <c r="F8" s="1"/>
      <c r="G8" s="24" t="s">
        <v>4</v>
      </c>
      <c r="H8" s="25">
        <v>1</v>
      </c>
      <c r="I8" s="1"/>
      <c r="J8" s="24" t="s">
        <v>34</v>
      </c>
      <c r="K8" s="24" t="s">
        <v>3</v>
      </c>
      <c r="L8" s="1"/>
      <c r="M8" s="1"/>
      <c r="N8" s="18"/>
    </row>
    <row r="9" spans="2:14" ht="15" customHeight="1" x14ac:dyDescent="0.25">
      <c r="B9" s="20"/>
      <c r="C9" s="5" t="s">
        <v>14</v>
      </c>
      <c r="D9" s="6" t="s">
        <v>13</v>
      </c>
      <c r="E9" s="11">
        <v>4.0590000000000001E-2</v>
      </c>
      <c r="F9" s="1"/>
      <c r="G9" s="1"/>
      <c r="H9" s="1"/>
      <c r="I9" s="1"/>
      <c r="J9" s="24" t="s">
        <v>32</v>
      </c>
      <c r="K9" s="29">
        <v>2.4985E-2</v>
      </c>
      <c r="L9" s="1"/>
      <c r="M9" s="1"/>
      <c r="N9" s="18"/>
    </row>
    <row r="10" spans="2:14" ht="15.75" customHeight="1" x14ac:dyDescent="0.25">
      <c r="B10" s="20"/>
      <c r="C10" s="7" t="s">
        <v>15</v>
      </c>
      <c r="D10" s="8"/>
      <c r="E10" s="12">
        <v>0.109435</v>
      </c>
      <c r="F10" s="1"/>
      <c r="G10" s="1"/>
      <c r="H10" s="1"/>
      <c r="I10" s="1"/>
      <c r="J10" s="24" t="s">
        <v>35</v>
      </c>
      <c r="K10" s="29">
        <v>5.6340000000000001E-3</v>
      </c>
      <c r="L10" s="1"/>
      <c r="M10" s="1"/>
      <c r="N10" s="18"/>
    </row>
    <row r="11" spans="2:14" ht="15" customHeight="1" x14ac:dyDescent="0.25">
      <c r="B11" s="20"/>
      <c r="C11" s="5" t="s">
        <v>16</v>
      </c>
      <c r="D11" s="6" t="s">
        <v>17</v>
      </c>
      <c r="E11" s="11">
        <v>8.7584999999999996E-2</v>
      </c>
      <c r="F11" s="1"/>
      <c r="G11" s="1"/>
      <c r="H11" s="1"/>
      <c r="I11" s="1"/>
      <c r="J11" s="24" t="s">
        <v>36</v>
      </c>
      <c r="K11" s="29">
        <v>0.109435</v>
      </c>
      <c r="L11" s="1"/>
      <c r="M11" s="1"/>
      <c r="N11" s="18"/>
    </row>
    <row r="12" spans="2:14" ht="15" customHeight="1" x14ac:dyDescent="0.25">
      <c r="B12" s="20"/>
      <c r="C12" s="5" t="s">
        <v>18</v>
      </c>
      <c r="D12" s="6" t="s">
        <v>17</v>
      </c>
      <c r="E12" s="11">
        <v>5.2214999999999998E-2</v>
      </c>
      <c r="F12" s="1"/>
      <c r="G12" s="1"/>
      <c r="H12" s="1"/>
      <c r="I12" s="1"/>
      <c r="J12" s="24" t="s">
        <v>37</v>
      </c>
      <c r="K12" s="29">
        <v>0.19556999999999999</v>
      </c>
      <c r="L12" s="1"/>
      <c r="M12" s="1"/>
      <c r="N12" s="18"/>
    </row>
    <row r="13" spans="2:14" ht="15" customHeight="1" x14ac:dyDescent="0.25">
      <c r="B13" s="20"/>
      <c r="C13" s="5" t="s">
        <v>19</v>
      </c>
      <c r="D13" s="6" t="s">
        <v>17</v>
      </c>
      <c r="E13" s="11">
        <v>5.1698000000000001E-2</v>
      </c>
      <c r="F13" s="1"/>
      <c r="G13" s="1"/>
      <c r="H13" s="1"/>
      <c r="I13" s="1"/>
      <c r="J13" s="24" t="s">
        <v>22</v>
      </c>
      <c r="K13" s="29">
        <v>2.7139999999999998E-3</v>
      </c>
      <c r="L13" s="1"/>
      <c r="M13" s="1"/>
      <c r="N13" s="18"/>
    </row>
    <row r="14" spans="2:14" ht="15" customHeight="1" x14ac:dyDescent="0.25">
      <c r="B14" s="20"/>
      <c r="C14" s="5" t="s">
        <v>20</v>
      </c>
      <c r="D14" s="6" t="s">
        <v>17</v>
      </c>
      <c r="E14" s="11">
        <v>4.0720000000000001E-3</v>
      </c>
      <c r="F14" s="1"/>
      <c r="G14" s="1"/>
      <c r="H14" s="1"/>
      <c r="I14" s="1"/>
      <c r="J14" s="24" t="s">
        <v>38</v>
      </c>
      <c r="K14" s="29">
        <v>0.66166199999999997</v>
      </c>
      <c r="L14" s="1"/>
      <c r="M14" s="1"/>
      <c r="N14" s="18"/>
    </row>
    <row r="15" spans="2:14" ht="15.75" customHeight="1" x14ac:dyDescent="0.25">
      <c r="B15" s="20"/>
      <c r="C15" s="7" t="s">
        <v>21</v>
      </c>
      <c r="D15" s="8"/>
      <c r="E15" s="12">
        <v>0.19556999999999999</v>
      </c>
      <c r="F15" s="1"/>
      <c r="G15" s="1"/>
      <c r="H15" s="1"/>
      <c r="I15" s="1"/>
      <c r="J15" s="1"/>
      <c r="K15" s="1"/>
      <c r="L15" s="1"/>
      <c r="M15" s="1"/>
      <c r="N15" s="18"/>
    </row>
    <row r="16" spans="2:14" ht="15" customHeight="1" x14ac:dyDescent="0.25">
      <c r="B16" s="20"/>
      <c r="C16" s="5" t="s">
        <v>22</v>
      </c>
      <c r="D16" s="6"/>
      <c r="E16" s="11">
        <v>2.7139999999999998E-3</v>
      </c>
      <c r="F16" s="1"/>
      <c r="G16" s="1"/>
      <c r="H16" s="1"/>
      <c r="I16" s="1"/>
      <c r="J16" s="1"/>
      <c r="K16" s="1"/>
      <c r="L16" s="1"/>
      <c r="M16" s="1"/>
      <c r="N16" s="18"/>
    </row>
    <row r="17" spans="2:14" ht="15.75" customHeight="1" x14ac:dyDescent="0.25">
      <c r="B17" s="20"/>
      <c r="C17" s="7" t="s">
        <v>23</v>
      </c>
      <c r="D17" s="8"/>
      <c r="E17" s="12">
        <v>2.7139999999999998E-3</v>
      </c>
      <c r="F17" s="1"/>
      <c r="G17" s="1"/>
      <c r="H17" s="1"/>
      <c r="I17" s="1"/>
      <c r="J17" s="1"/>
      <c r="K17" s="1"/>
      <c r="L17" s="1"/>
      <c r="M17" s="1"/>
      <c r="N17" s="18"/>
    </row>
    <row r="18" spans="2:14" ht="15" customHeight="1" x14ac:dyDescent="0.25">
      <c r="B18" s="20"/>
      <c r="C18" s="5" t="s">
        <v>24</v>
      </c>
      <c r="D18" s="6" t="s">
        <v>192</v>
      </c>
      <c r="E18" s="11">
        <v>0.355964</v>
      </c>
      <c r="F18" s="1"/>
      <c r="G18" s="1"/>
      <c r="H18" s="1"/>
      <c r="I18" s="1"/>
      <c r="J18" s="1"/>
      <c r="K18" s="1"/>
      <c r="L18" s="1"/>
      <c r="M18" s="1"/>
      <c r="N18" s="18"/>
    </row>
    <row r="19" spans="2:14" ht="15" customHeight="1" x14ac:dyDescent="0.25">
      <c r="B19" s="20"/>
      <c r="C19" s="5" t="s">
        <v>25</v>
      </c>
      <c r="D19" s="6" t="s">
        <v>192</v>
      </c>
      <c r="E19" s="11">
        <v>0.29647000000000001</v>
      </c>
      <c r="F19" s="1"/>
      <c r="G19" s="1"/>
      <c r="H19" s="1"/>
      <c r="I19" s="1"/>
      <c r="J19" s="1"/>
      <c r="K19" s="1"/>
      <c r="L19" s="1"/>
      <c r="M19" s="1"/>
      <c r="N19" s="18"/>
    </row>
    <row r="20" spans="2:14" ht="15" customHeight="1" x14ac:dyDescent="0.25">
      <c r="B20" s="20"/>
      <c r="C20" s="5" t="s">
        <v>26</v>
      </c>
      <c r="D20" s="6" t="s">
        <v>192</v>
      </c>
      <c r="E20" s="11">
        <v>6.326E-3</v>
      </c>
      <c r="F20" s="1"/>
      <c r="G20" s="1"/>
      <c r="H20" s="1"/>
      <c r="I20" s="1"/>
      <c r="J20" s="1"/>
      <c r="K20" s="1"/>
      <c r="L20" s="1"/>
      <c r="M20" s="1"/>
      <c r="N20" s="18"/>
    </row>
    <row r="21" spans="2:14" ht="15" customHeight="1" x14ac:dyDescent="0.25">
      <c r="B21" s="20"/>
      <c r="C21" s="5" t="s">
        <v>27</v>
      </c>
      <c r="D21" s="6" t="s">
        <v>192</v>
      </c>
      <c r="E21" s="11">
        <v>2.0760000000000002E-3</v>
      </c>
      <c r="F21" s="1"/>
      <c r="G21" s="1"/>
      <c r="H21" s="1"/>
      <c r="I21" s="1"/>
      <c r="J21" s="1"/>
      <c r="K21" s="1"/>
      <c r="L21" s="1"/>
      <c r="M21" s="1"/>
      <c r="N21" s="18"/>
    </row>
    <row r="22" spans="2:14" ht="15" customHeight="1" x14ac:dyDescent="0.25">
      <c r="B22" s="20"/>
      <c r="C22" s="5" t="s">
        <v>28</v>
      </c>
      <c r="D22" s="6" t="s">
        <v>192</v>
      </c>
      <c r="E22" s="11">
        <v>8.2600000000000002E-4</v>
      </c>
      <c r="F22" s="1"/>
      <c r="G22" s="1"/>
      <c r="H22" s="1"/>
      <c r="I22" s="1"/>
      <c r="J22" s="1"/>
      <c r="K22" s="1"/>
      <c r="L22" s="1"/>
      <c r="M22" s="1"/>
      <c r="N22" s="18"/>
    </row>
    <row r="23" spans="2:14" ht="15.75" customHeight="1" x14ac:dyDescent="0.25">
      <c r="B23" s="20"/>
      <c r="C23" s="7" t="s">
        <v>29</v>
      </c>
      <c r="D23" s="8"/>
      <c r="E23" s="12">
        <v>0.66166199999999997</v>
      </c>
      <c r="F23" s="1"/>
      <c r="G23" s="1"/>
      <c r="H23" s="1"/>
      <c r="I23" s="1"/>
      <c r="J23" s="1"/>
      <c r="K23" s="1"/>
      <c r="L23" s="1"/>
      <c r="M23" s="1"/>
      <c r="N23" s="18"/>
    </row>
    <row r="24" spans="2:14" ht="15" customHeight="1" x14ac:dyDescent="0.25">
      <c r="B24" s="20"/>
      <c r="C24" s="5" t="s">
        <v>30</v>
      </c>
      <c r="D24" s="6"/>
      <c r="E24" s="11">
        <v>5.6340000000000001E-3</v>
      </c>
      <c r="F24" s="1"/>
      <c r="G24" s="86" t="s">
        <v>6</v>
      </c>
      <c r="H24" s="87"/>
      <c r="I24" s="87"/>
      <c r="J24" s="87"/>
      <c r="K24" s="87"/>
      <c r="L24" s="38">
        <v>13.661624830718184</v>
      </c>
      <c r="M24" s="27"/>
      <c r="N24" s="28"/>
    </row>
    <row r="25" spans="2:14" ht="15.75" customHeight="1" x14ac:dyDescent="0.25">
      <c r="B25" s="20"/>
      <c r="C25" s="7" t="s">
        <v>31</v>
      </c>
      <c r="D25" s="8"/>
      <c r="E25" s="12">
        <v>5.6340000000000001E-3</v>
      </c>
      <c r="F25" s="1"/>
      <c r="G25" s="1"/>
      <c r="H25" s="1"/>
      <c r="I25" s="1"/>
      <c r="J25" s="1"/>
      <c r="K25" s="1"/>
      <c r="L25" s="1"/>
      <c r="M25" s="1"/>
      <c r="N25" s="18"/>
    </row>
    <row r="26" spans="2:14" ht="15" customHeight="1" x14ac:dyDescent="0.25">
      <c r="B26" s="20"/>
      <c r="C26" s="5"/>
      <c r="D26" s="6"/>
      <c r="E26" s="11"/>
      <c r="F26" s="1"/>
      <c r="G26" s="86" t="s">
        <v>7</v>
      </c>
      <c r="H26" s="87"/>
      <c r="I26" s="87"/>
      <c r="J26" s="87"/>
      <c r="K26" s="87"/>
      <c r="L26" s="87"/>
      <c r="M26" s="87"/>
      <c r="N26" s="88"/>
    </row>
    <row r="27" spans="2:14" ht="15.75" customHeight="1" x14ac:dyDescent="0.25">
      <c r="B27" s="20"/>
      <c r="C27" s="7" t="s">
        <v>32</v>
      </c>
      <c r="D27" s="8"/>
      <c r="E27" s="12">
        <v>2.4985E-2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33</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325</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30.5" customHeight="1" thickBot="1" x14ac:dyDescent="0.3">
      <c r="B50" s="78" t="s">
        <v>323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BE42-A042-47BA-8891-742CB991A652}">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39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40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12</v>
      </c>
      <c r="D8" s="6" t="s">
        <v>13</v>
      </c>
      <c r="E8" s="11">
        <v>8.0014000000000002E-2</v>
      </c>
      <c r="F8" s="1"/>
      <c r="G8" s="24" t="s">
        <v>4</v>
      </c>
      <c r="H8" s="25">
        <v>1</v>
      </c>
      <c r="I8" s="1"/>
      <c r="J8" s="24" t="s">
        <v>34</v>
      </c>
      <c r="K8" s="24" t="s">
        <v>3</v>
      </c>
      <c r="L8" s="1"/>
      <c r="M8" s="1"/>
      <c r="N8" s="18"/>
    </row>
    <row r="9" spans="2:14" ht="15" customHeight="1" x14ac:dyDescent="0.25">
      <c r="B9" s="20"/>
      <c r="C9" s="5" t="s">
        <v>41</v>
      </c>
      <c r="D9" s="6" t="s">
        <v>13</v>
      </c>
      <c r="E9" s="11">
        <v>4.2960999999999999E-2</v>
      </c>
      <c r="F9" s="1"/>
      <c r="G9" s="1"/>
      <c r="H9" s="1"/>
      <c r="I9" s="1"/>
      <c r="J9" s="24" t="s">
        <v>32</v>
      </c>
      <c r="K9" s="29">
        <v>1.8048000000000002E-2</v>
      </c>
      <c r="L9" s="1"/>
      <c r="M9" s="1"/>
      <c r="N9" s="18"/>
    </row>
    <row r="10" spans="2:14" ht="15" customHeight="1" x14ac:dyDescent="0.25">
      <c r="B10" s="20"/>
      <c r="C10" s="5" t="s">
        <v>42</v>
      </c>
      <c r="D10" s="6" t="s">
        <v>13</v>
      </c>
      <c r="E10" s="11">
        <v>1.6435999999999999E-2</v>
      </c>
      <c r="F10" s="1"/>
      <c r="G10" s="1"/>
      <c r="H10" s="1"/>
      <c r="I10" s="1"/>
      <c r="J10" s="24" t="s">
        <v>35</v>
      </c>
      <c r="K10" s="29">
        <v>5.4469999999999996E-3</v>
      </c>
      <c r="L10" s="1"/>
      <c r="M10" s="1"/>
      <c r="N10" s="18"/>
    </row>
    <row r="11" spans="2:14" ht="15.75" customHeight="1" x14ac:dyDescent="0.25">
      <c r="B11" s="20"/>
      <c r="C11" s="7" t="s">
        <v>15</v>
      </c>
      <c r="D11" s="8"/>
      <c r="E11" s="12">
        <v>0.13941100000000001</v>
      </c>
      <c r="F11" s="1"/>
      <c r="G11" s="1"/>
      <c r="H11" s="1"/>
      <c r="I11" s="1"/>
      <c r="J11" s="24" t="s">
        <v>36</v>
      </c>
      <c r="K11" s="29">
        <v>0.13941100000000001</v>
      </c>
      <c r="L11" s="1"/>
      <c r="M11" s="1"/>
      <c r="N11" s="18"/>
    </row>
    <row r="12" spans="2:14" ht="15" customHeight="1" x14ac:dyDescent="0.25">
      <c r="B12" s="20"/>
      <c r="C12" s="5" t="s">
        <v>18</v>
      </c>
      <c r="D12" s="6" t="s">
        <v>17</v>
      </c>
      <c r="E12" s="11">
        <v>0.101135</v>
      </c>
      <c r="F12" s="1"/>
      <c r="G12" s="1"/>
      <c r="H12" s="1"/>
      <c r="I12" s="1"/>
      <c r="J12" s="24" t="s">
        <v>37</v>
      </c>
      <c r="K12" s="29">
        <v>0.295989</v>
      </c>
      <c r="L12" s="1"/>
      <c r="M12" s="1"/>
      <c r="N12" s="18"/>
    </row>
    <row r="13" spans="2:14" ht="15" customHeight="1" x14ac:dyDescent="0.25">
      <c r="B13" s="20"/>
      <c r="C13" s="5" t="s">
        <v>43</v>
      </c>
      <c r="D13" s="6" t="s">
        <v>17</v>
      </c>
      <c r="E13" s="11">
        <v>7.0337999999999998E-2</v>
      </c>
      <c r="F13" s="1"/>
      <c r="G13" s="1"/>
      <c r="H13" s="1"/>
      <c r="I13" s="1"/>
      <c r="J13" s="24" t="s">
        <v>22</v>
      </c>
      <c r="K13" s="29">
        <v>3.5560000000000001E-3</v>
      </c>
      <c r="L13" s="1"/>
      <c r="M13" s="1"/>
      <c r="N13" s="18"/>
    </row>
    <row r="14" spans="2:14" ht="15" customHeight="1" x14ac:dyDescent="0.25">
      <c r="B14" s="20"/>
      <c r="C14" s="5" t="s">
        <v>16</v>
      </c>
      <c r="D14" s="6" t="s">
        <v>17</v>
      </c>
      <c r="E14" s="11">
        <v>5.5095999999999999E-2</v>
      </c>
      <c r="F14" s="1"/>
      <c r="G14" s="1"/>
      <c r="H14" s="1"/>
      <c r="I14" s="1"/>
      <c r="J14" s="24" t="s">
        <v>38</v>
      </c>
      <c r="K14" s="29">
        <v>0.53618200000000005</v>
      </c>
      <c r="L14" s="1"/>
      <c r="M14" s="1"/>
      <c r="N14" s="18"/>
    </row>
    <row r="15" spans="2:14" ht="15" customHeight="1" x14ac:dyDescent="0.25">
      <c r="B15" s="20"/>
      <c r="C15" s="5" t="s">
        <v>12</v>
      </c>
      <c r="D15" s="6" t="s">
        <v>17</v>
      </c>
      <c r="E15" s="11">
        <v>3.2648000000000003E-2</v>
      </c>
      <c r="F15" s="1"/>
      <c r="G15" s="1"/>
      <c r="H15" s="1"/>
      <c r="I15" s="1"/>
      <c r="J15" s="24" t="s">
        <v>47</v>
      </c>
      <c r="K15" s="29">
        <v>1.3669999999999999E-3</v>
      </c>
      <c r="L15" s="1"/>
      <c r="M15" s="1"/>
      <c r="N15" s="18"/>
    </row>
    <row r="16" spans="2:14" ht="15" customHeight="1" x14ac:dyDescent="0.25">
      <c r="B16" s="20"/>
      <c r="C16" s="5" t="s">
        <v>19</v>
      </c>
      <c r="D16" s="6" t="s">
        <v>17</v>
      </c>
      <c r="E16" s="11">
        <v>2.0005999999999999E-2</v>
      </c>
      <c r="F16" s="1"/>
      <c r="G16" s="1"/>
      <c r="H16" s="1"/>
      <c r="I16" s="1"/>
      <c r="J16" s="1"/>
      <c r="K16" s="1"/>
      <c r="L16" s="1"/>
      <c r="M16" s="1"/>
      <c r="N16" s="18"/>
    </row>
    <row r="17" spans="2:14" ht="15" customHeight="1" x14ac:dyDescent="0.25">
      <c r="B17" s="20"/>
      <c r="C17" s="5" t="s">
        <v>44</v>
      </c>
      <c r="D17" s="6" t="s">
        <v>17</v>
      </c>
      <c r="E17" s="11">
        <v>1.6766E-2</v>
      </c>
      <c r="F17" s="1"/>
      <c r="G17" s="1"/>
      <c r="H17" s="1"/>
      <c r="I17" s="1"/>
      <c r="J17" s="1"/>
      <c r="K17" s="1"/>
      <c r="L17" s="1"/>
      <c r="M17" s="1"/>
      <c r="N17" s="18"/>
    </row>
    <row r="18" spans="2:14" ht="15.75" customHeight="1" x14ac:dyDescent="0.25">
      <c r="B18" s="20"/>
      <c r="C18" s="7" t="s">
        <v>21</v>
      </c>
      <c r="D18" s="8"/>
      <c r="E18" s="12">
        <v>0.295989</v>
      </c>
      <c r="F18" s="1"/>
      <c r="G18" s="1"/>
      <c r="H18" s="1"/>
      <c r="I18" s="1"/>
      <c r="J18" s="1"/>
      <c r="K18" s="1"/>
      <c r="L18" s="1"/>
      <c r="M18" s="1"/>
      <c r="N18" s="18"/>
    </row>
    <row r="19" spans="2:14" ht="15" customHeight="1" x14ac:dyDescent="0.25">
      <c r="B19" s="20"/>
      <c r="C19" s="5" t="s">
        <v>22</v>
      </c>
      <c r="D19" s="6"/>
      <c r="E19" s="11">
        <v>3.5560000000000001E-3</v>
      </c>
      <c r="F19" s="1"/>
      <c r="G19" s="1"/>
      <c r="H19" s="1"/>
      <c r="I19" s="1"/>
      <c r="J19" s="1"/>
      <c r="K19" s="1"/>
      <c r="L19" s="1"/>
      <c r="M19" s="1"/>
      <c r="N19" s="18"/>
    </row>
    <row r="20" spans="2:14" ht="15.75" customHeight="1" x14ac:dyDescent="0.25">
      <c r="B20" s="20"/>
      <c r="C20" s="7" t="s">
        <v>23</v>
      </c>
      <c r="D20" s="8"/>
      <c r="E20" s="12">
        <v>3.5560000000000001E-3</v>
      </c>
      <c r="F20" s="1"/>
      <c r="G20" s="1"/>
      <c r="H20" s="1"/>
      <c r="I20" s="1"/>
      <c r="J20" s="1"/>
      <c r="K20" s="1"/>
      <c r="L20" s="1"/>
      <c r="M20" s="1"/>
      <c r="N20" s="18"/>
    </row>
    <row r="21" spans="2:14" ht="15" customHeight="1" x14ac:dyDescent="0.25">
      <c r="B21" s="20"/>
      <c r="C21" s="5" t="s">
        <v>25</v>
      </c>
      <c r="D21" s="6" t="s">
        <v>192</v>
      </c>
      <c r="E21" s="11">
        <v>0.43718400000000002</v>
      </c>
      <c r="F21" s="1"/>
      <c r="G21" s="1"/>
      <c r="H21" s="1"/>
      <c r="I21" s="1"/>
      <c r="J21" s="1"/>
      <c r="K21" s="1"/>
      <c r="L21" s="1"/>
      <c r="M21" s="1"/>
      <c r="N21" s="18"/>
    </row>
    <row r="22" spans="2:14" ht="15" customHeight="1" x14ac:dyDescent="0.25">
      <c r="B22" s="20"/>
      <c r="C22" s="5" t="s">
        <v>26</v>
      </c>
      <c r="D22" s="6" t="s">
        <v>192</v>
      </c>
      <c r="E22" s="11">
        <v>9.8788000000000001E-2</v>
      </c>
      <c r="F22" s="1"/>
      <c r="G22" s="1"/>
      <c r="H22" s="1"/>
      <c r="I22" s="1"/>
      <c r="J22" s="1"/>
      <c r="K22" s="1"/>
      <c r="L22" s="1"/>
      <c r="M22" s="1"/>
      <c r="N22" s="18"/>
    </row>
    <row r="23" spans="2:14" ht="15" customHeight="1" x14ac:dyDescent="0.25">
      <c r="B23" s="20"/>
      <c r="C23" s="5" t="s">
        <v>27</v>
      </c>
      <c r="D23" s="6" t="s">
        <v>192</v>
      </c>
      <c r="E23" s="11">
        <v>1.34E-4</v>
      </c>
      <c r="F23" s="1"/>
      <c r="G23" s="1"/>
      <c r="H23" s="1"/>
      <c r="I23" s="1"/>
      <c r="J23" s="1"/>
      <c r="K23" s="1"/>
      <c r="L23" s="1"/>
      <c r="M23" s="1"/>
      <c r="N23" s="18"/>
    </row>
    <row r="24" spans="2:14" ht="15" customHeight="1" x14ac:dyDescent="0.25">
      <c r="B24" s="20"/>
      <c r="C24" s="5" t="s">
        <v>45</v>
      </c>
      <c r="D24" s="6" t="s">
        <v>192</v>
      </c>
      <c r="E24" s="11">
        <v>7.6000000000000004E-5</v>
      </c>
      <c r="F24" s="1"/>
      <c r="G24" s="86" t="s">
        <v>6</v>
      </c>
      <c r="H24" s="87"/>
      <c r="I24" s="87"/>
      <c r="J24" s="87"/>
      <c r="K24" s="87"/>
      <c r="L24" s="38">
        <v>5.160725698857398</v>
      </c>
      <c r="M24" s="27"/>
      <c r="N24" s="28"/>
    </row>
    <row r="25" spans="2:14" ht="15.75" customHeight="1" x14ac:dyDescent="0.25">
      <c r="B25" s="20"/>
      <c r="C25" s="7" t="s">
        <v>29</v>
      </c>
      <c r="D25" s="8"/>
      <c r="E25" s="12">
        <v>0.53618200000000005</v>
      </c>
      <c r="F25" s="1"/>
      <c r="G25" s="1"/>
      <c r="H25" s="1"/>
      <c r="I25" s="1"/>
      <c r="J25" s="1"/>
      <c r="K25" s="1"/>
      <c r="L25" s="1"/>
      <c r="M25" s="1"/>
      <c r="N25" s="18"/>
    </row>
    <row r="26" spans="2:14" ht="15" customHeight="1" x14ac:dyDescent="0.25">
      <c r="B26" s="20"/>
      <c r="C26" s="5" t="s">
        <v>259</v>
      </c>
      <c r="D26" s="6" t="s">
        <v>192</v>
      </c>
      <c r="E26" s="11">
        <v>1.3669999999999999E-3</v>
      </c>
      <c r="F26" s="1"/>
      <c r="G26" s="86" t="s">
        <v>7</v>
      </c>
      <c r="H26" s="87"/>
      <c r="I26" s="87"/>
      <c r="J26" s="87"/>
      <c r="K26" s="87"/>
      <c r="L26" s="87"/>
      <c r="M26" s="87"/>
      <c r="N26" s="88"/>
    </row>
    <row r="27" spans="2:14" ht="15.75" customHeight="1" x14ac:dyDescent="0.25">
      <c r="B27" s="20"/>
      <c r="C27" s="7" t="s">
        <v>46</v>
      </c>
      <c r="D27" s="8"/>
      <c r="E27" s="12">
        <v>1.3669999999999999E-3</v>
      </c>
      <c r="F27" s="1"/>
      <c r="G27" s="1"/>
      <c r="H27" s="1"/>
      <c r="I27" s="1"/>
      <c r="J27" s="1"/>
      <c r="K27" s="1"/>
      <c r="L27" s="1"/>
      <c r="M27" s="1"/>
      <c r="N27" s="18"/>
    </row>
    <row r="28" spans="2:14" ht="15" customHeight="1" x14ac:dyDescent="0.25">
      <c r="B28" s="20"/>
      <c r="C28" s="5" t="s">
        <v>30</v>
      </c>
      <c r="D28" s="6"/>
      <c r="E28" s="11">
        <v>5.4469999999999996E-3</v>
      </c>
      <c r="F28" s="1"/>
      <c r="G28" s="1"/>
      <c r="H28" s="1"/>
      <c r="I28" s="1"/>
      <c r="J28" s="1"/>
      <c r="K28" s="1"/>
      <c r="L28" s="1"/>
      <c r="M28" s="1"/>
      <c r="N28" s="18"/>
    </row>
    <row r="29" spans="2:14" ht="15.75" customHeight="1" x14ac:dyDescent="0.25">
      <c r="B29" s="20"/>
      <c r="C29" s="7" t="s">
        <v>31</v>
      </c>
      <c r="D29" s="8"/>
      <c r="E29" s="12">
        <v>5.4469999999999996E-3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32</v>
      </c>
      <c r="D31" s="8"/>
      <c r="E31" s="12">
        <v>1.8048000000000002E-2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33</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325</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36.5" customHeight="1" thickBot="1" x14ac:dyDescent="0.3">
      <c r="B50" s="78" t="s">
        <v>323</v>
      </c>
      <c r="C50" s="79"/>
      <c r="D50" s="79"/>
      <c r="E50" s="79"/>
      <c r="F50" s="79"/>
      <c r="G50" s="79"/>
      <c r="H50" s="79"/>
      <c r="I50" s="79"/>
      <c r="J50" s="79"/>
      <c r="K50" s="79"/>
      <c r="L50" s="79"/>
      <c r="M50" s="79"/>
      <c r="N50" s="80"/>
    </row>
    <row r="51" spans="2:14" ht="15" customHeight="1" x14ac:dyDescent="0.25"/>
    <row r="52" spans="2:14" ht="15" customHeight="1" x14ac:dyDescent="0.25"/>
    <row r="53"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28A6-3953-4EAA-8CC0-6FCF6CAF5DB0}">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48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49</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12</v>
      </c>
      <c r="D8" s="6" t="s">
        <v>13</v>
      </c>
      <c r="E8" s="11">
        <v>9.8899000000000001E-2</v>
      </c>
      <c r="F8" s="1"/>
      <c r="G8" s="24" t="s">
        <v>4</v>
      </c>
      <c r="H8" s="25">
        <v>1</v>
      </c>
      <c r="I8" s="1"/>
      <c r="J8" s="24" t="s">
        <v>34</v>
      </c>
      <c r="K8" s="24" t="s">
        <v>3</v>
      </c>
      <c r="L8" s="1"/>
      <c r="M8" s="1"/>
      <c r="N8" s="18"/>
    </row>
    <row r="9" spans="2:14" ht="15" customHeight="1" x14ac:dyDescent="0.25">
      <c r="B9" s="20"/>
      <c r="C9" s="5" t="s">
        <v>41</v>
      </c>
      <c r="D9" s="6" t="s">
        <v>13</v>
      </c>
      <c r="E9" s="11">
        <v>6.5359E-2</v>
      </c>
      <c r="F9" s="1"/>
      <c r="G9" s="1"/>
      <c r="H9" s="1"/>
      <c r="I9" s="1"/>
      <c r="J9" s="24" t="s">
        <v>32</v>
      </c>
      <c r="K9" s="29">
        <v>2.0844999999999999E-2</v>
      </c>
      <c r="L9" s="1"/>
      <c r="M9" s="1"/>
      <c r="N9" s="18"/>
    </row>
    <row r="10" spans="2:14" ht="15" customHeight="1" x14ac:dyDescent="0.25">
      <c r="B10" s="20"/>
      <c r="C10" s="5" t="s">
        <v>42</v>
      </c>
      <c r="D10" s="6" t="s">
        <v>13</v>
      </c>
      <c r="E10" s="11">
        <v>1.0099E-2</v>
      </c>
      <c r="F10" s="1"/>
      <c r="G10" s="1"/>
      <c r="H10" s="1"/>
      <c r="I10" s="1"/>
      <c r="J10" s="24" t="s">
        <v>35</v>
      </c>
      <c r="K10" s="29">
        <v>3.3839999999999999E-3</v>
      </c>
      <c r="L10" s="1"/>
      <c r="M10" s="1"/>
      <c r="N10" s="18"/>
    </row>
    <row r="11" spans="2:14" ht="15" customHeight="1" x14ac:dyDescent="0.25">
      <c r="B11" s="20"/>
      <c r="C11" s="5" t="s">
        <v>19</v>
      </c>
      <c r="D11" s="6" t="s">
        <v>13</v>
      </c>
      <c r="E11" s="11">
        <v>5.0429999999999997E-3</v>
      </c>
      <c r="F11" s="1"/>
      <c r="G11" s="1"/>
      <c r="H11" s="1"/>
      <c r="I11" s="1"/>
      <c r="J11" s="24" t="s">
        <v>36</v>
      </c>
      <c r="K11" s="29">
        <v>0.1794</v>
      </c>
      <c r="L11" s="1"/>
      <c r="M11" s="1"/>
      <c r="N11" s="18"/>
    </row>
    <row r="12" spans="2:14" ht="15.75" customHeight="1" x14ac:dyDescent="0.25">
      <c r="B12" s="20"/>
      <c r="C12" s="7" t="s">
        <v>15</v>
      </c>
      <c r="D12" s="8"/>
      <c r="E12" s="12">
        <v>0.1794</v>
      </c>
      <c r="F12" s="1"/>
      <c r="G12" s="1"/>
      <c r="H12" s="1"/>
      <c r="I12" s="1"/>
      <c r="J12" s="24" t="s">
        <v>37</v>
      </c>
      <c r="K12" s="29">
        <v>0.39902900000000002</v>
      </c>
      <c r="L12" s="1"/>
      <c r="M12" s="1"/>
      <c r="N12" s="18"/>
    </row>
    <row r="13" spans="2:14" ht="15" customHeight="1" x14ac:dyDescent="0.25">
      <c r="B13" s="20"/>
      <c r="C13" s="5" t="s">
        <v>19</v>
      </c>
      <c r="D13" s="6" t="s">
        <v>17</v>
      </c>
      <c r="E13" s="11">
        <v>7.6038999999999995E-2</v>
      </c>
      <c r="F13" s="1"/>
      <c r="G13" s="1"/>
      <c r="H13" s="1"/>
      <c r="I13" s="1"/>
      <c r="J13" s="24" t="s">
        <v>22</v>
      </c>
      <c r="K13" s="29">
        <v>2.5530000000000001E-3</v>
      </c>
      <c r="L13" s="1"/>
      <c r="M13" s="1"/>
      <c r="N13" s="18"/>
    </row>
    <row r="14" spans="2:14" ht="15" customHeight="1" x14ac:dyDescent="0.25">
      <c r="B14" s="20"/>
      <c r="C14" s="5" t="s">
        <v>18</v>
      </c>
      <c r="D14" s="6" t="s">
        <v>17</v>
      </c>
      <c r="E14" s="11">
        <v>7.2366E-2</v>
      </c>
      <c r="F14" s="1"/>
      <c r="G14" s="1"/>
      <c r="H14" s="1"/>
      <c r="I14" s="1"/>
      <c r="J14" s="24" t="s">
        <v>38</v>
      </c>
      <c r="K14" s="29">
        <v>0.394789</v>
      </c>
      <c r="L14" s="1"/>
      <c r="M14" s="1"/>
      <c r="N14" s="18"/>
    </row>
    <row r="15" spans="2:14" ht="15" customHeight="1" x14ac:dyDescent="0.25">
      <c r="B15" s="20"/>
      <c r="C15" s="5" t="s">
        <v>44</v>
      </c>
      <c r="D15" s="6" t="s">
        <v>17</v>
      </c>
      <c r="E15" s="11">
        <v>5.9720000000000002E-2</v>
      </c>
      <c r="F15" s="1"/>
      <c r="G15" s="1"/>
      <c r="H15" s="1"/>
      <c r="I15" s="1"/>
      <c r="J15" s="1"/>
      <c r="K15" s="1"/>
      <c r="L15" s="1"/>
      <c r="M15" s="1"/>
      <c r="N15" s="18"/>
    </row>
    <row r="16" spans="2:14" ht="15" customHeight="1" x14ac:dyDescent="0.25">
      <c r="B16" s="20"/>
      <c r="C16" s="5" t="s">
        <v>16</v>
      </c>
      <c r="D16" s="6" t="s">
        <v>17</v>
      </c>
      <c r="E16" s="11">
        <v>4.9134999999999998E-2</v>
      </c>
      <c r="F16" s="1"/>
      <c r="G16" s="1"/>
      <c r="H16" s="1"/>
      <c r="I16" s="1"/>
      <c r="J16" s="1"/>
      <c r="K16" s="1"/>
      <c r="L16" s="1"/>
      <c r="M16" s="1"/>
      <c r="N16" s="18"/>
    </row>
    <row r="17" spans="2:14" ht="15" customHeight="1" x14ac:dyDescent="0.25">
      <c r="B17" s="20"/>
      <c r="C17" s="5" t="s">
        <v>43</v>
      </c>
      <c r="D17" s="6" t="s">
        <v>17</v>
      </c>
      <c r="E17" s="11">
        <v>4.1218999999999999E-2</v>
      </c>
      <c r="F17" s="1"/>
      <c r="G17" s="1"/>
      <c r="H17" s="1"/>
      <c r="I17" s="1"/>
      <c r="J17" s="1"/>
      <c r="K17" s="1"/>
      <c r="L17" s="1"/>
      <c r="M17" s="1"/>
      <c r="N17" s="18"/>
    </row>
    <row r="18" spans="2:14" ht="15" customHeight="1" x14ac:dyDescent="0.25">
      <c r="B18" s="20"/>
      <c r="C18" s="5" t="s">
        <v>20</v>
      </c>
      <c r="D18" s="6" t="s">
        <v>17</v>
      </c>
      <c r="E18" s="11">
        <v>2.8760000000000001E-2</v>
      </c>
      <c r="F18" s="1"/>
      <c r="G18" s="1"/>
      <c r="H18" s="1"/>
      <c r="I18" s="1"/>
      <c r="J18" s="1"/>
      <c r="K18" s="1"/>
      <c r="L18" s="1"/>
      <c r="M18" s="1"/>
      <c r="N18" s="18"/>
    </row>
    <row r="19" spans="2:14" ht="15" customHeight="1" x14ac:dyDescent="0.25">
      <c r="B19" s="20"/>
      <c r="C19" s="5" t="s">
        <v>50</v>
      </c>
      <c r="D19" s="6" t="s">
        <v>17</v>
      </c>
      <c r="E19" s="11">
        <v>2.3111E-2</v>
      </c>
      <c r="F19" s="1"/>
      <c r="G19" s="1"/>
      <c r="H19" s="1"/>
      <c r="I19" s="1"/>
      <c r="J19" s="1"/>
      <c r="K19" s="1"/>
      <c r="L19" s="1"/>
      <c r="M19" s="1"/>
      <c r="N19" s="18"/>
    </row>
    <row r="20" spans="2:14" ht="15" customHeight="1" x14ac:dyDescent="0.25">
      <c r="B20" s="20"/>
      <c r="C20" s="5" t="s">
        <v>51</v>
      </c>
      <c r="D20" s="6" t="s">
        <v>17</v>
      </c>
      <c r="E20" s="11">
        <v>1.7968000000000001E-2</v>
      </c>
      <c r="F20" s="1"/>
      <c r="G20" s="1"/>
      <c r="H20" s="1"/>
      <c r="I20" s="1"/>
      <c r="J20" s="1"/>
      <c r="K20" s="1"/>
      <c r="L20" s="1"/>
      <c r="M20" s="1"/>
      <c r="N20" s="18"/>
    </row>
    <row r="21" spans="2:14" ht="15" customHeight="1" x14ac:dyDescent="0.25">
      <c r="B21" s="20"/>
      <c r="C21" s="5" t="s">
        <v>12</v>
      </c>
      <c r="D21" s="6" t="s">
        <v>17</v>
      </c>
      <c r="E21" s="11">
        <v>1.7853000000000001E-2</v>
      </c>
      <c r="F21" s="1"/>
      <c r="G21" s="1"/>
      <c r="H21" s="1"/>
      <c r="I21" s="1"/>
      <c r="J21" s="1"/>
      <c r="K21" s="1"/>
      <c r="L21" s="1"/>
      <c r="M21" s="1"/>
      <c r="N21" s="18"/>
    </row>
    <row r="22" spans="2:14" ht="15" customHeight="1" x14ac:dyDescent="0.25">
      <c r="B22" s="20"/>
      <c r="C22" s="5" t="s">
        <v>52</v>
      </c>
      <c r="D22" s="6" t="s">
        <v>17</v>
      </c>
      <c r="E22" s="11">
        <v>1.2858E-2</v>
      </c>
      <c r="F22" s="1"/>
      <c r="G22" s="1"/>
      <c r="H22" s="1"/>
      <c r="I22" s="1"/>
      <c r="J22" s="1"/>
      <c r="K22" s="1"/>
      <c r="L22" s="1"/>
      <c r="M22" s="1"/>
      <c r="N22" s="18"/>
    </row>
    <row r="23" spans="2:14" ht="15.75" customHeight="1" x14ac:dyDescent="0.25">
      <c r="B23" s="20"/>
      <c r="C23" s="7" t="s">
        <v>21</v>
      </c>
      <c r="D23" s="8"/>
      <c r="E23" s="12">
        <v>0.39902900000000002</v>
      </c>
      <c r="F23" s="1"/>
      <c r="G23" s="1"/>
      <c r="H23" s="1"/>
      <c r="I23" s="1"/>
      <c r="J23" s="1"/>
      <c r="K23" s="1"/>
      <c r="L23" s="1"/>
      <c r="M23" s="1"/>
      <c r="N23" s="18"/>
    </row>
    <row r="24" spans="2:14" ht="15" customHeight="1" x14ac:dyDescent="0.25">
      <c r="B24" s="20"/>
      <c r="C24" s="5" t="s">
        <v>22</v>
      </c>
      <c r="D24" s="6"/>
      <c r="E24" s="11">
        <v>2.5530000000000001E-3</v>
      </c>
      <c r="F24" s="1"/>
      <c r="G24" s="86" t="s">
        <v>6</v>
      </c>
      <c r="H24" s="87"/>
      <c r="I24" s="87"/>
      <c r="J24" s="87"/>
      <c r="K24" s="87"/>
      <c r="L24" s="38">
        <v>3.7211291865080507</v>
      </c>
      <c r="M24" s="27"/>
      <c r="N24" s="28"/>
    </row>
    <row r="25" spans="2:14" ht="15.75" customHeight="1" x14ac:dyDescent="0.25">
      <c r="B25" s="20"/>
      <c r="C25" s="7" t="s">
        <v>23</v>
      </c>
      <c r="D25" s="8"/>
      <c r="E25" s="12">
        <v>2.5530000000000001E-3</v>
      </c>
      <c r="F25" s="1"/>
      <c r="G25" s="1"/>
      <c r="H25" s="1"/>
      <c r="I25" s="1"/>
      <c r="J25" s="1"/>
      <c r="K25" s="1"/>
      <c r="L25" s="1"/>
      <c r="M25" s="1"/>
      <c r="N25" s="18"/>
    </row>
    <row r="26" spans="2:14" ht="15" customHeight="1" x14ac:dyDescent="0.25">
      <c r="B26" s="20"/>
      <c r="C26" s="5" t="s">
        <v>25</v>
      </c>
      <c r="D26" s="6" t="s">
        <v>192</v>
      </c>
      <c r="E26" s="11">
        <v>0.25680399999999998</v>
      </c>
      <c r="F26" s="1"/>
      <c r="G26" s="86" t="s">
        <v>7</v>
      </c>
      <c r="H26" s="87"/>
      <c r="I26" s="87"/>
      <c r="J26" s="87"/>
      <c r="K26" s="87"/>
      <c r="L26" s="87"/>
      <c r="M26" s="87"/>
      <c r="N26" s="88"/>
    </row>
    <row r="27" spans="2:14" ht="15" customHeight="1" x14ac:dyDescent="0.25">
      <c r="B27" s="20"/>
      <c r="C27" s="5" t="s">
        <v>26</v>
      </c>
      <c r="D27" s="6" t="s">
        <v>192</v>
      </c>
      <c r="E27" s="11">
        <v>0.13769100000000001</v>
      </c>
      <c r="F27" s="1"/>
      <c r="G27" s="1"/>
      <c r="H27" s="1"/>
      <c r="I27" s="1"/>
      <c r="J27" s="1"/>
      <c r="K27" s="1"/>
      <c r="L27" s="1"/>
      <c r="M27" s="1"/>
      <c r="N27" s="18"/>
    </row>
    <row r="28" spans="2:14" ht="15" customHeight="1" x14ac:dyDescent="0.25">
      <c r="B28" s="20"/>
      <c r="C28" s="5" t="s">
        <v>45</v>
      </c>
      <c r="D28" s="6" t="s">
        <v>192</v>
      </c>
      <c r="E28" s="11">
        <v>1.06E-4</v>
      </c>
      <c r="F28" s="1"/>
      <c r="G28" s="1"/>
      <c r="H28" s="1"/>
      <c r="I28" s="1"/>
      <c r="J28" s="1"/>
      <c r="K28" s="1"/>
      <c r="L28" s="1"/>
      <c r="M28" s="1"/>
      <c r="N28" s="18"/>
    </row>
    <row r="29" spans="2:14" ht="15" customHeight="1" x14ac:dyDescent="0.25">
      <c r="B29" s="20"/>
      <c r="C29" s="5" t="s">
        <v>53</v>
      </c>
      <c r="D29" s="6" t="s">
        <v>192</v>
      </c>
      <c r="E29" s="11">
        <v>1.01E-4</v>
      </c>
      <c r="F29" s="1"/>
      <c r="G29" s="1"/>
      <c r="H29" s="1"/>
      <c r="I29" s="1"/>
      <c r="J29" s="1"/>
      <c r="K29" s="1"/>
      <c r="L29" s="1"/>
      <c r="M29" s="1"/>
      <c r="N29" s="18"/>
    </row>
    <row r="30" spans="2:14" ht="15" customHeight="1" x14ac:dyDescent="0.25">
      <c r="B30" s="20"/>
      <c r="C30" s="5" t="s">
        <v>27</v>
      </c>
      <c r="D30" s="6" t="s">
        <v>192</v>
      </c>
      <c r="E30" s="11">
        <v>8.7000000000000001E-5</v>
      </c>
      <c r="F30" s="1"/>
      <c r="G30" s="1"/>
      <c r="H30" s="1"/>
      <c r="I30" s="1"/>
      <c r="J30" s="1"/>
      <c r="K30" s="1"/>
      <c r="L30" s="1"/>
      <c r="M30" s="1"/>
      <c r="N30" s="18"/>
    </row>
    <row r="31" spans="2:14" ht="15.75" customHeight="1" x14ac:dyDescent="0.25">
      <c r="B31" s="20"/>
      <c r="C31" s="7" t="s">
        <v>29</v>
      </c>
      <c r="D31" s="8"/>
      <c r="E31" s="12">
        <v>0.394789</v>
      </c>
      <c r="F31" s="1"/>
      <c r="G31" s="1"/>
      <c r="H31" s="1"/>
      <c r="I31" s="1"/>
      <c r="J31" s="1"/>
      <c r="K31" s="1"/>
      <c r="L31" s="1"/>
      <c r="M31" s="1"/>
      <c r="N31" s="18"/>
    </row>
    <row r="32" spans="2:14" ht="15" customHeight="1" x14ac:dyDescent="0.25">
      <c r="B32" s="20"/>
      <c r="C32" s="5" t="s">
        <v>30</v>
      </c>
      <c r="D32" s="6"/>
      <c r="E32" s="11">
        <v>3.3839999999999999E-3</v>
      </c>
      <c r="F32" s="1"/>
      <c r="G32" s="1"/>
      <c r="H32" s="1"/>
      <c r="I32" s="1"/>
      <c r="J32" s="1"/>
      <c r="K32" s="1"/>
      <c r="L32" s="1"/>
      <c r="M32" s="1"/>
      <c r="N32" s="18"/>
    </row>
    <row r="33" spans="2:14" ht="15.75" customHeight="1" x14ac:dyDescent="0.25">
      <c r="B33" s="20"/>
      <c r="C33" s="7" t="s">
        <v>31</v>
      </c>
      <c r="D33" s="8"/>
      <c r="E33" s="12">
        <v>3.3839999999999999E-3</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32</v>
      </c>
      <c r="D35" s="8"/>
      <c r="E35" s="12">
        <v>2.0844999999999999E-2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33</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325</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44.75" customHeight="1" thickBot="1" x14ac:dyDescent="0.3">
      <c r="B50" s="78" t="s">
        <v>323</v>
      </c>
      <c r="C50" s="79"/>
      <c r="D50" s="79"/>
      <c r="E50" s="79"/>
      <c r="F50" s="79"/>
      <c r="G50" s="79"/>
      <c r="H50" s="79"/>
      <c r="I50" s="79"/>
      <c r="J50" s="79"/>
      <c r="K50" s="79"/>
      <c r="L50" s="79"/>
      <c r="M50" s="79"/>
      <c r="N50" s="80"/>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2985C-177B-4647-829E-E7FB4D8FAC86}">
  <dimension ref="B1:N7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4.710937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328</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172</v>
      </c>
      <c r="D8" s="6" t="s">
        <v>13</v>
      </c>
      <c r="E8" s="11">
        <v>3.9546999999999999E-2</v>
      </c>
      <c r="F8" s="1"/>
      <c r="G8" s="24" t="s">
        <v>4</v>
      </c>
      <c r="H8" s="25">
        <v>1</v>
      </c>
      <c r="I8" s="31"/>
      <c r="J8" s="32" t="s">
        <v>34</v>
      </c>
      <c r="K8" s="32" t="s">
        <v>3</v>
      </c>
      <c r="L8" s="31"/>
      <c r="M8" s="1"/>
      <c r="N8" s="18"/>
    </row>
    <row r="9" spans="2:14" ht="15" customHeight="1" x14ac:dyDescent="0.25">
      <c r="B9" s="20"/>
      <c r="C9" s="5" t="s">
        <v>41</v>
      </c>
      <c r="D9" s="6" t="s">
        <v>13</v>
      </c>
      <c r="E9" s="11">
        <v>3.3887E-2</v>
      </c>
      <c r="F9" s="1"/>
      <c r="G9" s="1"/>
      <c r="H9" s="1"/>
      <c r="I9" s="31"/>
      <c r="J9" s="32" t="s">
        <v>32</v>
      </c>
      <c r="K9" s="33">
        <f>E48</f>
        <v>2.112E-2</v>
      </c>
      <c r="L9" s="31"/>
      <c r="M9" s="1"/>
      <c r="N9" s="18"/>
    </row>
    <row r="10" spans="2:14" ht="15" customHeight="1" x14ac:dyDescent="0.25">
      <c r="B10" s="20"/>
      <c r="C10" s="5" t="s">
        <v>42</v>
      </c>
      <c r="D10" s="6" t="s">
        <v>13</v>
      </c>
      <c r="E10" s="11">
        <v>3.2807000000000003E-2</v>
      </c>
      <c r="F10" s="1"/>
      <c r="G10" s="1"/>
      <c r="H10" s="1"/>
      <c r="I10" s="31"/>
      <c r="J10" s="32" t="s">
        <v>35</v>
      </c>
      <c r="K10" s="33">
        <f>E46</f>
        <v>2.6489999999999999E-3</v>
      </c>
      <c r="L10" s="31"/>
      <c r="M10" s="1"/>
      <c r="N10" s="18"/>
    </row>
    <row r="11" spans="2:14" ht="15" customHeight="1" x14ac:dyDescent="0.25">
      <c r="B11" s="20"/>
      <c r="C11" s="5" t="s">
        <v>133</v>
      </c>
      <c r="D11" s="6" t="s">
        <v>13</v>
      </c>
      <c r="E11" s="11">
        <v>2.002E-2</v>
      </c>
      <c r="F11" s="1"/>
      <c r="G11" s="1"/>
      <c r="H11" s="1"/>
      <c r="I11" s="31"/>
      <c r="J11" s="32" t="s">
        <v>36</v>
      </c>
      <c r="K11" s="33">
        <f>E17</f>
        <v>0.16131300000000001</v>
      </c>
      <c r="L11" s="31"/>
      <c r="M11" s="1"/>
      <c r="N11" s="18"/>
    </row>
    <row r="12" spans="2:14" ht="15" customHeight="1" x14ac:dyDescent="0.25">
      <c r="B12" s="20"/>
      <c r="C12" s="5" t="s">
        <v>131</v>
      </c>
      <c r="D12" s="6" t="s">
        <v>13</v>
      </c>
      <c r="E12" s="11">
        <v>1.0978999999999999E-2</v>
      </c>
      <c r="F12" s="1"/>
      <c r="G12" s="1"/>
      <c r="H12" s="1"/>
      <c r="I12" s="31"/>
      <c r="J12" s="32" t="s">
        <v>37</v>
      </c>
      <c r="K12" s="33">
        <f>E35</f>
        <v>0.54417899999999997</v>
      </c>
      <c r="L12" s="31"/>
      <c r="M12" s="1"/>
      <c r="N12" s="18"/>
    </row>
    <row r="13" spans="2:14" ht="15" customHeight="1" x14ac:dyDescent="0.25">
      <c r="B13" s="20"/>
      <c r="C13" s="5" t="s">
        <v>14</v>
      </c>
      <c r="D13" s="6" t="s">
        <v>13</v>
      </c>
      <c r="E13" s="11">
        <v>9.0950000000000007E-3</v>
      </c>
      <c r="F13" s="1"/>
      <c r="G13" s="1"/>
      <c r="H13" s="1"/>
      <c r="I13" s="31"/>
      <c r="J13" s="32" t="s">
        <v>22</v>
      </c>
      <c r="K13" s="33">
        <f>E37</f>
        <v>2.8310000000000002E-3</v>
      </c>
      <c r="L13" s="31"/>
      <c r="M13" s="1"/>
      <c r="N13" s="18"/>
    </row>
    <row r="14" spans="2:14" ht="15" customHeight="1" x14ac:dyDescent="0.25">
      <c r="B14" s="20"/>
      <c r="C14" s="5" t="s">
        <v>19</v>
      </c>
      <c r="D14" s="6" t="s">
        <v>13</v>
      </c>
      <c r="E14" s="11">
        <v>7.3270000000000002E-3</v>
      </c>
      <c r="F14" s="1"/>
      <c r="G14" s="1"/>
      <c r="H14" s="1"/>
      <c r="I14" s="31"/>
      <c r="J14" s="32" t="s">
        <v>38</v>
      </c>
      <c r="K14" s="33">
        <f>E42</f>
        <v>0.267818</v>
      </c>
      <c r="L14" s="31"/>
      <c r="M14" s="1"/>
      <c r="N14" s="18"/>
    </row>
    <row r="15" spans="2:14" ht="15" customHeight="1" x14ac:dyDescent="0.25">
      <c r="B15" s="20"/>
      <c r="C15" s="5" t="s">
        <v>132</v>
      </c>
      <c r="D15" s="6" t="s">
        <v>13</v>
      </c>
      <c r="E15" s="11">
        <v>7.2839999999999997E-3</v>
      </c>
      <c r="F15" s="1"/>
      <c r="G15" s="1"/>
      <c r="H15" s="1"/>
      <c r="I15" s="31"/>
      <c r="J15" s="32" t="s">
        <v>47</v>
      </c>
      <c r="K15" s="33">
        <f>E44</f>
        <v>9.0000000000000006E-5</v>
      </c>
      <c r="L15" s="31"/>
      <c r="M15" s="1"/>
      <c r="N15" s="18"/>
    </row>
    <row r="16" spans="2:14" ht="15" customHeight="1" x14ac:dyDescent="0.25">
      <c r="B16" s="20"/>
      <c r="C16" s="5" t="s">
        <v>64</v>
      </c>
      <c r="D16" s="6" t="s">
        <v>13</v>
      </c>
      <c r="E16" s="11">
        <v>3.6699999999999998E-4</v>
      </c>
      <c r="F16" s="1"/>
      <c r="G16" s="1"/>
      <c r="H16" s="1"/>
      <c r="I16" s="31"/>
      <c r="J16" s="31"/>
      <c r="K16" s="31"/>
      <c r="L16" s="31"/>
      <c r="M16" s="1"/>
      <c r="N16" s="18"/>
    </row>
    <row r="17" spans="2:14" ht="15.75" customHeight="1" x14ac:dyDescent="0.25">
      <c r="B17" s="20"/>
      <c r="C17" s="7" t="s">
        <v>15</v>
      </c>
      <c r="D17" s="8"/>
      <c r="E17" s="12">
        <v>0.16131300000000001</v>
      </c>
      <c r="F17" s="1"/>
      <c r="G17" s="1"/>
      <c r="H17" s="1"/>
      <c r="I17" s="31"/>
      <c r="J17" s="31"/>
      <c r="K17" s="31"/>
      <c r="L17" s="31"/>
      <c r="M17" s="1"/>
      <c r="N17" s="18"/>
    </row>
    <row r="18" spans="2:14" ht="15" customHeight="1" x14ac:dyDescent="0.25">
      <c r="B18" s="20"/>
      <c r="C18" s="5" t="s">
        <v>58</v>
      </c>
      <c r="D18" s="6" t="s">
        <v>17</v>
      </c>
      <c r="E18" s="11">
        <v>9.6190999999999999E-2</v>
      </c>
      <c r="F18" s="1"/>
      <c r="G18" s="1"/>
      <c r="H18" s="1"/>
      <c r="I18" s="1"/>
      <c r="J18" s="1"/>
      <c r="K18" s="1"/>
      <c r="L18" s="1"/>
      <c r="M18" s="1"/>
      <c r="N18" s="18"/>
    </row>
    <row r="19" spans="2:14" ht="15" customHeight="1" x14ac:dyDescent="0.25">
      <c r="B19" s="20"/>
      <c r="C19" s="5" t="s">
        <v>12</v>
      </c>
      <c r="D19" s="6" t="s">
        <v>17</v>
      </c>
      <c r="E19" s="11">
        <v>8.6455000000000004E-2</v>
      </c>
      <c r="F19" s="1"/>
      <c r="G19" s="1"/>
      <c r="H19" s="1"/>
      <c r="I19" s="1"/>
      <c r="J19" s="1"/>
      <c r="K19" s="1"/>
      <c r="L19" s="1"/>
      <c r="M19" s="1"/>
      <c r="N19" s="18"/>
    </row>
    <row r="20" spans="2:14" ht="15" customHeight="1" x14ac:dyDescent="0.25">
      <c r="B20" s="20"/>
      <c r="C20" s="5" t="s">
        <v>19</v>
      </c>
      <c r="D20" s="6" t="s">
        <v>17</v>
      </c>
      <c r="E20" s="11">
        <v>8.1446000000000005E-2</v>
      </c>
      <c r="F20" s="1"/>
      <c r="G20" s="1"/>
      <c r="H20" s="1"/>
      <c r="I20" s="1"/>
      <c r="J20" s="1"/>
      <c r="K20" s="1"/>
      <c r="L20" s="1"/>
      <c r="M20" s="1"/>
      <c r="N20" s="18"/>
    </row>
    <row r="21" spans="2:14" ht="15" customHeight="1" x14ac:dyDescent="0.25">
      <c r="B21" s="20"/>
      <c r="C21" s="5" t="s">
        <v>50</v>
      </c>
      <c r="D21" s="6" t="s">
        <v>17</v>
      </c>
      <c r="E21" s="11">
        <v>5.7880000000000001E-2</v>
      </c>
      <c r="F21" s="1"/>
      <c r="G21" s="1"/>
      <c r="H21" s="1"/>
      <c r="I21" s="1"/>
      <c r="J21" s="1"/>
      <c r="K21" s="1"/>
      <c r="L21" s="1"/>
      <c r="M21" s="1"/>
      <c r="N21" s="18"/>
    </row>
    <row r="22" spans="2:14" ht="15" customHeight="1" x14ac:dyDescent="0.25">
      <c r="B22" s="20"/>
      <c r="C22" s="5" t="s">
        <v>20</v>
      </c>
      <c r="D22" s="6" t="s">
        <v>17</v>
      </c>
      <c r="E22" s="11">
        <v>5.0035999999999997E-2</v>
      </c>
      <c r="F22" s="1"/>
      <c r="G22" s="1"/>
      <c r="H22" s="1"/>
      <c r="I22" s="1"/>
      <c r="J22" s="1"/>
      <c r="K22" s="1"/>
      <c r="L22" s="1"/>
      <c r="M22" s="1"/>
      <c r="N22" s="18"/>
    </row>
    <row r="23" spans="2:14" ht="15" customHeight="1" x14ac:dyDescent="0.25">
      <c r="B23" s="20"/>
      <c r="C23" s="5" t="s">
        <v>66</v>
      </c>
      <c r="D23" s="6" t="s">
        <v>17</v>
      </c>
      <c r="E23" s="11">
        <v>3.2433999999999998E-2</v>
      </c>
      <c r="F23" s="1"/>
      <c r="G23" s="1"/>
      <c r="H23" s="1"/>
      <c r="I23" s="1"/>
      <c r="J23" s="1"/>
      <c r="K23" s="1"/>
      <c r="L23" s="1"/>
      <c r="M23" s="1"/>
      <c r="N23" s="18"/>
    </row>
    <row r="24" spans="2:14" ht="15" customHeight="1" x14ac:dyDescent="0.25">
      <c r="B24" s="20"/>
      <c r="C24" s="5" t="s">
        <v>62</v>
      </c>
      <c r="D24" s="6" t="s">
        <v>17</v>
      </c>
      <c r="E24" s="11">
        <v>2.9413000000000002E-2</v>
      </c>
      <c r="F24" s="1"/>
      <c r="G24" s="86" t="s">
        <v>6</v>
      </c>
      <c r="H24" s="87"/>
      <c r="I24" s="87"/>
      <c r="J24" s="87"/>
      <c r="K24" s="87"/>
      <c r="L24" s="26">
        <v>3.0013067060193421</v>
      </c>
      <c r="M24" s="27"/>
      <c r="N24" s="28"/>
    </row>
    <row r="25" spans="2:14" ht="15" customHeight="1" x14ac:dyDescent="0.25">
      <c r="B25" s="20"/>
      <c r="C25" s="5" t="s">
        <v>65</v>
      </c>
      <c r="D25" s="6" t="s">
        <v>17</v>
      </c>
      <c r="E25" s="11">
        <v>2.7945999999999999E-2</v>
      </c>
      <c r="F25" s="1"/>
      <c r="G25" s="1"/>
      <c r="H25" s="1"/>
      <c r="I25" s="1"/>
      <c r="J25" s="1"/>
      <c r="K25" s="1"/>
      <c r="L25" s="1"/>
      <c r="M25" s="1"/>
      <c r="N25" s="18"/>
    </row>
    <row r="26" spans="2:14" ht="15" customHeight="1" x14ac:dyDescent="0.25">
      <c r="B26" s="20"/>
      <c r="C26" s="5" t="s">
        <v>64</v>
      </c>
      <c r="D26" s="6" t="s">
        <v>17</v>
      </c>
      <c r="E26" s="11">
        <v>2.4806999999999999E-2</v>
      </c>
      <c r="F26" s="1"/>
      <c r="G26" s="86" t="s">
        <v>7</v>
      </c>
      <c r="H26" s="87"/>
      <c r="I26" s="87"/>
      <c r="J26" s="87"/>
      <c r="K26" s="87"/>
      <c r="L26" s="87"/>
      <c r="M26" s="87"/>
      <c r="N26" s="88"/>
    </row>
    <row r="27" spans="2:14" ht="15" customHeight="1" x14ac:dyDescent="0.25">
      <c r="B27" s="20"/>
      <c r="C27" s="5" t="s">
        <v>68</v>
      </c>
      <c r="D27" s="6" t="s">
        <v>17</v>
      </c>
      <c r="E27" s="11">
        <v>1.7415E-2</v>
      </c>
      <c r="F27" s="1"/>
      <c r="G27" s="1"/>
      <c r="H27" s="1"/>
      <c r="I27" s="1"/>
      <c r="J27" s="1"/>
      <c r="K27" s="1"/>
      <c r="L27" s="1"/>
      <c r="M27" s="1"/>
      <c r="N27" s="18"/>
    </row>
    <row r="28" spans="2:14" ht="15" customHeight="1" x14ac:dyDescent="0.25">
      <c r="B28" s="20"/>
      <c r="C28" s="5" t="s">
        <v>56</v>
      </c>
      <c r="D28" s="6" t="s">
        <v>17</v>
      </c>
      <c r="E28" s="11">
        <v>1.6708000000000001E-2</v>
      </c>
      <c r="F28" s="1"/>
      <c r="G28" s="1"/>
      <c r="H28" s="1"/>
      <c r="I28" s="1"/>
      <c r="J28" s="1"/>
      <c r="K28" s="1"/>
      <c r="L28" s="1"/>
      <c r="M28" s="1"/>
      <c r="N28" s="18"/>
    </row>
    <row r="29" spans="2:14" ht="15" customHeight="1" x14ac:dyDescent="0.25">
      <c r="B29" s="20"/>
      <c r="C29" s="5" t="s">
        <v>57</v>
      </c>
      <c r="D29" s="6" t="s">
        <v>17</v>
      </c>
      <c r="E29" s="11">
        <v>1.4153000000000001E-2</v>
      </c>
      <c r="F29" s="1"/>
      <c r="G29" s="1"/>
      <c r="H29" s="1"/>
      <c r="I29" s="1"/>
      <c r="J29" s="1"/>
      <c r="K29" s="1"/>
      <c r="L29" s="1"/>
      <c r="M29" s="1"/>
      <c r="N29" s="18"/>
    </row>
    <row r="30" spans="2:14" ht="15" customHeight="1" x14ac:dyDescent="0.25">
      <c r="B30" s="20"/>
      <c r="C30" s="5" t="s">
        <v>60</v>
      </c>
      <c r="D30" s="6" t="s">
        <v>17</v>
      </c>
      <c r="E30" s="11">
        <v>3.5669999999999999E-3</v>
      </c>
      <c r="F30" s="1"/>
      <c r="G30" s="1"/>
      <c r="H30" s="1"/>
      <c r="I30" s="1"/>
      <c r="J30" s="1"/>
      <c r="K30" s="1"/>
      <c r="L30" s="1"/>
      <c r="M30" s="1"/>
      <c r="N30" s="18"/>
    </row>
    <row r="31" spans="2:14" ht="15" customHeight="1" x14ac:dyDescent="0.25">
      <c r="B31" s="20"/>
      <c r="C31" s="5" t="s">
        <v>172</v>
      </c>
      <c r="D31" s="6" t="s">
        <v>17</v>
      </c>
      <c r="E31" s="11">
        <v>3.3809999999999999E-3</v>
      </c>
      <c r="F31" s="1"/>
      <c r="G31" s="1"/>
      <c r="H31" s="1"/>
      <c r="I31" s="1"/>
      <c r="J31" s="1"/>
      <c r="K31" s="1"/>
      <c r="L31" s="1"/>
      <c r="M31" s="1"/>
      <c r="N31" s="18"/>
    </row>
    <row r="32" spans="2:14" ht="15" customHeight="1" x14ac:dyDescent="0.25">
      <c r="B32" s="20"/>
      <c r="C32" s="5" t="s">
        <v>191</v>
      </c>
      <c r="D32" s="6" t="s">
        <v>17</v>
      </c>
      <c r="E32" s="11">
        <v>1.8619999999999999E-3</v>
      </c>
      <c r="F32" s="1"/>
      <c r="G32" s="1"/>
      <c r="H32" s="1"/>
      <c r="I32" s="1"/>
      <c r="J32" s="1"/>
      <c r="K32" s="1"/>
      <c r="L32" s="1"/>
      <c r="M32" s="1"/>
      <c r="N32" s="18"/>
    </row>
    <row r="33" spans="2:14" ht="15" customHeight="1" x14ac:dyDescent="0.25">
      <c r="B33" s="20"/>
      <c r="C33" s="5" t="s">
        <v>18</v>
      </c>
      <c r="D33" s="6" t="s">
        <v>17</v>
      </c>
      <c r="E33" s="11">
        <v>3.7300000000000001E-4</v>
      </c>
      <c r="F33" s="1"/>
      <c r="G33" s="1"/>
      <c r="H33" s="1"/>
      <c r="I33" s="1"/>
      <c r="J33" s="1"/>
      <c r="K33" s="1"/>
      <c r="L33" s="1"/>
      <c r="M33" s="1"/>
      <c r="N33" s="18"/>
    </row>
    <row r="34" spans="2:14" ht="15" customHeight="1" x14ac:dyDescent="0.25">
      <c r="B34" s="20"/>
      <c r="C34" s="5" t="s">
        <v>41</v>
      </c>
      <c r="D34" s="6" t="s">
        <v>17</v>
      </c>
      <c r="E34" s="11">
        <v>1.12E-4</v>
      </c>
      <c r="F34" s="1"/>
      <c r="G34" s="1"/>
      <c r="H34" s="1"/>
      <c r="I34" s="1"/>
      <c r="J34" s="1"/>
      <c r="K34" s="1"/>
      <c r="L34" s="1"/>
      <c r="M34" s="1"/>
      <c r="N34" s="18"/>
    </row>
    <row r="35" spans="2:14" ht="15.75" customHeight="1" x14ac:dyDescent="0.25">
      <c r="B35" s="20"/>
      <c r="C35" s="7" t="s">
        <v>21</v>
      </c>
      <c r="D35" s="8"/>
      <c r="E35" s="12">
        <v>0.54417899999999997</v>
      </c>
      <c r="F35" s="1"/>
      <c r="G35" s="1"/>
      <c r="H35" s="1"/>
      <c r="I35" s="1"/>
      <c r="J35" s="1"/>
      <c r="K35" s="1"/>
      <c r="L35" s="1"/>
      <c r="M35" s="1"/>
      <c r="N35" s="18"/>
    </row>
    <row r="36" spans="2:14" ht="15" customHeight="1" x14ac:dyDescent="0.25">
      <c r="B36" s="20"/>
      <c r="C36" s="5" t="s">
        <v>22</v>
      </c>
      <c r="D36" s="6"/>
      <c r="E36" s="11">
        <v>2.8310000000000002E-3</v>
      </c>
      <c r="F36" s="1"/>
      <c r="G36" s="1"/>
      <c r="H36" s="1"/>
      <c r="I36" s="1"/>
      <c r="J36" s="1"/>
      <c r="K36" s="1"/>
      <c r="L36" s="1"/>
      <c r="M36" s="1"/>
      <c r="N36" s="18"/>
    </row>
    <row r="37" spans="2:14" ht="15.75" customHeight="1" x14ac:dyDescent="0.25">
      <c r="B37" s="20"/>
      <c r="C37" s="7" t="s">
        <v>23</v>
      </c>
      <c r="D37" s="8"/>
      <c r="E37" s="12">
        <v>2.8310000000000002E-3</v>
      </c>
      <c r="F37" s="1"/>
      <c r="G37" s="1"/>
      <c r="H37" s="1"/>
      <c r="I37" s="1"/>
      <c r="J37" s="1"/>
      <c r="K37" s="1"/>
      <c r="L37" s="1"/>
      <c r="M37" s="1"/>
      <c r="N37" s="18"/>
    </row>
    <row r="38" spans="2:14" ht="15" customHeight="1" x14ac:dyDescent="0.25">
      <c r="B38" s="20"/>
      <c r="C38" s="5" t="s">
        <v>25</v>
      </c>
      <c r="D38" s="6" t="s">
        <v>192</v>
      </c>
      <c r="E38" s="11">
        <v>0.14870900000000001</v>
      </c>
      <c r="F38" s="1"/>
      <c r="G38" s="1"/>
      <c r="H38" s="1"/>
      <c r="I38" s="1"/>
      <c r="J38" s="1"/>
      <c r="K38" s="1"/>
      <c r="L38" s="1"/>
      <c r="M38" s="1"/>
      <c r="N38" s="18"/>
    </row>
    <row r="39" spans="2:14" ht="15" customHeight="1" x14ac:dyDescent="0.25">
      <c r="B39" s="20"/>
      <c r="C39" s="5" t="s">
        <v>26</v>
      </c>
      <c r="D39" s="6" t="s">
        <v>192</v>
      </c>
      <c r="E39" s="11">
        <v>8.9334999999999998E-2</v>
      </c>
      <c r="F39" s="1"/>
      <c r="G39" s="1"/>
      <c r="H39" s="1"/>
      <c r="I39" s="1"/>
      <c r="J39" s="1"/>
      <c r="K39" s="1"/>
      <c r="L39" s="1"/>
      <c r="M39" s="1"/>
      <c r="N39" s="18"/>
    </row>
    <row r="40" spans="2:14" ht="15" customHeight="1" x14ac:dyDescent="0.25">
      <c r="B40" s="20"/>
      <c r="C40" s="5" t="s">
        <v>70</v>
      </c>
      <c r="D40" s="6" t="s">
        <v>192</v>
      </c>
      <c r="E40" s="11">
        <v>1.7943000000000001E-2</v>
      </c>
      <c r="F40" s="1"/>
      <c r="G40" s="1"/>
      <c r="H40" s="1"/>
      <c r="I40" s="1"/>
      <c r="J40" s="1"/>
      <c r="K40" s="1"/>
      <c r="L40" s="1"/>
      <c r="M40" s="1"/>
      <c r="N40" s="18"/>
    </row>
    <row r="41" spans="2:14" ht="15" customHeight="1" x14ac:dyDescent="0.25">
      <c r="B41" s="20"/>
      <c r="C41" s="5" t="s">
        <v>122</v>
      </c>
      <c r="D41" s="6" t="s">
        <v>192</v>
      </c>
      <c r="E41" s="11">
        <v>1.1831E-2</v>
      </c>
      <c r="F41" s="1"/>
      <c r="G41" s="1"/>
      <c r="H41" s="1"/>
      <c r="I41" s="1"/>
      <c r="J41" s="1"/>
      <c r="K41" s="1"/>
      <c r="L41" s="1"/>
      <c r="M41" s="1"/>
      <c r="N41" s="18"/>
    </row>
    <row r="42" spans="2:14" ht="15.75" customHeight="1" x14ac:dyDescent="0.25">
      <c r="B42" s="20"/>
      <c r="C42" s="7" t="s">
        <v>29</v>
      </c>
      <c r="D42" s="8"/>
      <c r="E42" s="12">
        <v>0.267818</v>
      </c>
      <c r="F42" s="1"/>
      <c r="G42" s="1"/>
      <c r="H42" s="1"/>
      <c r="I42" s="1"/>
      <c r="J42" s="1"/>
      <c r="K42" s="1"/>
      <c r="L42" s="1"/>
      <c r="M42" s="1"/>
      <c r="N42" s="18"/>
    </row>
    <row r="43" spans="2:14" ht="15" customHeight="1" x14ac:dyDescent="0.25">
      <c r="B43" s="20"/>
      <c r="C43" s="5" t="s">
        <v>260</v>
      </c>
      <c r="D43" s="6" t="s">
        <v>192</v>
      </c>
      <c r="E43" s="11">
        <v>9.0000000000000006E-5</v>
      </c>
      <c r="F43" s="1"/>
      <c r="G43" s="1"/>
      <c r="H43" s="1"/>
      <c r="I43" s="1"/>
      <c r="J43" s="1"/>
      <c r="K43" s="1"/>
      <c r="L43" s="1"/>
      <c r="M43" s="1"/>
      <c r="N43" s="18"/>
    </row>
    <row r="44" spans="2:14" ht="15.75" customHeight="1" x14ac:dyDescent="0.25">
      <c r="B44" s="20"/>
      <c r="C44" s="7" t="s">
        <v>46</v>
      </c>
      <c r="D44" s="8"/>
      <c r="E44" s="12">
        <v>9.0000000000000006E-5</v>
      </c>
      <c r="F44" s="1"/>
      <c r="G44" s="1"/>
      <c r="H44" s="1"/>
      <c r="I44" s="1"/>
      <c r="J44" s="1"/>
      <c r="K44" s="1"/>
      <c r="L44" s="1"/>
      <c r="M44" s="1"/>
      <c r="N44" s="18"/>
    </row>
    <row r="45" spans="2:14" ht="15" customHeight="1" x14ac:dyDescent="0.25">
      <c r="B45" s="20"/>
      <c r="C45" s="5" t="s">
        <v>30</v>
      </c>
      <c r="D45" s="6"/>
      <c r="E45" s="11">
        <v>2.6489999999999999E-3</v>
      </c>
      <c r="F45" s="1"/>
      <c r="G45" s="1"/>
      <c r="H45" s="1"/>
      <c r="I45" s="1"/>
      <c r="J45" s="1"/>
      <c r="K45" s="1"/>
      <c r="L45" s="1"/>
      <c r="M45" s="1"/>
      <c r="N45" s="18"/>
    </row>
    <row r="46" spans="2:14" ht="15.75" customHeight="1" x14ac:dyDescent="0.25">
      <c r="B46" s="20"/>
      <c r="C46" s="7" t="s">
        <v>31</v>
      </c>
      <c r="D46" s="8"/>
      <c r="E46" s="12">
        <v>2.6489999999999999E-3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32</v>
      </c>
      <c r="D48" s="8"/>
      <c r="E48" s="12">
        <v>2.112E-2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33</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9" t="s">
        <v>325</v>
      </c>
      <c r="C54" s="70"/>
      <c r="D54" s="70"/>
      <c r="E54" s="70"/>
      <c r="F54" s="70"/>
      <c r="G54" s="70"/>
      <c r="H54" s="70"/>
      <c r="I54" s="70"/>
      <c r="J54" s="70"/>
      <c r="K54" s="70"/>
      <c r="L54" s="70"/>
      <c r="M54" s="70"/>
      <c r="N54" s="71"/>
    </row>
    <row r="55" spans="2:14" ht="15" customHeight="1" x14ac:dyDescent="0.25">
      <c r="B55" s="72"/>
      <c r="C55" s="73"/>
      <c r="D55" s="73"/>
      <c r="E55" s="73"/>
      <c r="F55" s="73"/>
      <c r="G55" s="73"/>
      <c r="H55" s="73"/>
      <c r="I55" s="73"/>
      <c r="J55" s="73"/>
      <c r="K55" s="73"/>
      <c r="L55" s="73"/>
      <c r="M55" s="73"/>
      <c r="N55" s="74"/>
    </row>
    <row r="56" spans="2:14" ht="15" customHeight="1" x14ac:dyDescent="0.25">
      <c r="B56" s="72"/>
      <c r="C56" s="73"/>
      <c r="D56" s="73"/>
      <c r="E56" s="73"/>
      <c r="F56" s="73"/>
      <c r="G56" s="73"/>
      <c r="H56" s="73"/>
      <c r="I56" s="73"/>
      <c r="J56" s="73"/>
      <c r="K56" s="73"/>
      <c r="L56" s="73"/>
      <c r="M56" s="73"/>
      <c r="N56" s="74"/>
    </row>
    <row r="57" spans="2:14" ht="15" customHeight="1" thickBot="1" x14ac:dyDescent="0.3">
      <c r="B57" s="75"/>
      <c r="C57" s="76"/>
      <c r="D57" s="76"/>
      <c r="E57" s="76"/>
      <c r="F57" s="76"/>
      <c r="G57" s="76"/>
      <c r="H57" s="76"/>
      <c r="I57" s="76"/>
      <c r="J57" s="76"/>
      <c r="K57" s="76"/>
      <c r="L57" s="76"/>
      <c r="M57" s="76"/>
      <c r="N57" s="77"/>
    </row>
    <row r="58" spans="2:14" ht="15" customHeight="1" thickBot="1" x14ac:dyDescent="0.3"/>
    <row r="59" spans="2:14" ht="157.5" customHeight="1" thickBot="1" x14ac:dyDescent="0.3">
      <c r="B59" s="78" t="s">
        <v>323</v>
      </c>
      <c r="C59" s="79"/>
      <c r="D59" s="79"/>
      <c r="E59" s="79"/>
      <c r="F59" s="79"/>
      <c r="G59" s="79"/>
      <c r="H59" s="79"/>
      <c r="I59" s="79"/>
      <c r="J59" s="79"/>
      <c r="K59" s="79"/>
      <c r="L59" s="79"/>
      <c r="M59" s="79"/>
      <c r="N59" s="80"/>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EDB1-198A-4FDA-BAD2-612B70BA6F41}">
  <dimension ref="B1:N74"/>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54</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55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18</v>
      </c>
      <c r="D8" s="6" t="s">
        <v>17</v>
      </c>
      <c r="E8" s="11">
        <v>9.8073999999999995E-2</v>
      </c>
      <c r="F8" s="1"/>
      <c r="G8" s="24" t="s">
        <v>4</v>
      </c>
      <c r="H8" s="25">
        <v>1</v>
      </c>
      <c r="I8" s="31"/>
      <c r="J8" s="32" t="s">
        <v>34</v>
      </c>
      <c r="K8" s="32" t="s">
        <v>3</v>
      </c>
      <c r="L8" s="1"/>
      <c r="M8" s="1"/>
      <c r="N8" s="18"/>
    </row>
    <row r="9" spans="2:14" ht="15" customHeight="1" x14ac:dyDescent="0.25">
      <c r="B9" s="20"/>
      <c r="C9" s="5" t="s">
        <v>56</v>
      </c>
      <c r="D9" s="6" t="s">
        <v>17</v>
      </c>
      <c r="E9" s="11">
        <v>8.5835999999999996E-2</v>
      </c>
      <c r="F9" s="1"/>
      <c r="G9" s="1"/>
      <c r="H9" s="1"/>
      <c r="I9" s="31"/>
      <c r="J9" s="32" t="s">
        <v>32</v>
      </c>
      <c r="K9" s="33">
        <v>2.7857E-2</v>
      </c>
      <c r="L9" s="1"/>
      <c r="M9" s="1"/>
      <c r="N9" s="18"/>
    </row>
    <row r="10" spans="2:14" ht="15" customHeight="1" x14ac:dyDescent="0.25">
      <c r="B10" s="20"/>
      <c r="C10" s="5" t="s">
        <v>19</v>
      </c>
      <c r="D10" s="6" t="s">
        <v>17</v>
      </c>
      <c r="E10" s="11">
        <v>8.4668999999999994E-2</v>
      </c>
      <c r="F10" s="1"/>
      <c r="G10" s="1"/>
      <c r="H10" s="1"/>
      <c r="I10" s="31"/>
      <c r="J10" s="32" t="s">
        <v>35</v>
      </c>
      <c r="K10" s="33">
        <v>5.1970000000000002E-3</v>
      </c>
      <c r="L10" s="1"/>
      <c r="M10" s="1"/>
      <c r="N10" s="18"/>
    </row>
    <row r="11" spans="2:14" ht="15" customHeight="1" x14ac:dyDescent="0.25">
      <c r="B11" s="20"/>
      <c r="C11" s="5" t="s">
        <v>57</v>
      </c>
      <c r="D11" s="6" t="s">
        <v>17</v>
      </c>
      <c r="E11" s="11">
        <v>6.1627000000000001E-2</v>
      </c>
      <c r="F11" s="1"/>
      <c r="G11" s="1"/>
      <c r="H11" s="1"/>
      <c r="I11" s="31"/>
      <c r="J11" s="32" t="s">
        <v>37</v>
      </c>
      <c r="K11" s="33">
        <v>0.68195700000000015</v>
      </c>
      <c r="L11" s="1"/>
      <c r="M11" s="1"/>
      <c r="N11" s="18"/>
    </row>
    <row r="12" spans="2:14" ht="15" customHeight="1" x14ac:dyDescent="0.25">
      <c r="B12" s="20"/>
      <c r="C12" s="5" t="s">
        <v>12</v>
      </c>
      <c r="D12" s="6" t="s">
        <v>17</v>
      </c>
      <c r="E12" s="11">
        <v>3.8417E-2</v>
      </c>
      <c r="F12" s="1"/>
      <c r="G12" s="1"/>
      <c r="H12" s="1"/>
      <c r="I12" s="31"/>
      <c r="J12" s="32" t="s">
        <v>22</v>
      </c>
      <c r="K12" s="33">
        <v>2.8500000000000001E-3</v>
      </c>
      <c r="L12" s="1"/>
      <c r="M12" s="1"/>
      <c r="N12" s="18"/>
    </row>
    <row r="13" spans="2:14" ht="15" customHeight="1" x14ac:dyDescent="0.25">
      <c r="B13" s="20"/>
      <c r="C13" s="5" t="s">
        <v>51</v>
      </c>
      <c r="D13" s="6" t="s">
        <v>17</v>
      </c>
      <c r="E13" s="11">
        <v>3.8098E-2</v>
      </c>
      <c r="F13" s="1"/>
      <c r="G13" s="1"/>
      <c r="H13" s="1"/>
      <c r="I13" s="31"/>
      <c r="J13" s="32" t="s">
        <v>38</v>
      </c>
      <c r="K13" s="33">
        <v>0.28113700000000003</v>
      </c>
      <c r="L13" s="1"/>
      <c r="M13" s="1"/>
      <c r="N13" s="18"/>
    </row>
    <row r="14" spans="2:14" ht="15" customHeight="1" x14ac:dyDescent="0.25">
      <c r="B14" s="20"/>
      <c r="C14" s="5" t="s">
        <v>58</v>
      </c>
      <c r="D14" s="6" t="s">
        <v>17</v>
      </c>
      <c r="E14" s="11">
        <v>3.5457000000000002E-2</v>
      </c>
      <c r="F14" s="1"/>
      <c r="G14" s="1"/>
      <c r="H14" s="1"/>
      <c r="I14" s="31"/>
      <c r="J14" s="32"/>
      <c r="K14" s="33">
        <v>9.9810000000000003E-3</v>
      </c>
      <c r="L14" s="1"/>
      <c r="M14" s="1"/>
      <c r="N14" s="18"/>
    </row>
    <row r="15" spans="2:14" ht="15" customHeight="1" x14ac:dyDescent="0.25">
      <c r="B15" s="20"/>
      <c r="C15" s="5" t="s">
        <v>20</v>
      </c>
      <c r="D15" s="6" t="s">
        <v>17</v>
      </c>
      <c r="E15" s="11">
        <v>3.3362000000000003E-2</v>
      </c>
      <c r="F15" s="1"/>
      <c r="G15" s="1"/>
      <c r="H15" s="1"/>
      <c r="I15" s="31"/>
      <c r="J15" s="32" t="s">
        <v>47</v>
      </c>
      <c r="K15" s="33">
        <v>1.76E-4</v>
      </c>
      <c r="L15" s="1"/>
      <c r="M15" s="1"/>
      <c r="N15" s="18"/>
    </row>
    <row r="16" spans="2:14" ht="15" customHeight="1" x14ac:dyDescent="0.25">
      <c r="B16" s="20"/>
      <c r="C16" s="5" t="s">
        <v>16</v>
      </c>
      <c r="D16" s="6" t="s">
        <v>17</v>
      </c>
      <c r="E16" s="11">
        <v>3.2053999999999999E-2</v>
      </c>
      <c r="F16" s="1"/>
      <c r="G16" s="1"/>
      <c r="H16" s="1"/>
      <c r="I16" s="31"/>
      <c r="J16" s="32" t="s">
        <v>72</v>
      </c>
      <c r="K16" s="33">
        <v>8.2600000000000002E-4</v>
      </c>
      <c r="L16" s="1"/>
      <c r="M16" s="1"/>
      <c r="N16" s="18"/>
    </row>
    <row r="17" spans="2:14" ht="15" customHeight="1" x14ac:dyDescent="0.25">
      <c r="B17" s="20"/>
      <c r="C17" s="5" t="s">
        <v>59</v>
      </c>
      <c r="D17" s="6" t="s">
        <v>17</v>
      </c>
      <c r="E17" s="11">
        <v>3.0328000000000001E-2</v>
      </c>
      <c r="F17" s="1"/>
      <c r="G17" s="1"/>
      <c r="H17" s="1"/>
      <c r="I17" s="31"/>
      <c r="J17" s="31"/>
      <c r="K17" s="31"/>
      <c r="L17" s="1"/>
      <c r="M17" s="1"/>
      <c r="N17" s="18"/>
    </row>
    <row r="18" spans="2:14" ht="15" customHeight="1" x14ac:dyDescent="0.25">
      <c r="B18" s="20"/>
      <c r="C18" s="5" t="s">
        <v>60</v>
      </c>
      <c r="D18" s="6" t="s">
        <v>17</v>
      </c>
      <c r="E18" s="11">
        <v>2.1233999999999999E-2</v>
      </c>
      <c r="F18" s="1"/>
      <c r="G18" s="1"/>
      <c r="H18" s="1"/>
      <c r="I18" s="31"/>
      <c r="J18" s="31"/>
      <c r="K18" s="31"/>
      <c r="L18" s="1"/>
      <c r="M18" s="1"/>
      <c r="N18" s="18"/>
    </row>
    <row r="19" spans="2:14" ht="15" customHeight="1" x14ac:dyDescent="0.25">
      <c r="B19" s="20"/>
      <c r="C19" s="5" t="s">
        <v>61</v>
      </c>
      <c r="D19" s="6" t="s">
        <v>17</v>
      </c>
      <c r="E19" s="11">
        <v>1.9675999999999999E-2</v>
      </c>
      <c r="F19" s="1"/>
      <c r="G19" s="1"/>
      <c r="H19" s="1"/>
      <c r="I19" s="1"/>
      <c r="J19" s="1"/>
      <c r="K19" s="1"/>
      <c r="L19" s="1"/>
      <c r="M19" s="1"/>
      <c r="N19" s="18"/>
    </row>
    <row r="20" spans="2:14" ht="15" customHeight="1" x14ac:dyDescent="0.25">
      <c r="B20" s="20"/>
      <c r="C20" s="5" t="s">
        <v>50</v>
      </c>
      <c r="D20" s="6" t="s">
        <v>17</v>
      </c>
      <c r="E20" s="11">
        <v>1.9456000000000001E-2</v>
      </c>
      <c r="F20" s="1"/>
      <c r="G20" s="1"/>
      <c r="H20" s="1"/>
      <c r="I20" s="1"/>
      <c r="J20" s="1"/>
      <c r="K20" s="1"/>
      <c r="L20" s="1"/>
      <c r="M20" s="1"/>
      <c r="N20" s="18"/>
    </row>
    <row r="21" spans="2:14" ht="15" customHeight="1" x14ac:dyDescent="0.25">
      <c r="B21" s="20"/>
      <c r="C21" s="5" t="s">
        <v>62</v>
      </c>
      <c r="D21" s="6" t="s">
        <v>17</v>
      </c>
      <c r="E21" s="11">
        <v>1.4361000000000001E-2</v>
      </c>
      <c r="F21" s="1"/>
      <c r="G21" s="1"/>
      <c r="H21" s="1"/>
      <c r="I21" s="1"/>
      <c r="J21" s="1"/>
      <c r="K21" s="1"/>
      <c r="L21" s="1"/>
      <c r="M21" s="1"/>
      <c r="N21" s="18"/>
    </row>
    <row r="22" spans="2:14" ht="15" customHeight="1" x14ac:dyDescent="0.25">
      <c r="B22" s="20"/>
      <c r="C22" s="5" t="s">
        <v>43</v>
      </c>
      <c r="D22" s="6" t="s">
        <v>17</v>
      </c>
      <c r="E22" s="11">
        <v>1.4201E-2</v>
      </c>
      <c r="F22" s="1"/>
      <c r="G22" s="1"/>
      <c r="H22" s="1"/>
      <c r="I22" s="1"/>
      <c r="J22" s="1"/>
      <c r="K22" s="1"/>
      <c r="L22" s="1"/>
      <c r="M22" s="1"/>
      <c r="N22" s="18"/>
    </row>
    <row r="23" spans="2:14" ht="15" customHeight="1" x14ac:dyDescent="0.25">
      <c r="B23" s="20"/>
      <c r="C23" s="5" t="s">
        <v>44</v>
      </c>
      <c r="D23" s="6" t="s">
        <v>17</v>
      </c>
      <c r="E23" s="11">
        <v>1.3538E-2</v>
      </c>
      <c r="F23" s="1"/>
      <c r="G23" s="1"/>
      <c r="H23" s="1"/>
      <c r="I23" s="1"/>
      <c r="J23" s="1"/>
      <c r="K23" s="1"/>
      <c r="L23" s="1"/>
      <c r="M23" s="1"/>
      <c r="N23" s="18"/>
    </row>
    <row r="24" spans="2:14" ht="15" customHeight="1" x14ac:dyDescent="0.25">
      <c r="B24" s="20"/>
      <c r="C24" s="5" t="s">
        <v>63</v>
      </c>
      <c r="D24" s="6" t="s">
        <v>17</v>
      </c>
      <c r="E24" s="11">
        <v>8.8920000000000006E-3</v>
      </c>
      <c r="F24" s="1"/>
      <c r="G24" s="86" t="s">
        <v>6</v>
      </c>
      <c r="H24" s="87"/>
      <c r="I24" s="87"/>
      <c r="J24" s="87"/>
      <c r="K24" s="87"/>
      <c r="L24" s="38">
        <v>4.0082172252718049</v>
      </c>
      <c r="M24" s="27"/>
      <c r="N24" s="28"/>
    </row>
    <row r="25" spans="2:14" ht="15" customHeight="1" x14ac:dyDescent="0.25">
      <c r="B25" s="20"/>
      <c r="C25" s="5" t="s">
        <v>64</v>
      </c>
      <c r="D25" s="6" t="s">
        <v>17</v>
      </c>
      <c r="E25" s="11">
        <v>7.7660000000000003E-3</v>
      </c>
      <c r="F25" s="1"/>
      <c r="G25" s="1"/>
      <c r="H25" s="1"/>
      <c r="I25" s="1"/>
      <c r="J25" s="1"/>
      <c r="K25" s="1"/>
      <c r="L25" s="1"/>
      <c r="M25" s="1"/>
      <c r="N25" s="18"/>
    </row>
    <row r="26" spans="2:14" ht="15" customHeight="1" x14ac:dyDescent="0.25">
      <c r="B26" s="20"/>
      <c r="C26" s="5" t="s">
        <v>65</v>
      </c>
      <c r="D26" s="6" t="s">
        <v>17</v>
      </c>
      <c r="E26" s="11">
        <v>5.3470000000000002E-3</v>
      </c>
      <c r="F26" s="1"/>
      <c r="G26" s="86" t="s">
        <v>7</v>
      </c>
      <c r="H26" s="87"/>
      <c r="I26" s="87"/>
      <c r="J26" s="87"/>
      <c r="K26" s="87"/>
      <c r="L26" s="87"/>
      <c r="M26" s="87"/>
      <c r="N26" s="88"/>
    </row>
    <row r="27" spans="2:14" ht="15" customHeight="1" x14ac:dyDescent="0.25">
      <c r="B27" s="20"/>
      <c r="C27" s="5" t="s">
        <v>66</v>
      </c>
      <c r="D27" s="6" t="s">
        <v>17</v>
      </c>
      <c r="E27" s="11">
        <v>5.2940000000000001E-3</v>
      </c>
      <c r="F27" s="1"/>
      <c r="G27" s="1"/>
      <c r="H27" s="1"/>
      <c r="I27" s="1"/>
      <c r="J27" s="1"/>
      <c r="K27" s="1"/>
      <c r="L27" s="1"/>
      <c r="M27" s="1"/>
      <c r="N27" s="18"/>
    </row>
    <row r="28" spans="2:14" ht="15" customHeight="1" x14ac:dyDescent="0.25">
      <c r="B28" s="20"/>
      <c r="C28" s="5" t="s">
        <v>67</v>
      </c>
      <c r="D28" s="6" t="s">
        <v>17</v>
      </c>
      <c r="E28" s="11">
        <v>1.794E-3</v>
      </c>
      <c r="F28" s="1"/>
      <c r="G28" s="1"/>
      <c r="H28" s="1"/>
      <c r="I28" s="1"/>
      <c r="J28" s="1"/>
      <c r="K28" s="1"/>
      <c r="L28" s="1"/>
      <c r="M28" s="1"/>
      <c r="N28" s="18"/>
    </row>
    <row r="29" spans="2:14" ht="15" customHeight="1" x14ac:dyDescent="0.25">
      <c r="B29" s="20"/>
      <c r="C29" s="5" t="s">
        <v>52</v>
      </c>
      <c r="D29" s="6" t="s">
        <v>17</v>
      </c>
      <c r="E29" s="11">
        <v>1.774E-3</v>
      </c>
      <c r="F29" s="1"/>
      <c r="G29" s="1"/>
      <c r="H29" s="1"/>
      <c r="I29" s="1"/>
      <c r="J29" s="1"/>
      <c r="K29" s="1"/>
      <c r="L29" s="1"/>
      <c r="M29" s="1"/>
      <c r="N29" s="18"/>
    </row>
    <row r="30" spans="2:14" ht="15" customHeight="1" x14ac:dyDescent="0.25">
      <c r="B30" s="20"/>
      <c r="C30" s="5" t="s">
        <v>68</v>
      </c>
      <c r="D30" s="6" t="s">
        <v>17</v>
      </c>
      <c r="E30" s="11">
        <v>7.2099999999999996E-4</v>
      </c>
      <c r="F30" s="1"/>
      <c r="G30" s="1"/>
      <c r="H30" s="1"/>
      <c r="I30" s="1"/>
      <c r="J30" s="1"/>
      <c r="K30" s="1"/>
      <c r="L30" s="1"/>
      <c r="M30" s="1"/>
      <c r="N30" s="18"/>
    </row>
    <row r="31" spans="2:14" ht="15.75" customHeight="1" x14ac:dyDescent="0.25">
      <c r="B31" s="20"/>
      <c r="C31" s="5" t="s">
        <v>261</v>
      </c>
      <c r="D31" s="6" t="s">
        <v>17</v>
      </c>
      <c r="E31" s="11">
        <v>8.1689999999999992E-3</v>
      </c>
      <c r="F31" s="1"/>
      <c r="G31" s="1"/>
      <c r="H31" s="1"/>
      <c r="I31" s="1"/>
      <c r="J31" s="1"/>
      <c r="K31" s="1"/>
      <c r="L31" s="1"/>
      <c r="M31" s="1"/>
      <c r="N31" s="18"/>
    </row>
    <row r="32" spans="2:14" ht="15" customHeight="1" x14ac:dyDescent="0.25">
      <c r="B32" s="20"/>
      <c r="C32" s="5" t="s">
        <v>262</v>
      </c>
      <c r="D32" s="6" t="s">
        <v>17</v>
      </c>
      <c r="E32" s="11">
        <v>1.812E-3</v>
      </c>
      <c r="F32" s="1"/>
      <c r="G32" s="1"/>
      <c r="H32" s="1"/>
      <c r="I32" s="1"/>
      <c r="J32" s="1"/>
      <c r="K32" s="1"/>
      <c r="L32" s="1"/>
      <c r="M32" s="1"/>
      <c r="N32" s="18"/>
    </row>
    <row r="33" spans="2:14" ht="15.75" customHeight="1" x14ac:dyDescent="0.25">
      <c r="B33" s="20"/>
      <c r="C33" s="7" t="s">
        <v>21</v>
      </c>
      <c r="D33" s="8"/>
      <c r="E33" s="12">
        <f>SUM(E8:E32)</f>
        <v>0.68195700000000015</v>
      </c>
      <c r="F33" s="1"/>
      <c r="G33" s="1"/>
      <c r="H33" s="1"/>
      <c r="I33" s="1"/>
      <c r="J33" s="1"/>
      <c r="K33" s="1"/>
      <c r="L33" s="1"/>
      <c r="M33" s="1"/>
      <c r="N33" s="18"/>
    </row>
    <row r="34" spans="2:14" ht="15" customHeight="1" x14ac:dyDescent="0.25">
      <c r="B34" s="20"/>
      <c r="C34" s="5" t="s">
        <v>22</v>
      </c>
      <c r="D34" s="6"/>
      <c r="E34" s="11">
        <v>2.8500000000000001E-3</v>
      </c>
      <c r="F34" s="1"/>
      <c r="G34" s="1"/>
      <c r="H34" s="1"/>
      <c r="I34" s="1"/>
      <c r="J34" s="1"/>
      <c r="K34" s="1"/>
      <c r="L34" s="1"/>
      <c r="M34" s="1"/>
      <c r="N34" s="18"/>
    </row>
    <row r="35" spans="2:14" ht="15" customHeight="1" x14ac:dyDescent="0.25">
      <c r="B35" s="20"/>
      <c r="C35" s="7" t="s">
        <v>23</v>
      </c>
      <c r="D35" s="8"/>
      <c r="E35" s="12">
        <v>2.8500000000000001E-3</v>
      </c>
      <c r="F35" s="1"/>
      <c r="G35" s="1"/>
      <c r="H35" s="1"/>
      <c r="I35" s="1"/>
      <c r="J35" s="1"/>
      <c r="K35" s="1"/>
      <c r="L35" s="1"/>
      <c r="M35" s="1"/>
      <c r="N35" s="18"/>
    </row>
    <row r="36" spans="2:14" ht="15" customHeight="1" x14ac:dyDescent="0.25">
      <c r="B36" s="20"/>
      <c r="C36" s="5" t="s">
        <v>25</v>
      </c>
      <c r="D36" s="6" t="s">
        <v>192</v>
      </c>
      <c r="E36" s="11">
        <v>0.18104400000000001</v>
      </c>
      <c r="F36" s="1"/>
      <c r="G36" s="1"/>
      <c r="H36" s="1"/>
      <c r="I36" s="1"/>
      <c r="J36" s="1"/>
      <c r="K36" s="1"/>
      <c r="L36" s="1"/>
      <c r="M36" s="1"/>
      <c r="N36" s="18"/>
    </row>
    <row r="37" spans="2:14" ht="15" customHeight="1" x14ac:dyDescent="0.25">
      <c r="B37" s="20"/>
      <c r="C37" s="5" t="s">
        <v>69</v>
      </c>
      <c r="D37" s="6" t="s">
        <v>192</v>
      </c>
      <c r="E37" s="11">
        <v>8.3017999999999995E-2</v>
      </c>
      <c r="F37" s="1"/>
      <c r="G37" s="1"/>
      <c r="H37" s="1"/>
      <c r="I37" s="1"/>
      <c r="J37" s="1"/>
      <c r="K37" s="1"/>
      <c r="L37" s="1"/>
      <c r="M37" s="1"/>
      <c r="N37" s="18"/>
    </row>
    <row r="38" spans="2:14" ht="15.75" customHeight="1" x14ac:dyDescent="0.25">
      <c r="B38" s="20"/>
      <c r="C38" s="5" t="s">
        <v>70</v>
      </c>
      <c r="D38" s="6" t="s">
        <v>192</v>
      </c>
      <c r="E38" s="11">
        <v>1.5272000000000001E-2</v>
      </c>
      <c r="F38" s="1"/>
      <c r="G38" s="1"/>
      <c r="H38" s="1"/>
      <c r="I38" s="1"/>
      <c r="J38" s="1"/>
      <c r="K38" s="1"/>
      <c r="L38" s="1"/>
      <c r="M38" s="1"/>
      <c r="N38" s="18"/>
    </row>
    <row r="39" spans="2:14" ht="15" customHeight="1" x14ac:dyDescent="0.25">
      <c r="B39" s="20"/>
      <c r="C39" s="5" t="s">
        <v>26</v>
      </c>
      <c r="D39" s="6" t="s">
        <v>192</v>
      </c>
      <c r="E39" s="11">
        <v>1.8029999999999999E-3</v>
      </c>
      <c r="F39" s="1"/>
      <c r="G39" s="1"/>
      <c r="H39" s="1"/>
      <c r="I39" s="1"/>
      <c r="J39" s="1"/>
      <c r="K39" s="1"/>
      <c r="L39" s="1"/>
      <c r="M39" s="1"/>
      <c r="N39" s="18"/>
    </row>
    <row r="40" spans="2:14" ht="15" customHeight="1" x14ac:dyDescent="0.25">
      <c r="B40" s="20"/>
      <c r="C40" s="7" t="s">
        <v>29</v>
      </c>
      <c r="D40" s="8"/>
      <c r="E40" s="12">
        <v>0.28113700000000003</v>
      </c>
      <c r="F40" s="1"/>
      <c r="G40" s="1"/>
      <c r="H40" s="1"/>
      <c r="I40" s="1"/>
      <c r="J40" s="1"/>
      <c r="K40" s="1"/>
      <c r="L40" s="1"/>
      <c r="M40" s="1"/>
      <c r="N40" s="18"/>
    </row>
    <row r="41" spans="2:14" ht="15.75" customHeight="1" x14ac:dyDescent="0.25">
      <c r="B41" s="20"/>
      <c r="C41" s="5" t="s">
        <v>263</v>
      </c>
      <c r="D41" s="6" t="s">
        <v>192</v>
      </c>
      <c r="E41" s="11">
        <v>1.76E-4</v>
      </c>
      <c r="F41" s="1"/>
      <c r="G41" s="1"/>
      <c r="H41" s="1"/>
      <c r="I41" s="1"/>
      <c r="J41" s="1"/>
      <c r="K41" s="1"/>
      <c r="L41" s="1"/>
      <c r="M41" s="1"/>
      <c r="N41" s="18"/>
    </row>
    <row r="42" spans="2:14" ht="15" customHeight="1" x14ac:dyDescent="0.25">
      <c r="B42" s="20"/>
      <c r="C42" s="7" t="s">
        <v>46</v>
      </c>
      <c r="D42" s="8"/>
      <c r="E42" s="12">
        <v>1.76E-4</v>
      </c>
      <c r="F42" s="1"/>
      <c r="G42" s="1"/>
      <c r="H42" s="1"/>
      <c r="I42" s="1"/>
      <c r="J42" s="1"/>
      <c r="K42" s="1"/>
      <c r="L42" s="1"/>
      <c r="M42" s="1"/>
      <c r="N42" s="18"/>
    </row>
    <row r="43" spans="2:14" ht="15.75" customHeight="1" x14ac:dyDescent="0.25">
      <c r="B43" s="20"/>
      <c r="C43" s="5" t="s">
        <v>30</v>
      </c>
      <c r="D43" s="6"/>
      <c r="E43" s="11">
        <v>5.1970000000000002E-3</v>
      </c>
      <c r="F43" s="1"/>
      <c r="G43" s="1"/>
      <c r="H43" s="1"/>
      <c r="I43" s="1"/>
      <c r="J43" s="1"/>
      <c r="K43" s="1"/>
      <c r="L43" s="1"/>
      <c r="M43" s="1"/>
      <c r="N43" s="18"/>
    </row>
    <row r="44" spans="2:14" ht="15" customHeight="1" x14ac:dyDescent="0.25">
      <c r="B44" s="20"/>
      <c r="C44" s="7" t="s">
        <v>31</v>
      </c>
      <c r="D44" s="8"/>
      <c r="E44" s="12">
        <v>5.1970000000000002E-3</v>
      </c>
      <c r="F44" s="1"/>
      <c r="G44" s="1"/>
      <c r="H44" s="1"/>
      <c r="I44" s="1"/>
      <c r="J44" s="1"/>
      <c r="K44" s="1"/>
      <c r="L44" s="1"/>
      <c r="M44" s="1"/>
      <c r="N44" s="18"/>
    </row>
    <row r="45" spans="2:14" ht="15.75" customHeight="1" x14ac:dyDescent="0.25">
      <c r="B45" s="20"/>
      <c r="C45" s="5" t="s">
        <v>44</v>
      </c>
      <c r="D45" s="6" t="s">
        <v>17</v>
      </c>
      <c r="E45" s="11">
        <v>8.2600000000000002E-4</v>
      </c>
      <c r="F45" s="1"/>
      <c r="G45" s="1"/>
      <c r="H45" s="1"/>
      <c r="I45" s="1"/>
      <c r="J45" s="1"/>
      <c r="K45" s="1"/>
      <c r="L45" s="1"/>
      <c r="M45" s="1"/>
      <c r="N45" s="18"/>
    </row>
    <row r="46" spans="2:14" ht="15" customHeight="1" x14ac:dyDescent="0.25">
      <c r="B46" s="20"/>
      <c r="C46" s="7" t="s">
        <v>71</v>
      </c>
      <c r="D46" s="8"/>
      <c r="E46" s="12">
        <v>8.2600000000000002E-4</v>
      </c>
      <c r="F46" s="1"/>
      <c r="G46" s="1"/>
      <c r="H46" s="1"/>
      <c r="I46" s="1"/>
      <c r="J46" s="1"/>
      <c r="K46" s="1"/>
      <c r="L46" s="1"/>
      <c r="M46" s="1"/>
      <c r="N46" s="18"/>
    </row>
    <row r="47" spans="2:14" ht="15.75" customHeight="1" x14ac:dyDescent="0.25">
      <c r="B47" s="20"/>
      <c r="C47" s="5"/>
      <c r="D47" s="6"/>
      <c r="E47" s="11"/>
      <c r="F47" s="1"/>
      <c r="G47" s="1"/>
      <c r="H47" s="1"/>
      <c r="I47" s="1"/>
      <c r="J47" s="1"/>
      <c r="K47" s="1"/>
      <c r="L47" s="1"/>
      <c r="M47" s="1"/>
      <c r="N47" s="18"/>
    </row>
    <row r="48" spans="2:14" ht="15" customHeight="1" x14ac:dyDescent="0.25">
      <c r="B48" s="20"/>
      <c r="C48" s="7" t="s">
        <v>32</v>
      </c>
      <c r="D48" s="8"/>
      <c r="E48" s="12">
        <v>2.7857E-2</v>
      </c>
      <c r="F48" s="1"/>
      <c r="G48" s="1"/>
      <c r="H48" s="1"/>
      <c r="I48" s="1"/>
      <c r="J48" s="1"/>
      <c r="K48" s="1"/>
      <c r="L48" s="1"/>
      <c r="M48" s="1"/>
      <c r="N48" s="18"/>
    </row>
    <row r="49" spans="2:14" ht="15.75" customHeight="1" x14ac:dyDescent="0.25">
      <c r="B49" s="20"/>
      <c r="C49" s="5"/>
      <c r="D49" s="6"/>
      <c r="E49" s="11"/>
      <c r="F49" s="1"/>
      <c r="G49" s="1"/>
      <c r="H49" s="1"/>
      <c r="I49" s="1"/>
      <c r="J49" s="1"/>
      <c r="K49" s="1"/>
      <c r="L49" s="1"/>
      <c r="M49" s="1"/>
      <c r="N49" s="18"/>
    </row>
    <row r="50" spans="2:14" ht="15" customHeight="1" x14ac:dyDescent="0.25">
      <c r="B50" s="20"/>
      <c r="C50" s="9" t="s">
        <v>33</v>
      </c>
      <c r="D50" s="10"/>
      <c r="E50" s="13">
        <v>1</v>
      </c>
      <c r="F50" s="1"/>
      <c r="G50" s="1"/>
      <c r="H50" s="1"/>
      <c r="I50" s="1"/>
      <c r="J50" s="1"/>
      <c r="K50" s="1"/>
      <c r="L50" s="1"/>
      <c r="M50" s="1"/>
      <c r="N50" s="18"/>
    </row>
    <row r="51" spans="2:14" ht="15" customHeight="1" x14ac:dyDescent="0.25">
      <c r="B51" s="20"/>
      <c r="C51" t="s">
        <v>324</v>
      </c>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9" t="s">
        <v>325</v>
      </c>
      <c r="C54" s="70"/>
      <c r="D54" s="70"/>
      <c r="E54" s="70"/>
      <c r="F54" s="70"/>
      <c r="G54" s="70"/>
      <c r="H54" s="70"/>
      <c r="I54" s="70"/>
      <c r="J54" s="70"/>
      <c r="K54" s="70"/>
      <c r="L54" s="70"/>
      <c r="M54" s="70"/>
      <c r="N54" s="71"/>
    </row>
    <row r="55" spans="2:14" ht="15" customHeight="1" x14ac:dyDescent="0.25">
      <c r="B55" s="72"/>
      <c r="C55" s="73"/>
      <c r="D55" s="73"/>
      <c r="E55" s="73"/>
      <c r="F55" s="73"/>
      <c r="G55" s="73"/>
      <c r="H55" s="73"/>
      <c r="I55" s="73"/>
      <c r="J55" s="73"/>
      <c r="K55" s="73"/>
      <c r="L55" s="73"/>
      <c r="M55" s="73"/>
      <c r="N55" s="74"/>
    </row>
    <row r="56" spans="2:14" ht="15" customHeight="1" x14ac:dyDescent="0.25">
      <c r="B56" s="72"/>
      <c r="C56" s="73"/>
      <c r="D56" s="73"/>
      <c r="E56" s="73"/>
      <c r="F56" s="73"/>
      <c r="G56" s="73"/>
      <c r="H56" s="73"/>
      <c r="I56" s="73"/>
      <c r="J56" s="73"/>
      <c r="K56" s="73"/>
      <c r="L56" s="73"/>
      <c r="M56" s="73"/>
      <c r="N56" s="74"/>
    </row>
    <row r="57" spans="2:14" ht="15" customHeight="1" thickBot="1" x14ac:dyDescent="0.3">
      <c r="B57" s="75"/>
      <c r="C57" s="76"/>
      <c r="D57" s="76"/>
      <c r="E57" s="76"/>
      <c r="F57" s="76"/>
      <c r="G57" s="76"/>
      <c r="H57" s="76"/>
      <c r="I57" s="76"/>
      <c r="J57" s="76"/>
      <c r="K57" s="76"/>
      <c r="L57" s="76"/>
      <c r="M57" s="76"/>
      <c r="N57" s="77"/>
    </row>
    <row r="58" spans="2:14" ht="15" customHeight="1" thickBot="1" x14ac:dyDescent="0.3"/>
    <row r="59" spans="2:14" ht="131.25" customHeight="1" thickBot="1" x14ac:dyDescent="0.3">
      <c r="B59" s="78" t="s">
        <v>323</v>
      </c>
      <c r="C59" s="79"/>
      <c r="D59" s="79"/>
      <c r="E59" s="79"/>
      <c r="F59" s="79"/>
      <c r="G59" s="79"/>
      <c r="H59" s="79"/>
      <c r="I59" s="79"/>
      <c r="J59" s="79"/>
      <c r="K59" s="79"/>
      <c r="L59" s="79"/>
      <c r="M59" s="79"/>
      <c r="N59" s="80"/>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mergeCells count="7">
    <mergeCell ref="B54:N57"/>
    <mergeCell ref="B59:N59"/>
    <mergeCell ref="C3:N3"/>
    <mergeCell ref="D5:E5"/>
    <mergeCell ref="G7:N7"/>
    <mergeCell ref="G24:K24"/>
    <mergeCell ref="G26:N26"/>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3A15-0E76-4E45-8EEC-EF3369A032F1}">
  <dimension ref="B1:N56"/>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120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19</v>
      </c>
      <c r="D8" s="6" t="s">
        <v>17</v>
      </c>
      <c r="E8" s="11">
        <v>0.105474</v>
      </c>
      <c r="F8" s="1"/>
      <c r="G8" s="24" t="s">
        <v>4</v>
      </c>
      <c r="H8" s="29">
        <v>0.58932499999999999</v>
      </c>
      <c r="I8" s="1"/>
      <c r="J8" s="24" t="s">
        <v>34</v>
      </c>
      <c r="K8" s="24" t="s">
        <v>3</v>
      </c>
      <c r="L8" s="1"/>
      <c r="M8" s="1"/>
      <c r="N8" s="18"/>
    </row>
    <row r="9" spans="2:14" ht="15" customHeight="1" x14ac:dyDescent="0.25">
      <c r="B9" s="20"/>
      <c r="C9" s="5" t="s">
        <v>43</v>
      </c>
      <c r="D9" s="6" t="s">
        <v>17</v>
      </c>
      <c r="E9" s="11">
        <v>6.0003000000000001E-2</v>
      </c>
      <c r="F9" s="1"/>
      <c r="G9" s="24" t="s">
        <v>89</v>
      </c>
      <c r="H9" s="29">
        <v>0.21340799999999999</v>
      </c>
      <c r="I9" s="1"/>
      <c r="J9" s="24" t="s">
        <v>32</v>
      </c>
      <c r="K9" s="29">
        <v>2.9713E-2</v>
      </c>
      <c r="L9" s="1"/>
      <c r="M9" s="1"/>
      <c r="N9" s="18"/>
    </row>
    <row r="10" spans="2:14" ht="15" customHeight="1" x14ac:dyDescent="0.25">
      <c r="B10" s="20"/>
      <c r="C10" s="5" t="s">
        <v>81</v>
      </c>
      <c r="D10" s="6" t="s">
        <v>76</v>
      </c>
      <c r="E10" s="11">
        <v>4.6013999999999999E-2</v>
      </c>
      <c r="F10" s="1"/>
      <c r="G10" s="24" t="s">
        <v>90</v>
      </c>
      <c r="H10" s="29">
        <v>0.197267</v>
      </c>
      <c r="I10" s="1"/>
      <c r="J10" s="24" t="s">
        <v>35</v>
      </c>
      <c r="K10" s="29">
        <v>2.3788E-2</v>
      </c>
      <c r="L10" s="1"/>
      <c r="M10" s="1"/>
      <c r="N10" s="18"/>
    </row>
    <row r="11" spans="2:14" ht="15" customHeight="1" x14ac:dyDescent="0.25">
      <c r="B11" s="20"/>
      <c r="C11" s="5" t="s">
        <v>83</v>
      </c>
      <c r="D11" s="6" t="s">
        <v>76</v>
      </c>
      <c r="E11" s="11">
        <v>4.582E-2</v>
      </c>
      <c r="F11" s="1"/>
      <c r="G11" s="1"/>
      <c r="H11" s="1"/>
      <c r="I11" s="1"/>
      <c r="J11" s="24" t="s">
        <v>37</v>
      </c>
      <c r="K11" s="29">
        <v>0.60652200000000001</v>
      </c>
      <c r="L11" s="1"/>
      <c r="M11" s="1"/>
      <c r="N11" s="18"/>
    </row>
    <row r="12" spans="2:14" ht="15" customHeight="1" x14ac:dyDescent="0.25">
      <c r="B12" s="20"/>
      <c r="C12" s="5" t="s">
        <v>77</v>
      </c>
      <c r="D12" s="6" t="s">
        <v>76</v>
      </c>
      <c r="E12" s="11">
        <v>4.5709E-2</v>
      </c>
      <c r="F12" s="1"/>
      <c r="G12" s="1"/>
      <c r="H12" s="1"/>
      <c r="I12" s="1"/>
      <c r="J12" s="24" t="s">
        <v>22</v>
      </c>
      <c r="K12" s="29">
        <v>2.7590000000000002E-3</v>
      </c>
      <c r="L12" s="1"/>
      <c r="M12" s="1"/>
      <c r="N12" s="18"/>
    </row>
    <row r="13" spans="2:14" ht="15" customHeight="1" x14ac:dyDescent="0.25">
      <c r="B13" s="20"/>
      <c r="C13" s="5" t="s">
        <v>87</v>
      </c>
      <c r="D13" s="6" t="s">
        <v>79</v>
      </c>
      <c r="E13" s="11">
        <v>4.5636999999999997E-2</v>
      </c>
      <c r="F13" s="1"/>
      <c r="G13" s="1"/>
      <c r="H13" s="1"/>
      <c r="I13" s="1"/>
      <c r="J13" s="24" t="s">
        <v>38</v>
      </c>
      <c r="K13" s="29">
        <v>0.33721499999999999</v>
      </c>
      <c r="L13" s="1"/>
      <c r="M13" s="1"/>
      <c r="N13" s="18"/>
    </row>
    <row r="14" spans="2:14" ht="15" customHeight="1" x14ac:dyDescent="0.25">
      <c r="B14" s="20"/>
      <c r="C14" s="5" t="s">
        <v>86</v>
      </c>
      <c r="D14" s="6" t="s">
        <v>79</v>
      </c>
      <c r="E14" s="11">
        <v>4.5558000000000001E-2</v>
      </c>
      <c r="F14" s="1"/>
      <c r="G14" s="1"/>
      <c r="H14" s="1"/>
      <c r="I14" s="1"/>
      <c r="J14" s="24"/>
      <c r="K14" s="29"/>
      <c r="L14" s="1"/>
      <c r="M14" s="1"/>
      <c r="N14" s="18"/>
    </row>
    <row r="15" spans="2:14" ht="15" customHeight="1" x14ac:dyDescent="0.25">
      <c r="B15" s="20"/>
      <c r="C15" s="5" t="s">
        <v>75</v>
      </c>
      <c r="D15" s="6" t="s">
        <v>76</v>
      </c>
      <c r="E15" s="11">
        <v>4.5489000000000002E-2</v>
      </c>
      <c r="F15" s="1"/>
      <c r="G15" s="1"/>
      <c r="H15" s="1"/>
      <c r="I15" s="1"/>
      <c r="J15" s="1"/>
      <c r="K15" s="1"/>
      <c r="L15" s="1"/>
      <c r="M15" s="1"/>
      <c r="N15" s="18"/>
    </row>
    <row r="16" spans="2:14" ht="15" customHeight="1" x14ac:dyDescent="0.25">
      <c r="B16" s="20"/>
      <c r="C16" s="5" t="s">
        <v>121</v>
      </c>
      <c r="D16" s="6" t="s">
        <v>79</v>
      </c>
      <c r="E16" s="11">
        <v>4.5473E-2</v>
      </c>
      <c r="F16" s="1"/>
      <c r="G16" s="1"/>
      <c r="H16" s="1"/>
      <c r="I16" s="1"/>
      <c r="J16" s="1"/>
      <c r="K16" s="1"/>
      <c r="L16" s="1"/>
      <c r="M16" s="1"/>
      <c r="N16" s="18"/>
    </row>
    <row r="17" spans="2:14" ht="15" customHeight="1" x14ac:dyDescent="0.25">
      <c r="B17" s="20"/>
      <c r="C17" s="5" t="s">
        <v>84</v>
      </c>
      <c r="D17" s="6" t="s">
        <v>79</v>
      </c>
      <c r="E17" s="11">
        <v>3.0464000000000001E-2</v>
      </c>
      <c r="F17" s="1"/>
      <c r="G17" s="1"/>
      <c r="H17" s="1"/>
      <c r="I17" s="1"/>
      <c r="J17" s="1"/>
      <c r="K17" s="1"/>
      <c r="L17" s="1"/>
      <c r="M17" s="1"/>
      <c r="N17" s="18"/>
    </row>
    <row r="18" spans="2:14" ht="15" customHeight="1" x14ac:dyDescent="0.25">
      <c r="B18" s="20"/>
      <c r="C18" s="5" t="s">
        <v>82</v>
      </c>
      <c r="D18" s="6" t="s">
        <v>76</v>
      </c>
      <c r="E18" s="11">
        <v>3.0376E-2</v>
      </c>
      <c r="F18" s="1"/>
      <c r="G18" s="1"/>
      <c r="H18" s="1"/>
      <c r="I18" s="1"/>
      <c r="J18" s="1"/>
      <c r="K18" s="1"/>
      <c r="L18" s="1"/>
      <c r="M18" s="1"/>
      <c r="N18" s="18"/>
    </row>
    <row r="19" spans="2:14" ht="15" customHeight="1" x14ac:dyDescent="0.25">
      <c r="B19" s="20"/>
      <c r="C19" s="5" t="s">
        <v>44</v>
      </c>
      <c r="D19" s="6" t="s">
        <v>17</v>
      </c>
      <c r="E19" s="11">
        <v>3.0370000000000001E-2</v>
      </c>
      <c r="F19" s="1"/>
      <c r="G19" s="1"/>
      <c r="H19" s="1"/>
      <c r="I19" s="1"/>
      <c r="J19" s="1"/>
      <c r="K19" s="1"/>
      <c r="L19" s="1"/>
      <c r="M19" s="1"/>
      <c r="N19" s="18"/>
    </row>
    <row r="20" spans="2:14" ht="15" customHeight="1" x14ac:dyDescent="0.25">
      <c r="B20" s="20"/>
      <c r="C20" s="5" t="s">
        <v>78</v>
      </c>
      <c r="D20" s="6" t="s">
        <v>79</v>
      </c>
      <c r="E20" s="11">
        <v>3.0134999999999999E-2</v>
      </c>
      <c r="F20" s="1"/>
      <c r="G20" s="1"/>
      <c r="H20" s="1"/>
      <c r="I20" s="1"/>
      <c r="J20" s="1"/>
      <c r="K20" s="1"/>
      <c r="L20" s="1"/>
      <c r="M20" s="1"/>
      <c r="N20" s="18"/>
    </row>
    <row r="21" spans="2:14" ht="15.75" customHeight="1" x14ac:dyDescent="0.25">
      <c r="B21" s="20"/>
      <c r="C21" s="7" t="s">
        <v>21</v>
      </c>
      <c r="D21" s="8"/>
      <c r="E21" s="12">
        <v>0.60652200000000001</v>
      </c>
      <c r="F21" s="1"/>
      <c r="G21" s="1"/>
      <c r="H21" s="1"/>
      <c r="I21" s="1"/>
      <c r="J21" s="1"/>
      <c r="K21" s="1"/>
      <c r="L21" s="1"/>
      <c r="M21" s="1"/>
      <c r="N21" s="18"/>
    </row>
    <row r="22" spans="2:14" ht="15" customHeight="1" x14ac:dyDescent="0.25">
      <c r="B22" s="20"/>
      <c r="C22" s="5" t="s">
        <v>22</v>
      </c>
      <c r="D22" s="6"/>
      <c r="E22" s="11">
        <v>2.7590000000000002E-3</v>
      </c>
      <c r="F22" s="1"/>
      <c r="G22" s="1"/>
      <c r="H22" s="1"/>
      <c r="I22" s="1"/>
      <c r="J22" s="1"/>
      <c r="K22" s="1"/>
      <c r="L22" s="1"/>
      <c r="M22" s="1"/>
      <c r="N22" s="18"/>
    </row>
    <row r="23" spans="2:14" ht="15.75" customHeight="1" x14ac:dyDescent="0.25">
      <c r="B23" s="20"/>
      <c r="C23" s="7" t="s">
        <v>23</v>
      </c>
      <c r="D23" s="8"/>
      <c r="E23" s="12">
        <v>2.7590000000000002E-3</v>
      </c>
      <c r="F23" s="1"/>
      <c r="G23" s="1"/>
      <c r="H23" s="1"/>
      <c r="I23" s="1"/>
      <c r="J23" s="1"/>
      <c r="K23" s="1"/>
      <c r="L23" s="1"/>
      <c r="M23" s="1"/>
      <c r="N23" s="18"/>
    </row>
    <row r="24" spans="2:14" ht="15" customHeight="1" x14ac:dyDescent="0.25">
      <c r="B24" s="20"/>
      <c r="C24" s="5" t="s">
        <v>25</v>
      </c>
      <c r="D24" s="6" t="s">
        <v>192</v>
      </c>
      <c r="E24" s="11">
        <v>0.17019899999999999</v>
      </c>
      <c r="F24" s="1"/>
      <c r="G24" s="86" t="s">
        <v>6</v>
      </c>
      <c r="H24" s="87"/>
      <c r="I24" s="87"/>
      <c r="J24" s="87"/>
      <c r="K24" s="87"/>
      <c r="L24" s="38">
        <v>3.5287754964090281</v>
      </c>
      <c r="M24" s="27"/>
      <c r="N24" s="28"/>
    </row>
    <row r="25" spans="2:14" ht="15" customHeight="1" x14ac:dyDescent="0.25">
      <c r="B25" s="20"/>
      <c r="C25" s="5" t="s">
        <v>122</v>
      </c>
      <c r="D25" s="6" t="s">
        <v>192</v>
      </c>
      <c r="E25" s="11">
        <v>0.12427100000000001</v>
      </c>
      <c r="F25" s="1"/>
      <c r="G25" s="1"/>
      <c r="H25" s="1"/>
      <c r="I25" s="1"/>
      <c r="J25" s="1"/>
      <c r="K25" s="1"/>
      <c r="L25" s="1"/>
      <c r="M25" s="1"/>
      <c r="N25" s="18"/>
    </row>
    <row r="26" spans="2:14" ht="15" customHeight="1" x14ac:dyDescent="0.25">
      <c r="B26" s="20"/>
      <c r="C26" s="5" t="s">
        <v>26</v>
      </c>
      <c r="D26" s="6" t="s">
        <v>192</v>
      </c>
      <c r="E26" s="11">
        <v>3.0814999999999999E-2</v>
      </c>
      <c r="F26" s="1"/>
      <c r="G26" s="86" t="s">
        <v>7</v>
      </c>
      <c r="H26" s="87"/>
      <c r="I26" s="87"/>
      <c r="J26" s="87"/>
      <c r="K26" s="87"/>
      <c r="L26" s="87"/>
      <c r="M26" s="87"/>
      <c r="N26" s="88"/>
    </row>
    <row r="27" spans="2:14" ht="15" customHeight="1" x14ac:dyDescent="0.25">
      <c r="B27" s="20"/>
      <c r="C27" s="5" t="s">
        <v>93</v>
      </c>
      <c r="D27" s="6" t="s">
        <v>192</v>
      </c>
      <c r="E27" s="11">
        <v>1.193E-2</v>
      </c>
      <c r="F27" s="1"/>
      <c r="G27" s="1"/>
      <c r="H27" s="1"/>
      <c r="I27" s="1"/>
      <c r="J27" s="1"/>
      <c r="K27" s="1"/>
      <c r="L27" s="1"/>
      <c r="M27" s="1"/>
      <c r="N27" s="18"/>
    </row>
    <row r="28" spans="2:14" ht="15.75" customHeight="1" x14ac:dyDescent="0.25">
      <c r="B28" s="20"/>
      <c r="C28" s="7" t="s">
        <v>29</v>
      </c>
      <c r="D28" s="8"/>
      <c r="E28" s="12">
        <v>0.33721499999999999</v>
      </c>
      <c r="F28" s="1"/>
      <c r="G28" s="1"/>
      <c r="H28" s="1"/>
      <c r="I28" s="1"/>
      <c r="J28" s="1"/>
      <c r="K28" s="1"/>
      <c r="L28" s="1"/>
      <c r="M28" s="1"/>
      <c r="N28" s="18"/>
    </row>
    <row r="29" spans="2:14" ht="15" customHeight="1" x14ac:dyDescent="0.25">
      <c r="B29" s="20"/>
      <c r="C29" s="5" t="s">
        <v>123</v>
      </c>
      <c r="D29" s="6"/>
      <c r="E29" s="11">
        <v>3.0000000000000001E-6</v>
      </c>
      <c r="F29" s="1"/>
      <c r="G29" s="1"/>
      <c r="H29" s="1"/>
      <c r="I29" s="1"/>
      <c r="J29" s="1"/>
      <c r="K29" s="1"/>
      <c r="L29" s="1"/>
      <c r="M29" s="1"/>
      <c r="N29" s="18"/>
    </row>
    <row r="30" spans="2:14" ht="15.75" customHeight="1" x14ac:dyDescent="0.25">
      <c r="B30" s="20"/>
      <c r="C30" s="7" t="s">
        <v>124</v>
      </c>
      <c r="D30" s="8"/>
      <c r="E30" s="12">
        <v>3.0000000000000001E-6</v>
      </c>
      <c r="F30" s="1"/>
      <c r="G30" s="1"/>
      <c r="H30" s="1"/>
      <c r="I30" s="1"/>
      <c r="J30" s="1"/>
      <c r="K30" s="1"/>
      <c r="L30" s="1"/>
      <c r="M30" s="1"/>
      <c r="N30" s="18"/>
    </row>
    <row r="31" spans="2:14" ht="15" customHeight="1" x14ac:dyDescent="0.25">
      <c r="B31" s="20"/>
      <c r="C31" s="5" t="s">
        <v>30</v>
      </c>
      <c r="D31" s="6"/>
      <c r="E31" s="11">
        <v>2.3788E-2</v>
      </c>
      <c r="F31" s="1"/>
      <c r="G31" s="1"/>
      <c r="H31" s="1"/>
      <c r="I31" s="1"/>
      <c r="J31" s="1"/>
      <c r="K31" s="1"/>
      <c r="L31" s="1"/>
      <c r="M31" s="1"/>
      <c r="N31" s="18"/>
    </row>
    <row r="32" spans="2:14" ht="15.75" customHeight="1" x14ac:dyDescent="0.25">
      <c r="B32" s="20"/>
      <c r="C32" s="7" t="s">
        <v>31</v>
      </c>
      <c r="D32" s="8"/>
      <c r="E32" s="12">
        <v>2.3788E-2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32</v>
      </c>
      <c r="D34" s="8"/>
      <c r="E34" s="12">
        <v>2.9713E-2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33</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34" t="s">
        <v>123</v>
      </c>
      <c r="D38" s="34"/>
      <c r="E38" s="35">
        <v>0.59103799999999995</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325</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66" customHeight="1" thickBot="1" x14ac:dyDescent="0.3">
      <c r="B50" s="78" t="s">
        <v>326</v>
      </c>
      <c r="C50" s="79"/>
      <c r="D50" s="79"/>
      <c r="E50" s="79"/>
      <c r="F50" s="79"/>
      <c r="G50" s="79"/>
      <c r="H50" s="79"/>
      <c r="I50" s="79"/>
      <c r="J50" s="79"/>
      <c r="K50" s="79"/>
      <c r="L50" s="79"/>
      <c r="M50" s="79"/>
      <c r="N50" s="80"/>
    </row>
    <row r="51" spans="2:14" ht="15" customHeight="1" thickBot="1" x14ac:dyDescent="0.3"/>
    <row r="52" spans="2:14" ht="129" customHeight="1" thickBot="1" x14ac:dyDescent="0.3">
      <c r="B52" s="78" t="s">
        <v>323</v>
      </c>
      <c r="C52" s="79"/>
      <c r="D52" s="79"/>
      <c r="E52" s="79"/>
      <c r="F52" s="79"/>
      <c r="G52" s="79"/>
      <c r="H52" s="79"/>
      <c r="I52" s="79"/>
      <c r="J52" s="79"/>
      <c r="K52" s="79"/>
      <c r="L52" s="79"/>
      <c r="M52" s="79"/>
      <c r="N52" s="80"/>
    </row>
    <row r="53" spans="2:14" ht="15" customHeight="1" x14ac:dyDescent="0.25"/>
    <row r="54" spans="2:14" ht="15" customHeight="1" x14ac:dyDescent="0.25"/>
    <row r="55" spans="2:14" ht="15" customHeight="1" x14ac:dyDescent="0.25"/>
    <row r="56"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03A0-18E3-44BA-BE2B-6A5AA9CBE866}">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73</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74</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75</v>
      </c>
      <c r="D8" s="6" t="s">
        <v>76</v>
      </c>
      <c r="E8" s="11">
        <v>0.130721</v>
      </c>
      <c r="F8" s="1"/>
      <c r="G8" s="24" t="s">
        <v>89</v>
      </c>
      <c r="H8" s="29">
        <v>0.55769800000000003</v>
      </c>
      <c r="I8" s="1"/>
      <c r="J8" s="24" t="s">
        <v>34</v>
      </c>
      <c r="K8" s="24" t="s">
        <v>3</v>
      </c>
      <c r="L8" s="1"/>
      <c r="M8" s="1"/>
      <c r="N8" s="18"/>
    </row>
    <row r="9" spans="2:14" ht="15" customHeight="1" x14ac:dyDescent="0.25">
      <c r="B9" s="20"/>
      <c r="C9" s="5" t="s">
        <v>77</v>
      </c>
      <c r="D9" s="6" t="s">
        <v>76</v>
      </c>
      <c r="E9" s="11">
        <v>9.8511000000000001E-2</v>
      </c>
      <c r="F9" s="1"/>
      <c r="G9" s="24" t="s">
        <v>4</v>
      </c>
      <c r="H9" s="29">
        <v>0.244702</v>
      </c>
      <c r="I9" s="1"/>
      <c r="J9" s="24" t="s">
        <v>32</v>
      </c>
      <c r="K9" s="29">
        <v>2.673E-2</v>
      </c>
      <c r="L9" s="1"/>
      <c r="M9" s="1"/>
      <c r="N9" s="18"/>
    </row>
    <row r="10" spans="2:14" ht="15" customHeight="1" x14ac:dyDescent="0.25">
      <c r="B10" s="20"/>
      <c r="C10" s="5" t="s">
        <v>78</v>
      </c>
      <c r="D10" s="6" t="s">
        <v>79</v>
      </c>
      <c r="E10" s="11">
        <v>8.2499000000000003E-2</v>
      </c>
      <c r="F10" s="1"/>
      <c r="G10" s="24" t="s">
        <v>90</v>
      </c>
      <c r="H10" s="29">
        <v>0.1976</v>
      </c>
      <c r="I10" s="1"/>
      <c r="J10" s="24" t="s">
        <v>35</v>
      </c>
      <c r="K10" s="29">
        <v>1.1846000000000001E-2</v>
      </c>
      <c r="L10" s="1"/>
      <c r="M10" s="1"/>
      <c r="N10" s="18"/>
    </row>
    <row r="11" spans="2:14" ht="15" customHeight="1" x14ac:dyDescent="0.25">
      <c r="B11" s="20"/>
      <c r="C11" s="5" t="s">
        <v>80</v>
      </c>
      <c r="D11" s="6" t="s">
        <v>76</v>
      </c>
      <c r="E11" s="11">
        <v>8.1976999999999994E-2</v>
      </c>
      <c r="F11" s="1"/>
      <c r="G11" s="1"/>
      <c r="H11" s="1"/>
      <c r="I11" s="1"/>
      <c r="J11" s="24" t="s">
        <v>37</v>
      </c>
      <c r="K11" s="29">
        <v>0.75529800000000002</v>
      </c>
      <c r="L11" s="1"/>
      <c r="M11" s="1"/>
      <c r="N11" s="18"/>
    </row>
    <row r="12" spans="2:14" ht="15" customHeight="1" x14ac:dyDescent="0.25">
      <c r="B12" s="20"/>
      <c r="C12" s="5" t="s">
        <v>81</v>
      </c>
      <c r="D12" s="6" t="s">
        <v>76</v>
      </c>
      <c r="E12" s="11">
        <v>6.6276000000000002E-2</v>
      </c>
      <c r="F12" s="1"/>
      <c r="G12" s="1"/>
      <c r="H12" s="1"/>
      <c r="I12" s="1"/>
      <c r="J12" s="24" t="s">
        <v>22</v>
      </c>
      <c r="K12" s="29">
        <v>4.8260000000000004E-3</v>
      </c>
      <c r="L12" s="1"/>
      <c r="M12" s="1"/>
      <c r="N12" s="18"/>
    </row>
    <row r="13" spans="2:14" ht="15" customHeight="1" x14ac:dyDescent="0.25">
      <c r="B13" s="20"/>
      <c r="C13" s="5" t="s">
        <v>82</v>
      </c>
      <c r="D13" s="6" t="s">
        <v>76</v>
      </c>
      <c r="E13" s="11">
        <v>6.5673999999999996E-2</v>
      </c>
      <c r="F13" s="1"/>
      <c r="G13" s="1"/>
      <c r="H13" s="1"/>
      <c r="I13" s="1"/>
      <c r="J13" s="24" t="s">
        <v>38</v>
      </c>
      <c r="K13" s="29">
        <v>0.20130000000000001</v>
      </c>
      <c r="L13" s="1"/>
      <c r="M13" s="1"/>
      <c r="N13" s="18"/>
    </row>
    <row r="14" spans="2:14" ht="15" customHeight="1" x14ac:dyDescent="0.25">
      <c r="B14" s="20"/>
      <c r="C14" s="5" t="s">
        <v>83</v>
      </c>
      <c r="D14" s="6" t="s">
        <v>76</v>
      </c>
      <c r="E14" s="11">
        <v>6.5563999999999997E-2</v>
      </c>
      <c r="F14" s="1"/>
      <c r="G14" s="1"/>
      <c r="H14" s="1"/>
      <c r="I14" s="1"/>
      <c r="J14" s="1"/>
      <c r="K14" s="1"/>
      <c r="L14" s="1"/>
      <c r="M14" s="1"/>
      <c r="N14" s="18"/>
    </row>
    <row r="15" spans="2:14" ht="15" customHeight="1" x14ac:dyDescent="0.25">
      <c r="B15" s="20"/>
      <c r="C15" s="5" t="s">
        <v>84</v>
      </c>
      <c r="D15" s="6" t="s">
        <v>79</v>
      </c>
      <c r="E15" s="11">
        <v>4.9363999999999998E-2</v>
      </c>
      <c r="F15" s="1"/>
      <c r="G15" s="1"/>
      <c r="H15" s="1"/>
      <c r="I15" s="1"/>
      <c r="J15" s="1"/>
      <c r="K15" s="1"/>
      <c r="L15" s="1"/>
      <c r="M15" s="1"/>
      <c r="N15" s="18"/>
    </row>
    <row r="16" spans="2:14" ht="15" customHeight="1" x14ac:dyDescent="0.25">
      <c r="B16" s="20"/>
      <c r="C16" s="5" t="s">
        <v>85</v>
      </c>
      <c r="D16" s="6" t="s">
        <v>76</v>
      </c>
      <c r="E16" s="11">
        <v>4.8974999999999998E-2</v>
      </c>
      <c r="F16" s="1"/>
      <c r="G16" s="1"/>
      <c r="H16" s="1"/>
      <c r="I16" s="1"/>
      <c r="J16" s="1"/>
      <c r="K16" s="1"/>
      <c r="L16" s="1"/>
      <c r="M16" s="1"/>
      <c r="N16" s="18"/>
    </row>
    <row r="17" spans="2:14" ht="15" customHeight="1" x14ac:dyDescent="0.25">
      <c r="B17" s="20"/>
      <c r="C17" s="5" t="s">
        <v>86</v>
      </c>
      <c r="D17" s="6" t="s">
        <v>79</v>
      </c>
      <c r="E17" s="11">
        <v>3.2870000000000003E-2</v>
      </c>
      <c r="F17" s="1"/>
      <c r="G17" s="1"/>
      <c r="H17" s="1"/>
      <c r="I17" s="1"/>
      <c r="J17" s="1"/>
      <c r="K17" s="1"/>
      <c r="L17" s="1"/>
      <c r="M17" s="1"/>
      <c r="N17" s="18"/>
    </row>
    <row r="18" spans="2:14" ht="15" customHeight="1" x14ac:dyDescent="0.25">
      <c r="B18" s="20"/>
      <c r="C18" s="5" t="s">
        <v>87</v>
      </c>
      <c r="D18" s="6" t="s">
        <v>79</v>
      </c>
      <c r="E18" s="11">
        <v>3.2867E-2</v>
      </c>
      <c r="F18" s="1"/>
      <c r="G18" s="1"/>
      <c r="H18" s="1"/>
      <c r="I18" s="1"/>
      <c r="J18" s="1"/>
      <c r="K18" s="1"/>
      <c r="L18" s="1"/>
      <c r="M18" s="1"/>
      <c r="N18" s="18"/>
    </row>
    <row r="19" spans="2:14" ht="15.75" customHeight="1" x14ac:dyDescent="0.25">
      <c r="B19" s="20"/>
      <c r="C19" s="7" t="s">
        <v>21</v>
      </c>
      <c r="D19" s="8"/>
      <c r="E19" s="12">
        <v>0.75529800000000002</v>
      </c>
      <c r="F19" s="1"/>
      <c r="G19" s="1"/>
      <c r="H19" s="1"/>
      <c r="I19" s="1"/>
      <c r="J19" s="1"/>
      <c r="K19" s="1"/>
      <c r="L19" s="1"/>
      <c r="M19" s="1"/>
      <c r="N19" s="18"/>
    </row>
    <row r="20" spans="2:14" ht="15" customHeight="1" x14ac:dyDescent="0.25">
      <c r="B20" s="20"/>
      <c r="C20" s="5" t="s">
        <v>22</v>
      </c>
      <c r="D20" s="6"/>
      <c r="E20" s="11">
        <v>4.8260000000000004E-3</v>
      </c>
      <c r="F20" s="1"/>
      <c r="G20" s="1"/>
      <c r="H20" s="1"/>
      <c r="I20" s="1"/>
      <c r="J20" s="1"/>
      <c r="K20" s="1"/>
      <c r="L20" s="1"/>
      <c r="M20" s="1"/>
      <c r="N20" s="18"/>
    </row>
    <row r="21" spans="2:14" ht="15.75" customHeight="1" x14ac:dyDescent="0.25">
      <c r="B21" s="20"/>
      <c r="C21" s="7" t="s">
        <v>23</v>
      </c>
      <c r="D21" s="8"/>
      <c r="E21" s="12">
        <v>4.8260000000000004E-3</v>
      </c>
      <c r="F21" s="1"/>
      <c r="G21" s="1"/>
      <c r="H21" s="1"/>
      <c r="I21" s="1"/>
      <c r="J21" s="1"/>
      <c r="K21" s="1"/>
      <c r="L21" s="1"/>
      <c r="M21" s="1"/>
      <c r="N21" s="18"/>
    </row>
    <row r="22" spans="2:14" ht="15" customHeight="1" x14ac:dyDescent="0.25">
      <c r="B22" s="20"/>
      <c r="C22" s="5" t="s">
        <v>88</v>
      </c>
      <c r="D22" s="6" t="s">
        <v>192</v>
      </c>
      <c r="E22" s="11">
        <v>0.20130000000000001</v>
      </c>
      <c r="F22" s="1"/>
      <c r="G22" s="1"/>
      <c r="H22" s="1"/>
      <c r="I22" s="1"/>
      <c r="J22" s="1"/>
      <c r="K22" s="1"/>
      <c r="L22" s="1"/>
      <c r="M22" s="1"/>
      <c r="N22" s="18"/>
    </row>
    <row r="23" spans="2:14" ht="15.75" customHeight="1" x14ac:dyDescent="0.25">
      <c r="B23" s="20"/>
      <c r="C23" s="7" t="s">
        <v>29</v>
      </c>
      <c r="D23" s="8"/>
      <c r="E23" s="12">
        <v>0.20130000000000001</v>
      </c>
      <c r="F23" s="1"/>
      <c r="G23" s="1"/>
      <c r="H23" s="1"/>
      <c r="I23" s="1"/>
      <c r="J23" s="1"/>
      <c r="K23" s="1"/>
      <c r="L23" s="1"/>
      <c r="M23" s="1"/>
      <c r="N23" s="18"/>
    </row>
    <row r="24" spans="2:14" ht="15" customHeight="1" x14ac:dyDescent="0.25">
      <c r="B24" s="20"/>
      <c r="C24" s="5" t="s">
        <v>30</v>
      </c>
      <c r="D24" s="6"/>
      <c r="E24" s="11">
        <v>1.1846000000000001E-2</v>
      </c>
      <c r="F24" s="1"/>
      <c r="G24" s="86" t="s">
        <v>6</v>
      </c>
      <c r="H24" s="87"/>
      <c r="I24" s="87"/>
      <c r="J24" s="87"/>
      <c r="K24" s="87"/>
      <c r="L24" s="38">
        <v>3.8905547668564098</v>
      </c>
      <c r="M24" s="27"/>
      <c r="N24" s="28"/>
    </row>
    <row r="25" spans="2:14" ht="15.75" customHeight="1" x14ac:dyDescent="0.25">
      <c r="B25" s="20"/>
      <c r="C25" s="7" t="s">
        <v>31</v>
      </c>
      <c r="D25" s="8"/>
      <c r="E25" s="12">
        <v>1.1846000000000001E-2</v>
      </c>
      <c r="F25" s="1"/>
      <c r="G25" s="1"/>
      <c r="H25" s="1"/>
      <c r="I25" s="1"/>
      <c r="J25" s="1"/>
      <c r="K25" s="1"/>
      <c r="L25" s="1"/>
      <c r="M25" s="1"/>
      <c r="N25" s="18"/>
    </row>
    <row r="26" spans="2:14" ht="15" customHeight="1" x14ac:dyDescent="0.25">
      <c r="B26" s="20"/>
      <c r="C26" s="5"/>
      <c r="D26" s="6"/>
      <c r="E26" s="11"/>
      <c r="F26" s="1"/>
      <c r="G26" s="86" t="s">
        <v>7</v>
      </c>
      <c r="H26" s="87"/>
      <c r="I26" s="87"/>
      <c r="J26" s="87"/>
      <c r="K26" s="87"/>
      <c r="L26" s="87"/>
      <c r="M26" s="87"/>
      <c r="N26" s="88"/>
    </row>
    <row r="27" spans="2:14" ht="15.75" customHeight="1" x14ac:dyDescent="0.25">
      <c r="B27" s="20"/>
      <c r="C27" s="7" t="s">
        <v>32</v>
      </c>
      <c r="D27" s="8"/>
      <c r="E27" s="12">
        <v>2.673E-2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33</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325</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38" customHeight="1" thickBot="1" x14ac:dyDescent="0.3">
      <c r="B50" s="78" t="s">
        <v>323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1BB1-C380-405E-AB7C-E848F794F164}">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164</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165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22</v>
      </c>
      <c r="D8" s="6"/>
      <c r="E8" s="11">
        <v>1.0070000000000001E-3</v>
      </c>
      <c r="F8" s="1"/>
      <c r="G8" s="24" t="s">
        <v>4</v>
      </c>
      <c r="H8" s="25">
        <v>1</v>
      </c>
      <c r="I8" s="1"/>
      <c r="J8" s="24" t="s">
        <v>34</v>
      </c>
      <c r="K8" s="24" t="s">
        <v>3</v>
      </c>
      <c r="L8" s="1"/>
      <c r="M8" s="1"/>
      <c r="N8" s="18"/>
    </row>
    <row r="9" spans="2:14" ht="15.75" customHeight="1" x14ac:dyDescent="0.25">
      <c r="B9" s="20"/>
      <c r="C9" s="7" t="s">
        <v>23</v>
      </c>
      <c r="D9" s="8"/>
      <c r="E9" s="12">
        <v>1.0070000000000001E-3</v>
      </c>
      <c r="F9" s="1"/>
      <c r="G9" s="1"/>
      <c r="H9" s="1"/>
      <c r="I9" s="1"/>
      <c r="J9" s="24" t="s">
        <v>32</v>
      </c>
      <c r="K9" s="29">
        <v>1.4818E-2</v>
      </c>
      <c r="L9" s="1"/>
      <c r="M9" s="1"/>
      <c r="N9" s="18"/>
    </row>
    <row r="10" spans="2:14" ht="15" customHeight="1" x14ac:dyDescent="0.25">
      <c r="B10" s="20"/>
      <c r="C10" s="5" t="s">
        <v>24</v>
      </c>
      <c r="D10" s="6" t="s">
        <v>192</v>
      </c>
      <c r="E10" s="11">
        <v>0.94758399999999998</v>
      </c>
      <c r="F10" s="1"/>
      <c r="G10" s="1"/>
      <c r="H10" s="1"/>
      <c r="I10" s="1"/>
      <c r="J10" s="24" t="s">
        <v>35</v>
      </c>
      <c r="K10" s="29">
        <v>1.2263E-2</v>
      </c>
      <c r="L10" s="1"/>
      <c r="M10" s="1"/>
      <c r="N10" s="18"/>
    </row>
    <row r="11" spans="2:14" ht="15" customHeight="1" x14ac:dyDescent="0.25">
      <c r="B11" s="20"/>
      <c r="C11" s="5" t="s">
        <v>166</v>
      </c>
      <c r="D11" s="6" t="s">
        <v>192</v>
      </c>
      <c r="E11" s="11">
        <v>2.4327999999999999E-2</v>
      </c>
      <c r="F11" s="1"/>
      <c r="G11" s="1"/>
      <c r="H11" s="1"/>
      <c r="I11" s="1"/>
      <c r="J11" s="24" t="s">
        <v>22</v>
      </c>
      <c r="K11" s="29">
        <v>1.0070000000000001E-3</v>
      </c>
      <c r="L11" s="1"/>
      <c r="M11" s="1"/>
      <c r="N11" s="18"/>
    </row>
    <row r="12" spans="2:14" ht="15.75" customHeight="1" x14ac:dyDescent="0.25">
      <c r="B12" s="20"/>
      <c r="C12" s="7" t="s">
        <v>29</v>
      </c>
      <c r="D12" s="8"/>
      <c r="E12" s="12">
        <v>0.971912</v>
      </c>
      <c r="F12" s="1"/>
      <c r="G12" s="1"/>
      <c r="H12" s="1"/>
      <c r="I12" s="1"/>
      <c r="J12" s="24" t="s">
        <v>38</v>
      </c>
      <c r="K12" s="29">
        <v>0.971912</v>
      </c>
      <c r="L12" s="1"/>
      <c r="M12" s="1"/>
      <c r="N12" s="18"/>
    </row>
    <row r="13" spans="2:14" ht="15" customHeight="1" x14ac:dyDescent="0.25">
      <c r="B13" s="20"/>
      <c r="C13" s="5" t="s">
        <v>30</v>
      </c>
      <c r="D13" s="6"/>
      <c r="E13" s="11">
        <v>1.2263E-2</v>
      </c>
      <c r="F13" s="1"/>
      <c r="G13" s="1"/>
      <c r="H13" s="1"/>
      <c r="I13" s="1"/>
      <c r="J13" s="1"/>
      <c r="K13" s="1"/>
      <c r="L13" s="1"/>
      <c r="M13" s="1"/>
      <c r="N13" s="18"/>
    </row>
    <row r="14" spans="2:14" ht="15.75" customHeight="1" x14ac:dyDescent="0.25">
      <c r="B14" s="20"/>
      <c r="C14" s="7" t="s">
        <v>31</v>
      </c>
      <c r="D14" s="8"/>
      <c r="E14" s="12">
        <v>1.2263E-2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32</v>
      </c>
      <c r="D16" s="8"/>
      <c r="E16" s="12">
        <v>1.4818E-2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33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29.112511686979399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9" t="s">
        <v>325</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x14ac:dyDescent="0.25">
      <c r="B47" s="72"/>
      <c r="C47" s="73"/>
      <c r="D47" s="73"/>
      <c r="E47" s="73"/>
      <c r="F47" s="73"/>
      <c r="G47" s="73"/>
      <c r="H47" s="73"/>
      <c r="I47" s="73"/>
      <c r="J47" s="73"/>
      <c r="K47" s="73"/>
      <c r="L47" s="73"/>
      <c r="M47" s="73"/>
      <c r="N47" s="74"/>
    </row>
    <row r="48" spans="2:14" ht="15.75" thickBot="1" x14ac:dyDescent="0.3">
      <c r="B48" s="75"/>
      <c r="C48" s="76"/>
      <c r="D48" s="76"/>
      <c r="E48" s="76"/>
      <c r="F48" s="76"/>
      <c r="G48" s="76"/>
      <c r="H48" s="76"/>
      <c r="I48" s="76"/>
      <c r="J48" s="76"/>
      <c r="K48" s="76"/>
      <c r="L48" s="76"/>
      <c r="M48" s="76"/>
      <c r="N48" s="77"/>
    </row>
    <row r="49" spans="2:14" ht="15.75" thickBot="1" x14ac:dyDescent="0.3"/>
    <row r="50" spans="2:14" ht="139.5" customHeight="1" thickBot="1" x14ac:dyDescent="0.3">
      <c r="B50" s="78" t="s">
        <v>323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11B8-C062-4BAF-A93B-A746D4C6DE44}">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127</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128</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24</v>
      </c>
      <c r="D8" s="6" t="s">
        <v>192</v>
      </c>
      <c r="E8" s="11">
        <v>0.97542099999999998</v>
      </c>
      <c r="F8" s="1"/>
      <c r="G8" s="24" t="s">
        <v>4</v>
      </c>
      <c r="H8" s="25">
        <v>1</v>
      </c>
      <c r="I8" s="1"/>
      <c r="J8" s="24" t="s">
        <v>34</v>
      </c>
      <c r="K8" s="24" t="s">
        <v>3</v>
      </c>
      <c r="L8" s="1"/>
      <c r="M8" s="1"/>
      <c r="N8" s="18"/>
    </row>
    <row r="9" spans="2:14" ht="15" customHeight="1" x14ac:dyDescent="0.25">
      <c r="B9" s="20"/>
      <c r="C9" s="5" t="s">
        <v>109</v>
      </c>
      <c r="D9" s="6" t="s">
        <v>192</v>
      </c>
      <c r="E9" s="30">
        <v>2.0000000000000002E-5</v>
      </c>
      <c r="F9" s="1"/>
      <c r="G9" s="1"/>
      <c r="H9" s="1"/>
      <c r="I9" s="1"/>
      <c r="J9" s="24" t="s">
        <v>32</v>
      </c>
      <c r="K9" s="29">
        <v>2.3494000000000001E-2</v>
      </c>
      <c r="L9" s="1"/>
      <c r="M9" s="1"/>
      <c r="N9" s="18"/>
    </row>
    <row r="10" spans="2:14" ht="15.75" customHeight="1" x14ac:dyDescent="0.25">
      <c r="B10" s="20"/>
      <c r="C10" s="7" t="s">
        <v>29</v>
      </c>
      <c r="D10" s="8"/>
      <c r="E10" s="12">
        <v>0.975441</v>
      </c>
      <c r="F10" s="1"/>
      <c r="G10" s="1"/>
      <c r="H10" s="1"/>
      <c r="I10" s="1"/>
      <c r="J10" s="24" t="s">
        <v>35</v>
      </c>
      <c r="K10" s="29">
        <v>1.065E-3</v>
      </c>
      <c r="L10" s="1"/>
      <c r="M10" s="1"/>
      <c r="N10" s="18"/>
    </row>
    <row r="11" spans="2:14" ht="15" customHeight="1" x14ac:dyDescent="0.25">
      <c r="B11" s="20"/>
      <c r="C11" s="5" t="s">
        <v>30</v>
      </c>
      <c r="D11" s="6"/>
      <c r="E11" s="11">
        <v>1.065E-3</v>
      </c>
      <c r="F11" s="1"/>
      <c r="G11" s="1"/>
      <c r="H11" s="1"/>
      <c r="I11" s="1"/>
      <c r="J11" s="24" t="s">
        <v>38</v>
      </c>
      <c r="K11" s="29">
        <v>0.975441</v>
      </c>
      <c r="L11" s="1"/>
      <c r="M11" s="1"/>
      <c r="N11" s="18"/>
    </row>
    <row r="12" spans="2:14" ht="15.75" customHeight="1" x14ac:dyDescent="0.25">
      <c r="B12" s="20"/>
      <c r="C12" s="7" t="s">
        <v>31</v>
      </c>
      <c r="D12" s="8"/>
      <c r="E12" s="12">
        <v>1.065E-3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32</v>
      </c>
      <c r="D14" s="8"/>
      <c r="E14" s="12">
        <v>2.3494000000000001E-2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28.667109914554604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78DB-E5FF-4DB6-982D-E4A294B7EDCB}">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125</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126</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25</v>
      </c>
      <c r="D8" s="6" t="s">
        <v>192</v>
      </c>
      <c r="E8" s="11">
        <v>0.43366300000000002</v>
      </c>
      <c r="F8" s="1"/>
      <c r="G8" s="24" t="s">
        <v>4</v>
      </c>
      <c r="H8" s="25">
        <v>1</v>
      </c>
      <c r="I8" s="1"/>
      <c r="J8" s="24" t="s">
        <v>34</v>
      </c>
      <c r="K8" s="24" t="s">
        <v>3</v>
      </c>
      <c r="L8" s="1"/>
      <c r="M8" s="1"/>
      <c r="N8" s="18"/>
    </row>
    <row r="9" spans="2:14" ht="15" customHeight="1" x14ac:dyDescent="0.25">
      <c r="B9" s="20"/>
      <c r="C9" s="5" t="s">
        <v>88</v>
      </c>
      <c r="D9" s="6" t="s">
        <v>192</v>
      </c>
      <c r="E9" s="11">
        <v>0.20271</v>
      </c>
      <c r="F9" s="1"/>
      <c r="G9" s="1"/>
      <c r="H9" s="1"/>
      <c r="I9" s="1"/>
      <c r="J9" s="24" t="s">
        <v>32</v>
      </c>
      <c r="K9" s="29">
        <v>1.3292999999999999E-2</v>
      </c>
      <c r="L9" s="1"/>
      <c r="M9" s="1"/>
      <c r="N9" s="18"/>
    </row>
    <row r="10" spans="2:14" ht="15" customHeight="1" x14ac:dyDescent="0.25">
      <c r="B10" s="20"/>
      <c r="C10" s="5" t="s">
        <v>69</v>
      </c>
      <c r="D10" s="6" t="s">
        <v>192</v>
      </c>
      <c r="E10" s="11">
        <v>0.19245999999999999</v>
      </c>
      <c r="F10" s="1"/>
      <c r="G10" s="1"/>
      <c r="H10" s="1"/>
      <c r="I10" s="1"/>
      <c r="J10" s="24" t="s">
        <v>35</v>
      </c>
      <c r="K10" s="29">
        <v>6.888E-3</v>
      </c>
      <c r="L10" s="1"/>
      <c r="M10" s="1"/>
      <c r="N10" s="18"/>
    </row>
    <row r="11" spans="2:14" ht="15" customHeight="1" x14ac:dyDescent="0.25">
      <c r="B11" s="20"/>
      <c r="C11" s="5" t="s">
        <v>70</v>
      </c>
      <c r="D11" s="6" t="s">
        <v>192</v>
      </c>
      <c r="E11" s="11">
        <v>7.4574000000000001E-2</v>
      </c>
      <c r="F11" s="1"/>
      <c r="G11" s="1"/>
      <c r="H11" s="1"/>
      <c r="I11" s="1"/>
      <c r="J11" s="24" t="s">
        <v>38</v>
      </c>
      <c r="K11" s="29">
        <v>0.979819</v>
      </c>
      <c r="L11" s="1"/>
      <c r="M11" s="1"/>
      <c r="N11" s="18"/>
    </row>
    <row r="12" spans="2:14" ht="15" customHeight="1" x14ac:dyDescent="0.25">
      <c r="B12" s="20"/>
      <c r="C12" s="5" t="s">
        <v>93</v>
      </c>
      <c r="D12" s="6" t="s">
        <v>192</v>
      </c>
      <c r="E12" s="11">
        <v>7.3001999999999997E-2</v>
      </c>
      <c r="F12" s="1"/>
      <c r="G12" s="1"/>
      <c r="H12" s="1"/>
      <c r="I12" s="1"/>
      <c r="J12" s="1"/>
      <c r="K12" s="1"/>
      <c r="L12" s="1"/>
      <c r="M12" s="1"/>
      <c r="N12" s="18"/>
    </row>
    <row r="13" spans="2:14" ht="15" customHeight="1" x14ac:dyDescent="0.25">
      <c r="B13" s="20"/>
      <c r="C13" s="5" t="s">
        <v>109</v>
      </c>
      <c r="D13" s="6" t="s">
        <v>192</v>
      </c>
      <c r="E13" s="11">
        <v>2.0899999999999998E-3</v>
      </c>
      <c r="F13" s="1"/>
      <c r="G13" s="1"/>
      <c r="H13" s="1"/>
      <c r="I13" s="1"/>
      <c r="J13" s="1"/>
      <c r="K13" s="1"/>
      <c r="L13" s="1"/>
      <c r="M13" s="1"/>
      <c r="N13" s="18"/>
    </row>
    <row r="14" spans="2:14" ht="15" customHeight="1" x14ac:dyDescent="0.25">
      <c r="B14" s="20"/>
      <c r="C14" s="5" t="s">
        <v>45</v>
      </c>
      <c r="D14" s="6" t="s">
        <v>192</v>
      </c>
      <c r="E14" s="11">
        <v>1.32E-3</v>
      </c>
      <c r="F14" s="1"/>
      <c r="G14" s="1"/>
      <c r="H14" s="1"/>
      <c r="I14" s="1"/>
      <c r="J14" s="1"/>
      <c r="K14" s="1"/>
      <c r="L14" s="1"/>
      <c r="M14" s="1"/>
      <c r="N14" s="18"/>
    </row>
    <row r="15" spans="2:14" ht="15.75" customHeight="1" x14ac:dyDescent="0.25">
      <c r="B15" s="20"/>
      <c r="C15" s="7" t="s">
        <v>29</v>
      </c>
      <c r="D15" s="8"/>
      <c r="E15" s="12">
        <v>0.979819</v>
      </c>
      <c r="F15" s="1"/>
      <c r="G15" s="1"/>
      <c r="H15" s="1"/>
      <c r="I15" s="1"/>
      <c r="J15" s="1"/>
      <c r="K15" s="1"/>
      <c r="L15" s="1"/>
      <c r="M15" s="1"/>
      <c r="N15" s="18"/>
    </row>
    <row r="16" spans="2:14" ht="15" customHeight="1" x14ac:dyDescent="0.25">
      <c r="B16" s="20"/>
      <c r="C16" s="5" t="s">
        <v>30</v>
      </c>
      <c r="D16" s="6"/>
      <c r="E16" s="11">
        <v>6.888E-3</v>
      </c>
      <c r="F16" s="1"/>
      <c r="G16" s="1"/>
      <c r="H16" s="1"/>
      <c r="I16" s="1"/>
      <c r="J16" s="1"/>
      <c r="K16" s="1"/>
      <c r="L16" s="1"/>
      <c r="M16" s="1"/>
      <c r="N16" s="18"/>
    </row>
    <row r="17" spans="2:14" ht="15.75" customHeight="1" x14ac:dyDescent="0.25">
      <c r="B17" s="20"/>
      <c r="C17" s="7" t="s">
        <v>31</v>
      </c>
      <c r="D17" s="8"/>
      <c r="E17" s="12">
        <v>6.888E-3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32</v>
      </c>
      <c r="D19" s="8"/>
      <c r="E19" s="12">
        <v>1.3292999999999999E-2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33</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9.4633117298269642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0F56-70FD-4B05-80AD-6362814D95A4}">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101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102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53</v>
      </c>
      <c r="D8" s="6" t="s">
        <v>192</v>
      </c>
      <c r="E8" s="11">
        <v>0.332536</v>
      </c>
      <c r="F8" s="1"/>
      <c r="G8" s="24" t="s">
        <v>4</v>
      </c>
      <c r="H8" s="25">
        <v>1</v>
      </c>
      <c r="I8" s="1"/>
      <c r="J8" s="24" t="s">
        <v>34</v>
      </c>
      <c r="K8" s="24" t="s">
        <v>3</v>
      </c>
      <c r="L8" s="1"/>
      <c r="M8" s="1"/>
      <c r="N8" s="18"/>
    </row>
    <row r="9" spans="2:14" ht="15" customHeight="1" x14ac:dyDescent="0.25">
      <c r="B9" s="20"/>
      <c r="C9" s="5" t="s">
        <v>103</v>
      </c>
      <c r="D9" s="6" t="s">
        <v>192</v>
      </c>
      <c r="E9" s="11">
        <v>0.320191</v>
      </c>
      <c r="F9" s="1"/>
      <c r="G9" s="1"/>
      <c r="H9" s="1"/>
      <c r="I9" s="1"/>
      <c r="J9" s="24" t="s">
        <v>32</v>
      </c>
      <c r="K9" s="29">
        <v>8.5450000000000005E-3</v>
      </c>
      <c r="L9" s="1"/>
      <c r="M9" s="1"/>
      <c r="N9" s="18"/>
    </row>
    <row r="10" spans="2:14" ht="15" customHeight="1" x14ac:dyDescent="0.25">
      <c r="B10" s="20"/>
      <c r="C10" s="5" t="s">
        <v>104</v>
      </c>
      <c r="D10" s="6" t="s">
        <v>192</v>
      </c>
      <c r="E10" s="11">
        <v>0.18395700000000001</v>
      </c>
      <c r="F10" s="1"/>
      <c r="G10" s="1"/>
      <c r="H10" s="1"/>
      <c r="I10" s="1"/>
      <c r="J10" s="24" t="s">
        <v>35</v>
      </c>
      <c r="K10" s="29">
        <v>1.3500000000000001E-3</v>
      </c>
      <c r="L10" s="1"/>
      <c r="M10" s="1"/>
      <c r="N10" s="18"/>
    </row>
    <row r="11" spans="2:14" ht="15" customHeight="1" x14ac:dyDescent="0.25">
      <c r="B11" s="20"/>
      <c r="C11" s="5" t="s">
        <v>105</v>
      </c>
      <c r="D11" s="6" t="s">
        <v>192</v>
      </c>
      <c r="E11" s="11">
        <v>9.1235999999999998E-2</v>
      </c>
      <c r="F11" s="1"/>
      <c r="G11" s="1"/>
      <c r="H11" s="1"/>
      <c r="I11" s="1"/>
      <c r="J11" s="24" t="s">
        <v>38</v>
      </c>
      <c r="K11" s="29">
        <v>0.99010500000000001</v>
      </c>
      <c r="L11" s="1"/>
      <c r="M11" s="1"/>
      <c r="N11" s="18"/>
    </row>
    <row r="12" spans="2:14" ht="15" customHeight="1" x14ac:dyDescent="0.25">
      <c r="B12" s="20"/>
      <c r="C12" s="5" t="s">
        <v>106</v>
      </c>
      <c r="D12" s="6" t="s">
        <v>192</v>
      </c>
      <c r="E12" s="11">
        <v>6.2184999999999997E-2</v>
      </c>
      <c r="F12" s="1"/>
      <c r="G12" s="1"/>
      <c r="H12" s="1"/>
      <c r="I12" s="1"/>
      <c r="J12" s="1"/>
      <c r="K12" s="1"/>
      <c r="L12" s="1"/>
      <c r="M12" s="1"/>
      <c r="N12" s="18"/>
    </row>
    <row r="13" spans="2:14" ht="15.75" customHeight="1" x14ac:dyDescent="0.25">
      <c r="B13" s="20"/>
      <c r="C13" s="7" t="s">
        <v>29</v>
      </c>
      <c r="D13" s="8"/>
      <c r="E13" s="12">
        <v>0.99010500000000001</v>
      </c>
      <c r="F13" s="1"/>
      <c r="G13" s="1"/>
      <c r="H13" s="1"/>
      <c r="I13" s="1"/>
      <c r="J13" s="1"/>
      <c r="K13" s="1"/>
      <c r="L13" s="1"/>
      <c r="M13" s="1"/>
      <c r="N13" s="18"/>
    </row>
    <row r="14" spans="2:14" ht="15" customHeight="1" x14ac:dyDescent="0.25">
      <c r="B14" s="20"/>
      <c r="C14" s="5" t="s">
        <v>30</v>
      </c>
      <c r="D14" s="6"/>
      <c r="E14" s="11">
        <v>1.3500000000000001E-3</v>
      </c>
      <c r="F14" s="1"/>
      <c r="G14" s="1"/>
      <c r="H14" s="1"/>
      <c r="I14" s="1"/>
      <c r="J14" s="1"/>
      <c r="K14" s="1"/>
      <c r="L14" s="1"/>
      <c r="M14" s="1"/>
      <c r="N14" s="18"/>
    </row>
    <row r="15" spans="2:14" ht="15.75" customHeight="1" x14ac:dyDescent="0.25">
      <c r="B15" s="20"/>
      <c r="C15" s="7" t="s">
        <v>31</v>
      </c>
      <c r="D15" s="8"/>
      <c r="E15" s="12">
        <v>1.3500000000000001E-3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32</v>
      </c>
      <c r="D17" s="8"/>
      <c r="E17" s="12">
        <v>8.5450000000000005E-3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1.3621409951699979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0B91-1254-4003-89D2-41978CFCA528}">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114</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115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100</v>
      </c>
      <c r="D8" s="6" t="s">
        <v>192</v>
      </c>
      <c r="E8" s="11">
        <v>0.71861900000000001</v>
      </c>
      <c r="F8" s="1"/>
      <c r="G8" s="24" t="s">
        <v>4</v>
      </c>
      <c r="H8" s="25">
        <v>1</v>
      </c>
      <c r="I8" s="1"/>
      <c r="J8" s="24" t="s">
        <v>34</v>
      </c>
      <c r="K8" s="24" t="s">
        <v>3</v>
      </c>
      <c r="L8" s="1"/>
      <c r="M8" s="1"/>
      <c r="N8" s="18"/>
    </row>
    <row r="9" spans="2:14" ht="15" customHeight="1" x14ac:dyDescent="0.25">
      <c r="B9" s="20"/>
      <c r="C9" s="5" t="s">
        <v>45</v>
      </c>
      <c r="D9" s="6" t="s">
        <v>192</v>
      </c>
      <c r="E9" s="11">
        <v>0.130797</v>
      </c>
      <c r="F9" s="1"/>
      <c r="G9" s="1"/>
      <c r="H9" s="1"/>
      <c r="I9" s="1"/>
      <c r="J9" s="24" t="s">
        <v>32</v>
      </c>
      <c r="K9" s="29">
        <v>2.4885999999999998E-2</v>
      </c>
      <c r="L9" s="1"/>
      <c r="M9" s="1"/>
      <c r="N9" s="18"/>
    </row>
    <row r="10" spans="2:14" ht="15" customHeight="1" x14ac:dyDescent="0.25">
      <c r="B10" s="20"/>
      <c r="C10" s="5" t="s">
        <v>27</v>
      </c>
      <c r="D10" s="6" t="s">
        <v>192</v>
      </c>
      <c r="E10" s="11">
        <v>0.12239999999999999</v>
      </c>
      <c r="F10" s="1"/>
      <c r="G10" s="1"/>
      <c r="H10" s="1"/>
      <c r="I10" s="1"/>
      <c r="J10" s="24" t="s">
        <v>35</v>
      </c>
      <c r="K10" s="29">
        <v>3.2980000000000002E-3</v>
      </c>
      <c r="L10" s="1"/>
      <c r="M10" s="1"/>
      <c r="N10" s="18"/>
    </row>
    <row r="11" spans="2:14" ht="15.75" customHeight="1" x14ac:dyDescent="0.25">
      <c r="B11" s="20"/>
      <c r="C11" s="7" t="s">
        <v>29</v>
      </c>
      <c r="D11" s="8"/>
      <c r="E11" s="12">
        <v>0.97181600000000001</v>
      </c>
      <c r="F11" s="1"/>
      <c r="G11" s="1"/>
      <c r="H11" s="1"/>
      <c r="I11" s="1"/>
      <c r="J11" s="24" t="s">
        <v>38</v>
      </c>
      <c r="K11" s="29">
        <v>0.97181600000000001</v>
      </c>
      <c r="L11" s="1"/>
      <c r="M11" s="1"/>
      <c r="N11" s="18"/>
    </row>
    <row r="12" spans="2:14" ht="15" customHeight="1" x14ac:dyDescent="0.25">
      <c r="B12" s="20"/>
      <c r="C12" s="5" t="s">
        <v>30</v>
      </c>
      <c r="D12" s="6"/>
      <c r="E12" s="11">
        <v>3.2980000000000002E-3</v>
      </c>
      <c r="F12" s="1"/>
      <c r="G12" s="1"/>
      <c r="H12" s="1"/>
      <c r="I12" s="1"/>
      <c r="J12" s="1"/>
      <c r="K12" s="1"/>
      <c r="L12" s="1"/>
      <c r="M12" s="1"/>
      <c r="N12" s="18"/>
    </row>
    <row r="13" spans="2:14" ht="15.75" customHeight="1" x14ac:dyDescent="0.25">
      <c r="B13" s="20"/>
      <c r="C13" s="7" t="s">
        <v>31</v>
      </c>
      <c r="D13" s="8"/>
      <c r="E13" s="12">
        <v>3.2980000000000002E-3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32</v>
      </c>
      <c r="D15" s="8"/>
      <c r="E15" s="12">
        <v>2.4885999999999998E-2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2.5693887697509878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6CDA-0978-4879-93BD-B05BB7F499E9}">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107</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108</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109</v>
      </c>
      <c r="D8" s="6" t="s">
        <v>192</v>
      </c>
      <c r="E8" s="11">
        <v>0.59418400000000005</v>
      </c>
      <c r="F8" s="1"/>
      <c r="G8" s="24" t="s">
        <v>4</v>
      </c>
      <c r="H8" s="25">
        <v>1</v>
      </c>
      <c r="I8" s="1"/>
      <c r="J8" s="24" t="s">
        <v>34</v>
      </c>
      <c r="K8" s="24" t="s">
        <v>3</v>
      </c>
      <c r="L8" s="1"/>
      <c r="M8" s="1"/>
      <c r="N8" s="18"/>
    </row>
    <row r="9" spans="2:14" ht="15" customHeight="1" x14ac:dyDescent="0.25">
      <c r="B9" s="20"/>
      <c r="C9" s="5" t="s">
        <v>110</v>
      </c>
      <c r="D9" s="6" t="s">
        <v>192</v>
      </c>
      <c r="E9" s="11">
        <v>0.31669900000000001</v>
      </c>
      <c r="F9" s="1"/>
      <c r="G9" s="1"/>
      <c r="H9" s="1"/>
      <c r="I9" s="1"/>
      <c r="J9" s="24" t="s">
        <v>32</v>
      </c>
      <c r="K9" s="29">
        <v>1.7614000000000001E-2</v>
      </c>
      <c r="L9" s="1"/>
      <c r="M9" s="1"/>
      <c r="N9" s="18"/>
    </row>
    <row r="10" spans="2:14" ht="15" customHeight="1" x14ac:dyDescent="0.25">
      <c r="B10" s="20"/>
      <c r="C10" s="5" t="s">
        <v>100</v>
      </c>
      <c r="D10" s="6" t="s">
        <v>192</v>
      </c>
      <c r="E10" s="11">
        <v>6.8156999999999995E-2</v>
      </c>
      <c r="F10" s="1"/>
      <c r="G10" s="1"/>
      <c r="H10" s="1"/>
      <c r="I10" s="1"/>
      <c r="J10" s="24" t="s">
        <v>35</v>
      </c>
      <c r="K10" s="29">
        <v>3.346E-3</v>
      </c>
      <c r="L10" s="1"/>
      <c r="M10" s="1"/>
      <c r="N10" s="18"/>
    </row>
    <row r="11" spans="2:14" ht="15.75" customHeight="1" x14ac:dyDescent="0.25">
      <c r="B11" s="20"/>
      <c r="C11" s="7" t="s">
        <v>29</v>
      </c>
      <c r="D11" s="8"/>
      <c r="E11" s="12">
        <v>0.97904000000000002</v>
      </c>
      <c r="F11" s="1"/>
      <c r="G11" s="1"/>
      <c r="H11" s="1"/>
      <c r="I11" s="1"/>
      <c r="J11" s="24" t="s">
        <v>38</v>
      </c>
      <c r="K11" s="29">
        <v>0.97904000000000002</v>
      </c>
      <c r="L11" s="1"/>
      <c r="M11" s="1"/>
      <c r="N11" s="18"/>
    </row>
    <row r="12" spans="2:14" ht="15" customHeight="1" x14ac:dyDescent="0.25">
      <c r="B12" s="20"/>
      <c r="C12" s="5" t="s">
        <v>30</v>
      </c>
      <c r="D12" s="6"/>
      <c r="E12" s="11">
        <v>3.346E-3</v>
      </c>
      <c r="F12" s="1"/>
      <c r="G12" s="1"/>
      <c r="H12" s="1"/>
      <c r="I12" s="1"/>
      <c r="J12" s="1"/>
      <c r="K12" s="1"/>
      <c r="L12" s="1"/>
      <c r="M12" s="1"/>
      <c r="N12" s="18"/>
    </row>
    <row r="13" spans="2:14" ht="15.75" customHeight="1" x14ac:dyDescent="0.25">
      <c r="B13" s="20"/>
      <c r="C13" s="7" t="s">
        <v>31</v>
      </c>
      <c r="D13" s="8"/>
      <c r="E13" s="12">
        <v>3.346E-3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32</v>
      </c>
      <c r="D15" s="8"/>
      <c r="E15" s="12">
        <v>1.7614000000000001E-2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3.0449300624468347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3080-B99F-4403-89AC-B52EDE1CC507}">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112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93</v>
      </c>
      <c r="D8" s="6" t="s">
        <v>192</v>
      </c>
      <c r="E8" s="11">
        <v>0.77390999999999999</v>
      </c>
      <c r="F8" s="1"/>
      <c r="G8" s="24" t="s">
        <v>4</v>
      </c>
      <c r="H8" s="25">
        <v>1</v>
      </c>
      <c r="I8" s="1"/>
      <c r="J8" s="24" t="s">
        <v>34</v>
      </c>
      <c r="K8" s="24" t="s">
        <v>3</v>
      </c>
      <c r="L8" s="1"/>
      <c r="M8" s="1"/>
      <c r="N8" s="18"/>
    </row>
    <row r="9" spans="2:14" ht="15" customHeight="1" x14ac:dyDescent="0.25">
      <c r="B9" s="20"/>
      <c r="C9" s="5" t="s">
        <v>94</v>
      </c>
      <c r="D9" s="6" t="s">
        <v>192</v>
      </c>
      <c r="E9" s="11">
        <v>0.19817599999999999</v>
      </c>
      <c r="F9" s="1"/>
      <c r="G9" s="1"/>
      <c r="H9" s="1"/>
      <c r="I9" s="1"/>
      <c r="J9" s="24" t="s">
        <v>32</v>
      </c>
      <c r="K9" s="29">
        <v>1.8523000000000001E-2</v>
      </c>
      <c r="L9" s="1"/>
      <c r="M9" s="1"/>
      <c r="N9" s="18"/>
    </row>
    <row r="10" spans="2:14" ht="15.75" customHeight="1" x14ac:dyDescent="0.25">
      <c r="B10" s="20"/>
      <c r="C10" s="7" t="s">
        <v>29</v>
      </c>
      <c r="D10" s="8"/>
      <c r="E10" s="12">
        <v>0.97208600000000001</v>
      </c>
      <c r="F10" s="1"/>
      <c r="G10" s="1"/>
      <c r="H10" s="1"/>
      <c r="I10" s="1"/>
      <c r="J10" s="24" t="s">
        <v>35</v>
      </c>
      <c r="K10" s="29">
        <v>9.391E-3</v>
      </c>
      <c r="L10" s="1"/>
      <c r="M10" s="1"/>
      <c r="N10" s="18"/>
    </row>
    <row r="11" spans="2:14" ht="15" customHeight="1" x14ac:dyDescent="0.25">
      <c r="B11" s="20"/>
      <c r="C11" s="5" t="s">
        <v>30</v>
      </c>
      <c r="D11" s="6"/>
      <c r="E11" s="11">
        <v>9.391E-3</v>
      </c>
      <c r="F11" s="1"/>
      <c r="G11" s="1"/>
      <c r="H11" s="1"/>
      <c r="I11" s="1"/>
      <c r="J11" s="24" t="s">
        <v>38</v>
      </c>
      <c r="K11" s="29">
        <v>0.97208600000000001</v>
      </c>
      <c r="L11" s="1"/>
      <c r="M11" s="1"/>
      <c r="N11" s="18"/>
    </row>
    <row r="12" spans="2:14" ht="15.75" customHeight="1" x14ac:dyDescent="0.25">
      <c r="B12" s="20"/>
      <c r="C12" s="7" t="s">
        <v>31</v>
      </c>
      <c r="D12" s="8"/>
      <c r="E12" s="12">
        <v>9.391E-3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32</v>
      </c>
      <c r="D14" s="8"/>
      <c r="E14" s="12">
        <v>1.8523000000000001E-2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7.0451995135933423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4.75" customHeight="1" thickBot="1" x14ac:dyDescent="0.3">
      <c r="B45" s="78" t="s">
        <v>323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2F71-DB33-4177-92A8-598A221B8837}">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95</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96</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97</v>
      </c>
      <c r="D8" s="6" t="s">
        <v>192</v>
      </c>
      <c r="E8" s="11">
        <v>0.129163</v>
      </c>
      <c r="F8" s="1"/>
      <c r="G8" s="24" t="s">
        <v>4</v>
      </c>
      <c r="H8" s="25">
        <v>1</v>
      </c>
      <c r="I8" s="1"/>
      <c r="J8" s="24" t="s">
        <v>34</v>
      </c>
      <c r="K8" s="24" t="s">
        <v>3</v>
      </c>
      <c r="L8" s="1"/>
      <c r="M8" s="1"/>
      <c r="N8" s="18"/>
    </row>
    <row r="9" spans="2:14" ht="15.75" customHeight="1" x14ac:dyDescent="0.25">
      <c r="B9" s="20"/>
      <c r="C9" s="7" t="s">
        <v>29</v>
      </c>
      <c r="D9" s="8"/>
      <c r="E9" s="12">
        <v>0.129163</v>
      </c>
      <c r="F9" s="1"/>
      <c r="G9" s="1"/>
      <c r="H9" s="1"/>
      <c r="I9" s="1"/>
      <c r="J9" s="24" t="s">
        <v>32</v>
      </c>
      <c r="K9" s="29">
        <v>1.9616000000000001E-2</v>
      </c>
      <c r="L9" s="1"/>
      <c r="M9" s="1"/>
      <c r="N9" s="18"/>
    </row>
    <row r="10" spans="2:14" ht="15" customHeight="1" x14ac:dyDescent="0.25">
      <c r="B10" s="20"/>
      <c r="C10" s="5" t="s">
        <v>272</v>
      </c>
      <c r="D10" s="6" t="s">
        <v>192</v>
      </c>
      <c r="E10" s="11">
        <v>0.15540699999999999</v>
      </c>
      <c r="F10" s="1"/>
      <c r="G10" s="1"/>
      <c r="H10" s="1"/>
      <c r="I10" s="1"/>
      <c r="J10" s="24" t="s">
        <v>35</v>
      </c>
      <c r="K10" s="29">
        <v>1.1481E-2</v>
      </c>
      <c r="L10" s="1"/>
      <c r="M10" s="1"/>
      <c r="N10" s="18"/>
    </row>
    <row r="11" spans="2:14" ht="15.75" customHeight="1" x14ac:dyDescent="0.25">
      <c r="B11" s="20"/>
      <c r="C11" s="5" t="s">
        <v>223</v>
      </c>
      <c r="D11" s="6" t="s">
        <v>192</v>
      </c>
      <c r="E11" s="11">
        <v>0.130161</v>
      </c>
      <c r="F11" s="1"/>
      <c r="G11" s="1"/>
      <c r="H11" s="1"/>
      <c r="I11" s="1"/>
      <c r="J11" s="24" t="s">
        <v>38</v>
      </c>
      <c r="K11" s="29">
        <v>0.129163</v>
      </c>
      <c r="L11" s="1"/>
      <c r="M11" s="1"/>
      <c r="N11" s="18"/>
    </row>
    <row r="12" spans="2:14" ht="15" customHeight="1" x14ac:dyDescent="0.25">
      <c r="B12" s="20"/>
      <c r="C12" s="5" t="s">
        <v>269</v>
      </c>
      <c r="D12" s="6" t="s">
        <v>192</v>
      </c>
      <c r="E12" s="11">
        <v>8.8541999999999996E-2</v>
      </c>
      <c r="F12" s="1"/>
      <c r="G12" s="1"/>
      <c r="H12" s="1"/>
      <c r="I12" s="1"/>
      <c r="J12" s="24" t="s">
        <v>47</v>
      </c>
      <c r="K12" s="29">
        <v>0.83974000000000004</v>
      </c>
      <c r="L12" s="1"/>
      <c r="M12" s="1"/>
      <c r="N12" s="18"/>
    </row>
    <row r="13" spans="2:14" ht="15.75" customHeight="1" x14ac:dyDescent="0.25">
      <c r="B13" s="20"/>
      <c r="C13" s="5" t="s">
        <v>229</v>
      </c>
      <c r="D13" s="6" t="s">
        <v>192</v>
      </c>
      <c r="E13" s="11">
        <v>5.4255999999999999E-2</v>
      </c>
      <c r="F13" s="1"/>
      <c r="G13" s="1"/>
      <c r="H13" s="1"/>
      <c r="I13" s="1"/>
      <c r="J13" s="1"/>
      <c r="K13" s="1"/>
      <c r="L13" s="1"/>
      <c r="M13" s="1"/>
      <c r="N13" s="18"/>
    </row>
    <row r="14" spans="2:14" ht="15" customHeight="1" x14ac:dyDescent="0.25">
      <c r="B14" s="20"/>
      <c r="C14" s="5" t="s">
        <v>279</v>
      </c>
      <c r="D14" s="6" t="s">
        <v>192</v>
      </c>
      <c r="E14" s="11">
        <v>4.4356E-2</v>
      </c>
      <c r="F14" s="1"/>
      <c r="G14" s="1"/>
      <c r="H14" s="1"/>
      <c r="I14" s="1"/>
      <c r="J14" s="1"/>
      <c r="K14" s="1"/>
      <c r="L14" s="1"/>
      <c r="M14" s="1"/>
      <c r="N14" s="18"/>
    </row>
    <row r="15" spans="2:14" ht="15.75" customHeight="1" x14ac:dyDescent="0.25">
      <c r="B15" s="20"/>
      <c r="C15" s="5" t="s">
        <v>266</v>
      </c>
      <c r="D15" s="6" t="s">
        <v>192</v>
      </c>
      <c r="E15" s="11">
        <v>4.4123000000000002E-2</v>
      </c>
      <c r="F15" s="1"/>
      <c r="G15" s="1"/>
      <c r="H15" s="1"/>
      <c r="I15" s="1"/>
      <c r="J15" s="1"/>
      <c r="K15" s="1"/>
      <c r="L15" s="1"/>
      <c r="M15" s="1"/>
      <c r="N15" s="18"/>
    </row>
    <row r="16" spans="2:14" ht="15" customHeight="1" x14ac:dyDescent="0.25">
      <c r="B16" s="20"/>
      <c r="C16" s="5" t="s">
        <v>270</v>
      </c>
      <c r="D16" s="6" t="s">
        <v>192</v>
      </c>
      <c r="E16" s="11">
        <v>4.4075000000000003E-2</v>
      </c>
      <c r="F16" s="1"/>
      <c r="G16" s="1"/>
      <c r="H16" s="1"/>
      <c r="I16" s="1"/>
      <c r="J16" s="1"/>
      <c r="K16" s="1"/>
      <c r="L16" s="1"/>
      <c r="M16" s="1"/>
      <c r="N16" s="18"/>
    </row>
    <row r="17" spans="2:14" ht="15" customHeight="1" x14ac:dyDescent="0.25">
      <c r="B17" s="20"/>
      <c r="C17" s="5" t="s">
        <v>265</v>
      </c>
      <c r="D17" s="6" t="s">
        <v>192</v>
      </c>
      <c r="E17" s="11">
        <v>4.3961E-2</v>
      </c>
      <c r="F17" s="1"/>
      <c r="G17" s="1"/>
      <c r="H17" s="1"/>
      <c r="I17" s="1"/>
      <c r="J17" s="1"/>
      <c r="K17" s="1"/>
      <c r="L17" s="1"/>
      <c r="M17" s="1"/>
      <c r="N17" s="18"/>
    </row>
    <row r="18" spans="2:14" ht="15" customHeight="1" x14ac:dyDescent="0.25">
      <c r="B18" s="20"/>
      <c r="C18" s="5" t="s">
        <v>271</v>
      </c>
      <c r="D18" s="6" t="s">
        <v>192</v>
      </c>
      <c r="E18" s="11">
        <v>3.5961E-2</v>
      </c>
      <c r="F18" s="1"/>
      <c r="G18" s="1"/>
      <c r="H18" s="1"/>
      <c r="I18" s="1"/>
      <c r="J18" s="1"/>
      <c r="K18" s="1"/>
      <c r="L18" s="1"/>
      <c r="M18" s="1"/>
      <c r="N18" s="18"/>
    </row>
    <row r="19" spans="2:14" ht="15" customHeight="1" x14ac:dyDescent="0.25">
      <c r="B19" s="20"/>
      <c r="C19" s="5" t="s">
        <v>275</v>
      </c>
      <c r="D19" s="6" t="s">
        <v>192</v>
      </c>
      <c r="E19" s="11">
        <v>3.5681999999999998E-2</v>
      </c>
      <c r="F19" s="1"/>
      <c r="G19" s="1"/>
      <c r="H19" s="1"/>
      <c r="I19" s="1"/>
      <c r="J19" s="1"/>
      <c r="K19" s="1"/>
      <c r="L19" s="1"/>
      <c r="M19" s="1"/>
      <c r="N19" s="18"/>
    </row>
    <row r="20" spans="2:14" ht="15" customHeight="1" x14ac:dyDescent="0.25">
      <c r="B20" s="20"/>
      <c r="C20" s="5" t="s">
        <v>273</v>
      </c>
      <c r="D20" s="6" t="s">
        <v>192</v>
      </c>
      <c r="E20" s="11">
        <v>3.5483000000000001E-2</v>
      </c>
      <c r="F20" s="1"/>
      <c r="G20" s="1"/>
      <c r="H20" s="1"/>
      <c r="I20" s="1"/>
      <c r="J20" s="1"/>
      <c r="K20" s="1"/>
      <c r="L20" s="1"/>
      <c r="M20" s="1"/>
      <c r="N20" s="18"/>
    </row>
    <row r="21" spans="2:14" ht="15" customHeight="1" x14ac:dyDescent="0.25">
      <c r="B21" s="20"/>
      <c r="C21" s="5" t="s">
        <v>228</v>
      </c>
      <c r="D21" s="6" t="s">
        <v>192</v>
      </c>
      <c r="E21" s="11">
        <v>3.099E-2</v>
      </c>
      <c r="F21" s="1"/>
      <c r="G21" s="1"/>
      <c r="H21" s="1"/>
      <c r="I21" s="1"/>
      <c r="J21" s="1"/>
      <c r="K21" s="1"/>
      <c r="L21" s="1"/>
      <c r="M21" s="1"/>
      <c r="N21" s="18"/>
    </row>
    <row r="22" spans="2:14" ht="15" customHeight="1" x14ac:dyDescent="0.25">
      <c r="B22" s="20"/>
      <c r="C22" s="5" t="s">
        <v>274</v>
      </c>
      <c r="D22" s="6" t="s">
        <v>192</v>
      </c>
      <c r="E22" s="11">
        <v>3.0279E-2</v>
      </c>
      <c r="F22" s="1"/>
      <c r="G22" s="1"/>
      <c r="H22" s="1"/>
      <c r="I22" s="1"/>
      <c r="J22" s="1"/>
      <c r="K22" s="1"/>
      <c r="L22" s="1"/>
      <c r="M22" s="1"/>
      <c r="N22" s="18"/>
    </row>
    <row r="23" spans="2:14" ht="15" customHeight="1" x14ac:dyDescent="0.25">
      <c r="B23" s="20"/>
      <c r="C23" s="5" t="s">
        <v>264</v>
      </c>
      <c r="D23" s="6" t="s">
        <v>192</v>
      </c>
      <c r="E23" s="11">
        <v>2.1714000000000001E-2</v>
      </c>
      <c r="F23" s="1"/>
      <c r="G23" s="1"/>
      <c r="H23" s="1"/>
      <c r="I23" s="1"/>
      <c r="J23" s="1"/>
      <c r="K23" s="1"/>
      <c r="L23" s="1"/>
      <c r="M23" s="1"/>
      <c r="N23" s="18"/>
    </row>
    <row r="24" spans="2:14" ht="15" customHeight="1" x14ac:dyDescent="0.25">
      <c r="B24" s="20"/>
      <c r="C24" s="5" t="s">
        <v>277</v>
      </c>
      <c r="D24" s="6" t="s">
        <v>192</v>
      </c>
      <c r="E24" s="11">
        <v>1.7621999999999999E-2</v>
      </c>
      <c r="F24" s="1"/>
      <c r="G24" s="86" t="s">
        <v>6</v>
      </c>
      <c r="H24" s="87"/>
      <c r="I24" s="87"/>
      <c r="J24" s="87"/>
      <c r="K24" s="87"/>
      <c r="L24" s="38">
        <v>1.8979429799994212</v>
      </c>
      <c r="M24" s="27"/>
      <c r="N24" s="28"/>
    </row>
    <row r="25" spans="2:14" ht="15" customHeight="1" x14ac:dyDescent="0.25">
      <c r="B25" s="20"/>
      <c r="C25" s="5" t="s">
        <v>276</v>
      </c>
      <c r="D25" s="6" t="s">
        <v>192</v>
      </c>
      <c r="E25" s="11">
        <v>8.8140000000000007E-3</v>
      </c>
      <c r="F25" s="1"/>
      <c r="G25" s="1"/>
      <c r="H25" s="1"/>
      <c r="I25" s="1"/>
      <c r="J25" s="1"/>
      <c r="K25" s="1"/>
      <c r="L25" s="1"/>
      <c r="M25" s="1"/>
      <c r="N25" s="18"/>
    </row>
    <row r="26" spans="2:14" ht="15" customHeight="1" x14ac:dyDescent="0.25">
      <c r="B26" s="20"/>
      <c r="C26" s="5" t="s">
        <v>278</v>
      </c>
      <c r="D26" s="6" t="s">
        <v>192</v>
      </c>
      <c r="E26" s="11">
        <v>8.8120000000000004E-3</v>
      </c>
      <c r="F26" s="1"/>
      <c r="G26" s="86" t="s">
        <v>7</v>
      </c>
      <c r="H26" s="87"/>
      <c r="I26" s="87"/>
      <c r="J26" s="87"/>
      <c r="K26" s="87"/>
      <c r="L26" s="87"/>
      <c r="M26" s="87"/>
      <c r="N26" s="88"/>
    </row>
    <row r="27" spans="2:14" ht="15" customHeight="1" x14ac:dyDescent="0.25">
      <c r="B27" s="20"/>
      <c r="C27" s="5" t="s">
        <v>268</v>
      </c>
      <c r="D27" s="6" t="s">
        <v>192</v>
      </c>
      <c r="E27" s="11">
        <v>5.1219999999999998E-3</v>
      </c>
      <c r="F27" s="1"/>
      <c r="G27" s="1"/>
      <c r="H27" s="1"/>
      <c r="I27" s="1"/>
      <c r="J27" s="1"/>
      <c r="K27" s="1"/>
      <c r="L27" s="1"/>
      <c r="M27" s="1"/>
      <c r="N27" s="18"/>
    </row>
    <row r="28" spans="2:14" ht="15" customHeight="1" x14ac:dyDescent="0.25">
      <c r="B28" s="20"/>
      <c r="C28" s="5" t="s">
        <v>267</v>
      </c>
      <c r="D28" s="6" t="s">
        <v>192</v>
      </c>
      <c r="E28" s="11">
        <v>4.3800000000000002E-3</v>
      </c>
      <c r="F28" s="1"/>
      <c r="G28" s="1"/>
      <c r="H28" s="1"/>
      <c r="I28" s="1"/>
      <c r="J28" s="1"/>
      <c r="K28" s="1"/>
      <c r="L28" s="1"/>
      <c r="M28" s="1"/>
      <c r="N28" s="18"/>
    </row>
    <row r="29" spans="2:14" ht="15" customHeight="1" x14ac:dyDescent="0.25">
      <c r="B29" s="20"/>
      <c r="C29" s="7" t="s">
        <v>46</v>
      </c>
      <c r="D29" s="8"/>
      <c r="E29" s="12">
        <v>0.83974000000000004</v>
      </c>
      <c r="F29" s="1"/>
      <c r="G29" s="1"/>
      <c r="H29" s="1"/>
      <c r="I29" s="1"/>
      <c r="J29" s="1"/>
      <c r="K29" s="1"/>
      <c r="L29" s="1"/>
      <c r="M29" s="1"/>
      <c r="N29" s="18"/>
    </row>
    <row r="30" spans="2:14" ht="15" customHeight="1" x14ac:dyDescent="0.25">
      <c r="B30" s="20"/>
      <c r="C30" s="5" t="s">
        <v>30</v>
      </c>
      <c r="D30" s="6"/>
      <c r="E30" s="11">
        <v>1.1481E-2</v>
      </c>
      <c r="F30" s="1"/>
      <c r="G30" s="1"/>
      <c r="H30" s="1"/>
      <c r="I30" s="1"/>
      <c r="J30" s="1"/>
      <c r="K30" s="1"/>
      <c r="L30" s="1"/>
      <c r="M30" s="1"/>
      <c r="N30" s="18"/>
    </row>
    <row r="31" spans="2:14" ht="15" customHeight="1" x14ac:dyDescent="0.25">
      <c r="B31" s="20"/>
      <c r="C31" s="7" t="s">
        <v>31</v>
      </c>
      <c r="D31" s="8"/>
      <c r="E31" s="12">
        <v>1.1481E-2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32</v>
      </c>
      <c r="D33" s="8"/>
      <c r="E33" s="12">
        <v>1.9616000000000001E-2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33</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78" t="s">
        <v>323</v>
      </c>
      <c r="C45" s="79"/>
      <c r="D45" s="79"/>
      <c r="E45" s="79"/>
      <c r="F45" s="79"/>
      <c r="G45" s="79"/>
      <c r="H45" s="79"/>
      <c r="I45" s="79"/>
      <c r="J45" s="79"/>
      <c r="K45" s="79"/>
      <c r="L45" s="79"/>
      <c r="M45" s="79"/>
      <c r="N45" s="80"/>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D550-42EE-4E4E-B97C-326AB3315254}">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99</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100</v>
      </c>
      <c r="D8" s="6" t="s">
        <v>192</v>
      </c>
      <c r="E8" s="11">
        <v>6.2783000000000005E-2</v>
      </c>
      <c r="F8" s="1"/>
      <c r="G8" s="24" t="s">
        <v>4</v>
      </c>
      <c r="H8" s="25">
        <v>1</v>
      </c>
      <c r="I8" s="1"/>
      <c r="J8" s="24" t="s">
        <v>34</v>
      </c>
      <c r="K8" s="24" t="s">
        <v>3</v>
      </c>
      <c r="L8" s="1"/>
      <c r="M8" s="1"/>
      <c r="N8" s="18"/>
    </row>
    <row r="9" spans="2:14" ht="15.75" customHeight="1" x14ac:dyDescent="0.25">
      <c r="B9" s="20"/>
      <c r="C9" s="7" t="s">
        <v>29</v>
      </c>
      <c r="D9" s="8"/>
      <c r="E9" s="12">
        <v>6.2783000000000005E-2</v>
      </c>
      <c r="F9" s="1"/>
      <c r="G9" s="1"/>
      <c r="H9" s="1"/>
      <c r="I9" s="1"/>
      <c r="J9" s="24" t="s">
        <v>32</v>
      </c>
      <c r="K9" s="29">
        <v>1.5701E-2</v>
      </c>
      <c r="L9" s="1"/>
      <c r="M9" s="1"/>
      <c r="N9" s="18"/>
    </row>
    <row r="10" spans="2:14" ht="15" customHeight="1" x14ac:dyDescent="0.25">
      <c r="B10" s="20"/>
      <c r="C10" s="5" t="s">
        <v>282</v>
      </c>
      <c r="D10" s="6" t="s">
        <v>192</v>
      </c>
      <c r="E10" s="11">
        <v>0.19467000000000001</v>
      </c>
      <c r="F10" s="1"/>
      <c r="G10" s="1"/>
      <c r="H10" s="1"/>
      <c r="I10" s="1"/>
      <c r="J10" s="24" t="s">
        <v>35</v>
      </c>
      <c r="K10" s="29">
        <v>2.8881E-2</v>
      </c>
      <c r="L10" s="1"/>
      <c r="M10" s="1"/>
      <c r="N10" s="18"/>
    </row>
    <row r="11" spans="2:14" ht="15.75" customHeight="1" x14ac:dyDescent="0.25">
      <c r="B11" s="20"/>
      <c r="C11" s="5" t="s">
        <v>260</v>
      </c>
      <c r="D11" s="6" t="s">
        <v>192</v>
      </c>
      <c r="E11" s="11">
        <v>0.17016200000000001</v>
      </c>
      <c r="F11" s="1"/>
      <c r="G11" s="1"/>
      <c r="H11" s="1"/>
      <c r="I11" s="1"/>
      <c r="J11" s="24" t="s">
        <v>38</v>
      </c>
      <c r="K11" s="29">
        <v>6.2783000000000005E-2</v>
      </c>
      <c r="L11" s="1"/>
      <c r="M11" s="1"/>
      <c r="N11" s="18"/>
    </row>
    <row r="12" spans="2:14" ht="15" customHeight="1" x14ac:dyDescent="0.25">
      <c r="B12" s="20"/>
      <c r="C12" s="5" t="s">
        <v>280</v>
      </c>
      <c r="D12" s="6" t="s">
        <v>192</v>
      </c>
      <c r="E12" s="11">
        <v>0.14715600000000001</v>
      </c>
      <c r="F12" s="1"/>
      <c r="G12" s="1"/>
      <c r="H12" s="1"/>
      <c r="I12" s="1"/>
      <c r="J12" s="24" t="s">
        <v>47</v>
      </c>
      <c r="K12" s="29">
        <v>0.89263499999999996</v>
      </c>
      <c r="L12" s="1"/>
      <c r="M12" s="1"/>
      <c r="N12" s="18"/>
    </row>
    <row r="13" spans="2:14" ht="15.75" customHeight="1" x14ac:dyDescent="0.25">
      <c r="B13" s="20"/>
      <c r="C13" s="5" t="s">
        <v>288</v>
      </c>
      <c r="D13" s="6" t="s">
        <v>192</v>
      </c>
      <c r="E13" s="11">
        <v>0.133935</v>
      </c>
      <c r="F13" s="1"/>
      <c r="G13" s="1"/>
      <c r="H13" s="1"/>
      <c r="I13" s="1"/>
      <c r="J13" s="1"/>
      <c r="K13" s="1"/>
      <c r="L13" s="1"/>
      <c r="M13" s="1"/>
      <c r="N13" s="18"/>
    </row>
    <row r="14" spans="2:14" ht="15" customHeight="1" x14ac:dyDescent="0.25">
      <c r="B14" s="20"/>
      <c r="C14" s="5" t="s">
        <v>285</v>
      </c>
      <c r="D14" s="6" t="s">
        <v>192</v>
      </c>
      <c r="E14" s="11">
        <v>6.6942000000000002E-2</v>
      </c>
      <c r="F14" s="1"/>
      <c r="G14" s="1"/>
      <c r="H14" s="1"/>
      <c r="I14" s="1"/>
      <c r="J14" s="1"/>
      <c r="K14" s="1"/>
      <c r="L14" s="1"/>
      <c r="M14" s="1"/>
      <c r="N14" s="18"/>
    </row>
    <row r="15" spans="2:14" ht="15.75" customHeight="1" x14ac:dyDescent="0.25">
      <c r="B15" s="20"/>
      <c r="C15" s="5" t="s">
        <v>283</v>
      </c>
      <c r="D15" s="6" t="s">
        <v>192</v>
      </c>
      <c r="E15" s="11">
        <v>6.5236000000000002E-2</v>
      </c>
      <c r="F15" s="1"/>
      <c r="G15" s="1"/>
      <c r="H15" s="1"/>
      <c r="I15" s="1"/>
      <c r="J15" s="1"/>
      <c r="K15" s="1"/>
      <c r="L15" s="1"/>
      <c r="M15" s="1"/>
      <c r="N15" s="18"/>
    </row>
    <row r="16" spans="2:14" ht="15" customHeight="1" x14ac:dyDescent="0.25">
      <c r="B16" s="20"/>
      <c r="C16" s="5" t="s">
        <v>284</v>
      </c>
      <c r="D16" s="6" t="s">
        <v>192</v>
      </c>
      <c r="E16" s="11">
        <v>4.0190999999999998E-2</v>
      </c>
      <c r="F16" s="1"/>
      <c r="G16" s="1"/>
      <c r="H16" s="1"/>
      <c r="I16" s="1"/>
      <c r="J16" s="1"/>
      <c r="K16" s="1"/>
      <c r="L16" s="1"/>
      <c r="M16" s="1"/>
      <c r="N16" s="18"/>
    </row>
    <row r="17" spans="2:14" ht="15" customHeight="1" x14ac:dyDescent="0.25">
      <c r="B17" s="20"/>
      <c r="C17" s="5" t="s">
        <v>287</v>
      </c>
      <c r="D17" s="6" t="s">
        <v>192</v>
      </c>
      <c r="E17" s="11">
        <v>3.3450000000000001E-2</v>
      </c>
      <c r="F17" s="1"/>
      <c r="G17" s="1"/>
      <c r="H17" s="1"/>
      <c r="I17" s="1"/>
      <c r="J17" s="1"/>
      <c r="K17" s="1"/>
      <c r="L17" s="1"/>
      <c r="M17" s="1"/>
      <c r="N17" s="18"/>
    </row>
    <row r="18" spans="2:14" ht="15" customHeight="1" x14ac:dyDescent="0.25">
      <c r="B18" s="20"/>
      <c r="C18" s="5" t="s">
        <v>286</v>
      </c>
      <c r="D18" s="6" t="s">
        <v>192</v>
      </c>
      <c r="E18" s="11">
        <v>3.0089000000000001E-2</v>
      </c>
      <c r="F18" s="1"/>
      <c r="G18" s="1"/>
      <c r="H18" s="1"/>
      <c r="I18" s="1"/>
      <c r="J18" s="1"/>
      <c r="K18" s="1"/>
      <c r="L18" s="1"/>
      <c r="M18" s="1"/>
      <c r="N18" s="18"/>
    </row>
    <row r="19" spans="2:14" ht="15" customHeight="1" x14ac:dyDescent="0.25">
      <c r="B19" s="20"/>
      <c r="C19" s="5" t="s">
        <v>208</v>
      </c>
      <c r="D19" s="6" t="s">
        <v>192</v>
      </c>
      <c r="E19" s="11">
        <v>6.7330000000000003E-3</v>
      </c>
      <c r="F19" s="1"/>
      <c r="G19" s="1"/>
      <c r="H19" s="1"/>
      <c r="I19" s="1"/>
      <c r="J19" s="1"/>
      <c r="K19" s="1"/>
      <c r="L19" s="1"/>
      <c r="M19" s="1"/>
      <c r="N19" s="18"/>
    </row>
    <row r="20" spans="2:14" ht="15" customHeight="1" x14ac:dyDescent="0.25">
      <c r="B20" s="20"/>
      <c r="C20" s="5" t="s">
        <v>281</v>
      </c>
      <c r="D20" s="6" t="s">
        <v>192</v>
      </c>
      <c r="E20" s="11">
        <v>4.071E-3</v>
      </c>
      <c r="F20" s="1"/>
      <c r="G20" s="1"/>
      <c r="H20" s="1"/>
      <c r="I20" s="1"/>
      <c r="J20" s="1"/>
      <c r="K20" s="1"/>
      <c r="L20" s="1"/>
      <c r="M20" s="1"/>
      <c r="N20" s="18"/>
    </row>
    <row r="21" spans="2:14" ht="15" customHeight="1" x14ac:dyDescent="0.25">
      <c r="B21" s="20"/>
      <c r="C21" s="7" t="s">
        <v>46</v>
      </c>
      <c r="D21" s="8"/>
      <c r="E21" s="12">
        <v>0.89263499999999996</v>
      </c>
      <c r="F21" s="1"/>
      <c r="G21" s="1"/>
      <c r="H21" s="1"/>
      <c r="I21" s="1"/>
      <c r="J21" s="1"/>
      <c r="K21" s="1"/>
      <c r="L21" s="1"/>
      <c r="M21" s="1"/>
      <c r="N21" s="18"/>
    </row>
    <row r="22" spans="2:14" ht="15" customHeight="1" x14ac:dyDescent="0.25">
      <c r="B22" s="20"/>
      <c r="C22" s="5" t="s">
        <v>30</v>
      </c>
      <c r="D22" s="6"/>
      <c r="E22" s="11">
        <v>2.8881E-2</v>
      </c>
      <c r="F22" s="1"/>
      <c r="G22" s="1"/>
      <c r="H22" s="1"/>
      <c r="I22" s="1"/>
      <c r="J22" s="1"/>
      <c r="K22" s="1"/>
      <c r="L22" s="1"/>
      <c r="M22" s="1"/>
      <c r="N22" s="18"/>
    </row>
    <row r="23" spans="2:14" ht="15" customHeight="1" x14ac:dyDescent="0.25">
      <c r="B23" s="20"/>
      <c r="C23" s="7" t="s">
        <v>31</v>
      </c>
      <c r="D23" s="8"/>
      <c r="E23" s="12">
        <v>2.8881E-2</v>
      </c>
      <c r="F23" s="1"/>
      <c r="G23" s="1"/>
      <c r="H23" s="1"/>
      <c r="I23" s="1"/>
      <c r="J23" s="1"/>
      <c r="K23" s="1"/>
      <c r="L23" s="1"/>
      <c r="M23" s="1"/>
      <c r="N23" s="18"/>
    </row>
    <row r="24" spans="2:14" ht="15" customHeight="1" x14ac:dyDescent="0.25">
      <c r="B24" s="20"/>
      <c r="C24" s="5"/>
      <c r="D24" s="6"/>
      <c r="E24" s="11"/>
      <c r="F24" s="1"/>
      <c r="G24" s="86" t="s">
        <v>6</v>
      </c>
      <c r="H24" s="87"/>
      <c r="I24" s="87"/>
      <c r="J24" s="87"/>
      <c r="K24" s="87"/>
      <c r="L24" s="38">
        <v>2.6908950679515664</v>
      </c>
      <c r="M24" s="27"/>
      <c r="N24" s="28"/>
    </row>
    <row r="25" spans="2:14" ht="15" customHeight="1" x14ac:dyDescent="0.25">
      <c r="B25" s="20"/>
      <c r="C25" s="7" t="s">
        <v>32</v>
      </c>
      <c r="D25" s="8"/>
      <c r="E25" s="12">
        <v>1.5701E-2</v>
      </c>
      <c r="F25" s="1"/>
      <c r="G25" s="1"/>
      <c r="H25" s="1"/>
      <c r="I25" s="1"/>
      <c r="J25" s="1"/>
      <c r="K25" s="1"/>
      <c r="L25" s="1"/>
      <c r="M25" s="1"/>
      <c r="N25" s="18"/>
    </row>
    <row r="26" spans="2:14" ht="15" customHeight="1" x14ac:dyDescent="0.25">
      <c r="B26" s="20"/>
      <c r="C26" s="5"/>
      <c r="D26" s="6"/>
      <c r="E26" s="11"/>
      <c r="F26" s="1"/>
      <c r="G26" s="86" t="s">
        <v>7</v>
      </c>
      <c r="H26" s="87"/>
      <c r="I26" s="87"/>
      <c r="J26" s="87"/>
      <c r="K26" s="87"/>
      <c r="L26" s="87"/>
      <c r="M26" s="87"/>
      <c r="N26" s="88"/>
    </row>
    <row r="27" spans="2:14" ht="15" customHeight="1" x14ac:dyDescent="0.25">
      <c r="B27" s="20"/>
      <c r="C27" s="9" t="s">
        <v>33</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78" t="s">
        <v>323</v>
      </c>
      <c r="C45" s="79"/>
      <c r="D45" s="79"/>
      <c r="E45" s="79"/>
      <c r="F45" s="79"/>
      <c r="G45" s="79"/>
      <c r="H45" s="79"/>
      <c r="I45" s="79"/>
      <c r="J45" s="79"/>
      <c r="K45" s="79"/>
      <c r="L45" s="79"/>
      <c r="M45" s="79"/>
      <c r="N45" s="80"/>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5465-415E-4ADB-ADF2-A859CDCD8815}">
  <dimension ref="B1:N50"/>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92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93</v>
      </c>
      <c r="D8" s="6" t="s">
        <v>192</v>
      </c>
      <c r="E8" s="11">
        <v>0.12754099999999999</v>
      </c>
      <c r="F8" s="1"/>
      <c r="G8" s="24" t="s">
        <v>4</v>
      </c>
      <c r="H8" s="25">
        <v>1</v>
      </c>
      <c r="I8" s="1"/>
      <c r="J8" s="24" t="s">
        <v>34</v>
      </c>
      <c r="K8" s="24" t="s">
        <v>3</v>
      </c>
      <c r="L8" s="1"/>
      <c r="M8" s="1"/>
      <c r="N8" s="18"/>
    </row>
    <row r="9" spans="2:14" ht="15" customHeight="1" x14ac:dyDescent="0.25">
      <c r="B9" s="20"/>
      <c r="C9" s="5" t="s">
        <v>94</v>
      </c>
      <c r="D9" s="6" t="s">
        <v>192</v>
      </c>
      <c r="E9" s="11">
        <v>8.8450000000000004E-3</v>
      </c>
      <c r="F9" s="1"/>
      <c r="G9" s="1"/>
      <c r="H9" s="1"/>
      <c r="I9" s="1"/>
      <c r="J9" s="24" t="s">
        <v>32</v>
      </c>
      <c r="K9" s="29">
        <v>1.4234E-2</v>
      </c>
      <c r="L9" s="1"/>
      <c r="M9" s="1"/>
      <c r="N9" s="18"/>
    </row>
    <row r="10" spans="2:14" ht="15.75" customHeight="1" x14ac:dyDescent="0.25">
      <c r="B10" s="20"/>
      <c r="C10" s="7" t="s">
        <v>29</v>
      </c>
      <c r="D10" s="8"/>
      <c r="E10" s="12">
        <v>0.13638600000000001</v>
      </c>
      <c r="F10" s="1"/>
      <c r="G10" s="1"/>
      <c r="H10" s="1"/>
      <c r="I10" s="1"/>
      <c r="J10" s="24" t="s">
        <v>35</v>
      </c>
      <c r="K10" s="29">
        <v>3.3019999999999998E-3</v>
      </c>
      <c r="L10" s="1"/>
      <c r="M10" s="1"/>
      <c r="N10" s="18"/>
    </row>
    <row r="11" spans="2:14" ht="15" customHeight="1" x14ac:dyDescent="0.25">
      <c r="B11" s="20"/>
      <c r="C11" s="5" t="s">
        <v>294</v>
      </c>
      <c r="D11" s="6" t="s">
        <v>192</v>
      </c>
      <c r="E11" s="11">
        <v>0.185474</v>
      </c>
      <c r="F11" s="1"/>
      <c r="G11" s="1"/>
      <c r="H11" s="1"/>
      <c r="I11" s="1"/>
      <c r="J11" s="24" t="s">
        <v>38</v>
      </c>
      <c r="K11" s="29">
        <v>0.13638600000000001</v>
      </c>
      <c r="L11" s="1"/>
      <c r="M11" s="1"/>
      <c r="N11" s="18"/>
    </row>
    <row r="12" spans="2:14" ht="15.75" customHeight="1" x14ac:dyDescent="0.25">
      <c r="B12" s="20"/>
      <c r="C12" s="5" t="s">
        <v>314</v>
      </c>
      <c r="D12" s="6" t="s">
        <v>192</v>
      </c>
      <c r="E12" s="11">
        <v>9.5027E-2</v>
      </c>
      <c r="F12" s="1"/>
      <c r="G12" s="1"/>
      <c r="H12" s="1"/>
      <c r="I12" s="1"/>
      <c r="J12" s="24" t="s">
        <v>47</v>
      </c>
      <c r="K12" s="29">
        <v>0.846078</v>
      </c>
      <c r="L12" s="1"/>
      <c r="M12" s="1"/>
      <c r="N12" s="18"/>
    </row>
    <row r="13" spans="2:14" ht="15" customHeight="1" x14ac:dyDescent="0.25">
      <c r="B13" s="20"/>
      <c r="C13" s="5" t="s">
        <v>315</v>
      </c>
      <c r="D13" s="6" t="s">
        <v>192</v>
      </c>
      <c r="E13" s="11">
        <v>9.4988000000000003E-2</v>
      </c>
      <c r="F13" s="1"/>
      <c r="G13" s="1"/>
      <c r="H13" s="1"/>
      <c r="I13" s="1"/>
      <c r="J13" s="1"/>
      <c r="K13" s="1"/>
      <c r="L13" s="1"/>
      <c r="M13" s="1"/>
      <c r="N13" s="18"/>
    </row>
    <row r="14" spans="2:14" ht="15.75" customHeight="1" x14ac:dyDescent="0.25">
      <c r="B14" s="20"/>
      <c r="C14" s="5" t="s">
        <v>312</v>
      </c>
      <c r="D14" s="6" t="s">
        <v>192</v>
      </c>
      <c r="E14" s="11">
        <v>7.9879000000000006E-2</v>
      </c>
      <c r="F14" s="1"/>
      <c r="G14" s="1"/>
      <c r="H14" s="1"/>
      <c r="I14" s="1"/>
      <c r="J14" s="1"/>
      <c r="K14" s="1"/>
      <c r="L14" s="1"/>
      <c r="M14" s="1"/>
      <c r="N14" s="18"/>
    </row>
    <row r="15" spans="2:14" ht="15" customHeight="1" x14ac:dyDescent="0.25">
      <c r="B15" s="20"/>
      <c r="C15" s="5" t="s">
        <v>299</v>
      </c>
      <c r="D15" s="6" t="s">
        <v>192</v>
      </c>
      <c r="E15" s="11">
        <v>5.7346000000000001E-2</v>
      </c>
      <c r="F15" s="1"/>
      <c r="G15" s="1"/>
      <c r="H15" s="1"/>
      <c r="I15" s="1"/>
      <c r="J15" s="1"/>
      <c r="K15" s="1"/>
      <c r="L15" s="1"/>
      <c r="M15" s="1"/>
      <c r="N15" s="18"/>
    </row>
    <row r="16" spans="2:14" ht="15.75" customHeight="1" x14ac:dyDescent="0.25">
      <c r="B16" s="20"/>
      <c r="C16" s="5" t="s">
        <v>313</v>
      </c>
      <c r="D16" s="6" t="s">
        <v>192</v>
      </c>
      <c r="E16" s="11">
        <v>5.3286E-2</v>
      </c>
      <c r="F16" s="1"/>
      <c r="G16" s="1"/>
      <c r="H16" s="1"/>
      <c r="I16" s="1"/>
      <c r="J16" s="1"/>
      <c r="K16" s="1"/>
      <c r="L16" s="1"/>
      <c r="M16" s="1"/>
      <c r="N16" s="18"/>
    </row>
    <row r="17" spans="2:14" ht="15" customHeight="1" x14ac:dyDescent="0.25">
      <c r="B17" s="20"/>
      <c r="C17" s="5" t="s">
        <v>310</v>
      </c>
      <c r="D17" s="6" t="s">
        <v>192</v>
      </c>
      <c r="E17" s="11">
        <v>4.3511000000000001E-2</v>
      </c>
      <c r="F17" s="1"/>
      <c r="G17" s="1"/>
      <c r="H17" s="1"/>
      <c r="I17" s="1"/>
      <c r="J17" s="1"/>
      <c r="K17" s="1"/>
      <c r="L17" s="1"/>
      <c r="M17" s="1"/>
      <c r="N17" s="18"/>
    </row>
    <row r="18" spans="2:14" ht="15" customHeight="1" x14ac:dyDescent="0.25">
      <c r="B18" s="20"/>
      <c r="C18" s="5" t="s">
        <v>302</v>
      </c>
      <c r="D18" s="6" t="s">
        <v>192</v>
      </c>
      <c r="E18" s="11">
        <v>2.7888E-2</v>
      </c>
      <c r="F18" s="1"/>
      <c r="G18" s="1"/>
      <c r="H18" s="1"/>
      <c r="I18" s="1"/>
      <c r="J18" s="1"/>
      <c r="K18" s="1"/>
      <c r="L18" s="1"/>
      <c r="M18" s="1"/>
      <c r="N18" s="18"/>
    </row>
    <row r="19" spans="2:14" ht="15" customHeight="1" x14ac:dyDescent="0.25">
      <c r="B19" s="20"/>
      <c r="C19" s="5" t="s">
        <v>305</v>
      </c>
      <c r="D19" s="6" t="s">
        <v>192</v>
      </c>
      <c r="E19" s="11">
        <v>2.155E-2</v>
      </c>
      <c r="F19" s="1"/>
      <c r="G19" s="1"/>
      <c r="H19" s="1"/>
      <c r="I19" s="1"/>
      <c r="J19" s="1"/>
      <c r="K19" s="1"/>
      <c r="L19" s="1"/>
      <c r="M19" s="1"/>
      <c r="N19" s="18"/>
    </row>
    <row r="20" spans="2:14" ht="15" customHeight="1" x14ac:dyDescent="0.25">
      <c r="B20" s="20"/>
      <c r="C20" s="5" t="s">
        <v>306</v>
      </c>
      <c r="D20" s="6" t="s">
        <v>192</v>
      </c>
      <c r="E20" s="11">
        <v>1.9029999999999998E-2</v>
      </c>
      <c r="F20" s="1"/>
      <c r="G20" s="1"/>
      <c r="H20" s="1"/>
      <c r="I20" s="1"/>
      <c r="J20" s="1"/>
      <c r="K20" s="1"/>
      <c r="L20" s="1"/>
      <c r="M20" s="1"/>
      <c r="N20" s="18"/>
    </row>
    <row r="21" spans="2:14" ht="15" customHeight="1" x14ac:dyDescent="0.25">
      <c r="B21" s="20"/>
      <c r="C21" s="5" t="s">
        <v>304</v>
      </c>
      <c r="D21" s="6" t="s">
        <v>192</v>
      </c>
      <c r="E21" s="11">
        <v>1.8397E-2</v>
      </c>
      <c r="F21" s="1"/>
      <c r="G21" s="1"/>
      <c r="H21" s="1"/>
      <c r="I21" s="1"/>
      <c r="J21" s="1"/>
      <c r="K21" s="1"/>
      <c r="L21" s="1"/>
      <c r="M21" s="1"/>
      <c r="N21" s="18"/>
    </row>
    <row r="22" spans="2:14" ht="15" customHeight="1" x14ac:dyDescent="0.25">
      <c r="B22" s="20"/>
      <c r="C22" s="5" t="s">
        <v>293</v>
      </c>
      <c r="D22" s="6" t="s">
        <v>192</v>
      </c>
      <c r="E22" s="11">
        <v>1.8374000000000001E-2</v>
      </c>
      <c r="F22" s="1"/>
      <c r="G22" s="1"/>
      <c r="H22" s="1"/>
      <c r="I22" s="1"/>
      <c r="J22" s="1"/>
      <c r="K22" s="1"/>
      <c r="L22" s="1"/>
      <c r="M22" s="1"/>
      <c r="N22" s="18"/>
    </row>
    <row r="23" spans="2:14" ht="15" customHeight="1" x14ac:dyDescent="0.25">
      <c r="B23" s="20"/>
      <c r="C23" s="5" t="s">
        <v>297</v>
      </c>
      <c r="D23" s="6" t="s">
        <v>192</v>
      </c>
      <c r="E23" s="11">
        <v>1.8367999999999999E-2</v>
      </c>
      <c r="F23" s="1"/>
      <c r="G23" s="1"/>
      <c r="H23" s="1"/>
      <c r="I23" s="1"/>
      <c r="J23" s="1"/>
      <c r="K23" s="1"/>
      <c r="L23" s="1"/>
      <c r="M23" s="1"/>
      <c r="N23" s="18"/>
    </row>
    <row r="24" spans="2:14" ht="15" customHeight="1" x14ac:dyDescent="0.25">
      <c r="B24" s="20"/>
      <c r="C24" s="5" t="s">
        <v>292</v>
      </c>
      <c r="D24" s="6" t="s">
        <v>192</v>
      </c>
      <c r="E24" s="11">
        <v>1.7298999999999998E-2</v>
      </c>
      <c r="F24" s="1"/>
      <c r="G24" s="86" t="s">
        <v>6</v>
      </c>
      <c r="H24" s="87"/>
      <c r="I24" s="87"/>
      <c r="J24" s="87"/>
      <c r="K24" s="87"/>
      <c r="L24" s="38">
        <v>7.2508018159552101</v>
      </c>
      <c r="M24" s="27"/>
      <c r="N24" s="28"/>
    </row>
    <row r="25" spans="2:14" ht="15" customHeight="1" x14ac:dyDescent="0.25">
      <c r="B25" s="20"/>
      <c r="C25" s="5" t="s">
        <v>289</v>
      </c>
      <c r="D25" s="6" t="s">
        <v>192</v>
      </c>
      <c r="E25" s="11">
        <v>9.6080000000000002E-3</v>
      </c>
      <c r="F25" s="1"/>
      <c r="G25" s="1"/>
      <c r="H25" s="1"/>
      <c r="I25" s="1"/>
      <c r="J25" s="1"/>
      <c r="K25" s="1"/>
      <c r="L25" s="1"/>
      <c r="M25" s="1"/>
      <c r="N25" s="18"/>
    </row>
    <row r="26" spans="2:14" ht="15" customHeight="1" x14ac:dyDescent="0.25">
      <c r="B26" s="20"/>
      <c r="C26" s="5" t="s">
        <v>303</v>
      </c>
      <c r="D26" s="6" t="s">
        <v>192</v>
      </c>
      <c r="E26" s="11">
        <v>9.5589999999999998E-3</v>
      </c>
      <c r="F26" s="1"/>
      <c r="G26" s="86" t="s">
        <v>7</v>
      </c>
      <c r="H26" s="87"/>
      <c r="I26" s="87"/>
      <c r="J26" s="87"/>
      <c r="K26" s="87"/>
      <c r="L26" s="87"/>
      <c r="M26" s="87"/>
      <c r="N26" s="88"/>
    </row>
    <row r="27" spans="2:14" ht="15" customHeight="1" x14ac:dyDescent="0.25">
      <c r="B27" s="20"/>
      <c r="C27" s="5" t="s">
        <v>311</v>
      </c>
      <c r="D27" s="6" t="s">
        <v>192</v>
      </c>
      <c r="E27" s="11">
        <v>9.5060000000000006E-3</v>
      </c>
      <c r="F27" s="1"/>
      <c r="G27" s="1"/>
      <c r="H27" s="1"/>
      <c r="I27" s="1"/>
      <c r="J27" s="1"/>
      <c r="K27" s="1"/>
      <c r="L27" s="1"/>
      <c r="M27" s="1"/>
      <c r="N27" s="18"/>
    </row>
    <row r="28" spans="2:14" ht="15" customHeight="1" x14ac:dyDescent="0.25">
      <c r="B28" s="20"/>
      <c r="C28" s="5" t="s">
        <v>300</v>
      </c>
      <c r="D28" s="6" t="s">
        <v>192</v>
      </c>
      <c r="E28" s="11">
        <v>9.2949999999999994E-3</v>
      </c>
      <c r="F28" s="1"/>
      <c r="G28" s="1"/>
      <c r="H28" s="1"/>
      <c r="I28" s="1"/>
      <c r="J28" s="1"/>
      <c r="K28" s="1"/>
      <c r="L28" s="1"/>
      <c r="M28" s="1"/>
      <c r="N28" s="18"/>
    </row>
    <row r="29" spans="2:14" ht="15" customHeight="1" x14ac:dyDescent="0.25">
      <c r="B29" s="20"/>
      <c r="C29" s="5" t="s">
        <v>301</v>
      </c>
      <c r="D29" s="6" t="s">
        <v>192</v>
      </c>
      <c r="E29" s="11">
        <v>9.247E-3</v>
      </c>
      <c r="F29" s="1"/>
      <c r="G29" s="1"/>
      <c r="H29" s="1"/>
      <c r="I29" s="1"/>
      <c r="J29" s="1"/>
      <c r="K29" s="1"/>
      <c r="L29" s="1"/>
      <c r="M29" s="1"/>
      <c r="N29" s="18"/>
    </row>
    <row r="30" spans="2:14" ht="15" customHeight="1" x14ac:dyDescent="0.25">
      <c r="B30" s="20"/>
      <c r="C30" s="5" t="s">
        <v>296</v>
      </c>
      <c r="D30" s="6" t="s">
        <v>192</v>
      </c>
      <c r="E30" s="11">
        <v>9.2160000000000002E-3</v>
      </c>
      <c r="F30" s="1"/>
      <c r="G30" s="1"/>
      <c r="H30" s="1"/>
      <c r="I30" s="1"/>
      <c r="J30" s="1"/>
      <c r="K30" s="1"/>
      <c r="L30" s="1"/>
      <c r="M30" s="1"/>
      <c r="N30" s="18"/>
    </row>
    <row r="31" spans="2:14" ht="15" customHeight="1" x14ac:dyDescent="0.25">
      <c r="B31" s="20"/>
      <c r="C31" s="5" t="s">
        <v>295</v>
      </c>
      <c r="D31" s="6" t="s">
        <v>192</v>
      </c>
      <c r="E31" s="11">
        <v>9.2049999999999996E-3</v>
      </c>
      <c r="F31" s="1"/>
      <c r="G31" s="1"/>
      <c r="H31" s="1"/>
      <c r="I31" s="1"/>
      <c r="J31" s="1"/>
      <c r="K31" s="1"/>
      <c r="L31" s="1"/>
      <c r="M31" s="1"/>
      <c r="N31" s="18"/>
    </row>
    <row r="32" spans="2:14" ht="15" customHeight="1" x14ac:dyDescent="0.25">
      <c r="B32" s="20"/>
      <c r="C32" s="5" t="s">
        <v>291</v>
      </c>
      <c r="D32" s="6" t="s">
        <v>192</v>
      </c>
      <c r="E32" s="11">
        <v>9.1000000000000004E-3</v>
      </c>
      <c r="F32" s="1"/>
      <c r="G32" s="1"/>
      <c r="H32" s="1"/>
      <c r="I32" s="1"/>
      <c r="J32" s="1"/>
      <c r="K32" s="1"/>
      <c r="L32" s="1"/>
      <c r="M32" s="1"/>
      <c r="N32" s="18"/>
    </row>
    <row r="33" spans="2:14" ht="15" customHeight="1" x14ac:dyDescent="0.25">
      <c r="B33" s="20"/>
      <c r="C33" s="5" t="s">
        <v>309</v>
      </c>
      <c r="D33" s="6" t="s">
        <v>192</v>
      </c>
      <c r="E33" s="11">
        <v>5.6569999999999997E-3</v>
      </c>
      <c r="F33" s="1"/>
      <c r="G33" s="1"/>
      <c r="H33" s="1"/>
      <c r="I33" s="1"/>
      <c r="J33" s="1"/>
      <c r="K33" s="1"/>
      <c r="L33" s="1"/>
      <c r="M33" s="1"/>
      <c r="N33" s="18"/>
    </row>
    <row r="34" spans="2:14" ht="15" customHeight="1" x14ac:dyDescent="0.25">
      <c r="B34" s="20"/>
      <c r="C34" s="5" t="s">
        <v>308</v>
      </c>
      <c r="D34" s="6" t="s">
        <v>192</v>
      </c>
      <c r="E34" s="11">
        <v>4.6299999999999996E-3</v>
      </c>
      <c r="F34" s="1"/>
      <c r="G34" s="1"/>
      <c r="H34" s="1"/>
      <c r="I34" s="1"/>
      <c r="J34" s="1"/>
      <c r="K34" s="1"/>
      <c r="L34" s="1"/>
      <c r="M34" s="1"/>
      <c r="N34" s="18"/>
    </row>
    <row r="35" spans="2:14" ht="15" customHeight="1" x14ac:dyDescent="0.25">
      <c r="B35" s="20"/>
      <c r="C35" s="5" t="s">
        <v>307</v>
      </c>
      <c r="D35" s="6" t="s">
        <v>192</v>
      </c>
      <c r="E35" s="11">
        <v>3.6329999999999999E-3</v>
      </c>
      <c r="F35" s="1"/>
      <c r="G35" s="1"/>
      <c r="H35" s="1"/>
      <c r="I35" s="1"/>
      <c r="J35" s="1"/>
      <c r="K35" s="1"/>
      <c r="L35" s="1"/>
      <c r="M35" s="1"/>
      <c r="N35" s="18"/>
    </row>
    <row r="36" spans="2:14" ht="15" customHeight="1" x14ac:dyDescent="0.25">
      <c r="B36" s="20"/>
      <c r="C36" s="5" t="s">
        <v>298</v>
      </c>
      <c r="D36" s="6" t="s">
        <v>192</v>
      </c>
      <c r="E36" s="11">
        <v>3.516E-3</v>
      </c>
      <c r="F36" s="1"/>
      <c r="G36" s="1"/>
      <c r="H36" s="1"/>
      <c r="I36" s="1"/>
      <c r="J36" s="1"/>
      <c r="K36" s="1"/>
      <c r="L36" s="1"/>
      <c r="M36" s="1"/>
      <c r="N36" s="18"/>
    </row>
    <row r="37" spans="2:14" ht="15" customHeight="1" x14ac:dyDescent="0.25">
      <c r="B37" s="20"/>
      <c r="C37" s="5" t="s">
        <v>290</v>
      </c>
      <c r="D37" s="6" t="s">
        <v>192</v>
      </c>
      <c r="E37" s="11">
        <v>1.639E-3</v>
      </c>
      <c r="F37" s="1"/>
      <c r="G37" s="1"/>
      <c r="H37" s="1"/>
      <c r="I37" s="1"/>
      <c r="J37" s="1"/>
      <c r="K37" s="1"/>
      <c r="L37" s="1"/>
      <c r="M37" s="1"/>
      <c r="N37" s="18"/>
    </row>
    <row r="38" spans="2:14" ht="15" customHeight="1" x14ac:dyDescent="0.25">
      <c r="B38" s="20"/>
      <c r="C38" s="5" t="s">
        <v>316</v>
      </c>
      <c r="D38" s="6" t="s">
        <v>192</v>
      </c>
      <c r="E38" s="11">
        <v>9.2599999999999996E-4</v>
      </c>
      <c r="F38" s="1"/>
      <c r="G38" s="1"/>
      <c r="H38" s="1"/>
      <c r="I38" s="1"/>
      <c r="J38" s="1"/>
      <c r="K38" s="1"/>
      <c r="L38" s="1"/>
      <c r="M38" s="1"/>
      <c r="N38" s="18"/>
    </row>
    <row r="39" spans="2:14" ht="15" customHeight="1" x14ac:dyDescent="0.25">
      <c r="B39" s="20"/>
      <c r="C39" s="5" t="s">
        <v>317</v>
      </c>
      <c r="D39" s="6" t="s">
        <v>192</v>
      </c>
      <c r="E39" s="11">
        <v>9.2400000000000002E-4</v>
      </c>
      <c r="F39" s="1"/>
      <c r="G39" s="1"/>
      <c r="H39" s="1"/>
      <c r="I39" s="1"/>
      <c r="J39" s="1"/>
      <c r="K39" s="1"/>
      <c r="L39" s="1"/>
      <c r="M39" s="1"/>
      <c r="N39" s="18"/>
    </row>
    <row r="40" spans="2:14" ht="15" customHeight="1" x14ac:dyDescent="0.25">
      <c r="B40" s="20"/>
      <c r="C40" s="7" t="s">
        <v>46</v>
      </c>
      <c r="D40" s="8"/>
      <c r="E40" s="12">
        <v>0.846078</v>
      </c>
      <c r="F40" s="1"/>
      <c r="G40" s="1"/>
      <c r="H40" s="1"/>
      <c r="I40" s="1"/>
      <c r="J40" s="1"/>
      <c r="K40" s="1"/>
      <c r="L40" s="1"/>
      <c r="M40" s="1"/>
      <c r="N40" s="18"/>
    </row>
    <row r="41" spans="2:14" ht="15" customHeight="1" x14ac:dyDescent="0.25">
      <c r="B41" s="20"/>
      <c r="C41" s="5" t="s">
        <v>30</v>
      </c>
      <c r="D41" s="6"/>
      <c r="E41" s="11">
        <v>3.3019999999999998E-3</v>
      </c>
      <c r="F41" s="1"/>
      <c r="G41" s="1"/>
      <c r="H41" s="1"/>
      <c r="I41" s="1"/>
      <c r="J41" s="1"/>
      <c r="K41" s="1"/>
      <c r="L41" s="1"/>
      <c r="M41" s="1"/>
      <c r="N41" s="18"/>
    </row>
    <row r="42" spans="2:14" ht="15" customHeight="1" x14ac:dyDescent="0.25">
      <c r="B42" s="20"/>
      <c r="C42" s="7" t="s">
        <v>31</v>
      </c>
      <c r="D42" s="8"/>
      <c r="E42" s="12">
        <v>3.3019999999999998E-3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7" t="s">
        <v>32</v>
      </c>
      <c r="D44" s="8"/>
      <c r="E44" s="12">
        <v>1.4234E-2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33</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75" thickBot="1" x14ac:dyDescent="0.3">
      <c r="B48" s="21"/>
      <c r="C48" s="22"/>
      <c r="D48" s="22"/>
      <c r="E48" s="22"/>
      <c r="F48" s="22"/>
      <c r="G48" s="22"/>
      <c r="H48" s="22"/>
      <c r="I48" s="22"/>
      <c r="J48" s="22"/>
      <c r="K48" s="22"/>
      <c r="L48" s="22"/>
      <c r="M48" s="22"/>
      <c r="N48" s="23"/>
    </row>
    <row r="49" spans="2:14" ht="15.75" thickBot="1" x14ac:dyDescent="0.3"/>
    <row r="50" spans="2:14" ht="153.75" customHeight="1" thickBot="1" x14ac:dyDescent="0.3">
      <c r="B50" s="78" t="s">
        <v>323</v>
      </c>
      <c r="C50" s="79"/>
      <c r="D50" s="79"/>
      <c r="E50" s="79"/>
      <c r="F50" s="79"/>
      <c r="G50" s="79"/>
      <c r="H50" s="79"/>
      <c r="I50" s="79"/>
      <c r="J50" s="79"/>
      <c r="K50" s="79"/>
      <c r="L50" s="79"/>
      <c r="M50" s="79"/>
      <c r="N50" s="80"/>
    </row>
  </sheetData>
  <sortState ref="C11:E39">
    <sortCondition descending="1" ref="E11"/>
  </sortState>
  <mergeCells count="6">
    <mergeCell ref="B50:N50"/>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AC64-177F-4BA7-BE8A-C9AE0E68B79F}">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0</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10</v>
      </c>
      <c r="D5" s="84" t="s">
        <v>327</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318</v>
      </c>
      <c r="D8" s="6"/>
      <c r="E8" s="11">
        <v>0.63300800000000002</v>
      </c>
      <c r="F8" s="1"/>
      <c r="G8" s="24" t="s">
        <v>4</v>
      </c>
      <c r="H8" s="25">
        <v>1</v>
      </c>
      <c r="I8" s="36"/>
      <c r="J8" s="32" t="s">
        <v>34</v>
      </c>
      <c r="K8" s="32" t="s">
        <v>3</v>
      </c>
      <c r="L8" s="36"/>
      <c r="M8" s="1"/>
      <c r="N8" s="18"/>
    </row>
    <row r="9" spans="2:14" ht="15" customHeight="1" x14ac:dyDescent="0.25">
      <c r="B9" s="20"/>
      <c r="C9" s="5" t="s">
        <v>319</v>
      </c>
      <c r="D9" s="6"/>
      <c r="E9" s="11">
        <v>0.341395</v>
      </c>
      <c r="F9" s="1"/>
      <c r="G9" s="1"/>
      <c r="H9" s="1"/>
      <c r="I9" s="36"/>
      <c r="J9" s="32" t="s">
        <v>32</v>
      </c>
      <c r="K9" s="33">
        <f>E15</f>
        <v>-5.6149999999999999E-2</v>
      </c>
      <c r="L9" s="36"/>
      <c r="M9" s="1"/>
      <c r="N9" s="18"/>
    </row>
    <row r="10" spans="2:14" ht="15" customHeight="1" x14ac:dyDescent="0.25">
      <c r="B10" s="20"/>
      <c r="C10" s="5" t="s">
        <v>321</v>
      </c>
      <c r="D10" s="6"/>
      <c r="E10" s="11">
        <v>5.0000000000000002E-5</v>
      </c>
      <c r="F10" s="1"/>
      <c r="G10" s="1"/>
      <c r="H10" s="1"/>
      <c r="I10" s="36"/>
      <c r="J10" s="32" t="s">
        <v>35</v>
      </c>
      <c r="K10" s="33">
        <f>E13</f>
        <v>8.1697000000000006E-2</v>
      </c>
      <c r="L10" s="36"/>
      <c r="M10" s="1"/>
      <c r="N10" s="18"/>
    </row>
    <row r="11" spans="2:14" ht="15.75" customHeight="1" x14ac:dyDescent="0.25">
      <c r="B11" s="20"/>
      <c r="C11" s="7" t="s">
        <v>320</v>
      </c>
      <c r="D11" s="8"/>
      <c r="E11" s="12">
        <v>0.97445300000000001</v>
      </c>
      <c r="F11" s="1"/>
      <c r="G11" s="1"/>
      <c r="H11" s="1"/>
      <c r="I11" s="36"/>
      <c r="J11" s="32" t="s">
        <v>320</v>
      </c>
      <c r="K11" s="33">
        <f>E11</f>
        <v>0.97445300000000001</v>
      </c>
      <c r="L11" s="36"/>
      <c r="M11" s="1"/>
      <c r="N11" s="18"/>
    </row>
    <row r="12" spans="2:14" ht="15" customHeight="1" x14ac:dyDescent="0.25">
      <c r="B12" s="20"/>
      <c r="C12" s="5" t="s">
        <v>30</v>
      </c>
      <c r="D12" s="6"/>
      <c r="E12" s="11">
        <v>8.1697000000000006E-2</v>
      </c>
      <c r="F12" s="1"/>
      <c r="G12" s="1"/>
      <c r="H12" s="1"/>
      <c r="I12" s="36"/>
      <c r="J12" s="32"/>
      <c r="K12" s="32"/>
      <c r="L12" s="36"/>
      <c r="M12" s="1"/>
      <c r="N12" s="18"/>
    </row>
    <row r="13" spans="2:14" ht="15.75" customHeight="1" x14ac:dyDescent="0.25">
      <c r="B13" s="20"/>
      <c r="C13" s="7" t="s">
        <v>31</v>
      </c>
      <c r="D13" s="8"/>
      <c r="E13" s="12">
        <v>8.1697000000000006E-2</v>
      </c>
      <c r="F13" s="1"/>
      <c r="G13" s="1"/>
      <c r="H13" s="1"/>
      <c r="I13" s="36"/>
      <c r="J13" s="36"/>
      <c r="K13" s="36"/>
      <c r="L13" s="36"/>
      <c r="M13" s="1"/>
      <c r="N13" s="18"/>
    </row>
    <row r="14" spans="2:14" ht="15" customHeight="1" x14ac:dyDescent="0.25">
      <c r="B14" s="20"/>
      <c r="C14" s="5"/>
      <c r="D14" s="6"/>
      <c r="E14" s="11"/>
      <c r="F14" s="1"/>
      <c r="G14" s="1"/>
      <c r="H14" s="1"/>
      <c r="I14" s="36"/>
      <c r="J14" s="36"/>
      <c r="K14" s="36"/>
      <c r="L14" s="36"/>
      <c r="M14" s="1"/>
      <c r="N14" s="18"/>
    </row>
    <row r="15" spans="2:14" ht="15.75" customHeight="1" x14ac:dyDescent="0.25">
      <c r="B15" s="20"/>
      <c r="C15" s="7" t="s">
        <v>32</v>
      </c>
      <c r="D15" s="8"/>
      <c r="E15" s="12">
        <v>-5.6149999999999999E-2</v>
      </c>
      <c r="F15" s="1"/>
      <c r="G15" s="1"/>
      <c r="H15" s="1"/>
      <c r="I15" s="36"/>
      <c r="J15" s="36"/>
      <c r="K15" s="36"/>
      <c r="L15" s="36"/>
      <c r="M15" s="1"/>
      <c r="N15" s="18"/>
    </row>
    <row r="16" spans="2:14" ht="15" customHeight="1" x14ac:dyDescent="0.25">
      <c r="B16" s="20"/>
      <c r="C16" s="5"/>
      <c r="D16" s="6"/>
      <c r="E16" s="11"/>
      <c r="F16" s="1"/>
      <c r="G16" s="1"/>
      <c r="H16" s="1"/>
      <c r="I16" s="36"/>
      <c r="J16" s="36"/>
      <c r="K16" s="36"/>
      <c r="L16" s="36"/>
      <c r="M16" s="1"/>
      <c r="N16" s="18"/>
    </row>
    <row r="17" spans="2:14" ht="15" customHeight="1" x14ac:dyDescent="0.25">
      <c r="B17" s="20"/>
      <c r="C17" s="9" t="s">
        <v>33</v>
      </c>
      <c r="D17" s="10"/>
      <c r="E17" s="13">
        <v>1</v>
      </c>
      <c r="F17" s="1"/>
      <c r="G17" s="1"/>
      <c r="H17" s="1"/>
      <c r="I17" s="36"/>
      <c r="J17" s="36"/>
      <c r="K17" s="36"/>
      <c r="L17" s="36"/>
      <c r="M17" s="1"/>
      <c r="N17" s="18"/>
    </row>
    <row r="18" spans="2:14" ht="15" customHeight="1" x14ac:dyDescent="0.25">
      <c r="B18" s="20"/>
      <c r="C18" s="1"/>
      <c r="D18" s="1"/>
      <c r="E18" s="1"/>
      <c r="F18" s="1"/>
      <c r="G18" s="1"/>
      <c r="H18" s="1"/>
      <c r="I18" s="36"/>
      <c r="J18" s="36"/>
      <c r="K18" s="36"/>
      <c r="L18" s="36"/>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38">
        <v>3.5612572358304457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8.75" customHeight="1" thickBot="1" x14ac:dyDescent="0.3">
      <c r="B45" s="78" t="s">
        <v>323</v>
      </c>
      <c r="C45" s="79"/>
      <c r="D45" s="79"/>
      <c r="E45" s="79"/>
      <c r="F45" s="79"/>
      <c r="G45" s="79"/>
      <c r="H45" s="79"/>
      <c r="I45" s="79"/>
      <c r="J45" s="79"/>
      <c r="K45" s="79"/>
      <c r="L45" s="79"/>
      <c r="M45" s="79"/>
      <c r="N45" s="80"/>
    </row>
  </sheetData>
  <sortState ref="C8:E10">
    <sortCondition descending="1" ref="E8"/>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A3F5-A625-4001-8302-BFEE36832571}">
  <sheetPr>
    <tabColor rgb="FFE5E3E3"/>
    <pageSetUpPr fitToPage="1"/>
  </sheetPr>
  <dimension ref="B1:X691"/>
  <sheetViews>
    <sheetView showGridLines="0" zoomScale="75" zoomScaleNormal="75" workbookViewId="0"/>
  </sheetViews>
  <sheetFormatPr defaultRowHeight="15" x14ac:dyDescent="0.2"/>
  <cols>
    <col min="1" max="1" width="2.85546875" style="39" customWidth="1"/>
    <col min="2" max="2" width="3.85546875" style="39" customWidth="1"/>
    <col min="3" max="3" width="60.5703125" style="39" customWidth="1"/>
    <col min="4" max="4" width="15.42578125" style="39" bestFit="1" customWidth="1"/>
    <col min="5" max="5" width="9.140625" style="39"/>
    <col min="6" max="6" width="10.7109375" style="39" customWidth="1"/>
    <col min="7" max="7" width="10.5703125" style="39" bestFit="1" customWidth="1"/>
    <col min="8" max="9" width="9.140625" style="39"/>
    <col min="10" max="11" width="16.42578125" style="39" customWidth="1"/>
    <col min="12" max="18" width="9.140625" style="39"/>
    <col min="19" max="19" width="9.85546875" style="39" customWidth="1"/>
    <col min="20" max="21" width="9.28515625" style="39" bestFit="1" customWidth="1"/>
    <col min="22" max="16384" width="9.140625" style="39"/>
  </cols>
  <sheetData>
    <row r="1" spans="2:24" ht="15.75" thickBot="1" x14ac:dyDescent="0.25"/>
    <row r="2" spans="2:24" x14ac:dyDescent="0.2">
      <c r="B2" s="40"/>
      <c r="C2" s="41"/>
      <c r="D2" s="41"/>
      <c r="E2" s="41"/>
      <c r="F2" s="41"/>
      <c r="G2" s="41"/>
      <c r="H2" s="41"/>
      <c r="I2" s="41"/>
      <c r="J2" s="41"/>
      <c r="K2" s="41"/>
      <c r="L2" s="41"/>
      <c r="M2" s="42"/>
    </row>
    <row r="3" spans="2:24" ht="20.25" customHeight="1" x14ac:dyDescent="0.2">
      <c r="B3" s="43"/>
      <c r="C3" s="89" t="s">
        <v>348</v>
      </c>
      <c r="D3" s="89"/>
      <c r="E3" s="89"/>
      <c r="F3" s="89"/>
      <c r="G3" s="89"/>
      <c r="H3" s="89"/>
      <c r="I3" s="89"/>
      <c r="J3" s="89"/>
      <c r="K3" s="89"/>
      <c r="L3" s="89"/>
      <c r="M3" s="90"/>
    </row>
    <row r="4" spans="2:24" ht="15.75" x14ac:dyDescent="0.25">
      <c r="B4" s="43"/>
      <c r="C4" s="14"/>
      <c r="D4" s="36"/>
      <c r="E4" s="36"/>
      <c r="F4" s="44"/>
      <c r="G4" s="44"/>
      <c r="H4" s="44"/>
      <c r="I4" s="44"/>
      <c r="J4" s="44"/>
      <c r="K4" s="44"/>
      <c r="L4" s="44"/>
      <c r="M4" s="45"/>
    </row>
    <row r="5" spans="2:24" ht="20.25" customHeight="1" x14ac:dyDescent="0.25">
      <c r="B5" s="43"/>
      <c r="C5" s="15" t="s">
        <v>10</v>
      </c>
      <c r="D5" s="46" t="s">
        <v>347</v>
      </c>
      <c r="E5" s="47"/>
      <c r="F5" s="44"/>
      <c r="G5" s="44"/>
      <c r="H5" s="44"/>
      <c r="I5" s="44"/>
      <c r="J5" s="44"/>
      <c r="K5" s="44"/>
      <c r="L5" s="44"/>
      <c r="M5" s="45"/>
    </row>
    <row r="6" spans="2:24" x14ac:dyDescent="0.2">
      <c r="B6" s="43"/>
      <c r="C6" s="44"/>
      <c r="D6" s="44"/>
      <c r="E6" s="44"/>
      <c r="F6" s="44"/>
      <c r="G6" s="44"/>
      <c r="H6" s="44"/>
      <c r="I6" s="44"/>
      <c r="J6" s="44"/>
      <c r="K6" s="44"/>
      <c r="L6" s="44"/>
      <c r="M6" s="45"/>
    </row>
    <row r="7" spans="2:24" ht="15.75" x14ac:dyDescent="0.2">
      <c r="B7" s="43"/>
      <c r="C7" s="48" t="s">
        <v>1</v>
      </c>
      <c r="D7" s="49" t="s">
        <v>3</v>
      </c>
      <c r="E7" s="44"/>
      <c r="F7" s="91" t="s">
        <v>7</v>
      </c>
      <c r="G7" s="91"/>
      <c r="H7" s="91"/>
      <c r="I7" s="91"/>
      <c r="J7" s="91"/>
      <c r="K7" s="91"/>
      <c r="L7" s="91"/>
      <c r="M7" s="92"/>
    </row>
    <row r="8" spans="2:24" x14ac:dyDescent="0.2">
      <c r="B8" s="43"/>
      <c r="C8" s="50" t="s">
        <v>329</v>
      </c>
      <c r="D8" s="51">
        <v>0.99012199999999995</v>
      </c>
      <c r="E8" s="44"/>
      <c r="F8" s="44"/>
      <c r="G8" s="52"/>
      <c r="H8" s="44"/>
      <c r="I8" s="44" t="s">
        <v>330</v>
      </c>
      <c r="J8" s="53">
        <f>D9</f>
        <v>0.99012199999999995</v>
      </c>
      <c r="K8" s="44"/>
      <c r="L8" s="44"/>
      <c r="M8" s="45"/>
      <c r="S8" s="54"/>
      <c r="W8" s="39" t="s">
        <v>331</v>
      </c>
      <c r="X8" s="39">
        <v>0.25058799999999998</v>
      </c>
    </row>
    <row r="9" spans="2:24" ht="15.75" x14ac:dyDescent="0.25">
      <c r="B9" s="43"/>
      <c r="C9" s="55" t="s">
        <v>330</v>
      </c>
      <c r="D9" s="56">
        <v>0.99012199999999995</v>
      </c>
      <c r="E9" s="44"/>
      <c r="F9" s="44"/>
      <c r="G9" s="44"/>
      <c r="H9" s="44"/>
      <c r="I9" s="44" t="s">
        <v>32</v>
      </c>
      <c r="J9" s="53">
        <f>D13</f>
        <v>-1.743E-3</v>
      </c>
      <c r="K9" s="44"/>
      <c r="L9" s="44"/>
      <c r="M9" s="45"/>
      <c r="S9" s="54"/>
      <c r="W9" s="39" t="s">
        <v>332</v>
      </c>
      <c r="X9" s="39">
        <v>6.1296999999999997E-2</v>
      </c>
    </row>
    <row r="10" spans="2:24" x14ac:dyDescent="0.2">
      <c r="B10" s="43"/>
      <c r="C10" s="57" t="s">
        <v>30</v>
      </c>
      <c r="D10" s="58">
        <v>1.1620999999999999E-2</v>
      </c>
      <c r="E10" s="44"/>
      <c r="F10" s="44"/>
      <c r="G10" s="44"/>
      <c r="I10" s="39" t="s">
        <v>31</v>
      </c>
      <c r="J10" s="53">
        <f>D11</f>
        <v>1.1620999999999999E-2</v>
      </c>
      <c r="K10" s="44"/>
      <c r="L10" s="44"/>
      <c r="M10" s="45"/>
      <c r="S10" s="54"/>
      <c r="W10" s="39" t="s">
        <v>333</v>
      </c>
      <c r="X10" s="39">
        <v>3.0130999999999998E-2</v>
      </c>
    </row>
    <row r="11" spans="2:24" ht="15.75" x14ac:dyDescent="0.2">
      <c r="B11" s="43"/>
      <c r="C11" s="59" t="s">
        <v>31</v>
      </c>
      <c r="D11" s="60">
        <v>1.1620999999999999E-2</v>
      </c>
      <c r="E11" s="44"/>
      <c r="F11" s="44"/>
      <c r="G11" s="44"/>
      <c r="J11" s="44"/>
      <c r="K11" s="44"/>
      <c r="L11" s="44"/>
      <c r="M11" s="45"/>
      <c r="S11" s="54"/>
      <c r="W11" s="39" t="s">
        <v>334</v>
      </c>
      <c r="X11" s="39">
        <v>2.7299E-2</v>
      </c>
    </row>
    <row r="12" spans="2:24" x14ac:dyDescent="0.2">
      <c r="B12" s="43"/>
      <c r="C12" s="57"/>
      <c r="D12" s="61"/>
      <c r="E12" s="44"/>
      <c r="F12" s="44"/>
      <c r="G12" s="44"/>
      <c r="J12" s="44"/>
      <c r="K12" s="44"/>
      <c r="L12" s="44"/>
      <c r="M12" s="45"/>
      <c r="S12" s="54"/>
      <c r="W12" s="39" t="s">
        <v>335</v>
      </c>
      <c r="X12" s="39">
        <v>2.5925E-2</v>
      </c>
    </row>
    <row r="13" spans="2:24" ht="15.75" x14ac:dyDescent="0.2">
      <c r="B13" s="43"/>
      <c r="C13" s="59" t="s">
        <v>32</v>
      </c>
      <c r="D13" s="60">
        <v>-1.743E-3</v>
      </c>
      <c r="E13" s="44"/>
      <c r="F13" s="44"/>
      <c r="G13" s="44"/>
      <c r="J13" s="44"/>
      <c r="K13" s="44"/>
      <c r="L13" s="44"/>
      <c r="M13" s="45"/>
      <c r="S13" s="54"/>
      <c r="W13" s="39" t="s">
        <v>336</v>
      </c>
      <c r="X13" s="39">
        <v>2.3822000000000003E-2</v>
      </c>
    </row>
    <row r="14" spans="2:24" x14ac:dyDescent="0.2">
      <c r="B14" s="43"/>
      <c r="C14" s="57"/>
      <c r="D14" s="61"/>
      <c r="E14" s="44"/>
      <c r="F14" s="44"/>
      <c r="G14" s="44"/>
      <c r="H14" s="44"/>
      <c r="I14" s="44"/>
      <c r="J14" s="44"/>
      <c r="K14" s="44"/>
      <c r="L14" s="44"/>
      <c r="M14" s="45"/>
      <c r="S14" s="54"/>
      <c r="W14" s="39" t="s">
        <v>337</v>
      </c>
      <c r="X14" s="39">
        <v>2.3753E-2</v>
      </c>
    </row>
    <row r="15" spans="2:24" ht="15.75" x14ac:dyDescent="0.2">
      <c r="B15" s="43"/>
      <c r="C15" s="62" t="s">
        <v>33</v>
      </c>
      <c r="D15" s="63">
        <f>D13+D11+D9</f>
        <v>1</v>
      </c>
      <c r="E15" s="44"/>
      <c r="F15" s="44"/>
      <c r="G15" s="44"/>
      <c r="H15" s="44"/>
      <c r="I15" s="44"/>
      <c r="J15" s="44"/>
      <c r="K15" s="44"/>
      <c r="L15" s="44"/>
      <c r="M15" s="45"/>
      <c r="S15" s="54"/>
      <c r="W15" s="39" t="s">
        <v>338</v>
      </c>
      <c r="X15" s="39">
        <v>1.8620999999999999E-2</v>
      </c>
    </row>
    <row r="16" spans="2:24" x14ac:dyDescent="0.2">
      <c r="B16" s="43"/>
      <c r="E16" s="44"/>
      <c r="F16" s="44"/>
      <c r="G16" s="44"/>
      <c r="H16" s="44"/>
      <c r="I16" s="44"/>
      <c r="J16" s="44"/>
      <c r="K16" s="44"/>
      <c r="L16" s="44"/>
      <c r="M16" s="45"/>
      <c r="S16" s="54"/>
      <c r="W16" s="39" t="s">
        <v>339</v>
      </c>
      <c r="X16" s="39">
        <v>1.7219000000000002E-2</v>
      </c>
    </row>
    <row r="17" spans="2:24" ht="15.75" x14ac:dyDescent="0.25">
      <c r="B17" s="43"/>
      <c r="C17" s="64"/>
      <c r="D17" s="65"/>
      <c r="E17" s="44"/>
      <c r="F17" s="44"/>
      <c r="G17" s="44"/>
      <c r="H17" s="44"/>
      <c r="I17" s="44"/>
      <c r="J17" s="44"/>
      <c r="K17" s="44"/>
      <c r="L17" s="44"/>
      <c r="M17" s="45"/>
      <c r="S17" s="54"/>
      <c r="W17" s="39" t="s">
        <v>340</v>
      </c>
      <c r="X17" s="39">
        <v>1.6056000000000001E-2</v>
      </c>
    </row>
    <row r="18" spans="2:24" x14ac:dyDescent="0.2">
      <c r="B18" s="43"/>
      <c r="C18" s="66"/>
      <c r="D18" s="66"/>
      <c r="E18" s="44"/>
      <c r="F18" s="44"/>
      <c r="G18" s="44"/>
      <c r="H18" s="44"/>
      <c r="I18" s="44"/>
      <c r="J18" s="44"/>
      <c r="K18" s="44"/>
      <c r="L18" s="44"/>
      <c r="M18" s="45"/>
      <c r="S18" s="54"/>
      <c r="W18" s="39" t="s">
        <v>341</v>
      </c>
      <c r="X18" s="39">
        <v>1.41E-2</v>
      </c>
    </row>
    <row r="19" spans="2:24" ht="15.75" x14ac:dyDescent="0.25">
      <c r="B19" s="43"/>
      <c r="C19" s="64"/>
      <c r="D19" s="67"/>
      <c r="E19" s="44"/>
      <c r="F19" s="44"/>
      <c r="G19" s="44"/>
      <c r="H19" s="44"/>
      <c r="I19" s="44"/>
      <c r="J19" s="44"/>
      <c r="K19" s="44"/>
      <c r="L19" s="44"/>
      <c r="M19" s="45"/>
      <c r="S19" s="54"/>
      <c r="W19" s="39" t="s">
        <v>342</v>
      </c>
      <c r="X19" s="39">
        <v>1.1167E-2</v>
      </c>
    </row>
    <row r="20" spans="2:24" x14ac:dyDescent="0.2">
      <c r="B20" s="43"/>
      <c r="E20" s="44"/>
      <c r="F20" s="44"/>
      <c r="G20" s="44"/>
      <c r="H20" s="44"/>
      <c r="I20" s="44"/>
      <c r="J20" s="44"/>
      <c r="K20" s="44"/>
      <c r="L20" s="44"/>
      <c r="M20" s="45"/>
      <c r="S20" s="54"/>
      <c r="W20" s="39" t="s">
        <v>343</v>
      </c>
      <c r="X20" s="39">
        <v>1.1159000000000001E-2</v>
      </c>
    </row>
    <row r="21" spans="2:24" x14ac:dyDescent="0.2">
      <c r="B21" s="43"/>
      <c r="E21" s="44"/>
      <c r="F21" s="44"/>
      <c r="G21" s="44"/>
      <c r="H21" s="44"/>
      <c r="I21" s="44"/>
      <c r="J21" s="44"/>
      <c r="K21" s="44"/>
      <c r="L21" s="44"/>
      <c r="M21" s="45"/>
      <c r="S21" s="54"/>
      <c r="W21" s="39" t="s">
        <v>344</v>
      </c>
      <c r="X21" s="39">
        <v>1.0543E-2</v>
      </c>
    </row>
    <row r="22" spans="2:24" ht="16.5" thickBot="1" x14ac:dyDescent="0.3">
      <c r="B22" s="68"/>
      <c r="C22" s="93"/>
      <c r="D22" s="93"/>
      <c r="E22" s="93"/>
      <c r="F22" s="93"/>
      <c r="G22" s="93"/>
      <c r="H22" s="93"/>
      <c r="I22" s="93"/>
      <c r="J22" s="93"/>
      <c r="K22" s="93"/>
      <c r="L22" s="93"/>
      <c r="M22" s="94"/>
      <c r="S22" s="54"/>
    </row>
    <row r="23" spans="2:24" ht="15.75" thickBot="1" x14ac:dyDescent="0.25">
      <c r="S23" s="54"/>
    </row>
    <row r="24" spans="2:24" ht="15" customHeight="1" x14ac:dyDescent="0.2">
      <c r="B24" s="95" t="s">
        <v>345</v>
      </c>
      <c r="C24" s="96"/>
      <c r="D24" s="96"/>
      <c r="E24" s="96"/>
      <c r="F24" s="96"/>
      <c r="G24" s="96"/>
      <c r="H24" s="96"/>
      <c r="I24" s="96"/>
      <c r="J24" s="96"/>
      <c r="K24" s="96"/>
      <c r="L24" s="96"/>
      <c r="M24" s="96"/>
      <c r="N24" s="97"/>
      <c r="S24" s="54"/>
    </row>
    <row r="25" spans="2:24" ht="15.75" customHeight="1" x14ac:dyDescent="0.2">
      <c r="B25" s="98"/>
      <c r="C25" s="99"/>
      <c r="D25" s="99"/>
      <c r="E25" s="99"/>
      <c r="F25" s="99"/>
      <c r="G25" s="99"/>
      <c r="H25" s="99"/>
      <c r="I25" s="99"/>
      <c r="J25" s="99"/>
      <c r="K25" s="99"/>
      <c r="L25" s="99"/>
      <c r="M25" s="99"/>
      <c r="N25" s="100"/>
      <c r="S25" s="54"/>
    </row>
    <row r="26" spans="2:24" ht="15.75" customHeight="1" x14ac:dyDescent="0.2">
      <c r="B26" s="98"/>
      <c r="C26" s="99"/>
      <c r="D26" s="99"/>
      <c r="E26" s="99"/>
      <c r="F26" s="99"/>
      <c r="G26" s="99"/>
      <c r="H26" s="99"/>
      <c r="I26" s="99"/>
      <c r="J26" s="99"/>
      <c r="K26" s="99"/>
      <c r="L26" s="99"/>
      <c r="M26" s="99"/>
      <c r="N26" s="100"/>
      <c r="S26" s="54"/>
    </row>
    <row r="27" spans="2:24" ht="15.75" customHeight="1" x14ac:dyDescent="0.2">
      <c r="B27" s="98"/>
      <c r="C27" s="99"/>
      <c r="D27" s="99"/>
      <c r="E27" s="99"/>
      <c r="F27" s="99"/>
      <c r="G27" s="99"/>
      <c r="H27" s="99"/>
      <c r="I27" s="99"/>
      <c r="J27" s="99"/>
      <c r="K27" s="99"/>
      <c r="L27" s="99"/>
      <c r="M27" s="99"/>
      <c r="N27" s="100"/>
      <c r="S27" s="54"/>
    </row>
    <row r="28" spans="2:24" ht="15.75" customHeight="1" x14ac:dyDescent="0.2">
      <c r="B28" s="98"/>
      <c r="C28" s="99"/>
      <c r="D28" s="99"/>
      <c r="E28" s="99"/>
      <c r="F28" s="99"/>
      <c r="G28" s="99"/>
      <c r="H28" s="99"/>
      <c r="I28" s="99"/>
      <c r="J28" s="99"/>
      <c r="K28" s="99"/>
      <c r="L28" s="99"/>
      <c r="M28" s="99"/>
      <c r="N28" s="100"/>
      <c r="S28" s="54"/>
    </row>
    <row r="29" spans="2:24" ht="15.75" customHeight="1" x14ac:dyDescent="0.2">
      <c r="B29" s="98"/>
      <c r="C29" s="99"/>
      <c r="D29" s="99"/>
      <c r="E29" s="99"/>
      <c r="F29" s="99"/>
      <c r="G29" s="99"/>
      <c r="H29" s="99"/>
      <c r="I29" s="99"/>
      <c r="J29" s="99"/>
      <c r="K29" s="99"/>
      <c r="L29" s="99"/>
      <c r="M29" s="99"/>
      <c r="N29" s="100"/>
      <c r="S29" s="54"/>
    </row>
    <row r="30" spans="2:24" ht="28.5" customHeight="1" thickBot="1" x14ac:dyDescent="0.25">
      <c r="B30" s="101"/>
      <c r="C30" s="102"/>
      <c r="D30" s="102"/>
      <c r="E30" s="102"/>
      <c r="F30" s="102"/>
      <c r="G30" s="102"/>
      <c r="H30" s="102"/>
      <c r="I30" s="102"/>
      <c r="J30" s="102"/>
      <c r="K30" s="102"/>
      <c r="L30" s="102"/>
      <c r="M30" s="102"/>
      <c r="N30" s="103"/>
      <c r="S30" s="54"/>
    </row>
    <row r="31" spans="2:24" ht="15.75" thickBot="1" x14ac:dyDescent="0.25">
      <c r="S31" s="54"/>
    </row>
    <row r="32" spans="2:24" x14ac:dyDescent="0.2">
      <c r="B32" s="95" t="s">
        <v>346</v>
      </c>
      <c r="C32" s="96"/>
      <c r="D32" s="96"/>
      <c r="E32" s="96"/>
      <c r="F32" s="96"/>
      <c r="G32" s="96"/>
      <c r="H32" s="96"/>
      <c r="I32" s="96"/>
      <c r="J32" s="96"/>
      <c r="K32" s="96"/>
      <c r="L32" s="96"/>
      <c r="M32" s="96"/>
      <c r="N32" s="97"/>
      <c r="S32" s="54"/>
    </row>
    <row r="33" spans="2:19" x14ac:dyDescent="0.2">
      <c r="B33" s="98"/>
      <c r="C33" s="99"/>
      <c r="D33" s="99"/>
      <c r="E33" s="99"/>
      <c r="F33" s="99"/>
      <c r="G33" s="99"/>
      <c r="H33" s="99"/>
      <c r="I33" s="99"/>
      <c r="J33" s="99"/>
      <c r="K33" s="99"/>
      <c r="L33" s="99"/>
      <c r="M33" s="99"/>
      <c r="N33" s="100"/>
      <c r="S33" s="54"/>
    </row>
    <row r="34" spans="2:19" x14ac:dyDescent="0.2">
      <c r="B34" s="98"/>
      <c r="C34" s="99"/>
      <c r="D34" s="99"/>
      <c r="E34" s="99"/>
      <c r="F34" s="99"/>
      <c r="G34" s="99"/>
      <c r="H34" s="99"/>
      <c r="I34" s="99"/>
      <c r="J34" s="99"/>
      <c r="K34" s="99"/>
      <c r="L34" s="99"/>
      <c r="M34" s="99"/>
      <c r="N34" s="100"/>
      <c r="S34" s="54"/>
    </row>
    <row r="35" spans="2:19" x14ac:dyDescent="0.2">
      <c r="B35" s="98"/>
      <c r="C35" s="99"/>
      <c r="D35" s="99"/>
      <c r="E35" s="99"/>
      <c r="F35" s="99"/>
      <c r="G35" s="99"/>
      <c r="H35" s="99"/>
      <c r="I35" s="99"/>
      <c r="J35" s="99"/>
      <c r="K35" s="99"/>
      <c r="L35" s="99"/>
      <c r="M35" s="99"/>
      <c r="N35" s="100"/>
      <c r="S35" s="54"/>
    </row>
    <row r="36" spans="2:19" x14ac:dyDescent="0.2">
      <c r="B36" s="98"/>
      <c r="C36" s="99"/>
      <c r="D36" s="99"/>
      <c r="E36" s="99"/>
      <c r="F36" s="99"/>
      <c r="G36" s="99"/>
      <c r="H36" s="99"/>
      <c r="I36" s="99"/>
      <c r="J36" s="99"/>
      <c r="K36" s="99"/>
      <c r="L36" s="99"/>
      <c r="M36" s="99"/>
      <c r="N36" s="100"/>
      <c r="S36" s="54"/>
    </row>
    <row r="37" spans="2:19" x14ac:dyDescent="0.2">
      <c r="B37" s="98"/>
      <c r="C37" s="99"/>
      <c r="D37" s="99"/>
      <c r="E37" s="99"/>
      <c r="F37" s="99"/>
      <c r="G37" s="99"/>
      <c r="H37" s="99"/>
      <c r="I37" s="99"/>
      <c r="J37" s="99"/>
      <c r="K37" s="99"/>
      <c r="L37" s="99"/>
      <c r="M37" s="99"/>
      <c r="N37" s="100"/>
      <c r="S37" s="54"/>
    </row>
    <row r="38" spans="2:19" ht="15.75" thickBot="1" x14ac:dyDescent="0.25">
      <c r="B38" s="101"/>
      <c r="C38" s="102"/>
      <c r="D38" s="102"/>
      <c r="E38" s="102"/>
      <c r="F38" s="102"/>
      <c r="G38" s="102"/>
      <c r="H38" s="102"/>
      <c r="I38" s="102"/>
      <c r="J38" s="102"/>
      <c r="K38" s="102"/>
      <c r="L38" s="102"/>
      <c r="M38" s="102"/>
      <c r="N38" s="103"/>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Long Dur</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2024-11-04T03:44:48Z</dcterms:created>
  <dcterms:modified xsi:type="dcterms:W3CDTF">2024-11-05T08:26:50Z</dcterms:modified>
</cp:coreProperties>
</file>