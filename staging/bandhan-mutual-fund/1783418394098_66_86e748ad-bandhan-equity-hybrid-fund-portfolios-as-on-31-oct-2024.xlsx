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drawings/drawing36.xml" ContentType="application/vnd.openxmlformats-officedocument.drawing+xml"/>
  <Override PartName="/xl/charts/chart42.xml" ContentType="application/vnd.openxmlformats-officedocument.drawingml.chart+xml"/>
  <Override PartName="/xl/drawings/drawing37.xml" ContentType="application/vnd.openxmlformats-officedocument.drawing+xml"/>
  <Override PartName="/xl/charts/chart43.xml" ContentType="application/vnd.openxmlformats-officedocument.drawingml.chart+xml"/>
  <Override PartName="/xl/drawings/drawing38.xml" ContentType="application/vnd.openxmlformats-officedocument.drawing+xml"/>
  <Override PartName="/xl/charts/chart44.xml" ContentType="application/vnd.openxmlformats-officedocument.drawingml.chart+xml"/>
  <Override PartName="/xl/drawings/drawing39.xml" ContentType="application/vnd.openxmlformats-officedocument.drawing+xml"/>
  <Override PartName="/xl/charts/chart45.xml" ContentType="application/vnd.openxmlformats-officedocument.drawingml.chart+xml"/>
  <Override PartName="/xl/drawings/drawing40.xml" ContentType="application/vnd.openxmlformats-officedocument.drawing+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Nov 2024\"/>
    </mc:Choice>
  </mc:AlternateContent>
  <xr:revisionPtr revIDLastSave="0" documentId="13_ncr:1_{9B4F9EC5-2BEA-4FD8-8609-674633194F7D}"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NIFTY 50 Index" sheetId="10" r:id="rId26"/>
    <sheet name="BANDHAN BSE SENSEX ETF" sheetId="16" r:id="rId27"/>
    <sheet name="BANDHAN- Nifty 50 ETF" sheetId="17" r:id="rId28"/>
    <sheet name="BANDHAN-Nifty 100 Index" sheetId="31" r:id="rId29"/>
    <sheet name="BANDHAN-Nifty200 Mom30 Index" sheetId="34" r:id="rId30"/>
    <sheet name="BANDHAN NIF100LV30" sheetId="35" r:id="rId31"/>
    <sheet name="BANDHAN NIFTY IT INDEX" sheetId="40" r:id="rId32"/>
    <sheet name="Bandhan Nifty Alpha 50 Index" sheetId="42" r:id="rId33"/>
    <sheet name="Bandhan Nifty Smallcap 250 " sheetId="44" r:id="rId34"/>
    <sheet name="Bandhan Nifty Total Market " sheetId="47" r:id="rId35"/>
    <sheet name="Bandhan Nifty Bank Index Fund" sheetId="49" r:id="rId36"/>
    <sheet name="Bandhan BSE Healthcare Index " sheetId="52" r:id="rId37"/>
    <sheet name="Bandhan Nifty Midcap 150 Index " sheetId="53" r:id="rId38"/>
    <sheet name="Bandhan Nifty 500 Value 50 " sheetId="56" r:id="rId39"/>
    <sheet name="Bandhan Nifty 500 Momentum 50 " sheetId="57" r:id="rId40"/>
  </sheets>
  <definedNames>
    <definedName name="_xlnm._FilterDatabase" localSheetId="22" hidden="1">'BANDHAN AAF-AP'!$C$12:$D$15</definedName>
    <definedName name="_xlnm._FilterDatabase" localSheetId="16" hidden="1">'BANDHAN BAF'!$I$48:$J$53</definedName>
    <definedName name="_xlnm.Print_Area" localSheetId="15">'BANDHAN-AF'!$C$5:$E$17</definedName>
  </definedNames>
  <calcPr calcId="191029"/>
</workbook>
</file>

<file path=xl/calcChain.xml><?xml version="1.0" encoding="utf-8"?>
<calcChain xmlns="http://schemas.openxmlformats.org/spreadsheetml/2006/main">
  <c r="E24" i="57" l="1"/>
  <c r="E24" i="56"/>
  <c r="H10" i="26"/>
  <c r="H9" i="26"/>
  <c r="H9" i="18"/>
  <c r="H10" i="18"/>
  <c r="K17" i="25"/>
  <c r="E23" i="27"/>
  <c r="E24" i="54" l="1"/>
  <c r="E20" i="49" l="1"/>
  <c r="E24" i="53"/>
  <c r="E24" i="52"/>
  <c r="E51" i="5"/>
  <c r="K16" i="25" l="1"/>
  <c r="K15" i="25"/>
  <c r="K14" i="25"/>
  <c r="K12" i="25"/>
  <c r="K10" i="25"/>
  <c r="H8" i="26" l="1"/>
  <c r="E24" i="47" l="1"/>
  <c r="K13" i="26"/>
  <c r="K12" i="26"/>
  <c r="K9" i="26"/>
  <c r="H8" i="18"/>
  <c r="E24" i="46" l="1"/>
  <c r="K14" i="18" l="1"/>
  <c r="E24" i="45" l="1"/>
  <c r="E42" i="45" s="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5" i="18" l="1"/>
  <c r="K10" i="18" l="1"/>
  <c r="E24" i="26"/>
  <c r="E47" i="26" s="1"/>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<sst xmlns="http://schemas.openxmlformats.org/spreadsheetml/2006/main" count="2535" uniqueCount="410">
  <si>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</si>
  <si>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</si>
  <si>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</si>
  <si>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</si>
  <si>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</si>
  <si>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</si>
  <si>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</si>
  <si>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</si>
  <si>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</si>
  <si>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</si>
  <si>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</si>
  <si>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</si>
  <si>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</si>
  <si>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</si>
  <si>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</si>
  <si>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</si>
  <si>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</si>
  <si>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</si>
  <si>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</si>
  <si>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</si>
  <si>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</si>
  <si>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</si>
  <si>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</si>
  <si>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</si>
  <si>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</si>
  <si>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</si>
  <si>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</si>
  <si>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</si>
  <si>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</si>
  <si>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</si>
  <si>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</si>
  <si>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</si>
  <si>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</si>
  <si>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</si>
  <si>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</si>
  <si>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</si>
  <si>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</si>
  <si>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</si>
  <si>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</si>
  <si>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</si>
  <si>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</si>
  <si>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</si>
  <si>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</si>
  <si>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</si>
  <si>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</si>
  <si>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</si>
  <si>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</si>
  <si>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</si>
  <si>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</si>
  <si>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</si>
  <si>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</si>
  <si>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</si>
  <si>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</si>
  <si>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</si>
  <si>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</si>
  <si>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</si>
  <si>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</si>
  <si>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</si>
  <si>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</si>
  <si>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</si>
  <si>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</si>
  <si>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</si>
  <si>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</si>
  <si>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</si>
  <si>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</si>
  <si>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</si>
  <si>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</si>
  <si>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</si>
  <si>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</si>
  <si>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</si>
  <si>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</si>
  <si>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</si>
  <si>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</si>
  <si>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</si>
  <si>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</si>
  <si>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</si>
  <si>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</si>
  <si>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</si>
  <si>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</si>
  <si>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</si>
  <si>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</si>
  <si>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</si>
  <si>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</si>
  <si>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</si>
  <si>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</si>
  <si>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</si>
  <si>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</si>
  <si>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</si>
  <si>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</si>
  <si>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</si>
  <si>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</si>
  <si>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</si>
  <si>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</si>
  <si>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</si>
  <si>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</si>
  <si>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</si>
  <si>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</si>
  <si>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</si>
  <si>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</si>
  <si>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</si>
  <si>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</si>
  <si>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</si>
  <si>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</si>
  <si>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</si>
  <si>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</si>
  <si>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</si>
  <si>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</si>
  <si>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</si>
  <si>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</si>
  <si>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</si>
  <si>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</si>
  <si>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</si>
  <si>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</si>
  <si>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</si>
  <si>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</si>
  <si>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</si>
  <si>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</si>
  <si>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</si>
  <si>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</si>
  <si>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</si>
  <si>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</si>
  <si>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</si>
  <si>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</si>
  <si>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</si>
  <si>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</si>
  <si>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</si>
  <si>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</si>
  <si>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</si>
  <si>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</si>
  <si>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</si>
  <si>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</si>
  <si>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</si>
  <si>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</si>
  <si>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</si>
  <si>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</si>
  <si>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</si>
  <si>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</si>
  <si>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</si>
  <si>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</si>
  <si>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</si>
  <si>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</si>
  <si>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</si>
  <si>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</si>
  <si>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</si>
  <si>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</si>
  <si>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</si>
  <si>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</si>
  <si>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</si>
  <si>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</si>
  <si>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</si>
  <si>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</si>
  <si>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</si>
  <si>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</si>
  <si>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</si>
  <si>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</si>
  <si>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</si>
  <si>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</si>
  <si>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</si>
  <si>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</si>
  <si>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</si>
  <si>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</si>
  <si>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</si>
  <si>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</si>
  <si>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</si>
  <si>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</si>
  <si>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</si>
  <si>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</si>
  <si>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</si>
  <si>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</si>
  <si>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</si>
  <si>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</si>
  <si>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</si>
  <si>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</si>
  <si>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</si>
  <si>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</si>
  <si>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</si>
  <si>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</si>
  <si>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</si>
  <si>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</si>
  <si>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</si>
  <si>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</si>
  <si>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</si>
  <si>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</si>
  <si>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Tube Investments of India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</si>
  <si>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</si>
  <si>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</si>
  <si>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</si>
  <si>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</si>
  <si>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</si>
  <si>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</si>
  <si>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</si>
  <si>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</si>
  <si>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</si>
  <si>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</si>
  <si>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</si>
  <si>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</si>
  <si>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</si>
  <si>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</si>
  <si>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</si>
  <si>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</si>
  <si>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</si>
  <si>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</si>
  <si>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</si>
  <si>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</si>
  <si>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</si>
  <si>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</si>
  <si>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</si>
  <si>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</si>
  <si>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</si>
  <si>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</si>
  <si>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</si>
  <si>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</si>
  <si>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</si>
  <si>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</si>
  <si>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</si>
  <si>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</si>
  <si>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</si>
  <si>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</si>
  <si>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</si>
  <si>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Telecom -  Equipment &amp; Accessories</t>
  </si>
  <si>
    <t>Healthcare Equipment &amp; Supplies</t>
  </si>
  <si>
    <t>Central Depository Services (India) Limited</t>
  </si>
  <si>
    <t>Karur Vysya Bank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</si>
  <si>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</si>
  <si>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</si>
  <si>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</si>
  <si>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</si>
  <si>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</si>
  <si>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</si>
  <si>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</si>
  <si>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</si>
  <si>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</si>
  <si>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</si>
  <si>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</si>
  <si>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</si>
  <si>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</si>
  <si>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</si>
  <si>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</si>
  <si>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</si>
  <si>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ICICI Lombard General Insurance Company Limited</t>
  </si>
  <si>
    <t>IT - Hardware</t>
  </si>
  <si>
    <t>Jio Financial Services Limited</t>
  </si>
  <si>
    <t>National Aluminium Company Limited</t>
  </si>
  <si>
    <t>Dixon Technologies (India) Limited</t>
  </si>
  <si>
    <t>6.54% GOI (MD 17/01/2032)</t>
  </si>
  <si>
    <t>V-Mart Retail Limited</t>
  </si>
  <si>
    <t>Siemens Limited</t>
  </si>
  <si>
    <t>Aditya Birla Sun Life AMC Limited</t>
  </si>
  <si>
    <t>Asian Paints Limited</t>
  </si>
  <si>
    <t>Glenmark Pharmaceuticals Limited</t>
  </si>
  <si>
    <t>Crompton Greaves Consumer Electricals Limited</t>
  </si>
  <si>
    <t>BSE Limited</t>
  </si>
  <si>
    <t>Suzlon Energy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</si>
  <si>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</si>
  <si>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</si>
  <si>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</si>
  <si>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</si>
  <si>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</si>
  <si>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</si>
  <si>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</si>
  <si>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</si>
  <si>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</si>
  <si>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</si>
  <si>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PCBL Limited</t>
  </si>
  <si>
    <t>Prudent Corporate Advisory Services Limited</t>
  </si>
  <si>
    <t>Aster DM Healthcare Limited</t>
  </si>
  <si>
    <t>Amara Raja Energy &amp; Mobility Ltd</t>
  </si>
  <si>
    <t>The Great Eastern Shipping Company Limited</t>
  </si>
  <si>
    <t>Sun Pharmaceutical Industries Limited</t>
  </si>
  <si>
    <t>Titan Company Limited</t>
  </si>
  <si>
    <t>KEC International Limited</t>
  </si>
  <si>
    <t>Miscellaneous</t>
  </si>
  <si>
    <t>LT Foods Limited</t>
  </si>
  <si>
    <t>The South Indian Bank Limited</t>
  </si>
  <si>
    <t>Praj Industries Limited</t>
  </si>
  <si>
    <t>Alkem Laboratories Limited</t>
  </si>
  <si>
    <t>Tata Power Company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</si>
  <si>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</si>
  <si>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</si>
  <si>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</si>
  <si>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</si>
  <si>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</si>
  <si>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</si>
  <si>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</si>
  <si>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</si>
  <si>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</si>
  <si>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</si>
  <si>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</si>
  <si>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</si>
  <si>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Mphasis Limited</t>
  </si>
  <si>
    <t>NBCC (India) Limited</t>
  </si>
  <si>
    <t>Other Utilities</t>
  </si>
  <si>
    <t>Other Consumer Services</t>
  </si>
  <si>
    <t>AA</t>
  </si>
  <si>
    <t>One 97 Communications Limited</t>
  </si>
  <si>
    <t>Certificate of Deposit Total</t>
  </si>
  <si>
    <t>A1+</t>
  </si>
  <si>
    <t>Punjab National Bank</t>
  </si>
  <si>
    <t>Tata Projects Limited</t>
  </si>
  <si>
    <t>Torrent Pharmaceuticals Limited</t>
  </si>
  <si>
    <t>Bajaj Housing Finance Limited</t>
  </si>
  <si>
    <t>Oil India Limited</t>
  </si>
  <si>
    <t>Inox Green Energy Services Limited</t>
  </si>
  <si>
    <t>Angel One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</si>
  <si>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</si>
  <si>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</si>
  <si>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</si>
  <si>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</si>
  <si>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</si>
  <si>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</si>
  <si>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</si>
  <si>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</si>
  <si>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</si>
  <si>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</si>
  <si>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</si>
  <si>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</si>
  <si>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Spicejet Limited</t>
  </si>
  <si>
    <t>MRF Limited</t>
  </si>
  <si>
    <t>Escorts Kubota Limited</t>
  </si>
  <si>
    <t>Samvardhana Motherson International Limited</t>
  </si>
  <si>
    <t>SBI Cards and Payment Services Limited</t>
  </si>
  <si>
    <t>Jubilant Ingrevia Limited</t>
  </si>
  <si>
    <t>Dabur India Limited</t>
  </si>
  <si>
    <t>Apollo Hospitals Enterprise Limited</t>
  </si>
  <si>
    <t>Cochin Shipyard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</si>
  <si>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</si>
  <si>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</si>
  <si>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</si>
  <si>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</si>
  <si>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</si>
  <si>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</si>
  <si>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</si>
  <si>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</si>
  <si>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</si>
  <si>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IPCA Laboratories Limited</t>
  </si>
  <si>
    <t>Bandhan Nifty Midcap 150 Index Fund</t>
  </si>
  <si>
    <t>BANDHAN BUSINESS CYCLE FUND</t>
  </si>
  <si>
    <t>Coromandel International Limited</t>
  </si>
  <si>
    <t>Tata Technologies Limited</t>
  </si>
  <si>
    <t>Equity Options</t>
  </si>
  <si>
    <t>State Government Bond</t>
  </si>
  <si>
    <t>Aditya Birla Real Estate Limited</t>
  </si>
  <si>
    <t>7.1% GOI (MD 08/04/2034)</t>
  </si>
  <si>
    <t>Bandhan Nifty 500 Value 50 Index Fund</t>
  </si>
  <si>
    <t>Bandhan Nifty 500 Momentum 50 Index Fund</t>
  </si>
  <si>
    <t>DCX Systems Limited</t>
  </si>
  <si>
    <t>Knowledge Marine &amp; Engineering Works Limited</t>
  </si>
  <si>
    <t>HDFC Life Insurance Company Limited</t>
  </si>
  <si>
    <t>Avenue Supermarts Limited</t>
  </si>
  <si>
    <t>Nitin Spinners Limited</t>
  </si>
  <si>
    <t>Inox Wind Energy Limited</t>
  </si>
  <si>
    <t>LG Balakrishnan &amp; Bros Limited</t>
  </si>
  <si>
    <t>Sundaram Clayton Limited</t>
  </si>
  <si>
    <t>Epigral Limited</t>
  </si>
  <si>
    <t>BANDHAN BSE SENSEX Exchange Traded Fund</t>
  </si>
  <si>
    <t>Hitachi Energy India Limited</t>
  </si>
  <si>
    <t>Laurus Labs Limited</t>
  </si>
  <si>
    <t>Suven Pharmaceuticals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</si>
  <si>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</si>
  <si>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</si>
  <si>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</si>
  <si>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</si>
  <si>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</si>
  <si>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</si>
  <si>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</si>
  <si>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</si>
  <si>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Adani Power Limited</t>
  </si>
  <si>
    <t>322.10 crs</t>
  </si>
  <si>
    <t>6916.82 Cr</t>
  </si>
  <si>
    <t>1697.40 crs</t>
  </si>
  <si>
    <t xml:space="preserve"> 1745.69 crs</t>
  </si>
  <si>
    <t>10035.78 crs</t>
  </si>
  <si>
    <t>1493.79 crs</t>
  </si>
  <si>
    <t>2426.89 crs</t>
  </si>
  <si>
    <t>7334.41 crs</t>
  </si>
  <si>
    <t>1776.78 crs</t>
  </si>
  <si>
    <t>541.38 crs</t>
  </si>
  <si>
    <t>950.78 crs</t>
  </si>
  <si>
    <t>1285.47 crs</t>
  </si>
  <si>
    <t>1652.10 crs</t>
  </si>
  <si>
    <t>6900.19 crs</t>
  </si>
  <si>
    <t>7740.04 crs</t>
  </si>
  <si>
    <t>194.14 crs</t>
  </si>
  <si>
    <t>119.55 crs</t>
  </si>
  <si>
    <t>787.10 crs</t>
  </si>
  <si>
    <t>172.89 crs</t>
  </si>
  <si>
    <t>1778.43 crs</t>
  </si>
  <si>
    <t>18.99 crs</t>
  </si>
  <si>
    <t>19.85 crs</t>
  </si>
  <si>
    <t>6.08 crs</t>
  </si>
  <si>
    <t>1564.74 crs</t>
  </si>
  <si>
    <t>1.20 crs</t>
  </si>
  <si>
    <t>26.05 crs</t>
  </si>
  <si>
    <t>148.13 crs</t>
  </si>
  <si>
    <t>136.10 crs</t>
  </si>
  <si>
    <t>1283.11 crs</t>
  </si>
  <si>
    <t>24.39 crs</t>
  </si>
  <si>
    <t>296.21 crs</t>
  </si>
  <si>
    <t>43.66 crs</t>
  </si>
  <si>
    <t>34.09 crs</t>
  </si>
  <si>
    <t>12.31 crs</t>
  </si>
  <si>
    <t>17.62 crs</t>
  </si>
  <si>
    <t>18.90 crs</t>
  </si>
  <si>
    <t>6.69 crs</t>
  </si>
  <si>
    <t>11.89 crs</t>
  </si>
  <si>
    <t>Portfolio as on - (31st October 2024)</t>
  </si>
  <si>
    <t>Net Assets as on 31st October, 2024</t>
  </si>
  <si>
    <t>2268.45 crs</t>
  </si>
  <si>
    <t>Repco Home Finance Limited</t>
  </si>
  <si>
    <t>8716.22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</si>
</sst>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16"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7">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0" fontId="6" fillId="0" borderId="25" xfId="0" applyFont="1" applyBorder="1"/>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10" xfId="1" applyNumberFormat="1" applyFont="1" applyBorder="1" applyAlignment="1">
      <alignment horizontal="right"/>
    </xf>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0.98720200000000002</c:v>
                </c:pt>
                <c:pt idx="1">
                  <c:v>-3.2209999999999999E-3</c:v>
                </c:pt>
                <c:pt idx="2">
                  <c:v>1.6018999999999999E-2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CEF'!$W$8:$W$44</c:f>
              <c:strCache>
                <c:ptCount val="37"/>
                <c:pt idx="0">
                  <c:v>Banks</c:v>
                </c:pt>
                <c:pt idx="1">
                  <c:v>IT - Software</c:v>
                </c:pt>
                <c:pt idx="2">
                  <c:v>Pharmaceuticals &amp; Biotechnology</c:v>
                </c:pt>
                <c:pt idx="3">
                  <c:v>Finance</c:v>
                </c:pt>
                <c:pt idx="4">
                  <c:v>Retailing</c:v>
                </c:pt>
                <c:pt idx="5">
                  <c:v>Petroleum Products</c:v>
                </c:pt>
                <c:pt idx="6">
                  <c:v>Auto Components</c:v>
                </c:pt>
                <c:pt idx="7">
                  <c:v>Healthcare Services</c:v>
                </c:pt>
                <c:pt idx="8">
                  <c:v>Realty</c:v>
                </c:pt>
                <c:pt idx="9">
                  <c:v>Transport Services</c:v>
                </c:pt>
                <c:pt idx="10">
                  <c:v>Construction</c:v>
                </c:pt>
                <c:pt idx="11">
                  <c:v>Electrical Equipment</c:v>
                </c:pt>
                <c:pt idx="12">
                  <c:v>Telecom - Services</c:v>
                </c:pt>
                <c:pt idx="13">
                  <c:v>Insurance</c:v>
                </c:pt>
                <c:pt idx="14">
                  <c:v>Beverages</c:v>
                </c:pt>
                <c:pt idx="15">
                  <c:v>Power</c:v>
                </c:pt>
                <c:pt idx="16">
                  <c:v>Financial Technology (Fintech)</c:v>
                </c:pt>
                <c:pt idx="17">
                  <c:v>Diversified FMCG</c:v>
                </c:pt>
                <c:pt idx="18">
                  <c:v>Minerals &amp; Mining</c:v>
                </c:pt>
                <c:pt idx="19">
                  <c:v>Consumer Durables</c:v>
                </c:pt>
                <c:pt idx="20">
                  <c:v>Capital Markets</c:v>
                </c:pt>
                <c:pt idx="21">
                  <c:v>Chemicals &amp; Petrochemicals</c:v>
                </c:pt>
                <c:pt idx="22">
                  <c:v>Industrial Products</c:v>
                </c:pt>
                <c:pt idx="23">
                  <c:v>Textiles &amp; Apparels</c:v>
                </c:pt>
                <c:pt idx="24">
                  <c:v>Diversified Metals</c:v>
                </c:pt>
                <c:pt idx="25">
                  <c:v>Agricultural Food &amp; other Products</c:v>
                </c:pt>
                <c:pt idx="26">
                  <c:v>Automobiles</c:v>
                </c:pt>
                <c:pt idx="27">
                  <c:v>Diversified</c:v>
                </c:pt>
                <c:pt idx="28">
                  <c:v>Ferrous Metals</c:v>
                </c:pt>
                <c:pt idx="29">
                  <c:v>Cement &amp; Cement Products</c:v>
                </c:pt>
                <c:pt idx="30">
                  <c:v>Commercial Services &amp; Supplies</c:v>
                </c:pt>
                <c:pt idx="31">
                  <c:v>Aerospace &amp; Defense</c:v>
                </c:pt>
                <c:pt idx="32">
                  <c:v>Leisure Services</c:v>
                </c:pt>
                <c:pt idx="33">
                  <c:v>Oil</c:v>
                </c:pt>
                <c:pt idx="34">
                  <c:v>Industrial Manufacturing</c:v>
                </c:pt>
                <c:pt idx="35">
                  <c:v>Fertilizers &amp; Agrochemicals</c:v>
                </c:pt>
                <c:pt idx="36">
                  <c:v>Entertainment</c:v>
                </c:pt>
              </c:strCache>
            </c:strRef>
          </c:cat>
          <c:val>
            <c:numRef>
              <c:f>'BANDHAN CEF'!$X$8:$X$44</c:f>
              <c:numCache>
                <c:formatCode>0.00%</c:formatCode>
                <c:ptCount val="37"/>
                <c:pt idx="0">
                  <c:v>0.13058899999999998</c:v>
                </c:pt>
                <c:pt idx="1">
                  <c:v>8.0484999999999987E-2</c:v>
                </c:pt>
                <c:pt idx="2">
                  <c:v>7.2801999999999992E-2</c:v>
                </c:pt>
                <c:pt idx="3">
                  <c:v>6.3187000000000007E-2</c:v>
                </c:pt>
                <c:pt idx="4">
                  <c:v>4.623E-2</c:v>
                </c:pt>
                <c:pt idx="5">
                  <c:v>4.4287999999999994E-2</c:v>
                </c:pt>
                <c:pt idx="6">
                  <c:v>3.4561000000000001E-2</c:v>
                </c:pt>
                <c:pt idx="7">
                  <c:v>2.8597999999999998E-2</c:v>
                </c:pt>
                <c:pt idx="8">
                  <c:v>2.8433000000000003E-2</c:v>
                </c:pt>
                <c:pt idx="9">
                  <c:v>2.8222000000000004E-2</c:v>
                </c:pt>
                <c:pt idx="10">
                  <c:v>2.6978000000000002E-2</c:v>
                </c:pt>
                <c:pt idx="11">
                  <c:v>2.3293999999999999E-2</c:v>
                </c:pt>
                <c:pt idx="12">
                  <c:v>2.2584E-2</c:v>
                </c:pt>
                <c:pt idx="13">
                  <c:v>2.2194999999999999E-2</c:v>
                </c:pt>
                <c:pt idx="14">
                  <c:v>2.1429999999999998E-2</c:v>
                </c:pt>
                <c:pt idx="15">
                  <c:v>2.0781000000000001E-2</c:v>
                </c:pt>
                <c:pt idx="16">
                  <c:v>2.0673E-2</c:v>
                </c:pt>
                <c:pt idx="17">
                  <c:v>2.0199000000000002E-2</c:v>
                </c:pt>
                <c:pt idx="18">
                  <c:v>1.8511E-2</c:v>
                </c:pt>
                <c:pt idx="19">
                  <c:v>1.7548000000000001E-2</c:v>
                </c:pt>
                <c:pt idx="20">
                  <c:v>1.6821000000000003E-2</c:v>
                </c:pt>
                <c:pt idx="21">
                  <c:v>1.6001999999999999E-2</c:v>
                </c:pt>
                <c:pt idx="22">
                  <c:v>1.5426E-2</c:v>
                </c:pt>
                <c:pt idx="23">
                  <c:v>1.2862E-2</c:v>
                </c:pt>
                <c:pt idx="24">
                  <c:v>1.255E-2</c:v>
                </c:pt>
                <c:pt idx="25">
                  <c:v>1.2390999999999999E-2</c:v>
                </c:pt>
                <c:pt idx="26">
                  <c:v>1.1104000000000001E-2</c:v>
                </c:pt>
                <c:pt idx="27">
                  <c:v>9.8019999999999999E-3</c:v>
                </c:pt>
                <c:pt idx="28">
                  <c:v>8.9580000000000007E-3</c:v>
                </c:pt>
                <c:pt idx="29">
                  <c:v>8.4760000000000009E-3</c:v>
                </c:pt>
                <c:pt idx="30">
                  <c:v>8.3160000000000005E-3</c:v>
                </c:pt>
                <c:pt idx="31">
                  <c:v>7.894E-3</c:v>
                </c:pt>
                <c:pt idx="32">
                  <c:v>7.6670000000000002E-3</c:v>
                </c:pt>
                <c:pt idx="33">
                  <c:v>7.6500000000000005E-3</c:v>
                </c:pt>
                <c:pt idx="34">
                  <c:v>6.764E-3</c:v>
                </c:pt>
                <c:pt idx="35">
                  <c:v>6.3439999999999998E-3</c:v>
                </c:pt>
                <c:pt idx="36">
                  <c:v>5.208E-3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LCF'!$W$8:$W$35</c:f>
              <c:strCache>
                <c:ptCount val="28"/>
                <c:pt idx="0">
                  <c:v>Banks</c:v>
                </c:pt>
                <c:pt idx="1">
                  <c:v>IT - Software</c:v>
                </c:pt>
                <c:pt idx="2">
                  <c:v>Petroleum Products</c:v>
                </c:pt>
                <c:pt idx="3">
                  <c:v>Automobiles</c:v>
                </c:pt>
                <c:pt idx="4">
                  <c:v>Pharmaceuticals &amp; Biotechnology</c:v>
                </c:pt>
                <c:pt idx="5">
                  <c:v>Finance</c:v>
                </c:pt>
                <c:pt idx="6">
                  <c:v>Diversified FMCG</c:v>
                </c:pt>
                <c:pt idx="7">
                  <c:v>Retailing</c:v>
                </c:pt>
                <c:pt idx="8">
                  <c:v>Cement &amp; Cement Products</c:v>
                </c:pt>
                <c:pt idx="9">
                  <c:v>Telecom - Services</c:v>
                </c:pt>
                <c:pt idx="10">
                  <c:v>Personal Products</c:v>
                </c:pt>
                <c:pt idx="11">
                  <c:v>Leisure Services</c:v>
                </c:pt>
                <c:pt idx="12">
                  <c:v>Beverages</c:v>
                </c:pt>
                <c:pt idx="13">
                  <c:v>Ferrous Metals</c:v>
                </c:pt>
                <c:pt idx="14">
                  <c:v>Other Utilities</c:v>
                </c:pt>
                <c:pt idx="15">
                  <c:v>Aerospace &amp; Defense</c:v>
                </c:pt>
                <c:pt idx="16">
                  <c:v>Construction</c:v>
                </c:pt>
                <c:pt idx="17">
                  <c:v>Food Products</c:v>
                </c:pt>
                <c:pt idx="18">
                  <c:v>Agricultural Food &amp; other Products</c:v>
                </c:pt>
                <c:pt idx="19">
                  <c:v>Commercial Services &amp; Supplies</c:v>
                </c:pt>
                <c:pt idx="20">
                  <c:v>Consumer Durables</c:v>
                </c:pt>
                <c:pt idx="21">
                  <c:v>Transport Services</c:v>
                </c:pt>
                <c:pt idx="22">
                  <c:v>Insurance</c:v>
                </c:pt>
                <c:pt idx="23">
                  <c:v>Realty</c:v>
                </c:pt>
                <c:pt idx="24">
                  <c:v>Financial Technology (Fintech)</c:v>
                </c:pt>
                <c:pt idx="25">
                  <c:v>Capital Markets</c:v>
                </c:pt>
                <c:pt idx="26">
                  <c:v>Electrical Equipment</c:v>
                </c:pt>
                <c:pt idx="27">
                  <c:v>Engineering Services</c:v>
                </c:pt>
              </c:strCache>
            </c:strRef>
          </c:cat>
          <c:val>
            <c:numRef>
              <c:f>'BANDHAN LCF'!$X$8:$X$35</c:f>
              <c:numCache>
                <c:formatCode>0.00%</c:formatCode>
                <c:ptCount val="28"/>
                <c:pt idx="0">
                  <c:v>0.201572</c:v>
                </c:pt>
                <c:pt idx="1">
                  <c:v>0.13314599999999999</c:v>
                </c:pt>
                <c:pt idx="2">
                  <c:v>7.4504000000000001E-2</c:v>
                </c:pt>
                <c:pt idx="3">
                  <c:v>7.1599999999999997E-2</c:v>
                </c:pt>
                <c:pt idx="4">
                  <c:v>6.6497000000000001E-2</c:v>
                </c:pt>
                <c:pt idx="5">
                  <c:v>4.7364000000000003E-2</c:v>
                </c:pt>
                <c:pt idx="6">
                  <c:v>4.1554000000000001E-2</c:v>
                </c:pt>
                <c:pt idx="7">
                  <c:v>3.5540000000000002E-2</c:v>
                </c:pt>
                <c:pt idx="8">
                  <c:v>3.0464000000000001E-2</c:v>
                </c:pt>
                <c:pt idx="9">
                  <c:v>3.0303E-2</c:v>
                </c:pt>
                <c:pt idx="10">
                  <c:v>2.3537999999999996E-2</c:v>
                </c:pt>
                <c:pt idx="11">
                  <c:v>2.2045000000000002E-2</c:v>
                </c:pt>
                <c:pt idx="12">
                  <c:v>2.1704999999999999E-2</c:v>
                </c:pt>
                <c:pt idx="13">
                  <c:v>1.9084999999999998E-2</c:v>
                </c:pt>
                <c:pt idx="14">
                  <c:v>1.8568999999999999E-2</c:v>
                </c:pt>
                <c:pt idx="15">
                  <c:v>1.7545000000000002E-2</c:v>
                </c:pt>
                <c:pt idx="16">
                  <c:v>1.4107E-2</c:v>
                </c:pt>
                <c:pt idx="17">
                  <c:v>1.3561E-2</c:v>
                </c:pt>
                <c:pt idx="18">
                  <c:v>9.9520000000000008E-3</c:v>
                </c:pt>
                <c:pt idx="19">
                  <c:v>9.3849999999999992E-3</c:v>
                </c:pt>
                <c:pt idx="20">
                  <c:v>8.4730000000000014E-3</c:v>
                </c:pt>
                <c:pt idx="21">
                  <c:v>8.1290000000000008E-3</c:v>
                </c:pt>
                <c:pt idx="22">
                  <c:v>7.7610000000000005E-3</c:v>
                </c:pt>
                <c:pt idx="23">
                  <c:v>6.4590000000000003E-3</c:v>
                </c:pt>
                <c:pt idx="24">
                  <c:v>5.7549999999999997E-3</c:v>
                </c:pt>
                <c:pt idx="25">
                  <c:v>5.1110000000000001E-3</c:v>
                </c:pt>
                <c:pt idx="26">
                  <c:v>4.6519999999999999E-3</c:v>
                </c:pt>
                <c:pt idx="27">
                  <c:v>1.758E-3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Retailing</c:v>
                </c:pt>
                <c:pt idx="2">
                  <c:v>IT - Software</c:v>
                </c:pt>
                <c:pt idx="3">
                  <c:v>Electrical Equipment</c:v>
                </c:pt>
                <c:pt idx="4">
                  <c:v>Automobiles</c:v>
                </c:pt>
                <c:pt idx="5">
                  <c:v>Petroleum Products</c:v>
                </c:pt>
                <c:pt idx="6">
                  <c:v>Realty</c:v>
                </c:pt>
                <c:pt idx="7">
                  <c:v>Finance</c:v>
                </c:pt>
                <c:pt idx="8">
                  <c:v>Capital Markets</c:v>
                </c:pt>
                <c:pt idx="9">
                  <c:v>Other Utilities</c:v>
                </c:pt>
                <c:pt idx="10">
                  <c:v>Pharmaceuticals &amp; Biotechnology</c:v>
                </c:pt>
                <c:pt idx="11">
                  <c:v>Consumer Durables</c:v>
                </c:pt>
                <c:pt idx="12">
                  <c:v>Financial Technology (Fintech)</c:v>
                </c:pt>
                <c:pt idx="13">
                  <c:v>Engineering Services</c:v>
                </c:pt>
                <c:pt idx="14">
                  <c:v>Industrial Manufacturing</c:v>
                </c:pt>
                <c:pt idx="15">
                  <c:v>Aerospace &amp; Defense</c:v>
                </c:pt>
                <c:pt idx="16">
                  <c:v>Healthcare Services</c:v>
                </c:pt>
                <c:pt idx="17">
                  <c:v>Food Products</c:v>
                </c:pt>
                <c:pt idx="18">
                  <c:v>Leisure Services</c:v>
                </c:pt>
                <c:pt idx="19">
                  <c:v>Beverages</c:v>
                </c:pt>
              </c:strCache>
            </c:strRef>
          </c:cat>
          <c:val>
            <c:numRef>
              <c:f>'BANDHAN FEF'!$X$8:$X$27</c:f>
              <c:numCache>
                <c:formatCode>0.00%</c:formatCode>
                <c:ptCount val="20"/>
                <c:pt idx="0">
                  <c:v>0.17059299999999999</c:v>
                </c:pt>
                <c:pt idx="1">
                  <c:v>0.13276499999999999</c:v>
                </c:pt>
                <c:pt idx="2">
                  <c:v>0.107462</c:v>
                </c:pt>
                <c:pt idx="3">
                  <c:v>5.5121999999999997E-2</c:v>
                </c:pt>
                <c:pt idx="4">
                  <c:v>5.3749000000000005E-2</c:v>
                </c:pt>
                <c:pt idx="5">
                  <c:v>4.6686999999999999E-2</c:v>
                </c:pt>
                <c:pt idx="6">
                  <c:v>3.9035E-2</c:v>
                </c:pt>
                <c:pt idx="7">
                  <c:v>3.8702E-2</c:v>
                </c:pt>
                <c:pt idx="8">
                  <c:v>3.7588000000000003E-2</c:v>
                </c:pt>
                <c:pt idx="9">
                  <c:v>3.6110000000000003E-2</c:v>
                </c:pt>
                <c:pt idx="10">
                  <c:v>3.4941E-2</c:v>
                </c:pt>
                <c:pt idx="11">
                  <c:v>3.3777000000000001E-2</c:v>
                </c:pt>
                <c:pt idx="12">
                  <c:v>3.1667000000000001E-2</c:v>
                </c:pt>
                <c:pt idx="13">
                  <c:v>3.0696999999999999E-2</c:v>
                </c:pt>
                <c:pt idx="14">
                  <c:v>2.6696999999999999E-2</c:v>
                </c:pt>
                <c:pt idx="15">
                  <c:v>2.5614999999999999E-2</c:v>
                </c:pt>
                <c:pt idx="16">
                  <c:v>2.5183000000000001E-2</c:v>
                </c:pt>
                <c:pt idx="17">
                  <c:v>2.4882999999999999E-2</c:v>
                </c:pt>
                <c:pt idx="18">
                  <c:v>2.0138E-2</c:v>
                </c:pt>
                <c:pt idx="19">
                  <c:v>1.9524E-2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SVF'!$W$8:$W$38</c:f>
              <c:strCache>
                <c:ptCount val="31"/>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Ferrous Metals</c:v>
                </c:pt>
                <c:pt idx="10">
                  <c:v>Auto Components</c:v>
                </c:pt>
                <c:pt idx="11">
                  <c:v>Beverages</c:v>
                </c:pt>
                <c:pt idx="12">
                  <c:v>Consumer Durables</c:v>
                </c:pt>
                <c:pt idx="13">
                  <c:v>Diversified FMCG</c:v>
                </c:pt>
                <c:pt idx="14">
                  <c:v>Electrical Equipment</c:v>
                </c:pt>
                <c:pt idx="15">
                  <c:v>Retailing</c:v>
                </c:pt>
                <c:pt idx="16">
                  <c:v>Leisure Services</c:v>
                </c:pt>
                <c:pt idx="17">
                  <c:v>Realty</c:v>
                </c:pt>
                <c:pt idx="18">
                  <c:v>Food Products</c:v>
                </c:pt>
                <c:pt idx="19">
                  <c:v>Commercial Services &amp; Supplies</c:v>
                </c:pt>
                <c:pt idx="20">
                  <c:v>Personal Products</c:v>
                </c:pt>
                <c:pt idx="21">
                  <c:v>Diversified Metals</c:v>
                </c:pt>
                <c:pt idx="22">
                  <c:v>Oil</c:v>
                </c:pt>
                <c:pt idx="23">
                  <c:v>Telecom - Services</c:v>
                </c:pt>
                <c:pt idx="24">
                  <c:v>Transport Services</c:v>
                </c:pt>
                <c:pt idx="25">
                  <c:v>Gas</c:v>
                </c:pt>
                <c:pt idx="26">
                  <c:v>Non - Ferrous Metals</c:v>
                </c:pt>
                <c:pt idx="27">
                  <c:v>Cement &amp; Cement Products</c:v>
                </c:pt>
                <c:pt idx="28">
                  <c:v>Chemicals &amp; Petrochemicals</c:v>
                </c:pt>
                <c:pt idx="29">
                  <c:v>Fertilizers &amp; Agrochemicals</c:v>
                </c:pt>
                <c:pt idx="30">
                  <c:v>Minerals &amp; Mining</c:v>
                </c:pt>
              </c:strCache>
            </c:strRef>
          </c:cat>
          <c:val>
            <c:numRef>
              <c:f>'BANDHAN SVF'!$X$8:$X$38</c:f>
              <c:numCache>
                <c:formatCode>0.00%</c:formatCode>
                <c:ptCount val="31"/>
                <c:pt idx="0">
                  <c:v>0.17873299999999998</c:v>
                </c:pt>
                <c:pt idx="1">
                  <c:v>7.7701000000000006E-2</c:v>
                </c:pt>
                <c:pt idx="2">
                  <c:v>7.3509999999999992E-2</c:v>
                </c:pt>
                <c:pt idx="3">
                  <c:v>5.0320999999999998E-2</c:v>
                </c:pt>
                <c:pt idx="4">
                  <c:v>4.6455999999999997E-2</c:v>
                </c:pt>
                <c:pt idx="5">
                  <c:v>4.1492000000000001E-2</c:v>
                </c:pt>
                <c:pt idx="6">
                  <c:v>4.0177999999999998E-2</c:v>
                </c:pt>
                <c:pt idx="7">
                  <c:v>3.7277999999999999E-2</c:v>
                </c:pt>
                <c:pt idx="8">
                  <c:v>3.5548999999999997E-2</c:v>
                </c:pt>
                <c:pt idx="9">
                  <c:v>3.0883000000000001E-2</c:v>
                </c:pt>
                <c:pt idx="10">
                  <c:v>2.9907999999999997E-2</c:v>
                </c:pt>
                <c:pt idx="11">
                  <c:v>2.6032E-2</c:v>
                </c:pt>
                <c:pt idx="12">
                  <c:v>2.1921E-2</c:v>
                </c:pt>
                <c:pt idx="13">
                  <c:v>2.1918E-2</c:v>
                </c:pt>
                <c:pt idx="14">
                  <c:v>2.1759000000000001E-2</c:v>
                </c:pt>
                <c:pt idx="15">
                  <c:v>1.9734000000000002E-2</c:v>
                </c:pt>
                <c:pt idx="16">
                  <c:v>1.8674E-2</c:v>
                </c:pt>
                <c:pt idx="17">
                  <c:v>1.7815999999999999E-2</c:v>
                </c:pt>
                <c:pt idx="18">
                  <c:v>1.5821999999999999E-2</c:v>
                </c:pt>
                <c:pt idx="19">
                  <c:v>1.3728000000000001E-2</c:v>
                </c:pt>
                <c:pt idx="20">
                  <c:v>1.2786E-2</c:v>
                </c:pt>
                <c:pt idx="21">
                  <c:v>1.2485E-2</c:v>
                </c:pt>
                <c:pt idx="22">
                  <c:v>1.1934E-2</c:v>
                </c:pt>
                <c:pt idx="23">
                  <c:v>1.1247999999999999E-2</c:v>
                </c:pt>
                <c:pt idx="24">
                  <c:v>1.0576E-2</c:v>
                </c:pt>
                <c:pt idx="25">
                  <c:v>8.9669999999999993E-3</c:v>
                </c:pt>
                <c:pt idx="26">
                  <c:v>8.2030000000000002E-3</c:v>
                </c:pt>
                <c:pt idx="27">
                  <c:v>7.7299999999999999E-3</c:v>
                </c:pt>
                <c:pt idx="28">
                  <c:v>6.5669999999999999E-3</c:v>
                </c:pt>
                <c:pt idx="29">
                  <c:v>4.2750000000000002E-3</c:v>
                </c:pt>
                <c:pt idx="30">
                  <c:v>2.2109999999999999E-3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October 2024)</c:v>
                </c:pt>
              </c:strCache>
            </c:strRef>
          </c:tx>
          <c:invertIfNegative val="0"/>
          <c:cat>
            <c:strRef>
              <c:f>'BANDHAN SVF'!$W$8:$W$38</c:f>
              <c:strCache>
                <c:ptCount val="31"/>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Ferrous Metals</c:v>
                </c:pt>
                <c:pt idx="10">
                  <c:v>Auto Components</c:v>
                </c:pt>
                <c:pt idx="11">
                  <c:v>Beverages</c:v>
                </c:pt>
                <c:pt idx="12">
                  <c:v>Consumer Durables</c:v>
                </c:pt>
                <c:pt idx="13">
                  <c:v>Diversified FMCG</c:v>
                </c:pt>
                <c:pt idx="14">
                  <c:v>Electrical Equipment</c:v>
                </c:pt>
                <c:pt idx="15">
                  <c:v>Retailing</c:v>
                </c:pt>
                <c:pt idx="16">
                  <c:v>Leisure Services</c:v>
                </c:pt>
                <c:pt idx="17">
                  <c:v>Realty</c:v>
                </c:pt>
                <c:pt idx="18">
                  <c:v>Food Products</c:v>
                </c:pt>
                <c:pt idx="19">
                  <c:v>Commercial Services &amp; Supplies</c:v>
                </c:pt>
                <c:pt idx="20">
                  <c:v>Personal Products</c:v>
                </c:pt>
                <c:pt idx="21">
                  <c:v>Diversified Metals</c:v>
                </c:pt>
                <c:pt idx="22">
                  <c:v>Oil</c:v>
                </c:pt>
                <c:pt idx="23">
                  <c:v>Telecom - Services</c:v>
                </c:pt>
                <c:pt idx="24">
                  <c:v>Transport Services</c:v>
                </c:pt>
                <c:pt idx="25">
                  <c:v>Gas</c:v>
                </c:pt>
                <c:pt idx="26">
                  <c:v>Non - Ferrous Metals</c:v>
                </c:pt>
                <c:pt idx="27">
                  <c:v>Cement &amp; Cement Products</c:v>
                </c:pt>
                <c:pt idx="28">
                  <c:v>Chemicals &amp; Petrochemicals</c:v>
                </c:pt>
                <c:pt idx="29">
                  <c:v>Fertilizers &amp; Agrochemicals</c:v>
                </c:pt>
                <c:pt idx="30">
                  <c:v>Minerals &amp; Mining</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Construction</c:v>
                </c:pt>
                <c:pt idx="4">
                  <c:v>Petroleum Products</c:v>
                </c:pt>
                <c:pt idx="5">
                  <c:v>Insurance</c:v>
                </c:pt>
                <c:pt idx="6">
                  <c:v>Automobiles</c:v>
                </c:pt>
                <c:pt idx="7">
                  <c:v>Power</c:v>
                </c:pt>
                <c:pt idx="8">
                  <c:v>Finance</c:v>
                </c:pt>
                <c:pt idx="9">
                  <c:v>Ferrous Metals</c:v>
                </c:pt>
                <c:pt idx="10">
                  <c:v>Auto Components</c:v>
                </c:pt>
                <c:pt idx="11">
                  <c:v>Beverages</c:v>
                </c:pt>
                <c:pt idx="12">
                  <c:v>Consumer Durables</c:v>
                </c:pt>
                <c:pt idx="13">
                  <c:v>Diversified FMCG</c:v>
                </c:pt>
                <c:pt idx="14">
                  <c:v>Electrical Equipment</c:v>
                </c:pt>
                <c:pt idx="15">
                  <c:v>Retailing</c:v>
                </c:pt>
                <c:pt idx="16">
                  <c:v>Leisure Services</c:v>
                </c:pt>
                <c:pt idx="17">
                  <c:v>Realty</c:v>
                </c:pt>
                <c:pt idx="18">
                  <c:v>Food Products</c:v>
                </c:pt>
                <c:pt idx="19">
                  <c:v>Commercial Services &amp; Supplies</c:v>
                </c:pt>
                <c:pt idx="20">
                  <c:v>Personal Products</c:v>
                </c:pt>
                <c:pt idx="21">
                  <c:v>Diversified Metals</c:v>
                </c:pt>
                <c:pt idx="22">
                  <c:v>Oil</c:v>
                </c:pt>
                <c:pt idx="23">
                  <c:v>Telecom - Services</c:v>
                </c:pt>
                <c:pt idx="24">
                  <c:v>Transport Services</c:v>
                </c:pt>
                <c:pt idx="25">
                  <c:v>Gas</c:v>
                </c:pt>
                <c:pt idx="26">
                  <c:v>Non - Ferrous Metals</c:v>
                </c:pt>
                <c:pt idx="27">
                  <c:v>Cement &amp; Cement Products</c:v>
                </c:pt>
              </c:strCache>
            </c:strRef>
          </c:cat>
          <c:val>
            <c:numRef>
              <c:f>'BANDHAN SVF'!$X$8:$X$35</c:f>
              <c:numCache>
                <c:formatCode>0.00%</c:formatCode>
                <c:ptCount val="28"/>
                <c:pt idx="0">
                  <c:v>0.17873299999999998</c:v>
                </c:pt>
                <c:pt idx="1">
                  <c:v>7.7701000000000006E-2</c:v>
                </c:pt>
                <c:pt idx="2">
                  <c:v>7.3509999999999992E-2</c:v>
                </c:pt>
                <c:pt idx="3">
                  <c:v>5.0320999999999998E-2</c:v>
                </c:pt>
                <c:pt idx="4">
                  <c:v>4.6455999999999997E-2</c:v>
                </c:pt>
                <c:pt idx="5">
                  <c:v>4.1492000000000001E-2</c:v>
                </c:pt>
                <c:pt idx="6">
                  <c:v>4.0177999999999998E-2</c:v>
                </c:pt>
                <c:pt idx="7">
                  <c:v>3.7277999999999999E-2</c:v>
                </c:pt>
                <c:pt idx="8">
                  <c:v>3.5548999999999997E-2</c:v>
                </c:pt>
                <c:pt idx="9">
                  <c:v>3.0883000000000001E-2</c:v>
                </c:pt>
                <c:pt idx="10">
                  <c:v>2.9907999999999997E-2</c:v>
                </c:pt>
                <c:pt idx="11">
                  <c:v>2.6032E-2</c:v>
                </c:pt>
                <c:pt idx="12">
                  <c:v>2.1921E-2</c:v>
                </c:pt>
                <c:pt idx="13">
                  <c:v>2.1918E-2</c:v>
                </c:pt>
                <c:pt idx="14">
                  <c:v>2.1759000000000001E-2</c:v>
                </c:pt>
                <c:pt idx="15">
                  <c:v>1.9734000000000002E-2</c:v>
                </c:pt>
                <c:pt idx="16">
                  <c:v>1.8674E-2</c:v>
                </c:pt>
                <c:pt idx="17">
                  <c:v>1.7815999999999999E-2</c:v>
                </c:pt>
                <c:pt idx="18">
                  <c:v>1.5821999999999999E-2</c:v>
                </c:pt>
                <c:pt idx="19">
                  <c:v>1.3728000000000001E-2</c:v>
                </c:pt>
                <c:pt idx="20">
                  <c:v>1.2786E-2</c:v>
                </c:pt>
                <c:pt idx="21">
                  <c:v>1.2485E-2</c:v>
                </c:pt>
                <c:pt idx="22">
                  <c:v>1.1934E-2</c:v>
                </c:pt>
                <c:pt idx="23">
                  <c:v>1.1247999999999999E-2</c:v>
                </c:pt>
                <c:pt idx="24">
                  <c:v>1.0576E-2</c:v>
                </c:pt>
                <c:pt idx="25">
                  <c:v>8.9669999999999993E-3</c:v>
                </c:pt>
                <c:pt idx="26">
                  <c:v>8.2030000000000002E-3</c:v>
                </c:pt>
                <c:pt idx="27">
                  <c:v>7.7299999999999999E-3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Industrial Products</c:v>
                </c:pt>
                <c:pt idx="1">
                  <c:v>Electrical Equipment</c:v>
                </c:pt>
                <c:pt idx="2">
                  <c:v>Auto Components</c:v>
                </c:pt>
                <c:pt idx="3">
                  <c:v>Consumer Durables</c:v>
                </c:pt>
                <c:pt idx="4">
                  <c:v>Pharmaceuticals &amp; Biotechnology</c:v>
                </c:pt>
                <c:pt idx="5">
                  <c:v>Retailing</c:v>
                </c:pt>
                <c:pt idx="6">
                  <c:v>IT - Software</c:v>
                </c:pt>
                <c:pt idx="7">
                  <c:v>Realty</c:v>
                </c:pt>
                <c:pt idx="8">
                  <c:v>Banks</c:v>
                </c:pt>
                <c:pt idx="9">
                  <c:v>Leisure Services</c:v>
                </c:pt>
                <c:pt idx="10">
                  <c:v>Telecom - Services</c:v>
                </c:pt>
                <c:pt idx="11">
                  <c:v>Healthcare Services</c:v>
                </c:pt>
                <c:pt idx="12">
                  <c:v>Automobiles</c:v>
                </c:pt>
                <c:pt idx="13">
                  <c:v>Finance</c:v>
                </c:pt>
                <c:pt idx="14">
                  <c:v>Power</c:v>
                </c:pt>
                <c:pt idx="15">
                  <c:v>Chemicals &amp; Petrochemicals</c:v>
                </c:pt>
                <c:pt idx="16">
                  <c:v>Financial Technology (Fintech)</c:v>
                </c:pt>
                <c:pt idx="17">
                  <c:v>Industrial Manufacturing</c:v>
                </c:pt>
                <c:pt idx="18">
                  <c:v>Fertilizers &amp; Agrochemicals</c:v>
                </c:pt>
                <c:pt idx="19">
                  <c:v>IT - Services</c:v>
                </c:pt>
                <c:pt idx="20">
                  <c:v>Beverages</c:v>
                </c:pt>
                <c:pt idx="21">
                  <c:v>Aerospace &amp; Defense</c:v>
                </c:pt>
                <c:pt idx="22">
                  <c:v>Cement &amp; Cement Products</c:v>
                </c:pt>
                <c:pt idx="23">
                  <c:v>Diversified</c:v>
                </c:pt>
                <c:pt idx="24">
                  <c:v>Ferrous Metals</c:v>
                </c:pt>
                <c:pt idx="25">
                  <c:v>Commercial Services &amp; Supplies</c:v>
                </c:pt>
                <c:pt idx="26">
                  <c:v>Capital Markets</c:v>
                </c:pt>
                <c:pt idx="27">
                  <c:v>Personal Products</c:v>
                </c:pt>
                <c:pt idx="28">
                  <c:v>Oil</c:v>
                </c:pt>
                <c:pt idx="29">
                  <c:v>Household Products</c:v>
                </c:pt>
                <c:pt idx="30">
                  <c:v>Food Products</c:v>
                </c:pt>
              </c:strCache>
            </c:strRef>
          </c:cat>
          <c:val>
            <c:numRef>
              <c:f>'BANDHAN-MCAP'!$X$8:$X$38</c:f>
              <c:numCache>
                <c:formatCode>0.00%</c:formatCode>
                <c:ptCount val="31"/>
                <c:pt idx="0">
                  <c:v>0.11721500000000001</c:v>
                </c:pt>
                <c:pt idx="1">
                  <c:v>9.1108999999999996E-2</c:v>
                </c:pt>
                <c:pt idx="2">
                  <c:v>8.7607999999999991E-2</c:v>
                </c:pt>
                <c:pt idx="3">
                  <c:v>7.0875999999999995E-2</c:v>
                </c:pt>
                <c:pt idx="4">
                  <c:v>6.5203999999999998E-2</c:v>
                </c:pt>
                <c:pt idx="5">
                  <c:v>6.4105999999999996E-2</c:v>
                </c:pt>
                <c:pt idx="6">
                  <c:v>6.0009999999999994E-2</c:v>
                </c:pt>
                <c:pt idx="7">
                  <c:v>4.1621000000000005E-2</c:v>
                </c:pt>
                <c:pt idx="8">
                  <c:v>3.3157999999999993E-2</c:v>
                </c:pt>
                <c:pt idx="9">
                  <c:v>3.0540000000000001E-2</c:v>
                </c:pt>
                <c:pt idx="10">
                  <c:v>2.6123E-2</c:v>
                </c:pt>
                <c:pt idx="11">
                  <c:v>2.4535999999999999E-2</c:v>
                </c:pt>
                <c:pt idx="12">
                  <c:v>2.3938000000000001E-2</c:v>
                </c:pt>
                <c:pt idx="13">
                  <c:v>2.3452999999999998E-2</c:v>
                </c:pt>
                <c:pt idx="14">
                  <c:v>2.2301000000000001E-2</c:v>
                </c:pt>
                <c:pt idx="15">
                  <c:v>1.9841999999999999E-2</c:v>
                </c:pt>
                <c:pt idx="16">
                  <c:v>1.9619999999999999E-2</c:v>
                </c:pt>
                <c:pt idx="17">
                  <c:v>1.9424999999999998E-2</c:v>
                </c:pt>
                <c:pt idx="18">
                  <c:v>1.8800000000000001E-2</c:v>
                </c:pt>
                <c:pt idx="19">
                  <c:v>1.6601000000000001E-2</c:v>
                </c:pt>
                <c:pt idx="20">
                  <c:v>1.2958000000000001E-2</c:v>
                </c:pt>
                <c:pt idx="21">
                  <c:v>1.2926E-2</c:v>
                </c:pt>
                <c:pt idx="22">
                  <c:v>9.4780000000000003E-3</c:v>
                </c:pt>
                <c:pt idx="23">
                  <c:v>9.1559999999999992E-3</c:v>
                </c:pt>
                <c:pt idx="24">
                  <c:v>7.9220000000000002E-3</c:v>
                </c:pt>
                <c:pt idx="25">
                  <c:v>7.8890000000000002E-3</c:v>
                </c:pt>
                <c:pt idx="26">
                  <c:v>6.894E-3</c:v>
                </c:pt>
                <c:pt idx="27">
                  <c:v>5.8589999999999996E-3</c:v>
                </c:pt>
                <c:pt idx="28">
                  <c:v>4.4209999999999996E-3</c:v>
                </c:pt>
                <c:pt idx="29">
                  <c:v>3.0019999999999999E-3</c:v>
                </c:pt>
                <c:pt idx="30">
                  <c:v>1.7619999999999999E-3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October 2024)</c:v>
                </c:pt>
              </c:strCache>
            </c:strRef>
          </c:tx>
          <c:invertIfNegative val="0"/>
          <c:cat>
            <c:strRef>
              <c:f>'BANDHAN-MCAP'!$W$8:$W$38</c:f>
              <c:strCache>
                <c:ptCount val="31"/>
                <c:pt idx="0">
                  <c:v>Industrial Products</c:v>
                </c:pt>
                <c:pt idx="1">
                  <c:v>Electrical Equipment</c:v>
                </c:pt>
                <c:pt idx="2">
                  <c:v>Auto Components</c:v>
                </c:pt>
                <c:pt idx="3">
                  <c:v>Consumer Durables</c:v>
                </c:pt>
                <c:pt idx="4">
                  <c:v>Pharmaceuticals &amp; Biotechnology</c:v>
                </c:pt>
                <c:pt idx="5">
                  <c:v>Retailing</c:v>
                </c:pt>
                <c:pt idx="6">
                  <c:v>IT - Software</c:v>
                </c:pt>
                <c:pt idx="7">
                  <c:v>Realty</c:v>
                </c:pt>
                <c:pt idx="8">
                  <c:v>Banks</c:v>
                </c:pt>
                <c:pt idx="9">
                  <c:v>Leisure Services</c:v>
                </c:pt>
                <c:pt idx="10">
                  <c:v>Telecom - Services</c:v>
                </c:pt>
                <c:pt idx="11">
                  <c:v>Healthcare Services</c:v>
                </c:pt>
                <c:pt idx="12">
                  <c:v>Automobiles</c:v>
                </c:pt>
                <c:pt idx="13">
                  <c:v>Finance</c:v>
                </c:pt>
                <c:pt idx="14">
                  <c:v>Power</c:v>
                </c:pt>
                <c:pt idx="15">
                  <c:v>Chemicals &amp; Petrochemicals</c:v>
                </c:pt>
                <c:pt idx="16">
                  <c:v>Financial Technology (Fintech)</c:v>
                </c:pt>
                <c:pt idx="17">
                  <c:v>Industrial Manufacturing</c:v>
                </c:pt>
                <c:pt idx="18">
                  <c:v>Fertilizers &amp; Agrochemicals</c:v>
                </c:pt>
                <c:pt idx="19">
                  <c:v>IT - Services</c:v>
                </c:pt>
                <c:pt idx="20">
                  <c:v>Beverages</c:v>
                </c:pt>
                <c:pt idx="21">
                  <c:v>Aerospace &amp; Defense</c:v>
                </c:pt>
                <c:pt idx="22">
                  <c:v>Cement &amp; Cement Products</c:v>
                </c:pt>
                <c:pt idx="23">
                  <c:v>Diversified</c:v>
                </c:pt>
                <c:pt idx="24">
                  <c:v>Ferrous Metals</c:v>
                </c:pt>
                <c:pt idx="25">
                  <c:v>Commercial Services &amp; Supplies</c:v>
                </c:pt>
                <c:pt idx="26">
                  <c:v>Capital Markets</c:v>
                </c:pt>
                <c:pt idx="27">
                  <c:v>Personal Products</c:v>
                </c:pt>
                <c:pt idx="28">
                  <c:v>Oil</c:v>
                </c:pt>
                <c:pt idx="29">
                  <c:v>Household Products</c:v>
                </c:pt>
                <c:pt idx="30">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October 2024)</c:v>
                </c:pt>
              </c:strCache>
            </c:strRef>
          </c:tx>
          <c:invertIfNegative val="0"/>
          <c:cat>
            <c:strRef>
              <c:f>'BANDHAN-MCAP'!$W$8:$W$38</c:f>
              <c:strCache>
                <c:ptCount val="31"/>
                <c:pt idx="0">
                  <c:v>Industrial Products</c:v>
                </c:pt>
                <c:pt idx="1">
                  <c:v>Electrical Equipment</c:v>
                </c:pt>
                <c:pt idx="2">
                  <c:v>Auto Components</c:v>
                </c:pt>
                <c:pt idx="3">
                  <c:v>Consumer Durables</c:v>
                </c:pt>
                <c:pt idx="4">
                  <c:v>Pharmaceuticals &amp; Biotechnology</c:v>
                </c:pt>
                <c:pt idx="5">
                  <c:v>Retailing</c:v>
                </c:pt>
                <c:pt idx="6">
                  <c:v>IT - Software</c:v>
                </c:pt>
                <c:pt idx="7">
                  <c:v>Realty</c:v>
                </c:pt>
                <c:pt idx="8">
                  <c:v>Banks</c:v>
                </c:pt>
                <c:pt idx="9">
                  <c:v>Leisure Services</c:v>
                </c:pt>
                <c:pt idx="10">
                  <c:v>Telecom - Services</c:v>
                </c:pt>
                <c:pt idx="11">
                  <c:v>Healthcare Services</c:v>
                </c:pt>
                <c:pt idx="12">
                  <c:v>Automobiles</c:v>
                </c:pt>
                <c:pt idx="13">
                  <c:v>Finance</c:v>
                </c:pt>
                <c:pt idx="14">
                  <c:v>Power</c:v>
                </c:pt>
                <c:pt idx="15">
                  <c:v>Chemicals &amp; Petrochemicals</c:v>
                </c:pt>
                <c:pt idx="16">
                  <c:v>Financial Technology (Fintech)</c:v>
                </c:pt>
                <c:pt idx="17">
                  <c:v>Industrial Manufacturing</c:v>
                </c:pt>
                <c:pt idx="18">
                  <c:v>Fertilizers &amp; Agrochemicals</c:v>
                </c:pt>
                <c:pt idx="19">
                  <c:v>IT - Services</c:v>
                </c:pt>
                <c:pt idx="20">
                  <c:v>Beverages</c:v>
                </c:pt>
                <c:pt idx="21">
                  <c:v>Aerospace &amp; Defense</c:v>
                </c:pt>
                <c:pt idx="22">
                  <c:v>Cement &amp; Cement Products</c:v>
                </c:pt>
                <c:pt idx="23">
                  <c:v>Diversified</c:v>
                </c:pt>
                <c:pt idx="24">
                  <c:v>Ferrous Metals</c:v>
                </c:pt>
                <c:pt idx="25">
                  <c:v>Commercial Services &amp; Supplies</c:v>
                </c:pt>
                <c:pt idx="26">
                  <c:v>Capital Markets</c:v>
                </c:pt>
                <c:pt idx="27">
                  <c:v>Personal Products</c:v>
                </c:pt>
                <c:pt idx="28">
                  <c:v>Oil</c:v>
                </c:pt>
                <c:pt idx="29">
                  <c:v>Household Products</c:v>
                </c:pt>
                <c:pt idx="30">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MCF'!$W$8:$W$44</c:f>
              <c:strCache>
                <c:ptCount val="37"/>
                <c:pt idx="0">
                  <c:v>Banks</c:v>
                </c:pt>
                <c:pt idx="1">
                  <c:v>Pharmaceuticals &amp; Biotechnology</c:v>
                </c:pt>
                <c:pt idx="2">
                  <c:v>IT - Software</c:v>
                </c:pt>
                <c:pt idx="3">
                  <c:v>Petroleum Products</c:v>
                </c:pt>
                <c:pt idx="4">
                  <c:v>Retailing</c:v>
                </c:pt>
                <c:pt idx="5">
                  <c:v>Insurance</c:v>
                </c:pt>
                <c:pt idx="6">
                  <c:v>Construction</c:v>
                </c:pt>
                <c:pt idx="7">
                  <c:v>Consumer Durables</c:v>
                </c:pt>
                <c:pt idx="8">
                  <c:v>Fertilizers &amp; Agrochemicals</c:v>
                </c:pt>
                <c:pt idx="9">
                  <c:v>Finance</c:v>
                </c:pt>
                <c:pt idx="10">
                  <c:v>Auto Components</c:v>
                </c:pt>
                <c:pt idx="11">
                  <c:v>Realty</c:v>
                </c:pt>
                <c:pt idx="12">
                  <c:v>Industrial Products</c:v>
                </c:pt>
                <c:pt idx="13">
                  <c:v>Automobiles</c:v>
                </c:pt>
                <c:pt idx="14">
                  <c:v>Food Products</c:v>
                </c:pt>
                <c:pt idx="15">
                  <c:v>Power</c:v>
                </c:pt>
                <c:pt idx="16">
                  <c:v>Beverages</c:v>
                </c:pt>
                <c:pt idx="17">
                  <c:v>Industrial Manufacturing</c:v>
                </c:pt>
                <c:pt idx="18">
                  <c:v>Leisure Services</c:v>
                </c:pt>
                <c:pt idx="19">
                  <c:v>Cement &amp; Cement Products</c:v>
                </c:pt>
                <c:pt idx="20">
                  <c:v>Commercial Services &amp; Supplies</c:v>
                </c:pt>
                <c:pt idx="21">
                  <c:v>Telecom - Services</c:v>
                </c:pt>
                <c:pt idx="22">
                  <c:v>IT - Services</c:v>
                </c:pt>
                <c:pt idx="23">
                  <c:v>Diversified FMCG</c:v>
                </c:pt>
                <c:pt idx="24">
                  <c:v>Electrical Equipment</c:v>
                </c:pt>
                <c:pt idx="25">
                  <c:v>Telecom -  Equipment &amp; Accessories</c:v>
                </c:pt>
                <c:pt idx="26">
                  <c:v>Ferrous Metals</c:v>
                </c:pt>
                <c:pt idx="27">
                  <c:v>Oil</c:v>
                </c:pt>
                <c:pt idx="28">
                  <c:v>Personal Products</c:v>
                </c:pt>
                <c:pt idx="29">
                  <c:v>Diversified Metals</c:v>
                </c:pt>
                <c:pt idx="30">
                  <c:v>Financial Technology (Fintech)</c:v>
                </c:pt>
                <c:pt idx="31">
                  <c:v>Capital Markets</c:v>
                </c:pt>
                <c:pt idx="32">
                  <c:v>Chemicals &amp; Petrochemicals</c:v>
                </c:pt>
                <c:pt idx="33">
                  <c:v>Minerals &amp; Mining</c:v>
                </c:pt>
                <c:pt idx="34">
                  <c:v>Non - Ferrous Metals</c:v>
                </c:pt>
                <c:pt idx="35">
                  <c:v>Agricultural Food &amp; other Products</c:v>
                </c:pt>
                <c:pt idx="36">
                  <c:v>Diversified</c:v>
                </c:pt>
              </c:strCache>
            </c:strRef>
          </c:cat>
          <c:val>
            <c:numRef>
              <c:f>'BANDHAN MCF'!$X$8:$X$44</c:f>
              <c:numCache>
                <c:formatCode>0.00%</c:formatCode>
                <c:ptCount val="37"/>
                <c:pt idx="0">
                  <c:v>0.15014</c:v>
                </c:pt>
                <c:pt idx="1">
                  <c:v>8.5983000000000004E-2</c:v>
                </c:pt>
                <c:pt idx="2">
                  <c:v>6.6435000000000008E-2</c:v>
                </c:pt>
                <c:pt idx="3">
                  <c:v>4.3129000000000001E-2</c:v>
                </c:pt>
                <c:pt idx="4">
                  <c:v>4.1229000000000002E-2</c:v>
                </c:pt>
                <c:pt idx="5">
                  <c:v>4.0571999999999997E-2</c:v>
                </c:pt>
                <c:pt idx="6">
                  <c:v>3.9690000000000003E-2</c:v>
                </c:pt>
                <c:pt idx="7">
                  <c:v>3.7906999999999996E-2</c:v>
                </c:pt>
                <c:pt idx="8">
                  <c:v>3.5473999999999999E-2</c:v>
                </c:pt>
                <c:pt idx="9">
                  <c:v>3.3299000000000002E-2</c:v>
                </c:pt>
                <c:pt idx="10">
                  <c:v>3.2164999999999999E-2</c:v>
                </c:pt>
                <c:pt idx="11">
                  <c:v>3.1625E-2</c:v>
                </c:pt>
                <c:pt idx="12">
                  <c:v>2.6314999999999998E-2</c:v>
                </c:pt>
                <c:pt idx="13">
                  <c:v>2.5579000000000001E-2</c:v>
                </c:pt>
                <c:pt idx="14">
                  <c:v>2.2932000000000001E-2</c:v>
                </c:pt>
                <c:pt idx="15">
                  <c:v>2.2502999999999999E-2</c:v>
                </c:pt>
                <c:pt idx="16">
                  <c:v>2.0227999999999999E-2</c:v>
                </c:pt>
                <c:pt idx="17">
                  <c:v>1.8499999999999999E-2</c:v>
                </c:pt>
                <c:pt idx="18">
                  <c:v>1.7323000000000002E-2</c:v>
                </c:pt>
                <c:pt idx="19">
                  <c:v>1.5737000000000001E-2</c:v>
                </c:pt>
                <c:pt idx="20">
                  <c:v>1.4525E-2</c:v>
                </c:pt>
                <c:pt idx="21">
                  <c:v>1.3289E-2</c:v>
                </c:pt>
                <c:pt idx="22">
                  <c:v>1.2244E-2</c:v>
                </c:pt>
                <c:pt idx="23">
                  <c:v>1.1077999999999999E-2</c:v>
                </c:pt>
                <c:pt idx="24">
                  <c:v>1.0884E-2</c:v>
                </c:pt>
                <c:pt idx="25">
                  <c:v>1.0732E-2</c:v>
                </c:pt>
                <c:pt idx="26">
                  <c:v>1.0430999999999999E-2</c:v>
                </c:pt>
                <c:pt idx="27">
                  <c:v>1.0343E-2</c:v>
                </c:pt>
                <c:pt idx="28">
                  <c:v>9.9869999999999994E-3</c:v>
                </c:pt>
                <c:pt idx="29">
                  <c:v>9.5610000000000001E-3</c:v>
                </c:pt>
                <c:pt idx="30">
                  <c:v>9.3810000000000004E-3</c:v>
                </c:pt>
                <c:pt idx="31">
                  <c:v>9.274000000000001E-3</c:v>
                </c:pt>
                <c:pt idx="32">
                  <c:v>7.7210000000000004E-3</c:v>
                </c:pt>
                <c:pt idx="33">
                  <c:v>5.4850000000000003E-3</c:v>
                </c:pt>
                <c:pt idx="34">
                  <c:v>4.6829999999999997E-3</c:v>
                </c:pt>
                <c:pt idx="35">
                  <c:v>3.692E-3</c:v>
                </c:pt>
                <c:pt idx="36">
                  <c:v>2.1749999999999999E-3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October 2024)</c:v>
                </c:pt>
              </c:strCache>
            </c:strRef>
          </c:tx>
          <c:invertIfNegative val="0"/>
          <c:cat>
            <c:strRef>
              <c:f>'BANDHAN MCF'!$W$8:$W$44</c:f>
              <c:strCache>
                <c:ptCount val="37"/>
                <c:pt idx="0">
                  <c:v>Banks</c:v>
                </c:pt>
                <c:pt idx="1">
                  <c:v>Pharmaceuticals &amp; Biotechnology</c:v>
                </c:pt>
                <c:pt idx="2">
                  <c:v>IT - Software</c:v>
                </c:pt>
                <c:pt idx="3">
                  <c:v>Petroleum Products</c:v>
                </c:pt>
                <c:pt idx="4">
                  <c:v>Retailing</c:v>
                </c:pt>
                <c:pt idx="5">
                  <c:v>Insurance</c:v>
                </c:pt>
                <c:pt idx="6">
                  <c:v>Construction</c:v>
                </c:pt>
                <c:pt idx="7">
                  <c:v>Consumer Durables</c:v>
                </c:pt>
                <c:pt idx="8">
                  <c:v>Fertilizers &amp; Agrochemicals</c:v>
                </c:pt>
                <c:pt idx="9">
                  <c:v>Finance</c:v>
                </c:pt>
                <c:pt idx="10">
                  <c:v>Auto Components</c:v>
                </c:pt>
                <c:pt idx="11">
                  <c:v>Realty</c:v>
                </c:pt>
                <c:pt idx="12">
                  <c:v>Industrial Products</c:v>
                </c:pt>
                <c:pt idx="13">
                  <c:v>Automobiles</c:v>
                </c:pt>
                <c:pt idx="14">
                  <c:v>Food Products</c:v>
                </c:pt>
                <c:pt idx="15">
                  <c:v>Power</c:v>
                </c:pt>
                <c:pt idx="16">
                  <c:v>Beverages</c:v>
                </c:pt>
                <c:pt idx="17">
                  <c:v>Industrial Manufacturing</c:v>
                </c:pt>
                <c:pt idx="18">
                  <c:v>Leisure Services</c:v>
                </c:pt>
                <c:pt idx="19">
                  <c:v>Cement &amp; Cement Products</c:v>
                </c:pt>
                <c:pt idx="20">
                  <c:v>Commercial Services &amp; Supplies</c:v>
                </c:pt>
                <c:pt idx="21">
                  <c:v>Telecom - Services</c:v>
                </c:pt>
                <c:pt idx="22">
                  <c:v>IT - Services</c:v>
                </c:pt>
                <c:pt idx="23">
                  <c:v>Diversified FMCG</c:v>
                </c:pt>
                <c:pt idx="24">
                  <c:v>Electrical Equipment</c:v>
                </c:pt>
                <c:pt idx="25">
                  <c:v>Telecom -  Equipment &amp; Accessories</c:v>
                </c:pt>
                <c:pt idx="26">
                  <c:v>Ferrous Metals</c:v>
                </c:pt>
                <c:pt idx="27">
                  <c:v>Oil</c:v>
                </c:pt>
                <c:pt idx="28">
                  <c:v>Personal Products</c:v>
                </c:pt>
                <c:pt idx="29">
                  <c:v>Diversified Metals</c:v>
                </c:pt>
                <c:pt idx="30">
                  <c:v>Financial Technology (Fintech)</c:v>
                </c:pt>
                <c:pt idx="31">
                  <c:v>Capital Markets</c:v>
                </c:pt>
                <c:pt idx="32">
                  <c:v>Chemicals &amp; Petrochemicals</c:v>
                </c:pt>
                <c:pt idx="33">
                  <c:v>Minerals &amp; Mining</c:v>
                </c:pt>
                <c:pt idx="34">
                  <c:v>Non - Ferrous Metals</c:v>
                </c:pt>
                <c:pt idx="35">
                  <c:v>Agricultural Food &amp; other Products</c:v>
                </c:pt>
                <c:pt idx="36">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FCF'!$W$8:$W$39</c:f>
              <c:strCache>
                <c:ptCount val="32"/>
                <c:pt idx="0">
                  <c:v>Banks</c:v>
                </c:pt>
                <c:pt idx="1">
                  <c:v>IT - Software</c:v>
                </c:pt>
                <c:pt idx="2">
                  <c:v>Retailing</c:v>
                </c:pt>
                <c:pt idx="3">
                  <c:v>Finance</c:v>
                </c:pt>
                <c:pt idx="4">
                  <c:v>Pharmaceuticals &amp; Biotechnology</c:v>
                </c:pt>
                <c:pt idx="5">
                  <c:v>Automobiles</c:v>
                </c:pt>
                <c:pt idx="6">
                  <c:v>Petroleum Products</c:v>
                </c:pt>
                <c:pt idx="7">
                  <c:v>Diversified FMCG</c:v>
                </c:pt>
                <c:pt idx="8">
                  <c:v>Construction</c:v>
                </c:pt>
                <c:pt idx="9">
                  <c:v>Insurance</c:v>
                </c:pt>
                <c:pt idx="10">
                  <c:v>Industrial Products</c:v>
                </c:pt>
                <c:pt idx="11">
                  <c:v>Telecom - Services</c:v>
                </c:pt>
                <c:pt idx="12">
                  <c:v>Power</c:v>
                </c:pt>
                <c:pt idx="13">
                  <c:v>Consumer Durables</c:v>
                </c:pt>
                <c:pt idx="14">
                  <c:v>Electrical Equipment</c:v>
                </c:pt>
                <c:pt idx="15">
                  <c:v>Cement &amp; Cement Products</c:v>
                </c:pt>
                <c:pt idx="16">
                  <c:v>Auto Components</c:v>
                </c:pt>
                <c:pt idx="17">
                  <c:v>Realty</c:v>
                </c:pt>
                <c:pt idx="18">
                  <c:v>Ferrous Metals</c:v>
                </c:pt>
                <c:pt idx="19">
                  <c:v>Food Products</c:v>
                </c:pt>
                <c:pt idx="20">
                  <c:v>Commercial Services &amp; Supplies</c:v>
                </c:pt>
                <c:pt idx="21">
                  <c:v>Leisure Services</c:v>
                </c:pt>
                <c:pt idx="22">
                  <c:v>Personal Products</c:v>
                </c:pt>
                <c:pt idx="23">
                  <c:v>Healthcare Services</c:v>
                </c:pt>
                <c:pt idx="24">
                  <c:v>Consumable Fuels</c:v>
                </c:pt>
                <c:pt idx="25">
                  <c:v>Non - Ferrous Metals</c:v>
                </c:pt>
                <c:pt idx="26">
                  <c:v>Diversified Metals</c:v>
                </c:pt>
                <c:pt idx="27">
                  <c:v>Telecom -  Equipment &amp; Accessories</c:v>
                </c:pt>
                <c:pt idx="28">
                  <c:v>Textiles &amp; Apparels</c:v>
                </c:pt>
                <c:pt idx="29">
                  <c:v>Minerals &amp; Mining</c:v>
                </c:pt>
                <c:pt idx="30">
                  <c:v>Fertilizers &amp; Agrochemicals</c:v>
                </c:pt>
                <c:pt idx="31">
                  <c:v>Diversified</c:v>
                </c:pt>
              </c:strCache>
            </c:strRef>
          </c:cat>
          <c:val>
            <c:numRef>
              <c:f>'BANDHAN FCF'!$X$8:$X$39</c:f>
              <c:numCache>
                <c:formatCode>0.0%</c:formatCode>
                <c:ptCount val="32"/>
                <c:pt idx="0">
                  <c:v>0.214397</c:v>
                </c:pt>
                <c:pt idx="1">
                  <c:v>8.2154000000000005E-2</c:v>
                </c:pt>
                <c:pt idx="2">
                  <c:v>6.2941999999999998E-2</c:v>
                </c:pt>
                <c:pt idx="3">
                  <c:v>5.8994999999999999E-2</c:v>
                </c:pt>
                <c:pt idx="4">
                  <c:v>5.5116999999999999E-2</c:v>
                </c:pt>
                <c:pt idx="5">
                  <c:v>5.0487999999999998E-2</c:v>
                </c:pt>
                <c:pt idx="6">
                  <c:v>4.5997999999999997E-2</c:v>
                </c:pt>
                <c:pt idx="7">
                  <c:v>4.1110000000000001E-2</c:v>
                </c:pt>
                <c:pt idx="8">
                  <c:v>3.9189000000000002E-2</c:v>
                </c:pt>
                <c:pt idx="9">
                  <c:v>2.8998999999999997E-2</c:v>
                </c:pt>
                <c:pt idx="10">
                  <c:v>2.7630000000000002E-2</c:v>
                </c:pt>
                <c:pt idx="11">
                  <c:v>2.7185000000000001E-2</c:v>
                </c:pt>
                <c:pt idx="12">
                  <c:v>2.5350999999999999E-2</c:v>
                </c:pt>
                <c:pt idx="13">
                  <c:v>2.5307E-2</c:v>
                </c:pt>
                <c:pt idx="14">
                  <c:v>2.2106000000000001E-2</c:v>
                </c:pt>
                <c:pt idx="15">
                  <c:v>1.7680999999999999E-2</c:v>
                </c:pt>
                <c:pt idx="16">
                  <c:v>1.4190000000000001E-2</c:v>
                </c:pt>
                <c:pt idx="17">
                  <c:v>1.2589999999999999E-2</c:v>
                </c:pt>
                <c:pt idx="18">
                  <c:v>1.255E-2</c:v>
                </c:pt>
                <c:pt idx="19">
                  <c:v>1.2311000000000001E-2</c:v>
                </c:pt>
                <c:pt idx="20">
                  <c:v>1.0567E-2</c:v>
                </c:pt>
                <c:pt idx="21">
                  <c:v>1.047E-2</c:v>
                </c:pt>
                <c:pt idx="22">
                  <c:v>9.9389999999999999E-3</c:v>
                </c:pt>
                <c:pt idx="23">
                  <c:v>9.4579999999999994E-3</c:v>
                </c:pt>
                <c:pt idx="24">
                  <c:v>9.2449999999999997E-3</c:v>
                </c:pt>
                <c:pt idx="25">
                  <c:v>8.2979999999999998E-3</c:v>
                </c:pt>
                <c:pt idx="26">
                  <c:v>7.5919999999999998E-3</c:v>
                </c:pt>
                <c:pt idx="27">
                  <c:v>6.0140000000000002E-3</c:v>
                </c:pt>
                <c:pt idx="28">
                  <c:v>5.8599999999999998E-3</c:v>
                </c:pt>
                <c:pt idx="29">
                  <c:v>5.5360000000000001E-3</c:v>
                </c:pt>
                <c:pt idx="30">
                  <c:v>4.8849999999999996E-3</c:v>
                </c:pt>
                <c:pt idx="31">
                  <c:v>4.8300000000000001E-3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SCF'!$W$8:$W$50</c:f>
              <c:strCache>
                <c:ptCount val="43"/>
                <c:pt idx="0">
                  <c:v>Finance</c:v>
                </c:pt>
                <c:pt idx="1">
                  <c:v>Pharmaceuticals &amp; Biotechnology</c:v>
                </c:pt>
                <c:pt idx="2">
                  <c:v>Realty</c:v>
                </c:pt>
                <c:pt idx="3">
                  <c:v>Banks</c:v>
                </c:pt>
                <c:pt idx="4">
                  <c:v>Industrial Products</c:v>
                </c:pt>
                <c:pt idx="5">
                  <c:v>Capital Markets</c:v>
                </c:pt>
                <c:pt idx="6">
                  <c:v>Electrical Equipment</c:v>
                </c:pt>
                <c:pt idx="7">
                  <c:v>Chemicals &amp; Petrochemicals</c:v>
                </c:pt>
                <c:pt idx="8">
                  <c:v>Consumer Durables</c:v>
                </c:pt>
                <c:pt idx="9">
                  <c:v>Textiles &amp; Apparels</c:v>
                </c:pt>
                <c:pt idx="10">
                  <c:v>Agricultural Food &amp; other Products</c:v>
                </c:pt>
                <c:pt idx="11">
                  <c:v>Auto Components</c:v>
                </c:pt>
                <c:pt idx="12">
                  <c:v>Healthcare Services</c:v>
                </c:pt>
                <c:pt idx="13">
                  <c:v>Commercial Services &amp; Supplies</c:v>
                </c:pt>
                <c:pt idx="14">
                  <c:v>Transport Services</c:v>
                </c:pt>
                <c:pt idx="15">
                  <c:v>Retailing</c:v>
                </c:pt>
                <c:pt idx="16">
                  <c:v>Industrial Manufacturing</c:v>
                </c:pt>
                <c:pt idx="17">
                  <c:v>IT - Hardware</c:v>
                </c:pt>
                <c:pt idx="18">
                  <c:v>Construction</c:v>
                </c:pt>
                <c:pt idx="19">
                  <c:v>Leisure Services</c:v>
                </c:pt>
                <c:pt idx="20">
                  <c:v>Beverages</c:v>
                </c:pt>
                <c:pt idx="21">
                  <c:v>Ferrous Metals</c:v>
                </c:pt>
                <c:pt idx="22">
                  <c:v>IT - Services</c:v>
                </c:pt>
                <c:pt idx="23">
                  <c:v>Diversified Metals</c:v>
                </c:pt>
                <c:pt idx="24">
                  <c:v>Power</c:v>
                </c:pt>
                <c:pt idx="25">
                  <c:v>Petroleum Products</c:v>
                </c:pt>
                <c:pt idx="26">
                  <c:v>IT - Software</c:v>
                </c:pt>
                <c:pt idx="27">
                  <c:v>Food Products</c:v>
                </c:pt>
                <c:pt idx="28">
                  <c:v>Aerospace &amp; Defense</c:v>
                </c:pt>
                <c:pt idx="29">
                  <c:v>Cement &amp; Cement Products</c:v>
                </c:pt>
                <c:pt idx="30">
                  <c:v>Fertilizers &amp; Agrochemicals</c:v>
                </c:pt>
                <c:pt idx="31">
                  <c:v>Diversified</c:v>
                </c:pt>
                <c:pt idx="32">
                  <c:v>Non - Ferrous Metals</c:v>
                </c:pt>
                <c:pt idx="33">
                  <c:v>Other Utilities</c:v>
                </c:pt>
                <c:pt idx="34">
                  <c:v>Gas</c:v>
                </c:pt>
                <c:pt idx="35">
                  <c:v>Telecom -  Equipment &amp; Accessories</c:v>
                </c:pt>
                <c:pt idx="36">
                  <c:v>Household Products</c:v>
                </c:pt>
                <c:pt idx="37">
                  <c:v>Miscellaneous</c:v>
                </c:pt>
                <c:pt idx="38">
                  <c:v>Personal Products</c:v>
                </c:pt>
                <c:pt idx="39">
                  <c:v>Telecom - Services</c:v>
                </c:pt>
                <c:pt idx="40">
                  <c:v>Automobiles</c:v>
                </c:pt>
                <c:pt idx="41">
                  <c:v>Minerals &amp; Mining</c:v>
                </c:pt>
                <c:pt idx="42">
                  <c:v>Diversified FMCG</c:v>
                </c:pt>
              </c:strCache>
            </c:strRef>
          </c:cat>
          <c:val>
            <c:numRef>
              <c:f>'BANDHAN SCF'!$X$8:$X$50</c:f>
              <c:numCache>
                <c:formatCode>0.00%</c:formatCode>
                <c:ptCount val="43"/>
                <c:pt idx="0">
                  <c:v>0.102432</c:v>
                </c:pt>
                <c:pt idx="1">
                  <c:v>8.8983000000000007E-2</c:v>
                </c:pt>
                <c:pt idx="2">
                  <c:v>6.191E-2</c:v>
                </c:pt>
                <c:pt idx="3">
                  <c:v>5.9269999999999996E-2</c:v>
                </c:pt>
                <c:pt idx="4">
                  <c:v>5.3062999999999999E-2</c:v>
                </c:pt>
                <c:pt idx="5">
                  <c:v>4.9462000000000006E-2</c:v>
                </c:pt>
                <c:pt idx="6">
                  <c:v>4.7074000000000005E-2</c:v>
                </c:pt>
                <c:pt idx="7">
                  <c:v>4.6879999999999998E-2</c:v>
                </c:pt>
                <c:pt idx="8">
                  <c:v>4.0849000000000003E-2</c:v>
                </c:pt>
                <c:pt idx="9">
                  <c:v>3.9196000000000002E-2</c:v>
                </c:pt>
                <c:pt idx="10">
                  <c:v>3.2471E-2</c:v>
                </c:pt>
                <c:pt idx="11">
                  <c:v>3.0708000000000006E-2</c:v>
                </c:pt>
                <c:pt idx="12">
                  <c:v>2.6067E-2</c:v>
                </c:pt>
                <c:pt idx="13">
                  <c:v>2.5035000000000002E-2</c:v>
                </c:pt>
                <c:pt idx="14">
                  <c:v>2.2629999999999997E-2</c:v>
                </c:pt>
                <c:pt idx="15">
                  <c:v>1.9466000000000001E-2</c:v>
                </c:pt>
                <c:pt idx="16">
                  <c:v>1.7564E-2</c:v>
                </c:pt>
                <c:pt idx="17">
                  <c:v>1.5049999999999999E-2</c:v>
                </c:pt>
                <c:pt idx="18">
                  <c:v>1.3641E-2</c:v>
                </c:pt>
                <c:pt idx="19">
                  <c:v>1.2211E-2</c:v>
                </c:pt>
                <c:pt idx="20">
                  <c:v>1.0949E-2</c:v>
                </c:pt>
                <c:pt idx="21">
                  <c:v>1.0676E-2</c:v>
                </c:pt>
                <c:pt idx="22">
                  <c:v>1.0599000000000001E-2</c:v>
                </c:pt>
                <c:pt idx="23">
                  <c:v>1.0120000000000001E-2</c:v>
                </c:pt>
                <c:pt idx="24">
                  <c:v>9.6210000000000011E-3</c:v>
                </c:pt>
                <c:pt idx="25">
                  <c:v>7.1440000000000002E-3</c:v>
                </c:pt>
                <c:pt idx="26">
                  <c:v>6.9699999999999996E-3</c:v>
                </c:pt>
                <c:pt idx="27">
                  <c:v>6.8560000000000001E-3</c:v>
                </c:pt>
                <c:pt idx="28">
                  <c:v>6.4429999999999991E-3</c:v>
                </c:pt>
                <c:pt idx="29">
                  <c:v>5.4429999999999999E-3</c:v>
                </c:pt>
                <c:pt idx="30">
                  <c:v>4.8139999999999997E-3</c:v>
                </c:pt>
                <c:pt idx="31">
                  <c:v>4.6020000000000002E-3</c:v>
                </c:pt>
                <c:pt idx="32">
                  <c:v>4.4079999999999996E-3</c:v>
                </c:pt>
                <c:pt idx="33">
                  <c:v>3.6159999999999999E-3</c:v>
                </c:pt>
                <c:pt idx="34">
                  <c:v>3.2690000000000002E-3</c:v>
                </c:pt>
                <c:pt idx="35">
                  <c:v>3.2049999999999999E-3</c:v>
                </c:pt>
                <c:pt idx="36">
                  <c:v>3.0959999999999998E-3</c:v>
                </c:pt>
                <c:pt idx="37">
                  <c:v>2.8370000000000001E-3</c:v>
                </c:pt>
                <c:pt idx="38">
                  <c:v>2.8349999999999998E-3</c:v>
                </c:pt>
                <c:pt idx="39">
                  <c:v>2.7339999999999999E-3</c:v>
                </c:pt>
                <c:pt idx="40">
                  <c:v>1.4970000000000001E-3</c:v>
                </c:pt>
                <c:pt idx="41">
                  <c:v>1.0510000000000001E-3</c:v>
                </c:pt>
                <c:pt idx="42">
                  <c:v>1.0319999999999999E-3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October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Capital Markets</c:v>
                </c:pt>
                <c:pt idx="6">
                  <c:v>Electrical Equipment</c:v>
                </c:pt>
                <c:pt idx="7">
                  <c:v>Chemicals &amp; Petrochemicals</c:v>
                </c:pt>
                <c:pt idx="8">
                  <c:v>Consumer Durables</c:v>
                </c:pt>
                <c:pt idx="9">
                  <c:v>Textiles &amp; Apparels</c:v>
                </c:pt>
                <c:pt idx="10">
                  <c:v>Agricultural Food &amp; other Products</c:v>
                </c:pt>
                <c:pt idx="11">
                  <c:v>Auto Components</c:v>
                </c:pt>
                <c:pt idx="12">
                  <c:v>Healthcare Services</c:v>
                </c:pt>
                <c:pt idx="13">
                  <c:v>Commercial Services &amp; Supplies</c:v>
                </c:pt>
                <c:pt idx="14">
                  <c:v>Transport Services</c:v>
                </c:pt>
                <c:pt idx="15">
                  <c:v>Retailing</c:v>
                </c:pt>
                <c:pt idx="16">
                  <c:v>Industrial Manufacturing</c:v>
                </c:pt>
                <c:pt idx="17">
                  <c:v>IT - Hardware</c:v>
                </c:pt>
                <c:pt idx="18">
                  <c:v>Construction</c:v>
                </c:pt>
                <c:pt idx="19">
                  <c:v>Leisure Services</c:v>
                </c:pt>
                <c:pt idx="20">
                  <c:v>Beverages</c:v>
                </c:pt>
                <c:pt idx="21">
                  <c:v>Ferrous Metals</c:v>
                </c:pt>
                <c:pt idx="22">
                  <c:v>IT - Services</c:v>
                </c:pt>
                <c:pt idx="23">
                  <c:v>Diversified Metals</c:v>
                </c:pt>
                <c:pt idx="24">
                  <c:v>Power</c:v>
                </c:pt>
                <c:pt idx="25">
                  <c:v>Petroleum Products</c:v>
                </c:pt>
                <c:pt idx="26">
                  <c:v>IT - Software</c:v>
                </c:pt>
                <c:pt idx="27">
                  <c:v>Food Products</c:v>
                </c:pt>
                <c:pt idx="28">
                  <c:v>Aerospace &amp; Defense</c:v>
                </c:pt>
                <c:pt idx="29">
                  <c:v>Cement &amp; Cement Products</c:v>
                </c:pt>
                <c:pt idx="30">
                  <c:v>Fertilizers &amp; Agrochemicals</c:v>
                </c:pt>
                <c:pt idx="31">
                  <c:v>Diversified</c:v>
                </c:pt>
                <c:pt idx="32">
                  <c:v>Non - Ferrous Metals</c:v>
                </c:pt>
                <c:pt idx="33">
                  <c:v>Other Utilities</c:v>
                </c:pt>
                <c:pt idx="34">
                  <c:v>Gas</c:v>
                </c:pt>
                <c:pt idx="35">
                  <c:v>Telecom -  Equipment &amp; Accessories</c:v>
                </c:pt>
                <c:pt idx="36">
                  <c:v>Household Products</c:v>
                </c:pt>
                <c:pt idx="37">
                  <c:v>Miscellaneous</c:v>
                </c:pt>
                <c:pt idx="38">
                  <c:v>Personal Products</c:v>
                </c:pt>
                <c:pt idx="39">
                  <c:v>Telecom - Services</c:v>
                </c:pt>
                <c:pt idx="40">
                  <c:v>Automobiles</c:v>
                </c:pt>
                <c:pt idx="41">
                  <c:v>Minerals &amp; Mining</c:v>
                </c:pt>
                <c:pt idx="42">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October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Capital Markets</c:v>
                </c:pt>
                <c:pt idx="6">
                  <c:v>Electrical Equipment</c:v>
                </c:pt>
                <c:pt idx="7">
                  <c:v>Chemicals &amp; Petrochemicals</c:v>
                </c:pt>
                <c:pt idx="8">
                  <c:v>Consumer Durables</c:v>
                </c:pt>
                <c:pt idx="9">
                  <c:v>Textiles &amp; Apparels</c:v>
                </c:pt>
                <c:pt idx="10">
                  <c:v>Agricultural Food &amp; other Products</c:v>
                </c:pt>
                <c:pt idx="11">
                  <c:v>Auto Components</c:v>
                </c:pt>
                <c:pt idx="12">
                  <c:v>Healthcare Services</c:v>
                </c:pt>
                <c:pt idx="13">
                  <c:v>Commercial Services &amp; Supplies</c:v>
                </c:pt>
                <c:pt idx="14">
                  <c:v>Transport Services</c:v>
                </c:pt>
                <c:pt idx="15">
                  <c:v>Retailing</c:v>
                </c:pt>
                <c:pt idx="16">
                  <c:v>Industrial Manufacturing</c:v>
                </c:pt>
                <c:pt idx="17">
                  <c:v>IT - Hardware</c:v>
                </c:pt>
                <c:pt idx="18">
                  <c:v>Construction</c:v>
                </c:pt>
                <c:pt idx="19">
                  <c:v>Leisure Services</c:v>
                </c:pt>
                <c:pt idx="20">
                  <c:v>Beverages</c:v>
                </c:pt>
                <c:pt idx="21">
                  <c:v>Ferrous Metals</c:v>
                </c:pt>
                <c:pt idx="22">
                  <c:v>IT - Services</c:v>
                </c:pt>
                <c:pt idx="23">
                  <c:v>Diversified Metals</c:v>
                </c:pt>
                <c:pt idx="24">
                  <c:v>Power</c:v>
                </c:pt>
                <c:pt idx="25">
                  <c:v>Petroleum Products</c:v>
                </c:pt>
                <c:pt idx="26">
                  <c:v>IT - Software</c:v>
                </c:pt>
                <c:pt idx="27">
                  <c:v>Food Products</c:v>
                </c:pt>
                <c:pt idx="28">
                  <c:v>Aerospace &amp; Defense</c:v>
                </c:pt>
                <c:pt idx="29">
                  <c:v>Cement &amp; Cement Products</c:v>
                </c:pt>
                <c:pt idx="30">
                  <c:v>Fertilizers &amp; Agrochemicals</c:v>
                </c:pt>
                <c:pt idx="31">
                  <c:v>Diversified</c:v>
                </c:pt>
                <c:pt idx="32">
                  <c:v>Non - Ferrous Metals</c:v>
                </c:pt>
                <c:pt idx="33">
                  <c:v>Other Utilities</c:v>
                </c:pt>
                <c:pt idx="34">
                  <c:v>Gas</c:v>
                </c:pt>
                <c:pt idx="35">
                  <c:v>Telecom -  Equipment &amp; Accessories</c:v>
                </c:pt>
                <c:pt idx="36">
                  <c:v>Household Products</c:v>
                </c:pt>
                <c:pt idx="37">
                  <c:v>Miscellaneous</c:v>
                </c:pt>
                <c:pt idx="38">
                  <c:v>Personal Products</c:v>
                </c:pt>
                <c:pt idx="39">
                  <c:v>Telecom - Services</c:v>
                </c:pt>
                <c:pt idx="40">
                  <c:v>Automobiles</c:v>
                </c:pt>
                <c:pt idx="41">
                  <c:v>Minerals &amp; Mining</c:v>
                </c:pt>
                <c:pt idx="42">
                  <c:v>Diversified FMCG</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October 2024)</c:v>
                </c:pt>
              </c:strCache>
            </c:strRef>
          </c:tx>
          <c:invertIfNegative val="0"/>
          <c:cat>
            <c:strRef>
              <c:f>'BANDHAN SCF'!$W$8:$W$50</c:f>
              <c:strCache>
                <c:ptCount val="43"/>
                <c:pt idx="0">
                  <c:v>Finance</c:v>
                </c:pt>
                <c:pt idx="1">
                  <c:v>Pharmaceuticals &amp; Biotechnology</c:v>
                </c:pt>
                <c:pt idx="2">
                  <c:v>Realty</c:v>
                </c:pt>
                <c:pt idx="3">
                  <c:v>Banks</c:v>
                </c:pt>
                <c:pt idx="4">
                  <c:v>Industrial Products</c:v>
                </c:pt>
                <c:pt idx="5">
                  <c:v>Capital Markets</c:v>
                </c:pt>
                <c:pt idx="6">
                  <c:v>Electrical Equipment</c:v>
                </c:pt>
                <c:pt idx="7">
                  <c:v>Chemicals &amp; Petrochemicals</c:v>
                </c:pt>
                <c:pt idx="8">
                  <c:v>Consumer Durables</c:v>
                </c:pt>
                <c:pt idx="9">
                  <c:v>Textiles &amp; Apparels</c:v>
                </c:pt>
                <c:pt idx="10">
                  <c:v>Agricultural Food &amp; other Products</c:v>
                </c:pt>
                <c:pt idx="11">
                  <c:v>Auto Components</c:v>
                </c:pt>
                <c:pt idx="12">
                  <c:v>Healthcare Services</c:v>
                </c:pt>
                <c:pt idx="13">
                  <c:v>Commercial Services &amp; Supplies</c:v>
                </c:pt>
                <c:pt idx="14">
                  <c:v>Transport Services</c:v>
                </c:pt>
                <c:pt idx="15">
                  <c:v>Retailing</c:v>
                </c:pt>
                <c:pt idx="16">
                  <c:v>Industrial Manufacturing</c:v>
                </c:pt>
                <c:pt idx="17">
                  <c:v>IT - Hardware</c:v>
                </c:pt>
                <c:pt idx="18">
                  <c:v>Construction</c:v>
                </c:pt>
                <c:pt idx="19">
                  <c:v>Leisure Services</c:v>
                </c:pt>
                <c:pt idx="20">
                  <c:v>Beverages</c:v>
                </c:pt>
                <c:pt idx="21">
                  <c:v>Ferrous Metals</c:v>
                </c:pt>
                <c:pt idx="22">
                  <c:v>IT - Services</c:v>
                </c:pt>
                <c:pt idx="23">
                  <c:v>Diversified Metals</c:v>
                </c:pt>
                <c:pt idx="24">
                  <c:v>Power</c:v>
                </c:pt>
                <c:pt idx="25">
                  <c:v>Petroleum Products</c:v>
                </c:pt>
                <c:pt idx="26">
                  <c:v>IT - Software</c:v>
                </c:pt>
                <c:pt idx="27">
                  <c:v>Food Products</c:v>
                </c:pt>
                <c:pt idx="28">
                  <c:v>Aerospace &amp; Defense</c:v>
                </c:pt>
                <c:pt idx="29">
                  <c:v>Cement &amp; Cement Products</c:v>
                </c:pt>
                <c:pt idx="30">
                  <c:v>Fertilizers &amp; Agrochemicals</c:v>
                </c:pt>
                <c:pt idx="31">
                  <c:v>Diversified</c:v>
                </c:pt>
                <c:pt idx="32">
                  <c:v>Non - Ferrous Metals</c:v>
                </c:pt>
                <c:pt idx="33">
                  <c:v>Other Utilities</c:v>
                </c:pt>
                <c:pt idx="34">
                  <c:v>Gas</c:v>
                </c:pt>
                <c:pt idx="35">
                  <c:v>Telecom -  Equipment &amp; Accessories</c:v>
                </c:pt>
                <c:pt idx="36">
                  <c:v>Household Products</c:v>
                </c:pt>
                <c:pt idx="37">
                  <c:v>Miscellaneous</c:v>
                </c:pt>
                <c:pt idx="38">
                  <c:v>Personal Products</c:v>
                </c:pt>
                <c:pt idx="39">
                  <c:v>Telecom - Services</c:v>
                </c:pt>
                <c:pt idx="40">
                  <c:v>Automobiles</c:v>
                </c:pt>
                <c:pt idx="41">
                  <c:v>Minerals &amp; Mining</c:v>
                </c:pt>
                <c:pt idx="42">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IF'!$W$8:$W$29</c:f>
              <c:strCache>
                <c:ptCount val="22"/>
                <c:pt idx="0">
                  <c:v>Construction</c:v>
                </c:pt>
                <c:pt idx="1">
                  <c:v>Power</c:v>
                </c:pt>
                <c:pt idx="2">
                  <c:v>Electrical Equipment</c:v>
                </c:pt>
                <c:pt idx="3">
                  <c:v>Industrial Products</c:v>
                </c:pt>
                <c:pt idx="4">
                  <c:v>Transport Services</c:v>
                </c:pt>
                <c:pt idx="5">
                  <c:v>Auto Components</c:v>
                </c:pt>
                <c:pt idx="6">
                  <c:v>Industrial Manufacturing</c:v>
                </c:pt>
                <c:pt idx="7">
                  <c:v>Cement &amp; Cement Products</c:v>
                </c:pt>
                <c:pt idx="8">
                  <c:v>Telecom - Services</c:v>
                </c:pt>
                <c:pt idx="9">
                  <c:v>Transport Infrastructure</c:v>
                </c:pt>
                <c:pt idx="10">
                  <c:v>Aerospace &amp; Defense</c:v>
                </c:pt>
                <c:pt idx="11">
                  <c:v>Petroleum Products</c:v>
                </c:pt>
                <c:pt idx="12">
                  <c:v>Finance</c:v>
                </c:pt>
                <c:pt idx="13">
                  <c:v>Ferrous Metals</c:v>
                </c:pt>
                <c:pt idx="14">
                  <c:v>Gas</c:v>
                </c:pt>
                <c:pt idx="15">
                  <c:v>Diversified</c:v>
                </c:pt>
                <c:pt idx="16">
                  <c:v>Healthcare Services</c:v>
                </c:pt>
                <c:pt idx="17">
                  <c:v>Chemicals &amp; Petrochemicals</c:v>
                </c:pt>
                <c:pt idx="18">
                  <c:v>Non - Ferrous Metals</c:v>
                </c:pt>
                <c:pt idx="19">
                  <c:v>Diversified Metals</c:v>
                </c:pt>
                <c:pt idx="20">
                  <c:v>Leisure Services</c:v>
                </c:pt>
                <c:pt idx="21">
                  <c:v>Agricultural, Commercial &amp; Construction Vehicles</c:v>
                </c:pt>
              </c:strCache>
            </c:strRef>
          </c:cat>
          <c:val>
            <c:numRef>
              <c:f>'BANDHAN IF'!$X$8:$X$29</c:f>
              <c:numCache>
                <c:formatCode>0.00%</c:formatCode>
                <c:ptCount val="22"/>
                <c:pt idx="0">
                  <c:v>0.23866299999999999</c:v>
                </c:pt>
                <c:pt idx="1">
                  <c:v>8.7280999999999997E-2</c:v>
                </c:pt>
                <c:pt idx="2">
                  <c:v>8.4532999999999997E-2</c:v>
                </c:pt>
                <c:pt idx="3">
                  <c:v>8.4231E-2</c:v>
                </c:pt>
                <c:pt idx="4">
                  <c:v>5.5549000000000001E-2</c:v>
                </c:pt>
                <c:pt idx="5">
                  <c:v>4.9449E-2</c:v>
                </c:pt>
                <c:pt idx="6">
                  <c:v>4.7211000000000003E-2</c:v>
                </c:pt>
                <c:pt idx="7">
                  <c:v>4.4114E-2</c:v>
                </c:pt>
                <c:pt idx="8">
                  <c:v>4.0612000000000002E-2</c:v>
                </c:pt>
                <c:pt idx="9">
                  <c:v>3.8356000000000001E-2</c:v>
                </c:pt>
                <c:pt idx="10">
                  <c:v>3.4460999999999999E-2</c:v>
                </c:pt>
                <c:pt idx="11">
                  <c:v>3.3938999999999997E-2</c:v>
                </c:pt>
                <c:pt idx="12">
                  <c:v>3.3010999999999999E-2</c:v>
                </c:pt>
                <c:pt idx="13">
                  <c:v>2.8646999999999999E-2</c:v>
                </c:pt>
                <c:pt idx="14">
                  <c:v>2.4516E-2</c:v>
                </c:pt>
                <c:pt idx="15">
                  <c:v>1.8145000000000001E-2</c:v>
                </c:pt>
                <c:pt idx="16">
                  <c:v>1.5926000000000003E-2</c:v>
                </c:pt>
                <c:pt idx="17">
                  <c:v>1.4571000000000001E-2</c:v>
                </c:pt>
                <c:pt idx="18">
                  <c:v>6.4980000000000003E-3</c:v>
                </c:pt>
                <c:pt idx="19">
                  <c:v>5.6150000000000002E-3</c:v>
                </c:pt>
                <c:pt idx="20">
                  <c:v>3.2820000000000002E-3</c:v>
                </c:pt>
                <c:pt idx="21">
                  <c:v>2.0709999999999999E-3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Retailing</c:v>
                </c:pt>
                <c:pt idx="5">
                  <c:v>Agricultural, Commercial &amp; Construction Vehicles</c:v>
                </c:pt>
                <c:pt idx="6">
                  <c:v>Leisure Services</c:v>
                </c:pt>
                <c:pt idx="7">
                  <c:v>Industrial Products</c:v>
                </c:pt>
                <c:pt idx="8">
                  <c:v>Consumer Durables</c:v>
                </c:pt>
              </c:strCache>
            </c:strRef>
          </c:cat>
          <c:val>
            <c:numRef>
              <c:f>'BANDHAN TLF'!$X$8:$X$16</c:f>
              <c:numCache>
                <c:formatCode>0.00%</c:formatCode>
                <c:ptCount val="9"/>
                <c:pt idx="0">
                  <c:v>0.39855000000000002</c:v>
                </c:pt>
                <c:pt idx="1">
                  <c:v>0.30034199999999994</c:v>
                </c:pt>
                <c:pt idx="2">
                  <c:v>0.10362400000000001</c:v>
                </c:pt>
                <c:pt idx="3">
                  <c:v>4.0298E-2</c:v>
                </c:pt>
                <c:pt idx="4">
                  <c:v>2.2327E-2</c:v>
                </c:pt>
                <c:pt idx="5">
                  <c:v>2.0753000000000001E-2</c:v>
                </c:pt>
                <c:pt idx="6">
                  <c:v>1.4945999999999999E-2</c:v>
                </c:pt>
                <c:pt idx="7">
                  <c:v>1.3339999999999999E-2</c:v>
                </c:pt>
                <c:pt idx="8">
                  <c:v>1.2508E-2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0.45639500000000005</c:v>
                </c:pt>
                <c:pt idx="1">
                  <c:v>0.27083299999999999</c:v>
                </c:pt>
                <c:pt idx="2">
                  <c:v>0.111996</c:v>
                </c:pt>
                <c:pt idx="3">
                  <c:v>7.5120000000000006E-2</c:v>
                </c:pt>
                <c:pt idx="4">
                  <c:v>4.1199E-2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October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INNOV'!$W$8:$W$40</c:f>
              <c:strCache>
                <c:ptCount val="33"/>
                <c:pt idx="0">
                  <c:v>Pharmaceuticals &amp; Biotechnology</c:v>
                </c:pt>
                <c:pt idx="1">
                  <c:v>Retailing</c:v>
                </c:pt>
                <c:pt idx="2">
                  <c:v>Finance</c:v>
                </c:pt>
                <c:pt idx="3">
                  <c:v>Consumer Durables</c:v>
                </c:pt>
                <c:pt idx="4">
                  <c:v>Healthcare Services</c:v>
                </c:pt>
                <c:pt idx="5">
                  <c:v>IT - Software</c:v>
                </c:pt>
                <c:pt idx="6">
                  <c:v>Electrical Equipment</c:v>
                </c:pt>
                <c:pt idx="7">
                  <c:v>Beverages</c:v>
                </c:pt>
                <c:pt idx="8">
                  <c:v>Industrial Manufacturing</c:v>
                </c:pt>
                <c:pt idx="9">
                  <c:v>Capital Markets</c:v>
                </c:pt>
                <c:pt idx="10">
                  <c:v>Industrial Products</c:v>
                </c:pt>
                <c:pt idx="11">
                  <c:v>Chemicals &amp; Petrochemicals</c:v>
                </c:pt>
                <c:pt idx="12">
                  <c:v>Telecom - Services</c:v>
                </c:pt>
                <c:pt idx="13">
                  <c:v>IT - Services</c:v>
                </c:pt>
                <c:pt idx="14">
                  <c:v>Power</c:v>
                </c:pt>
                <c:pt idx="15">
                  <c:v>Financial Technology (Fintech)</c:v>
                </c:pt>
                <c:pt idx="16">
                  <c:v>Insurance</c:v>
                </c:pt>
                <c:pt idx="17">
                  <c:v>Automobiles</c:v>
                </c:pt>
                <c:pt idx="18">
                  <c:v>Transport Services</c:v>
                </c:pt>
                <c:pt idx="19">
                  <c:v>Banks</c:v>
                </c:pt>
                <c:pt idx="20">
                  <c:v>Auto Components</c:v>
                </c:pt>
                <c:pt idx="21">
                  <c:v>Leisure Services</c:v>
                </c:pt>
                <c:pt idx="22">
                  <c:v>Petroleum Products</c:v>
                </c:pt>
                <c:pt idx="23">
                  <c:v>Aerospace &amp; Defense</c:v>
                </c:pt>
                <c:pt idx="24">
                  <c:v>IT - Hardware</c:v>
                </c:pt>
                <c:pt idx="25">
                  <c:v>Diversified</c:v>
                </c:pt>
                <c:pt idx="26">
                  <c:v>Realty</c:v>
                </c:pt>
                <c:pt idx="27">
                  <c:v>Diversified Metals</c:v>
                </c:pt>
                <c:pt idx="28">
                  <c:v>Commercial Services &amp; Supplies</c:v>
                </c:pt>
                <c:pt idx="29">
                  <c:v>Construction</c:v>
                </c:pt>
                <c:pt idx="30">
                  <c:v>Entertainment</c:v>
                </c:pt>
                <c:pt idx="31">
                  <c:v>Cement &amp; Cement Products</c:v>
                </c:pt>
                <c:pt idx="32">
                  <c:v>Paper, Forest &amp; Jute Products</c:v>
                </c:pt>
              </c:strCache>
            </c:strRef>
          </c:cat>
          <c:val>
            <c:numRef>
              <c:f>'BANDHAN INNOV'!$X$8:$X$40</c:f>
              <c:numCache>
                <c:formatCode>0.00%</c:formatCode>
                <c:ptCount val="33"/>
                <c:pt idx="0">
                  <c:v>0.12851899999999999</c:v>
                </c:pt>
                <c:pt idx="1">
                  <c:v>8.8940000000000005E-2</c:v>
                </c:pt>
                <c:pt idx="2">
                  <c:v>7.2007999999999989E-2</c:v>
                </c:pt>
                <c:pt idx="3">
                  <c:v>6.7524000000000001E-2</c:v>
                </c:pt>
                <c:pt idx="4">
                  <c:v>6.1163000000000009E-2</c:v>
                </c:pt>
                <c:pt idx="5">
                  <c:v>4.6397000000000001E-2</c:v>
                </c:pt>
                <c:pt idx="6">
                  <c:v>3.9555E-2</c:v>
                </c:pt>
                <c:pt idx="7">
                  <c:v>3.5302E-2</c:v>
                </c:pt>
                <c:pt idx="8">
                  <c:v>3.5193000000000002E-2</c:v>
                </c:pt>
                <c:pt idx="9">
                  <c:v>3.2597000000000001E-2</c:v>
                </c:pt>
                <c:pt idx="10">
                  <c:v>2.9196E-2</c:v>
                </c:pt>
                <c:pt idx="11">
                  <c:v>2.8568999999999997E-2</c:v>
                </c:pt>
                <c:pt idx="12">
                  <c:v>2.8322E-2</c:v>
                </c:pt>
                <c:pt idx="13">
                  <c:v>2.649E-2</c:v>
                </c:pt>
                <c:pt idx="14">
                  <c:v>2.4126999999999999E-2</c:v>
                </c:pt>
                <c:pt idx="15">
                  <c:v>2.366E-2</c:v>
                </c:pt>
                <c:pt idx="16">
                  <c:v>1.7707000000000001E-2</c:v>
                </c:pt>
                <c:pt idx="17">
                  <c:v>1.7686E-2</c:v>
                </c:pt>
                <c:pt idx="18">
                  <c:v>1.7284000000000001E-2</c:v>
                </c:pt>
                <c:pt idx="19">
                  <c:v>1.6556000000000001E-2</c:v>
                </c:pt>
                <c:pt idx="20">
                  <c:v>1.601E-2</c:v>
                </c:pt>
                <c:pt idx="21">
                  <c:v>1.5023E-2</c:v>
                </c:pt>
                <c:pt idx="22">
                  <c:v>1.4511E-2</c:v>
                </c:pt>
                <c:pt idx="23">
                  <c:v>1.3961000000000001E-2</c:v>
                </c:pt>
                <c:pt idx="24">
                  <c:v>1.1709000000000001E-2</c:v>
                </c:pt>
                <c:pt idx="25">
                  <c:v>1.0838E-2</c:v>
                </c:pt>
                <c:pt idx="26">
                  <c:v>1.0814000000000001E-2</c:v>
                </c:pt>
                <c:pt idx="27">
                  <c:v>1.0638999999999999E-2</c:v>
                </c:pt>
                <c:pt idx="28">
                  <c:v>1.0137E-2</c:v>
                </c:pt>
                <c:pt idx="29">
                  <c:v>9.9100000000000004E-3</c:v>
                </c:pt>
                <c:pt idx="30">
                  <c:v>9.6360000000000005E-3</c:v>
                </c:pt>
                <c:pt idx="31">
                  <c:v>6.9040000000000004E-3</c:v>
                </c:pt>
                <c:pt idx="32">
                  <c:v>5.13E-3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CYCLE'!$W$8:$W$39</c:f>
              <c:strCache>
                <c:ptCount val="32"/>
                <c:pt idx="0">
                  <c:v>Banks</c:v>
                </c:pt>
                <c:pt idx="1">
                  <c:v>Finance</c:v>
                </c:pt>
                <c:pt idx="2">
                  <c:v>IT - Software</c:v>
                </c:pt>
                <c:pt idx="3">
                  <c:v>Construction</c:v>
                </c:pt>
                <c:pt idx="4">
                  <c:v>Power</c:v>
                </c:pt>
                <c:pt idx="5">
                  <c:v>Transport Infrastructure</c:v>
                </c:pt>
                <c:pt idx="6">
                  <c:v>Auto Components</c:v>
                </c:pt>
                <c:pt idx="7">
                  <c:v>Pharmaceuticals &amp; Biotechnology</c:v>
                </c:pt>
                <c:pt idx="8">
                  <c:v>Petroleum Products</c:v>
                </c:pt>
                <c:pt idx="9">
                  <c:v>Automobiles</c:v>
                </c:pt>
                <c:pt idx="10">
                  <c:v>Capital Markets</c:v>
                </c:pt>
                <c:pt idx="11">
                  <c:v>Ferrous Metals</c:v>
                </c:pt>
                <c:pt idx="12">
                  <c:v>Chemicals &amp; Petrochemicals</c:v>
                </c:pt>
                <c:pt idx="13">
                  <c:v>Fertilizers &amp; Agrochemicals</c:v>
                </c:pt>
                <c:pt idx="14">
                  <c:v>Aerospace &amp; Defense</c:v>
                </c:pt>
                <c:pt idx="15">
                  <c:v>Realty</c:v>
                </c:pt>
                <c:pt idx="16">
                  <c:v>Industrial Manufacturing</c:v>
                </c:pt>
                <c:pt idx="17">
                  <c:v>Retailing</c:v>
                </c:pt>
                <c:pt idx="18">
                  <c:v>Industrial Products</c:v>
                </c:pt>
                <c:pt idx="19">
                  <c:v>Personal Products</c:v>
                </c:pt>
                <c:pt idx="20">
                  <c:v>Healthcare Services</c:v>
                </c:pt>
                <c:pt idx="21">
                  <c:v>IT - Services</c:v>
                </c:pt>
                <c:pt idx="22">
                  <c:v>Gas</c:v>
                </c:pt>
                <c:pt idx="23">
                  <c:v>Financial Technology (Fintech)</c:v>
                </c:pt>
                <c:pt idx="24">
                  <c:v>Insurance</c:v>
                </c:pt>
                <c:pt idx="25">
                  <c:v>Beverages</c:v>
                </c:pt>
                <c:pt idx="26">
                  <c:v>Transport Services</c:v>
                </c:pt>
                <c:pt idx="27">
                  <c:v>Agricultural, Commercial &amp; Construction Vehicles</c:v>
                </c:pt>
                <c:pt idx="28">
                  <c:v>Electrical Equipment</c:v>
                </c:pt>
                <c:pt idx="29">
                  <c:v>Commercial Services &amp; Supplies</c:v>
                </c:pt>
                <c:pt idx="30">
                  <c:v>Leisure Services</c:v>
                </c:pt>
                <c:pt idx="31">
                  <c:v>Consumer Durables</c:v>
                </c:pt>
              </c:strCache>
            </c:strRef>
          </c:cat>
          <c:val>
            <c:numRef>
              <c:f>'BANDHAN BUSINESS CYCLE'!$X$8:$X$39</c:f>
              <c:numCache>
                <c:formatCode>0.00%</c:formatCode>
                <c:ptCount val="32"/>
                <c:pt idx="0">
                  <c:v>8.3652000000000004E-2</c:v>
                </c:pt>
                <c:pt idx="1">
                  <c:v>5.6271999999999996E-2</c:v>
                </c:pt>
                <c:pt idx="2">
                  <c:v>4.8176999999999998E-2</c:v>
                </c:pt>
                <c:pt idx="3">
                  <c:v>3.8815000000000002E-2</c:v>
                </c:pt>
                <c:pt idx="4">
                  <c:v>3.7018999999999996E-2</c:v>
                </c:pt>
                <c:pt idx="5">
                  <c:v>3.1237000000000001E-2</c:v>
                </c:pt>
                <c:pt idx="6">
                  <c:v>3.0726999999999997E-2</c:v>
                </c:pt>
                <c:pt idx="7">
                  <c:v>2.6636999999999997E-2</c:v>
                </c:pt>
                <c:pt idx="8">
                  <c:v>2.2775E-2</c:v>
                </c:pt>
                <c:pt idx="9">
                  <c:v>1.9022000000000001E-2</c:v>
                </c:pt>
                <c:pt idx="10">
                  <c:v>1.7502E-2</c:v>
                </c:pt>
                <c:pt idx="11">
                  <c:v>1.6971E-2</c:v>
                </c:pt>
                <c:pt idx="12">
                  <c:v>1.6808E-2</c:v>
                </c:pt>
                <c:pt idx="13">
                  <c:v>1.6539000000000002E-2</c:v>
                </c:pt>
                <c:pt idx="14">
                  <c:v>1.1813000000000001E-2</c:v>
                </c:pt>
                <c:pt idx="15">
                  <c:v>1.1764999999999998E-2</c:v>
                </c:pt>
                <c:pt idx="16">
                  <c:v>1.1693E-2</c:v>
                </c:pt>
                <c:pt idx="17">
                  <c:v>1.1140000000000001E-2</c:v>
                </c:pt>
                <c:pt idx="18">
                  <c:v>1.0666E-2</c:v>
                </c:pt>
                <c:pt idx="19">
                  <c:v>9.5409999999999991E-3</c:v>
                </c:pt>
                <c:pt idx="20">
                  <c:v>9.214E-3</c:v>
                </c:pt>
                <c:pt idx="21">
                  <c:v>8.0630000000000007E-3</c:v>
                </c:pt>
                <c:pt idx="22">
                  <c:v>6.2940000000000001E-3</c:v>
                </c:pt>
                <c:pt idx="23">
                  <c:v>5.777E-3</c:v>
                </c:pt>
                <c:pt idx="24">
                  <c:v>5.3299999999999997E-3</c:v>
                </c:pt>
                <c:pt idx="25">
                  <c:v>5.0670000000000003E-3</c:v>
                </c:pt>
                <c:pt idx="26">
                  <c:v>5.0330000000000001E-3</c:v>
                </c:pt>
                <c:pt idx="27">
                  <c:v>4.5919999999999997E-3</c:v>
                </c:pt>
                <c:pt idx="28">
                  <c:v>4.3429999999999996E-3</c:v>
                </c:pt>
                <c:pt idx="29">
                  <c:v>2.7309999999999999E-3</c:v>
                </c:pt>
                <c:pt idx="30">
                  <c:v>2.33E-3</c:v>
                </c:pt>
                <c:pt idx="31">
                  <c:v>1.039E-3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'BANDHAN-ELSS'!$W$8:$W$37</c:f>
              <c:strCache>
                <c:ptCount val="30"/>
                <c:pt idx="0">
                  <c:v>Banks</c:v>
                </c:pt>
                <c:pt idx="1">
                  <c:v>IT - Software</c:v>
                </c:pt>
                <c:pt idx="2">
                  <c:v>Pharmaceuticals &amp; Biotechnology</c:v>
                </c:pt>
                <c:pt idx="3">
                  <c:v>Construction</c:v>
                </c:pt>
                <c:pt idx="4">
                  <c:v>Petroleum Products</c:v>
                </c:pt>
                <c:pt idx="5">
                  <c:v>Insurance</c:v>
                </c:pt>
                <c:pt idx="6">
                  <c:v>Power</c:v>
                </c:pt>
                <c:pt idx="7">
                  <c:v>Automobiles</c:v>
                </c:pt>
                <c:pt idx="8">
                  <c:v>Auto Components</c:v>
                </c:pt>
                <c:pt idx="9">
                  <c:v>Finance</c:v>
                </c:pt>
                <c:pt idx="10">
                  <c:v>Ferrous Metals</c:v>
                </c:pt>
                <c:pt idx="11">
                  <c:v>Telecom - Services</c:v>
                </c:pt>
                <c:pt idx="12">
                  <c:v>Beverages</c:v>
                </c:pt>
                <c:pt idx="13">
                  <c:v>Leisure Services</c:v>
                </c:pt>
                <c:pt idx="14">
                  <c:v>Retailing</c:v>
                </c:pt>
                <c:pt idx="15">
                  <c:v>Electrical Equipment</c:v>
                </c:pt>
                <c:pt idx="16">
                  <c:v>Cement &amp; Cement Products</c:v>
                </c:pt>
                <c:pt idx="17">
                  <c:v>Diversified FMCG</c:v>
                </c:pt>
                <c:pt idx="18">
                  <c:v>Consumer Durables</c:v>
                </c:pt>
                <c:pt idx="19">
                  <c:v>Food Products</c:v>
                </c:pt>
                <c:pt idx="20">
                  <c:v>Realty</c:v>
                </c:pt>
                <c:pt idx="21">
                  <c:v>Diversified Metals</c:v>
                </c:pt>
                <c:pt idx="22">
                  <c:v>Personal Products</c:v>
                </c:pt>
                <c:pt idx="23">
                  <c:v>Transport Services</c:v>
                </c:pt>
                <c:pt idx="24">
                  <c:v>Non - Ferrous Metals</c:v>
                </c:pt>
                <c:pt idx="25">
                  <c:v>Fertilizers &amp; Agrochemicals</c:v>
                </c:pt>
                <c:pt idx="26">
                  <c:v>Telecom -  Equipment &amp; Accessories</c:v>
                </c:pt>
                <c:pt idx="27">
                  <c:v>Oil</c:v>
                </c:pt>
                <c:pt idx="28">
                  <c:v>Chemicals &amp; Petrochemicals</c:v>
                </c:pt>
                <c:pt idx="29">
                  <c:v>Industrial Products</c:v>
                </c:pt>
              </c:strCache>
            </c:strRef>
          </c:cat>
          <c:val>
            <c:numRef>
              <c:f>'BANDHAN-ELSS'!$X$8:$X$37</c:f>
              <c:numCache>
                <c:formatCode>0.00%</c:formatCode>
                <c:ptCount val="30"/>
                <c:pt idx="0">
                  <c:v>0.20528799999999997</c:v>
                </c:pt>
                <c:pt idx="1">
                  <c:v>8.7686E-2</c:v>
                </c:pt>
                <c:pt idx="2">
                  <c:v>8.705199999999999E-2</c:v>
                </c:pt>
                <c:pt idx="3">
                  <c:v>5.3911999999999995E-2</c:v>
                </c:pt>
                <c:pt idx="4">
                  <c:v>5.0192000000000001E-2</c:v>
                </c:pt>
                <c:pt idx="5">
                  <c:v>3.6249000000000003E-2</c:v>
                </c:pt>
                <c:pt idx="6">
                  <c:v>3.5616000000000002E-2</c:v>
                </c:pt>
                <c:pt idx="7">
                  <c:v>3.5586E-2</c:v>
                </c:pt>
                <c:pt idx="8">
                  <c:v>3.5274E-2</c:v>
                </c:pt>
                <c:pt idx="9">
                  <c:v>2.9346000000000001E-2</c:v>
                </c:pt>
                <c:pt idx="10">
                  <c:v>2.6800000000000001E-2</c:v>
                </c:pt>
                <c:pt idx="11">
                  <c:v>2.5707000000000001E-2</c:v>
                </c:pt>
                <c:pt idx="12">
                  <c:v>2.4448000000000001E-2</c:v>
                </c:pt>
                <c:pt idx="13">
                  <c:v>2.3709000000000001E-2</c:v>
                </c:pt>
                <c:pt idx="14">
                  <c:v>2.179E-2</c:v>
                </c:pt>
                <c:pt idx="15">
                  <c:v>2.0417000000000001E-2</c:v>
                </c:pt>
                <c:pt idx="16">
                  <c:v>1.9414000000000001E-2</c:v>
                </c:pt>
                <c:pt idx="17">
                  <c:v>1.771E-2</c:v>
                </c:pt>
                <c:pt idx="18">
                  <c:v>1.6496E-2</c:v>
                </c:pt>
                <c:pt idx="19">
                  <c:v>1.5869999999999999E-2</c:v>
                </c:pt>
                <c:pt idx="20">
                  <c:v>1.5235E-2</c:v>
                </c:pt>
                <c:pt idx="21">
                  <c:v>1.1433E-2</c:v>
                </c:pt>
                <c:pt idx="22">
                  <c:v>1.0956E-2</c:v>
                </c:pt>
                <c:pt idx="23">
                  <c:v>9.9570000000000006E-3</c:v>
                </c:pt>
                <c:pt idx="24">
                  <c:v>9.9419999999999994E-3</c:v>
                </c:pt>
                <c:pt idx="25">
                  <c:v>9.6019999999999994E-3</c:v>
                </c:pt>
                <c:pt idx="26">
                  <c:v>8.4069999999999995E-3</c:v>
                </c:pt>
                <c:pt idx="27">
                  <c:v>5.7860000000000003E-3</c:v>
                </c:pt>
                <c:pt idx="28">
                  <c:v>5.731E-3</c:v>
                </c:pt>
                <c:pt idx="29">
                  <c:v>3.8400000000000001E-3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0.70530499999999996</c:v>
                </c:pt>
                <c:pt idx="1">
                  <c:v>0.29469500000000004</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IT - Software</c:v>
                </c:pt>
                <c:pt idx="3">
                  <c:v>Pharmaceuticals &amp; Biotechnology</c:v>
                </c:pt>
                <c:pt idx="4">
                  <c:v>Finance</c:v>
                </c:pt>
                <c:pt idx="5">
                  <c:v>Healthcare Services</c:v>
                </c:pt>
                <c:pt idx="6">
                  <c:v>Petroleum Products</c:v>
                </c:pt>
                <c:pt idx="7">
                  <c:v>Construction</c:v>
                </c:pt>
                <c:pt idx="8">
                  <c:v>Power</c:v>
                </c:pt>
                <c:pt idx="9">
                  <c:v>Electrical Equipment</c:v>
                </c:pt>
                <c:pt idx="10">
                  <c:v>Automobiles</c:v>
                </c:pt>
                <c:pt idx="11">
                  <c:v>Auto Components</c:v>
                </c:pt>
                <c:pt idx="12">
                  <c:v>Realty</c:v>
                </c:pt>
                <c:pt idx="13">
                  <c:v>Diversified Metals</c:v>
                </c:pt>
                <c:pt idx="14">
                  <c:v>Telecom - Services</c:v>
                </c:pt>
                <c:pt idx="15">
                  <c:v>Beverages</c:v>
                </c:pt>
              </c:strCache>
            </c:strRef>
          </c:cat>
          <c:val>
            <c:numRef>
              <c:f>'BANDHAN BAF'!$X$8:$X$23</c:f>
              <c:numCache>
                <c:formatCode>0.00%</c:formatCode>
                <c:ptCount val="16"/>
                <c:pt idx="0">
                  <c:v>7.2447000000000025E-2</c:v>
                </c:pt>
                <c:pt idx="1">
                  <c:v>4.7181000000000001E-2</c:v>
                </c:pt>
                <c:pt idx="2">
                  <c:v>3.3861999999999996E-2</c:v>
                </c:pt>
                <c:pt idx="3">
                  <c:v>2.6872999999999994E-2</c:v>
                </c:pt>
                <c:pt idx="4">
                  <c:v>2.3995000000000006E-2</c:v>
                </c:pt>
                <c:pt idx="5">
                  <c:v>2.1949999999999997E-2</c:v>
                </c:pt>
                <c:pt idx="6">
                  <c:v>2.1442000000000003E-2</c:v>
                </c:pt>
                <c:pt idx="7">
                  <c:v>1.8186000000000001E-2</c:v>
                </c:pt>
                <c:pt idx="8">
                  <c:v>1.7481E-2</c:v>
                </c:pt>
                <c:pt idx="9">
                  <c:v>1.7299999999999999E-2</c:v>
                </c:pt>
                <c:pt idx="10">
                  <c:v>1.3249999999999996E-2</c:v>
                </c:pt>
                <c:pt idx="11">
                  <c:v>1.2667999999999999E-2</c:v>
                </c:pt>
                <c:pt idx="12">
                  <c:v>1.2114999999999999E-2</c:v>
                </c:pt>
                <c:pt idx="13">
                  <c:v>1.1945000000000001E-2</c:v>
                </c:pt>
                <c:pt idx="14">
                  <c:v>1.1775000000000001E-2</c:v>
                </c:pt>
                <c:pt idx="15">
                  <c:v>1.0594000000000003E-2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BAF'!$W$8:$W$41</c:f>
              <c:strCache>
                <c:ptCount val="34"/>
                <c:pt idx="0">
                  <c:v>Banks</c:v>
                </c:pt>
                <c:pt idx="1">
                  <c:v>Retailing</c:v>
                </c:pt>
                <c:pt idx="2">
                  <c:v>IT - Software</c:v>
                </c:pt>
                <c:pt idx="3">
                  <c:v>Pharmaceuticals &amp; Biotechnology</c:v>
                </c:pt>
                <c:pt idx="4">
                  <c:v>Finance</c:v>
                </c:pt>
                <c:pt idx="5">
                  <c:v>Healthcare Services</c:v>
                </c:pt>
                <c:pt idx="6">
                  <c:v>Petroleum Products</c:v>
                </c:pt>
                <c:pt idx="7">
                  <c:v>Construction</c:v>
                </c:pt>
                <c:pt idx="8">
                  <c:v>Power</c:v>
                </c:pt>
                <c:pt idx="9">
                  <c:v>Electrical Equipment</c:v>
                </c:pt>
                <c:pt idx="10">
                  <c:v>Automobiles</c:v>
                </c:pt>
                <c:pt idx="11">
                  <c:v>Auto Components</c:v>
                </c:pt>
                <c:pt idx="12">
                  <c:v>Realty</c:v>
                </c:pt>
                <c:pt idx="13">
                  <c:v>Diversified Metals</c:v>
                </c:pt>
                <c:pt idx="14">
                  <c:v>Telecom - Services</c:v>
                </c:pt>
                <c:pt idx="15">
                  <c:v>Beverages</c:v>
                </c:pt>
                <c:pt idx="16">
                  <c:v>Financial Technology (Fintech)</c:v>
                </c:pt>
                <c:pt idx="17">
                  <c:v>Capital Markets</c:v>
                </c:pt>
                <c:pt idx="18">
                  <c:v>Transport Services</c:v>
                </c:pt>
                <c:pt idx="19">
                  <c:v>Diversified FMCG</c:v>
                </c:pt>
                <c:pt idx="20">
                  <c:v>Cement &amp; Cement Products</c:v>
                </c:pt>
                <c:pt idx="21">
                  <c:v>Aerospace &amp; Defense</c:v>
                </c:pt>
                <c:pt idx="22">
                  <c:v>Gas</c:v>
                </c:pt>
                <c:pt idx="23">
                  <c:v>Leisure Services</c:v>
                </c:pt>
                <c:pt idx="24">
                  <c:v>Industrial Manufacturing</c:v>
                </c:pt>
                <c:pt idx="25">
                  <c:v>Oil</c:v>
                </c:pt>
                <c:pt idx="26">
                  <c:v>Food Products</c:v>
                </c:pt>
                <c:pt idx="27">
                  <c:v>Entertainment</c:v>
                </c:pt>
                <c:pt idx="28">
                  <c:v>Chemicals &amp; Petrochemicals</c:v>
                </c:pt>
                <c:pt idx="29">
                  <c:v>Fertilizers &amp; Agrochemicals</c:v>
                </c:pt>
                <c:pt idx="30">
                  <c:v>Consumer Durables</c:v>
                </c:pt>
                <c:pt idx="31">
                  <c:v>Ferrous Metals</c:v>
                </c:pt>
                <c:pt idx="32">
                  <c:v>Insurance</c:v>
                </c:pt>
                <c:pt idx="33">
                  <c:v>Personal Products</c:v>
                </c:pt>
              </c:strCache>
            </c:strRef>
          </c:cat>
          <c:val>
            <c:numRef>
              <c:f>'BANDHAN BAF'!$X$8:$X$41</c:f>
              <c:numCache>
                <c:formatCode>0.00%</c:formatCode>
                <c:ptCount val="34"/>
                <c:pt idx="0">
                  <c:v>7.2447000000000025E-2</c:v>
                </c:pt>
                <c:pt idx="1">
                  <c:v>4.7181000000000001E-2</c:v>
                </c:pt>
                <c:pt idx="2">
                  <c:v>3.3861999999999996E-2</c:v>
                </c:pt>
                <c:pt idx="3">
                  <c:v>2.6872999999999994E-2</c:v>
                </c:pt>
                <c:pt idx="4">
                  <c:v>2.3995000000000006E-2</c:v>
                </c:pt>
                <c:pt idx="5">
                  <c:v>2.1949999999999997E-2</c:v>
                </c:pt>
                <c:pt idx="6">
                  <c:v>2.1442000000000003E-2</c:v>
                </c:pt>
                <c:pt idx="7">
                  <c:v>1.8186000000000001E-2</c:v>
                </c:pt>
                <c:pt idx="8">
                  <c:v>1.7481E-2</c:v>
                </c:pt>
                <c:pt idx="9">
                  <c:v>1.7299999999999999E-2</c:v>
                </c:pt>
                <c:pt idx="10">
                  <c:v>1.3249999999999996E-2</c:v>
                </c:pt>
                <c:pt idx="11">
                  <c:v>1.2667999999999999E-2</c:v>
                </c:pt>
                <c:pt idx="12">
                  <c:v>1.2114999999999999E-2</c:v>
                </c:pt>
                <c:pt idx="13">
                  <c:v>1.1945000000000001E-2</c:v>
                </c:pt>
                <c:pt idx="14">
                  <c:v>1.1775000000000001E-2</c:v>
                </c:pt>
                <c:pt idx="15">
                  <c:v>1.0594000000000003E-2</c:v>
                </c:pt>
                <c:pt idx="16">
                  <c:v>1.0215E-2</c:v>
                </c:pt>
                <c:pt idx="17">
                  <c:v>9.2640000000000014E-3</c:v>
                </c:pt>
                <c:pt idx="18">
                  <c:v>7.8110000000000002E-3</c:v>
                </c:pt>
                <c:pt idx="19">
                  <c:v>6.6080000000000019E-3</c:v>
                </c:pt>
                <c:pt idx="20">
                  <c:v>6.3690000000000005E-3</c:v>
                </c:pt>
                <c:pt idx="21">
                  <c:v>5.8669999999999998E-3</c:v>
                </c:pt>
                <c:pt idx="22">
                  <c:v>5.2900000000000004E-3</c:v>
                </c:pt>
                <c:pt idx="23">
                  <c:v>3.738E-3</c:v>
                </c:pt>
                <c:pt idx="24">
                  <c:v>3.6879999999999999E-3</c:v>
                </c:pt>
                <c:pt idx="25">
                  <c:v>2.9329999999999998E-3</c:v>
                </c:pt>
                <c:pt idx="26">
                  <c:v>1.0859999999999999E-3</c:v>
                </c:pt>
                <c:pt idx="27">
                  <c:v>1.0480000000000001E-3</c:v>
                </c:pt>
                <c:pt idx="28">
                  <c:v>9.4600000000000023E-4</c:v>
                </c:pt>
                <c:pt idx="29">
                  <c:v>-2.8000000000000247E-5</c:v>
                </c:pt>
                <c:pt idx="30">
                  <c:v>-3.4999999999999441E-5</c:v>
                </c:pt>
                <c:pt idx="31">
                  <c:v>-4.4999999999999901E-5</c:v>
                </c:pt>
                <c:pt idx="32">
                  <c:v>-8.000000000000021E-5</c:v>
                </c:pt>
                <c:pt idx="33">
                  <c:v>-9.7999999999999129E-5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430661104506674"/>
                  <c:y val="-0.132755228772384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1.3178982650670841E-2"/>
                  <c:y val="0.640121462037949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24664229639992027"/>
                  <c:y val="-0.1830717291286406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76983803811924023"/>
                  <c:y val="0.1905654762556673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7.4801352186861056E-2"/>
                  <c:y val="-0.352358210501199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7.8202354292569269E-3"/>
                  <c:y val="-1.452500226082858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'BANDHAN-ESF'!$J$9:$J$17</c:f>
              <c:strCache>
                <c:ptCount val="9"/>
                <c:pt idx="0">
                  <c:v>Net Equity </c:v>
                </c:pt>
                <c:pt idx="1">
                  <c:v>Net Current Asset</c:v>
                </c:pt>
                <c:pt idx="3">
                  <c:v>Corporate Bond</c:v>
                </c:pt>
                <c:pt idx="5">
                  <c:v>Mutual Fund Units</c:v>
                </c:pt>
                <c:pt idx="6">
                  <c:v>Government Bond</c:v>
                </c:pt>
                <c:pt idx="7">
                  <c:v>Arbitrage</c:v>
                </c:pt>
                <c:pt idx="8">
                  <c:v>Equity Options</c:v>
                </c:pt>
              </c:strCache>
            </c:strRef>
          </c:cat>
          <c:val>
            <c:numRef>
              <c:f>'BANDHAN-ESF'!$K$9:$K$17</c:f>
              <c:numCache>
                <c:formatCode>0.00%</c:formatCode>
                <c:ptCount val="9"/>
                <c:pt idx="0">
                  <c:v>0.10831099999999999</c:v>
                </c:pt>
                <c:pt idx="1">
                  <c:v>5.695800000000005E-2</c:v>
                </c:pt>
                <c:pt idx="3">
                  <c:v>8.2206000000000001E-2</c:v>
                </c:pt>
                <c:pt idx="5">
                  <c:v>0.12707599999999999</c:v>
                </c:pt>
                <c:pt idx="6">
                  <c:v>6.3156000000000004E-2</c:v>
                </c:pt>
                <c:pt idx="7">
                  <c:v>0.56211999999999995</c:v>
                </c:pt>
                <c:pt idx="8">
                  <c:v>1.73E-4</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3.0303252040021291E-2"/>
                  <c:y val="0.116197725387121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6667154488046845E-2"/>
                  <c:y val="2.4318958974615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0.193077</c:v>
                </c:pt>
                <c:pt idx="1">
                  <c:v>0.22153699999999998</c:v>
                </c:pt>
                <c:pt idx="2">
                  <c:v>0.15904099999999999</c:v>
                </c:pt>
                <c:pt idx="3">
                  <c:v>0.42318499999999998</c:v>
                </c:pt>
                <c:pt idx="5">
                  <c:v>3.16E-3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0.89883699999999989</c:v>
                </c:pt>
                <c:pt idx="1">
                  <c:v>6.7301E-2</c:v>
                </c:pt>
                <c:pt idx="2">
                  <c:v>3.3862000000000003E-2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0.97061500000000001</c:v>
                </c:pt>
                <c:pt idx="1">
                  <c:v>1.5334E-2</c:v>
                </c:pt>
                <c:pt idx="2">
                  <c:v>1.4050999999999999E-2</c:v>
                </c:pt>
              </c:numCache>
            </c:numRef>
          </c:val>
          <c:extLst>
            <c:ext xmlns:c15="http://schemas.microsoft.com/office/drawing/2012/chart" uri="{02D57815-91ED-43cb-92C2-25804820EDAC}">
              <c15:datalabelsRange>
                <c15:f>('BANDHAN-HEF'!$G$10,'BANDHAN-HEF'!$I$10)</c15:f>
                <c15:dlblRangeCache>
                  <c:ptCount val="2"/>
                  <c:pt idx="0">
                    <c:v>AA Equivalent</c:v>
                  </c:pt>
                  <c:pt idx="1">
                    <c:v>1.41%</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0.10419199999999999</c:v>
                </c:pt>
                <c:pt idx="1">
                  <c:v>0.76531300000000002</c:v>
                </c:pt>
                <c:pt idx="3">
                  <c:v>2.1214999999999998E-2</c:v>
                </c:pt>
                <c:pt idx="4">
                  <c:v>0.10928</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Retailing</c:v>
                </c:pt>
                <c:pt idx="2">
                  <c:v>Finance</c:v>
                </c:pt>
                <c:pt idx="3">
                  <c:v>IT - Software</c:v>
                </c:pt>
                <c:pt idx="4">
                  <c:v>Petroleum Products</c:v>
                </c:pt>
                <c:pt idx="5">
                  <c:v>Automobiles</c:v>
                </c:pt>
                <c:pt idx="6">
                  <c:v>Ferrous Metals</c:v>
                </c:pt>
                <c:pt idx="7">
                  <c:v>Pharmaceuticals &amp; Biotechnology</c:v>
                </c:pt>
                <c:pt idx="8">
                  <c:v>Diversified FMCG</c:v>
                </c:pt>
                <c:pt idx="9">
                  <c:v>Telecom - Services</c:v>
                </c:pt>
                <c:pt idx="10">
                  <c:v>Electrical Equipment</c:v>
                </c:pt>
                <c:pt idx="11">
                  <c:v>Insurance</c:v>
                </c:pt>
                <c:pt idx="12">
                  <c:v>Beverages</c:v>
                </c:pt>
                <c:pt idx="13">
                  <c:v>Auto Components</c:v>
                </c:pt>
                <c:pt idx="14">
                  <c:v>Chemicals &amp; Petrochemicals</c:v>
                </c:pt>
                <c:pt idx="15">
                  <c:v>Construction</c:v>
                </c:pt>
                <c:pt idx="16">
                  <c:v>Transport Services</c:v>
                </c:pt>
                <c:pt idx="17">
                  <c:v>Power</c:v>
                </c:pt>
                <c:pt idx="18">
                  <c:v>Consumable Fuels</c:v>
                </c:pt>
                <c:pt idx="19">
                  <c:v>Non - Ferrous Metals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8.9206000000000008E-2</c:v>
                </c:pt>
                <c:pt idx="1">
                  <c:v>3.6882999999999999E-2</c:v>
                </c:pt>
                <c:pt idx="2">
                  <c:v>3.5284999999999997E-2</c:v>
                </c:pt>
                <c:pt idx="3">
                  <c:v>3.4489000000000006E-2</c:v>
                </c:pt>
                <c:pt idx="4">
                  <c:v>3.1316999999999998E-2</c:v>
                </c:pt>
                <c:pt idx="5">
                  <c:v>2.5775000000000006E-2</c:v>
                </c:pt>
                <c:pt idx="6">
                  <c:v>2.1791999999999999E-2</c:v>
                </c:pt>
                <c:pt idx="7">
                  <c:v>2.1634E-2</c:v>
                </c:pt>
                <c:pt idx="8">
                  <c:v>2.1246999999999999E-2</c:v>
                </c:pt>
                <c:pt idx="9">
                  <c:v>1.9782000000000001E-2</c:v>
                </c:pt>
                <c:pt idx="10">
                  <c:v>1.8373E-2</c:v>
                </c:pt>
                <c:pt idx="11">
                  <c:v>1.6249E-2</c:v>
                </c:pt>
                <c:pt idx="12">
                  <c:v>1.4718E-2</c:v>
                </c:pt>
                <c:pt idx="13">
                  <c:v>1.4263000000000001E-2</c:v>
                </c:pt>
                <c:pt idx="14">
                  <c:v>1.4076999999999999E-2</c:v>
                </c:pt>
                <c:pt idx="15">
                  <c:v>1.3750999999999999E-2</c:v>
                </c:pt>
                <c:pt idx="16">
                  <c:v>1.2538000000000001E-2</c:v>
                </c:pt>
                <c:pt idx="17">
                  <c:v>1.2344000000000001E-2</c:v>
                </c:pt>
                <c:pt idx="18">
                  <c:v>1.1275E-2</c:v>
                </c:pt>
                <c:pt idx="19">
                  <c:v>1.1183999999999999E-2</c:v>
                </c:pt>
                <c:pt idx="20">
                  <c:v>8.7999999999999988E-3</c:v>
                </c:pt>
                <c:pt idx="21">
                  <c:v>7.6839999999999999E-3</c:v>
                </c:pt>
                <c:pt idx="22">
                  <c:v>6.4599999999999996E-3</c:v>
                </c:pt>
                <c:pt idx="23">
                  <c:v>5.5710000000000004E-3</c:v>
                </c:pt>
                <c:pt idx="24">
                  <c:v>4.47E-3</c:v>
                </c:pt>
                <c:pt idx="25">
                  <c:v>2.715E-3</c:v>
                </c:pt>
                <c:pt idx="26">
                  <c:v>1.8320000000000001E-3</c:v>
                </c:pt>
                <c:pt idx="27">
                  <c:v>1.0009999999999999E-3</c:v>
                </c:pt>
                <c:pt idx="28">
                  <c:v>6.4499999999999996E-4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Pharmaceuticals &amp; Biotechnology</c:v>
                </c:pt>
                <c:pt idx="3">
                  <c:v>Retailing</c:v>
                </c:pt>
                <c:pt idx="4">
                  <c:v>IT - Software</c:v>
                </c:pt>
                <c:pt idx="5">
                  <c:v>Automobiles</c:v>
                </c:pt>
                <c:pt idx="6">
                  <c:v>Consumer Durables</c:v>
                </c:pt>
                <c:pt idx="7">
                  <c:v>Petroleum Products</c:v>
                </c:pt>
                <c:pt idx="8">
                  <c:v>Industrial Products</c:v>
                </c:pt>
                <c:pt idx="9">
                  <c:v>Diversified FMCG</c:v>
                </c:pt>
                <c:pt idx="10">
                  <c:v>Electrical Equipment</c:v>
                </c:pt>
                <c:pt idx="11">
                  <c:v>Fertilizers &amp; Agrochemicals</c:v>
                </c:pt>
                <c:pt idx="12">
                  <c:v>Construction</c:v>
                </c:pt>
                <c:pt idx="13">
                  <c:v>Insurance</c:v>
                </c:pt>
                <c:pt idx="14">
                  <c:v>Commercial Services &amp; Supplies</c:v>
                </c:pt>
                <c:pt idx="15">
                  <c:v>Power</c:v>
                </c:pt>
                <c:pt idx="16">
                  <c:v>Auto Components</c:v>
                </c:pt>
                <c:pt idx="17">
                  <c:v>Realty</c:v>
                </c:pt>
                <c:pt idx="18">
                  <c:v>Cement &amp; Cement Products</c:v>
                </c:pt>
                <c:pt idx="19">
                  <c:v>Leisure Services</c:v>
                </c:pt>
                <c:pt idx="20">
                  <c:v>Ferrous Metals</c:v>
                </c:pt>
                <c:pt idx="21">
                  <c:v>Food Products</c:v>
                </c:pt>
                <c:pt idx="22">
                  <c:v>Personal Products</c:v>
                </c:pt>
                <c:pt idx="23">
                  <c:v>Telecom - Services</c:v>
                </c:pt>
                <c:pt idx="24">
                  <c:v>Capital Markets</c:v>
                </c:pt>
                <c:pt idx="25">
                  <c:v>Healthcare Services</c:v>
                </c:pt>
                <c:pt idx="26">
                  <c:v>Minerals &amp; Mining</c:v>
                </c:pt>
                <c:pt idx="27">
                  <c:v>Telecom -  Equipment &amp; Accessories</c:v>
                </c:pt>
                <c:pt idx="28">
                  <c:v>Agricultural, Commercial &amp; Construction Vehicles</c:v>
                </c:pt>
                <c:pt idx="29">
                  <c:v>Textiles &amp; Apparels</c:v>
                </c:pt>
                <c:pt idx="30">
                  <c:v>Consumable Fuels</c:v>
                </c:pt>
                <c:pt idx="31">
                  <c:v>Transport Services</c:v>
                </c:pt>
                <c:pt idx="32">
                  <c:v>Non - Ferrous Metals</c:v>
                </c:pt>
                <c:pt idx="33">
                  <c:v>Diversified Metals</c:v>
                </c:pt>
                <c:pt idx="34">
                  <c:v>IT - Services</c:v>
                </c:pt>
                <c:pt idx="35">
                  <c:v>Diversified</c:v>
                </c:pt>
                <c:pt idx="36">
                  <c:v>Gas</c:v>
                </c:pt>
                <c:pt idx="37">
                  <c:v>Industrial Manufacturing</c:v>
                </c:pt>
                <c:pt idx="38">
                  <c:v>Agricultural Food &amp; other Products</c:v>
                </c:pt>
                <c:pt idx="39">
                  <c:v>IT - Hardware</c:v>
                </c:pt>
              </c:strCache>
            </c:strRef>
          </c:cat>
          <c:val>
            <c:numRef>
              <c:f>'BANDHAN MAF'!$Q$7:$Q$46</c:f>
              <c:numCache>
                <c:formatCode>0.00%</c:formatCode>
                <c:ptCount val="40"/>
                <c:pt idx="0">
                  <c:v>8.514300000000001E-2</c:v>
                </c:pt>
                <c:pt idx="1">
                  <c:v>3.4344000000000006E-2</c:v>
                </c:pt>
                <c:pt idx="2">
                  <c:v>3.3222000000000002E-2</c:v>
                </c:pt>
                <c:pt idx="3">
                  <c:v>3.1268000000000004E-2</c:v>
                </c:pt>
                <c:pt idx="4">
                  <c:v>2.7519000000000002E-2</c:v>
                </c:pt>
                <c:pt idx="5">
                  <c:v>2.0507000000000001E-2</c:v>
                </c:pt>
                <c:pt idx="6">
                  <c:v>1.8957000000000002E-2</c:v>
                </c:pt>
                <c:pt idx="7">
                  <c:v>1.8273999999999995E-2</c:v>
                </c:pt>
                <c:pt idx="8">
                  <c:v>1.7656999999999999E-2</c:v>
                </c:pt>
                <c:pt idx="9">
                  <c:v>1.6300000000000002E-2</c:v>
                </c:pt>
                <c:pt idx="10">
                  <c:v>1.5354E-2</c:v>
                </c:pt>
                <c:pt idx="11">
                  <c:v>1.5290000000000002E-2</c:v>
                </c:pt>
                <c:pt idx="12">
                  <c:v>1.3593000000000001E-2</c:v>
                </c:pt>
                <c:pt idx="13">
                  <c:v>1.26E-2</c:v>
                </c:pt>
                <c:pt idx="14">
                  <c:v>1.2101000000000001E-2</c:v>
                </c:pt>
                <c:pt idx="15">
                  <c:v>1.1567999999999998E-2</c:v>
                </c:pt>
                <c:pt idx="16">
                  <c:v>1.0785999999999999E-2</c:v>
                </c:pt>
                <c:pt idx="17">
                  <c:v>1.0186000000000001E-2</c:v>
                </c:pt>
                <c:pt idx="18">
                  <c:v>9.5399999999999999E-3</c:v>
                </c:pt>
                <c:pt idx="19">
                  <c:v>8.5660000000000007E-3</c:v>
                </c:pt>
                <c:pt idx="20">
                  <c:v>7.1229999999999991E-3</c:v>
                </c:pt>
                <c:pt idx="21">
                  <c:v>7.0229999999999997E-3</c:v>
                </c:pt>
                <c:pt idx="22">
                  <c:v>6.7299999999999999E-3</c:v>
                </c:pt>
                <c:pt idx="23">
                  <c:v>6.2380000000000005E-3</c:v>
                </c:pt>
                <c:pt idx="24">
                  <c:v>5.8089999999999999E-3</c:v>
                </c:pt>
                <c:pt idx="25">
                  <c:v>5.3429999999999997E-3</c:v>
                </c:pt>
                <c:pt idx="26">
                  <c:v>5.2399999999999999E-3</c:v>
                </c:pt>
                <c:pt idx="27">
                  <c:v>5.1919999999999996E-3</c:v>
                </c:pt>
                <c:pt idx="28">
                  <c:v>4.6820000000000004E-3</c:v>
                </c:pt>
                <c:pt idx="29">
                  <c:v>3.9659999999999999E-3</c:v>
                </c:pt>
                <c:pt idx="30">
                  <c:v>3.813E-3</c:v>
                </c:pt>
                <c:pt idx="31">
                  <c:v>3.1410000000000001E-3</c:v>
                </c:pt>
                <c:pt idx="32">
                  <c:v>2.8870000000000002E-3</c:v>
                </c:pt>
                <c:pt idx="33">
                  <c:v>2.6090000000000002E-3</c:v>
                </c:pt>
                <c:pt idx="34">
                  <c:v>2.434E-3</c:v>
                </c:pt>
                <c:pt idx="35">
                  <c:v>2.434E-3</c:v>
                </c:pt>
                <c:pt idx="36">
                  <c:v>1.9689999999999998E-3</c:v>
                </c:pt>
                <c:pt idx="37">
                  <c:v>1.802E-3</c:v>
                </c:pt>
                <c:pt idx="38">
                  <c:v>1.439E-3</c:v>
                </c:pt>
                <c:pt idx="39">
                  <c:v>1.005E-3</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October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Pharmaceuticals &amp; Biotechnology</c:v>
                </c:pt>
                <c:pt idx="3">
                  <c:v>Retailing</c:v>
                </c:pt>
                <c:pt idx="4">
                  <c:v>IT - Software</c:v>
                </c:pt>
                <c:pt idx="5">
                  <c:v>Automobiles</c:v>
                </c:pt>
                <c:pt idx="6">
                  <c:v>Consumer Durables</c:v>
                </c:pt>
                <c:pt idx="7">
                  <c:v>Petroleum Products</c:v>
                </c:pt>
                <c:pt idx="8">
                  <c:v>Industrial Products</c:v>
                </c:pt>
                <c:pt idx="9">
                  <c:v>Diversified FMCG</c:v>
                </c:pt>
                <c:pt idx="10">
                  <c:v>Electrical Equipment</c:v>
                </c:pt>
                <c:pt idx="11">
                  <c:v>Fertilizers &amp; Agrochemicals</c:v>
                </c:pt>
                <c:pt idx="12">
                  <c:v>Construction</c:v>
                </c:pt>
                <c:pt idx="13">
                  <c:v>Insurance</c:v>
                </c:pt>
                <c:pt idx="14">
                  <c:v>Commercial Services &amp; Supplies</c:v>
                </c:pt>
                <c:pt idx="15">
                  <c:v>Power</c:v>
                </c:pt>
                <c:pt idx="16">
                  <c:v>Auto Components</c:v>
                </c:pt>
                <c:pt idx="17">
                  <c:v>Realty</c:v>
                </c:pt>
                <c:pt idx="18">
                  <c:v>Cement &amp; Cement Products</c:v>
                </c:pt>
                <c:pt idx="19">
                  <c:v>Leisure Services</c:v>
                </c:pt>
                <c:pt idx="20">
                  <c:v>Ferrous Metals</c:v>
                </c:pt>
                <c:pt idx="21">
                  <c:v>Food Products</c:v>
                </c:pt>
                <c:pt idx="22">
                  <c:v>Personal Products</c:v>
                </c:pt>
                <c:pt idx="23">
                  <c:v>Telecom - Services</c:v>
                </c:pt>
                <c:pt idx="24">
                  <c:v>Capital Markets</c:v>
                </c:pt>
                <c:pt idx="25">
                  <c:v>Healthcare Services</c:v>
                </c:pt>
                <c:pt idx="26">
                  <c:v>Minerals &amp; Mining</c:v>
                </c:pt>
                <c:pt idx="27">
                  <c:v>Telecom -  Equipment &amp; Accessories</c:v>
                </c:pt>
                <c:pt idx="28">
                  <c:v>Agricultural, Commercial &amp; Construction Vehicles</c:v>
                </c:pt>
                <c:pt idx="29">
                  <c:v>Textiles &amp; Apparels</c:v>
                </c:pt>
                <c:pt idx="30">
                  <c:v>Consumable Fuels</c:v>
                </c:pt>
                <c:pt idx="31">
                  <c:v>Transport Services</c:v>
                </c:pt>
                <c:pt idx="32">
                  <c:v>Non - Ferrous Metals</c:v>
                </c:pt>
                <c:pt idx="33">
                  <c:v>Diversified Metals</c:v>
                </c:pt>
                <c:pt idx="34">
                  <c:v>IT - Services</c:v>
                </c:pt>
                <c:pt idx="35">
                  <c:v>Diversified</c:v>
                </c:pt>
                <c:pt idx="36">
                  <c:v>Gas</c:v>
                </c:pt>
                <c:pt idx="37">
                  <c:v>Industrial Manufacturing</c:v>
                </c:pt>
                <c:pt idx="38">
                  <c:v>Agricultural Food &amp; other Products</c:v>
                </c:pt>
                <c:pt idx="39">
                  <c:v>IT - Hardware</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0.28279900000000002</c:v>
                </c:pt>
                <c:pt idx="1">
                  <c:v>0.67615099999999995</c:v>
                </c:pt>
                <c:pt idx="2">
                  <c:v>4.1049999999999996E-2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0.48410500000000001</c:v>
                </c:pt>
                <c:pt idx="1">
                  <c:v>0.501942</c:v>
                </c:pt>
                <c:pt idx="2">
                  <c:v>1.3952999999999998E-2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0.71626000000000012</c:v>
                </c:pt>
                <c:pt idx="1">
                  <c:v>0.244841</c:v>
                </c:pt>
                <c:pt idx="2">
                  <c:v>3.8899000000000003E-2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Retailing</c:v>
                </c:pt>
                <c:pt idx="14">
                  <c:v>Insurance</c:v>
                </c:pt>
                <c:pt idx="15">
                  <c:v>Food Products</c:v>
                </c:pt>
                <c:pt idx="16">
                  <c:v>Oil</c:v>
                </c:pt>
                <c:pt idx="17">
                  <c:v>Consumable Fuels</c:v>
                </c:pt>
                <c:pt idx="18">
                  <c:v>Aerospace &amp; Defense</c:v>
                </c:pt>
                <c:pt idx="19">
                  <c:v>Transport Infrastructure</c:v>
                </c:pt>
                <c:pt idx="20">
                  <c:v>Non - Ferrous Metals</c:v>
                </c:pt>
                <c:pt idx="21">
                  <c:v>Healthcare Services</c:v>
                </c:pt>
                <c:pt idx="22">
                  <c:v>Metals &amp; Minerals Trading</c:v>
                </c:pt>
                <c:pt idx="23">
                  <c:v>Agricultural Food &amp; other Products</c:v>
                </c:pt>
              </c:strCache>
            </c:strRef>
          </c:cat>
          <c:val>
            <c:numRef>
              <c:f>'BANDHAN-NIFTY 50 Index'!$X$8:$X$31</c:f>
              <c:numCache>
                <c:formatCode>0.00%</c:formatCode>
                <c:ptCount val="24"/>
                <c:pt idx="0">
                  <c:v>0.29382999999999998</c:v>
                </c:pt>
                <c:pt idx="1">
                  <c:v>0.12910000000000002</c:v>
                </c:pt>
                <c:pt idx="2">
                  <c:v>8.8554000000000008E-2</c:v>
                </c:pt>
                <c:pt idx="3">
                  <c:v>7.4171000000000001E-2</c:v>
                </c:pt>
                <c:pt idx="4">
                  <c:v>6.2476999999999998E-2</c:v>
                </c:pt>
                <c:pt idx="5">
                  <c:v>3.9725000000000003E-2</c:v>
                </c:pt>
                <c:pt idx="6">
                  <c:v>3.9190000000000003E-2</c:v>
                </c:pt>
                <c:pt idx="7">
                  <c:v>3.4563999999999998E-2</c:v>
                </c:pt>
                <c:pt idx="8">
                  <c:v>3.3322999999999998E-2</c:v>
                </c:pt>
                <c:pt idx="9">
                  <c:v>3.1120999999999999E-2</c:v>
                </c:pt>
                <c:pt idx="10">
                  <c:v>2.4628999999999998E-2</c:v>
                </c:pt>
                <c:pt idx="11">
                  <c:v>2.0826999999999998E-2</c:v>
                </c:pt>
                <c:pt idx="12">
                  <c:v>1.9809E-2</c:v>
                </c:pt>
                <c:pt idx="13">
                  <c:v>1.4555E-2</c:v>
                </c:pt>
                <c:pt idx="14">
                  <c:v>1.3732999999999999E-2</c:v>
                </c:pt>
                <c:pt idx="15">
                  <c:v>1.3653E-2</c:v>
                </c:pt>
                <c:pt idx="16">
                  <c:v>9.4900000000000002E-3</c:v>
                </c:pt>
                <c:pt idx="17">
                  <c:v>9.4240000000000001E-3</c:v>
                </c:pt>
                <c:pt idx="18">
                  <c:v>9.3650000000000001E-3</c:v>
                </c:pt>
                <c:pt idx="19">
                  <c:v>9.3209999999999994E-3</c:v>
                </c:pt>
                <c:pt idx="20">
                  <c:v>9.1750000000000009E-3</c:v>
                </c:pt>
                <c:pt idx="21">
                  <c:v>6.535E-3</c:v>
                </c:pt>
                <c:pt idx="22">
                  <c:v>6.3740000000000003E-3</c:v>
                </c:pt>
                <c:pt idx="23">
                  <c:v>5.9930000000000001E-3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ETF'!$W$8:$W$22</c:f>
              <c:strCache>
                <c:ptCount val="15"/>
                <c:pt idx="0">
                  <c:v>Banks</c:v>
                </c:pt>
                <c:pt idx="1">
                  <c:v>IT - Software</c:v>
                </c:pt>
                <c:pt idx="2">
                  <c:v>Petroleum Products</c:v>
                </c:pt>
                <c:pt idx="3">
                  <c:v>Diversified FMCG</c:v>
                </c:pt>
                <c:pt idx="4">
                  <c:v>Automobiles</c:v>
                </c:pt>
                <c:pt idx="5">
                  <c:v>Telecom - Services</c:v>
                </c:pt>
                <c:pt idx="6">
                  <c:v>Construction</c:v>
                </c:pt>
                <c:pt idx="7">
                  <c:v>Power</c:v>
                </c:pt>
                <c:pt idx="8">
                  <c:v>Finance</c:v>
                </c:pt>
                <c:pt idx="9">
                  <c:v>Consumer Durables</c:v>
                </c:pt>
                <c:pt idx="10">
                  <c:v>Ferrous Metals</c:v>
                </c:pt>
                <c:pt idx="11">
                  <c:v>Pharmaceuticals &amp; Biotechnology</c:v>
                </c:pt>
                <c:pt idx="12">
                  <c:v>Cement &amp; Cement Products</c:v>
                </c:pt>
                <c:pt idx="13">
                  <c:v>Transport Infrastructure</c:v>
                </c:pt>
                <c:pt idx="14">
                  <c:v>Food Products</c:v>
                </c:pt>
              </c:strCache>
            </c:strRef>
          </c:cat>
          <c:val>
            <c:numRef>
              <c:f>'BANDHAN BSE SENSEX ETF'!$X$8:$X$22</c:f>
              <c:numCache>
                <c:formatCode>0.00%</c:formatCode>
                <c:ptCount val="15"/>
                <c:pt idx="0">
                  <c:v>0.34678200000000003</c:v>
                </c:pt>
                <c:pt idx="1">
                  <c:v>0.144265</c:v>
                </c:pt>
                <c:pt idx="2">
                  <c:v>9.8174999999999998E-2</c:v>
                </c:pt>
                <c:pt idx="3">
                  <c:v>7.3824000000000001E-2</c:v>
                </c:pt>
                <c:pt idx="4">
                  <c:v>6.3384999999999997E-2</c:v>
                </c:pt>
                <c:pt idx="5">
                  <c:v>4.6876000000000001E-2</c:v>
                </c:pt>
                <c:pt idx="6">
                  <c:v>4.6213999999999998E-2</c:v>
                </c:pt>
                <c:pt idx="7">
                  <c:v>3.7014000000000005E-2</c:v>
                </c:pt>
                <c:pt idx="8">
                  <c:v>3.1040999999999999E-2</c:v>
                </c:pt>
                <c:pt idx="9">
                  <c:v>2.9158999999999997E-2</c:v>
                </c:pt>
                <c:pt idx="10">
                  <c:v>2.3377000000000002E-2</c:v>
                </c:pt>
                <c:pt idx="11">
                  <c:v>2.1728000000000001E-2</c:v>
                </c:pt>
                <c:pt idx="12">
                  <c:v>1.3835999999999999E-2</c:v>
                </c:pt>
                <c:pt idx="13">
                  <c:v>1.1013999999999999E-2</c:v>
                </c:pt>
                <c:pt idx="14">
                  <c:v>8.8690000000000001E-3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Retailing</c:v>
                </c:pt>
                <c:pt idx="14">
                  <c:v>Insurance</c:v>
                </c:pt>
                <c:pt idx="15">
                  <c:v>Food Products</c:v>
                </c:pt>
                <c:pt idx="16">
                  <c:v>Oil</c:v>
                </c:pt>
                <c:pt idx="17">
                  <c:v>Consumable Fuels</c:v>
                </c:pt>
                <c:pt idx="18">
                  <c:v>Aerospace &amp; Defense</c:v>
                </c:pt>
                <c:pt idx="19">
                  <c:v>Transport Infrastructure</c:v>
                </c:pt>
                <c:pt idx="20">
                  <c:v>Non - Ferrous Metals</c:v>
                </c:pt>
                <c:pt idx="21">
                  <c:v>Healthcare Services</c:v>
                </c:pt>
                <c:pt idx="22">
                  <c:v>Metals &amp; Minerals Trading</c:v>
                </c:pt>
                <c:pt idx="23">
                  <c:v>Agricultural Food &amp; other Products</c:v>
                </c:pt>
              </c:strCache>
            </c:strRef>
          </c:cat>
          <c:val>
            <c:numRef>
              <c:f>'BANDHAN- Nifty 50 ETF'!$X$8:$X$31</c:f>
              <c:numCache>
                <c:formatCode>0.00%</c:formatCode>
                <c:ptCount val="24"/>
                <c:pt idx="0">
                  <c:v>0.29358599999999996</c:v>
                </c:pt>
                <c:pt idx="1">
                  <c:v>0.129021</c:v>
                </c:pt>
                <c:pt idx="2">
                  <c:v>8.8495999999999991E-2</c:v>
                </c:pt>
                <c:pt idx="3">
                  <c:v>7.4119000000000004E-2</c:v>
                </c:pt>
                <c:pt idx="4">
                  <c:v>6.2433000000000002E-2</c:v>
                </c:pt>
                <c:pt idx="5">
                  <c:v>3.9688000000000001E-2</c:v>
                </c:pt>
                <c:pt idx="6">
                  <c:v>3.9163999999999997E-2</c:v>
                </c:pt>
                <c:pt idx="7">
                  <c:v>3.4527000000000002E-2</c:v>
                </c:pt>
                <c:pt idx="8">
                  <c:v>3.3301999999999998E-2</c:v>
                </c:pt>
                <c:pt idx="9">
                  <c:v>3.1092000000000002E-2</c:v>
                </c:pt>
                <c:pt idx="10">
                  <c:v>2.4614E-2</c:v>
                </c:pt>
                <c:pt idx="11">
                  <c:v>2.0811E-2</c:v>
                </c:pt>
                <c:pt idx="12">
                  <c:v>1.9793999999999999E-2</c:v>
                </c:pt>
                <c:pt idx="13">
                  <c:v>1.4506E-2</c:v>
                </c:pt>
                <c:pt idx="14">
                  <c:v>1.3722999999999999E-2</c:v>
                </c:pt>
                <c:pt idx="15">
                  <c:v>1.3646999999999999E-2</c:v>
                </c:pt>
                <c:pt idx="16">
                  <c:v>9.4809999999999998E-3</c:v>
                </c:pt>
                <c:pt idx="17">
                  <c:v>9.4190000000000003E-3</c:v>
                </c:pt>
                <c:pt idx="18">
                  <c:v>9.3600000000000003E-3</c:v>
                </c:pt>
                <c:pt idx="19">
                  <c:v>9.3139999999999994E-3</c:v>
                </c:pt>
                <c:pt idx="20">
                  <c:v>9.1690000000000001E-3</c:v>
                </c:pt>
                <c:pt idx="21">
                  <c:v>6.5250000000000004E-3</c:v>
                </c:pt>
                <c:pt idx="22">
                  <c:v>6.3819999999999997E-3</c:v>
                </c:pt>
                <c:pt idx="23">
                  <c:v>5.9890000000000004E-3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(31st October 2024)</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Retailing</c:v>
                </c:pt>
                <c:pt idx="14">
                  <c:v>Insurance</c:v>
                </c:pt>
                <c:pt idx="15">
                  <c:v>Food Products</c:v>
                </c:pt>
                <c:pt idx="16">
                  <c:v>Oil</c:v>
                </c:pt>
                <c:pt idx="17">
                  <c:v>Consumable Fuels</c:v>
                </c:pt>
                <c:pt idx="18">
                  <c:v>Aerospace &amp; Defense</c:v>
                </c:pt>
                <c:pt idx="19">
                  <c:v>Transport Infrastructure</c:v>
                </c:pt>
                <c:pt idx="20">
                  <c:v>Non - Ferrous Metals</c:v>
                </c:pt>
                <c:pt idx="21">
                  <c:v>Healthcare Services</c:v>
                </c:pt>
                <c:pt idx="22">
                  <c:v>Metals &amp; Minerals Trading</c:v>
                </c:pt>
                <c:pt idx="23">
                  <c:v>Agricultural Food &amp; other Products</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Telecom - Services</c:v>
                </c:pt>
                <c:pt idx="9">
                  <c:v>Construction</c:v>
                </c:pt>
                <c:pt idx="10">
                  <c:v>Retailing</c:v>
                </c:pt>
                <c:pt idx="11">
                  <c:v>Consumer Durables</c:v>
                </c:pt>
                <c:pt idx="12">
                  <c:v>Cement &amp; Cement Products</c:v>
                </c:pt>
                <c:pt idx="13">
                  <c:v>Ferrous Metals</c:v>
                </c:pt>
                <c:pt idx="14">
                  <c:v>Insurance</c:v>
                </c:pt>
                <c:pt idx="15">
                  <c:v>Aerospace &amp; Defense</c:v>
                </c:pt>
                <c:pt idx="16">
                  <c:v>Food Products</c:v>
                </c:pt>
                <c:pt idx="17">
                  <c:v>Electrical Equipment</c:v>
                </c:pt>
                <c:pt idx="18">
                  <c:v>Beverages</c:v>
                </c:pt>
                <c:pt idx="19">
                  <c:v>Oil</c:v>
                </c:pt>
                <c:pt idx="20">
                  <c:v>Consumable Fuels</c:v>
                </c:pt>
                <c:pt idx="21">
                  <c:v>Transport Infrastructure</c:v>
                </c:pt>
                <c:pt idx="22">
                  <c:v>Non - Ferrous Metals</c:v>
                </c:pt>
                <c:pt idx="23">
                  <c:v>Realty</c:v>
                </c:pt>
                <c:pt idx="24">
                  <c:v>Auto Components</c:v>
                </c:pt>
                <c:pt idx="25">
                  <c:v>Personal Products</c:v>
                </c:pt>
                <c:pt idx="26">
                  <c:v>Diversified Metals</c:v>
                </c:pt>
                <c:pt idx="27">
                  <c:v>Gas</c:v>
                </c:pt>
                <c:pt idx="28">
                  <c:v>Healthcare Services</c:v>
                </c:pt>
                <c:pt idx="29">
                  <c:v>Transport Services</c:v>
                </c:pt>
                <c:pt idx="30">
                  <c:v>Metals &amp; Minerals Trading</c:v>
                </c:pt>
                <c:pt idx="31">
                  <c:v>Agricultural Food &amp; other Products</c:v>
                </c:pt>
                <c:pt idx="32">
                  <c:v>Chemicals &amp; Petrochemicals</c:v>
                </c:pt>
                <c:pt idx="33">
                  <c:v>Leisure Services</c:v>
                </c:pt>
              </c:strCache>
            </c:strRef>
          </c:cat>
          <c:val>
            <c:numRef>
              <c:f>'BANDHAN-Nifty 100 Index'!$X$8:$X$41</c:f>
              <c:numCache>
                <c:formatCode>0.00%</c:formatCode>
                <c:ptCount val="34"/>
                <c:pt idx="0">
                  <c:v>0.25009100000000001</c:v>
                </c:pt>
                <c:pt idx="1">
                  <c:v>0.109459</c:v>
                </c:pt>
                <c:pt idx="2">
                  <c:v>7.6380000000000003E-2</c:v>
                </c:pt>
                <c:pt idx="3">
                  <c:v>6.5006999999999995E-2</c:v>
                </c:pt>
                <c:pt idx="4">
                  <c:v>5.5449999999999999E-2</c:v>
                </c:pt>
                <c:pt idx="5">
                  <c:v>5.1055999999999997E-2</c:v>
                </c:pt>
                <c:pt idx="6">
                  <c:v>4.6573999999999997E-2</c:v>
                </c:pt>
                <c:pt idx="7">
                  <c:v>3.6940000000000001E-2</c:v>
                </c:pt>
                <c:pt idx="8">
                  <c:v>3.2461999999999998E-2</c:v>
                </c:pt>
                <c:pt idx="9">
                  <c:v>3.2025999999999999E-2</c:v>
                </c:pt>
                <c:pt idx="10">
                  <c:v>3.1925000000000002E-2</c:v>
                </c:pt>
                <c:pt idx="11">
                  <c:v>2.3237000000000001E-2</c:v>
                </c:pt>
                <c:pt idx="12">
                  <c:v>2.2186999999999998E-2</c:v>
                </c:pt>
                <c:pt idx="13">
                  <c:v>1.881E-2</c:v>
                </c:pt>
                <c:pt idx="14">
                  <c:v>1.8342000000000001E-2</c:v>
                </c:pt>
                <c:pt idx="15">
                  <c:v>1.3711000000000001E-2</c:v>
                </c:pt>
                <c:pt idx="16">
                  <c:v>1.1157E-2</c:v>
                </c:pt>
                <c:pt idx="17">
                  <c:v>9.8530000000000006E-3</c:v>
                </c:pt>
                <c:pt idx="18">
                  <c:v>8.626E-3</c:v>
                </c:pt>
                <c:pt idx="19">
                  <c:v>7.7539999999999996E-3</c:v>
                </c:pt>
                <c:pt idx="20">
                  <c:v>7.7010000000000004E-3</c:v>
                </c:pt>
                <c:pt idx="21">
                  <c:v>7.6179999999999998E-3</c:v>
                </c:pt>
                <c:pt idx="22">
                  <c:v>7.4980000000000003E-3</c:v>
                </c:pt>
                <c:pt idx="23">
                  <c:v>6.4619999999999999E-3</c:v>
                </c:pt>
                <c:pt idx="24">
                  <c:v>6.0689999999999997E-3</c:v>
                </c:pt>
                <c:pt idx="25">
                  <c:v>6.019E-3</c:v>
                </c:pt>
                <c:pt idx="26">
                  <c:v>5.9080000000000001E-3</c:v>
                </c:pt>
                <c:pt idx="27">
                  <c:v>5.5510000000000004E-3</c:v>
                </c:pt>
                <c:pt idx="28">
                  <c:v>5.3379999999999999E-3</c:v>
                </c:pt>
                <c:pt idx="29">
                  <c:v>5.2630000000000003E-3</c:v>
                </c:pt>
                <c:pt idx="30">
                  <c:v>5.2090000000000001E-3</c:v>
                </c:pt>
                <c:pt idx="31">
                  <c:v>4.8979999999999996E-3</c:v>
                </c:pt>
                <c:pt idx="32">
                  <c:v>3.614E-3</c:v>
                </c:pt>
                <c:pt idx="33">
                  <c:v>1.8580000000000001E-3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Power</c:v>
                </c:pt>
                <c:pt idx="2">
                  <c:v>Electrical Equipment</c:v>
                </c:pt>
                <c:pt idx="3">
                  <c:v>Aerospace &amp; Defense</c:v>
                </c:pt>
                <c:pt idx="4">
                  <c:v>Finance</c:v>
                </c:pt>
                <c:pt idx="5">
                  <c:v>Telecom - Services</c:v>
                </c:pt>
                <c:pt idx="6">
                  <c:v>Retailing</c:v>
                </c:pt>
                <c:pt idx="7">
                  <c:v>Auto Components</c:v>
                </c:pt>
                <c:pt idx="8">
                  <c:v>Transport Infrastructure</c:v>
                </c:pt>
                <c:pt idx="9">
                  <c:v>Consumable Fuels</c:v>
                </c:pt>
                <c:pt idx="10">
                  <c:v>Pharmaceuticals &amp; Biotechnology</c:v>
                </c:pt>
                <c:pt idx="11">
                  <c:v>Industrial Products</c:v>
                </c:pt>
                <c:pt idx="12">
                  <c:v>Consumer Durables</c:v>
                </c:pt>
                <c:pt idx="13">
                  <c:v>Diversified Metals</c:v>
                </c:pt>
                <c:pt idx="14">
                  <c:v>Banks</c:v>
                </c:pt>
                <c:pt idx="15">
                  <c:v>IT - Software</c:v>
                </c:pt>
                <c:pt idx="16">
                  <c:v>Minerals &amp; Mining</c:v>
                </c:pt>
                <c:pt idx="17">
                  <c:v>Realty</c:v>
                </c:pt>
              </c:strCache>
            </c:strRef>
          </c:cat>
          <c:val>
            <c:numRef>
              <c:f>'BANDHAN-Nifty200 Mom30 Index'!$X$8:$X$25</c:f>
              <c:numCache>
                <c:formatCode>0.00%</c:formatCode>
                <c:ptCount val="18"/>
                <c:pt idx="0">
                  <c:v>0.17110999999999998</c:v>
                </c:pt>
                <c:pt idx="1">
                  <c:v>9.5879999999999993E-2</c:v>
                </c:pt>
                <c:pt idx="2">
                  <c:v>8.9956000000000008E-2</c:v>
                </c:pt>
                <c:pt idx="3">
                  <c:v>8.6792000000000008E-2</c:v>
                </c:pt>
                <c:pt idx="4">
                  <c:v>7.868E-2</c:v>
                </c:pt>
                <c:pt idx="5">
                  <c:v>7.3698E-2</c:v>
                </c:pt>
                <c:pt idx="6">
                  <c:v>6.7751000000000006E-2</c:v>
                </c:pt>
                <c:pt idx="7">
                  <c:v>5.6027E-2</c:v>
                </c:pt>
                <c:pt idx="8">
                  <c:v>4.7944000000000001E-2</c:v>
                </c:pt>
                <c:pt idx="9">
                  <c:v>4.5065000000000001E-2</c:v>
                </c:pt>
                <c:pt idx="10">
                  <c:v>3.7388000000000005E-2</c:v>
                </c:pt>
                <c:pt idx="11">
                  <c:v>3.4037999999999999E-2</c:v>
                </c:pt>
                <c:pt idx="12">
                  <c:v>3.3204999999999998E-2</c:v>
                </c:pt>
                <c:pt idx="13">
                  <c:v>3.2998E-2</c:v>
                </c:pt>
                <c:pt idx="14">
                  <c:v>1.6583000000000001E-2</c:v>
                </c:pt>
                <c:pt idx="15">
                  <c:v>1.231E-2</c:v>
                </c:pt>
                <c:pt idx="16">
                  <c:v>1.1741E-2</c:v>
                </c:pt>
                <c:pt idx="17">
                  <c:v>8.4779999999999994E-3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Diversified FMCG</c:v>
                </c:pt>
                <c:pt idx="5">
                  <c:v>Food Products</c:v>
                </c:pt>
                <c:pt idx="6">
                  <c:v>Consumer Durables</c:v>
                </c:pt>
                <c:pt idx="7">
                  <c:v>Healthcare Services</c:v>
                </c:pt>
                <c:pt idx="8">
                  <c:v>Telecom - Services</c:v>
                </c:pt>
                <c:pt idx="9">
                  <c:v>Petroleum Products</c:v>
                </c:pt>
                <c:pt idx="10">
                  <c:v>Finance</c:v>
                </c:pt>
                <c:pt idx="11">
                  <c:v>Personal Products</c:v>
                </c:pt>
                <c:pt idx="12">
                  <c:v>Cement &amp; Cement Products</c:v>
                </c:pt>
                <c:pt idx="13">
                  <c:v>Chemicals &amp; Petrochemicals</c:v>
                </c:pt>
                <c:pt idx="14">
                  <c:v>Auto Components</c:v>
                </c:pt>
                <c:pt idx="15">
                  <c:v>Insurance</c:v>
                </c:pt>
                <c:pt idx="16">
                  <c:v>Construction</c:v>
                </c:pt>
              </c:strCache>
            </c:strRef>
          </c:cat>
          <c:val>
            <c:numRef>
              <c:f>'BANDHAN NIF100LV30'!$X$8:$X$24</c:f>
              <c:numCache>
                <c:formatCode>0.00%</c:formatCode>
                <c:ptCount val="17"/>
                <c:pt idx="0">
                  <c:v>0.13996</c:v>
                </c:pt>
                <c:pt idx="1">
                  <c:v>0.133164</c:v>
                </c:pt>
                <c:pt idx="2">
                  <c:v>0.10616599999999998</c:v>
                </c:pt>
                <c:pt idx="3">
                  <c:v>8.3716999999999986E-2</c:v>
                </c:pt>
                <c:pt idx="4">
                  <c:v>7.8477000000000005E-2</c:v>
                </c:pt>
                <c:pt idx="5">
                  <c:v>7.4129E-2</c:v>
                </c:pt>
                <c:pt idx="6">
                  <c:v>7.0061999999999999E-2</c:v>
                </c:pt>
                <c:pt idx="7">
                  <c:v>3.5005000000000001E-2</c:v>
                </c:pt>
                <c:pt idx="8">
                  <c:v>3.3584999999999997E-2</c:v>
                </c:pt>
                <c:pt idx="9">
                  <c:v>3.3487999999999997E-2</c:v>
                </c:pt>
                <c:pt idx="10">
                  <c:v>3.3241E-2</c:v>
                </c:pt>
                <c:pt idx="11">
                  <c:v>3.3218999999999999E-2</c:v>
                </c:pt>
                <c:pt idx="12">
                  <c:v>3.2058000000000003E-2</c:v>
                </c:pt>
                <c:pt idx="13">
                  <c:v>3.1708E-2</c:v>
                </c:pt>
                <c:pt idx="14">
                  <c:v>3.1196000000000002E-2</c:v>
                </c:pt>
                <c:pt idx="15">
                  <c:v>2.9589000000000001E-2</c:v>
                </c:pt>
                <c:pt idx="16">
                  <c:v>2.7661999999999999E-2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0.98215199999999991</c:v>
                </c:pt>
                <c:pt idx="1">
                  <c:v>1.3832000000000001E-2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Index'!$W$8:$W$32</c:f>
              <c:strCache>
                <c:ptCount val="25"/>
                <c:pt idx="0">
                  <c:v>Electrical Equipment</c:v>
                </c:pt>
                <c:pt idx="1">
                  <c:v>Capital Markets</c:v>
                </c:pt>
                <c:pt idx="2">
                  <c:v>Finance</c:v>
                </c:pt>
                <c:pt idx="3">
                  <c:v>Pharmaceuticals &amp; Biotechnology</c:v>
                </c:pt>
                <c:pt idx="4">
                  <c:v>Construction</c:v>
                </c:pt>
                <c:pt idx="5">
                  <c:v>Retailing</c:v>
                </c:pt>
                <c:pt idx="6">
                  <c:v>Aerospace &amp; Defense</c:v>
                </c:pt>
                <c:pt idx="7">
                  <c:v>Power</c:v>
                </c:pt>
                <c:pt idx="8">
                  <c:v>Realty</c:v>
                </c:pt>
                <c:pt idx="9">
                  <c:v>Consumer Durables</c:v>
                </c:pt>
                <c:pt idx="10">
                  <c:v>Automobiles</c:v>
                </c:pt>
                <c:pt idx="11">
                  <c:v>Industrial Manufacturing</c:v>
                </c:pt>
                <c:pt idx="12">
                  <c:v>Oil</c:v>
                </c:pt>
                <c:pt idx="13">
                  <c:v>Industrial Products</c:v>
                </c:pt>
                <c:pt idx="14">
                  <c:v>IT - Software</c:v>
                </c:pt>
                <c:pt idx="15">
                  <c:v>Financial Technology (Fintech)</c:v>
                </c:pt>
                <c:pt idx="16">
                  <c:v>Auto Components</c:v>
                </c:pt>
                <c:pt idx="17">
                  <c:v>Paper, Forest &amp; Jute Products</c:v>
                </c:pt>
                <c:pt idx="18">
                  <c:v>Petroleum Products</c:v>
                </c:pt>
                <c:pt idx="19">
                  <c:v>Telecom - Services</c:v>
                </c:pt>
                <c:pt idx="20">
                  <c:v>Chemicals &amp; Petrochemicals</c:v>
                </c:pt>
                <c:pt idx="21">
                  <c:v>Personal Products</c:v>
                </c:pt>
                <c:pt idx="22">
                  <c:v>Beverages</c:v>
                </c:pt>
                <c:pt idx="23">
                  <c:v>Ferrous Metals</c:v>
                </c:pt>
                <c:pt idx="24">
                  <c:v>Non - Ferrous Metals</c:v>
                </c:pt>
              </c:strCache>
            </c:strRef>
          </c:cat>
          <c:val>
            <c:numRef>
              <c:f>'Bandhan Nifty Alpha 50 Index'!$X$8:$X$32</c:f>
              <c:numCache>
                <c:formatCode>0.00%</c:formatCode>
                <c:ptCount val="25"/>
                <c:pt idx="0">
                  <c:v>0.12603</c:v>
                </c:pt>
                <c:pt idx="1">
                  <c:v>8.8452000000000003E-2</c:v>
                </c:pt>
                <c:pt idx="2">
                  <c:v>8.3929999999999991E-2</c:v>
                </c:pt>
                <c:pt idx="3">
                  <c:v>7.2067999999999993E-2</c:v>
                </c:pt>
                <c:pt idx="4">
                  <c:v>6.4631999999999995E-2</c:v>
                </c:pt>
                <c:pt idx="5">
                  <c:v>5.8940999999999993E-2</c:v>
                </c:pt>
                <c:pt idx="6">
                  <c:v>4.9375000000000002E-2</c:v>
                </c:pt>
                <c:pt idx="7">
                  <c:v>4.9363999999999998E-2</c:v>
                </c:pt>
                <c:pt idx="8">
                  <c:v>4.8434000000000005E-2</c:v>
                </c:pt>
                <c:pt idx="9">
                  <c:v>4.7218999999999997E-2</c:v>
                </c:pt>
                <c:pt idx="10">
                  <c:v>3.6233000000000001E-2</c:v>
                </c:pt>
                <c:pt idx="11">
                  <c:v>3.4155999999999999E-2</c:v>
                </c:pt>
                <c:pt idx="12">
                  <c:v>3.2537999999999997E-2</c:v>
                </c:pt>
                <c:pt idx="13">
                  <c:v>2.6761E-2</c:v>
                </c:pt>
                <c:pt idx="14">
                  <c:v>2.5874000000000001E-2</c:v>
                </c:pt>
                <c:pt idx="15">
                  <c:v>2.2078E-2</c:v>
                </c:pt>
                <c:pt idx="16">
                  <c:v>1.9608E-2</c:v>
                </c:pt>
                <c:pt idx="17">
                  <c:v>1.8889E-2</c:v>
                </c:pt>
                <c:pt idx="18">
                  <c:v>1.7666000000000001E-2</c:v>
                </c:pt>
                <c:pt idx="19">
                  <c:v>1.7590999999999999E-2</c:v>
                </c:pt>
                <c:pt idx="20">
                  <c:v>1.7305999999999998E-2</c:v>
                </c:pt>
                <c:pt idx="21">
                  <c:v>1.5610000000000001E-2</c:v>
                </c:pt>
                <c:pt idx="22">
                  <c:v>1.0973E-2</c:v>
                </c:pt>
                <c:pt idx="23">
                  <c:v>8.541E-3</c:v>
                </c:pt>
                <c:pt idx="24">
                  <c:v>6.2969999999999996E-3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'!$W$8:$W$53</c:f>
              <c:strCache>
                <c:ptCount val="46"/>
                <c:pt idx="0">
                  <c:v>Capital Markets</c:v>
                </c:pt>
                <c:pt idx="1">
                  <c:v>Pharmaceuticals &amp; Biotechnology</c:v>
                </c:pt>
                <c:pt idx="2">
                  <c:v>Finance</c:v>
                </c:pt>
                <c:pt idx="3">
                  <c:v>Consumer Durables</c:v>
                </c:pt>
                <c:pt idx="4">
                  <c:v>Industrial Products</c:v>
                </c:pt>
                <c:pt idx="5">
                  <c:v>Chemicals &amp; Petrochemicals</c:v>
                </c:pt>
                <c:pt idx="6">
                  <c:v>Construction</c:v>
                </c:pt>
                <c:pt idx="7">
                  <c:v>Auto Components</c:v>
                </c:pt>
                <c:pt idx="8">
                  <c:v>Banks</c:v>
                </c:pt>
                <c:pt idx="9">
                  <c:v>IT - Software</c:v>
                </c:pt>
                <c:pt idx="10">
                  <c:v>Healthcare Services</c:v>
                </c:pt>
                <c:pt idx="11">
                  <c:v>Electrical Equipment</c:v>
                </c:pt>
                <c:pt idx="12">
                  <c:v>Industrial Manufacturing</c:v>
                </c:pt>
                <c:pt idx="13">
                  <c:v>Realty</c:v>
                </c:pt>
                <c:pt idx="14">
                  <c:v>Leisure Services</c:v>
                </c:pt>
                <c:pt idx="15">
                  <c:v>Commercial Services &amp; Supplies</c:v>
                </c:pt>
                <c:pt idx="16">
                  <c:v>Entertainment</c:v>
                </c:pt>
                <c:pt idx="17">
                  <c:v>Non - Ferrous Metals</c:v>
                </c:pt>
                <c:pt idx="18">
                  <c:v>Gas</c:v>
                </c:pt>
                <c:pt idx="19">
                  <c:v>Fertilizers &amp; Agrochemicals</c:v>
                </c:pt>
                <c:pt idx="20">
                  <c:v>Cement &amp; Cement Products</c:v>
                </c:pt>
                <c:pt idx="21">
                  <c:v>IT - Services</c:v>
                </c:pt>
                <c:pt idx="22">
                  <c:v>Transport Services</c:v>
                </c:pt>
                <c:pt idx="23">
                  <c:v>Retailing</c:v>
                </c:pt>
                <c:pt idx="24">
                  <c:v>Agricultural Food &amp; other Products</c:v>
                </c:pt>
                <c:pt idx="25">
                  <c:v>Power</c:v>
                </c:pt>
                <c:pt idx="26">
                  <c:v>Telecom - Services</c:v>
                </c:pt>
                <c:pt idx="27">
                  <c:v>Beverages</c:v>
                </c:pt>
                <c:pt idx="28">
                  <c:v>Textiles &amp; Apparels</c:v>
                </c:pt>
                <c:pt idx="29">
                  <c:v>Food Products</c:v>
                </c:pt>
                <c:pt idx="30">
                  <c:v>Paper, Forest &amp; Jute Products</c:v>
                </c:pt>
                <c:pt idx="31">
                  <c:v>Agricultural, Commercial &amp; Construction Vehicles</c:v>
                </c:pt>
                <c:pt idx="32">
                  <c:v>Petroleum Products</c:v>
                </c:pt>
                <c:pt idx="33">
                  <c:v>Personal Products</c:v>
                </c:pt>
                <c:pt idx="34">
                  <c:v>Telecom -  Equipment &amp; Accessories</c:v>
                </c:pt>
                <c:pt idx="35">
                  <c:v>Aerospace &amp; Defense</c:v>
                </c:pt>
                <c:pt idx="36">
                  <c:v>Household Products</c:v>
                </c:pt>
                <c:pt idx="37">
                  <c:v>Healthcare Equipment &amp; Supplies</c:v>
                </c:pt>
                <c:pt idx="38">
                  <c:v>Cigarettes &amp; Tobacco Products</c:v>
                </c:pt>
                <c:pt idx="39">
                  <c:v>Diversified</c:v>
                </c:pt>
                <c:pt idx="40">
                  <c:v>Automobiles</c:v>
                </c:pt>
                <c:pt idx="41">
                  <c:v>Insurance</c:v>
                </c:pt>
                <c:pt idx="42">
                  <c:v>Ferrous Metals</c:v>
                </c:pt>
                <c:pt idx="43">
                  <c:v>Transport Infrastructure</c:v>
                </c:pt>
                <c:pt idx="44">
                  <c:v>IT - Hardware</c:v>
                </c:pt>
                <c:pt idx="45">
                  <c:v>Minerals &amp; Mining</c:v>
                </c:pt>
              </c:strCache>
            </c:strRef>
          </c:cat>
          <c:val>
            <c:numRef>
              <c:f>'Bandhan Nifty Smallcap 250 '!$X$8:$X$53</c:f>
              <c:numCache>
                <c:formatCode>0.00%</c:formatCode>
                <c:ptCount val="46"/>
                <c:pt idx="0">
                  <c:v>9.6957000000000015E-2</c:v>
                </c:pt>
                <c:pt idx="1">
                  <c:v>8.8443999999999995E-2</c:v>
                </c:pt>
                <c:pt idx="2">
                  <c:v>6.9097999999999993E-2</c:v>
                </c:pt>
                <c:pt idx="3">
                  <c:v>6.668700000000001E-2</c:v>
                </c:pt>
                <c:pt idx="4">
                  <c:v>6.3772000000000009E-2</c:v>
                </c:pt>
                <c:pt idx="5">
                  <c:v>5.6221999999999994E-2</c:v>
                </c:pt>
                <c:pt idx="6">
                  <c:v>4.8424999999999996E-2</c:v>
                </c:pt>
                <c:pt idx="7">
                  <c:v>3.8842999999999989E-2</c:v>
                </c:pt>
                <c:pt idx="8">
                  <c:v>3.4488999999999999E-2</c:v>
                </c:pt>
                <c:pt idx="9">
                  <c:v>3.4265999999999998E-2</c:v>
                </c:pt>
                <c:pt idx="10">
                  <c:v>3.3402000000000001E-2</c:v>
                </c:pt>
                <c:pt idx="11">
                  <c:v>2.8754000000000002E-2</c:v>
                </c:pt>
                <c:pt idx="12">
                  <c:v>2.7172999999999999E-2</c:v>
                </c:pt>
                <c:pt idx="13">
                  <c:v>2.5956E-2</c:v>
                </c:pt>
                <c:pt idx="14">
                  <c:v>2.4863E-2</c:v>
                </c:pt>
                <c:pt idx="15">
                  <c:v>1.7940999999999999E-2</c:v>
                </c:pt>
                <c:pt idx="16">
                  <c:v>1.6828000000000003E-2</c:v>
                </c:pt>
                <c:pt idx="17">
                  <c:v>1.5708E-2</c:v>
                </c:pt>
                <c:pt idx="18">
                  <c:v>1.5412000000000002E-2</c:v>
                </c:pt>
                <c:pt idx="19">
                  <c:v>1.5395000000000001E-2</c:v>
                </c:pt>
                <c:pt idx="20">
                  <c:v>1.4498E-2</c:v>
                </c:pt>
                <c:pt idx="21">
                  <c:v>1.3176E-2</c:v>
                </c:pt>
                <c:pt idx="22">
                  <c:v>1.2492E-2</c:v>
                </c:pt>
                <c:pt idx="23">
                  <c:v>1.1102000000000001E-2</c:v>
                </c:pt>
                <c:pt idx="24">
                  <c:v>1.0926E-2</c:v>
                </c:pt>
                <c:pt idx="25">
                  <c:v>1.0777999999999999E-2</c:v>
                </c:pt>
                <c:pt idx="26">
                  <c:v>1.0409E-2</c:v>
                </c:pt>
                <c:pt idx="27">
                  <c:v>9.7199999999999995E-3</c:v>
                </c:pt>
                <c:pt idx="28">
                  <c:v>8.3289999999999996E-3</c:v>
                </c:pt>
                <c:pt idx="29">
                  <c:v>7.7219999999999997E-3</c:v>
                </c:pt>
                <c:pt idx="30">
                  <c:v>7.4999999999999997E-3</c:v>
                </c:pt>
                <c:pt idx="31">
                  <c:v>6.9749999999999994E-3</c:v>
                </c:pt>
                <c:pt idx="32">
                  <c:v>6.9340000000000001E-3</c:v>
                </c:pt>
                <c:pt idx="33">
                  <c:v>6.6180000000000006E-3</c:v>
                </c:pt>
                <c:pt idx="34">
                  <c:v>6.4980000000000003E-3</c:v>
                </c:pt>
                <c:pt idx="35">
                  <c:v>6.2199999999999998E-3</c:v>
                </c:pt>
                <c:pt idx="36">
                  <c:v>5.9160000000000003E-3</c:v>
                </c:pt>
                <c:pt idx="37">
                  <c:v>5.7140000000000003E-3</c:v>
                </c:pt>
                <c:pt idx="38">
                  <c:v>4.7190000000000001E-3</c:v>
                </c:pt>
                <c:pt idx="39">
                  <c:v>3.607E-3</c:v>
                </c:pt>
                <c:pt idx="40">
                  <c:v>3.5239999999999998E-3</c:v>
                </c:pt>
                <c:pt idx="41">
                  <c:v>3.1159999999999998E-3</c:v>
                </c:pt>
                <c:pt idx="42">
                  <c:v>2.8609999999999998E-3</c:v>
                </c:pt>
                <c:pt idx="43">
                  <c:v>2.8E-3</c:v>
                </c:pt>
                <c:pt idx="44">
                  <c:v>1.99E-3</c:v>
                </c:pt>
                <c:pt idx="45">
                  <c:v>1.603E-3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'!$W$8:$W$61</c:f>
              <c:strCache>
                <c:ptCount val="54"/>
                <c:pt idx="0">
                  <c:v>Banks</c:v>
                </c:pt>
                <c:pt idx="1">
                  <c:v>IT - Software</c:v>
                </c:pt>
                <c:pt idx="2">
                  <c:v>Finance</c:v>
                </c:pt>
                <c:pt idx="3">
                  <c:v>Petroleum Products</c:v>
                </c:pt>
                <c:pt idx="4">
                  <c:v>Automobiles</c:v>
                </c:pt>
                <c:pt idx="5">
                  <c:v>Pharmaceuticals &amp; Biotechnology</c:v>
                </c:pt>
                <c:pt idx="6">
                  <c:v>Power</c:v>
                </c:pt>
                <c:pt idx="7">
                  <c:v>Diversified FMCG</c:v>
                </c:pt>
                <c:pt idx="8">
                  <c:v>Consumer Durables</c:v>
                </c:pt>
                <c:pt idx="9">
                  <c:v>Construction</c:v>
                </c:pt>
                <c:pt idx="10">
                  <c:v>Telecom - Services</c:v>
                </c:pt>
                <c:pt idx="11">
                  <c:v>Retailing</c:v>
                </c:pt>
                <c:pt idx="12">
                  <c:v>Auto Components</c:v>
                </c:pt>
                <c:pt idx="13">
                  <c:v>Industrial Products</c:v>
                </c:pt>
                <c:pt idx="14">
                  <c:v>Cement &amp; Cement Products</c:v>
                </c:pt>
                <c:pt idx="15">
                  <c:v>Electrical Equipment</c:v>
                </c:pt>
                <c:pt idx="16">
                  <c:v>Ferrous Metals</c:v>
                </c:pt>
                <c:pt idx="17">
                  <c:v>Chemicals &amp; Petrochemicals</c:v>
                </c:pt>
                <c:pt idx="18">
                  <c:v>Insurance</c:v>
                </c:pt>
                <c:pt idx="19">
                  <c:v>Realty</c:v>
                </c:pt>
                <c:pt idx="20">
                  <c:v>Capital Markets</c:v>
                </c:pt>
                <c:pt idx="21">
                  <c:v>Healthcare Services</c:v>
                </c:pt>
                <c:pt idx="22">
                  <c:v>Aerospace &amp; Defense</c:v>
                </c:pt>
                <c:pt idx="23">
                  <c:v>Food Products</c:v>
                </c:pt>
                <c:pt idx="24">
                  <c:v>Leisure Services</c:v>
                </c:pt>
                <c:pt idx="25">
                  <c:v>Personal Products</c:v>
                </c:pt>
                <c:pt idx="26">
                  <c:v>Gas</c:v>
                </c:pt>
                <c:pt idx="27">
                  <c:v>Agricultural Food &amp; other Products</c:v>
                </c:pt>
                <c:pt idx="28">
                  <c:v>Transport Services</c:v>
                </c:pt>
                <c:pt idx="29">
                  <c:v>Beverages</c:v>
                </c:pt>
                <c:pt idx="30">
                  <c:v>Transport Infrastructure</c:v>
                </c:pt>
                <c:pt idx="31">
                  <c:v>Non - Ferrous Metals</c:v>
                </c:pt>
                <c:pt idx="32">
                  <c:v>Oil</c:v>
                </c:pt>
                <c:pt idx="33">
                  <c:v>Fertilizers &amp; Agrochemicals</c:v>
                </c:pt>
                <c:pt idx="34">
                  <c:v>Industrial Manufacturing</c:v>
                </c:pt>
                <c:pt idx="35">
                  <c:v>Consumable Fuels</c:v>
                </c:pt>
                <c:pt idx="36">
                  <c:v>Diversified Metals</c:v>
                </c:pt>
                <c:pt idx="37">
                  <c:v>Financial Technology (Fintech)</c:v>
                </c:pt>
                <c:pt idx="38">
                  <c:v>Metals &amp; Minerals Trading</c:v>
                </c:pt>
                <c:pt idx="39">
                  <c:v>Textiles &amp; Apparels</c:v>
                </c:pt>
                <c:pt idx="40">
                  <c:v>Agricultural, Commercial &amp; Construction Vehicles</c:v>
                </c:pt>
                <c:pt idx="41">
                  <c:v>IT - Services</c:v>
                </c:pt>
                <c:pt idx="42">
                  <c:v>Entertainment</c:v>
                </c:pt>
                <c:pt idx="43">
                  <c:v>Commercial Services &amp; Supplies</c:v>
                </c:pt>
                <c:pt idx="44">
                  <c:v>Minerals &amp; Mining</c:v>
                </c:pt>
                <c:pt idx="45">
                  <c:v>Diversified</c:v>
                </c:pt>
                <c:pt idx="46">
                  <c:v>Paper, Forest &amp; Jute Products</c:v>
                </c:pt>
                <c:pt idx="47">
                  <c:v>Telecom -  Equipment &amp; Accessories</c:v>
                </c:pt>
                <c:pt idx="48">
                  <c:v>Other Utilities</c:v>
                </c:pt>
                <c:pt idx="49">
                  <c:v>Household Products</c:v>
                </c:pt>
                <c:pt idx="50">
                  <c:v>Cigarettes &amp; Tobacco Products</c:v>
                </c:pt>
                <c:pt idx="51">
                  <c:v>Healthcare Equipment &amp; Supplies</c:v>
                </c:pt>
                <c:pt idx="52">
                  <c:v>Other Consumer Services</c:v>
                </c:pt>
                <c:pt idx="53">
                  <c:v>IT - Hardware</c:v>
                </c:pt>
              </c:strCache>
            </c:strRef>
          </c:cat>
          <c:val>
            <c:numRef>
              <c:f>'Bandhan Nifty Total Market '!$X$8:$X$61</c:f>
              <c:numCache>
                <c:formatCode>0.00%</c:formatCode>
                <c:ptCount val="54"/>
                <c:pt idx="0">
                  <c:v>0.17945900000000006</c:v>
                </c:pt>
                <c:pt idx="1">
                  <c:v>8.8847999999999996E-2</c:v>
                </c:pt>
                <c:pt idx="2">
                  <c:v>5.9466000000000005E-2</c:v>
                </c:pt>
                <c:pt idx="3">
                  <c:v>5.8589000000000009E-2</c:v>
                </c:pt>
                <c:pt idx="4">
                  <c:v>4.9338000000000007E-2</c:v>
                </c:pt>
                <c:pt idx="5">
                  <c:v>4.7589000000000006E-2</c:v>
                </c:pt>
                <c:pt idx="6">
                  <c:v>3.7765000000000007E-2</c:v>
                </c:pt>
                <c:pt idx="7">
                  <c:v>3.6334999999999999E-2</c:v>
                </c:pt>
                <c:pt idx="8">
                  <c:v>3.3368000000000002E-2</c:v>
                </c:pt>
                <c:pt idx="9">
                  <c:v>3.0054999999999998E-2</c:v>
                </c:pt>
                <c:pt idx="10">
                  <c:v>2.8579E-2</c:v>
                </c:pt>
                <c:pt idx="11">
                  <c:v>2.7404999999999992E-2</c:v>
                </c:pt>
                <c:pt idx="12">
                  <c:v>2.4204E-2</c:v>
                </c:pt>
                <c:pt idx="13">
                  <c:v>2.2510999999999996E-2</c:v>
                </c:pt>
                <c:pt idx="14">
                  <c:v>1.9563999999999998E-2</c:v>
                </c:pt>
                <c:pt idx="15">
                  <c:v>1.9224000000000002E-2</c:v>
                </c:pt>
                <c:pt idx="16">
                  <c:v>1.7314999999999997E-2</c:v>
                </c:pt>
                <c:pt idx="17">
                  <c:v>1.6806999999999996E-2</c:v>
                </c:pt>
                <c:pt idx="18">
                  <c:v>1.6050999999999999E-2</c:v>
                </c:pt>
                <c:pt idx="19">
                  <c:v>1.4023999999999998E-2</c:v>
                </c:pt>
                <c:pt idx="20">
                  <c:v>1.3998E-2</c:v>
                </c:pt>
                <c:pt idx="21">
                  <c:v>1.3319999999999999E-2</c:v>
                </c:pt>
                <c:pt idx="22">
                  <c:v>1.1312999999999998E-2</c:v>
                </c:pt>
                <c:pt idx="23">
                  <c:v>9.8300000000000002E-3</c:v>
                </c:pt>
                <c:pt idx="24">
                  <c:v>9.0789999999999985E-3</c:v>
                </c:pt>
                <c:pt idx="25">
                  <c:v>8.9739999999999993E-3</c:v>
                </c:pt>
                <c:pt idx="26">
                  <c:v>8.5640000000000004E-3</c:v>
                </c:pt>
                <c:pt idx="27">
                  <c:v>8.4140000000000013E-3</c:v>
                </c:pt>
                <c:pt idx="28">
                  <c:v>7.757E-3</c:v>
                </c:pt>
                <c:pt idx="29">
                  <c:v>7.6959999999999997E-3</c:v>
                </c:pt>
                <c:pt idx="30">
                  <c:v>7.6E-3</c:v>
                </c:pt>
                <c:pt idx="31">
                  <c:v>7.5669999999999999E-3</c:v>
                </c:pt>
                <c:pt idx="32">
                  <c:v>7.2570000000000004E-3</c:v>
                </c:pt>
                <c:pt idx="33">
                  <c:v>6.9769999999999997E-3</c:v>
                </c:pt>
                <c:pt idx="34">
                  <c:v>6.0029999999999988E-3</c:v>
                </c:pt>
                <c:pt idx="35">
                  <c:v>5.7230000000000007E-3</c:v>
                </c:pt>
                <c:pt idx="36">
                  <c:v>4.2220000000000001E-3</c:v>
                </c:pt>
                <c:pt idx="37">
                  <c:v>3.8279999999999998E-3</c:v>
                </c:pt>
                <c:pt idx="38">
                  <c:v>3.5890000000000002E-3</c:v>
                </c:pt>
                <c:pt idx="39">
                  <c:v>3.4089999999999997E-3</c:v>
                </c:pt>
                <c:pt idx="40">
                  <c:v>3.045E-3</c:v>
                </c:pt>
                <c:pt idx="41">
                  <c:v>2.9020000000000001E-3</c:v>
                </c:pt>
                <c:pt idx="42">
                  <c:v>2.5309999999999998E-3</c:v>
                </c:pt>
                <c:pt idx="43">
                  <c:v>2.5010000000000002E-3</c:v>
                </c:pt>
                <c:pt idx="44">
                  <c:v>2.075E-3</c:v>
                </c:pt>
                <c:pt idx="45">
                  <c:v>1.6459999999999999E-3</c:v>
                </c:pt>
                <c:pt idx="46">
                  <c:v>9.7599999999999998E-4</c:v>
                </c:pt>
                <c:pt idx="47">
                  <c:v>8.1400000000000005E-4</c:v>
                </c:pt>
                <c:pt idx="48">
                  <c:v>7.4400000000000009E-4</c:v>
                </c:pt>
                <c:pt idx="49">
                  <c:v>6.5799999999999995E-4</c:v>
                </c:pt>
                <c:pt idx="50">
                  <c:v>5.53E-4</c:v>
                </c:pt>
                <c:pt idx="51">
                  <c:v>4.2900000000000002E-4</c:v>
                </c:pt>
                <c:pt idx="52">
                  <c:v>2.05E-4</c:v>
                </c:pt>
                <c:pt idx="53">
                  <c:v>1.73E-4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0.99950899999999987</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0.77067700000000006</c:v>
                </c:pt>
                <c:pt idx="1">
                  <c:v>0.22172600000000006</c:v>
                </c:pt>
                <c:pt idx="2">
                  <c:v>8.1530000000000005E-3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Auto Components</c:v>
                </c:pt>
                <c:pt idx="1">
                  <c:v>Industrial Products</c:v>
                </c:pt>
                <c:pt idx="2">
                  <c:v>Pharmaceuticals &amp; Biotechnology</c:v>
                </c:pt>
                <c:pt idx="3">
                  <c:v>Banks</c:v>
                </c:pt>
                <c:pt idx="4">
                  <c:v>IT - Software</c:v>
                </c:pt>
                <c:pt idx="5">
                  <c:v>Finance</c:v>
                </c:pt>
                <c:pt idx="6">
                  <c:v>Electrical Equipment</c:v>
                </c:pt>
                <c:pt idx="7">
                  <c:v>Healthcare Services</c:v>
                </c:pt>
                <c:pt idx="8">
                  <c:v>Consumer Durables</c:v>
                </c:pt>
                <c:pt idx="9">
                  <c:v>Chemicals &amp; Petrochemicals</c:v>
                </c:pt>
                <c:pt idx="10">
                  <c:v>Capital Markets</c:v>
                </c:pt>
                <c:pt idx="11">
                  <c:v>Realty</c:v>
                </c:pt>
                <c:pt idx="12">
                  <c:v>Fertilizers &amp; Agrochemicals</c:v>
                </c:pt>
                <c:pt idx="13">
                  <c:v>Telecom - Services</c:v>
                </c:pt>
                <c:pt idx="14">
                  <c:v>Leisure Services</c:v>
                </c:pt>
                <c:pt idx="15">
                  <c:v>Financial Technology (Fintech)</c:v>
                </c:pt>
                <c:pt idx="16">
                  <c:v>Personal Products</c:v>
                </c:pt>
                <c:pt idx="17">
                  <c:v>Insurance</c:v>
                </c:pt>
                <c:pt idx="18">
                  <c:v>Agricultural Food &amp; other Products</c:v>
                </c:pt>
                <c:pt idx="19">
                  <c:v>Ferrous Metals</c:v>
                </c:pt>
                <c:pt idx="20">
                  <c:v>Gas</c:v>
                </c:pt>
                <c:pt idx="21">
                  <c:v>Cement &amp; Cement Products</c:v>
                </c:pt>
                <c:pt idx="22">
                  <c:v>Power</c:v>
                </c:pt>
                <c:pt idx="23">
                  <c:v>Agricultural, Commercial &amp; Construction Vehicles</c:v>
                </c:pt>
                <c:pt idx="24">
                  <c:v>Transport Services</c:v>
                </c:pt>
                <c:pt idx="25">
                  <c:v>Petroleum Products</c:v>
                </c:pt>
                <c:pt idx="26">
                  <c:v>Construction</c:v>
                </c:pt>
                <c:pt idx="27">
                  <c:v>Retailing</c:v>
                </c:pt>
                <c:pt idx="28">
                  <c:v>Transport Infrastructure</c:v>
                </c:pt>
                <c:pt idx="29">
                  <c:v>Textiles &amp; Apparels</c:v>
                </c:pt>
                <c:pt idx="30">
                  <c:v>Industrial Manufacturing</c:v>
                </c:pt>
                <c:pt idx="31">
                  <c:v>IT - Services</c:v>
                </c:pt>
                <c:pt idx="32">
                  <c:v>Oil</c:v>
                </c:pt>
                <c:pt idx="33">
                  <c:v>Minerals &amp; Mining</c:v>
                </c:pt>
                <c:pt idx="34">
                  <c:v>Diversified</c:v>
                </c:pt>
                <c:pt idx="35">
                  <c:v>Non - Ferrous Metals</c:v>
                </c:pt>
                <c:pt idx="36">
                  <c:v>Beverages</c:v>
                </c:pt>
                <c:pt idx="37">
                  <c:v>Aerospace &amp; Defense</c:v>
                </c:pt>
                <c:pt idx="38">
                  <c:v>Entertainment</c:v>
                </c:pt>
              </c:strCache>
            </c:strRef>
          </c:cat>
          <c:val>
            <c:numRef>
              <c:f>'Bandhan Nifty Midcap 150 Index '!$X$8:$X$46</c:f>
              <c:numCache>
                <c:formatCode>0.00%</c:formatCode>
                <c:ptCount val="39"/>
                <c:pt idx="0">
                  <c:v>8.1628000000000006E-2</c:v>
                </c:pt>
                <c:pt idx="1">
                  <c:v>7.2785000000000002E-2</c:v>
                </c:pt>
                <c:pt idx="2">
                  <c:v>7.0655999999999997E-2</c:v>
                </c:pt>
                <c:pt idx="3">
                  <c:v>6.9707999999999992E-2</c:v>
                </c:pt>
                <c:pt idx="4">
                  <c:v>6.3856999999999997E-2</c:v>
                </c:pt>
                <c:pt idx="5">
                  <c:v>5.8032E-2</c:v>
                </c:pt>
                <c:pt idx="6">
                  <c:v>4.7438999999999995E-2</c:v>
                </c:pt>
                <c:pt idx="7">
                  <c:v>3.9848000000000001E-2</c:v>
                </c:pt>
                <c:pt idx="8">
                  <c:v>3.9080000000000004E-2</c:v>
                </c:pt>
                <c:pt idx="9">
                  <c:v>3.8157999999999997E-2</c:v>
                </c:pt>
                <c:pt idx="10">
                  <c:v>3.4896000000000003E-2</c:v>
                </c:pt>
                <c:pt idx="11">
                  <c:v>3.3708999999999996E-2</c:v>
                </c:pt>
                <c:pt idx="12">
                  <c:v>2.9322000000000001E-2</c:v>
                </c:pt>
                <c:pt idx="13">
                  <c:v>2.7150000000000001E-2</c:v>
                </c:pt>
                <c:pt idx="14">
                  <c:v>2.4395E-2</c:v>
                </c:pt>
                <c:pt idx="15">
                  <c:v>2.3858000000000001E-2</c:v>
                </c:pt>
                <c:pt idx="16">
                  <c:v>2.0921999999999996E-2</c:v>
                </c:pt>
                <c:pt idx="17">
                  <c:v>1.7570999999999996E-2</c:v>
                </c:pt>
                <c:pt idx="18">
                  <c:v>1.7041000000000001E-2</c:v>
                </c:pt>
                <c:pt idx="19">
                  <c:v>1.5422999999999999E-2</c:v>
                </c:pt>
                <c:pt idx="20">
                  <c:v>1.4586000000000002E-2</c:v>
                </c:pt>
                <c:pt idx="21">
                  <c:v>1.4552000000000002E-2</c:v>
                </c:pt>
                <c:pt idx="22">
                  <c:v>1.4076999999999999E-2</c:v>
                </c:pt>
                <c:pt idx="23">
                  <c:v>1.2709000000000002E-2</c:v>
                </c:pt>
                <c:pt idx="24">
                  <c:v>1.1945000000000001E-2</c:v>
                </c:pt>
                <c:pt idx="25">
                  <c:v>1.1783E-2</c:v>
                </c:pt>
                <c:pt idx="26">
                  <c:v>1.1116999999999998E-2</c:v>
                </c:pt>
                <c:pt idx="27">
                  <c:v>1.1110999999999999E-2</c:v>
                </c:pt>
                <c:pt idx="28">
                  <c:v>1.1037E-2</c:v>
                </c:pt>
                <c:pt idx="29">
                  <c:v>1.0509000000000001E-2</c:v>
                </c:pt>
                <c:pt idx="30">
                  <c:v>9.8779999999999996E-3</c:v>
                </c:pt>
                <c:pt idx="31">
                  <c:v>7.7719999999999994E-3</c:v>
                </c:pt>
                <c:pt idx="32">
                  <c:v>7.7149999999999996E-3</c:v>
                </c:pt>
                <c:pt idx="33">
                  <c:v>7.6639999999999998E-3</c:v>
                </c:pt>
                <c:pt idx="34">
                  <c:v>5.0939999999999996E-3</c:v>
                </c:pt>
                <c:pt idx="35">
                  <c:v>4.9459999999999999E-3</c:v>
                </c:pt>
                <c:pt idx="36">
                  <c:v>4.3410000000000002E-3</c:v>
                </c:pt>
                <c:pt idx="37">
                  <c:v>2.9970000000000001E-3</c:v>
                </c:pt>
                <c:pt idx="38">
                  <c:v>1.918E-3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'!$W$8:$W$25</c:f>
              <c:strCache>
                <c:ptCount val="18"/>
                <c:pt idx="0">
                  <c:v>Banks</c:v>
                </c:pt>
                <c:pt idx="1">
                  <c:v>Power</c:v>
                </c:pt>
                <c:pt idx="2">
                  <c:v>Petroleum Products</c:v>
                </c:pt>
                <c:pt idx="3">
                  <c:v>Finance</c:v>
                </c:pt>
                <c:pt idx="4">
                  <c:v>Non - Ferrous Metals</c:v>
                </c:pt>
                <c:pt idx="5">
                  <c:v>Ferrous Metals</c:v>
                </c:pt>
                <c:pt idx="6">
                  <c:v>Oil</c:v>
                </c:pt>
                <c:pt idx="7">
                  <c:v>Fertilizers &amp; Agrochemicals</c:v>
                </c:pt>
                <c:pt idx="8">
                  <c:v>Cement &amp; Cement Products</c:v>
                </c:pt>
                <c:pt idx="9">
                  <c:v>Consumable Fuels</c:v>
                </c:pt>
                <c:pt idx="10">
                  <c:v>Diversified Metals</c:v>
                </c:pt>
                <c:pt idx="11">
                  <c:v>Gas</c:v>
                </c:pt>
                <c:pt idx="12">
                  <c:v>Chemicals &amp; Petrochemicals</c:v>
                </c:pt>
                <c:pt idx="13">
                  <c:v>Minerals &amp; Mining</c:v>
                </c:pt>
                <c:pt idx="14">
                  <c:v>Commercial Services &amp; Supplies</c:v>
                </c:pt>
                <c:pt idx="15">
                  <c:v>Transport Services</c:v>
                </c:pt>
                <c:pt idx="16">
                  <c:v>Entertainment</c:v>
                </c:pt>
                <c:pt idx="17">
                  <c:v>Construction</c:v>
                </c:pt>
              </c:strCache>
            </c:strRef>
          </c:cat>
          <c:val>
            <c:numRef>
              <c:f>'Bandhan Nifty 500 Value 50 '!$X$8:$X$25</c:f>
              <c:numCache>
                <c:formatCode>0.00%</c:formatCode>
                <c:ptCount val="18"/>
                <c:pt idx="0">
                  <c:v>0.170651</c:v>
                </c:pt>
                <c:pt idx="1">
                  <c:v>0.10865900000000001</c:v>
                </c:pt>
                <c:pt idx="2">
                  <c:v>9.2704000000000009E-2</c:v>
                </c:pt>
                <c:pt idx="3">
                  <c:v>8.6820000000000008E-2</c:v>
                </c:pt>
                <c:pt idx="4">
                  <c:v>8.2386000000000001E-2</c:v>
                </c:pt>
                <c:pt idx="5">
                  <c:v>6.5271999999999997E-2</c:v>
                </c:pt>
                <c:pt idx="6">
                  <c:v>5.8637999999999996E-2</c:v>
                </c:pt>
                <c:pt idx="7">
                  <c:v>5.5107999999999997E-2</c:v>
                </c:pt>
                <c:pt idx="8">
                  <c:v>5.0298000000000002E-2</c:v>
                </c:pt>
                <c:pt idx="9">
                  <c:v>4.8044999999999997E-2</c:v>
                </c:pt>
                <c:pt idx="10">
                  <c:v>4.7469999999999998E-2</c:v>
                </c:pt>
                <c:pt idx="11">
                  <c:v>3.7033999999999997E-2</c:v>
                </c:pt>
                <c:pt idx="12">
                  <c:v>2.2498000000000001E-2</c:v>
                </c:pt>
                <c:pt idx="13">
                  <c:v>1.6462000000000001E-2</c:v>
                </c:pt>
                <c:pt idx="14">
                  <c:v>1.6109999999999999E-2</c:v>
                </c:pt>
                <c:pt idx="15">
                  <c:v>1.3849E-2</c:v>
                </c:pt>
                <c:pt idx="16">
                  <c:v>9.698E-3</c:v>
                </c:pt>
                <c:pt idx="17">
                  <c:v>8.9180000000000006E-3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'!$W$8:$W$28</c:f>
              <c:strCache>
                <c:ptCount val="21"/>
                <c:pt idx="0">
                  <c:v>Electrical Equipment</c:v>
                </c:pt>
                <c:pt idx="1">
                  <c:v>Finance</c:v>
                </c:pt>
                <c:pt idx="2">
                  <c:v>Automobiles</c:v>
                </c:pt>
                <c:pt idx="3">
                  <c:v>Power</c:v>
                </c:pt>
                <c:pt idx="4">
                  <c:v>Aerospace &amp; Defense</c:v>
                </c:pt>
                <c:pt idx="5">
                  <c:v>Retailing</c:v>
                </c:pt>
                <c:pt idx="6">
                  <c:v>Transport Infrastructure</c:v>
                </c:pt>
                <c:pt idx="7">
                  <c:v>Capital Markets</c:v>
                </c:pt>
                <c:pt idx="8">
                  <c:v>Auto Components</c:v>
                </c:pt>
                <c:pt idx="9">
                  <c:v>Consumer Durables</c:v>
                </c:pt>
                <c:pt idx="10">
                  <c:v>Industrial Products</c:v>
                </c:pt>
                <c:pt idx="11">
                  <c:v>Industrial Manufacturing</c:v>
                </c:pt>
                <c:pt idx="12">
                  <c:v>Construction</c:v>
                </c:pt>
                <c:pt idx="13">
                  <c:v>Oil</c:v>
                </c:pt>
                <c:pt idx="14">
                  <c:v>Non - Ferrous Metals</c:v>
                </c:pt>
                <c:pt idx="15">
                  <c:v>Realty</c:v>
                </c:pt>
                <c:pt idx="16">
                  <c:v>Banks</c:v>
                </c:pt>
                <c:pt idx="17">
                  <c:v>Pharmaceuticals &amp; Biotechnology</c:v>
                </c:pt>
                <c:pt idx="18">
                  <c:v>Chemicals &amp; Petrochemicals</c:v>
                </c:pt>
                <c:pt idx="19">
                  <c:v>Ferrous Metals</c:v>
                </c:pt>
                <c:pt idx="20">
                  <c:v>Petroleum Products</c:v>
                </c:pt>
              </c:strCache>
            </c:strRef>
          </c:cat>
          <c:val>
            <c:numRef>
              <c:f>'Bandhan Nifty 500 Momentum 50 '!$X$8:$X$28</c:f>
              <c:numCache>
                <c:formatCode>0.00%</c:formatCode>
                <c:ptCount val="21"/>
                <c:pt idx="0">
                  <c:v>0.143904</c:v>
                </c:pt>
                <c:pt idx="1">
                  <c:v>9.9869000000000013E-2</c:v>
                </c:pt>
                <c:pt idx="2">
                  <c:v>9.6675999999999998E-2</c:v>
                </c:pt>
                <c:pt idx="3">
                  <c:v>9.5555000000000001E-2</c:v>
                </c:pt>
                <c:pt idx="4">
                  <c:v>8.7563000000000002E-2</c:v>
                </c:pt>
                <c:pt idx="5">
                  <c:v>6.4616000000000007E-2</c:v>
                </c:pt>
                <c:pt idx="6">
                  <c:v>4.5678000000000003E-2</c:v>
                </c:pt>
                <c:pt idx="7">
                  <c:v>4.5343000000000001E-2</c:v>
                </c:pt>
                <c:pt idx="8">
                  <c:v>3.9655999999999997E-2</c:v>
                </c:pt>
                <c:pt idx="9">
                  <c:v>3.8669999999999996E-2</c:v>
                </c:pt>
                <c:pt idx="10">
                  <c:v>3.3834000000000003E-2</c:v>
                </c:pt>
                <c:pt idx="11">
                  <c:v>2.6718000000000002E-2</c:v>
                </c:pt>
                <c:pt idx="12">
                  <c:v>2.5992000000000001E-2</c:v>
                </c:pt>
                <c:pt idx="13">
                  <c:v>1.6149E-2</c:v>
                </c:pt>
                <c:pt idx="14">
                  <c:v>1.6046999999999999E-2</c:v>
                </c:pt>
                <c:pt idx="15">
                  <c:v>1.5553000000000001E-2</c:v>
                </c:pt>
                <c:pt idx="16">
                  <c:v>1.5128000000000001E-2</c:v>
                </c:pt>
                <c:pt idx="17">
                  <c:v>1.3764999999999999E-2</c:v>
                </c:pt>
                <c:pt idx="18">
                  <c:v>1.0839E-2</c:v>
                </c:pt>
                <c:pt idx="19">
                  <c:v>1.0244E-2</c:v>
                </c:pt>
                <c:pt idx="20">
                  <c:v>1.049E-3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55144</xdr:colOff>
      <xdr:row>7</xdr:row>
      <xdr:rowOff>18628</xdr:rowOff>
    </xdr:from>
    <xdr:to>
      <xdr:col>13</xdr:col>
      <xdr:colOff>744119</xdr:colOff>
      <xdr:row>17</xdr:row>
      <xdr:rowOff>154779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47617</xdr:colOff>
      <xdr:row>7</xdr:row>
      <xdr:rowOff>59533</xdr:rowOff>
    </xdr:from>
    <xdr:to>
      <xdr:col>13</xdr:col>
      <xdr:colOff>741075</xdr:colOff>
      <xdr:row>18</xdr:row>
      <xdr:rowOff>119064</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591197</xdr:colOff>
      <xdr:row>7</xdr:row>
      <xdr:rowOff>6997</xdr:rowOff>
    </xdr:from>
    <xdr:to>
      <xdr:col>13</xdr:col>
      <xdr:colOff>774700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election activeCell="P15" sqref="P15"/>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62" t="s">
        <v>151</v>
      </c>
      <c r="D3" s="262"/>
      <c r="E3" s="262"/>
      <c r="F3" s="262"/>
      <c r="G3" s="262"/>
      <c r="H3" s="262"/>
      <c r="I3" s="262"/>
      <c r="J3" s="262"/>
      <c r="K3" s="262"/>
      <c r="L3" s="262"/>
      <c r="M3" s="263"/>
    </row>
    <row r="4" spans="2:24" ht="15.75" x14ac:dyDescent="0.25">
      <c r="B4" s="93"/>
      <c r="C4" s="67" t="s">
        <v>405</v>
      </c>
      <c r="D4" s="29"/>
      <c r="E4" s="29"/>
      <c r="F4" s="5"/>
      <c r="G4" s="5"/>
      <c r="H4" s="5"/>
      <c r="I4" s="5"/>
      <c r="J4" s="5"/>
      <c r="K4" s="5"/>
      <c r="L4" s="5"/>
      <c r="M4" s="20"/>
    </row>
    <row r="5" spans="2:24" ht="20.25" customHeight="1" x14ac:dyDescent="0.25">
      <c r="B5" s="93"/>
      <c r="C5" s="221" t="s">
        <v>406</v>
      </c>
      <c r="D5" s="94" t="s">
        <v>367</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64" t="s">
        <v>50</v>
      </c>
      <c r="G7" s="264"/>
      <c r="H7" s="264"/>
      <c r="I7" s="264"/>
      <c r="J7" s="264"/>
      <c r="K7" s="264"/>
      <c r="L7" s="264"/>
      <c r="M7" s="265"/>
    </row>
    <row r="8" spans="2:24" ht="30" x14ac:dyDescent="0.2">
      <c r="B8" s="93"/>
      <c r="C8" s="59" t="s">
        <v>91</v>
      </c>
      <c r="D8" s="182">
        <v>0.98720200000000002</v>
      </c>
      <c r="E8" s="5"/>
      <c r="F8" s="5"/>
      <c r="G8" s="31"/>
      <c r="H8" s="5"/>
      <c r="I8" s="5" t="s">
        <v>92</v>
      </c>
      <c r="J8" s="47">
        <f>D9</f>
        <v>0.98720200000000002</v>
      </c>
      <c r="K8" s="5"/>
      <c r="L8" s="5"/>
      <c r="M8" s="20"/>
      <c r="S8" s="49"/>
      <c r="W8" s="3" t="s">
        <v>3</v>
      </c>
      <c r="X8" s="3">
        <v>0.25058799999999998</v>
      </c>
    </row>
    <row r="9" spans="2:24" ht="15.75" x14ac:dyDescent="0.25">
      <c r="B9" s="93"/>
      <c r="C9" s="60" t="s">
        <v>92</v>
      </c>
      <c r="D9" s="183">
        <v>0.98720200000000002</v>
      </c>
      <c r="E9" s="5"/>
      <c r="F9" s="5"/>
      <c r="G9" s="5"/>
      <c r="H9" s="5"/>
      <c r="I9" s="5" t="s">
        <v>20</v>
      </c>
      <c r="J9" s="47">
        <f>D13</f>
        <v>-3.2209999999999999E-3</v>
      </c>
      <c r="K9" s="5"/>
      <c r="L9" s="5"/>
      <c r="M9" s="20"/>
      <c r="S9" s="49"/>
      <c r="W9" s="3" t="s">
        <v>9</v>
      </c>
      <c r="X9" s="3">
        <v>6.1296999999999997E-2</v>
      </c>
    </row>
    <row r="10" spans="2:24" x14ac:dyDescent="0.2">
      <c r="B10" s="93"/>
      <c r="C10" s="168" t="s">
        <v>101</v>
      </c>
      <c r="D10" s="184">
        <v>1.6018999999999999E-2</v>
      </c>
      <c r="E10" s="5"/>
      <c r="F10" s="5"/>
      <c r="G10" s="5"/>
      <c r="I10" s="3" t="s">
        <v>102</v>
      </c>
      <c r="J10" s="47">
        <f>D11</f>
        <v>1.6018999999999999E-2</v>
      </c>
      <c r="K10" s="5"/>
      <c r="L10" s="5"/>
      <c r="M10" s="20"/>
      <c r="S10" s="49"/>
      <c r="W10" s="3" t="s">
        <v>10</v>
      </c>
      <c r="X10" s="3">
        <v>3.0130999999999998E-2</v>
      </c>
    </row>
    <row r="11" spans="2:24" ht="15.75" x14ac:dyDescent="0.2">
      <c r="B11" s="93"/>
      <c r="C11" s="169" t="s">
        <v>102</v>
      </c>
      <c r="D11" s="185">
        <v>1.6018999999999999E-2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5">
        <v>-3.2209999999999999E-3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66"/>
      <c r="D22" s="266"/>
      <c r="E22" s="266"/>
      <c r="F22" s="266"/>
      <c r="G22" s="266"/>
      <c r="H22" s="266"/>
      <c r="I22" s="266"/>
      <c r="J22" s="266"/>
      <c r="K22" s="266"/>
      <c r="L22" s="266"/>
      <c r="M22" s="267"/>
      <c r="S22" s="49"/>
    </row>
    <row r="23" spans="2:24" ht="15.75" thickBot="1" x14ac:dyDescent="0.25">
      <c r="S23" s="49"/>
    </row>
    <row r="24" spans="2:24" ht="15" customHeight="1" x14ac:dyDescent="0.2">
      <c r="B24" s="268" t="s">
        <v>182</v>
      </c>
      <c r="C24" s="269"/>
      <c r="D24" s="269"/>
      <c r="E24" s="269"/>
      <c r="F24" s="269"/>
      <c r="G24" s="269"/>
      <c r="H24" s="269"/>
      <c r="I24" s="269"/>
      <c r="J24" s="269"/>
      <c r="K24" s="269"/>
      <c r="L24" s="269"/>
      <c r="M24" s="269"/>
      <c r="N24" s="270"/>
      <c r="S24" s="49"/>
    </row>
    <row r="25" spans="2:24" ht="15.75" customHeight="1" x14ac:dyDescent="0.2">
      <c r="B25" s="271"/>
      <c r="C25" s="272"/>
      <c r="D25" s="272"/>
      <c r="E25" s="272"/>
      <c r="F25" s="272"/>
      <c r="G25" s="272"/>
      <c r="H25" s="272"/>
      <c r="I25" s="272"/>
      <c r="J25" s="272"/>
      <c r="K25" s="272"/>
      <c r="L25" s="272"/>
      <c r="M25" s="272"/>
      <c r="N25" s="273"/>
      <c r="S25" s="49"/>
    </row>
    <row r="26" spans="2:24" ht="15.75" customHeight="1" x14ac:dyDescent="0.2">
      <c r="B26" s="271"/>
      <c r="C26" s="272"/>
      <c r="D26" s="272"/>
      <c r="E26" s="272"/>
      <c r="F26" s="272"/>
      <c r="G26" s="272"/>
      <c r="H26" s="272"/>
      <c r="I26" s="272"/>
      <c r="J26" s="272"/>
      <c r="K26" s="272"/>
      <c r="L26" s="272"/>
      <c r="M26" s="272"/>
      <c r="N26" s="273"/>
      <c r="S26" s="49"/>
    </row>
    <row r="27" spans="2:24" ht="15.75" customHeight="1" x14ac:dyDescent="0.2">
      <c r="B27" s="271"/>
      <c r="C27" s="272"/>
      <c r="D27" s="272"/>
      <c r="E27" s="272"/>
      <c r="F27" s="272"/>
      <c r="G27" s="272"/>
      <c r="H27" s="272"/>
      <c r="I27" s="272"/>
      <c r="J27" s="272"/>
      <c r="K27" s="272"/>
      <c r="L27" s="272"/>
      <c r="M27" s="272"/>
      <c r="N27" s="273"/>
      <c r="S27" s="49"/>
    </row>
    <row r="28" spans="2:24" ht="15.75" customHeight="1" x14ac:dyDescent="0.2">
      <c r="B28" s="271"/>
      <c r="C28" s="272"/>
      <c r="D28" s="272"/>
      <c r="E28" s="272"/>
      <c r="F28" s="272"/>
      <c r="G28" s="272"/>
      <c r="H28" s="272"/>
      <c r="I28" s="272"/>
      <c r="J28" s="272"/>
      <c r="K28" s="272"/>
      <c r="L28" s="272"/>
      <c r="M28" s="272"/>
      <c r="N28" s="273"/>
      <c r="S28" s="49"/>
    </row>
    <row r="29" spans="2:24" ht="15.75" customHeight="1" x14ac:dyDescent="0.2">
      <c r="B29" s="271"/>
      <c r="C29" s="272"/>
      <c r="D29" s="272"/>
      <c r="E29" s="272"/>
      <c r="F29" s="272"/>
      <c r="G29" s="272"/>
      <c r="H29" s="272"/>
      <c r="I29" s="272"/>
      <c r="J29" s="272"/>
      <c r="K29" s="272"/>
      <c r="L29" s="272"/>
      <c r="M29" s="272"/>
      <c r="N29" s="273"/>
      <c r="S29" s="49"/>
    </row>
    <row r="30" spans="2:24" ht="28.5" customHeight="1" thickBot="1" x14ac:dyDescent="0.25">
      <c r="B30" s="274"/>
      <c r="C30" s="275"/>
      <c r="D30" s="275"/>
      <c r="E30" s="275"/>
      <c r="F30" s="275"/>
      <c r="G30" s="275"/>
      <c r="H30" s="275"/>
      <c r="I30" s="275"/>
      <c r="J30" s="275"/>
      <c r="K30" s="275"/>
      <c r="L30" s="275"/>
      <c r="M30" s="275"/>
      <c r="N30" s="276"/>
      <c r="S30" s="49"/>
    </row>
    <row r="31" spans="2:24" ht="15.75" thickBot="1" x14ac:dyDescent="0.25">
      <c r="S31" s="49"/>
    </row>
    <row r="32" spans="2:24" x14ac:dyDescent="0.2">
      <c r="B32" s="268" t="s">
        <v>93</v>
      </c>
      <c r="C32" s="269"/>
      <c r="D32" s="269"/>
      <c r="E32" s="269"/>
      <c r="F32" s="269"/>
      <c r="G32" s="269"/>
      <c r="H32" s="269"/>
      <c r="I32" s="269"/>
      <c r="J32" s="269"/>
      <c r="K32" s="269"/>
      <c r="L32" s="269"/>
      <c r="M32" s="269"/>
      <c r="N32" s="270"/>
      <c r="S32" s="49"/>
    </row>
    <row r="33" spans="2:19" x14ac:dyDescent="0.2">
      <c r="B33" s="271"/>
      <c r="C33" s="272"/>
      <c r="D33" s="272"/>
      <c r="E33" s="272"/>
      <c r="F33" s="272"/>
      <c r="G33" s="272"/>
      <c r="H33" s="272"/>
      <c r="I33" s="272"/>
      <c r="J33" s="272"/>
      <c r="K33" s="272"/>
      <c r="L33" s="272"/>
      <c r="M33" s="272"/>
      <c r="N33" s="273"/>
      <c r="S33" s="49"/>
    </row>
    <row r="34" spans="2:19" x14ac:dyDescent="0.2">
      <c r="B34" s="271"/>
      <c r="C34" s="272"/>
      <c r="D34" s="272"/>
      <c r="E34" s="272"/>
      <c r="F34" s="272"/>
      <c r="G34" s="272"/>
      <c r="H34" s="272"/>
      <c r="I34" s="272"/>
      <c r="J34" s="272"/>
      <c r="K34" s="272"/>
      <c r="L34" s="272"/>
      <c r="M34" s="272"/>
      <c r="N34" s="273"/>
      <c r="S34" s="49"/>
    </row>
    <row r="35" spans="2:19" x14ac:dyDescent="0.2">
      <c r="B35" s="271"/>
      <c r="C35" s="272"/>
      <c r="D35" s="272"/>
      <c r="E35" s="272"/>
      <c r="F35" s="272"/>
      <c r="G35" s="272"/>
      <c r="H35" s="272"/>
      <c r="I35" s="272"/>
      <c r="J35" s="272"/>
      <c r="K35" s="272"/>
      <c r="L35" s="272"/>
      <c r="M35" s="272"/>
      <c r="N35" s="273"/>
      <c r="S35" s="49"/>
    </row>
    <row r="36" spans="2:19" x14ac:dyDescent="0.2">
      <c r="B36" s="271"/>
      <c r="C36" s="272"/>
      <c r="D36" s="272"/>
      <c r="E36" s="272"/>
      <c r="F36" s="272"/>
      <c r="G36" s="272"/>
      <c r="H36" s="272"/>
      <c r="I36" s="272"/>
      <c r="J36" s="272"/>
      <c r="K36" s="272"/>
      <c r="L36" s="272"/>
      <c r="M36" s="272"/>
      <c r="N36" s="273"/>
      <c r="S36" s="49"/>
    </row>
    <row r="37" spans="2:19" x14ac:dyDescent="0.2">
      <c r="B37" s="271"/>
      <c r="C37" s="272"/>
      <c r="D37" s="272"/>
      <c r="E37" s="272"/>
      <c r="F37" s="272"/>
      <c r="G37" s="272"/>
      <c r="H37" s="272"/>
      <c r="I37" s="272"/>
      <c r="J37" s="272"/>
      <c r="K37" s="272"/>
      <c r="L37" s="272"/>
      <c r="M37" s="272"/>
      <c r="N37" s="273"/>
      <c r="S37" s="49"/>
    </row>
    <row r="38" spans="2:19" ht="15.75" thickBot="1" x14ac:dyDescent="0.25">
      <c r="B38" s="274"/>
      <c r="C38" s="275"/>
      <c r="D38" s="275"/>
      <c r="E38" s="275"/>
      <c r="F38" s="275"/>
      <c r="G38" s="275"/>
      <c r="H38" s="275"/>
      <c r="I38" s="275"/>
      <c r="J38" s="275"/>
      <c r="K38" s="275"/>
      <c r="L38" s="275"/>
      <c r="M38" s="275"/>
      <c r="N38" s="276"/>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7" t="s">
        <v>172</v>
      </c>
      <c r="D3" s="278"/>
      <c r="E3" s="278"/>
      <c r="F3" s="278"/>
      <c r="G3" s="278"/>
      <c r="H3" s="278"/>
      <c r="I3" s="278"/>
      <c r="J3" s="278"/>
      <c r="K3" s="278"/>
      <c r="L3" s="278"/>
      <c r="M3" s="278"/>
      <c r="N3" s="278"/>
      <c r="O3" s="278"/>
      <c r="P3" s="278"/>
      <c r="Q3" s="278"/>
      <c r="R3" s="278"/>
      <c r="S3" s="278"/>
      <c r="T3" s="25"/>
    </row>
    <row r="4" spans="1:24" ht="15.75" customHeight="1" x14ac:dyDescent="0.25">
      <c r="B4" s="64"/>
      <c r="C4" s="67" t="s">
        <v>405</v>
      </c>
      <c r="D4" s="150"/>
      <c r="E4" s="163"/>
      <c r="F4" s="163"/>
      <c r="G4" s="163"/>
      <c r="H4" s="163"/>
      <c r="I4" s="163"/>
      <c r="J4" s="163"/>
      <c r="K4" s="29"/>
      <c r="L4" s="29"/>
      <c r="M4" s="29"/>
      <c r="N4" s="29"/>
      <c r="O4" s="29"/>
      <c r="P4" s="29"/>
      <c r="Q4" s="29"/>
      <c r="R4" s="29"/>
      <c r="S4" s="29"/>
      <c r="T4" s="25"/>
    </row>
    <row r="5" spans="1:24" ht="18" customHeight="1" x14ac:dyDescent="0.25">
      <c r="B5" s="64"/>
      <c r="C5" s="221" t="s">
        <v>406</v>
      </c>
      <c r="D5" s="279" t="s">
        <v>368</v>
      </c>
      <c r="E5" s="279"/>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3" t="s">
        <v>32</v>
      </c>
      <c r="D8" s="194" t="s">
        <v>3</v>
      </c>
      <c r="E8" s="195">
        <v>3.7019999999999997E-2</v>
      </c>
      <c r="F8" s="135"/>
      <c r="G8" s="29"/>
      <c r="H8" s="29"/>
      <c r="I8" s="29"/>
      <c r="J8" s="29"/>
      <c r="K8" s="29"/>
      <c r="L8" s="29"/>
      <c r="M8" s="29"/>
      <c r="N8" s="29"/>
      <c r="O8" s="29"/>
      <c r="P8" s="29"/>
      <c r="Q8" s="29"/>
      <c r="R8" s="29"/>
      <c r="S8" s="29"/>
      <c r="T8" s="25"/>
      <c r="W8" s="236" t="s">
        <v>3</v>
      </c>
      <c r="X8" s="239">
        <v>0.13058899999999998</v>
      </c>
    </row>
    <row r="9" spans="1:24" ht="15.75" customHeight="1" x14ac:dyDescent="0.25">
      <c r="B9" s="64"/>
      <c r="C9" s="188" t="s">
        <v>29</v>
      </c>
      <c r="D9" s="196" t="s">
        <v>3</v>
      </c>
      <c r="E9" s="197">
        <v>3.3772000000000003E-2</v>
      </c>
      <c r="F9" s="135"/>
      <c r="G9" s="29"/>
      <c r="H9" s="29"/>
      <c r="I9" s="29"/>
      <c r="J9" s="29"/>
      <c r="K9" s="29"/>
      <c r="L9" s="29"/>
      <c r="M9" s="29"/>
      <c r="N9" s="29"/>
      <c r="O9" s="29"/>
      <c r="P9" s="29"/>
      <c r="Q9" s="29"/>
      <c r="R9" s="29"/>
      <c r="S9" s="29"/>
      <c r="T9" s="25"/>
      <c r="W9" s="236" t="s">
        <v>107</v>
      </c>
      <c r="X9" s="239">
        <v>8.0484999999999987E-2</v>
      </c>
    </row>
    <row r="10" spans="1:24" ht="15" customHeight="1" x14ac:dyDescent="0.25">
      <c r="B10" s="64"/>
      <c r="C10" s="188" t="s">
        <v>31</v>
      </c>
      <c r="D10" s="196" t="s">
        <v>6</v>
      </c>
      <c r="E10" s="197">
        <v>3.1154999999999999E-2</v>
      </c>
      <c r="F10" s="135"/>
      <c r="G10" s="29"/>
      <c r="H10" s="29"/>
      <c r="I10" s="29"/>
      <c r="J10" s="29"/>
      <c r="K10" s="29"/>
      <c r="L10" s="29"/>
      <c r="M10" s="29"/>
      <c r="N10" s="29"/>
      <c r="O10" s="29"/>
      <c r="P10" s="29"/>
      <c r="Q10" s="29"/>
      <c r="R10" s="29"/>
      <c r="S10" s="29"/>
      <c r="T10" s="25"/>
      <c r="W10" s="236" t="s">
        <v>111</v>
      </c>
      <c r="X10" s="239">
        <v>7.2801999999999992E-2</v>
      </c>
    </row>
    <row r="11" spans="1:24" ht="15" customHeight="1" x14ac:dyDescent="0.25">
      <c r="B11" s="64"/>
      <c r="C11" s="188" t="s">
        <v>28</v>
      </c>
      <c r="D11" s="196" t="s">
        <v>107</v>
      </c>
      <c r="E11" s="197">
        <v>2.4368000000000001E-2</v>
      </c>
      <c r="F11" s="135"/>
      <c r="G11" s="29"/>
      <c r="H11" s="29"/>
      <c r="I11" s="29"/>
      <c r="J11" s="29"/>
      <c r="K11" s="29"/>
      <c r="L11" s="29"/>
      <c r="M11" s="29"/>
      <c r="N11" s="29"/>
      <c r="O11" s="29"/>
      <c r="P11" s="29"/>
      <c r="Q11" s="29"/>
      <c r="R11" s="29"/>
      <c r="S11" s="29"/>
      <c r="T11" s="25"/>
      <c r="W11" s="236" t="s">
        <v>4</v>
      </c>
      <c r="X11" s="239">
        <v>6.3187000000000007E-2</v>
      </c>
    </row>
    <row r="12" spans="1:24" ht="15" customHeight="1" x14ac:dyDescent="0.25">
      <c r="B12" s="64"/>
      <c r="C12" s="188" t="s">
        <v>70</v>
      </c>
      <c r="D12" s="196" t="s">
        <v>12</v>
      </c>
      <c r="E12" s="197">
        <v>2.2584E-2</v>
      </c>
      <c r="F12" s="135"/>
      <c r="G12" s="29"/>
      <c r="H12" s="29"/>
      <c r="I12" s="29"/>
      <c r="J12" s="29"/>
      <c r="K12" s="29"/>
      <c r="L12" s="29"/>
      <c r="M12" s="29"/>
      <c r="N12" s="29"/>
      <c r="O12" s="29"/>
      <c r="P12" s="29"/>
      <c r="Q12" s="29"/>
      <c r="R12" s="29"/>
      <c r="S12" s="29"/>
      <c r="T12" s="25"/>
      <c r="W12" s="236" t="s">
        <v>26</v>
      </c>
      <c r="X12" s="239">
        <v>4.623E-2</v>
      </c>
    </row>
    <row r="13" spans="1:24" ht="15" customHeight="1" x14ac:dyDescent="0.25">
      <c r="B13" s="64"/>
      <c r="C13" s="188" t="s">
        <v>30</v>
      </c>
      <c r="D13" s="196" t="s">
        <v>117</v>
      </c>
      <c r="E13" s="197">
        <v>2.0199000000000002E-2</v>
      </c>
      <c r="F13" s="135"/>
      <c r="G13" s="29"/>
      <c r="H13" s="29"/>
      <c r="I13" s="29"/>
      <c r="J13" s="29"/>
      <c r="K13" s="29"/>
      <c r="L13" s="29"/>
      <c r="M13" s="29"/>
      <c r="N13" s="29"/>
      <c r="O13" s="29"/>
      <c r="P13" s="29"/>
      <c r="Q13" s="29"/>
      <c r="R13" s="29"/>
      <c r="S13" s="29"/>
      <c r="T13" s="25"/>
      <c r="W13" s="236" t="s">
        <v>6</v>
      </c>
      <c r="X13" s="239">
        <v>4.4287999999999994E-2</v>
      </c>
    </row>
    <row r="14" spans="1:24" ht="15" customHeight="1" x14ac:dyDescent="0.25">
      <c r="B14" s="64"/>
      <c r="C14" s="188" t="s">
        <v>36</v>
      </c>
      <c r="D14" s="196" t="s">
        <v>3</v>
      </c>
      <c r="E14" s="197">
        <v>1.8189E-2</v>
      </c>
      <c r="F14" s="135"/>
      <c r="G14" s="29"/>
      <c r="H14" s="29"/>
      <c r="I14" s="29"/>
      <c r="J14" s="29"/>
      <c r="K14" s="29"/>
      <c r="L14" s="29"/>
      <c r="M14" s="29"/>
      <c r="N14" s="29"/>
      <c r="O14" s="29"/>
      <c r="P14" s="29"/>
      <c r="Q14" s="29"/>
      <c r="R14" s="29"/>
      <c r="S14" s="29"/>
      <c r="T14" s="25"/>
      <c r="W14" s="236" t="s">
        <v>110</v>
      </c>
      <c r="X14" s="239">
        <v>3.4561000000000001E-2</v>
      </c>
    </row>
    <row r="15" spans="1:24" ht="15.75" x14ac:dyDescent="0.25">
      <c r="B15" s="64"/>
      <c r="C15" s="188" t="s">
        <v>261</v>
      </c>
      <c r="D15" s="196" t="s">
        <v>4</v>
      </c>
      <c r="E15" s="197">
        <v>1.5727999999999999E-2</v>
      </c>
      <c r="F15" s="135"/>
      <c r="G15" s="29"/>
      <c r="H15" s="29"/>
      <c r="I15" s="29"/>
      <c r="J15" s="29"/>
      <c r="K15" s="29"/>
      <c r="L15" s="29"/>
      <c r="M15" s="29"/>
      <c r="N15" s="29"/>
      <c r="O15" s="29"/>
      <c r="P15" s="29"/>
      <c r="Q15" s="29"/>
      <c r="R15" s="29"/>
      <c r="S15" s="29"/>
      <c r="T15" s="25"/>
      <c r="W15" s="236" t="s">
        <v>77</v>
      </c>
      <c r="X15" s="239">
        <v>2.8597999999999998E-2</v>
      </c>
    </row>
    <row r="16" spans="1:24" ht="15" customHeight="1" x14ac:dyDescent="0.25">
      <c r="B16" s="64"/>
      <c r="C16" s="188" t="s">
        <v>226</v>
      </c>
      <c r="D16" s="196" t="s">
        <v>26</v>
      </c>
      <c r="E16" s="197">
        <v>1.537E-2</v>
      </c>
      <c r="F16" s="135"/>
      <c r="G16" s="29"/>
      <c r="H16" s="29"/>
      <c r="I16" s="29"/>
      <c r="J16" s="29"/>
      <c r="K16" s="29"/>
      <c r="L16" s="29"/>
      <c r="M16" s="29"/>
      <c r="N16" s="29"/>
      <c r="O16" s="29"/>
      <c r="P16" s="29"/>
      <c r="Q16" s="29"/>
      <c r="R16" s="29"/>
      <c r="S16" s="29"/>
      <c r="T16" s="25"/>
      <c r="W16" s="236" t="s">
        <v>113</v>
      </c>
      <c r="X16" s="239">
        <v>2.8433000000000003E-2</v>
      </c>
    </row>
    <row r="17" spans="2:24" ht="15.75" x14ac:dyDescent="0.25">
      <c r="B17" s="64"/>
      <c r="C17" s="188" t="s">
        <v>237</v>
      </c>
      <c r="D17" s="196" t="s">
        <v>26</v>
      </c>
      <c r="E17" s="197">
        <v>1.5209E-2</v>
      </c>
      <c r="F17" s="135"/>
      <c r="G17" s="29"/>
      <c r="H17" s="29"/>
      <c r="I17" s="29"/>
      <c r="J17" s="29"/>
      <c r="K17" s="29"/>
      <c r="L17" s="29"/>
      <c r="M17" s="29"/>
      <c r="N17" s="29"/>
      <c r="O17" s="29"/>
      <c r="P17" s="29"/>
      <c r="Q17" s="29"/>
      <c r="R17" s="29"/>
      <c r="S17" s="29"/>
      <c r="T17" s="25"/>
      <c r="W17" s="236" t="s">
        <v>124</v>
      </c>
      <c r="X17" s="239">
        <v>2.8222000000000004E-2</v>
      </c>
    </row>
    <row r="18" spans="2:24" ht="30" x14ac:dyDescent="0.25">
      <c r="B18" s="64"/>
      <c r="C18" s="188" t="s">
        <v>249</v>
      </c>
      <c r="D18" s="196" t="s">
        <v>111</v>
      </c>
      <c r="E18" s="197">
        <v>1.4784E-2</v>
      </c>
      <c r="F18" s="135"/>
      <c r="G18" s="29"/>
      <c r="H18" s="29"/>
      <c r="I18" s="29"/>
      <c r="J18" s="29"/>
      <c r="K18" s="29"/>
      <c r="L18" s="29"/>
      <c r="M18" s="29"/>
      <c r="N18" s="29"/>
      <c r="O18" s="29"/>
      <c r="P18" s="29"/>
      <c r="Q18" s="29"/>
      <c r="R18" s="29"/>
      <c r="S18" s="29"/>
      <c r="T18" s="25"/>
      <c r="W18" s="236" t="s">
        <v>23</v>
      </c>
      <c r="X18" s="239">
        <v>2.6978000000000002E-2</v>
      </c>
    </row>
    <row r="19" spans="2:24" ht="15.75" x14ac:dyDescent="0.25">
      <c r="B19" s="64"/>
      <c r="C19" s="188" t="s">
        <v>62</v>
      </c>
      <c r="D19" s="196" t="s">
        <v>10</v>
      </c>
      <c r="E19" s="197">
        <v>1.4751999999999999E-2</v>
      </c>
      <c r="F19" s="135"/>
      <c r="G19" s="29"/>
      <c r="H19" s="29"/>
      <c r="I19" s="29"/>
      <c r="J19" s="29"/>
      <c r="K19" s="29"/>
      <c r="L19" s="29"/>
      <c r="M19" s="29"/>
      <c r="N19" s="29"/>
      <c r="O19" s="29"/>
      <c r="P19" s="29"/>
      <c r="Q19" s="29"/>
      <c r="R19" s="29"/>
      <c r="S19" s="29"/>
      <c r="T19" s="25"/>
      <c r="W19" s="236" t="s">
        <v>119</v>
      </c>
      <c r="X19" s="239">
        <v>2.3293999999999999E-2</v>
      </c>
    </row>
    <row r="20" spans="2:24" ht="15" customHeight="1" x14ac:dyDescent="0.25">
      <c r="B20" s="64"/>
      <c r="C20" s="188" t="s">
        <v>145</v>
      </c>
      <c r="D20" s="196" t="s">
        <v>124</v>
      </c>
      <c r="E20" s="197">
        <v>1.4689000000000001E-2</v>
      </c>
      <c r="F20" s="135"/>
      <c r="G20" s="29"/>
      <c r="H20" s="29"/>
      <c r="I20" s="29"/>
      <c r="J20" s="29"/>
      <c r="K20" s="29"/>
      <c r="L20" s="29"/>
      <c r="M20" s="29"/>
      <c r="N20" s="29"/>
      <c r="O20" s="29"/>
      <c r="P20" s="29"/>
      <c r="Q20" s="29"/>
      <c r="R20" s="29"/>
      <c r="S20" s="29"/>
      <c r="T20" s="25"/>
      <c r="W20" s="236" t="s">
        <v>12</v>
      </c>
      <c r="X20" s="239">
        <v>2.2584E-2</v>
      </c>
    </row>
    <row r="21" spans="2:24" ht="17.25" customHeight="1" x14ac:dyDescent="0.25">
      <c r="B21" s="64"/>
      <c r="C21" s="188" t="s">
        <v>294</v>
      </c>
      <c r="D21" s="196" t="s">
        <v>185</v>
      </c>
      <c r="E21" s="197">
        <v>1.3906999999999999E-2</v>
      </c>
      <c r="F21" s="135"/>
      <c r="G21" s="29"/>
      <c r="H21" s="29"/>
      <c r="I21" s="29"/>
      <c r="J21" s="29"/>
      <c r="K21" s="29"/>
      <c r="L21" s="29"/>
      <c r="M21" s="29"/>
      <c r="N21" s="29"/>
      <c r="O21" s="29"/>
      <c r="P21" s="29"/>
      <c r="Q21" s="29"/>
      <c r="R21" s="29"/>
      <c r="S21" s="29"/>
      <c r="T21" s="25"/>
      <c r="W21" s="236" t="s">
        <v>86</v>
      </c>
      <c r="X21" s="239">
        <v>2.2194999999999999E-2</v>
      </c>
    </row>
    <row r="22" spans="2:24" ht="15" customHeight="1" x14ac:dyDescent="0.25">
      <c r="B22" s="64"/>
      <c r="C22" s="188" t="s">
        <v>33</v>
      </c>
      <c r="D22" s="196" t="s">
        <v>107</v>
      </c>
      <c r="E22" s="197">
        <v>1.3594E-2</v>
      </c>
      <c r="F22" s="135"/>
      <c r="G22" s="29"/>
      <c r="H22" s="29"/>
      <c r="I22" s="29"/>
      <c r="J22" s="29"/>
      <c r="K22" s="29"/>
      <c r="L22" s="29"/>
      <c r="M22" s="29"/>
      <c r="N22" s="29"/>
      <c r="O22" s="29"/>
      <c r="P22" s="29"/>
      <c r="Q22" s="29"/>
      <c r="R22" s="29"/>
      <c r="S22" s="29"/>
      <c r="T22" s="25"/>
      <c r="W22" s="236" t="s">
        <v>106</v>
      </c>
      <c r="X22" s="239">
        <v>2.1429999999999998E-2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6" t="s">
        <v>10</v>
      </c>
      <c r="X23" s="239">
        <v>2.0781000000000001E-2</v>
      </c>
    </row>
    <row r="24" spans="2:24" ht="15" customHeight="1" x14ac:dyDescent="0.25">
      <c r="B24" s="64"/>
      <c r="C24" s="164" t="s">
        <v>55</v>
      </c>
      <c r="D24" s="165"/>
      <c r="E24" s="166">
        <f>SUM(E8:E22)</f>
        <v>0.30531999999999998</v>
      </c>
      <c r="F24" s="29"/>
      <c r="G24" s="29"/>
      <c r="H24" s="29"/>
      <c r="I24" s="29"/>
      <c r="J24" s="29"/>
      <c r="K24" s="29"/>
      <c r="L24" s="29"/>
      <c r="M24" s="29"/>
      <c r="N24" s="29"/>
      <c r="O24" s="29"/>
      <c r="P24" s="29"/>
      <c r="Q24" s="29"/>
      <c r="R24" s="29"/>
      <c r="S24" s="29"/>
      <c r="T24" s="25"/>
      <c r="W24" s="236" t="s">
        <v>185</v>
      </c>
      <c r="X24" s="239">
        <v>2.0673E-2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6" t="s">
        <v>117</v>
      </c>
      <c r="X25" s="239">
        <v>2.0199000000000002E-2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6" t="s">
        <v>146</v>
      </c>
      <c r="X26" s="239">
        <v>1.8511E-2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6" t="s">
        <v>16</v>
      </c>
      <c r="X27" s="239">
        <v>1.7548000000000001E-2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6" t="s">
        <v>85</v>
      </c>
      <c r="X28" s="239">
        <v>1.6821000000000003E-2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6" t="s">
        <v>116</v>
      </c>
      <c r="X29" s="239">
        <v>1.6001999999999999E-2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6" t="s">
        <v>24</v>
      </c>
      <c r="X30" s="239">
        <v>1.5426E-2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6" t="s">
        <v>122</v>
      </c>
      <c r="X31" s="239">
        <v>1.2862E-2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6" t="s">
        <v>133</v>
      </c>
      <c r="X32" s="239">
        <v>1.255E-2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6" t="s">
        <v>115</v>
      </c>
      <c r="X33" s="239">
        <v>1.2390999999999999E-2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6" t="s">
        <v>112</v>
      </c>
      <c r="X34" s="239">
        <v>1.1104000000000001E-2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6" t="s">
        <v>123</v>
      </c>
      <c r="X35" s="239">
        <v>9.8019999999999999E-3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6" t="s">
        <v>11</v>
      </c>
      <c r="X36" s="239">
        <v>8.9580000000000007E-3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6" t="s">
        <v>83</v>
      </c>
      <c r="X37" s="239">
        <v>8.4760000000000009E-3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6" t="s">
        <v>126</v>
      </c>
      <c r="X38" s="239">
        <v>8.3160000000000005E-3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6" t="s">
        <v>87</v>
      </c>
      <c r="X39" s="239">
        <v>7.894E-3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6" t="s">
        <v>84</v>
      </c>
      <c r="X40" s="239">
        <v>7.6670000000000002E-3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6" t="s">
        <v>13</v>
      </c>
      <c r="X41" s="239">
        <v>7.6500000000000005E-3</v>
      </c>
    </row>
    <row r="42" spans="2:24" ht="15" customHeight="1" x14ac:dyDescent="0.25">
      <c r="B42" s="268" t="s">
        <v>182</v>
      </c>
      <c r="C42" s="269"/>
      <c r="D42" s="269"/>
      <c r="E42" s="269"/>
      <c r="F42" s="269"/>
      <c r="G42" s="269"/>
      <c r="H42" s="269"/>
      <c r="I42" s="269"/>
      <c r="J42" s="269"/>
      <c r="K42" s="269"/>
      <c r="L42" s="269"/>
      <c r="M42" s="269"/>
      <c r="N42" s="269"/>
      <c r="O42" s="269"/>
      <c r="P42" s="269"/>
      <c r="Q42" s="269"/>
      <c r="R42" s="270"/>
      <c r="T42" s="29"/>
      <c r="W42" s="236" t="s">
        <v>137</v>
      </c>
      <c r="X42" s="239">
        <v>6.764E-3</v>
      </c>
    </row>
    <row r="43" spans="2:24" ht="15" customHeight="1" x14ac:dyDescent="0.25">
      <c r="B43" s="271"/>
      <c r="C43" s="272"/>
      <c r="D43" s="272"/>
      <c r="E43" s="272"/>
      <c r="F43" s="272"/>
      <c r="G43" s="272"/>
      <c r="H43" s="272"/>
      <c r="I43" s="272"/>
      <c r="J43" s="272"/>
      <c r="K43" s="272"/>
      <c r="L43" s="272"/>
      <c r="M43" s="272"/>
      <c r="N43" s="272"/>
      <c r="O43" s="272"/>
      <c r="P43" s="272"/>
      <c r="Q43" s="272"/>
      <c r="R43" s="273"/>
      <c r="T43" s="29"/>
      <c r="W43" s="236" t="s">
        <v>118</v>
      </c>
      <c r="X43" s="239">
        <v>6.3439999999999998E-3</v>
      </c>
    </row>
    <row r="44" spans="2:24" ht="15" customHeight="1" x14ac:dyDescent="0.25">
      <c r="B44" s="271"/>
      <c r="C44" s="272"/>
      <c r="D44" s="272"/>
      <c r="E44" s="272"/>
      <c r="F44" s="272"/>
      <c r="G44" s="272"/>
      <c r="H44" s="272"/>
      <c r="I44" s="272"/>
      <c r="J44" s="272"/>
      <c r="K44" s="272"/>
      <c r="L44" s="272"/>
      <c r="M44" s="272"/>
      <c r="N44" s="272"/>
      <c r="O44" s="272"/>
      <c r="P44" s="272"/>
      <c r="Q44" s="272"/>
      <c r="R44" s="273"/>
      <c r="T44" s="29"/>
      <c r="W44" s="236" t="s">
        <v>95</v>
      </c>
      <c r="X44" s="239">
        <v>5.208E-3</v>
      </c>
    </row>
    <row r="45" spans="2:24" ht="15" customHeight="1" x14ac:dyDescent="0.25">
      <c r="B45" s="271"/>
      <c r="C45" s="272"/>
      <c r="D45" s="272"/>
      <c r="E45" s="272"/>
      <c r="F45" s="272"/>
      <c r="G45" s="272"/>
      <c r="H45" s="272"/>
      <c r="I45" s="272"/>
      <c r="J45" s="272"/>
      <c r="K45" s="272"/>
      <c r="L45" s="272"/>
      <c r="M45" s="272"/>
      <c r="N45" s="272"/>
      <c r="O45" s="272"/>
      <c r="P45" s="272"/>
      <c r="Q45" s="272"/>
      <c r="R45" s="273"/>
      <c r="T45" s="29"/>
      <c r="W45" s="236"/>
      <c r="X45" s="239"/>
    </row>
    <row r="46" spans="2:24" ht="15" customHeight="1" x14ac:dyDescent="0.25">
      <c r="B46" s="271"/>
      <c r="C46" s="272"/>
      <c r="D46" s="272"/>
      <c r="E46" s="272"/>
      <c r="F46" s="272"/>
      <c r="G46" s="272"/>
      <c r="H46" s="272"/>
      <c r="I46" s="272"/>
      <c r="J46" s="272"/>
      <c r="K46" s="272"/>
      <c r="L46" s="272"/>
      <c r="M46" s="272"/>
      <c r="N46" s="272"/>
      <c r="O46" s="272"/>
      <c r="P46" s="272"/>
      <c r="Q46" s="272"/>
      <c r="R46" s="273"/>
      <c r="T46" s="29"/>
      <c r="X46" s="239"/>
    </row>
    <row r="47" spans="2:24" ht="15" customHeight="1" x14ac:dyDescent="0.25">
      <c r="B47" s="271"/>
      <c r="C47" s="272"/>
      <c r="D47" s="272"/>
      <c r="E47" s="272"/>
      <c r="F47" s="272"/>
      <c r="G47" s="272"/>
      <c r="H47" s="272"/>
      <c r="I47" s="272"/>
      <c r="J47" s="272"/>
      <c r="K47" s="272"/>
      <c r="L47" s="272"/>
      <c r="M47" s="272"/>
      <c r="N47" s="272"/>
      <c r="O47" s="272"/>
      <c r="P47" s="272"/>
      <c r="Q47" s="272"/>
      <c r="R47" s="273"/>
      <c r="T47" s="29"/>
      <c r="X47" s="239"/>
    </row>
    <row r="48" spans="2:24" ht="15" customHeight="1" thickBot="1" x14ac:dyDescent="0.3">
      <c r="B48" s="274"/>
      <c r="C48" s="275"/>
      <c r="D48" s="275"/>
      <c r="E48" s="275"/>
      <c r="F48" s="275"/>
      <c r="G48" s="275"/>
      <c r="H48" s="275"/>
      <c r="I48" s="275"/>
      <c r="J48" s="275"/>
      <c r="K48" s="275"/>
      <c r="L48" s="275"/>
      <c r="M48" s="275"/>
      <c r="N48" s="275"/>
      <c r="O48" s="275"/>
      <c r="P48" s="275"/>
      <c r="Q48" s="275"/>
      <c r="R48" s="276"/>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7" t="s">
        <v>171</v>
      </c>
      <c r="D3" s="278"/>
      <c r="E3" s="278"/>
      <c r="F3" s="278"/>
      <c r="G3" s="278"/>
      <c r="H3" s="278"/>
      <c r="I3" s="278"/>
      <c r="J3" s="278"/>
      <c r="K3" s="278"/>
      <c r="L3" s="278"/>
      <c r="M3" s="278"/>
      <c r="N3" s="278"/>
      <c r="O3" s="278"/>
      <c r="P3" s="278"/>
      <c r="Q3" s="278"/>
      <c r="R3" s="278"/>
      <c r="S3" s="278"/>
      <c r="T3" s="25"/>
    </row>
    <row r="4" spans="1:24" ht="15.75" customHeight="1" x14ac:dyDescent="0.25">
      <c r="B4" s="64"/>
      <c r="C4" s="67" t="s">
        <v>405</v>
      </c>
      <c r="D4" s="150"/>
      <c r="E4" s="29"/>
      <c r="F4" s="29"/>
      <c r="G4" s="29"/>
      <c r="H4" s="29"/>
      <c r="I4" s="29"/>
      <c r="J4" s="29"/>
      <c r="K4" s="29"/>
      <c r="L4" s="29"/>
      <c r="M4" s="29"/>
      <c r="N4" s="29"/>
      <c r="O4" s="29"/>
      <c r="P4" s="29"/>
      <c r="Q4" s="29"/>
      <c r="R4" s="29"/>
      <c r="S4" s="29"/>
      <c r="T4" s="25"/>
    </row>
    <row r="5" spans="1:24" ht="18" customHeight="1" x14ac:dyDescent="0.25">
      <c r="B5" s="64"/>
      <c r="C5" s="221" t="s">
        <v>406</v>
      </c>
      <c r="D5" s="279" t="s">
        <v>369</v>
      </c>
      <c r="E5" s="279"/>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1" t="s">
        <v>29</v>
      </c>
      <c r="D8" s="194" t="s">
        <v>3</v>
      </c>
      <c r="E8" s="195">
        <v>9.2418E-2</v>
      </c>
      <c r="F8" s="29"/>
      <c r="G8" s="29"/>
      <c r="H8" s="29"/>
      <c r="I8" s="29"/>
      <c r="J8" s="29"/>
      <c r="K8" s="29"/>
      <c r="L8" s="29"/>
      <c r="M8" s="29"/>
      <c r="N8" s="29"/>
      <c r="O8" s="29"/>
      <c r="P8" s="29"/>
      <c r="Q8" s="29"/>
      <c r="R8" s="29"/>
      <c r="S8" s="29"/>
      <c r="T8" s="25"/>
      <c r="W8" s="173" t="s">
        <v>3</v>
      </c>
      <c r="X8" s="174">
        <v>0.201572</v>
      </c>
    </row>
    <row r="9" spans="1:24" ht="15.75" customHeight="1" x14ac:dyDescent="0.25">
      <c r="B9" s="64"/>
      <c r="C9" s="202" t="s">
        <v>31</v>
      </c>
      <c r="D9" s="196" t="s">
        <v>6</v>
      </c>
      <c r="E9" s="197">
        <v>7.4504000000000001E-2</v>
      </c>
      <c r="F9" s="29"/>
      <c r="G9" s="29"/>
      <c r="H9" s="29"/>
      <c r="I9" s="29"/>
      <c r="J9" s="29"/>
      <c r="K9" s="29"/>
      <c r="L9" s="29"/>
      <c r="M9" s="29"/>
      <c r="N9" s="29"/>
      <c r="O9" s="29"/>
      <c r="P9" s="29"/>
      <c r="Q9" s="29"/>
      <c r="R9" s="29"/>
      <c r="S9" s="29"/>
      <c r="T9" s="25"/>
      <c r="W9" s="173" t="s">
        <v>107</v>
      </c>
      <c r="X9" s="174">
        <v>0.13314599999999999</v>
      </c>
    </row>
    <row r="10" spans="1:24" ht="15" customHeight="1" x14ac:dyDescent="0.25">
      <c r="B10" s="64"/>
      <c r="C10" s="202" t="s">
        <v>32</v>
      </c>
      <c r="D10" s="196" t="s">
        <v>3</v>
      </c>
      <c r="E10" s="197">
        <v>6.7934999999999995E-2</v>
      </c>
      <c r="F10" s="29"/>
      <c r="G10" s="29"/>
      <c r="H10" s="29"/>
      <c r="I10" s="29"/>
      <c r="J10" s="29"/>
      <c r="K10" s="29"/>
      <c r="L10" s="29"/>
      <c r="M10" s="29"/>
      <c r="N10" s="29"/>
      <c r="O10" s="29"/>
      <c r="P10" s="29"/>
      <c r="Q10" s="29"/>
      <c r="R10" s="29"/>
      <c r="S10" s="29"/>
      <c r="T10" s="25"/>
      <c r="W10" s="173" t="s">
        <v>6</v>
      </c>
      <c r="X10" s="174">
        <v>7.4504000000000001E-2</v>
      </c>
    </row>
    <row r="11" spans="1:24" ht="15" customHeight="1" x14ac:dyDescent="0.25">
      <c r="B11" s="64"/>
      <c r="C11" s="202" t="s">
        <v>28</v>
      </c>
      <c r="D11" s="196" t="s">
        <v>107</v>
      </c>
      <c r="E11" s="197">
        <v>6.4243999999999996E-2</v>
      </c>
      <c r="F11" s="29"/>
      <c r="G11" s="29"/>
      <c r="H11" s="29"/>
      <c r="I11" s="29"/>
      <c r="J11" s="29"/>
      <c r="K11" s="29"/>
      <c r="L11" s="29"/>
      <c r="M11" s="29"/>
      <c r="N11" s="29"/>
      <c r="O11" s="29"/>
      <c r="P11" s="29"/>
      <c r="Q11" s="29"/>
      <c r="R11" s="29"/>
      <c r="S11" s="29"/>
      <c r="T11" s="25"/>
      <c r="W11" s="173" t="s">
        <v>112</v>
      </c>
      <c r="X11" s="174">
        <v>7.1599999999999997E-2</v>
      </c>
    </row>
    <row r="12" spans="1:24" ht="15" customHeight="1" x14ac:dyDescent="0.25">
      <c r="B12" s="64"/>
      <c r="C12" s="202" t="s">
        <v>33</v>
      </c>
      <c r="D12" s="196" t="s">
        <v>107</v>
      </c>
      <c r="E12" s="197">
        <v>5.1166999999999997E-2</v>
      </c>
      <c r="F12" s="29"/>
      <c r="G12" s="29"/>
      <c r="H12" s="29"/>
      <c r="I12" s="29"/>
      <c r="J12" s="29"/>
      <c r="K12" s="29"/>
      <c r="L12" s="29"/>
      <c r="M12" s="29"/>
      <c r="N12" s="29"/>
      <c r="O12" s="29"/>
      <c r="P12" s="29"/>
      <c r="Q12" s="29"/>
      <c r="R12" s="29"/>
      <c r="S12" s="29"/>
      <c r="T12" s="25"/>
      <c r="W12" s="173" t="s">
        <v>111</v>
      </c>
      <c r="X12" s="174">
        <v>6.6497000000000001E-2</v>
      </c>
    </row>
    <row r="13" spans="1:24" ht="15" customHeight="1" x14ac:dyDescent="0.25">
      <c r="B13" s="64"/>
      <c r="C13" s="202" t="s">
        <v>213</v>
      </c>
      <c r="D13" s="196" t="s">
        <v>111</v>
      </c>
      <c r="E13" s="197">
        <v>3.1205E-2</v>
      </c>
      <c r="F13" s="29"/>
      <c r="G13" s="29"/>
      <c r="H13" s="29"/>
      <c r="I13" s="29"/>
      <c r="J13" s="29"/>
      <c r="K13" s="29"/>
      <c r="L13" s="29"/>
      <c r="M13" s="29"/>
      <c r="N13" s="29"/>
      <c r="O13" s="29"/>
      <c r="P13" s="29"/>
      <c r="Q13" s="29"/>
      <c r="R13" s="29"/>
      <c r="S13" s="29"/>
      <c r="T13" s="25"/>
      <c r="W13" s="173" t="s">
        <v>4</v>
      </c>
      <c r="X13" s="174">
        <v>4.7364000000000003E-2</v>
      </c>
    </row>
    <row r="14" spans="1:24" ht="15" customHeight="1" x14ac:dyDescent="0.25">
      <c r="B14" s="64"/>
      <c r="C14" s="202" t="s">
        <v>262</v>
      </c>
      <c r="D14" s="196" t="s">
        <v>83</v>
      </c>
      <c r="E14" s="197">
        <v>3.0464000000000001E-2</v>
      </c>
      <c r="F14" s="29"/>
      <c r="G14" s="29"/>
      <c r="H14" s="29"/>
      <c r="I14" s="29"/>
      <c r="J14" s="29"/>
      <c r="K14" s="29"/>
      <c r="L14" s="29"/>
      <c r="M14" s="29"/>
      <c r="N14" s="29"/>
      <c r="O14" s="29"/>
      <c r="P14" s="29"/>
      <c r="Q14" s="29"/>
      <c r="R14" s="29"/>
      <c r="S14" s="29"/>
      <c r="T14" s="25"/>
      <c r="W14" s="173" t="s">
        <v>117</v>
      </c>
      <c r="X14" s="174">
        <v>4.1554000000000001E-2</v>
      </c>
    </row>
    <row r="15" spans="1:24" ht="15" customHeight="1" x14ac:dyDescent="0.25">
      <c r="B15" s="64"/>
      <c r="C15" s="202" t="s">
        <v>70</v>
      </c>
      <c r="D15" s="196" t="s">
        <v>12</v>
      </c>
      <c r="E15" s="197">
        <v>3.0303E-2</v>
      </c>
      <c r="F15" s="29"/>
      <c r="G15" s="29"/>
      <c r="H15" s="29"/>
      <c r="I15" s="29"/>
      <c r="J15" s="29"/>
      <c r="K15" s="29"/>
      <c r="L15" s="29"/>
      <c r="M15" s="29"/>
      <c r="N15" s="29"/>
      <c r="O15" s="29"/>
      <c r="P15" s="29"/>
      <c r="Q15" s="29"/>
      <c r="R15" s="29"/>
      <c r="S15" s="29"/>
      <c r="T15" s="25"/>
      <c r="W15" s="173" t="s">
        <v>26</v>
      </c>
      <c r="X15" s="174">
        <v>3.5540000000000002E-2</v>
      </c>
    </row>
    <row r="16" spans="1:24" ht="15" customHeight="1" x14ac:dyDescent="0.25">
      <c r="B16" s="64"/>
      <c r="C16" s="202" t="s">
        <v>120</v>
      </c>
      <c r="D16" s="196" t="s">
        <v>112</v>
      </c>
      <c r="E16" s="197">
        <v>2.8826999999999998E-2</v>
      </c>
      <c r="F16" s="29"/>
      <c r="G16" s="29"/>
      <c r="H16" s="29"/>
      <c r="I16" s="29"/>
      <c r="J16" s="29"/>
      <c r="K16" s="29"/>
      <c r="L16" s="29"/>
      <c r="M16" s="29"/>
      <c r="N16" s="29"/>
      <c r="O16" s="29"/>
      <c r="P16" s="29"/>
      <c r="Q16" s="29"/>
      <c r="R16" s="29"/>
      <c r="S16" s="29"/>
      <c r="T16" s="25"/>
      <c r="W16" s="173" t="s">
        <v>83</v>
      </c>
      <c r="X16" s="174">
        <v>3.0464000000000001E-2</v>
      </c>
    </row>
    <row r="17" spans="2:24" ht="15" customHeight="1" x14ac:dyDescent="0.25">
      <c r="B17" s="64"/>
      <c r="C17" s="202" t="s">
        <v>36</v>
      </c>
      <c r="D17" s="196" t="s">
        <v>3</v>
      </c>
      <c r="E17" s="197">
        <v>2.4372000000000001E-2</v>
      </c>
      <c r="F17" s="29"/>
      <c r="G17" s="29"/>
      <c r="H17" s="29"/>
      <c r="I17" s="29"/>
      <c r="J17" s="29"/>
      <c r="K17" s="29"/>
      <c r="L17" s="29"/>
      <c r="M17" s="29"/>
      <c r="N17" s="29"/>
      <c r="O17" s="29"/>
      <c r="P17" s="29"/>
      <c r="Q17" s="29"/>
      <c r="R17" s="29"/>
      <c r="S17" s="29"/>
      <c r="T17" s="25"/>
      <c r="W17" s="173" t="s">
        <v>12</v>
      </c>
      <c r="X17" s="174">
        <v>3.0303E-2</v>
      </c>
    </row>
    <row r="18" spans="2:24" ht="15" customHeight="1" x14ac:dyDescent="0.25">
      <c r="B18" s="64"/>
      <c r="C18" s="202" t="s">
        <v>30</v>
      </c>
      <c r="D18" s="196" t="s">
        <v>117</v>
      </c>
      <c r="E18" s="197">
        <v>2.4177000000000001E-2</v>
      </c>
      <c r="F18" s="29"/>
      <c r="G18" s="29"/>
      <c r="H18" s="29"/>
      <c r="I18" s="29"/>
      <c r="J18" s="29"/>
      <c r="K18" s="29"/>
      <c r="L18" s="29"/>
      <c r="M18" s="29"/>
      <c r="N18" s="29"/>
      <c r="O18" s="29"/>
      <c r="P18" s="29"/>
      <c r="Q18" s="29"/>
      <c r="R18" s="29"/>
      <c r="S18" s="29"/>
      <c r="T18" s="25"/>
      <c r="W18" s="173" t="s">
        <v>121</v>
      </c>
      <c r="X18" s="174">
        <v>2.3537999999999996E-2</v>
      </c>
    </row>
    <row r="19" spans="2:24" ht="15" customHeight="1" x14ac:dyDescent="0.25">
      <c r="B19" s="64"/>
      <c r="C19" s="202" t="s">
        <v>198</v>
      </c>
      <c r="D19" s="196" t="s">
        <v>106</v>
      </c>
      <c r="E19" s="197">
        <v>2.1704999999999999E-2</v>
      </c>
      <c r="F19" s="29"/>
      <c r="G19" s="29"/>
      <c r="H19" s="29"/>
      <c r="I19" s="29"/>
      <c r="J19" s="29"/>
      <c r="K19" s="29"/>
      <c r="L19" s="29"/>
      <c r="M19" s="29"/>
      <c r="N19" s="29"/>
      <c r="O19" s="29"/>
      <c r="P19" s="29"/>
      <c r="Q19" s="29"/>
      <c r="R19" s="29"/>
      <c r="S19" s="29"/>
      <c r="T19" s="25"/>
      <c r="W19" s="173" t="s">
        <v>84</v>
      </c>
      <c r="X19" s="174">
        <v>2.2045000000000002E-2</v>
      </c>
    </row>
    <row r="20" spans="2:24" ht="15" customHeight="1" x14ac:dyDescent="0.25">
      <c r="B20" s="64"/>
      <c r="C20" s="202" t="s">
        <v>302</v>
      </c>
      <c r="D20" s="196" t="s">
        <v>291</v>
      </c>
      <c r="E20" s="197">
        <v>1.8568999999999999E-2</v>
      </c>
      <c r="F20" s="29"/>
      <c r="G20" s="29"/>
      <c r="H20" s="29"/>
      <c r="I20" s="29"/>
      <c r="J20" s="29"/>
      <c r="K20" s="29"/>
      <c r="L20" s="29"/>
      <c r="M20" s="29"/>
      <c r="N20" s="29"/>
      <c r="O20" s="29"/>
      <c r="P20" s="29"/>
      <c r="Q20" s="29"/>
      <c r="R20" s="29"/>
      <c r="S20" s="29"/>
      <c r="T20" s="25"/>
      <c r="W20" s="173" t="s">
        <v>106</v>
      </c>
      <c r="X20" s="174">
        <v>2.1704999999999999E-2</v>
      </c>
    </row>
    <row r="21" spans="2:24" ht="15" customHeight="1" x14ac:dyDescent="0.25">
      <c r="B21" s="64"/>
      <c r="C21" s="202" t="s">
        <v>345</v>
      </c>
      <c r="D21" s="196" t="s">
        <v>87</v>
      </c>
      <c r="E21" s="197">
        <v>1.7545000000000002E-2</v>
      </c>
      <c r="F21" s="29"/>
      <c r="G21" s="29"/>
      <c r="H21" s="29"/>
      <c r="I21" s="29"/>
      <c r="J21" s="29"/>
      <c r="K21" s="29"/>
      <c r="L21" s="29"/>
      <c r="M21" s="29"/>
      <c r="N21" s="29"/>
      <c r="O21" s="29"/>
      <c r="P21" s="29"/>
      <c r="Q21" s="29"/>
      <c r="R21" s="29"/>
      <c r="S21" s="29"/>
      <c r="T21" s="25"/>
      <c r="W21" s="173" t="s">
        <v>11</v>
      </c>
      <c r="X21" s="174">
        <v>1.9084999999999998E-2</v>
      </c>
    </row>
    <row r="22" spans="2:24" ht="15" customHeight="1" x14ac:dyDescent="0.25">
      <c r="B22" s="64"/>
      <c r="C22" s="202" t="s">
        <v>37</v>
      </c>
      <c r="D22" s="196" t="s">
        <v>117</v>
      </c>
      <c r="E22" s="197">
        <v>1.7377E-2</v>
      </c>
      <c r="F22" s="29"/>
      <c r="G22" s="29"/>
      <c r="H22" s="29"/>
      <c r="I22" s="29"/>
      <c r="J22" s="29"/>
      <c r="K22" s="29"/>
      <c r="L22" s="29"/>
      <c r="M22" s="29"/>
      <c r="N22" s="29"/>
      <c r="O22" s="29"/>
      <c r="P22" s="29"/>
      <c r="Q22" s="29"/>
      <c r="R22" s="29"/>
      <c r="S22" s="29"/>
      <c r="T22" s="25"/>
      <c r="W22" s="173" t="s">
        <v>291</v>
      </c>
      <c r="X22" s="174">
        <v>1.8568999999999999E-2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87</v>
      </c>
      <c r="X23" s="174">
        <v>1.7545000000000002E-2</v>
      </c>
    </row>
    <row r="24" spans="2:24" ht="15" customHeight="1" x14ac:dyDescent="0.25">
      <c r="B24" s="64"/>
      <c r="C24" s="73" t="s">
        <v>55</v>
      </c>
      <c r="D24" s="74"/>
      <c r="E24" s="75">
        <f>SUM(E8:E23)</f>
        <v>0.5948119999999999</v>
      </c>
      <c r="F24" s="29"/>
      <c r="G24" s="29"/>
      <c r="H24" s="29"/>
      <c r="I24" s="29"/>
      <c r="J24" s="29"/>
      <c r="K24" s="29"/>
      <c r="L24" s="29"/>
      <c r="M24" s="29"/>
      <c r="N24" s="29"/>
      <c r="O24" s="29"/>
      <c r="P24" s="29"/>
      <c r="Q24" s="29"/>
      <c r="R24" s="29"/>
      <c r="S24" s="29"/>
      <c r="T24" s="25"/>
      <c r="W24" s="173" t="s">
        <v>23</v>
      </c>
      <c r="X24" s="174">
        <v>1.4107E-2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108</v>
      </c>
      <c r="X25" s="174">
        <v>1.3561E-2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115</v>
      </c>
      <c r="X26" s="174">
        <v>9.9520000000000008E-3</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126</v>
      </c>
      <c r="X27" s="174">
        <v>9.3849999999999992E-3</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16</v>
      </c>
      <c r="X28" s="174">
        <v>8.4730000000000014E-3</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124</v>
      </c>
      <c r="X29" s="174">
        <v>8.1290000000000008E-3</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86</v>
      </c>
      <c r="X30" s="174">
        <v>7.7610000000000005E-3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113</v>
      </c>
      <c r="X31" s="174">
        <v>6.4590000000000003E-3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185</v>
      </c>
      <c r="X32" s="174">
        <v>5.7549999999999997E-3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85</v>
      </c>
      <c r="X33" s="174">
        <v>5.1110000000000001E-3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119</v>
      </c>
      <c r="X34" s="174">
        <v>4.6519999999999999E-3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238</v>
      </c>
      <c r="X35" s="174">
        <v>1.758E-3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c r="X36" s="174"/>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8" t="s">
        <v>182</v>
      </c>
      <c r="C49" s="269"/>
      <c r="D49" s="269"/>
      <c r="E49" s="269"/>
      <c r="F49" s="269"/>
      <c r="G49" s="269"/>
      <c r="H49" s="269"/>
      <c r="I49" s="269"/>
      <c r="J49" s="269"/>
      <c r="K49" s="269"/>
      <c r="L49" s="269"/>
      <c r="M49" s="269"/>
      <c r="N49" s="269"/>
      <c r="O49" s="269"/>
      <c r="P49" s="269"/>
      <c r="Q49" s="269"/>
      <c r="R49" s="270"/>
    </row>
    <row r="50" spans="2:18" ht="15" customHeight="1" x14ac:dyDescent="0.25">
      <c r="B50" s="271"/>
      <c r="C50" s="272"/>
      <c r="D50" s="272"/>
      <c r="E50" s="272"/>
      <c r="F50" s="272"/>
      <c r="G50" s="272"/>
      <c r="H50" s="272"/>
      <c r="I50" s="272"/>
      <c r="J50" s="272"/>
      <c r="K50" s="272"/>
      <c r="L50" s="272"/>
      <c r="M50" s="272"/>
      <c r="N50" s="272"/>
      <c r="O50" s="272"/>
      <c r="P50" s="272"/>
      <c r="Q50" s="272"/>
      <c r="R50" s="273"/>
    </row>
    <row r="51" spans="2:18" ht="15" customHeight="1" x14ac:dyDescent="0.25">
      <c r="B51" s="271"/>
      <c r="C51" s="272"/>
      <c r="D51" s="272"/>
      <c r="E51" s="272"/>
      <c r="F51" s="272"/>
      <c r="G51" s="272"/>
      <c r="H51" s="272"/>
      <c r="I51" s="272"/>
      <c r="J51" s="272"/>
      <c r="K51" s="272"/>
      <c r="L51" s="272"/>
      <c r="M51" s="272"/>
      <c r="N51" s="272"/>
      <c r="O51" s="272"/>
      <c r="P51" s="272"/>
      <c r="Q51" s="272"/>
      <c r="R51" s="273"/>
    </row>
    <row r="52" spans="2:18" ht="15" customHeight="1" x14ac:dyDescent="0.25">
      <c r="B52" s="271"/>
      <c r="C52" s="272"/>
      <c r="D52" s="272"/>
      <c r="E52" s="272"/>
      <c r="F52" s="272"/>
      <c r="G52" s="272"/>
      <c r="H52" s="272"/>
      <c r="I52" s="272"/>
      <c r="J52" s="272"/>
      <c r="K52" s="272"/>
      <c r="L52" s="272"/>
      <c r="M52" s="272"/>
      <c r="N52" s="272"/>
      <c r="O52" s="272"/>
      <c r="P52" s="272"/>
      <c r="Q52" s="272"/>
      <c r="R52" s="273"/>
    </row>
    <row r="53" spans="2:18" ht="15" customHeight="1" x14ac:dyDescent="0.25">
      <c r="B53" s="271"/>
      <c r="C53" s="272"/>
      <c r="D53" s="272"/>
      <c r="E53" s="272"/>
      <c r="F53" s="272"/>
      <c r="G53" s="272"/>
      <c r="H53" s="272"/>
      <c r="I53" s="272"/>
      <c r="J53" s="272"/>
      <c r="K53" s="272"/>
      <c r="L53" s="272"/>
      <c r="M53" s="272"/>
      <c r="N53" s="272"/>
      <c r="O53" s="272"/>
      <c r="P53" s="272"/>
      <c r="Q53" s="272"/>
      <c r="R53" s="273"/>
    </row>
    <row r="54" spans="2:18" ht="15" customHeight="1" x14ac:dyDescent="0.25">
      <c r="B54" s="271"/>
      <c r="C54" s="272"/>
      <c r="D54" s="272"/>
      <c r="E54" s="272"/>
      <c r="F54" s="272"/>
      <c r="G54" s="272"/>
      <c r="H54" s="272"/>
      <c r="I54" s="272"/>
      <c r="J54" s="272"/>
      <c r="K54" s="272"/>
      <c r="L54" s="272"/>
      <c r="M54" s="272"/>
      <c r="N54" s="272"/>
      <c r="O54" s="272"/>
      <c r="P54" s="272"/>
      <c r="Q54" s="272"/>
      <c r="R54" s="273"/>
    </row>
    <row r="55" spans="2:18" ht="15" customHeight="1" thickBot="1" x14ac:dyDescent="0.3">
      <c r="B55" s="274"/>
      <c r="C55" s="275"/>
      <c r="D55" s="275"/>
      <c r="E55" s="275"/>
      <c r="F55" s="275"/>
      <c r="G55" s="275"/>
      <c r="H55" s="275"/>
      <c r="I55" s="275"/>
      <c r="J55" s="275"/>
      <c r="K55" s="275"/>
      <c r="L55" s="275"/>
      <c r="M55" s="275"/>
      <c r="N55" s="275"/>
      <c r="O55" s="275"/>
      <c r="P55" s="275"/>
      <c r="Q55" s="275"/>
      <c r="R55" s="276"/>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170</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370</v>
      </c>
      <c r="E5" s="279"/>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29</v>
      </c>
      <c r="D8" s="194" t="s">
        <v>3</v>
      </c>
      <c r="E8" s="195">
        <v>9.0744000000000005E-2</v>
      </c>
      <c r="F8" s="29"/>
      <c r="G8" s="29"/>
      <c r="H8" s="29"/>
      <c r="I8" s="29"/>
      <c r="J8" s="29"/>
      <c r="K8" s="29"/>
      <c r="L8" s="29"/>
      <c r="M8" s="29"/>
      <c r="N8" s="29"/>
      <c r="O8" s="29"/>
      <c r="P8" s="29"/>
      <c r="Q8" s="29"/>
      <c r="R8" s="29"/>
      <c r="S8" s="29"/>
      <c r="T8" s="22"/>
      <c r="W8" s="173" t="s">
        <v>3</v>
      </c>
      <c r="X8" s="174">
        <v>0.17059299999999999</v>
      </c>
    </row>
    <row r="9" spans="1:24" ht="15.75" customHeight="1" x14ac:dyDescent="0.25">
      <c r="B9" s="79"/>
      <c r="C9" s="188" t="s">
        <v>32</v>
      </c>
      <c r="D9" s="196" t="s">
        <v>3</v>
      </c>
      <c r="E9" s="197">
        <v>7.9849000000000003E-2</v>
      </c>
      <c r="F9" s="29"/>
      <c r="G9" s="29"/>
      <c r="H9" s="29"/>
      <c r="I9" s="29"/>
      <c r="J9" s="29"/>
      <c r="K9" s="29"/>
      <c r="L9" s="29"/>
      <c r="M9" s="29"/>
      <c r="N9" s="29"/>
      <c r="O9" s="29"/>
      <c r="P9" s="29"/>
      <c r="Q9" s="29"/>
      <c r="R9" s="29"/>
      <c r="S9" s="29"/>
      <c r="T9" s="22"/>
      <c r="W9" s="173" t="s">
        <v>26</v>
      </c>
      <c r="X9" s="174">
        <v>0.13276499999999999</v>
      </c>
    </row>
    <row r="10" spans="1:24" ht="15" customHeight="1" x14ac:dyDescent="0.25">
      <c r="B10" s="79"/>
      <c r="C10" s="188" t="s">
        <v>138</v>
      </c>
      <c r="D10" s="196" t="s">
        <v>26</v>
      </c>
      <c r="E10" s="197">
        <v>5.7754E-2</v>
      </c>
      <c r="F10" s="29"/>
      <c r="G10" s="29"/>
      <c r="H10" s="29"/>
      <c r="I10" s="29"/>
      <c r="J10" s="29"/>
      <c r="K10" s="29"/>
      <c r="L10" s="29"/>
      <c r="M10" s="29"/>
      <c r="N10" s="29"/>
      <c r="O10" s="29"/>
      <c r="P10" s="29"/>
      <c r="Q10" s="29"/>
      <c r="R10" s="29"/>
      <c r="S10" s="29"/>
      <c r="T10" s="22"/>
      <c r="W10" s="173" t="s">
        <v>107</v>
      </c>
      <c r="X10" s="174">
        <v>0.107462</v>
      </c>
    </row>
    <row r="11" spans="1:24" ht="15" customHeight="1" x14ac:dyDescent="0.25">
      <c r="B11" s="79"/>
      <c r="C11" s="188" t="s">
        <v>199</v>
      </c>
      <c r="D11" s="196" t="s">
        <v>119</v>
      </c>
      <c r="E11" s="197">
        <v>5.5121999999999997E-2</v>
      </c>
      <c r="F11" s="29"/>
      <c r="G11" s="29"/>
      <c r="H11" s="29"/>
      <c r="I11" s="29"/>
      <c r="J11" s="29"/>
      <c r="K11" s="29"/>
      <c r="L11" s="29"/>
      <c r="M11" s="29"/>
      <c r="N11" s="29"/>
      <c r="O11" s="29"/>
      <c r="P11" s="29"/>
      <c r="Q11" s="29"/>
      <c r="R11" s="29"/>
      <c r="S11" s="29"/>
      <c r="T11" s="22"/>
      <c r="W11" s="173" t="s">
        <v>119</v>
      </c>
      <c r="X11" s="174">
        <v>5.5121999999999997E-2</v>
      </c>
    </row>
    <row r="12" spans="1:24" ht="15" customHeight="1" x14ac:dyDescent="0.25">
      <c r="B12" s="79"/>
      <c r="C12" s="188" t="s">
        <v>31</v>
      </c>
      <c r="D12" s="196" t="s">
        <v>6</v>
      </c>
      <c r="E12" s="197">
        <v>4.6686999999999999E-2</v>
      </c>
      <c r="F12" s="29"/>
      <c r="G12" s="29"/>
      <c r="H12" s="29"/>
      <c r="I12" s="29"/>
      <c r="J12" s="29"/>
      <c r="K12" s="29"/>
      <c r="L12" s="29"/>
      <c r="M12" s="29"/>
      <c r="N12" s="29"/>
      <c r="O12" s="29"/>
      <c r="P12" s="29"/>
      <c r="Q12" s="29"/>
      <c r="R12" s="29"/>
      <c r="S12" s="29"/>
      <c r="T12" s="22"/>
      <c r="W12" s="173" t="s">
        <v>112</v>
      </c>
      <c r="X12" s="174">
        <v>5.3749000000000005E-2</v>
      </c>
    </row>
    <row r="13" spans="1:24" ht="15" customHeight="1" x14ac:dyDescent="0.25">
      <c r="B13" s="79"/>
      <c r="C13" s="188" t="s">
        <v>195</v>
      </c>
      <c r="D13" s="196" t="s">
        <v>107</v>
      </c>
      <c r="E13" s="197">
        <v>4.4719000000000002E-2</v>
      </c>
      <c r="F13" s="29"/>
      <c r="G13" s="29"/>
      <c r="H13" s="29"/>
      <c r="I13" s="29"/>
      <c r="J13" s="29"/>
      <c r="K13" s="29"/>
      <c r="L13" s="29"/>
      <c r="M13" s="29"/>
      <c r="N13" s="29"/>
      <c r="O13" s="29"/>
      <c r="P13" s="29"/>
      <c r="Q13" s="29"/>
      <c r="R13" s="29"/>
      <c r="S13" s="29"/>
      <c r="T13" s="22"/>
      <c r="W13" s="173" t="s">
        <v>6</v>
      </c>
      <c r="X13" s="174">
        <v>4.6686999999999999E-2</v>
      </c>
    </row>
    <row r="14" spans="1:24" ht="15" customHeight="1" x14ac:dyDescent="0.25">
      <c r="B14" s="79"/>
      <c r="C14" s="188" t="s">
        <v>187</v>
      </c>
      <c r="D14" s="196" t="s">
        <v>113</v>
      </c>
      <c r="E14" s="197">
        <v>3.9035E-2</v>
      </c>
      <c r="F14" s="29"/>
      <c r="G14" s="29"/>
      <c r="H14" s="29"/>
      <c r="I14" s="29"/>
      <c r="J14" s="29"/>
      <c r="K14" s="29"/>
      <c r="L14" s="29"/>
      <c r="M14" s="29"/>
      <c r="N14" s="29"/>
      <c r="O14" s="29"/>
      <c r="P14" s="29"/>
      <c r="Q14" s="29"/>
      <c r="R14" s="29"/>
      <c r="S14" s="29"/>
      <c r="T14" s="22"/>
      <c r="W14" s="173" t="s">
        <v>113</v>
      </c>
      <c r="X14" s="174">
        <v>3.9035E-2</v>
      </c>
    </row>
    <row r="15" spans="1:24" ht="15" customHeight="1" x14ac:dyDescent="0.25">
      <c r="B15" s="79"/>
      <c r="C15" s="188" t="s">
        <v>105</v>
      </c>
      <c r="D15" s="196" t="s">
        <v>4</v>
      </c>
      <c r="E15" s="197">
        <v>3.8702E-2</v>
      </c>
      <c r="F15" s="29"/>
      <c r="G15" s="29"/>
      <c r="H15" s="29"/>
      <c r="I15" s="29"/>
      <c r="J15" s="29"/>
      <c r="K15" s="29"/>
      <c r="L15" s="29"/>
      <c r="M15" s="29"/>
      <c r="N15" s="29"/>
      <c r="O15" s="29"/>
      <c r="P15" s="29"/>
      <c r="Q15" s="29"/>
      <c r="R15" s="29"/>
      <c r="S15" s="29"/>
      <c r="T15" s="22"/>
      <c r="W15" s="173" t="s">
        <v>4</v>
      </c>
      <c r="X15" s="174">
        <v>3.8702E-2</v>
      </c>
    </row>
    <row r="16" spans="1:24" ht="15" customHeight="1" x14ac:dyDescent="0.25">
      <c r="B16" s="79"/>
      <c r="C16" s="188" t="s">
        <v>303</v>
      </c>
      <c r="D16" s="196" t="s">
        <v>85</v>
      </c>
      <c r="E16" s="197">
        <v>3.7588000000000003E-2</v>
      </c>
      <c r="F16" s="29"/>
      <c r="G16" s="29"/>
      <c r="H16" s="29"/>
      <c r="I16" s="29"/>
      <c r="J16" s="29"/>
      <c r="K16" s="29"/>
      <c r="L16" s="29"/>
      <c r="M16" s="29"/>
      <c r="N16" s="29"/>
      <c r="O16" s="29"/>
      <c r="P16" s="29"/>
      <c r="Q16" s="29"/>
      <c r="R16" s="29"/>
      <c r="S16" s="29"/>
      <c r="T16" s="22"/>
      <c r="W16" s="173" t="s">
        <v>85</v>
      </c>
      <c r="X16" s="174">
        <v>3.7588000000000003E-2</v>
      </c>
    </row>
    <row r="17" spans="2:24" ht="15" customHeight="1" x14ac:dyDescent="0.25">
      <c r="B17" s="79"/>
      <c r="C17" s="188" t="s">
        <v>28</v>
      </c>
      <c r="D17" s="196" t="s">
        <v>107</v>
      </c>
      <c r="E17" s="197">
        <v>3.6269000000000003E-2</v>
      </c>
      <c r="F17" s="29"/>
      <c r="G17" s="29"/>
      <c r="H17" s="29"/>
      <c r="I17" s="29"/>
      <c r="J17" s="29"/>
      <c r="K17" s="29"/>
      <c r="L17" s="29"/>
      <c r="M17" s="29"/>
      <c r="N17" s="29"/>
      <c r="O17" s="29"/>
      <c r="P17" s="29"/>
      <c r="Q17" s="29"/>
      <c r="R17" s="29"/>
      <c r="S17" s="29"/>
      <c r="T17" s="22"/>
      <c r="W17" s="173" t="s">
        <v>291</v>
      </c>
      <c r="X17" s="174">
        <v>3.6110000000000003E-2</v>
      </c>
    </row>
    <row r="18" spans="2:24" ht="15" customHeight="1" x14ac:dyDescent="0.25">
      <c r="B18" s="79"/>
      <c r="C18" s="188" t="s">
        <v>302</v>
      </c>
      <c r="D18" s="196" t="s">
        <v>291</v>
      </c>
      <c r="E18" s="197">
        <v>3.6110000000000003E-2</v>
      </c>
      <c r="F18" s="29"/>
      <c r="G18" s="29"/>
      <c r="H18" s="29"/>
      <c r="I18" s="29"/>
      <c r="J18" s="29"/>
      <c r="K18" s="29"/>
      <c r="L18" s="29"/>
      <c r="M18" s="29"/>
      <c r="N18" s="29"/>
      <c r="O18" s="29"/>
      <c r="P18" s="29"/>
      <c r="Q18" s="29"/>
      <c r="R18" s="29"/>
      <c r="S18" s="29"/>
      <c r="T18" s="22"/>
      <c r="W18" s="173" t="s">
        <v>111</v>
      </c>
      <c r="X18" s="174">
        <v>3.4941E-2</v>
      </c>
    </row>
    <row r="19" spans="2:24" ht="15" customHeight="1" x14ac:dyDescent="0.25">
      <c r="B19" s="79"/>
      <c r="C19" s="188" t="s">
        <v>213</v>
      </c>
      <c r="D19" s="196" t="s">
        <v>111</v>
      </c>
      <c r="E19" s="197">
        <v>3.4941E-2</v>
      </c>
      <c r="F19" s="29"/>
      <c r="G19" s="29"/>
      <c r="H19" s="29"/>
      <c r="I19" s="29"/>
      <c r="J19" s="29"/>
      <c r="K19" s="29"/>
      <c r="L19" s="29"/>
      <c r="M19" s="29"/>
      <c r="N19" s="29"/>
      <c r="O19" s="29"/>
      <c r="P19" s="29"/>
      <c r="Q19" s="29"/>
      <c r="R19" s="29"/>
      <c r="S19" s="29"/>
      <c r="T19" s="22"/>
      <c r="W19" s="173" t="s">
        <v>16</v>
      </c>
      <c r="X19" s="174">
        <v>3.3777000000000001E-2</v>
      </c>
    </row>
    <row r="20" spans="2:24" ht="15" customHeight="1" x14ac:dyDescent="0.25">
      <c r="B20" s="79"/>
      <c r="C20" s="188" t="s">
        <v>243</v>
      </c>
      <c r="D20" s="196" t="s">
        <v>16</v>
      </c>
      <c r="E20" s="197">
        <v>3.3777000000000001E-2</v>
      </c>
      <c r="F20" s="29"/>
      <c r="G20" s="29"/>
      <c r="H20" s="29"/>
      <c r="I20" s="29"/>
      <c r="J20" s="29"/>
      <c r="K20" s="29"/>
      <c r="L20" s="29"/>
      <c r="M20" s="29"/>
      <c r="N20" s="29"/>
      <c r="O20" s="29"/>
      <c r="P20" s="29"/>
      <c r="Q20" s="29"/>
      <c r="R20" s="29"/>
      <c r="S20" s="29"/>
      <c r="T20" s="22"/>
      <c r="W20" s="173" t="s">
        <v>185</v>
      </c>
      <c r="X20" s="174">
        <v>3.1667000000000001E-2</v>
      </c>
    </row>
    <row r="21" spans="2:24" ht="15" customHeight="1" x14ac:dyDescent="0.25">
      <c r="B21" s="79"/>
      <c r="C21" s="188" t="s">
        <v>228</v>
      </c>
      <c r="D21" s="196" t="s">
        <v>185</v>
      </c>
      <c r="E21" s="197">
        <v>3.1667000000000001E-2</v>
      </c>
      <c r="F21" s="29"/>
      <c r="G21" s="29"/>
      <c r="H21" s="29"/>
      <c r="I21" s="29"/>
      <c r="J21" s="29"/>
      <c r="K21" s="29"/>
      <c r="L21" s="29"/>
      <c r="M21" s="29"/>
      <c r="N21" s="29"/>
      <c r="O21" s="29"/>
      <c r="P21" s="29"/>
      <c r="Q21" s="29"/>
      <c r="R21" s="29"/>
      <c r="S21" s="29"/>
      <c r="T21" s="22"/>
      <c r="W21" s="173" t="s">
        <v>238</v>
      </c>
      <c r="X21" s="174">
        <v>3.0696999999999999E-2</v>
      </c>
    </row>
    <row r="22" spans="2:24" ht="15" customHeight="1" x14ac:dyDescent="0.25">
      <c r="B22" s="79"/>
      <c r="C22" s="188" t="s">
        <v>346</v>
      </c>
      <c r="D22" s="196" t="s">
        <v>238</v>
      </c>
      <c r="E22" s="197">
        <v>3.0696999999999999E-2</v>
      </c>
      <c r="F22" s="29"/>
      <c r="G22" s="29"/>
      <c r="H22" s="29"/>
      <c r="I22" s="29"/>
      <c r="J22" s="29"/>
      <c r="K22" s="29"/>
      <c r="L22" s="29"/>
      <c r="M22" s="29"/>
      <c r="N22" s="29"/>
      <c r="O22" s="29"/>
      <c r="P22" s="29"/>
      <c r="Q22" s="29"/>
      <c r="R22" s="29"/>
      <c r="S22" s="29"/>
      <c r="T22" s="22"/>
      <c r="W22" s="173" t="s">
        <v>137</v>
      </c>
      <c r="X22" s="174">
        <v>2.6696999999999999E-2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87</v>
      </c>
      <c r="X23" s="174">
        <v>2.5614999999999999E-2</v>
      </c>
    </row>
    <row r="24" spans="2:24" ht="15" customHeight="1" x14ac:dyDescent="0.25">
      <c r="B24" s="79"/>
      <c r="C24" s="73" t="s">
        <v>55</v>
      </c>
      <c r="D24" s="74"/>
      <c r="E24" s="75">
        <f>SUM(E8:E22)</f>
        <v>0.69366099999999997</v>
      </c>
      <c r="F24" s="29"/>
      <c r="G24" s="29"/>
      <c r="H24" s="29"/>
      <c r="I24" s="29"/>
      <c r="J24" s="29"/>
      <c r="K24" s="29"/>
      <c r="L24" s="29"/>
      <c r="M24" s="29"/>
      <c r="N24" s="29"/>
      <c r="O24" s="29"/>
      <c r="P24" s="29"/>
      <c r="Q24" s="29"/>
      <c r="R24" s="29"/>
      <c r="S24" s="29"/>
      <c r="T24" s="22"/>
      <c r="W24" s="173" t="s">
        <v>77</v>
      </c>
      <c r="X24" s="174">
        <v>2.5183000000000001E-2</v>
      </c>
    </row>
    <row r="25" spans="2:24" ht="15" customHeight="1" x14ac:dyDescent="0.25">
      <c r="B25" s="79"/>
      <c r="F25" s="29"/>
      <c r="G25" s="29"/>
      <c r="H25" s="29"/>
      <c r="I25" s="29"/>
      <c r="J25" s="29"/>
      <c r="K25" s="29"/>
      <c r="L25" s="29"/>
      <c r="M25" s="29"/>
      <c r="N25" s="29"/>
      <c r="O25" s="29"/>
      <c r="P25" s="29"/>
      <c r="Q25" s="29"/>
      <c r="R25" s="29"/>
      <c r="S25" s="29"/>
      <c r="T25" s="22"/>
      <c r="W25" s="173" t="s">
        <v>108</v>
      </c>
      <c r="X25" s="174">
        <v>2.4882999999999999E-2</v>
      </c>
    </row>
    <row r="26" spans="2:24" ht="15" customHeight="1" x14ac:dyDescent="0.25">
      <c r="B26" s="79"/>
      <c r="F26" s="29"/>
      <c r="G26" s="29"/>
      <c r="H26" s="29"/>
      <c r="I26" s="29"/>
      <c r="J26" s="29"/>
      <c r="K26" s="29"/>
      <c r="L26" s="29"/>
      <c r="M26" s="29"/>
      <c r="N26" s="29"/>
      <c r="O26" s="29"/>
      <c r="P26" s="29"/>
      <c r="Q26" s="29"/>
      <c r="R26" s="29"/>
      <c r="S26" s="29"/>
      <c r="T26" s="22"/>
      <c r="W26" s="173" t="s">
        <v>84</v>
      </c>
      <c r="X26" s="174">
        <v>2.0138E-2</v>
      </c>
    </row>
    <row r="27" spans="2:24" ht="15" customHeight="1" x14ac:dyDescent="0.25">
      <c r="B27" s="79"/>
      <c r="F27" s="29"/>
      <c r="G27" s="29"/>
      <c r="H27" s="29"/>
      <c r="I27" s="29"/>
      <c r="J27" s="29"/>
      <c r="K27" s="29"/>
      <c r="L27" s="29"/>
      <c r="M27" s="29"/>
      <c r="N27" s="29"/>
      <c r="O27" s="29"/>
      <c r="P27" s="29"/>
      <c r="Q27" s="29"/>
      <c r="R27" s="29"/>
      <c r="S27" s="29"/>
      <c r="T27" s="22"/>
      <c r="W27" s="173" t="s">
        <v>106</v>
      </c>
      <c r="X27" s="174">
        <v>1.9524E-2</v>
      </c>
    </row>
    <row r="28" spans="2:24" ht="15" customHeight="1" x14ac:dyDescent="0.25">
      <c r="B28" s="79"/>
      <c r="F28" s="29"/>
      <c r="G28" s="29"/>
      <c r="H28" s="29"/>
      <c r="I28" s="29"/>
      <c r="J28" s="29"/>
      <c r="K28" s="29"/>
      <c r="L28" s="29"/>
      <c r="M28" s="29"/>
      <c r="N28" s="29"/>
      <c r="O28" s="29"/>
      <c r="P28" s="29"/>
      <c r="Q28" s="29"/>
      <c r="R28" s="29"/>
      <c r="S28" s="29"/>
      <c r="T28" s="22"/>
      <c r="W28" s="173"/>
      <c r="X28" s="174"/>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68" t="s">
        <v>182</v>
      </c>
      <c r="C38" s="269"/>
      <c r="D38" s="269"/>
      <c r="E38" s="269"/>
      <c r="F38" s="269"/>
      <c r="G38" s="269"/>
      <c r="H38" s="269"/>
      <c r="I38" s="269"/>
      <c r="J38" s="269"/>
      <c r="K38" s="269"/>
      <c r="L38" s="269"/>
      <c r="M38" s="269"/>
      <c r="N38" s="269"/>
      <c r="O38" s="269"/>
      <c r="P38" s="269"/>
      <c r="Q38" s="269"/>
      <c r="R38" s="270"/>
    </row>
    <row r="39" spans="2:20" ht="15" customHeight="1" x14ac:dyDescent="0.25">
      <c r="B39" s="271"/>
      <c r="C39" s="272"/>
      <c r="D39" s="272"/>
      <c r="E39" s="272"/>
      <c r="F39" s="272"/>
      <c r="G39" s="272"/>
      <c r="H39" s="272"/>
      <c r="I39" s="272"/>
      <c r="J39" s="272"/>
      <c r="K39" s="272"/>
      <c r="L39" s="272"/>
      <c r="M39" s="272"/>
      <c r="N39" s="272"/>
      <c r="O39" s="272"/>
      <c r="P39" s="272"/>
      <c r="Q39" s="272"/>
      <c r="R39" s="273"/>
    </row>
    <row r="40" spans="2:20" ht="15" customHeight="1" x14ac:dyDescent="0.25">
      <c r="B40" s="271"/>
      <c r="C40" s="272"/>
      <c r="D40" s="272"/>
      <c r="E40" s="272"/>
      <c r="F40" s="272"/>
      <c r="G40" s="272"/>
      <c r="H40" s="272"/>
      <c r="I40" s="272"/>
      <c r="J40" s="272"/>
      <c r="K40" s="272"/>
      <c r="L40" s="272"/>
      <c r="M40" s="272"/>
      <c r="N40" s="272"/>
      <c r="O40" s="272"/>
      <c r="P40" s="272"/>
      <c r="Q40" s="272"/>
      <c r="R40" s="273"/>
    </row>
    <row r="41" spans="2:20" ht="15" customHeight="1" x14ac:dyDescent="0.25">
      <c r="B41" s="271"/>
      <c r="C41" s="272"/>
      <c r="D41" s="272"/>
      <c r="E41" s="272"/>
      <c r="F41" s="272"/>
      <c r="G41" s="272"/>
      <c r="H41" s="272"/>
      <c r="I41" s="272"/>
      <c r="J41" s="272"/>
      <c r="K41" s="272"/>
      <c r="L41" s="272"/>
      <c r="M41" s="272"/>
      <c r="N41" s="272"/>
      <c r="O41" s="272"/>
      <c r="P41" s="272"/>
      <c r="Q41" s="272"/>
      <c r="R41" s="273"/>
    </row>
    <row r="42" spans="2:20" ht="15" customHeight="1" x14ac:dyDescent="0.25">
      <c r="B42" s="271"/>
      <c r="C42" s="272"/>
      <c r="D42" s="272"/>
      <c r="E42" s="272"/>
      <c r="F42" s="272"/>
      <c r="G42" s="272"/>
      <c r="H42" s="272"/>
      <c r="I42" s="272"/>
      <c r="J42" s="272"/>
      <c r="K42" s="272"/>
      <c r="L42" s="272"/>
      <c r="M42" s="272"/>
      <c r="N42" s="272"/>
      <c r="O42" s="272"/>
      <c r="P42" s="272"/>
      <c r="Q42" s="272"/>
      <c r="R42" s="273"/>
    </row>
    <row r="43" spans="2:20" ht="15" customHeight="1" x14ac:dyDescent="0.25">
      <c r="B43" s="271"/>
      <c r="C43" s="272"/>
      <c r="D43" s="272"/>
      <c r="E43" s="272"/>
      <c r="F43" s="272"/>
      <c r="G43" s="272"/>
      <c r="H43" s="272"/>
      <c r="I43" s="272"/>
      <c r="J43" s="272"/>
      <c r="K43" s="272"/>
      <c r="L43" s="272"/>
      <c r="M43" s="272"/>
      <c r="N43" s="272"/>
      <c r="O43" s="272"/>
      <c r="P43" s="272"/>
      <c r="Q43" s="272"/>
      <c r="R43" s="273"/>
    </row>
    <row r="44" spans="2:20" ht="15" customHeight="1" thickBot="1" x14ac:dyDescent="0.3">
      <c r="B44" s="274"/>
      <c r="C44" s="275"/>
      <c r="D44" s="275"/>
      <c r="E44" s="275"/>
      <c r="F44" s="275"/>
      <c r="G44" s="275"/>
      <c r="H44" s="275"/>
      <c r="I44" s="275"/>
      <c r="J44" s="275"/>
      <c r="K44" s="275"/>
      <c r="L44" s="275"/>
      <c r="M44" s="275"/>
      <c r="N44" s="275"/>
      <c r="O44" s="275"/>
      <c r="P44" s="275"/>
      <c r="Q44" s="275"/>
      <c r="R44" s="276"/>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277" t="s">
        <v>169</v>
      </c>
      <c r="D3" s="278"/>
      <c r="E3" s="278"/>
      <c r="F3" s="278"/>
      <c r="G3" s="278"/>
      <c r="H3" s="278"/>
      <c r="I3" s="278"/>
      <c r="J3" s="278"/>
      <c r="K3" s="278"/>
      <c r="L3" s="278"/>
      <c r="M3" s="278"/>
      <c r="N3" s="278"/>
      <c r="O3" s="278"/>
      <c r="P3" s="278"/>
      <c r="Q3" s="278"/>
      <c r="R3" s="278"/>
      <c r="S3" s="278"/>
      <c r="T3" s="22"/>
    </row>
    <row r="4" spans="1:37" ht="15.75" customHeight="1" x14ac:dyDescent="0.25">
      <c r="B4" s="79"/>
      <c r="C4" s="67" t="s">
        <v>405</v>
      </c>
      <c r="D4" s="29"/>
      <c r="E4" s="29"/>
      <c r="F4" s="29"/>
      <c r="G4" s="29"/>
      <c r="H4" s="29"/>
      <c r="I4" s="29"/>
      <c r="J4" s="29"/>
      <c r="K4" s="29"/>
      <c r="L4" s="29"/>
      <c r="M4" s="29"/>
      <c r="N4" s="29"/>
      <c r="O4" s="29"/>
      <c r="P4" s="29"/>
      <c r="Q4" s="29"/>
      <c r="R4" s="29"/>
      <c r="S4" s="29"/>
      <c r="T4" s="22"/>
    </row>
    <row r="5" spans="1:37" ht="18" customHeight="1" x14ac:dyDescent="0.25">
      <c r="B5" s="79"/>
      <c r="C5" s="221" t="s">
        <v>406</v>
      </c>
      <c r="D5" s="280" t="s">
        <v>371</v>
      </c>
      <c r="E5" s="281"/>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3" t="s">
        <v>29</v>
      </c>
      <c r="D8" s="194" t="s">
        <v>3</v>
      </c>
      <c r="E8" s="195">
        <v>5.7074E-2</v>
      </c>
      <c r="F8" s="29"/>
      <c r="G8" s="29"/>
      <c r="H8" s="29"/>
      <c r="I8" s="29"/>
      <c r="J8" s="29"/>
      <c r="K8" s="29"/>
      <c r="L8" s="29"/>
      <c r="M8" s="29"/>
      <c r="N8" s="29"/>
      <c r="O8" s="29"/>
      <c r="P8" s="29"/>
      <c r="Q8" s="29"/>
      <c r="R8" s="29"/>
      <c r="S8" s="29"/>
      <c r="T8" s="22"/>
      <c r="W8" s="180" t="s">
        <v>3</v>
      </c>
      <c r="X8" s="239">
        <v>0.17873299999999998</v>
      </c>
    </row>
    <row r="9" spans="1:37" ht="15.75" customHeight="1" x14ac:dyDescent="0.25">
      <c r="B9" s="79"/>
      <c r="C9" s="188" t="s">
        <v>31</v>
      </c>
      <c r="D9" s="196" t="s">
        <v>6</v>
      </c>
      <c r="E9" s="197">
        <v>4.6455999999999997E-2</v>
      </c>
      <c r="F9" s="29"/>
      <c r="G9" s="29"/>
      <c r="H9" s="29"/>
      <c r="I9" s="29"/>
      <c r="J9" s="29"/>
      <c r="K9" s="29"/>
      <c r="L9" s="29"/>
      <c r="M9" s="29"/>
      <c r="N9" s="29"/>
      <c r="O9" s="29"/>
      <c r="P9" s="29"/>
      <c r="Q9" s="29"/>
      <c r="R9" s="29"/>
      <c r="S9" s="29"/>
      <c r="T9" s="22"/>
      <c r="W9" s="180" t="s">
        <v>107</v>
      </c>
      <c r="X9" s="239">
        <v>7.7701000000000006E-2</v>
      </c>
    </row>
    <row r="10" spans="1:37" ht="15" customHeight="1" x14ac:dyDescent="0.25">
      <c r="B10" s="79"/>
      <c r="C10" s="188" t="s">
        <v>36</v>
      </c>
      <c r="D10" s="196" t="s">
        <v>3</v>
      </c>
      <c r="E10" s="197">
        <v>4.1595E-2</v>
      </c>
      <c r="F10" s="29"/>
      <c r="G10" s="29"/>
      <c r="H10" s="29"/>
      <c r="I10" s="29"/>
      <c r="J10" s="29"/>
      <c r="K10" s="29"/>
      <c r="L10" s="29"/>
      <c r="M10" s="29"/>
      <c r="N10" s="29"/>
      <c r="O10" s="29"/>
      <c r="P10" s="29"/>
      <c r="Q10" s="29"/>
      <c r="R10" s="29"/>
      <c r="S10" s="29"/>
      <c r="T10" s="22"/>
      <c r="W10" s="180" t="s">
        <v>111</v>
      </c>
      <c r="X10" s="239">
        <v>7.3509999999999992E-2</v>
      </c>
    </row>
    <row r="11" spans="1:37" ht="15" customHeight="1" x14ac:dyDescent="0.25">
      <c r="B11" s="79"/>
      <c r="C11" s="188" t="s">
        <v>32</v>
      </c>
      <c r="D11" s="196" t="s">
        <v>3</v>
      </c>
      <c r="E11" s="197">
        <v>3.8628999999999997E-2</v>
      </c>
      <c r="F11" s="29"/>
      <c r="G11" s="29"/>
      <c r="H11" s="29"/>
      <c r="I11" s="29"/>
      <c r="J11" s="29"/>
      <c r="K11" s="29"/>
      <c r="L11" s="29"/>
      <c r="M11" s="29"/>
      <c r="N11" s="29"/>
      <c r="O11" s="29"/>
      <c r="P11" s="29"/>
      <c r="Q11" s="29"/>
      <c r="R11" s="29"/>
      <c r="S11" s="29"/>
      <c r="T11" s="22"/>
      <c r="W11" s="180" t="s">
        <v>23</v>
      </c>
      <c r="X11" s="239">
        <v>5.0320999999999998E-2</v>
      </c>
    </row>
    <row r="12" spans="1:37" ht="15" customHeight="1" x14ac:dyDescent="0.25">
      <c r="B12" s="79"/>
      <c r="C12" s="188" t="s">
        <v>75</v>
      </c>
      <c r="D12" s="196" t="s">
        <v>11</v>
      </c>
      <c r="E12" s="197">
        <v>2.2929999999999999E-2</v>
      </c>
      <c r="F12" s="29"/>
      <c r="G12" s="29"/>
      <c r="H12" s="29"/>
      <c r="I12" s="29"/>
      <c r="J12" s="29"/>
      <c r="K12" s="29"/>
      <c r="L12" s="29"/>
      <c r="M12" s="29"/>
      <c r="N12" s="29"/>
      <c r="O12" s="29"/>
      <c r="P12" s="29"/>
      <c r="Q12" s="29"/>
      <c r="R12" s="29"/>
      <c r="S12" s="29"/>
      <c r="T12" s="22"/>
      <c r="W12" s="180" t="s">
        <v>6</v>
      </c>
      <c r="X12" s="239">
        <v>4.6455999999999997E-2</v>
      </c>
    </row>
    <row r="13" spans="1:37" ht="15.75" customHeight="1" x14ac:dyDescent="0.25">
      <c r="B13" s="79"/>
      <c r="C13" s="188" t="s">
        <v>62</v>
      </c>
      <c r="D13" s="196" t="s">
        <v>10</v>
      </c>
      <c r="E13" s="197">
        <v>2.2367999999999999E-2</v>
      </c>
      <c r="F13" s="29"/>
      <c r="G13" s="29"/>
      <c r="H13" s="29"/>
      <c r="I13" s="29"/>
      <c r="J13" s="29"/>
      <c r="K13" s="29"/>
      <c r="L13" s="29"/>
      <c r="M13" s="29"/>
      <c r="N13" s="29"/>
      <c r="O13" s="29"/>
      <c r="P13" s="29"/>
      <c r="Q13" s="29"/>
      <c r="R13" s="29"/>
      <c r="S13" s="29"/>
      <c r="T13" s="22"/>
      <c r="W13" s="180" t="s">
        <v>86</v>
      </c>
      <c r="X13" s="239">
        <v>4.1492000000000001E-2</v>
      </c>
    </row>
    <row r="14" spans="1:37" ht="15" customHeight="1" x14ac:dyDescent="0.25">
      <c r="B14" s="79"/>
      <c r="C14" s="188" t="s">
        <v>28</v>
      </c>
      <c r="D14" s="196" t="s">
        <v>107</v>
      </c>
      <c r="E14" s="197">
        <v>2.2325000000000001E-2</v>
      </c>
      <c r="F14" s="29"/>
      <c r="G14" s="29"/>
      <c r="H14" s="29"/>
      <c r="I14" s="29"/>
      <c r="J14" s="29"/>
      <c r="K14" s="29"/>
      <c r="L14" s="29"/>
      <c r="M14" s="29"/>
      <c r="N14" s="29"/>
      <c r="O14" s="29"/>
      <c r="P14" s="29"/>
      <c r="Q14" s="29"/>
      <c r="R14" s="29"/>
      <c r="S14" s="29"/>
      <c r="T14" s="22"/>
      <c r="W14" s="180" t="s">
        <v>112</v>
      </c>
      <c r="X14" s="239">
        <v>4.0177999999999998E-2</v>
      </c>
    </row>
    <row r="15" spans="1:37" ht="15" customHeight="1" x14ac:dyDescent="0.25">
      <c r="B15" s="79"/>
      <c r="C15" s="188" t="s">
        <v>30</v>
      </c>
      <c r="D15" s="196" t="s">
        <v>117</v>
      </c>
      <c r="E15" s="197">
        <v>2.1918E-2</v>
      </c>
      <c r="F15" s="29"/>
      <c r="G15" s="29"/>
      <c r="H15" s="29"/>
      <c r="I15" s="29"/>
      <c r="J15" s="29"/>
      <c r="K15" s="29"/>
      <c r="L15" s="29"/>
      <c r="M15" s="29"/>
      <c r="N15" s="29"/>
      <c r="O15" s="29"/>
      <c r="P15" s="29"/>
      <c r="Q15" s="29"/>
      <c r="R15" s="29"/>
      <c r="S15" s="29"/>
      <c r="T15" s="22"/>
      <c r="W15" s="180" t="s">
        <v>10</v>
      </c>
      <c r="X15" s="239">
        <v>3.7277999999999999E-2</v>
      </c>
    </row>
    <row r="16" spans="1:37" ht="15" customHeight="1" x14ac:dyDescent="0.25">
      <c r="B16" s="79"/>
      <c r="C16" s="188" t="s">
        <v>98</v>
      </c>
      <c r="D16" s="196" t="s">
        <v>119</v>
      </c>
      <c r="E16" s="197">
        <v>2.1759000000000001E-2</v>
      </c>
      <c r="F16" s="29"/>
      <c r="G16" s="29"/>
      <c r="H16" s="29"/>
      <c r="I16" s="29"/>
      <c r="J16" s="29"/>
      <c r="K16" s="29"/>
      <c r="L16" s="29"/>
      <c r="M16" s="29"/>
      <c r="N16" s="29"/>
      <c r="O16" s="29"/>
      <c r="P16" s="29"/>
      <c r="Q16" s="29"/>
      <c r="R16" s="29"/>
      <c r="S16" s="29"/>
      <c r="T16" s="22"/>
      <c r="W16" s="180" t="s">
        <v>4</v>
      </c>
      <c r="X16" s="239">
        <v>3.5548999999999997E-2</v>
      </c>
    </row>
    <row r="17" spans="2:24" ht="15" customHeight="1" x14ac:dyDescent="0.25">
      <c r="B17" s="79"/>
      <c r="C17" s="188" t="s">
        <v>33</v>
      </c>
      <c r="D17" s="196" t="s">
        <v>107</v>
      </c>
      <c r="E17" s="197">
        <v>2.1749000000000001E-2</v>
      </c>
      <c r="F17" s="29"/>
      <c r="G17" s="29"/>
      <c r="H17" s="29"/>
      <c r="I17" s="29"/>
      <c r="J17" s="29"/>
      <c r="K17" s="29"/>
      <c r="L17" s="29"/>
      <c r="M17" s="29"/>
      <c r="N17" s="29"/>
      <c r="O17" s="29"/>
      <c r="P17" s="29"/>
      <c r="Q17" s="29"/>
      <c r="R17" s="29"/>
      <c r="S17" s="29"/>
      <c r="T17" s="22"/>
      <c r="W17" s="180" t="s">
        <v>11</v>
      </c>
      <c r="X17" s="239">
        <v>3.0883000000000001E-2</v>
      </c>
    </row>
    <row r="18" spans="2:24" ht="15" customHeight="1" x14ac:dyDescent="0.25">
      <c r="B18" s="79"/>
      <c r="C18" s="188" t="s">
        <v>144</v>
      </c>
      <c r="D18" s="196" t="s">
        <v>112</v>
      </c>
      <c r="E18" s="197">
        <v>2.1129999999999999E-2</v>
      </c>
      <c r="F18" s="29"/>
      <c r="G18" s="29"/>
      <c r="H18" s="29"/>
      <c r="I18" s="29"/>
      <c r="J18" s="29"/>
      <c r="K18" s="29"/>
      <c r="L18" s="29"/>
      <c r="M18" s="29"/>
      <c r="N18" s="29"/>
      <c r="O18" s="29"/>
      <c r="P18" s="29"/>
      <c r="Q18" s="29"/>
      <c r="R18" s="29"/>
      <c r="S18" s="29"/>
      <c r="T18" s="22"/>
      <c r="W18" s="180" t="s">
        <v>110</v>
      </c>
      <c r="X18" s="239">
        <v>2.9907999999999997E-2</v>
      </c>
    </row>
    <row r="19" spans="2:24" ht="15" customHeight="1" x14ac:dyDescent="0.25">
      <c r="B19" s="79"/>
      <c r="C19" s="188" t="s">
        <v>109</v>
      </c>
      <c r="D19" s="196" t="s">
        <v>110</v>
      </c>
      <c r="E19" s="197">
        <v>2.0122999999999999E-2</v>
      </c>
      <c r="F19" s="29"/>
      <c r="G19" s="29"/>
      <c r="H19" s="29"/>
      <c r="I19" s="29"/>
      <c r="J19" s="29"/>
      <c r="K19" s="29"/>
      <c r="L19" s="29"/>
      <c r="M19" s="29"/>
      <c r="N19" s="29"/>
      <c r="O19" s="29"/>
      <c r="P19" s="29"/>
      <c r="Q19" s="29"/>
      <c r="R19" s="29"/>
      <c r="S19" s="29"/>
      <c r="T19" s="22"/>
      <c r="W19" s="180" t="s">
        <v>106</v>
      </c>
      <c r="X19" s="239">
        <v>2.6032E-2</v>
      </c>
    </row>
    <row r="20" spans="2:24" ht="15" customHeight="1" x14ac:dyDescent="0.25">
      <c r="B20" s="79"/>
      <c r="C20" s="188" t="s">
        <v>245</v>
      </c>
      <c r="D20" s="196" t="s">
        <v>26</v>
      </c>
      <c r="E20" s="197">
        <v>1.9734000000000002E-2</v>
      </c>
      <c r="F20" s="29"/>
      <c r="G20" s="29"/>
      <c r="H20" s="29"/>
      <c r="I20" s="29"/>
      <c r="J20" s="29"/>
      <c r="K20" s="29"/>
      <c r="L20" s="29"/>
      <c r="M20" s="29"/>
      <c r="N20" s="29"/>
      <c r="O20" s="29"/>
      <c r="P20" s="29"/>
      <c r="Q20" s="29"/>
      <c r="R20" s="29"/>
      <c r="S20" s="29"/>
      <c r="T20" s="22"/>
      <c r="W20" s="180" t="s">
        <v>16</v>
      </c>
      <c r="X20" s="239">
        <v>2.1921E-2</v>
      </c>
    </row>
    <row r="21" spans="2:24" ht="15" customHeight="1" x14ac:dyDescent="0.25">
      <c r="B21" s="79"/>
      <c r="C21" s="188" t="s">
        <v>104</v>
      </c>
      <c r="D21" s="196" t="s">
        <v>111</v>
      </c>
      <c r="E21" s="197">
        <v>1.8554999999999999E-2</v>
      </c>
      <c r="F21" s="29"/>
      <c r="G21" s="29"/>
      <c r="H21" s="29"/>
      <c r="I21" s="29"/>
      <c r="J21" s="29"/>
      <c r="K21" s="29"/>
      <c r="L21" s="29"/>
      <c r="M21" s="29"/>
      <c r="N21" s="29"/>
      <c r="O21" s="29"/>
      <c r="P21" s="29"/>
      <c r="Q21" s="29"/>
      <c r="R21" s="29"/>
      <c r="S21" s="29"/>
      <c r="T21" s="22"/>
      <c r="W21" s="180" t="s">
        <v>117</v>
      </c>
      <c r="X21" s="239">
        <v>2.1918E-2</v>
      </c>
    </row>
    <row r="22" spans="2:24" ht="15" customHeight="1" x14ac:dyDescent="0.25">
      <c r="B22" s="79"/>
      <c r="C22" s="188" t="s">
        <v>239</v>
      </c>
      <c r="D22" s="196" t="s">
        <v>86</v>
      </c>
      <c r="E22" s="197">
        <v>1.8341E-2</v>
      </c>
      <c r="F22" s="29"/>
      <c r="G22" s="29"/>
      <c r="H22" s="29"/>
      <c r="I22" s="29"/>
      <c r="J22" s="29"/>
      <c r="K22" s="29"/>
      <c r="L22" s="29"/>
      <c r="M22" s="29"/>
      <c r="N22" s="29"/>
      <c r="O22" s="29"/>
      <c r="P22" s="29"/>
      <c r="Q22" s="29"/>
      <c r="R22" s="29"/>
      <c r="S22" s="29"/>
      <c r="T22" s="22"/>
      <c r="W22" s="180" t="s">
        <v>119</v>
      </c>
      <c r="X22" s="239">
        <v>2.1759000000000001E-2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26</v>
      </c>
      <c r="X23" s="239">
        <v>1.9734000000000002E-2</v>
      </c>
    </row>
    <row r="24" spans="2:24" ht="15" customHeight="1" x14ac:dyDescent="0.25">
      <c r="B24" s="79"/>
      <c r="C24" s="73" t="s">
        <v>55</v>
      </c>
      <c r="D24" s="74"/>
      <c r="E24" s="84">
        <f>SUM(E8:E22)</f>
        <v>0.41468600000000005</v>
      </c>
      <c r="F24" s="29"/>
      <c r="G24" s="29"/>
      <c r="H24" s="29"/>
      <c r="I24" s="29"/>
      <c r="J24" s="29"/>
      <c r="K24" s="29"/>
      <c r="L24" s="29"/>
      <c r="M24" s="29"/>
      <c r="N24" s="29"/>
      <c r="O24" s="29"/>
      <c r="P24" s="29"/>
      <c r="Q24" s="29"/>
      <c r="R24" s="29"/>
      <c r="S24" s="29"/>
      <c r="T24" s="22"/>
      <c r="W24" s="180" t="s">
        <v>84</v>
      </c>
      <c r="X24" s="239">
        <v>1.8674E-2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113</v>
      </c>
      <c r="X25" s="239">
        <v>1.7815999999999999E-2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108</v>
      </c>
      <c r="X26" s="239">
        <v>1.5821999999999999E-2</v>
      </c>
    </row>
    <row r="27" spans="2:24" ht="15" customHeight="1" x14ac:dyDescent="0.25">
      <c r="B27" s="79"/>
      <c r="F27" s="29"/>
      <c r="G27" s="29"/>
      <c r="H27" s="29"/>
      <c r="I27" s="29"/>
      <c r="J27" s="29"/>
      <c r="K27" s="29"/>
      <c r="L27" s="29"/>
      <c r="M27" s="29"/>
      <c r="N27" s="29"/>
      <c r="O27" s="29"/>
      <c r="P27" s="29"/>
      <c r="Q27" s="29"/>
      <c r="R27" s="29"/>
      <c r="S27" s="29"/>
      <c r="T27" s="22"/>
      <c r="W27" s="180" t="s">
        <v>126</v>
      </c>
      <c r="X27" s="239">
        <v>1.3728000000000001E-2</v>
      </c>
    </row>
    <row r="28" spans="2:24" ht="15" customHeight="1" x14ac:dyDescent="0.25">
      <c r="B28" s="79"/>
      <c r="F28" s="29"/>
      <c r="G28" s="29"/>
      <c r="H28" s="29"/>
      <c r="I28" s="29"/>
      <c r="J28" s="29"/>
      <c r="K28" s="29"/>
      <c r="L28" s="29"/>
      <c r="M28" s="29"/>
      <c r="N28" s="29"/>
      <c r="O28" s="29"/>
      <c r="P28" s="29"/>
      <c r="Q28" s="29"/>
      <c r="R28" s="29"/>
      <c r="S28" s="29"/>
      <c r="T28" s="22"/>
      <c r="W28" s="180" t="s">
        <v>121</v>
      </c>
      <c r="X28" s="239">
        <v>1.2786E-2</v>
      </c>
    </row>
    <row r="29" spans="2:24" ht="15" customHeight="1" x14ac:dyDescent="0.25">
      <c r="B29" s="79"/>
      <c r="F29" s="29"/>
      <c r="G29" s="29"/>
      <c r="H29" s="29"/>
      <c r="I29" s="29"/>
      <c r="J29" s="29"/>
      <c r="K29" s="29"/>
      <c r="L29" s="29"/>
      <c r="M29" s="29"/>
      <c r="N29" s="29"/>
      <c r="O29" s="29"/>
      <c r="P29" s="29"/>
      <c r="Q29" s="29"/>
      <c r="R29" s="29"/>
      <c r="S29" s="29"/>
      <c r="T29" s="22"/>
      <c r="W29" s="180" t="s">
        <v>133</v>
      </c>
      <c r="X29" s="239">
        <v>1.2485E-2</v>
      </c>
    </row>
    <row r="30" spans="2:24" ht="15" customHeight="1" x14ac:dyDescent="0.25">
      <c r="B30" s="79"/>
      <c r="F30" s="29"/>
      <c r="G30" s="29"/>
      <c r="H30" s="29"/>
      <c r="I30" s="29"/>
      <c r="J30" s="29"/>
      <c r="K30" s="29"/>
      <c r="L30" s="29"/>
      <c r="M30" s="29"/>
      <c r="N30" s="29"/>
      <c r="O30" s="29"/>
      <c r="P30" s="29"/>
      <c r="Q30" s="29"/>
      <c r="R30" s="29"/>
      <c r="S30" s="29"/>
      <c r="T30" s="22"/>
      <c r="W30" s="180" t="s">
        <v>13</v>
      </c>
      <c r="X30" s="239">
        <v>1.1934E-2</v>
      </c>
    </row>
    <row r="31" spans="2:24" ht="15" customHeight="1" x14ac:dyDescent="0.25">
      <c r="B31" s="79"/>
      <c r="F31" s="29"/>
      <c r="G31" s="29"/>
      <c r="H31" s="29"/>
      <c r="I31" s="29"/>
      <c r="J31" s="29"/>
      <c r="K31" s="29"/>
      <c r="L31" s="29"/>
      <c r="M31" s="29"/>
      <c r="N31" s="29"/>
      <c r="O31" s="29"/>
      <c r="P31" s="29"/>
      <c r="Q31" s="29"/>
      <c r="R31" s="29"/>
      <c r="S31" s="29"/>
      <c r="T31" s="22"/>
      <c r="W31" s="180" t="s">
        <v>12</v>
      </c>
      <c r="X31" s="239">
        <v>1.1247999999999999E-2</v>
      </c>
    </row>
    <row r="32" spans="2:24" ht="15" customHeight="1" x14ac:dyDescent="0.25">
      <c r="B32" s="79"/>
      <c r="F32" s="29"/>
      <c r="G32" s="29"/>
      <c r="H32" s="29"/>
      <c r="I32" s="29"/>
      <c r="J32" s="29"/>
      <c r="K32" s="29"/>
      <c r="L32" s="29"/>
      <c r="M32" s="29"/>
      <c r="N32" s="29"/>
      <c r="O32" s="29"/>
      <c r="P32" s="29"/>
      <c r="Q32" s="29"/>
      <c r="R32" s="29"/>
      <c r="S32" s="29"/>
      <c r="T32" s="22"/>
      <c r="W32" s="180" t="s">
        <v>124</v>
      </c>
      <c r="X32" s="239">
        <v>1.0576E-2</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25</v>
      </c>
      <c r="X33" s="239">
        <v>8.9669999999999993E-3</v>
      </c>
    </row>
    <row r="34" spans="2:24" ht="15" customHeight="1" thickBot="1" x14ac:dyDescent="0.3">
      <c r="W34" s="180" t="s">
        <v>15</v>
      </c>
      <c r="X34" s="239">
        <v>8.2030000000000002E-3</v>
      </c>
    </row>
    <row r="35" spans="2:24" ht="15" customHeight="1" x14ac:dyDescent="0.25">
      <c r="B35" s="268" t="s">
        <v>182</v>
      </c>
      <c r="C35" s="269"/>
      <c r="D35" s="269"/>
      <c r="E35" s="269"/>
      <c r="F35" s="269"/>
      <c r="G35" s="269"/>
      <c r="H35" s="269"/>
      <c r="I35" s="269"/>
      <c r="J35" s="269"/>
      <c r="K35" s="269"/>
      <c r="L35" s="269"/>
      <c r="M35" s="269"/>
      <c r="N35" s="269"/>
      <c r="O35" s="269"/>
      <c r="P35" s="269"/>
      <c r="Q35" s="269"/>
      <c r="R35" s="270"/>
      <c r="W35" s="180" t="s">
        <v>83</v>
      </c>
      <c r="X35" s="239">
        <v>7.7299999999999999E-3</v>
      </c>
    </row>
    <row r="36" spans="2:24" ht="15" customHeight="1" x14ac:dyDescent="0.25">
      <c r="B36" s="271"/>
      <c r="C36" s="272"/>
      <c r="D36" s="272"/>
      <c r="E36" s="272"/>
      <c r="F36" s="272"/>
      <c r="G36" s="272"/>
      <c r="H36" s="272"/>
      <c r="I36" s="272"/>
      <c r="J36" s="272"/>
      <c r="K36" s="272"/>
      <c r="L36" s="272"/>
      <c r="M36" s="272"/>
      <c r="N36" s="272"/>
      <c r="O36" s="272"/>
      <c r="P36" s="272"/>
      <c r="Q36" s="272"/>
      <c r="R36" s="273"/>
      <c r="W36" s="180" t="s">
        <v>116</v>
      </c>
      <c r="X36" s="239">
        <v>6.5669999999999999E-3</v>
      </c>
    </row>
    <row r="37" spans="2:24" ht="15" customHeight="1" x14ac:dyDescent="0.25">
      <c r="B37" s="271"/>
      <c r="C37" s="272"/>
      <c r="D37" s="272"/>
      <c r="E37" s="272"/>
      <c r="F37" s="272"/>
      <c r="G37" s="272"/>
      <c r="H37" s="272"/>
      <c r="I37" s="272"/>
      <c r="J37" s="272"/>
      <c r="K37" s="272"/>
      <c r="L37" s="272"/>
      <c r="M37" s="272"/>
      <c r="N37" s="272"/>
      <c r="O37" s="272"/>
      <c r="P37" s="272"/>
      <c r="Q37" s="272"/>
      <c r="R37" s="273"/>
      <c r="W37" s="180" t="s">
        <v>118</v>
      </c>
      <c r="X37" s="239">
        <v>4.2750000000000002E-3</v>
      </c>
    </row>
    <row r="38" spans="2:24" ht="15" customHeight="1" x14ac:dyDescent="0.25">
      <c r="B38" s="271"/>
      <c r="C38" s="272"/>
      <c r="D38" s="272"/>
      <c r="E38" s="272"/>
      <c r="F38" s="272"/>
      <c r="G38" s="272"/>
      <c r="H38" s="272"/>
      <c r="I38" s="272"/>
      <c r="J38" s="272"/>
      <c r="K38" s="272"/>
      <c r="L38" s="272"/>
      <c r="M38" s="272"/>
      <c r="N38" s="272"/>
      <c r="O38" s="272"/>
      <c r="P38" s="272"/>
      <c r="Q38" s="272"/>
      <c r="R38" s="273"/>
      <c r="W38" s="180" t="s">
        <v>146</v>
      </c>
      <c r="X38" s="239">
        <v>2.2109999999999999E-3</v>
      </c>
    </row>
    <row r="39" spans="2:24" ht="15" customHeight="1" x14ac:dyDescent="0.25">
      <c r="B39" s="271"/>
      <c r="C39" s="272"/>
      <c r="D39" s="272"/>
      <c r="E39" s="272"/>
      <c r="F39" s="272"/>
      <c r="G39" s="272"/>
      <c r="H39" s="272"/>
      <c r="I39" s="272"/>
      <c r="J39" s="272"/>
      <c r="K39" s="272"/>
      <c r="L39" s="272"/>
      <c r="M39" s="272"/>
      <c r="N39" s="272"/>
      <c r="O39" s="272"/>
      <c r="P39" s="272"/>
      <c r="Q39" s="272"/>
      <c r="R39" s="273"/>
      <c r="W39" s="180"/>
      <c r="X39" s="239"/>
    </row>
    <row r="40" spans="2:24" ht="15" customHeight="1" x14ac:dyDescent="0.25">
      <c r="B40" s="271"/>
      <c r="C40" s="272"/>
      <c r="D40" s="272"/>
      <c r="E40" s="272"/>
      <c r="F40" s="272"/>
      <c r="G40" s="272"/>
      <c r="H40" s="272"/>
      <c r="I40" s="272"/>
      <c r="J40" s="272"/>
      <c r="K40" s="272"/>
      <c r="L40" s="272"/>
      <c r="M40" s="272"/>
      <c r="N40" s="272"/>
      <c r="O40" s="272"/>
      <c r="P40" s="272"/>
      <c r="Q40" s="272"/>
      <c r="R40" s="273"/>
    </row>
    <row r="41" spans="2:24" ht="15" customHeight="1" thickBot="1" x14ac:dyDescent="0.3">
      <c r="B41" s="274"/>
      <c r="C41" s="275"/>
      <c r="D41" s="275"/>
      <c r="E41" s="275"/>
      <c r="F41" s="275"/>
      <c r="G41" s="275"/>
      <c r="H41" s="275"/>
      <c r="I41" s="275"/>
      <c r="J41" s="275"/>
      <c r="K41" s="275"/>
      <c r="L41" s="275"/>
      <c r="M41" s="275"/>
      <c r="N41" s="275"/>
      <c r="O41" s="275"/>
      <c r="P41" s="275"/>
      <c r="Q41" s="275"/>
      <c r="R41" s="276"/>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7" t="s">
        <v>168</v>
      </c>
      <c r="D3" s="278"/>
      <c r="E3" s="278"/>
      <c r="F3" s="278"/>
      <c r="G3" s="278"/>
      <c r="H3" s="278"/>
      <c r="I3" s="278"/>
      <c r="J3" s="278"/>
      <c r="K3" s="278"/>
      <c r="L3" s="278"/>
      <c r="M3" s="278"/>
      <c r="N3" s="278"/>
      <c r="O3" s="278"/>
      <c r="P3" s="278"/>
      <c r="Q3" s="278"/>
      <c r="R3" s="278"/>
      <c r="S3" s="278"/>
      <c r="T3" s="22"/>
      <c r="V3" s="40"/>
      <c r="W3" s="40"/>
      <c r="X3" s="40"/>
      <c r="Y3" s="40"/>
      <c r="Z3" s="40"/>
      <c r="AA3" s="40"/>
    </row>
    <row r="4" spans="1:27" ht="15.75" customHeight="1" x14ac:dyDescent="0.25">
      <c r="B4" s="79"/>
      <c r="C4" s="67" t="s">
        <v>405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406</v>
      </c>
      <c r="D5" s="279" t="s">
        <v>372</v>
      </c>
      <c r="E5" s="279"/>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138</v>
      </c>
      <c r="D8" s="206" t="s">
        <v>26</v>
      </c>
      <c r="E8" s="203">
        <v>4.5052000000000002E-2</v>
      </c>
      <c r="F8" s="29"/>
      <c r="G8" s="29"/>
      <c r="H8" s="29"/>
      <c r="I8" s="29"/>
      <c r="J8" s="29"/>
      <c r="K8" s="29"/>
      <c r="L8" s="29"/>
      <c r="M8" s="29"/>
      <c r="N8" s="29"/>
      <c r="O8" s="29"/>
      <c r="P8" s="29"/>
      <c r="Q8" s="29"/>
      <c r="R8" s="29"/>
      <c r="S8" s="29"/>
      <c r="T8" s="22"/>
      <c r="V8" s="158"/>
      <c r="W8" s="180" t="s">
        <v>24</v>
      </c>
      <c r="X8" s="239">
        <v>0.11721500000000001</v>
      </c>
      <c r="Y8" s="158"/>
      <c r="Z8" s="40"/>
      <c r="AA8" s="40"/>
    </row>
    <row r="9" spans="1:27" ht="15.75" customHeight="1" x14ac:dyDescent="0.25">
      <c r="B9" s="79"/>
      <c r="C9" s="207" t="s">
        <v>139</v>
      </c>
      <c r="D9" s="208" t="s">
        <v>24</v>
      </c>
      <c r="E9" s="204">
        <v>3.1230000000000001E-2</v>
      </c>
      <c r="F9" s="29"/>
      <c r="G9" s="29"/>
      <c r="H9" s="29"/>
      <c r="I9" s="29"/>
      <c r="J9" s="29"/>
      <c r="K9" s="29"/>
      <c r="L9" s="29"/>
      <c r="M9" s="29"/>
      <c r="N9" s="29"/>
      <c r="O9" s="29"/>
      <c r="P9" s="29"/>
      <c r="Q9" s="29"/>
      <c r="R9" s="29"/>
      <c r="S9" s="29"/>
      <c r="T9" s="22"/>
      <c r="V9" s="158"/>
      <c r="W9" s="180" t="s">
        <v>119</v>
      </c>
      <c r="X9" s="239">
        <v>9.1108999999999996E-2</v>
      </c>
      <c r="Y9" s="158"/>
      <c r="Z9" s="40"/>
      <c r="AA9" s="40"/>
    </row>
    <row r="10" spans="1:27" ht="15" customHeight="1" x14ac:dyDescent="0.25">
      <c r="B10" s="79"/>
      <c r="C10" s="207" t="s">
        <v>190</v>
      </c>
      <c r="D10" s="208" t="s">
        <v>107</v>
      </c>
      <c r="E10" s="204">
        <v>3.0696999999999999E-2</v>
      </c>
      <c r="F10" s="29"/>
      <c r="G10" s="29"/>
      <c r="H10" s="29"/>
      <c r="I10" s="29"/>
      <c r="J10" s="29"/>
      <c r="K10" s="29"/>
      <c r="L10" s="29"/>
      <c r="M10" s="29"/>
      <c r="N10" s="29"/>
      <c r="O10" s="29"/>
      <c r="P10" s="29"/>
      <c r="Q10" s="29"/>
      <c r="R10" s="29"/>
      <c r="S10" s="29"/>
      <c r="T10" s="22"/>
      <c r="V10" s="158"/>
      <c r="W10" s="180" t="s">
        <v>110</v>
      </c>
      <c r="X10" s="239">
        <v>8.7607999999999991E-2</v>
      </c>
      <c r="Y10" s="158"/>
      <c r="Z10" s="40"/>
      <c r="AA10" s="40"/>
    </row>
    <row r="11" spans="1:27" ht="15" customHeight="1" x14ac:dyDescent="0.25">
      <c r="B11" s="79"/>
      <c r="C11" s="207" t="s">
        <v>217</v>
      </c>
      <c r="D11" s="208" t="s">
        <v>113</v>
      </c>
      <c r="E11" s="204">
        <v>2.7137000000000001E-2</v>
      </c>
      <c r="F11" s="29"/>
      <c r="G11" s="29"/>
      <c r="H11" s="29"/>
      <c r="I11" s="29"/>
      <c r="J11" s="29"/>
      <c r="K11" s="29"/>
      <c r="L11" s="29"/>
      <c r="M11" s="29"/>
      <c r="N11" s="29"/>
      <c r="O11" s="29"/>
      <c r="P11" s="29"/>
      <c r="Q11" s="29"/>
      <c r="R11" s="29"/>
      <c r="S11" s="29"/>
      <c r="T11" s="22"/>
      <c r="V11" s="158"/>
      <c r="W11" s="180" t="s">
        <v>16</v>
      </c>
      <c r="X11" s="239">
        <v>7.0875999999999995E-2</v>
      </c>
      <c r="Y11" s="158"/>
      <c r="Z11" s="40"/>
      <c r="AA11" s="40"/>
    </row>
    <row r="12" spans="1:27" ht="15" customHeight="1" x14ac:dyDescent="0.25">
      <c r="B12" s="79"/>
      <c r="C12" s="207" t="s">
        <v>243</v>
      </c>
      <c r="D12" s="208" t="s">
        <v>16</v>
      </c>
      <c r="E12" s="204">
        <v>2.6589000000000002E-2</v>
      </c>
      <c r="F12" s="29"/>
      <c r="G12" s="29"/>
      <c r="H12" s="29"/>
      <c r="I12" s="29"/>
      <c r="J12" s="29"/>
      <c r="K12" s="29"/>
      <c r="L12" s="29"/>
      <c r="M12" s="29"/>
      <c r="N12" s="29"/>
      <c r="O12" s="29"/>
      <c r="P12" s="29"/>
      <c r="Q12" s="29"/>
      <c r="R12" s="29"/>
      <c r="S12" s="29"/>
      <c r="T12" s="22"/>
      <c r="V12" s="158"/>
      <c r="W12" s="180" t="s">
        <v>111</v>
      </c>
      <c r="X12" s="239">
        <v>6.5203999999999998E-2</v>
      </c>
      <c r="Y12" s="158"/>
      <c r="Z12" s="40"/>
      <c r="AA12" s="40"/>
    </row>
    <row r="13" spans="1:27" ht="15" customHeight="1" x14ac:dyDescent="0.25">
      <c r="B13" s="79"/>
      <c r="C13" s="207" t="s">
        <v>94</v>
      </c>
      <c r="D13" s="208" t="s">
        <v>84</v>
      </c>
      <c r="E13" s="204">
        <v>2.5156000000000001E-2</v>
      </c>
      <c r="F13" s="29"/>
      <c r="G13" s="29"/>
      <c r="H13" s="29"/>
      <c r="I13" s="29"/>
      <c r="J13" s="29"/>
      <c r="K13" s="29"/>
      <c r="L13" s="29"/>
      <c r="M13" s="29"/>
      <c r="N13" s="29"/>
      <c r="O13" s="29"/>
      <c r="P13" s="29"/>
      <c r="Q13" s="29"/>
      <c r="R13" s="29"/>
      <c r="S13" s="29"/>
      <c r="T13" s="22"/>
      <c r="V13" s="158"/>
      <c r="W13" s="180" t="s">
        <v>26</v>
      </c>
      <c r="X13" s="239">
        <v>6.4105999999999996E-2</v>
      </c>
      <c r="Y13" s="158"/>
      <c r="Z13" s="40"/>
      <c r="AA13" s="40"/>
    </row>
    <row r="14" spans="1:27" ht="15" customHeight="1" x14ac:dyDescent="0.25">
      <c r="B14" s="79"/>
      <c r="C14" s="207" t="s">
        <v>98</v>
      </c>
      <c r="D14" s="208" t="s">
        <v>119</v>
      </c>
      <c r="E14" s="204">
        <v>2.4722000000000001E-2</v>
      </c>
      <c r="F14" s="29"/>
      <c r="G14" s="29"/>
      <c r="H14" s="29"/>
      <c r="I14" s="29"/>
      <c r="J14" s="29"/>
      <c r="K14" s="29"/>
      <c r="L14" s="29"/>
      <c r="M14" s="29"/>
      <c r="N14" s="29"/>
      <c r="O14" s="29"/>
      <c r="P14" s="29"/>
      <c r="Q14" s="29"/>
      <c r="R14" s="29"/>
      <c r="S14" s="29"/>
      <c r="T14" s="22"/>
      <c r="V14" s="158"/>
      <c r="W14" s="180" t="s">
        <v>107</v>
      </c>
      <c r="X14" s="239">
        <v>6.0009999999999994E-2</v>
      </c>
      <c r="Y14" s="158"/>
      <c r="Z14" s="40"/>
      <c r="AA14" s="40"/>
    </row>
    <row r="15" spans="1:27" ht="15.75" customHeight="1" x14ac:dyDescent="0.25">
      <c r="B15" s="79"/>
      <c r="C15" s="207" t="s">
        <v>199</v>
      </c>
      <c r="D15" s="208" t="s">
        <v>119</v>
      </c>
      <c r="E15" s="204">
        <v>2.3970999999999999E-2</v>
      </c>
      <c r="F15" s="29"/>
      <c r="G15" s="29"/>
      <c r="H15" s="29"/>
      <c r="I15" s="29"/>
      <c r="J15" s="29"/>
      <c r="K15" s="29"/>
      <c r="L15" s="29"/>
      <c r="M15" s="29"/>
      <c r="N15" s="29"/>
      <c r="O15" s="29"/>
      <c r="P15" s="29"/>
      <c r="Q15" s="29"/>
      <c r="R15" s="29"/>
      <c r="S15" s="29"/>
      <c r="T15" s="22"/>
      <c r="V15" s="158"/>
      <c r="W15" s="180" t="s">
        <v>113</v>
      </c>
      <c r="X15" s="239">
        <v>4.1621000000000005E-2</v>
      </c>
      <c r="Y15" s="158"/>
      <c r="Z15" s="40"/>
      <c r="AA15" s="40"/>
    </row>
    <row r="16" spans="1:27" ht="15" customHeight="1" x14ac:dyDescent="0.25">
      <c r="B16" s="79"/>
      <c r="C16" s="207" t="s">
        <v>136</v>
      </c>
      <c r="D16" s="208" t="s">
        <v>110</v>
      </c>
      <c r="E16" s="204">
        <v>2.2766999999999999E-2</v>
      </c>
      <c r="F16" s="29"/>
      <c r="G16" s="29"/>
      <c r="H16" s="29"/>
      <c r="I16" s="29"/>
      <c r="J16" s="29"/>
      <c r="K16" s="29"/>
      <c r="L16" s="29"/>
      <c r="M16" s="29"/>
      <c r="N16" s="29"/>
      <c r="O16" s="29"/>
      <c r="P16" s="29"/>
      <c r="Q16" s="29"/>
      <c r="R16" s="29"/>
      <c r="S16" s="29"/>
      <c r="T16" s="22"/>
      <c r="V16" s="158"/>
      <c r="W16" s="180" t="s">
        <v>3</v>
      </c>
      <c r="X16" s="239">
        <v>3.3157999999999993E-2</v>
      </c>
      <c r="Y16" s="158"/>
      <c r="Z16" s="40"/>
      <c r="AA16" s="40"/>
    </row>
    <row r="17" spans="2:27" ht="15.75" customHeight="1" x14ac:dyDescent="0.25">
      <c r="B17" s="79"/>
      <c r="C17" s="207" t="s">
        <v>71</v>
      </c>
      <c r="D17" s="208" t="s">
        <v>10</v>
      </c>
      <c r="E17" s="204">
        <v>2.2301000000000001E-2</v>
      </c>
      <c r="F17" s="29"/>
      <c r="G17" s="29"/>
      <c r="H17" s="29"/>
      <c r="I17" s="29"/>
      <c r="J17" s="29"/>
      <c r="K17" s="29"/>
      <c r="L17" s="29"/>
      <c r="M17" s="29"/>
      <c r="N17" s="29"/>
      <c r="O17" s="29"/>
      <c r="P17" s="29"/>
      <c r="Q17" s="29"/>
      <c r="R17" s="29"/>
      <c r="S17" s="29"/>
      <c r="T17" s="22"/>
      <c r="V17" s="158"/>
      <c r="W17" s="180" t="s">
        <v>84</v>
      </c>
      <c r="X17" s="239">
        <v>3.0540000000000001E-2</v>
      </c>
      <c r="Y17" s="158"/>
      <c r="Z17" s="40"/>
      <c r="AA17" s="40"/>
    </row>
    <row r="18" spans="2:27" ht="15.75" x14ac:dyDescent="0.25">
      <c r="B18" s="79"/>
      <c r="C18" s="207" t="s">
        <v>228</v>
      </c>
      <c r="D18" s="208" t="s">
        <v>185</v>
      </c>
      <c r="E18" s="204">
        <v>1.9619999999999999E-2</v>
      </c>
      <c r="F18" s="29"/>
      <c r="G18" s="29"/>
      <c r="H18" s="29"/>
      <c r="I18" s="29"/>
      <c r="J18" s="29"/>
      <c r="K18" s="29"/>
      <c r="L18" s="29"/>
      <c r="M18" s="29"/>
      <c r="N18" s="29"/>
      <c r="O18" s="29"/>
      <c r="P18" s="29"/>
      <c r="Q18" s="29"/>
      <c r="R18" s="29"/>
      <c r="S18" s="29"/>
      <c r="T18" s="22"/>
      <c r="V18" s="158"/>
      <c r="W18" s="180" t="s">
        <v>12</v>
      </c>
      <c r="X18" s="239">
        <v>2.6123E-2</v>
      </c>
      <c r="Y18" s="158"/>
      <c r="Z18" s="40"/>
      <c r="AA18" s="40"/>
    </row>
    <row r="19" spans="2:27" ht="15.75" customHeight="1" x14ac:dyDescent="0.25">
      <c r="B19" s="79"/>
      <c r="C19" s="207" t="s">
        <v>134</v>
      </c>
      <c r="D19" s="208" t="s">
        <v>112</v>
      </c>
      <c r="E19" s="204">
        <v>1.9289000000000001E-2</v>
      </c>
      <c r="F19" s="29"/>
      <c r="G19" s="29"/>
      <c r="H19" s="29"/>
      <c r="I19" s="29"/>
      <c r="J19" s="29"/>
      <c r="K19" s="29"/>
      <c r="L19" s="29"/>
      <c r="M19" s="29"/>
      <c r="N19" s="29"/>
      <c r="O19" s="29"/>
      <c r="P19" s="29"/>
      <c r="Q19" s="29"/>
      <c r="R19" s="29"/>
      <c r="S19" s="29"/>
      <c r="T19" s="22"/>
      <c r="V19" s="158"/>
      <c r="W19" s="180" t="s">
        <v>77</v>
      </c>
      <c r="X19" s="239">
        <v>2.4535999999999999E-2</v>
      </c>
      <c r="Y19" s="158"/>
      <c r="Z19" s="40"/>
      <c r="AA19" s="40"/>
    </row>
    <row r="20" spans="2:27" ht="15" customHeight="1" x14ac:dyDescent="0.25">
      <c r="B20" s="79"/>
      <c r="C20" s="207" t="s">
        <v>284</v>
      </c>
      <c r="D20" s="208" t="s">
        <v>3</v>
      </c>
      <c r="E20" s="204">
        <v>1.9196999999999999E-2</v>
      </c>
      <c r="F20" s="29"/>
      <c r="G20" s="29"/>
      <c r="H20" s="29"/>
      <c r="I20" s="29"/>
      <c r="J20" s="29"/>
      <c r="K20" s="29"/>
      <c r="L20" s="29"/>
      <c r="M20" s="29"/>
      <c r="N20" s="29"/>
      <c r="O20" s="29"/>
      <c r="P20" s="29"/>
      <c r="Q20" s="29"/>
      <c r="R20" s="29"/>
      <c r="S20" s="29"/>
      <c r="T20" s="22"/>
      <c r="V20" s="158"/>
      <c r="W20" s="180" t="s">
        <v>112</v>
      </c>
      <c r="X20" s="239">
        <v>2.3938000000000001E-2</v>
      </c>
      <c r="Y20" s="158"/>
      <c r="Z20" s="40"/>
      <c r="AA20" s="40"/>
    </row>
    <row r="21" spans="2:27" ht="15" customHeight="1" x14ac:dyDescent="0.25">
      <c r="B21" s="79"/>
      <c r="C21" s="207" t="s">
        <v>252</v>
      </c>
      <c r="D21" s="208" t="s">
        <v>119</v>
      </c>
      <c r="E21" s="204">
        <v>1.7488E-2</v>
      </c>
      <c r="F21" s="29"/>
      <c r="G21" s="29"/>
      <c r="H21" s="29"/>
      <c r="I21" s="29"/>
      <c r="J21" s="29"/>
      <c r="K21" s="29"/>
      <c r="L21" s="29"/>
      <c r="M21" s="29"/>
      <c r="N21" s="29"/>
      <c r="O21" s="29"/>
      <c r="P21" s="29"/>
      <c r="Q21" s="29"/>
      <c r="R21" s="29"/>
      <c r="S21" s="29"/>
      <c r="T21" s="22"/>
      <c r="V21" s="158"/>
      <c r="W21" s="180" t="s">
        <v>4</v>
      </c>
      <c r="X21" s="239">
        <v>2.3452999999999998E-2</v>
      </c>
      <c r="Y21" s="158"/>
      <c r="Z21" s="40"/>
      <c r="AA21" s="40"/>
    </row>
    <row r="22" spans="2:27" ht="15" customHeight="1" x14ac:dyDescent="0.25">
      <c r="B22" s="79"/>
      <c r="C22" s="207" t="s">
        <v>338</v>
      </c>
      <c r="D22" s="208" t="s">
        <v>114</v>
      </c>
      <c r="E22" s="204">
        <v>1.6601000000000001E-2</v>
      </c>
      <c r="F22" s="29"/>
      <c r="G22" s="29"/>
      <c r="H22" s="29"/>
      <c r="I22" s="29"/>
      <c r="J22" s="29"/>
      <c r="K22" s="29"/>
      <c r="L22" s="29"/>
      <c r="M22" s="29"/>
      <c r="N22" s="29"/>
      <c r="O22" s="29"/>
      <c r="P22" s="29"/>
      <c r="Q22" s="29"/>
      <c r="R22" s="29"/>
      <c r="S22" s="29"/>
      <c r="T22" s="22"/>
      <c r="V22" s="158"/>
      <c r="W22" s="180" t="s">
        <v>10</v>
      </c>
      <c r="X22" s="239">
        <v>2.2301000000000001E-2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116</v>
      </c>
      <c r="X23" s="239">
        <v>1.9841999999999999E-2</v>
      </c>
      <c r="Y23" s="158"/>
      <c r="Z23" s="40"/>
      <c r="AA23" s="40"/>
    </row>
    <row r="24" spans="2:27" ht="15" customHeight="1" x14ac:dyDescent="0.25">
      <c r="B24" s="79"/>
      <c r="C24" s="73" t="s">
        <v>55</v>
      </c>
      <c r="D24" s="74"/>
      <c r="E24" s="75">
        <f>SUM(E8:E23)</f>
        <v>0.37181700000000001</v>
      </c>
      <c r="F24" s="29"/>
      <c r="G24" s="29"/>
      <c r="H24" s="29"/>
      <c r="I24" s="29"/>
      <c r="J24" s="29"/>
      <c r="K24" s="29"/>
      <c r="L24" s="29"/>
      <c r="M24" s="29"/>
      <c r="N24" s="29"/>
      <c r="O24" s="29"/>
      <c r="P24" s="29"/>
      <c r="Q24" s="29"/>
      <c r="R24" s="29"/>
      <c r="S24" s="29"/>
      <c r="T24" s="22"/>
      <c r="V24" s="158"/>
      <c r="W24" s="180" t="s">
        <v>185</v>
      </c>
      <c r="X24" s="239">
        <v>1.9619999999999999E-2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137</v>
      </c>
      <c r="X25" s="239">
        <v>1.9424999999999998E-2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118</v>
      </c>
      <c r="X26" s="239">
        <v>1.8800000000000001E-2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114</v>
      </c>
      <c r="X27" s="239">
        <v>1.6601000000000001E-2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106</v>
      </c>
      <c r="X28" s="239">
        <v>1.2958000000000001E-2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87</v>
      </c>
      <c r="X29" s="239">
        <v>1.2926E-2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83</v>
      </c>
      <c r="X30" s="239">
        <v>9.4780000000000003E-3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123</v>
      </c>
      <c r="X31" s="239">
        <v>9.1559999999999992E-3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11</v>
      </c>
      <c r="X32" s="239">
        <v>7.9220000000000002E-3</v>
      </c>
    </row>
    <row r="33" spans="2:24" ht="15" customHeight="1" thickBot="1" x14ac:dyDescent="0.3">
      <c r="W33" s="180" t="s">
        <v>126</v>
      </c>
      <c r="X33" s="239">
        <v>7.8890000000000002E-3</v>
      </c>
    </row>
    <row r="34" spans="2:24" ht="15" customHeight="1" x14ac:dyDescent="0.25">
      <c r="B34" s="268" t="s">
        <v>182</v>
      </c>
      <c r="C34" s="269"/>
      <c r="D34" s="269"/>
      <c r="E34" s="269"/>
      <c r="F34" s="269"/>
      <c r="G34" s="269"/>
      <c r="H34" s="269"/>
      <c r="I34" s="269"/>
      <c r="J34" s="269"/>
      <c r="K34" s="269"/>
      <c r="L34" s="269"/>
      <c r="M34" s="269"/>
      <c r="N34" s="269"/>
      <c r="O34" s="269"/>
      <c r="P34" s="269"/>
      <c r="Q34" s="269"/>
      <c r="R34" s="270"/>
      <c r="W34" s="180" t="s">
        <v>85</v>
      </c>
      <c r="X34" s="239">
        <v>6.894E-3</v>
      </c>
    </row>
    <row r="35" spans="2:24" ht="15" customHeight="1" x14ac:dyDescent="0.25">
      <c r="B35" s="271"/>
      <c r="C35" s="272"/>
      <c r="D35" s="272"/>
      <c r="E35" s="272"/>
      <c r="F35" s="272"/>
      <c r="G35" s="272"/>
      <c r="H35" s="272"/>
      <c r="I35" s="272"/>
      <c r="J35" s="272"/>
      <c r="K35" s="272"/>
      <c r="L35" s="272"/>
      <c r="M35" s="272"/>
      <c r="N35" s="272"/>
      <c r="O35" s="272"/>
      <c r="P35" s="272"/>
      <c r="Q35" s="272"/>
      <c r="R35" s="273"/>
      <c r="W35" s="180" t="s">
        <v>121</v>
      </c>
      <c r="X35" s="239">
        <v>5.8589999999999996E-3</v>
      </c>
    </row>
    <row r="36" spans="2:24" ht="15" customHeight="1" x14ac:dyDescent="0.25">
      <c r="B36" s="271"/>
      <c r="C36" s="272"/>
      <c r="D36" s="272"/>
      <c r="E36" s="272"/>
      <c r="F36" s="272"/>
      <c r="G36" s="272"/>
      <c r="H36" s="272"/>
      <c r="I36" s="272"/>
      <c r="J36" s="272"/>
      <c r="K36" s="272"/>
      <c r="L36" s="272"/>
      <c r="M36" s="272"/>
      <c r="N36" s="272"/>
      <c r="O36" s="272"/>
      <c r="P36" s="272"/>
      <c r="Q36" s="272"/>
      <c r="R36" s="273"/>
      <c r="W36" s="180" t="s">
        <v>13</v>
      </c>
      <c r="X36" s="239">
        <v>4.4209999999999996E-3</v>
      </c>
    </row>
    <row r="37" spans="2:24" ht="15" customHeight="1" x14ac:dyDescent="0.25">
      <c r="B37" s="271"/>
      <c r="C37" s="272"/>
      <c r="D37" s="272"/>
      <c r="E37" s="272"/>
      <c r="F37" s="272"/>
      <c r="G37" s="272"/>
      <c r="H37" s="272"/>
      <c r="I37" s="272"/>
      <c r="J37" s="272"/>
      <c r="K37" s="272"/>
      <c r="L37" s="272"/>
      <c r="M37" s="272"/>
      <c r="N37" s="272"/>
      <c r="O37" s="272"/>
      <c r="P37" s="272"/>
      <c r="Q37" s="272"/>
      <c r="R37" s="273"/>
      <c r="W37" s="180" t="s">
        <v>186</v>
      </c>
      <c r="X37" s="239">
        <v>3.0019999999999999E-3</v>
      </c>
    </row>
    <row r="38" spans="2:24" ht="15" customHeight="1" x14ac:dyDescent="0.25">
      <c r="B38" s="271"/>
      <c r="C38" s="272"/>
      <c r="D38" s="272"/>
      <c r="E38" s="272"/>
      <c r="F38" s="272"/>
      <c r="G38" s="272"/>
      <c r="H38" s="272"/>
      <c r="I38" s="272"/>
      <c r="J38" s="272"/>
      <c r="K38" s="272"/>
      <c r="L38" s="272"/>
      <c r="M38" s="272"/>
      <c r="N38" s="272"/>
      <c r="O38" s="272"/>
      <c r="P38" s="272"/>
      <c r="Q38" s="272"/>
      <c r="R38" s="273"/>
      <c r="W38" s="180" t="s">
        <v>108</v>
      </c>
      <c r="X38" s="239">
        <v>1.7619999999999999E-3</v>
      </c>
    </row>
    <row r="39" spans="2:24" ht="15" customHeight="1" x14ac:dyDescent="0.25">
      <c r="B39" s="271"/>
      <c r="C39" s="272"/>
      <c r="D39" s="272"/>
      <c r="E39" s="272"/>
      <c r="F39" s="272"/>
      <c r="G39" s="272"/>
      <c r="H39" s="272"/>
      <c r="I39" s="272"/>
      <c r="J39" s="272"/>
      <c r="K39" s="272"/>
      <c r="L39" s="272"/>
      <c r="M39" s="272"/>
      <c r="N39" s="272"/>
      <c r="O39" s="272"/>
      <c r="P39" s="272"/>
      <c r="Q39" s="272"/>
      <c r="R39" s="273"/>
      <c r="W39" s="180"/>
      <c r="X39" s="239"/>
    </row>
    <row r="40" spans="2:24" ht="21.75" customHeight="1" thickBot="1" x14ac:dyDescent="0.3">
      <c r="B40" s="274"/>
      <c r="C40" s="275"/>
      <c r="D40" s="275"/>
      <c r="E40" s="275"/>
      <c r="F40" s="275"/>
      <c r="G40" s="275"/>
      <c r="H40" s="275"/>
      <c r="I40" s="275"/>
      <c r="J40" s="275"/>
      <c r="K40" s="275"/>
      <c r="L40" s="275"/>
      <c r="M40" s="275"/>
      <c r="N40" s="275"/>
      <c r="O40" s="275"/>
      <c r="P40" s="275"/>
      <c r="Q40" s="275"/>
      <c r="R40" s="276"/>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7" t="s">
        <v>167</v>
      </c>
      <c r="D3" s="278"/>
      <c r="E3" s="278"/>
      <c r="F3" s="278"/>
      <c r="G3" s="278"/>
      <c r="H3" s="278"/>
      <c r="I3" s="278"/>
      <c r="J3" s="278"/>
      <c r="K3" s="278"/>
      <c r="L3" s="278"/>
      <c r="M3" s="278"/>
      <c r="N3" s="278"/>
      <c r="O3" s="278"/>
      <c r="P3" s="278"/>
      <c r="Q3" s="278"/>
      <c r="R3" s="278"/>
      <c r="S3" s="278"/>
      <c r="T3" s="22"/>
      <c r="V3" s="40"/>
      <c r="W3" s="40"/>
      <c r="X3" s="40"/>
      <c r="Y3" s="40"/>
      <c r="Z3" s="40"/>
      <c r="AA3" s="40"/>
    </row>
    <row r="4" spans="1:27" ht="15.75" customHeight="1" x14ac:dyDescent="0.25">
      <c r="B4" s="79"/>
      <c r="C4" s="67" t="s">
        <v>405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406</v>
      </c>
      <c r="D5" s="279" t="s">
        <v>373</v>
      </c>
      <c r="E5" s="279"/>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29</v>
      </c>
      <c r="D8" s="206" t="s">
        <v>3</v>
      </c>
      <c r="E8" s="203">
        <v>5.0063999999999997E-2</v>
      </c>
      <c r="F8" s="29"/>
      <c r="G8" s="29"/>
      <c r="H8" s="29"/>
      <c r="I8" s="29"/>
      <c r="J8" s="29"/>
      <c r="K8" s="29"/>
      <c r="L8" s="29"/>
      <c r="M8" s="29"/>
      <c r="N8" s="29"/>
      <c r="O8" s="29"/>
      <c r="P8" s="29"/>
      <c r="Q8" s="29"/>
      <c r="R8" s="29"/>
      <c r="S8" s="29"/>
      <c r="T8" s="22"/>
      <c r="V8" s="158"/>
      <c r="W8" s="180" t="s">
        <v>3</v>
      </c>
      <c r="X8" s="239">
        <v>0.15014</v>
      </c>
      <c r="Y8" s="158"/>
      <c r="Z8" s="40"/>
      <c r="AA8" s="40"/>
    </row>
    <row r="9" spans="1:27" ht="15.75" customHeight="1" x14ac:dyDescent="0.25">
      <c r="B9" s="79"/>
      <c r="C9" s="207" t="s">
        <v>31</v>
      </c>
      <c r="D9" s="208" t="s">
        <v>6</v>
      </c>
      <c r="E9" s="204">
        <v>3.8420999999999997E-2</v>
      </c>
      <c r="F9" s="29"/>
      <c r="G9" s="29"/>
      <c r="H9" s="29"/>
      <c r="I9" s="29"/>
      <c r="J9" s="29"/>
      <c r="K9" s="29"/>
      <c r="L9" s="29"/>
      <c r="M9" s="29"/>
      <c r="N9" s="29"/>
      <c r="O9" s="29"/>
      <c r="P9" s="29"/>
      <c r="Q9" s="29"/>
      <c r="R9" s="29"/>
      <c r="S9" s="29"/>
      <c r="T9" s="22"/>
      <c r="V9" s="158"/>
      <c r="W9" s="180" t="s">
        <v>111</v>
      </c>
      <c r="X9" s="239">
        <v>8.5983000000000004E-2</v>
      </c>
      <c r="Y9" s="158"/>
      <c r="Z9" s="40"/>
      <c r="AA9" s="40"/>
    </row>
    <row r="10" spans="1:27" ht="15" customHeight="1" x14ac:dyDescent="0.25">
      <c r="B10" s="79"/>
      <c r="C10" s="207" t="s">
        <v>32</v>
      </c>
      <c r="D10" s="208" t="s">
        <v>3</v>
      </c>
      <c r="E10" s="204">
        <v>2.6623999999999998E-2</v>
      </c>
      <c r="F10" s="29"/>
      <c r="G10" s="29"/>
      <c r="H10" s="29"/>
      <c r="I10" s="29"/>
      <c r="J10" s="29"/>
      <c r="K10" s="29"/>
      <c r="L10" s="29"/>
      <c r="M10" s="29"/>
      <c r="N10" s="29"/>
      <c r="O10" s="29"/>
      <c r="P10" s="29"/>
      <c r="Q10" s="29"/>
      <c r="R10" s="29"/>
      <c r="S10" s="29"/>
      <c r="T10" s="22"/>
      <c r="V10" s="158"/>
      <c r="W10" s="180" t="s">
        <v>107</v>
      </c>
      <c r="X10" s="239">
        <v>6.6435000000000008E-2</v>
      </c>
      <c r="Y10" s="158"/>
      <c r="Z10" s="40"/>
      <c r="AA10" s="40"/>
    </row>
    <row r="11" spans="1:27" ht="15" customHeight="1" x14ac:dyDescent="0.25">
      <c r="B11" s="79"/>
      <c r="C11" s="207" t="s">
        <v>36</v>
      </c>
      <c r="D11" s="208" t="s">
        <v>3</v>
      </c>
      <c r="E11" s="204">
        <v>2.5083999999999999E-2</v>
      </c>
      <c r="F11" s="29"/>
      <c r="G11" s="29"/>
      <c r="H11" s="29"/>
      <c r="I11" s="29"/>
      <c r="J11" s="29"/>
      <c r="K11" s="29"/>
      <c r="L11" s="29"/>
      <c r="M11" s="29"/>
      <c r="N11" s="29"/>
      <c r="O11" s="29"/>
      <c r="P11" s="29"/>
      <c r="Q11" s="29"/>
      <c r="R11" s="29"/>
      <c r="S11" s="29"/>
      <c r="T11" s="22"/>
      <c r="V11" s="158"/>
      <c r="W11" s="180" t="s">
        <v>6</v>
      </c>
      <c r="X11" s="239">
        <v>4.3129000000000001E-2</v>
      </c>
      <c r="Y11" s="158"/>
      <c r="Z11" s="40"/>
      <c r="AA11" s="40"/>
    </row>
    <row r="12" spans="1:27" ht="15" customHeight="1" x14ac:dyDescent="0.25">
      <c r="B12" s="79"/>
      <c r="C12" s="207" t="s">
        <v>245</v>
      </c>
      <c r="D12" s="208" t="s">
        <v>26</v>
      </c>
      <c r="E12" s="204">
        <v>2.4569000000000001E-2</v>
      </c>
      <c r="F12" s="29"/>
      <c r="G12" s="29"/>
      <c r="H12" s="29"/>
      <c r="I12" s="29"/>
      <c r="J12" s="29"/>
      <c r="K12" s="29"/>
      <c r="L12" s="29"/>
      <c r="M12" s="29"/>
      <c r="N12" s="29"/>
      <c r="O12" s="29"/>
      <c r="P12" s="29"/>
      <c r="Q12" s="29"/>
      <c r="R12" s="29"/>
      <c r="S12" s="29"/>
      <c r="T12" s="22"/>
      <c r="V12" s="158"/>
      <c r="W12" s="180" t="s">
        <v>26</v>
      </c>
      <c r="X12" s="239">
        <v>4.1229000000000002E-2</v>
      </c>
      <c r="Y12" s="158"/>
      <c r="Z12" s="40"/>
      <c r="AA12" s="40"/>
    </row>
    <row r="13" spans="1:27" ht="15" customHeight="1" x14ac:dyDescent="0.25">
      <c r="B13" s="79"/>
      <c r="C13" s="207" t="s">
        <v>28</v>
      </c>
      <c r="D13" s="208" t="s">
        <v>107</v>
      </c>
      <c r="E13" s="204">
        <v>2.1722000000000002E-2</v>
      </c>
      <c r="F13" s="29"/>
      <c r="G13" s="29"/>
      <c r="H13" s="29"/>
      <c r="I13" s="29"/>
      <c r="J13" s="29"/>
      <c r="K13" s="29"/>
      <c r="L13" s="29"/>
      <c r="M13" s="29"/>
      <c r="N13" s="29"/>
      <c r="O13" s="29"/>
      <c r="P13" s="29"/>
      <c r="Q13" s="29"/>
      <c r="R13" s="29"/>
      <c r="S13" s="29"/>
      <c r="T13" s="22"/>
      <c r="V13" s="158"/>
      <c r="W13" s="180" t="s">
        <v>86</v>
      </c>
      <c r="X13" s="239">
        <v>4.0571999999999997E-2</v>
      </c>
      <c r="Y13" s="158"/>
      <c r="Z13" s="40"/>
      <c r="AA13" s="40"/>
    </row>
    <row r="14" spans="1:27" ht="15" customHeight="1" x14ac:dyDescent="0.25">
      <c r="B14" s="79"/>
      <c r="C14" s="207" t="s">
        <v>109</v>
      </c>
      <c r="D14" s="208" t="s">
        <v>110</v>
      </c>
      <c r="E14" s="204">
        <v>1.9392E-2</v>
      </c>
      <c r="F14" s="29"/>
      <c r="G14" s="29"/>
      <c r="H14" s="29"/>
      <c r="I14" s="29"/>
      <c r="J14" s="29"/>
      <c r="K14" s="29"/>
      <c r="L14" s="29"/>
      <c r="M14" s="29"/>
      <c r="N14" s="29"/>
      <c r="O14" s="29"/>
      <c r="P14" s="29"/>
      <c r="Q14" s="29"/>
      <c r="R14" s="29"/>
      <c r="S14" s="29"/>
      <c r="T14" s="22"/>
      <c r="V14" s="158"/>
      <c r="W14" s="180" t="s">
        <v>23</v>
      </c>
      <c r="X14" s="239">
        <v>3.9690000000000003E-2</v>
      </c>
      <c r="Y14" s="158"/>
      <c r="Z14" s="40"/>
      <c r="AA14" s="40"/>
    </row>
    <row r="15" spans="1:27" ht="15.75" customHeight="1" x14ac:dyDescent="0.25">
      <c r="B15" s="79"/>
      <c r="C15" s="207" t="s">
        <v>34</v>
      </c>
      <c r="D15" s="208" t="s">
        <v>23</v>
      </c>
      <c r="E15" s="204">
        <v>1.5671999999999998E-2</v>
      </c>
      <c r="F15" s="29"/>
      <c r="G15" s="29"/>
      <c r="H15" s="29"/>
      <c r="I15" s="29"/>
      <c r="J15" s="29"/>
      <c r="K15" s="29"/>
      <c r="L15" s="29"/>
      <c r="M15" s="29"/>
      <c r="N15" s="29"/>
      <c r="O15" s="29"/>
      <c r="P15" s="29"/>
      <c r="Q15" s="29"/>
      <c r="R15" s="29"/>
      <c r="S15" s="29"/>
      <c r="T15" s="22"/>
      <c r="V15" s="158"/>
      <c r="W15" s="180" t="s">
        <v>16</v>
      </c>
      <c r="X15" s="239">
        <v>3.7906999999999996E-2</v>
      </c>
      <c r="Y15" s="158"/>
      <c r="Z15" s="40"/>
      <c r="AA15" s="40"/>
    </row>
    <row r="16" spans="1:27" ht="15" customHeight="1" x14ac:dyDescent="0.25">
      <c r="B16" s="79"/>
      <c r="C16" s="207" t="s">
        <v>33</v>
      </c>
      <c r="D16" s="208" t="s">
        <v>107</v>
      </c>
      <c r="E16" s="204">
        <v>1.4716999999999999E-2</v>
      </c>
      <c r="F16" s="29"/>
      <c r="G16" s="29"/>
      <c r="H16" s="29"/>
      <c r="I16" s="29"/>
      <c r="J16" s="29"/>
      <c r="K16" s="29"/>
      <c r="L16" s="29"/>
      <c r="M16" s="29"/>
      <c r="N16" s="29"/>
      <c r="O16" s="29"/>
      <c r="P16" s="29"/>
      <c r="Q16" s="29"/>
      <c r="R16" s="29"/>
      <c r="S16" s="29"/>
      <c r="T16" s="22"/>
      <c r="V16" s="158"/>
      <c r="W16" s="180" t="s">
        <v>118</v>
      </c>
      <c r="X16" s="239">
        <v>3.5473999999999999E-2</v>
      </c>
      <c r="Y16" s="158"/>
      <c r="Z16" s="40"/>
      <c r="AA16" s="40"/>
    </row>
    <row r="17" spans="2:27" ht="15.75" customHeight="1" x14ac:dyDescent="0.25">
      <c r="B17" s="79"/>
      <c r="C17" s="207" t="s">
        <v>256</v>
      </c>
      <c r="D17" s="208" t="s">
        <v>108</v>
      </c>
      <c r="E17" s="204">
        <v>1.4540000000000001E-2</v>
      </c>
      <c r="F17" s="29"/>
      <c r="G17" s="29"/>
      <c r="H17" s="29"/>
      <c r="I17" s="29"/>
      <c r="J17" s="29"/>
      <c r="K17" s="29"/>
      <c r="L17" s="29"/>
      <c r="M17" s="29"/>
      <c r="N17" s="29"/>
      <c r="O17" s="29"/>
      <c r="P17" s="29"/>
      <c r="Q17" s="29"/>
      <c r="R17" s="29"/>
      <c r="S17" s="29"/>
      <c r="T17" s="22"/>
      <c r="V17" s="158"/>
      <c r="W17" s="180" t="s">
        <v>4</v>
      </c>
      <c r="X17" s="239">
        <v>3.3299000000000002E-2</v>
      </c>
      <c r="Y17" s="158"/>
      <c r="Z17" s="40"/>
      <c r="AA17" s="40"/>
    </row>
    <row r="18" spans="2:27" ht="15.75" x14ac:dyDescent="0.25">
      <c r="B18" s="79"/>
      <c r="C18" s="207" t="s">
        <v>35</v>
      </c>
      <c r="D18" s="208" t="s">
        <v>3</v>
      </c>
      <c r="E18" s="204">
        <v>1.4265999999999999E-2</v>
      </c>
      <c r="F18" s="29"/>
      <c r="G18" s="29"/>
      <c r="H18" s="29"/>
      <c r="I18" s="29"/>
      <c r="J18" s="29"/>
      <c r="K18" s="29"/>
      <c r="L18" s="29"/>
      <c r="M18" s="29"/>
      <c r="N18" s="29"/>
      <c r="O18" s="29"/>
      <c r="P18" s="29"/>
      <c r="Q18" s="29"/>
      <c r="R18" s="29"/>
      <c r="S18" s="29"/>
      <c r="T18" s="22"/>
      <c r="V18" s="158"/>
      <c r="W18" s="180" t="s">
        <v>110</v>
      </c>
      <c r="X18" s="239">
        <v>3.2164999999999999E-2</v>
      </c>
      <c r="Y18" s="158"/>
      <c r="Z18" s="40"/>
      <c r="AA18" s="40"/>
    </row>
    <row r="19" spans="2:27" ht="15.75" customHeight="1" x14ac:dyDescent="0.25">
      <c r="B19" s="79"/>
      <c r="C19" s="207" t="s">
        <v>255</v>
      </c>
      <c r="D19" s="208" t="s">
        <v>106</v>
      </c>
      <c r="E19" s="204">
        <v>1.3856E-2</v>
      </c>
      <c r="F19" s="29"/>
      <c r="G19" s="29"/>
      <c r="H19" s="29"/>
      <c r="I19" s="29"/>
      <c r="J19" s="29"/>
      <c r="K19" s="29"/>
      <c r="L19" s="29"/>
      <c r="M19" s="29"/>
      <c r="N19" s="29"/>
      <c r="O19" s="29"/>
      <c r="P19" s="29"/>
      <c r="Q19" s="29"/>
      <c r="R19" s="29"/>
      <c r="S19" s="29"/>
      <c r="T19" s="22"/>
      <c r="V19" s="158"/>
      <c r="W19" s="180" t="s">
        <v>113</v>
      </c>
      <c r="X19" s="239">
        <v>3.1625E-2</v>
      </c>
      <c r="Y19" s="158"/>
      <c r="Z19" s="40"/>
      <c r="AA19" s="40"/>
    </row>
    <row r="20" spans="2:27" ht="15" customHeight="1" x14ac:dyDescent="0.25">
      <c r="B20" s="79"/>
      <c r="C20" s="207" t="s">
        <v>347</v>
      </c>
      <c r="D20" s="208" t="s">
        <v>86</v>
      </c>
      <c r="E20" s="204">
        <v>1.3353E-2</v>
      </c>
      <c r="F20" s="29"/>
      <c r="G20" s="29"/>
      <c r="H20" s="29"/>
      <c r="I20" s="29"/>
      <c r="J20" s="29"/>
      <c r="K20" s="29"/>
      <c r="L20" s="29"/>
      <c r="M20" s="29"/>
      <c r="N20" s="29"/>
      <c r="O20" s="29"/>
      <c r="P20" s="29"/>
      <c r="Q20" s="29"/>
      <c r="R20" s="29"/>
      <c r="S20" s="29"/>
      <c r="T20" s="22"/>
      <c r="V20" s="158"/>
      <c r="W20" s="180" t="s">
        <v>24</v>
      </c>
      <c r="X20" s="239">
        <v>2.6314999999999998E-2</v>
      </c>
      <c r="Y20" s="158"/>
      <c r="Z20" s="40"/>
      <c r="AA20" s="40"/>
    </row>
    <row r="21" spans="2:27" ht="15" customHeight="1" x14ac:dyDescent="0.25">
      <c r="B21" s="79"/>
      <c r="C21" s="207" t="s">
        <v>268</v>
      </c>
      <c r="D21" s="208" t="s">
        <v>111</v>
      </c>
      <c r="E21" s="204">
        <v>1.3332E-2</v>
      </c>
      <c r="F21" s="29"/>
      <c r="G21" s="29"/>
      <c r="H21" s="29"/>
      <c r="I21" s="29"/>
      <c r="J21" s="29"/>
      <c r="K21" s="29"/>
      <c r="L21" s="29"/>
      <c r="M21" s="29"/>
      <c r="N21" s="29"/>
      <c r="O21" s="29"/>
      <c r="P21" s="29"/>
      <c r="Q21" s="29"/>
      <c r="R21" s="29"/>
      <c r="S21" s="29"/>
      <c r="T21" s="22"/>
      <c r="V21" s="158"/>
      <c r="W21" s="180" t="s">
        <v>112</v>
      </c>
      <c r="X21" s="239">
        <v>2.5579000000000001E-2</v>
      </c>
      <c r="Y21" s="158"/>
      <c r="Z21" s="40"/>
      <c r="AA21" s="40"/>
    </row>
    <row r="22" spans="2:27" ht="15" customHeight="1" x14ac:dyDescent="0.25">
      <c r="B22" s="79"/>
      <c r="C22" s="207" t="s">
        <v>70</v>
      </c>
      <c r="D22" s="208" t="s">
        <v>12</v>
      </c>
      <c r="E22" s="204">
        <v>1.3289E-2</v>
      </c>
      <c r="F22" s="29"/>
      <c r="G22" s="29"/>
      <c r="H22" s="29"/>
      <c r="I22" s="29"/>
      <c r="J22" s="29"/>
      <c r="K22" s="29"/>
      <c r="L22" s="29"/>
      <c r="M22" s="29"/>
      <c r="N22" s="29"/>
      <c r="O22" s="29"/>
      <c r="P22" s="29"/>
      <c r="Q22" s="29"/>
      <c r="R22" s="29"/>
      <c r="S22" s="29"/>
      <c r="T22" s="22"/>
      <c r="V22" s="158"/>
      <c r="W22" s="180" t="s">
        <v>108</v>
      </c>
      <c r="X22" s="239">
        <v>2.2932000000000001E-2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10</v>
      </c>
      <c r="X23" s="239">
        <v>2.2502999999999999E-2</v>
      </c>
      <c r="Y23" s="158"/>
      <c r="Z23" s="40"/>
      <c r="AA23" s="40"/>
    </row>
    <row r="24" spans="2:27" ht="15" customHeight="1" x14ac:dyDescent="0.25">
      <c r="B24" s="79"/>
      <c r="C24" s="73" t="s">
        <v>55</v>
      </c>
      <c r="D24" s="74"/>
      <c r="E24" s="75">
        <f>SUM(E8:E22)</f>
        <v>0.31890099999999999</v>
      </c>
      <c r="F24" s="29"/>
      <c r="G24" s="29"/>
      <c r="H24" s="29"/>
      <c r="I24" s="29"/>
      <c r="J24" s="29"/>
      <c r="K24" s="29"/>
      <c r="L24" s="29"/>
      <c r="M24" s="29"/>
      <c r="N24" s="29"/>
      <c r="O24" s="29"/>
      <c r="P24" s="29"/>
      <c r="Q24" s="29"/>
      <c r="R24" s="29"/>
      <c r="S24" s="29"/>
      <c r="T24" s="22"/>
      <c r="V24" s="158"/>
      <c r="W24" s="180" t="s">
        <v>106</v>
      </c>
      <c r="X24" s="239">
        <v>2.0227999999999999E-2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137</v>
      </c>
      <c r="X25" s="239">
        <v>1.8499999999999999E-2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84</v>
      </c>
      <c r="X26" s="239">
        <v>1.7323000000000002E-2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83</v>
      </c>
      <c r="X27" s="239">
        <v>1.5737000000000001E-2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126</v>
      </c>
      <c r="X28" s="239">
        <v>1.4525E-2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12</v>
      </c>
      <c r="X29" s="239">
        <v>1.3289E-2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114</v>
      </c>
      <c r="X30" s="239">
        <v>1.2244E-2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117</v>
      </c>
      <c r="X31" s="239">
        <v>1.1077999999999999E-2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119</v>
      </c>
      <c r="X32" s="239">
        <v>1.0884E-2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219</v>
      </c>
      <c r="X33" s="239">
        <v>1.0732E-2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11</v>
      </c>
      <c r="X34" s="239">
        <v>1.0430999999999999E-2</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13</v>
      </c>
      <c r="X35" s="239">
        <v>1.0343E-2</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121</v>
      </c>
      <c r="X36" s="239">
        <v>9.9869999999999994E-3</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133</v>
      </c>
      <c r="X37" s="239">
        <v>9.5610000000000001E-3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185</v>
      </c>
      <c r="X38" s="239">
        <v>9.3810000000000004E-3</v>
      </c>
    </row>
    <row r="39" spans="2:27" ht="15" customHeight="1" thickBot="1" x14ac:dyDescent="0.3">
      <c r="W39" s="180" t="s">
        <v>85</v>
      </c>
      <c r="X39" s="239">
        <v>9.274000000000001E-3</v>
      </c>
    </row>
    <row r="40" spans="2:27" ht="15" customHeight="1" x14ac:dyDescent="0.25">
      <c r="B40" s="268" t="s">
        <v>182</v>
      </c>
      <c r="C40" s="269"/>
      <c r="D40" s="269"/>
      <c r="E40" s="269"/>
      <c r="F40" s="269"/>
      <c r="G40" s="269"/>
      <c r="H40" s="269"/>
      <c r="I40" s="269"/>
      <c r="J40" s="269"/>
      <c r="K40" s="269"/>
      <c r="L40" s="269"/>
      <c r="M40" s="269"/>
      <c r="N40" s="269"/>
      <c r="O40" s="269"/>
      <c r="P40" s="269"/>
      <c r="Q40" s="269"/>
      <c r="R40" s="270"/>
      <c r="W40" s="19" t="s">
        <v>116</v>
      </c>
      <c r="X40" s="239">
        <v>7.7210000000000004E-3</v>
      </c>
    </row>
    <row r="41" spans="2:27" ht="15" customHeight="1" x14ac:dyDescent="0.25">
      <c r="B41" s="271"/>
      <c r="C41" s="272"/>
      <c r="D41" s="272"/>
      <c r="E41" s="272"/>
      <c r="F41" s="272"/>
      <c r="G41" s="272"/>
      <c r="H41" s="272"/>
      <c r="I41" s="272"/>
      <c r="J41" s="272"/>
      <c r="K41" s="272"/>
      <c r="L41" s="272"/>
      <c r="M41" s="272"/>
      <c r="N41" s="272"/>
      <c r="O41" s="272"/>
      <c r="P41" s="272"/>
      <c r="Q41" s="272"/>
      <c r="R41" s="273"/>
      <c r="W41" s="19" t="s">
        <v>146</v>
      </c>
      <c r="X41" s="239">
        <v>5.4850000000000003E-3</v>
      </c>
    </row>
    <row r="42" spans="2:27" ht="15" customHeight="1" x14ac:dyDescent="0.25">
      <c r="B42" s="271"/>
      <c r="C42" s="272"/>
      <c r="D42" s="272"/>
      <c r="E42" s="272"/>
      <c r="F42" s="272"/>
      <c r="G42" s="272"/>
      <c r="H42" s="272"/>
      <c r="I42" s="272"/>
      <c r="J42" s="272"/>
      <c r="K42" s="272"/>
      <c r="L42" s="272"/>
      <c r="M42" s="272"/>
      <c r="N42" s="272"/>
      <c r="O42" s="272"/>
      <c r="P42" s="272"/>
      <c r="Q42" s="272"/>
      <c r="R42" s="273"/>
      <c r="W42" s="19" t="s">
        <v>15</v>
      </c>
      <c r="X42" s="239">
        <v>4.6829999999999997E-3</v>
      </c>
    </row>
    <row r="43" spans="2:27" ht="15" customHeight="1" x14ac:dyDescent="0.25">
      <c r="B43" s="271"/>
      <c r="C43" s="272"/>
      <c r="D43" s="272"/>
      <c r="E43" s="272"/>
      <c r="F43" s="272"/>
      <c r="G43" s="272"/>
      <c r="H43" s="272"/>
      <c r="I43" s="272"/>
      <c r="J43" s="272"/>
      <c r="K43" s="272"/>
      <c r="L43" s="272"/>
      <c r="M43" s="272"/>
      <c r="N43" s="272"/>
      <c r="O43" s="272"/>
      <c r="P43" s="272"/>
      <c r="Q43" s="272"/>
      <c r="R43" s="273"/>
      <c r="W43" s="19" t="s">
        <v>115</v>
      </c>
      <c r="X43" s="239">
        <v>3.692E-3</v>
      </c>
    </row>
    <row r="44" spans="2:27" ht="15" customHeight="1" x14ac:dyDescent="0.25">
      <c r="B44" s="271"/>
      <c r="C44" s="272"/>
      <c r="D44" s="272"/>
      <c r="E44" s="272"/>
      <c r="F44" s="272"/>
      <c r="G44" s="272"/>
      <c r="H44" s="272"/>
      <c r="I44" s="272"/>
      <c r="J44" s="272"/>
      <c r="K44" s="272"/>
      <c r="L44" s="272"/>
      <c r="M44" s="272"/>
      <c r="N44" s="272"/>
      <c r="O44" s="272"/>
      <c r="P44" s="272"/>
      <c r="Q44" s="272"/>
      <c r="R44" s="273"/>
      <c r="W44" s="19" t="s">
        <v>123</v>
      </c>
      <c r="X44" s="239">
        <v>2.1749999999999999E-3</v>
      </c>
    </row>
    <row r="45" spans="2:27" ht="15" customHeight="1" x14ac:dyDescent="0.25">
      <c r="B45" s="271"/>
      <c r="C45" s="272"/>
      <c r="D45" s="272"/>
      <c r="E45" s="272"/>
      <c r="F45" s="272"/>
      <c r="G45" s="272"/>
      <c r="H45" s="272"/>
      <c r="I45" s="272"/>
      <c r="J45" s="272"/>
      <c r="K45" s="272"/>
      <c r="L45" s="272"/>
      <c r="M45" s="272"/>
      <c r="N45" s="272"/>
      <c r="O45" s="272"/>
      <c r="P45" s="272"/>
      <c r="Q45" s="272"/>
      <c r="R45" s="273"/>
    </row>
    <row r="46" spans="2:27" ht="21.75" customHeight="1" thickBot="1" x14ac:dyDescent="0.3">
      <c r="B46" s="274"/>
      <c r="C46" s="275"/>
      <c r="D46" s="275"/>
      <c r="E46" s="275"/>
      <c r="F46" s="275"/>
      <c r="G46" s="275"/>
      <c r="H46" s="275"/>
      <c r="I46" s="275"/>
      <c r="J46" s="275"/>
      <c r="K46" s="275"/>
      <c r="L46" s="275"/>
      <c r="M46" s="275"/>
      <c r="N46" s="275"/>
      <c r="O46" s="275"/>
      <c r="P46" s="275"/>
      <c r="Q46" s="275"/>
      <c r="R46" s="276"/>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7" t="s">
        <v>166</v>
      </c>
      <c r="D3" s="277"/>
      <c r="E3" s="277"/>
      <c r="F3" s="277"/>
      <c r="G3" s="277"/>
      <c r="H3" s="277"/>
      <c r="I3" s="277"/>
      <c r="J3" s="277"/>
      <c r="K3" s="277"/>
      <c r="L3" s="277"/>
      <c r="M3" s="277"/>
      <c r="N3" s="277"/>
      <c r="O3" s="277"/>
      <c r="P3" s="277"/>
      <c r="Q3" s="277"/>
      <c r="R3" s="277"/>
      <c r="S3" s="277"/>
      <c r="T3" s="22"/>
      <c r="V3" s="40"/>
      <c r="W3" s="40"/>
      <c r="X3" s="40"/>
      <c r="Y3" s="40"/>
      <c r="Z3" s="40"/>
      <c r="AA3" s="40"/>
    </row>
    <row r="4" spans="1:27" ht="15.75" customHeight="1" x14ac:dyDescent="0.25">
      <c r="B4" s="79"/>
      <c r="C4" s="67" t="s">
        <v>405</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406</v>
      </c>
      <c r="D5" s="279" t="s">
        <v>374</v>
      </c>
      <c r="E5" s="279"/>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3" t="s">
        <v>29</v>
      </c>
      <c r="D8" s="194" t="s">
        <v>3</v>
      </c>
      <c r="E8" s="203">
        <v>7.8109999999999999E-2</v>
      </c>
      <c r="F8" s="29"/>
      <c r="G8" s="29"/>
      <c r="H8" s="29"/>
      <c r="I8" s="29"/>
      <c r="J8" s="29"/>
      <c r="K8" s="29"/>
      <c r="L8" s="29"/>
      <c r="M8" s="29"/>
      <c r="N8" s="29"/>
      <c r="O8" s="29"/>
      <c r="P8" s="29"/>
      <c r="Q8" s="29"/>
      <c r="R8" s="29"/>
      <c r="S8" s="29"/>
      <c r="T8" s="22"/>
      <c r="V8" s="158"/>
      <c r="W8" s="61" t="s">
        <v>3</v>
      </c>
      <c r="X8" s="211">
        <v>0.214397</v>
      </c>
      <c r="Y8" s="158"/>
      <c r="Z8" s="40"/>
      <c r="AA8" s="40"/>
    </row>
    <row r="9" spans="1:27" ht="15.75" customHeight="1" x14ac:dyDescent="0.25">
      <c r="B9" s="79"/>
      <c r="C9" s="188" t="s">
        <v>32</v>
      </c>
      <c r="D9" s="196" t="s">
        <v>3</v>
      </c>
      <c r="E9" s="204">
        <v>7.2668999999999997E-2</v>
      </c>
      <c r="F9" s="29"/>
      <c r="G9" s="29"/>
      <c r="H9" s="29"/>
      <c r="I9" s="29"/>
      <c r="J9" s="29"/>
      <c r="K9" s="29"/>
      <c r="L9" s="29"/>
      <c r="M9" s="29"/>
      <c r="N9" s="29"/>
      <c r="O9" s="29"/>
      <c r="P9" s="29"/>
      <c r="Q9" s="29"/>
      <c r="R9" s="29"/>
      <c r="S9" s="29"/>
      <c r="T9" s="22"/>
      <c r="V9" s="158"/>
      <c r="W9" s="61" t="s">
        <v>107</v>
      </c>
      <c r="X9" s="211">
        <v>8.2154000000000005E-2</v>
      </c>
      <c r="Y9" s="158"/>
      <c r="Z9" s="40"/>
      <c r="AA9" s="40"/>
    </row>
    <row r="10" spans="1:27" ht="15" customHeight="1" x14ac:dyDescent="0.25">
      <c r="B10" s="79"/>
      <c r="C10" s="188" t="s">
        <v>31</v>
      </c>
      <c r="D10" s="196" t="s">
        <v>6</v>
      </c>
      <c r="E10" s="204">
        <v>4.5997999999999997E-2</v>
      </c>
      <c r="F10" s="29"/>
      <c r="G10" s="29"/>
      <c r="H10" s="29"/>
      <c r="I10" s="29"/>
      <c r="J10" s="29"/>
      <c r="K10" s="29"/>
      <c r="L10" s="29"/>
      <c r="M10" s="29"/>
      <c r="N10" s="29"/>
      <c r="O10" s="29"/>
      <c r="P10" s="29"/>
      <c r="Q10" s="29"/>
      <c r="R10" s="29"/>
      <c r="S10" s="29"/>
      <c r="T10" s="22"/>
      <c r="V10" s="158"/>
      <c r="W10" s="61" t="s">
        <v>26</v>
      </c>
      <c r="X10" s="211">
        <v>6.2941999999999998E-2</v>
      </c>
      <c r="Y10" s="158"/>
      <c r="Z10" s="40"/>
      <c r="AA10" s="40"/>
    </row>
    <row r="11" spans="1:27" ht="15" customHeight="1" x14ac:dyDescent="0.25">
      <c r="B11" s="79"/>
      <c r="C11" s="188" t="s">
        <v>28</v>
      </c>
      <c r="D11" s="196" t="s">
        <v>107</v>
      </c>
      <c r="E11" s="204">
        <v>4.1112999999999997E-2</v>
      </c>
      <c r="F11" s="29"/>
      <c r="G11" s="29"/>
      <c r="H11" s="29"/>
      <c r="I11" s="29"/>
      <c r="J11" s="29"/>
      <c r="K11" s="29"/>
      <c r="L11" s="29"/>
      <c r="M11" s="29"/>
      <c r="N11" s="29"/>
      <c r="O11" s="29"/>
      <c r="P11" s="29"/>
      <c r="Q11" s="29"/>
      <c r="R11" s="29"/>
      <c r="S11" s="29"/>
      <c r="T11" s="22"/>
      <c r="V11" s="158"/>
      <c r="W11" s="61" t="s">
        <v>4</v>
      </c>
      <c r="X11" s="211">
        <v>5.8994999999999999E-2</v>
      </c>
      <c r="Y11" s="158"/>
      <c r="Z11" s="40"/>
      <c r="AA11" s="40"/>
    </row>
    <row r="12" spans="1:27" ht="15" customHeight="1" x14ac:dyDescent="0.25">
      <c r="B12" s="79"/>
      <c r="C12" s="188" t="s">
        <v>36</v>
      </c>
      <c r="D12" s="196" t="s">
        <v>3</v>
      </c>
      <c r="E12" s="204">
        <v>3.124E-2</v>
      </c>
      <c r="F12" s="29"/>
      <c r="G12" s="29"/>
      <c r="H12" s="29"/>
      <c r="I12" s="29"/>
      <c r="J12" s="29"/>
      <c r="K12" s="29"/>
      <c r="L12" s="29"/>
      <c r="M12" s="29"/>
      <c r="N12" s="29"/>
      <c r="O12" s="29"/>
      <c r="P12" s="29"/>
      <c r="Q12" s="29"/>
      <c r="R12" s="29"/>
      <c r="S12" s="29"/>
      <c r="T12" s="22"/>
      <c r="V12" s="158"/>
      <c r="W12" s="61" t="s">
        <v>111</v>
      </c>
      <c r="X12" s="211">
        <v>5.5116999999999999E-2</v>
      </c>
      <c r="Y12" s="158"/>
      <c r="Z12" s="40"/>
      <c r="AA12" s="40"/>
    </row>
    <row r="13" spans="1:27" ht="15" customHeight="1" x14ac:dyDescent="0.25">
      <c r="B13" s="79"/>
      <c r="C13" s="188" t="s">
        <v>33</v>
      </c>
      <c r="D13" s="196" t="s">
        <v>107</v>
      </c>
      <c r="E13" s="204">
        <v>2.9881999999999999E-2</v>
      </c>
      <c r="F13" s="29"/>
      <c r="G13" s="29"/>
      <c r="H13" s="29"/>
      <c r="I13" s="29"/>
      <c r="J13" s="29"/>
      <c r="K13" s="29"/>
      <c r="L13" s="29"/>
      <c r="M13" s="29"/>
      <c r="N13" s="29"/>
      <c r="O13" s="29"/>
      <c r="P13" s="29"/>
      <c r="Q13" s="29"/>
      <c r="R13" s="29"/>
      <c r="S13" s="29"/>
      <c r="T13" s="22"/>
      <c r="V13" s="158"/>
      <c r="W13" s="61" t="s">
        <v>112</v>
      </c>
      <c r="X13" s="211">
        <v>5.0487999999999998E-2</v>
      </c>
      <c r="Y13" s="158"/>
      <c r="Z13" s="40"/>
      <c r="AA13" s="40"/>
    </row>
    <row r="14" spans="1:27" ht="15" customHeight="1" x14ac:dyDescent="0.25">
      <c r="B14" s="79"/>
      <c r="C14" s="188" t="s">
        <v>70</v>
      </c>
      <c r="D14" s="196" t="s">
        <v>12</v>
      </c>
      <c r="E14" s="204">
        <v>2.7185000000000001E-2</v>
      </c>
      <c r="F14" s="29"/>
      <c r="G14" s="29"/>
      <c r="H14" s="29"/>
      <c r="I14" s="29"/>
      <c r="J14" s="29"/>
      <c r="K14" s="29"/>
      <c r="L14" s="29"/>
      <c r="M14" s="29"/>
      <c r="N14" s="29"/>
      <c r="O14" s="29"/>
      <c r="P14" s="29"/>
      <c r="Q14" s="29"/>
      <c r="R14" s="29"/>
      <c r="S14" s="29"/>
      <c r="T14" s="22"/>
      <c r="V14" s="158"/>
      <c r="W14" s="61" t="s">
        <v>6</v>
      </c>
      <c r="X14" s="211">
        <v>4.5997999999999997E-2</v>
      </c>
      <c r="Y14" s="158"/>
      <c r="Z14" s="40"/>
      <c r="AA14" s="40"/>
    </row>
    <row r="15" spans="1:27" ht="15.75" customHeight="1" x14ac:dyDescent="0.25">
      <c r="B15" s="79"/>
      <c r="C15" s="188" t="s">
        <v>37</v>
      </c>
      <c r="D15" s="196" t="s">
        <v>117</v>
      </c>
      <c r="E15" s="204">
        <v>2.5509E-2</v>
      </c>
      <c r="F15" s="29"/>
      <c r="G15" s="29"/>
      <c r="H15" s="29"/>
      <c r="I15" s="29"/>
      <c r="J15" s="29"/>
      <c r="K15" s="29"/>
      <c r="L15" s="29"/>
      <c r="M15" s="29"/>
      <c r="N15" s="29"/>
      <c r="O15" s="29"/>
      <c r="P15" s="29"/>
      <c r="Q15" s="29"/>
      <c r="R15" s="29"/>
      <c r="S15" s="29"/>
      <c r="T15" s="22"/>
      <c r="V15" s="158"/>
      <c r="W15" s="61" t="s">
        <v>117</v>
      </c>
      <c r="X15" s="211">
        <v>4.1110000000000001E-2</v>
      </c>
      <c r="Y15" s="158"/>
      <c r="Z15" s="40"/>
      <c r="AA15" s="40"/>
    </row>
    <row r="16" spans="1:27" ht="15" customHeight="1" x14ac:dyDescent="0.25">
      <c r="B16" s="79"/>
      <c r="C16" s="188" t="s">
        <v>81</v>
      </c>
      <c r="D16" s="196" t="s">
        <v>4</v>
      </c>
      <c r="E16" s="204">
        <v>2.0674999999999999E-2</v>
      </c>
      <c r="F16" s="29"/>
      <c r="G16" s="29"/>
      <c r="H16" s="29"/>
      <c r="I16" s="29"/>
      <c r="J16" s="29"/>
      <c r="K16" s="29"/>
      <c r="L16" s="29"/>
      <c r="M16" s="29"/>
      <c r="N16" s="29"/>
      <c r="O16" s="29"/>
      <c r="P16" s="29"/>
      <c r="Q16" s="29"/>
      <c r="R16" s="29"/>
      <c r="S16" s="29"/>
      <c r="T16" s="22"/>
      <c r="V16" s="158"/>
      <c r="W16" s="61" t="s">
        <v>23</v>
      </c>
      <c r="X16" s="211">
        <v>3.9189000000000002E-2</v>
      </c>
      <c r="Y16" s="158"/>
      <c r="Z16" s="40"/>
      <c r="AA16" s="40"/>
    </row>
    <row r="17" spans="2:27" ht="15.75" customHeight="1" x14ac:dyDescent="0.25">
      <c r="B17" s="79"/>
      <c r="C17" s="188" t="s">
        <v>226</v>
      </c>
      <c r="D17" s="196" t="s">
        <v>26</v>
      </c>
      <c r="E17" s="204">
        <v>1.9332999999999999E-2</v>
      </c>
      <c r="F17" s="29"/>
      <c r="G17" s="29"/>
      <c r="H17" s="29"/>
      <c r="I17" s="29"/>
      <c r="J17" s="29"/>
      <c r="K17" s="29"/>
      <c r="L17" s="29"/>
      <c r="M17" s="29"/>
      <c r="N17" s="29"/>
      <c r="O17" s="29"/>
      <c r="P17" s="29"/>
      <c r="Q17" s="29"/>
      <c r="R17" s="29"/>
      <c r="S17" s="29"/>
      <c r="T17" s="22"/>
      <c r="V17" s="158"/>
      <c r="W17" s="61" t="s">
        <v>86</v>
      </c>
      <c r="X17" s="211">
        <v>2.8998999999999997E-2</v>
      </c>
      <c r="Y17" s="158"/>
      <c r="Z17" s="40"/>
      <c r="AA17" s="40"/>
    </row>
    <row r="18" spans="2:27" ht="15.75" x14ac:dyDescent="0.25">
      <c r="B18" s="79"/>
      <c r="C18" s="188" t="s">
        <v>348</v>
      </c>
      <c r="D18" s="196" t="s">
        <v>26</v>
      </c>
      <c r="E18" s="204">
        <v>1.8981999999999999E-2</v>
      </c>
      <c r="F18" s="29"/>
      <c r="G18" s="29"/>
      <c r="H18" s="29"/>
      <c r="I18" s="29"/>
      <c r="J18" s="29"/>
      <c r="K18" s="29"/>
      <c r="L18" s="29"/>
      <c r="M18" s="29"/>
      <c r="N18" s="29"/>
      <c r="O18" s="29"/>
      <c r="P18" s="29"/>
      <c r="Q18" s="29"/>
      <c r="R18" s="29"/>
      <c r="S18" s="29"/>
      <c r="T18" s="22"/>
      <c r="V18" s="158"/>
      <c r="W18" s="61" t="s">
        <v>24</v>
      </c>
      <c r="X18" s="211">
        <v>2.7630000000000002E-2</v>
      </c>
      <c r="Y18" s="158"/>
      <c r="Z18" s="40"/>
      <c r="AA18" s="40"/>
    </row>
    <row r="19" spans="2:27" ht="15.75" customHeight="1" x14ac:dyDescent="0.25">
      <c r="B19" s="79"/>
      <c r="C19" s="188" t="s">
        <v>96</v>
      </c>
      <c r="D19" s="196" t="s">
        <v>112</v>
      </c>
      <c r="E19" s="204">
        <v>1.8047000000000001E-2</v>
      </c>
      <c r="F19" s="29"/>
      <c r="G19" s="29"/>
      <c r="H19" s="29"/>
      <c r="I19" s="29"/>
      <c r="J19" s="29"/>
      <c r="K19" s="29"/>
      <c r="L19" s="29"/>
      <c r="M19" s="29"/>
      <c r="N19" s="29"/>
      <c r="O19" s="29"/>
      <c r="P19" s="29"/>
      <c r="Q19" s="29"/>
      <c r="R19" s="29"/>
      <c r="S19" s="29"/>
      <c r="T19" s="22"/>
      <c r="V19" s="158"/>
      <c r="W19" s="61" t="s">
        <v>12</v>
      </c>
      <c r="X19" s="211">
        <v>2.7185000000000001E-2</v>
      </c>
      <c r="Y19" s="158"/>
      <c r="Z19" s="40"/>
      <c r="AA19" s="40"/>
    </row>
    <row r="20" spans="2:27" ht="15" customHeight="1" x14ac:dyDescent="0.25">
      <c r="B20" s="79"/>
      <c r="C20" s="188" t="s">
        <v>34</v>
      </c>
      <c r="D20" s="196" t="s">
        <v>23</v>
      </c>
      <c r="E20" s="204">
        <v>1.8034000000000001E-2</v>
      </c>
      <c r="F20" s="29"/>
      <c r="G20" s="29"/>
      <c r="H20" s="29"/>
      <c r="I20" s="29"/>
      <c r="J20" s="29"/>
      <c r="K20" s="29"/>
      <c r="L20" s="29"/>
      <c r="M20" s="29"/>
      <c r="N20" s="29"/>
      <c r="O20" s="29"/>
      <c r="P20" s="29"/>
      <c r="Q20" s="29"/>
      <c r="R20" s="29"/>
      <c r="S20" s="29"/>
      <c r="T20" s="22"/>
      <c r="V20" s="158"/>
      <c r="W20" s="61" t="s">
        <v>10</v>
      </c>
      <c r="X20" s="211">
        <v>2.5350999999999999E-2</v>
      </c>
      <c r="Y20" s="158"/>
      <c r="Z20" s="40"/>
      <c r="AA20" s="40"/>
    </row>
    <row r="21" spans="2:27" ht="15" customHeight="1" x14ac:dyDescent="0.25">
      <c r="B21" s="79"/>
      <c r="C21" s="188" t="s">
        <v>269</v>
      </c>
      <c r="D21" s="196" t="s">
        <v>16</v>
      </c>
      <c r="E21" s="204">
        <v>1.7401E-2</v>
      </c>
      <c r="F21" s="29"/>
      <c r="G21" s="29"/>
      <c r="H21" s="29"/>
      <c r="I21" s="29"/>
      <c r="J21" s="29"/>
      <c r="K21" s="29"/>
      <c r="L21" s="29"/>
      <c r="M21" s="29"/>
      <c r="N21" s="29"/>
      <c r="O21" s="29"/>
      <c r="P21" s="29"/>
      <c r="Q21" s="29"/>
      <c r="R21" s="29"/>
      <c r="S21" s="29"/>
      <c r="T21" s="22"/>
      <c r="V21" s="158"/>
      <c r="W21" s="61" t="s">
        <v>16</v>
      </c>
      <c r="X21" s="211">
        <v>2.5307E-2</v>
      </c>
      <c r="Y21" s="158"/>
      <c r="Z21" s="40"/>
      <c r="AA21" s="40"/>
    </row>
    <row r="22" spans="2:27" ht="15" customHeight="1" x14ac:dyDescent="0.25">
      <c r="B22" s="79"/>
      <c r="C22" s="188" t="s">
        <v>104</v>
      </c>
      <c r="D22" s="196" t="s">
        <v>111</v>
      </c>
      <c r="E22" s="204">
        <v>1.6348000000000001E-2</v>
      </c>
      <c r="F22" s="29"/>
      <c r="G22" s="29"/>
      <c r="H22" s="29"/>
      <c r="I22" s="29"/>
      <c r="J22" s="29"/>
      <c r="K22" s="29"/>
      <c r="L22" s="29"/>
      <c r="M22" s="29"/>
      <c r="N22" s="29"/>
      <c r="O22" s="29"/>
      <c r="P22" s="29"/>
      <c r="Q22" s="29"/>
      <c r="R22" s="29"/>
      <c r="S22" s="29"/>
      <c r="T22" s="22"/>
      <c r="V22" s="158"/>
      <c r="W22" s="61" t="s">
        <v>119</v>
      </c>
      <c r="X22" s="211">
        <v>2.2106000000000001E-2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83</v>
      </c>
      <c r="X23" s="211">
        <v>1.7680999999999999E-2</v>
      </c>
      <c r="Y23" s="158"/>
      <c r="Z23" s="40"/>
      <c r="AA23" s="40"/>
    </row>
    <row r="24" spans="2:27" ht="15" customHeight="1" x14ac:dyDescent="0.25">
      <c r="B24" s="79"/>
      <c r="C24" s="73" t="s">
        <v>55</v>
      </c>
      <c r="D24" s="74"/>
      <c r="E24" s="75">
        <f>SUM(E8:E22)</f>
        <v>0.48052600000000001</v>
      </c>
      <c r="F24" s="29"/>
      <c r="G24" s="29"/>
      <c r="H24" s="29"/>
      <c r="I24" s="29"/>
      <c r="J24" s="29"/>
      <c r="K24" s="29"/>
      <c r="L24" s="29"/>
      <c r="M24" s="29"/>
      <c r="N24" s="29"/>
      <c r="O24" s="29"/>
      <c r="P24" s="29"/>
      <c r="Q24" s="29"/>
      <c r="R24" s="29"/>
      <c r="S24" s="29"/>
      <c r="T24" s="22"/>
      <c r="V24" s="158"/>
      <c r="W24" s="61" t="s">
        <v>110</v>
      </c>
      <c r="X24" s="211">
        <v>1.4190000000000001E-2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113</v>
      </c>
      <c r="X25" s="211">
        <v>1.2589999999999999E-2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11</v>
      </c>
      <c r="X26" s="211">
        <v>1.255E-2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108</v>
      </c>
      <c r="X27" s="211">
        <v>1.2311000000000001E-2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126</v>
      </c>
      <c r="X28" s="211">
        <v>1.0567E-2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84</v>
      </c>
      <c r="X29" s="211">
        <v>1.047E-2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121</v>
      </c>
      <c r="X30" s="211">
        <v>9.9389999999999999E-3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77</v>
      </c>
      <c r="X31" s="211">
        <v>9.4579999999999994E-3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131</v>
      </c>
      <c r="X32" s="211">
        <v>9.2449999999999997E-3</v>
      </c>
    </row>
    <row r="33" spans="2:24" ht="15" customHeight="1" thickBot="1" x14ac:dyDescent="0.3">
      <c r="W33" s="19" t="s">
        <v>15</v>
      </c>
      <c r="X33" s="211">
        <v>8.2979999999999998E-3</v>
      </c>
    </row>
    <row r="34" spans="2:24" ht="15" customHeight="1" x14ac:dyDescent="0.25">
      <c r="B34" s="268" t="s">
        <v>182</v>
      </c>
      <c r="C34" s="269"/>
      <c r="D34" s="269"/>
      <c r="E34" s="269"/>
      <c r="F34" s="269"/>
      <c r="G34" s="269"/>
      <c r="H34" s="269"/>
      <c r="I34" s="269"/>
      <c r="J34" s="269"/>
      <c r="K34" s="269"/>
      <c r="L34" s="269"/>
      <c r="M34" s="269"/>
      <c r="N34" s="269"/>
      <c r="O34" s="269"/>
      <c r="P34" s="269"/>
      <c r="Q34" s="269"/>
      <c r="R34" s="270"/>
      <c r="W34" s="19" t="s">
        <v>133</v>
      </c>
      <c r="X34" s="211">
        <v>7.5919999999999998E-3</v>
      </c>
    </row>
    <row r="35" spans="2:24" ht="15" customHeight="1" x14ac:dyDescent="0.25">
      <c r="B35" s="271"/>
      <c r="C35" s="272"/>
      <c r="D35" s="272"/>
      <c r="E35" s="272"/>
      <c r="F35" s="272"/>
      <c r="G35" s="272"/>
      <c r="H35" s="272"/>
      <c r="I35" s="272"/>
      <c r="J35" s="272"/>
      <c r="K35" s="272"/>
      <c r="L35" s="272"/>
      <c r="M35" s="272"/>
      <c r="N35" s="272"/>
      <c r="O35" s="272"/>
      <c r="P35" s="272"/>
      <c r="Q35" s="272"/>
      <c r="R35" s="273"/>
      <c r="W35" s="19" t="s">
        <v>219</v>
      </c>
      <c r="X35" s="211">
        <v>6.0140000000000002E-3</v>
      </c>
    </row>
    <row r="36" spans="2:24" ht="15" customHeight="1" x14ac:dyDescent="0.25">
      <c r="B36" s="271"/>
      <c r="C36" s="272"/>
      <c r="D36" s="272"/>
      <c r="E36" s="272"/>
      <c r="F36" s="272"/>
      <c r="G36" s="272"/>
      <c r="H36" s="272"/>
      <c r="I36" s="272"/>
      <c r="J36" s="272"/>
      <c r="K36" s="272"/>
      <c r="L36" s="272"/>
      <c r="M36" s="272"/>
      <c r="N36" s="272"/>
      <c r="O36" s="272"/>
      <c r="P36" s="272"/>
      <c r="Q36" s="272"/>
      <c r="R36" s="273"/>
      <c r="W36" s="19" t="s">
        <v>122</v>
      </c>
      <c r="X36" s="211">
        <v>5.8599999999999998E-3</v>
      </c>
    </row>
    <row r="37" spans="2:24" ht="15" customHeight="1" x14ac:dyDescent="0.25">
      <c r="B37" s="271"/>
      <c r="C37" s="272"/>
      <c r="D37" s="272"/>
      <c r="E37" s="272"/>
      <c r="F37" s="272"/>
      <c r="G37" s="272"/>
      <c r="H37" s="272"/>
      <c r="I37" s="272"/>
      <c r="J37" s="272"/>
      <c r="K37" s="272"/>
      <c r="L37" s="272"/>
      <c r="M37" s="272"/>
      <c r="N37" s="272"/>
      <c r="O37" s="272"/>
      <c r="P37" s="272"/>
      <c r="Q37" s="272"/>
      <c r="R37" s="273"/>
      <c r="W37" s="19" t="s">
        <v>146</v>
      </c>
      <c r="X37" s="211">
        <v>5.5360000000000001E-3</v>
      </c>
    </row>
    <row r="38" spans="2:24" ht="15" customHeight="1" x14ac:dyDescent="0.25">
      <c r="B38" s="271"/>
      <c r="C38" s="272"/>
      <c r="D38" s="272"/>
      <c r="E38" s="272"/>
      <c r="F38" s="272"/>
      <c r="G38" s="272"/>
      <c r="H38" s="272"/>
      <c r="I38" s="272"/>
      <c r="J38" s="272"/>
      <c r="K38" s="272"/>
      <c r="L38" s="272"/>
      <c r="M38" s="272"/>
      <c r="N38" s="272"/>
      <c r="O38" s="272"/>
      <c r="P38" s="272"/>
      <c r="Q38" s="272"/>
      <c r="R38" s="273"/>
      <c r="W38" s="19" t="s">
        <v>118</v>
      </c>
      <c r="X38" s="211">
        <v>4.8849999999999996E-3</v>
      </c>
    </row>
    <row r="39" spans="2:24" ht="15" customHeight="1" x14ac:dyDescent="0.25">
      <c r="B39" s="271"/>
      <c r="C39" s="272"/>
      <c r="D39" s="272"/>
      <c r="E39" s="272"/>
      <c r="F39" s="272"/>
      <c r="G39" s="272"/>
      <c r="H39" s="272"/>
      <c r="I39" s="272"/>
      <c r="J39" s="272"/>
      <c r="K39" s="272"/>
      <c r="L39" s="272"/>
      <c r="M39" s="272"/>
      <c r="N39" s="272"/>
      <c r="O39" s="272"/>
      <c r="P39" s="272"/>
      <c r="Q39" s="272"/>
      <c r="R39" s="273"/>
      <c r="W39" s="19" t="s">
        <v>123</v>
      </c>
      <c r="X39" s="211">
        <v>4.8300000000000001E-3</v>
      </c>
    </row>
    <row r="40" spans="2:24" ht="21.75" customHeight="1" thickBot="1" x14ac:dyDescent="0.3">
      <c r="B40" s="274"/>
      <c r="C40" s="275"/>
      <c r="D40" s="275"/>
      <c r="E40" s="275"/>
      <c r="F40" s="275"/>
      <c r="G40" s="275"/>
      <c r="H40" s="275"/>
      <c r="I40" s="275"/>
      <c r="J40" s="275"/>
      <c r="K40" s="275"/>
      <c r="L40" s="275"/>
      <c r="M40" s="275"/>
      <c r="N40" s="275"/>
      <c r="O40" s="275"/>
      <c r="P40" s="275"/>
      <c r="Q40" s="275"/>
      <c r="R40" s="276"/>
      <c r="X40" s="211"/>
    </row>
    <row r="41" spans="2:24" ht="15" customHeight="1" x14ac:dyDescent="0.25">
      <c r="X41" s="211"/>
    </row>
    <row r="42" spans="2:24" ht="15" customHeight="1" x14ac:dyDescent="0.25">
      <c r="X42" s="211"/>
    </row>
    <row r="43" spans="2:24" ht="15" customHeight="1" x14ac:dyDescent="0.25">
      <c r="X43" s="211"/>
    </row>
    <row r="44" spans="2:24" ht="15" customHeight="1" x14ac:dyDescent="0.25">
      <c r="X44" s="211"/>
    </row>
    <row r="45" spans="2:24" ht="15" customHeight="1" x14ac:dyDescent="0.25">
      <c r="X45" s="21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election activeCell="E16" sqref="E16"/>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211</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409</v>
      </c>
      <c r="E5" s="279"/>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272</v>
      </c>
      <c r="D8" s="194" t="s">
        <v>115</v>
      </c>
      <c r="E8" s="195">
        <v>2.6117999999999999E-2</v>
      </c>
      <c r="F8" s="29"/>
      <c r="G8" s="29"/>
      <c r="H8" s="29"/>
      <c r="I8" s="29"/>
      <c r="J8" s="29"/>
      <c r="K8" s="29"/>
      <c r="L8" s="29"/>
      <c r="M8" s="29"/>
      <c r="N8" s="29"/>
      <c r="O8" s="29"/>
      <c r="P8" s="29"/>
      <c r="Q8" s="29"/>
      <c r="R8" s="29"/>
      <c r="S8" s="29"/>
      <c r="T8" s="22"/>
      <c r="W8" s="173" t="s">
        <v>4</v>
      </c>
      <c r="X8" s="174">
        <v>0.102432</v>
      </c>
    </row>
    <row r="9" spans="1:24" ht="15.75" customHeight="1" x14ac:dyDescent="0.25">
      <c r="B9" s="79"/>
      <c r="C9" s="188" t="s">
        <v>263</v>
      </c>
      <c r="D9" s="196" t="s">
        <v>116</v>
      </c>
      <c r="E9" s="197">
        <v>2.3833E-2</v>
      </c>
      <c r="F9" s="29"/>
      <c r="G9" s="29"/>
      <c r="H9" s="29"/>
      <c r="I9" s="29"/>
      <c r="J9" s="29"/>
      <c r="K9" s="29"/>
      <c r="L9" s="29"/>
      <c r="M9" s="29"/>
      <c r="N9" s="29"/>
      <c r="O9" s="29"/>
      <c r="P9" s="29"/>
      <c r="Q9" s="29"/>
      <c r="R9" s="29"/>
      <c r="S9" s="29"/>
      <c r="T9" s="22"/>
      <c r="W9" s="173" t="s">
        <v>111</v>
      </c>
      <c r="X9" s="174">
        <v>8.8983000000000007E-2</v>
      </c>
    </row>
    <row r="10" spans="1:24" ht="15" customHeight="1" x14ac:dyDescent="0.25">
      <c r="B10" s="79"/>
      <c r="C10" s="188" t="s">
        <v>191</v>
      </c>
      <c r="D10" s="196" t="s">
        <v>4</v>
      </c>
      <c r="E10" s="197">
        <v>2.1399000000000001E-2</v>
      </c>
      <c r="F10" s="29"/>
      <c r="G10" s="29"/>
      <c r="H10" s="29"/>
      <c r="I10" s="29"/>
      <c r="J10" s="29"/>
      <c r="K10" s="29"/>
      <c r="L10" s="29"/>
      <c r="M10" s="29"/>
      <c r="N10" s="29"/>
      <c r="O10" s="29"/>
      <c r="P10" s="29"/>
      <c r="Q10" s="29"/>
      <c r="R10" s="29"/>
      <c r="S10" s="29"/>
      <c r="T10" s="22"/>
      <c r="W10" s="173" t="s">
        <v>113</v>
      </c>
      <c r="X10" s="174">
        <v>6.191E-2</v>
      </c>
    </row>
    <row r="11" spans="1:24" ht="15" customHeight="1" x14ac:dyDescent="0.25">
      <c r="B11" s="79"/>
      <c r="C11" s="188" t="s">
        <v>305</v>
      </c>
      <c r="D11" s="196" t="s">
        <v>113</v>
      </c>
      <c r="E11" s="197">
        <v>2.0577999999999999E-2</v>
      </c>
      <c r="F11" s="29"/>
      <c r="G11" s="29"/>
      <c r="H11" s="29"/>
      <c r="I11" s="29"/>
      <c r="J11" s="29"/>
      <c r="K11" s="29"/>
      <c r="L11" s="29"/>
      <c r="M11" s="29"/>
      <c r="N11" s="29"/>
      <c r="O11" s="29"/>
      <c r="P11" s="29"/>
      <c r="Q11" s="29"/>
      <c r="R11" s="29"/>
      <c r="S11" s="29"/>
      <c r="T11" s="22"/>
      <c r="W11" s="173" t="s">
        <v>3</v>
      </c>
      <c r="X11" s="174">
        <v>5.9269999999999996E-2</v>
      </c>
    </row>
    <row r="12" spans="1:24" ht="15" customHeight="1" x14ac:dyDescent="0.25">
      <c r="B12" s="79"/>
      <c r="C12" s="188" t="s">
        <v>200</v>
      </c>
      <c r="D12" s="196" t="s">
        <v>122</v>
      </c>
      <c r="E12" s="197">
        <v>1.8089000000000001E-2</v>
      </c>
      <c r="F12" s="29"/>
      <c r="G12" s="29"/>
      <c r="H12" s="29"/>
      <c r="I12" s="29"/>
      <c r="J12" s="29"/>
      <c r="K12" s="29"/>
      <c r="L12" s="29"/>
      <c r="M12" s="29"/>
      <c r="N12" s="29"/>
      <c r="O12" s="29"/>
      <c r="P12" s="29"/>
      <c r="Q12" s="29"/>
      <c r="R12" s="29"/>
      <c r="S12" s="29"/>
      <c r="T12" s="22"/>
      <c r="W12" s="173" t="s">
        <v>24</v>
      </c>
      <c r="X12" s="174">
        <v>5.3062999999999999E-2</v>
      </c>
    </row>
    <row r="13" spans="1:24" ht="15" customHeight="1" x14ac:dyDescent="0.25">
      <c r="B13" s="79"/>
      <c r="C13" s="188" t="s">
        <v>285</v>
      </c>
      <c r="D13" s="196" t="s">
        <v>3</v>
      </c>
      <c r="E13" s="197">
        <v>1.5737999999999999E-2</v>
      </c>
      <c r="F13" s="29"/>
      <c r="G13" s="29"/>
      <c r="H13" s="29"/>
      <c r="I13" s="29"/>
      <c r="J13" s="29"/>
      <c r="K13" s="29"/>
      <c r="L13" s="29"/>
      <c r="M13" s="29"/>
      <c r="N13" s="29"/>
      <c r="O13" s="29"/>
      <c r="P13" s="29"/>
      <c r="Q13" s="29"/>
      <c r="R13" s="29"/>
      <c r="S13" s="29"/>
      <c r="T13" s="22"/>
      <c r="W13" s="173" t="s">
        <v>85</v>
      </c>
      <c r="X13" s="174">
        <v>4.9462000000000006E-2</v>
      </c>
    </row>
    <row r="14" spans="1:24" ht="15" customHeight="1" x14ac:dyDescent="0.25">
      <c r="B14" s="79"/>
      <c r="C14" s="188" t="s">
        <v>199</v>
      </c>
      <c r="D14" s="196" t="s">
        <v>119</v>
      </c>
      <c r="E14" s="197">
        <v>1.5606999999999999E-2</v>
      </c>
      <c r="F14" s="29"/>
      <c r="G14" s="29"/>
      <c r="H14" s="29"/>
      <c r="I14" s="29"/>
      <c r="J14" s="29"/>
      <c r="K14" s="29"/>
      <c r="L14" s="29"/>
      <c r="M14" s="29"/>
      <c r="N14" s="29"/>
      <c r="O14" s="29"/>
      <c r="P14" s="29"/>
      <c r="Q14" s="29"/>
      <c r="R14" s="29"/>
      <c r="S14" s="29"/>
      <c r="T14" s="22"/>
      <c r="W14" s="173" t="s">
        <v>119</v>
      </c>
      <c r="X14" s="174">
        <v>4.7074000000000005E-2</v>
      </c>
    </row>
    <row r="15" spans="1:24" ht="15" customHeight="1" x14ac:dyDescent="0.25">
      <c r="B15" s="79"/>
      <c r="C15" s="188" t="s">
        <v>273</v>
      </c>
      <c r="D15" s="196" t="s">
        <v>3</v>
      </c>
      <c r="E15" s="197">
        <v>1.5276E-2</v>
      </c>
      <c r="F15" s="29"/>
      <c r="G15" s="29"/>
      <c r="H15" s="29"/>
      <c r="I15" s="29"/>
      <c r="J15" s="29"/>
      <c r="K15" s="29"/>
      <c r="L15" s="29"/>
      <c r="M15" s="29"/>
      <c r="N15" s="29"/>
      <c r="O15" s="29"/>
      <c r="P15" s="29"/>
      <c r="Q15" s="29"/>
      <c r="R15" s="29"/>
      <c r="S15" s="29"/>
      <c r="T15" s="22"/>
      <c r="W15" s="173" t="s">
        <v>116</v>
      </c>
      <c r="X15" s="174">
        <v>4.6879999999999998E-2</v>
      </c>
    </row>
    <row r="16" spans="1:24" ht="15" customHeight="1" x14ac:dyDescent="0.25">
      <c r="B16" s="79"/>
      <c r="C16" s="188" t="s">
        <v>257</v>
      </c>
      <c r="D16" s="196" t="s">
        <v>240</v>
      </c>
      <c r="E16" s="197">
        <v>1.5049999999999999E-2</v>
      </c>
      <c r="F16" s="29"/>
      <c r="G16" s="29"/>
      <c r="H16" s="29"/>
      <c r="I16" s="29"/>
      <c r="J16" s="29"/>
      <c r="K16" s="29"/>
      <c r="L16" s="29"/>
      <c r="M16" s="29"/>
      <c r="N16" s="29"/>
      <c r="O16" s="29"/>
      <c r="P16" s="29"/>
      <c r="Q16" s="29"/>
      <c r="R16" s="29"/>
      <c r="S16" s="29"/>
      <c r="T16" s="22"/>
      <c r="W16" s="173" t="s">
        <v>16</v>
      </c>
      <c r="X16" s="174">
        <v>4.0849000000000003E-2</v>
      </c>
    </row>
    <row r="17" spans="2:24" ht="15" customHeight="1" x14ac:dyDescent="0.25">
      <c r="B17" s="79"/>
      <c r="C17" s="188" t="s">
        <v>78</v>
      </c>
      <c r="D17" s="196" t="s">
        <v>24</v>
      </c>
      <c r="E17" s="197">
        <v>1.4553999999999999E-2</v>
      </c>
      <c r="F17" s="29"/>
      <c r="G17" s="29"/>
      <c r="H17" s="29"/>
      <c r="I17" s="29"/>
      <c r="J17" s="29"/>
      <c r="K17" s="29"/>
      <c r="L17" s="29"/>
      <c r="M17" s="29"/>
      <c r="N17" s="29"/>
      <c r="O17" s="29"/>
      <c r="P17" s="29"/>
      <c r="Q17" s="29"/>
      <c r="R17" s="29"/>
      <c r="S17" s="29"/>
      <c r="T17" s="22"/>
      <c r="W17" s="173" t="s">
        <v>122</v>
      </c>
      <c r="X17" s="174">
        <v>3.9196000000000002E-2</v>
      </c>
    </row>
    <row r="18" spans="2:24" ht="15" customHeight="1" x14ac:dyDescent="0.25">
      <c r="B18" s="79"/>
      <c r="C18" s="188" t="s">
        <v>315</v>
      </c>
      <c r="D18" s="196" t="s">
        <v>85</v>
      </c>
      <c r="E18" s="197">
        <v>1.3657000000000001E-2</v>
      </c>
      <c r="F18" s="29"/>
      <c r="G18" s="29"/>
      <c r="H18" s="29"/>
      <c r="I18" s="29"/>
      <c r="J18" s="29"/>
      <c r="K18" s="29"/>
      <c r="L18" s="29"/>
      <c r="M18" s="29"/>
      <c r="N18" s="29"/>
      <c r="O18" s="29"/>
      <c r="P18" s="29"/>
      <c r="Q18" s="29"/>
      <c r="R18" s="29"/>
      <c r="S18" s="29"/>
      <c r="T18" s="22"/>
      <c r="W18" s="173" t="s">
        <v>115</v>
      </c>
      <c r="X18" s="174">
        <v>3.2471E-2</v>
      </c>
    </row>
    <row r="19" spans="2:24" ht="15" customHeight="1" x14ac:dyDescent="0.25">
      <c r="B19" s="79"/>
      <c r="C19" s="188" t="s">
        <v>69</v>
      </c>
      <c r="D19" s="196" t="s">
        <v>4</v>
      </c>
      <c r="E19" s="197">
        <v>1.3339E-2</v>
      </c>
      <c r="F19" s="29"/>
      <c r="G19" s="29"/>
      <c r="H19" s="29"/>
      <c r="I19" s="29"/>
      <c r="J19" s="29"/>
      <c r="K19" s="29"/>
      <c r="L19" s="29"/>
      <c r="M19" s="29"/>
      <c r="N19" s="29"/>
      <c r="O19" s="29"/>
      <c r="P19" s="29"/>
      <c r="Q19" s="29"/>
      <c r="R19" s="29"/>
      <c r="S19" s="29"/>
      <c r="T19" s="22"/>
      <c r="W19" s="173" t="s">
        <v>110</v>
      </c>
      <c r="X19" s="174">
        <v>3.0708000000000006E-2</v>
      </c>
    </row>
    <row r="20" spans="2:24" ht="15" customHeight="1" x14ac:dyDescent="0.25">
      <c r="B20" s="79"/>
      <c r="C20" s="188" t="s">
        <v>349</v>
      </c>
      <c r="D20" s="196" t="s">
        <v>122</v>
      </c>
      <c r="E20" s="197">
        <v>1.3181E-2</v>
      </c>
      <c r="F20" s="29"/>
      <c r="G20" s="29"/>
      <c r="H20" s="29"/>
      <c r="I20" s="29"/>
      <c r="J20" s="29"/>
      <c r="K20" s="29"/>
      <c r="L20" s="29"/>
      <c r="M20" s="29"/>
      <c r="N20" s="29"/>
      <c r="O20" s="29"/>
      <c r="P20" s="29"/>
      <c r="Q20" s="29"/>
      <c r="R20" s="29"/>
      <c r="S20" s="29"/>
      <c r="T20" s="22"/>
      <c r="W20" s="173" t="s">
        <v>77</v>
      </c>
      <c r="X20" s="174">
        <v>2.6067E-2</v>
      </c>
    </row>
    <row r="21" spans="2:24" ht="15" customHeight="1" x14ac:dyDescent="0.25">
      <c r="B21" s="79"/>
      <c r="C21" s="188" t="s">
        <v>205</v>
      </c>
      <c r="D21" s="196" t="s">
        <v>4</v>
      </c>
      <c r="E21" s="197">
        <v>1.3013E-2</v>
      </c>
      <c r="F21" s="29"/>
      <c r="G21" s="29"/>
      <c r="H21" s="29"/>
      <c r="I21" s="29"/>
      <c r="J21" s="29"/>
      <c r="K21" s="29"/>
      <c r="L21" s="29"/>
      <c r="M21" s="29"/>
      <c r="N21" s="29"/>
      <c r="O21" s="29"/>
      <c r="P21" s="29"/>
      <c r="Q21" s="29"/>
      <c r="R21" s="29"/>
      <c r="S21" s="29"/>
      <c r="T21" s="22"/>
      <c r="W21" s="173" t="s">
        <v>126</v>
      </c>
      <c r="X21" s="174">
        <v>2.5035000000000002E-2</v>
      </c>
    </row>
    <row r="22" spans="2:24" ht="15" customHeight="1" x14ac:dyDescent="0.25">
      <c r="B22" s="79"/>
      <c r="C22" s="188" t="s">
        <v>350</v>
      </c>
      <c r="D22" s="196" t="s">
        <v>119</v>
      </c>
      <c r="E22" s="197">
        <v>1.2139E-2</v>
      </c>
      <c r="F22" s="29"/>
      <c r="G22" s="29"/>
      <c r="H22" s="29"/>
      <c r="I22" s="29"/>
      <c r="J22" s="29"/>
      <c r="K22" s="29"/>
      <c r="L22" s="29"/>
      <c r="M22" s="29"/>
      <c r="N22" s="29"/>
      <c r="O22" s="29"/>
      <c r="P22" s="29"/>
      <c r="Q22" s="29"/>
      <c r="R22" s="29"/>
      <c r="S22" s="29"/>
      <c r="T22" s="22"/>
      <c r="W22" s="173" t="s">
        <v>124</v>
      </c>
      <c r="X22" s="174">
        <v>2.2629999999999997E-2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26</v>
      </c>
      <c r="X23" s="174">
        <v>1.9466000000000001E-2</v>
      </c>
    </row>
    <row r="24" spans="2:24" ht="15" customHeight="1" x14ac:dyDescent="0.25">
      <c r="B24" s="79"/>
      <c r="C24" s="73" t="s">
        <v>55</v>
      </c>
      <c r="D24" s="74"/>
      <c r="E24" s="75">
        <f>SUM(E8:E22)</f>
        <v>0.25157100000000004</v>
      </c>
      <c r="F24" s="29"/>
      <c r="G24" s="29"/>
      <c r="H24" s="29"/>
      <c r="I24" s="29"/>
      <c r="J24" s="29"/>
      <c r="K24" s="29"/>
      <c r="L24" s="29"/>
      <c r="M24" s="29"/>
      <c r="N24" s="29"/>
      <c r="O24" s="29"/>
      <c r="P24" s="29"/>
      <c r="Q24" s="29"/>
      <c r="R24" s="29"/>
      <c r="S24" s="29"/>
      <c r="T24" s="22"/>
      <c r="W24" s="173" t="s">
        <v>137</v>
      </c>
      <c r="X24" s="174">
        <v>1.7564E-2</v>
      </c>
    </row>
    <row r="25" spans="2:24" ht="15" customHeight="1" x14ac:dyDescent="0.25">
      <c r="B25" s="79"/>
      <c r="F25" s="29"/>
      <c r="G25" s="29"/>
      <c r="H25" s="29"/>
      <c r="I25" s="29"/>
      <c r="J25" s="29"/>
      <c r="K25" s="29"/>
      <c r="L25" s="29"/>
      <c r="M25" s="29"/>
      <c r="N25" s="29"/>
      <c r="O25" s="29"/>
      <c r="P25" s="29"/>
      <c r="Q25" s="29"/>
      <c r="R25" s="29"/>
      <c r="S25" s="29"/>
      <c r="T25" s="22"/>
      <c r="W25" s="173" t="s">
        <v>240</v>
      </c>
      <c r="X25" s="174">
        <v>1.5049999999999999E-2</v>
      </c>
    </row>
    <row r="26" spans="2:24" ht="15" customHeight="1" x14ac:dyDescent="0.25">
      <c r="B26" s="79"/>
      <c r="F26" s="29"/>
      <c r="G26" s="29"/>
      <c r="H26" s="29"/>
      <c r="I26" s="29"/>
      <c r="J26" s="29"/>
      <c r="K26" s="29"/>
      <c r="L26" s="29"/>
      <c r="M26" s="29"/>
      <c r="N26" s="29"/>
      <c r="O26" s="29"/>
      <c r="P26" s="29"/>
      <c r="Q26" s="29"/>
      <c r="R26" s="29"/>
      <c r="S26" s="29"/>
      <c r="T26" s="22"/>
      <c r="W26" s="173" t="s">
        <v>23</v>
      </c>
      <c r="X26" s="174">
        <v>1.3641E-2</v>
      </c>
    </row>
    <row r="27" spans="2:24" ht="15" customHeight="1" x14ac:dyDescent="0.25">
      <c r="B27" s="79"/>
      <c r="F27" s="29"/>
      <c r="G27" s="29"/>
      <c r="H27" s="29"/>
      <c r="I27" s="29"/>
      <c r="J27" s="29"/>
      <c r="K27" s="29"/>
      <c r="L27" s="29"/>
      <c r="M27" s="29"/>
      <c r="N27" s="29"/>
      <c r="O27" s="29"/>
      <c r="P27" s="29"/>
      <c r="Q27" s="29"/>
      <c r="R27" s="29"/>
      <c r="S27" s="29"/>
      <c r="T27" s="22"/>
      <c r="W27" s="173" t="s">
        <v>84</v>
      </c>
      <c r="X27" s="174">
        <v>1.2211E-2</v>
      </c>
    </row>
    <row r="28" spans="2:24" ht="15" customHeight="1" x14ac:dyDescent="0.25">
      <c r="B28" s="79"/>
      <c r="F28" s="29"/>
      <c r="G28" s="29"/>
      <c r="H28" s="29"/>
      <c r="I28" s="29"/>
      <c r="J28" s="29"/>
      <c r="K28" s="29"/>
      <c r="L28" s="29"/>
      <c r="M28" s="29"/>
      <c r="N28" s="29"/>
      <c r="O28" s="29"/>
      <c r="P28" s="29"/>
      <c r="Q28" s="29"/>
      <c r="R28" s="29"/>
      <c r="S28" s="29"/>
      <c r="T28" s="22"/>
      <c r="W28" s="173" t="s">
        <v>106</v>
      </c>
      <c r="X28" s="174">
        <v>1.0949E-2</v>
      </c>
    </row>
    <row r="29" spans="2:24" ht="15" customHeight="1" x14ac:dyDescent="0.25">
      <c r="B29" s="79"/>
      <c r="F29" s="29"/>
      <c r="G29" s="29"/>
      <c r="H29" s="29"/>
      <c r="I29" s="29"/>
      <c r="J29" s="29"/>
      <c r="K29" s="29"/>
      <c r="L29" s="29"/>
      <c r="M29" s="29"/>
      <c r="N29" s="29"/>
      <c r="O29" s="29"/>
      <c r="P29" s="29"/>
      <c r="Q29" s="29"/>
      <c r="R29" s="29"/>
      <c r="S29" s="29"/>
      <c r="T29" s="22"/>
      <c r="W29" s="173" t="s">
        <v>11</v>
      </c>
      <c r="X29" s="174">
        <v>1.0676E-2</v>
      </c>
    </row>
    <row r="30" spans="2:24" ht="15" customHeight="1" x14ac:dyDescent="0.25">
      <c r="B30" s="79"/>
      <c r="F30" s="29"/>
      <c r="G30" s="29"/>
      <c r="H30" s="29"/>
      <c r="I30" s="29"/>
      <c r="J30" s="29"/>
      <c r="K30" s="29"/>
      <c r="L30" s="29"/>
      <c r="M30" s="29"/>
      <c r="N30" s="29"/>
      <c r="O30" s="29"/>
      <c r="P30" s="29"/>
      <c r="Q30" s="29"/>
      <c r="R30" s="29"/>
      <c r="S30" s="29"/>
      <c r="T30" s="22"/>
      <c r="W30" s="173" t="s">
        <v>114</v>
      </c>
      <c r="X30" s="174">
        <v>1.0599000000000001E-2</v>
      </c>
    </row>
    <row r="31" spans="2:24" ht="15" customHeight="1" x14ac:dyDescent="0.25">
      <c r="B31" s="79"/>
      <c r="F31" s="29"/>
      <c r="G31" s="29"/>
      <c r="H31" s="29"/>
      <c r="I31" s="29"/>
      <c r="J31" s="29"/>
      <c r="K31" s="29"/>
      <c r="L31" s="29"/>
      <c r="M31" s="29"/>
      <c r="N31" s="29"/>
      <c r="O31" s="29"/>
      <c r="P31" s="29"/>
      <c r="Q31" s="29"/>
      <c r="R31" s="29"/>
      <c r="S31" s="29"/>
      <c r="T31" s="22"/>
      <c r="W31" s="173" t="s">
        <v>133</v>
      </c>
      <c r="X31" s="174">
        <v>1.0120000000000001E-2</v>
      </c>
    </row>
    <row r="32" spans="2:24" ht="15" customHeight="1" x14ac:dyDescent="0.25">
      <c r="B32" s="79"/>
      <c r="F32" s="29"/>
      <c r="G32" s="29"/>
      <c r="H32" s="29"/>
      <c r="I32" s="29"/>
      <c r="J32" s="29"/>
      <c r="K32" s="29"/>
      <c r="L32" s="29"/>
      <c r="M32" s="29"/>
      <c r="N32" s="29"/>
      <c r="O32" s="29"/>
      <c r="P32" s="29"/>
      <c r="Q32" s="29"/>
      <c r="R32" s="29"/>
      <c r="S32" s="29"/>
      <c r="T32" s="22"/>
      <c r="W32" s="173" t="s">
        <v>10</v>
      </c>
      <c r="X32" s="174">
        <v>9.6210000000000011E-3</v>
      </c>
    </row>
    <row r="33" spans="2:24" ht="15.75" customHeight="1" x14ac:dyDescent="0.25">
      <c r="B33" s="79"/>
      <c r="F33" s="29"/>
      <c r="G33" s="29"/>
      <c r="H33" s="29"/>
      <c r="I33" s="29"/>
      <c r="J33" s="29"/>
      <c r="K33" s="29"/>
      <c r="L33" s="29"/>
      <c r="M33" s="29"/>
      <c r="N33" s="29"/>
      <c r="O33" s="29"/>
      <c r="P33" s="29"/>
      <c r="Q33" s="29"/>
      <c r="R33" s="29"/>
      <c r="S33" s="29"/>
      <c r="T33" s="22"/>
      <c r="W33" s="173" t="s">
        <v>6</v>
      </c>
      <c r="X33" s="174">
        <v>7.1440000000000002E-3</v>
      </c>
    </row>
    <row r="34" spans="2:24" ht="15.75" customHeight="1" x14ac:dyDescent="0.25">
      <c r="B34" s="79"/>
      <c r="F34" s="29"/>
      <c r="G34" s="29"/>
      <c r="H34" s="29"/>
      <c r="I34" s="29"/>
      <c r="J34" s="29"/>
      <c r="K34" s="29"/>
      <c r="L34" s="29"/>
      <c r="M34" s="29"/>
      <c r="N34" s="29"/>
      <c r="O34" s="29"/>
      <c r="P34" s="29"/>
      <c r="Q34" s="29"/>
      <c r="R34" s="29"/>
      <c r="S34" s="29"/>
      <c r="T34" s="22"/>
      <c r="W34" s="173" t="s">
        <v>107</v>
      </c>
      <c r="X34" s="174">
        <v>6.9699999999999996E-3</v>
      </c>
    </row>
    <row r="35" spans="2:24" ht="15.75" customHeight="1" x14ac:dyDescent="0.25">
      <c r="B35" s="79"/>
      <c r="F35" s="29"/>
      <c r="G35" s="29"/>
      <c r="H35" s="29"/>
      <c r="I35" s="29"/>
      <c r="J35" s="29"/>
      <c r="K35" s="29"/>
      <c r="L35" s="29"/>
      <c r="M35" s="29"/>
      <c r="N35" s="29"/>
      <c r="O35" s="29"/>
      <c r="P35" s="29"/>
      <c r="Q35" s="29"/>
      <c r="R35" s="29"/>
      <c r="S35" s="29"/>
      <c r="T35" s="22"/>
      <c r="W35" s="173" t="s">
        <v>108</v>
      </c>
      <c r="X35" s="174">
        <v>6.8560000000000001E-3</v>
      </c>
    </row>
    <row r="36" spans="2:24" ht="15.75" customHeight="1" x14ac:dyDescent="0.25">
      <c r="B36" s="79"/>
      <c r="F36" s="29"/>
      <c r="G36" s="29"/>
      <c r="H36" s="29"/>
      <c r="I36" s="29"/>
      <c r="J36" s="29"/>
      <c r="K36" s="29"/>
      <c r="L36" s="29"/>
      <c r="M36" s="29"/>
      <c r="N36" s="29"/>
      <c r="O36" s="29"/>
      <c r="P36" s="29"/>
      <c r="Q36" s="29"/>
      <c r="R36" s="29"/>
      <c r="S36" s="29"/>
      <c r="T36" s="22"/>
      <c r="W36" s="173" t="s">
        <v>87</v>
      </c>
      <c r="X36" s="174">
        <v>6.4429999999999991E-3</v>
      </c>
    </row>
    <row r="37" spans="2:24" ht="15.75" customHeight="1" x14ac:dyDescent="0.25">
      <c r="B37" s="79"/>
      <c r="F37" s="29"/>
      <c r="G37" s="29"/>
      <c r="H37" s="29"/>
      <c r="I37" s="29"/>
      <c r="J37" s="29"/>
      <c r="K37" s="29"/>
      <c r="L37" s="29"/>
      <c r="M37" s="29"/>
      <c r="N37" s="29"/>
      <c r="O37" s="29"/>
      <c r="P37" s="29"/>
      <c r="Q37" s="29"/>
      <c r="R37" s="29"/>
      <c r="S37" s="29"/>
      <c r="T37" s="22"/>
      <c r="W37" s="173" t="s">
        <v>83</v>
      </c>
      <c r="X37" s="174">
        <v>5.4429999999999999E-3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118</v>
      </c>
      <c r="X38" s="174">
        <v>4.8139999999999997E-3</v>
      </c>
    </row>
    <row r="39" spans="2:24" ht="15" customHeight="1" thickBot="1" x14ac:dyDescent="0.3">
      <c r="W39" s="173" t="s">
        <v>123</v>
      </c>
      <c r="X39" s="174">
        <v>4.6020000000000002E-3</v>
      </c>
    </row>
    <row r="40" spans="2:24" ht="15" customHeight="1" x14ac:dyDescent="0.25">
      <c r="B40" s="268" t="s">
        <v>182</v>
      </c>
      <c r="C40" s="269"/>
      <c r="D40" s="269"/>
      <c r="E40" s="269"/>
      <c r="F40" s="269"/>
      <c r="G40" s="269"/>
      <c r="H40" s="269"/>
      <c r="I40" s="269"/>
      <c r="J40" s="269"/>
      <c r="K40" s="269"/>
      <c r="L40" s="269"/>
      <c r="M40" s="269"/>
      <c r="N40" s="269"/>
      <c r="O40" s="269"/>
      <c r="P40" s="269"/>
      <c r="Q40" s="269"/>
      <c r="R40" s="270"/>
      <c r="W40" s="173" t="s">
        <v>15</v>
      </c>
      <c r="X40" s="174">
        <v>4.4079999999999996E-3</v>
      </c>
    </row>
    <row r="41" spans="2:24" ht="15" customHeight="1" x14ac:dyDescent="0.25">
      <c r="B41" s="271"/>
      <c r="C41" s="272"/>
      <c r="D41" s="272"/>
      <c r="E41" s="272"/>
      <c r="F41" s="272"/>
      <c r="G41" s="272"/>
      <c r="H41" s="272"/>
      <c r="I41" s="272"/>
      <c r="J41" s="272"/>
      <c r="K41" s="272"/>
      <c r="L41" s="272"/>
      <c r="M41" s="272"/>
      <c r="N41" s="272"/>
      <c r="O41" s="272"/>
      <c r="P41" s="272"/>
      <c r="Q41" s="272"/>
      <c r="R41" s="273"/>
      <c r="W41" s="173" t="s">
        <v>291</v>
      </c>
      <c r="X41" s="174">
        <v>3.6159999999999999E-3</v>
      </c>
    </row>
    <row r="42" spans="2:24" ht="15" customHeight="1" x14ac:dyDescent="0.25">
      <c r="B42" s="271"/>
      <c r="C42" s="272"/>
      <c r="D42" s="272"/>
      <c r="E42" s="272"/>
      <c r="F42" s="272"/>
      <c r="G42" s="272"/>
      <c r="H42" s="272"/>
      <c r="I42" s="272"/>
      <c r="J42" s="272"/>
      <c r="K42" s="272"/>
      <c r="L42" s="272"/>
      <c r="M42" s="272"/>
      <c r="N42" s="272"/>
      <c r="O42" s="272"/>
      <c r="P42" s="272"/>
      <c r="Q42" s="272"/>
      <c r="R42" s="273"/>
      <c r="W42" s="173" t="s">
        <v>25</v>
      </c>
      <c r="X42" s="174">
        <v>3.2690000000000002E-3</v>
      </c>
    </row>
    <row r="43" spans="2:24" ht="15" customHeight="1" x14ac:dyDescent="0.25">
      <c r="B43" s="271"/>
      <c r="C43" s="272"/>
      <c r="D43" s="272"/>
      <c r="E43" s="272"/>
      <c r="F43" s="272"/>
      <c r="G43" s="272"/>
      <c r="H43" s="272"/>
      <c r="I43" s="272"/>
      <c r="J43" s="272"/>
      <c r="K43" s="272"/>
      <c r="L43" s="272"/>
      <c r="M43" s="272"/>
      <c r="N43" s="272"/>
      <c r="O43" s="272"/>
      <c r="P43" s="272"/>
      <c r="Q43" s="272"/>
      <c r="R43" s="273"/>
      <c r="W43" s="173" t="s">
        <v>219</v>
      </c>
      <c r="X43" s="174">
        <v>3.2049999999999999E-3</v>
      </c>
    </row>
    <row r="44" spans="2:24" ht="15" customHeight="1" x14ac:dyDescent="0.25">
      <c r="B44" s="271"/>
      <c r="C44" s="272"/>
      <c r="D44" s="272"/>
      <c r="E44" s="272"/>
      <c r="F44" s="272"/>
      <c r="G44" s="272"/>
      <c r="H44" s="272"/>
      <c r="I44" s="272"/>
      <c r="J44" s="272"/>
      <c r="K44" s="272"/>
      <c r="L44" s="272"/>
      <c r="M44" s="272"/>
      <c r="N44" s="272"/>
      <c r="O44" s="272"/>
      <c r="P44" s="272"/>
      <c r="Q44" s="272"/>
      <c r="R44" s="273"/>
      <c r="W44" s="173" t="s">
        <v>186</v>
      </c>
      <c r="X44" s="174">
        <v>3.0959999999999998E-3</v>
      </c>
    </row>
    <row r="45" spans="2:24" ht="15" customHeight="1" x14ac:dyDescent="0.25">
      <c r="B45" s="271"/>
      <c r="C45" s="272"/>
      <c r="D45" s="272"/>
      <c r="E45" s="272"/>
      <c r="F45" s="272"/>
      <c r="G45" s="272"/>
      <c r="H45" s="272"/>
      <c r="I45" s="272"/>
      <c r="J45" s="272"/>
      <c r="K45" s="272"/>
      <c r="L45" s="272"/>
      <c r="M45" s="272"/>
      <c r="N45" s="272"/>
      <c r="O45" s="272"/>
      <c r="P45" s="272"/>
      <c r="Q45" s="272"/>
      <c r="R45" s="273"/>
      <c r="W45" s="173" t="s">
        <v>271</v>
      </c>
      <c r="X45" s="174">
        <v>2.8370000000000001E-3</v>
      </c>
    </row>
    <row r="46" spans="2:24" ht="15" customHeight="1" thickBot="1" x14ac:dyDescent="0.3">
      <c r="B46" s="274"/>
      <c r="C46" s="275"/>
      <c r="D46" s="275"/>
      <c r="E46" s="275"/>
      <c r="F46" s="275"/>
      <c r="G46" s="275"/>
      <c r="H46" s="275"/>
      <c r="I46" s="275"/>
      <c r="J46" s="275"/>
      <c r="K46" s="275"/>
      <c r="L46" s="275"/>
      <c r="M46" s="275"/>
      <c r="N46" s="275"/>
      <c r="O46" s="275"/>
      <c r="P46" s="275"/>
      <c r="Q46" s="275"/>
      <c r="R46" s="276"/>
      <c r="W46" s="173" t="s">
        <v>121</v>
      </c>
      <c r="X46" s="174">
        <v>2.8349999999999998E-3</v>
      </c>
    </row>
    <row r="47" spans="2:24" ht="15" customHeight="1" x14ac:dyDescent="0.25">
      <c r="W47" s="173" t="s">
        <v>12</v>
      </c>
      <c r="X47" s="174">
        <v>2.7339999999999999E-3</v>
      </c>
    </row>
    <row r="48" spans="2:24" ht="15" customHeight="1" x14ac:dyDescent="0.25">
      <c r="W48" s="173" t="s">
        <v>112</v>
      </c>
      <c r="X48" s="174">
        <v>1.4970000000000001E-3</v>
      </c>
    </row>
    <row r="49" spans="23:24" ht="15" customHeight="1" x14ac:dyDescent="0.25">
      <c r="W49" s="173" t="s">
        <v>146</v>
      </c>
      <c r="X49" s="174">
        <v>1.0510000000000001E-3</v>
      </c>
    </row>
    <row r="50" spans="23:24" ht="15" customHeight="1" x14ac:dyDescent="0.25">
      <c r="W50" s="173" t="s">
        <v>117</v>
      </c>
      <c r="X50" s="174">
        <v>1.0319999999999999E-3</v>
      </c>
    </row>
    <row r="51" spans="23:24" ht="15" customHeight="1" x14ac:dyDescent="0.25">
      <c r="W51" s="173"/>
      <c r="X51" s="174"/>
    </row>
    <row r="52" spans="23:24" ht="15" customHeight="1" x14ac:dyDescent="0.25">
      <c r="W52" s="173"/>
      <c r="X52" s="174"/>
    </row>
    <row r="53" spans="23:24" ht="15" customHeight="1" x14ac:dyDescent="0.25">
      <c r="W53" s="173"/>
      <c r="X53" s="174"/>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165</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375</v>
      </c>
      <c r="E5" s="279"/>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180</v>
      </c>
      <c r="D8" s="196" t="s">
        <v>24</v>
      </c>
      <c r="E8" s="204">
        <v>4.8201000000000001E-2</v>
      </c>
      <c r="F8" s="29"/>
      <c r="G8" s="29"/>
      <c r="H8" s="29"/>
      <c r="I8" s="29"/>
      <c r="J8" s="29"/>
      <c r="K8" s="29"/>
      <c r="L8" s="29"/>
      <c r="M8" s="29"/>
      <c r="N8" s="29"/>
      <c r="O8" s="29"/>
      <c r="P8" s="29"/>
      <c r="Q8" s="29"/>
      <c r="R8" s="29"/>
      <c r="S8" s="29"/>
      <c r="T8" s="22"/>
      <c r="W8" s="61" t="s">
        <v>23</v>
      </c>
      <c r="X8" s="62">
        <v>0.23866299999999999</v>
      </c>
    </row>
    <row r="9" spans="1:24" ht="15.75" customHeight="1" x14ac:dyDescent="0.25">
      <c r="B9" s="79"/>
      <c r="C9" s="188" t="s">
        <v>215</v>
      </c>
      <c r="D9" s="196" t="s">
        <v>23</v>
      </c>
      <c r="E9" s="204">
        <v>3.6764999999999999E-2</v>
      </c>
      <c r="F9" s="29"/>
      <c r="G9" s="29"/>
      <c r="H9" s="29"/>
      <c r="I9" s="29"/>
      <c r="J9" s="29"/>
      <c r="K9" s="29"/>
      <c r="L9" s="29"/>
      <c r="M9" s="29"/>
      <c r="N9" s="29"/>
      <c r="O9" s="29"/>
      <c r="P9" s="29"/>
      <c r="Q9" s="29"/>
      <c r="R9" s="29"/>
      <c r="S9" s="29"/>
      <c r="T9" s="22"/>
      <c r="W9" s="61" t="s">
        <v>10</v>
      </c>
      <c r="X9" s="62">
        <v>8.7280999999999997E-2</v>
      </c>
    </row>
    <row r="10" spans="1:24" ht="15" customHeight="1" x14ac:dyDescent="0.25">
      <c r="B10" s="79"/>
      <c r="C10" s="188" t="s">
        <v>34</v>
      </c>
      <c r="D10" s="196" t="s">
        <v>23</v>
      </c>
      <c r="E10" s="204">
        <v>3.4952999999999998E-2</v>
      </c>
      <c r="F10" s="29"/>
      <c r="G10" s="29"/>
      <c r="H10" s="29"/>
      <c r="I10" s="29"/>
      <c r="J10" s="29"/>
      <c r="K10" s="29"/>
      <c r="L10" s="29"/>
      <c r="M10" s="29"/>
      <c r="N10" s="29"/>
      <c r="O10" s="29"/>
      <c r="P10" s="29"/>
      <c r="Q10" s="29"/>
      <c r="R10" s="29"/>
      <c r="S10" s="29"/>
      <c r="T10" s="22"/>
      <c r="W10" s="61" t="s">
        <v>119</v>
      </c>
      <c r="X10" s="62">
        <v>8.4532999999999997E-2</v>
      </c>
    </row>
    <row r="11" spans="1:24" ht="15" customHeight="1" x14ac:dyDescent="0.25">
      <c r="B11" s="79"/>
      <c r="C11" s="188" t="s">
        <v>31</v>
      </c>
      <c r="D11" s="196" t="s">
        <v>6</v>
      </c>
      <c r="E11" s="204">
        <v>3.3938999999999997E-2</v>
      </c>
      <c r="F11" s="29"/>
      <c r="G11" s="29"/>
      <c r="H11" s="29"/>
      <c r="I11" s="29"/>
      <c r="J11" s="29"/>
      <c r="K11" s="29"/>
      <c r="L11" s="29"/>
      <c r="M11" s="29"/>
      <c r="N11" s="29"/>
      <c r="O11" s="29"/>
      <c r="P11" s="29"/>
      <c r="Q11" s="29"/>
      <c r="R11" s="29"/>
      <c r="S11" s="29"/>
      <c r="T11" s="22"/>
      <c r="W11" s="61" t="s">
        <v>24</v>
      </c>
      <c r="X11" s="62">
        <v>8.4231E-2</v>
      </c>
    </row>
    <row r="12" spans="1:24" ht="15" customHeight="1" x14ac:dyDescent="0.25">
      <c r="B12" s="79"/>
      <c r="C12" s="188" t="s">
        <v>258</v>
      </c>
      <c r="D12" s="196" t="s">
        <v>130</v>
      </c>
      <c r="E12" s="204">
        <v>3.3685E-2</v>
      </c>
      <c r="F12" s="29"/>
      <c r="G12" s="29"/>
      <c r="H12" s="29"/>
      <c r="I12" s="29"/>
      <c r="J12" s="29"/>
      <c r="K12" s="29"/>
      <c r="L12" s="29"/>
      <c r="M12" s="29"/>
      <c r="N12" s="29"/>
      <c r="O12" s="29"/>
      <c r="P12" s="29"/>
      <c r="Q12" s="29"/>
      <c r="R12" s="29"/>
      <c r="S12" s="29"/>
      <c r="T12" s="22"/>
      <c r="W12" s="61" t="s">
        <v>124</v>
      </c>
      <c r="X12" s="62">
        <v>5.5549000000000001E-2</v>
      </c>
    </row>
    <row r="13" spans="1:24" ht="15" customHeight="1" x14ac:dyDescent="0.25">
      <c r="B13" s="79"/>
      <c r="C13" s="188" t="s">
        <v>287</v>
      </c>
      <c r="D13" s="196" t="s">
        <v>4</v>
      </c>
      <c r="E13" s="204">
        <v>3.0484000000000001E-2</v>
      </c>
      <c r="F13" s="29"/>
      <c r="G13" s="29"/>
      <c r="H13" s="29"/>
      <c r="I13" s="29"/>
      <c r="J13" s="29"/>
      <c r="K13" s="29"/>
      <c r="L13" s="29"/>
      <c r="M13" s="29"/>
      <c r="N13" s="29"/>
      <c r="O13" s="29"/>
      <c r="P13" s="29"/>
      <c r="Q13" s="29"/>
      <c r="R13" s="29"/>
      <c r="S13" s="29"/>
      <c r="T13" s="22"/>
      <c r="W13" s="61" t="s">
        <v>110</v>
      </c>
      <c r="X13" s="62">
        <v>4.9449E-2</v>
      </c>
    </row>
    <row r="14" spans="1:24" ht="15" customHeight="1" x14ac:dyDescent="0.25">
      <c r="B14" s="79"/>
      <c r="C14" s="188" t="s">
        <v>70</v>
      </c>
      <c r="D14" s="196" t="s">
        <v>12</v>
      </c>
      <c r="E14" s="204">
        <v>2.8347999999999998E-2</v>
      </c>
      <c r="F14" s="29"/>
      <c r="G14" s="29"/>
      <c r="H14" s="29"/>
      <c r="I14" s="29"/>
      <c r="J14" s="29"/>
      <c r="K14" s="29"/>
      <c r="L14" s="29"/>
      <c r="M14" s="29"/>
      <c r="N14" s="29"/>
      <c r="O14" s="29"/>
      <c r="P14" s="29"/>
      <c r="Q14" s="29"/>
      <c r="R14" s="29"/>
      <c r="S14" s="29"/>
      <c r="T14" s="22"/>
      <c r="W14" s="61" t="s">
        <v>137</v>
      </c>
      <c r="X14" s="62">
        <v>4.7211000000000003E-2</v>
      </c>
    </row>
    <row r="15" spans="1:24" ht="15" customHeight="1" x14ac:dyDescent="0.25">
      <c r="B15" s="79"/>
      <c r="C15" s="188" t="s">
        <v>147</v>
      </c>
      <c r="D15" s="196" t="s">
        <v>23</v>
      </c>
      <c r="E15" s="204">
        <v>2.8008999999999999E-2</v>
      </c>
      <c r="F15" s="29"/>
      <c r="G15" s="29"/>
      <c r="H15" s="29"/>
      <c r="I15" s="29"/>
      <c r="J15" s="29"/>
      <c r="K15" s="29"/>
      <c r="L15" s="29"/>
      <c r="M15" s="29"/>
      <c r="N15" s="29"/>
      <c r="O15" s="29"/>
      <c r="P15" s="29"/>
      <c r="Q15" s="29"/>
      <c r="R15" s="29"/>
      <c r="S15" s="29"/>
      <c r="T15" s="22"/>
      <c r="W15" s="61" t="s">
        <v>83</v>
      </c>
      <c r="X15" s="62">
        <v>4.4114E-2</v>
      </c>
    </row>
    <row r="16" spans="1:24" ht="15" customHeight="1" x14ac:dyDescent="0.25">
      <c r="B16" s="79"/>
      <c r="C16" s="188" t="s">
        <v>270</v>
      </c>
      <c r="D16" s="196" t="s">
        <v>23</v>
      </c>
      <c r="E16" s="204">
        <v>2.6349999999999998E-2</v>
      </c>
      <c r="F16" s="29"/>
      <c r="G16" s="29"/>
      <c r="H16" s="29"/>
      <c r="I16" s="29"/>
      <c r="J16" s="29"/>
      <c r="K16" s="29"/>
      <c r="L16" s="29"/>
      <c r="M16" s="29"/>
      <c r="N16" s="29"/>
      <c r="O16" s="29"/>
      <c r="P16" s="29"/>
      <c r="Q16" s="29"/>
      <c r="R16" s="29"/>
      <c r="S16" s="29"/>
      <c r="T16" s="22"/>
      <c r="W16" s="61" t="s">
        <v>12</v>
      </c>
      <c r="X16" s="62">
        <v>4.0612000000000002E-2</v>
      </c>
    </row>
    <row r="17" spans="2:24" ht="15" customHeight="1" x14ac:dyDescent="0.25">
      <c r="B17" s="79"/>
      <c r="C17" s="188" t="s">
        <v>306</v>
      </c>
      <c r="D17" s="196" t="s">
        <v>23</v>
      </c>
      <c r="E17" s="204">
        <v>2.461E-2</v>
      </c>
      <c r="F17" s="29"/>
      <c r="G17" s="29"/>
      <c r="H17" s="29"/>
      <c r="I17" s="29"/>
      <c r="J17" s="29"/>
      <c r="K17" s="29"/>
      <c r="L17" s="29"/>
      <c r="M17" s="29"/>
      <c r="N17" s="29"/>
      <c r="O17" s="29"/>
      <c r="P17" s="29"/>
      <c r="Q17" s="29"/>
      <c r="R17" s="29"/>
      <c r="S17" s="29"/>
      <c r="T17" s="22"/>
      <c r="W17" s="61" t="s">
        <v>130</v>
      </c>
      <c r="X17" s="62">
        <v>3.8356000000000001E-2</v>
      </c>
    </row>
    <row r="18" spans="2:24" ht="15" customHeight="1" x14ac:dyDescent="0.25">
      <c r="B18" s="79"/>
      <c r="C18" s="188" t="s">
        <v>64</v>
      </c>
      <c r="D18" s="196" t="s">
        <v>83</v>
      </c>
      <c r="E18" s="204">
        <v>2.4267E-2</v>
      </c>
      <c r="F18" s="29"/>
      <c r="G18" s="29"/>
      <c r="H18" s="29"/>
      <c r="I18" s="29"/>
      <c r="J18" s="29"/>
      <c r="K18" s="29"/>
      <c r="L18" s="29"/>
      <c r="M18" s="29"/>
      <c r="N18" s="29"/>
      <c r="O18" s="29"/>
      <c r="P18" s="29"/>
      <c r="Q18" s="29"/>
      <c r="R18" s="29"/>
      <c r="S18" s="29"/>
      <c r="T18" s="22"/>
      <c r="W18" s="61" t="s">
        <v>87</v>
      </c>
      <c r="X18" s="62">
        <v>3.4460999999999999E-2</v>
      </c>
    </row>
    <row r="19" spans="2:24" ht="15" customHeight="1" x14ac:dyDescent="0.25">
      <c r="B19" s="79"/>
      <c r="C19" s="188" t="s">
        <v>129</v>
      </c>
      <c r="D19" s="196" t="s">
        <v>87</v>
      </c>
      <c r="E19" s="204">
        <v>2.2957000000000002E-2</v>
      </c>
      <c r="F19" s="29"/>
      <c r="G19" s="29"/>
      <c r="H19" s="29"/>
      <c r="I19" s="29"/>
      <c r="J19" s="29"/>
      <c r="K19" s="29"/>
      <c r="L19" s="29"/>
      <c r="M19" s="29"/>
      <c r="N19" s="29"/>
      <c r="O19" s="29"/>
      <c r="P19" s="29"/>
      <c r="Q19" s="29"/>
      <c r="R19" s="29"/>
      <c r="S19" s="29"/>
      <c r="T19" s="22"/>
      <c r="W19" s="61" t="s">
        <v>6</v>
      </c>
      <c r="X19" s="62">
        <v>3.3938999999999997E-2</v>
      </c>
    </row>
    <row r="20" spans="2:24" ht="15" customHeight="1" x14ac:dyDescent="0.25">
      <c r="B20" s="79"/>
      <c r="C20" s="188" t="s">
        <v>316</v>
      </c>
      <c r="D20" s="196" t="s">
        <v>124</v>
      </c>
      <c r="E20" s="204">
        <v>2.2429000000000001E-2</v>
      </c>
      <c r="F20" s="29"/>
      <c r="G20" s="29"/>
      <c r="H20" s="29"/>
      <c r="I20" s="29"/>
      <c r="J20" s="29"/>
      <c r="K20" s="29"/>
      <c r="L20" s="29"/>
      <c r="M20" s="29"/>
      <c r="N20" s="29"/>
      <c r="O20" s="29"/>
      <c r="P20" s="29"/>
      <c r="Q20" s="29"/>
      <c r="R20" s="29"/>
      <c r="S20" s="29"/>
      <c r="T20" s="22"/>
      <c r="W20" s="61" t="s">
        <v>4</v>
      </c>
      <c r="X20" s="62">
        <v>3.3010999999999999E-2</v>
      </c>
    </row>
    <row r="21" spans="2:24" ht="15" customHeight="1" x14ac:dyDescent="0.25">
      <c r="B21" s="79"/>
      <c r="C21" s="188" t="s">
        <v>62</v>
      </c>
      <c r="D21" s="196" t="s">
        <v>10</v>
      </c>
      <c r="E21" s="204">
        <v>2.1257000000000002E-2</v>
      </c>
      <c r="F21" s="29"/>
      <c r="G21" s="29"/>
      <c r="H21" s="29"/>
      <c r="I21" s="29"/>
      <c r="J21" s="29"/>
      <c r="K21" s="29"/>
      <c r="L21" s="29"/>
      <c r="M21" s="29"/>
      <c r="N21" s="29"/>
      <c r="O21" s="29"/>
      <c r="P21" s="29"/>
      <c r="Q21" s="29"/>
      <c r="R21" s="29"/>
      <c r="S21" s="29"/>
      <c r="T21" s="22"/>
      <c r="W21" s="61" t="s">
        <v>11</v>
      </c>
      <c r="X21" s="62">
        <v>2.8646999999999999E-2</v>
      </c>
    </row>
    <row r="22" spans="2:24" ht="15" customHeight="1" x14ac:dyDescent="0.25">
      <c r="B22" s="79"/>
      <c r="C22" s="188" t="s">
        <v>71</v>
      </c>
      <c r="D22" s="196" t="s">
        <v>10</v>
      </c>
      <c r="E22" s="204">
        <v>2.0330999999999998E-2</v>
      </c>
      <c r="F22" s="29"/>
      <c r="G22" s="29"/>
      <c r="H22" s="29"/>
      <c r="I22" s="29"/>
      <c r="J22" s="29"/>
      <c r="K22" s="29"/>
      <c r="L22" s="29"/>
      <c r="M22" s="29"/>
      <c r="N22" s="29"/>
      <c r="O22" s="29"/>
      <c r="P22" s="29"/>
      <c r="Q22" s="29"/>
      <c r="R22" s="29"/>
      <c r="S22" s="29"/>
      <c r="T22" s="22"/>
      <c r="W22" s="56" t="s">
        <v>25</v>
      </c>
      <c r="X22" s="57">
        <v>2.4516E-2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123</v>
      </c>
      <c r="X23" s="57">
        <v>1.8145000000000001E-2</v>
      </c>
    </row>
    <row r="24" spans="2:24" ht="15" customHeight="1" x14ac:dyDescent="0.25">
      <c r="B24" s="79"/>
      <c r="C24" s="73" t="s">
        <v>55</v>
      </c>
      <c r="D24" s="74"/>
      <c r="E24" s="75">
        <f>SUM(E8:E22)</f>
        <v>0.436585</v>
      </c>
      <c r="F24" s="29"/>
      <c r="G24" s="29"/>
      <c r="H24" s="29"/>
      <c r="I24" s="29"/>
      <c r="J24" s="29"/>
      <c r="K24" s="29"/>
      <c r="L24" s="29"/>
      <c r="M24" s="29"/>
      <c r="N24" s="29"/>
      <c r="O24" s="29"/>
      <c r="P24" s="29"/>
      <c r="Q24" s="29"/>
      <c r="R24" s="29"/>
      <c r="S24" s="29"/>
      <c r="T24" s="22"/>
      <c r="W24" s="56" t="s">
        <v>77</v>
      </c>
      <c r="X24" s="57">
        <v>1.5926000000000003E-2</v>
      </c>
    </row>
    <row r="25" spans="2:24" ht="15" customHeight="1" x14ac:dyDescent="0.25">
      <c r="B25" s="79"/>
      <c r="F25" s="29"/>
      <c r="G25" s="29"/>
      <c r="H25" s="29"/>
      <c r="I25" s="29"/>
      <c r="J25" s="29"/>
      <c r="K25" s="29"/>
      <c r="L25" s="29"/>
      <c r="M25" s="29"/>
      <c r="N25" s="29"/>
      <c r="O25" s="29"/>
      <c r="P25" s="29"/>
      <c r="Q25" s="29"/>
      <c r="R25" s="29"/>
      <c r="S25" s="29"/>
      <c r="T25" s="22"/>
      <c r="W25" s="56" t="s">
        <v>116</v>
      </c>
      <c r="X25" s="57">
        <v>1.4571000000000001E-2</v>
      </c>
    </row>
    <row r="26" spans="2:24" ht="15" customHeight="1" x14ac:dyDescent="0.25">
      <c r="B26" s="79"/>
      <c r="F26" s="29"/>
      <c r="G26" s="29"/>
      <c r="H26" s="29"/>
      <c r="I26" s="29"/>
      <c r="J26" s="29"/>
      <c r="K26" s="29"/>
      <c r="L26" s="29"/>
      <c r="M26" s="29"/>
      <c r="N26" s="29"/>
      <c r="O26" s="29"/>
      <c r="P26" s="29"/>
      <c r="Q26" s="29"/>
      <c r="R26" s="29"/>
      <c r="S26" s="29"/>
      <c r="T26" s="22"/>
      <c r="W26" s="56" t="s">
        <v>15</v>
      </c>
      <c r="X26" s="57">
        <v>6.4980000000000003E-3</v>
      </c>
    </row>
    <row r="27" spans="2:24" ht="15" customHeight="1" x14ac:dyDescent="0.25">
      <c r="B27" s="79"/>
      <c r="F27" s="29"/>
      <c r="G27" s="29"/>
      <c r="H27" s="29"/>
      <c r="I27" s="29"/>
      <c r="J27" s="29"/>
      <c r="K27" s="29"/>
      <c r="L27" s="29"/>
      <c r="M27" s="29"/>
      <c r="N27" s="29"/>
      <c r="O27" s="29"/>
      <c r="P27" s="29"/>
      <c r="Q27" s="29"/>
      <c r="R27" s="29"/>
      <c r="S27" s="29"/>
      <c r="T27" s="22"/>
      <c r="W27" s="154" t="s">
        <v>133</v>
      </c>
      <c r="X27" s="155">
        <v>5.6150000000000002E-3</v>
      </c>
    </row>
    <row r="28" spans="2:24" ht="15" customHeight="1" x14ac:dyDescent="0.25">
      <c r="B28" s="79"/>
      <c r="F28" s="29"/>
      <c r="G28" s="29"/>
      <c r="H28" s="29"/>
      <c r="I28" s="29"/>
      <c r="J28" s="29"/>
      <c r="K28" s="29"/>
      <c r="L28" s="29"/>
      <c r="M28" s="29"/>
      <c r="N28" s="29"/>
      <c r="O28" s="29"/>
      <c r="P28" s="29"/>
      <c r="Q28" s="29"/>
      <c r="R28" s="29"/>
      <c r="S28" s="29"/>
      <c r="T28" s="22"/>
      <c r="W28" s="154" t="s">
        <v>84</v>
      </c>
      <c r="X28" s="155">
        <v>3.2820000000000002E-3</v>
      </c>
    </row>
    <row r="29" spans="2:24" ht="15" customHeight="1" x14ac:dyDescent="0.25">
      <c r="B29" s="79"/>
      <c r="F29" s="29"/>
      <c r="G29" s="29"/>
      <c r="H29" s="29"/>
      <c r="I29" s="29"/>
      <c r="J29" s="29"/>
      <c r="K29" s="29"/>
      <c r="L29" s="29"/>
      <c r="M29" s="29"/>
      <c r="N29" s="29"/>
      <c r="O29" s="29"/>
      <c r="P29" s="29"/>
      <c r="Q29" s="29"/>
      <c r="R29" s="29"/>
      <c r="S29" s="29"/>
      <c r="T29" s="22"/>
      <c r="W29" s="39" t="s">
        <v>127</v>
      </c>
      <c r="X29" s="155">
        <v>2.0709999999999999E-3</v>
      </c>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68" t="s">
        <v>182</v>
      </c>
      <c r="C36" s="269"/>
      <c r="D36" s="269"/>
      <c r="E36" s="269"/>
      <c r="F36" s="269"/>
      <c r="G36" s="269"/>
      <c r="H36" s="269"/>
      <c r="I36" s="269"/>
      <c r="J36" s="269"/>
      <c r="K36" s="269"/>
      <c r="L36" s="269"/>
      <c r="M36" s="269"/>
      <c r="N36" s="269"/>
      <c r="O36" s="269"/>
      <c r="P36" s="269"/>
      <c r="Q36" s="269"/>
      <c r="R36" s="270"/>
    </row>
    <row r="37" spans="2:20" ht="15" customHeight="1" x14ac:dyDescent="0.25">
      <c r="B37" s="271"/>
      <c r="C37" s="272"/>
      <c r="D37" s="272"/>
      <c r="E37" s="272"/>
      <c r="F37" s="272"/>
      <c r="G37" s="272"/>
      <c r="H37" s="272"/>
      <c r="I37" s="272"/>
      <c r="J37" s="272"/>
      <c r="K37" s="272"/>
      <c r="L37" s="272"/>
      <c r="M37" s="272"/>
      <c r="N37" s="272"/>
      <c r="O37" s="272"/>
      <c r="P37" s="272"/>
      <c r="Q37" s="272"/>
      <c r="R37" s="273"/>
    </row>
    <row r="38" spans="2:20" ht="15" customHeight="1" x14ac:dyDescent="0.25">
      <c r="B38" s="271"/>
      <c r="C38" s="272"/>
      <c r="D38" s="272"/>
      <c r="E38" s="272"/>
      <c r="F38" s="272"/>
      <c r="G38" s="272"/>
      <c r="H38" s="272"/>
      <c r="I38" s="272"/>
      <c r="J38" s="272"/>
      <c r="K38" s="272"/>
      <c r="L38" s="272"/>
      <c r="M38" s="272"/>
      <c r="N38" s="272"/>
      <c r="O38" s="272"/>
      <c r="P38" s="272"/>
      <c r="Q38" s="272"/>
      <c r="R38" s="273"/>
    </row>
    <row r="39" spans="2:20" ht="15" customHeight="1" x14ac:dyDescent="0.25">
      <c r="B39" s="271"/>
      <c r="C39" s="272"/>
      <c r="D39" s="272"/>
      <c r="E39" s="272"/>
      <c r="F39" s="272"/>
      <c r="G39" s="272"/>
      <c r="H39" s="272"/>
      <c r="I39" s="272"/>
      <c r="J39" s="272"/>
      <c r="K39" s="272"/>
      <c r="L39" s="272"/>
      <c r="M39" s="272"/>
      <c r="N39" s="272"/>
      <c r="O39" s="272"/>
      <c r="P39" s="272"/>
      <c r="Q39" s="272"/>
      <c r="R39" s="273"/>
    </row>
    <row r="40" spans="2:20" ht="15" customHeight="1" x14ac:dyDescent="0.25">
      <c r="B40" s="271"/>
      <c r="C40" s="272"/>
      <c r="D40" s="272"/>
      <c r="E40" s="272"/>
      <c r="F40" s="272"/>
      <c r="G40" s="272"/>
      <c r="H40" s="272"/>
      <c r="I40" s="272"/>
      <c r="J40" s="272"/>
      <c r="K40" s="272"/>
      <c r="L40" s="272"/>
      <c r="M40" s="272"/>
      <c r="N40" s="272"/>
      <c r="O40" s="272"/>
      <c r="P40" s="272"/>
      <c r="Q40" s="272"/>
      <c r="R40" s="273"/>
    </row>
    <row r="41" spans="2:20" ht="15" customHeight="1" x14ac:dyDescent="0.25">
      <c r="B41" s="271"/>
      <c r="C41" s="272"/>
      <c r="D41" s="272"/>
      <c r="E41" s="272"/>
      <c r="F41" s="272"/>
      <c r="G41" s="272"/>
      <c r="H41" s="272"/>
      <c r="I41" s="272"/>
      <c r="J41" s="272"/>
      <c r="K41" s="272"/>
      <c r="L41" s="272"/>
      <c r="M41" s="272"/>
      <c r="N41" s="272"/>
      <c r="O41" s="272"/>
      <c r="P41" s="272"/>
      <c r="Q41" s="272"/>
      <c r="R41" s="273"/>
    </row>
    <row r="42" spans="2:20" ht="15" customHeight="1" thickBot="1" x14ac:dyDescent="0.3">
      <c r="B42" s="274"/>
      <c r="C42" s="275"/>
      <c r="D42" s="275"/>
      <c r="E42" s="275"/>
      <c r="F42" s="275"/>
      <c r="G42" s="275"/>
      <c r="H42" s="275"/>
      <c r="I42" s="275"/>
      <c r="J42" s="275"/>
      <c r="K42" s="275"/>
      <c r="L42" s="275"/>
      <c r="M42" s="275"/>
      <c r="N42" s="275"/>
      <c r="O42" s="275"/>
      <c r="P42" s="275"/>
      <c r="Q42" s="275"/>
      <c r="R42" s="276"/>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7" t="s">
        <v>164</v>
      </c>
      <c r="D3" s="278"/>
      <c r="E3" s="278"/>
      <c r="F3" s="278"/>
      <c r="G3" s="278"/>
      <c r="H3" s="278"/>
      <c r="I3" s="278"/>
      <c r="J3" s="278"/>
      <c r="K3" s="278"/>
      <c r="L3" s="278"/>
      <c r="M3" s="278"/>
      <c r="N3" s="278"/>
      <c r="O3" s="278"/>
      <c r="P3" s="278"/>
      <c r="Q3" s="278"/>
      <c r="R3" s="278"/>
      <c r="S3" s="278"/>
      <c r="T3" s="65"/>
      <c r="U3" s="66"/>
    </row>
    <row r="4" spans="1:24" ht="15.75" customHeight="1" x14ac:dyDescent="0.25">
      <c r="B4" s="64"/>
      <c r="C4" s="67" t="s">
        <v>405</v>
      </c>
      <c r="D4" s="29"/>
      <c r="E4" s="29"/>
      <c r="F4" s="29"/>
      <c r="G4" s="29"/>
      <c r="H4" s="29"/>
      <c r="I4" s="29"/>
      <c r="J4" s="29"/>
      <c r="K4" s="29"/>
      <c r="L4" s="29"/>
      <c r="M4" s="29"/>
      <c r="N4" s="29"/>
      <c r="O4" s="29"/>
      <c r="P4" s="29"/>
      <c r="Q4" s="29"/>
      <c r="R4" s="29"/>
      <c r="S4" s="29"/>
      <c r="T4" s="29"/>
      <c r="U4" s="25"/>
    </row>
    <row r="5" spans="1:24" ht="18" customHeight="1" x14ac:dyDescent="0.25">
      <c r="B5" s="64"/>
      <c r="C5" s="221" t="s">
        <v>406</v>
      </c>
      <c r="D5" s="281" t="s">
        <v>376</v>
      </c>
      <c r="E5" s="281"/>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96</v>
      </c>
      <c r="D8" s="194" t="s">
        <v>112</v>
      </c>
      <c r="E8" s="195">
        <v>9.6159999999999995E-2</v>
      </c>
      <c r="F8" s="29"/>
      <c r="G8" s="29"/>
      <c r="H8" s="29"/>
      <c r="I8" s="29"/>
      <c r="J8" s="29"/>
      <c r="K8" s="29"/>
      <c r="L8" s="29"/>
      <c r="M8" s="29"/>
      <c r="N8" s="29"/>
      <c r="O8" s="29"/>
      <c r="P8" s="29"/>
      <c r="Q8" s="29"/>
      <c r="R8" s="29"/>
      <c r="S8" s="29"/>
      <c r="T8" s="29"/>
      <c r="U8" s="25"/>
      <c r="W8" s="180" t="s">
        <v>112</v>
      </c>
      <c r="X8" s="239">
        <v>0.39855000000000002</v>
      </c>
    </row>
    <row r="9" spans="1:24" ht="15.75" customHeight="1" x14ac:dyDescent="0.25">
      <c r="B9" s="64"/>
      <c r="C9" s="188" t="s">
        <v>120</v>
      </c>
      <c r="D9" s="196" t="s">
        <v>112</v>
      </c>
      <c r="E9" s="197">
        <v>9.5759999999999998E-2</v>
      </c>
      <c r="F9" s="29"/>
      <c r="G9" s="29"/>
      <c r="H9" s="29"/>
      <c r="I9" s="29"/>
      <c r="J9" s="29"/>
      <c r="K9" s="29"/>
      <c r="L9" s="29"/>
      <c r="M9" s="29"/>
      <c r="N9" s="29"/>
      <c r="O9" s="29"/>
      <c r="P9" s="29"/>
      <c r="Q9" s="29"/>
      <c r="R9" s="29"/>
      <c r="S9" s="29"/>
      <c r="T9" s="29"/>
      <c r="U9" s="25"/>
      <c r="W9" s="180" t="s">
        <v>110</v>
      </c>
      <c r="X9" s="239">
        <v>0.30034199999999994</v>
      </c>
    </row>
    <row r="10" spans="1:24" ht="15.75" x14ac:dyDescent="0.25">
      <c r="B10" s="64"/>
      <c r="C10" s="188" t="s">
        <v>80</v>
      </c>
      <c r="D10" s="196" t="s">
        <v>112</v>
      </c>
      <c r="E10" s="197">
        <v>6.1623999999999998E-2</v>
      </c>
      <c r="F10" s="29"/>
      <c r="G10" s="29"/>
      <c r="H10" s="29"/>
      <c r="I10" s="29"/>
      <c r="J10" s="29"/>
      <c r="K10" s="29"/>
      <c r="L10" s="29"/>
      <c r="M10" s="29"/>
      <c r="N10" s="29"/>
      <c r="O10" s="29"/>
      <c r="P10" s="29"/>
      <c r="Q10" s="29"/>
      <c r="R10" s="29"/>
      <c r="S10" s="29"/>
      <c r="T10" s="29"/>
      <c r="U10" s="25"/>
      <c r="W10" s="180" t="s">
        <v>124</v>
      </c>
      <c r="X10" s="239">
        <v>0.10362400000000001</v>
      </c>
    </row>
    <row r="11" spans="1:24" ht="15.75" customHeight="1" x14ac:dyDescent="0.25">
      <c r="B11" s="64"/>
      <c r="C11" s="188" t="s">
        <v>144</v>
      </c>
      <c r="D11" s="196" t="s">
        <v>112</v>
      </c>
      <c r="E11" s="197">
        <v>5.9906000000000001E-2</v>
      </c>
      <c r="F11" s="29"/>
      <c r="G11" s="29"/>
      <c r="H11" s="29"/>
      <c r="I11" s="29"/>
      <c r="J11" s="29"/>
      <c r="K11" s="29"/>
      <c r="L11" s="29"/>
      <c r="M11" s="29"/>
      <c r="N11" s="29"/>
      <c r="O11" s="29"/>
      <c r="P11" s="29"/>
      <c r="Q11" s="29"/>
      <c r="R11" s="29"/>
      <c r="S11" s="29"/>
      <c r="T11" s="29"/>
      <c r="U11" s="25"/>
      <c r="W11" s="180" t="s">
        <v>4</v>
      </c>
      <c r="X11" s="239">
        <v>4.0298E-2</v>
      </c>
    </row>
    <row r="12" spans="1:24" ht="15" customHeight="1" x14ac:dyDescent="0.25">
      <c r="B12" s="64"/>
      <c r="C12" s="188" t="s">
        <v>109</v>
      </c>
      <c r="D12" s="196" t="s">
        <v>110</v>
      </c>
      <c r="E12" s="197">
        <v>5.8387000000000001E-2</v>
      </c>
      <c r="F12" s="29"/>
      <c r="G12" s="29"/>
      <c r="H12" s="29"/>
      <c r="I12" s="29"/>
      <c r="J12" s="29"/>
      <c r="K12" s="29"/>
      <c r="L12" s="29"/>
      <c r="M12" s="29"/>
      <c r="N12" s="29"/>
      <c r="O12" s="29"/>
      <c r="P12" s="29"/>
      <c r="Q12" s="29"/>
      <c r="R12" s="29"/>
      <c r="S12" s="29"/>
      <c r="T12" s="29"/>
      <c r="U12" s="25"/>
      <c r="W12" s="180" t="s">
        <v>26</v>
      </c>
      <c r="X12" s="239">
        <v>2.2327E-2</v>
      </c>
    </row>
    <row r="13" spans="1:24" ht="15" customHeight="1" x14ac:dyDescent="0.25">
      <c r="B13" s="64"/>
      <c r="C13" s="188" t="s">
        <v>227</v>
      </c>
      <c r="D13" s="196" t="s">
        <v>112</v>
      </c>
      <c r="E13" s="197">
        <v>3.6164000000000002E-2</v>
      </c>
      <c r="F13" s="29"/>
      <c r="G13" s="29"/>
      <c r="H13" s="29"/>
      <c r="I13" s="29"/>
      <c r="J13" s="29"/>
      <c r="K13" s="29"/>
      <c r="L13" s="29"/>
      <c r="M13" s="29"/>
      <c r="N13" s="29"/>
      <c r="O13" s="29"/>
      <c r="P13" s="29"/>
      <c r="Q13" s="29"/>
      <c r="R13" s="29"/>
      <c r="S13" s="29"/>
      <c r="T13" s="29"/>
      <c r="U13" s="25"/>
      <c r="W13" s="61" t="s">
        <v>127</v>
      </c>
      <c r="X13" s="62">
        <v>2.0753000000000001E-2</v>
      </c>
    </row>
    <row r="14" spans="1:24" ht="15" customHeight="1" x14ac:dyDescent="0.25">
      <c r="B14" s="64"/>
      <c r="C14" s="188" t="s">
        <v>143</v>
      </c>
      <c r="D14" s="196" t="s">
        <v>112</v>
      </c>
      <c r="E14" s="197">
        <v>2.7252999999999999E-2</v>
      </c>
      <c r="F14" s="29"/>
      <c r="G14" s="29"/>
      <c r="H14" s="29"/>
      <c r="I14" s="29"/>
      <c r="J14" s="29"/>
      <c r="K14" s="29"/>
      <c r="L14" s="29"/>
      <c r="M14" s="29"/>
      <c r="N14" s="29"/>
      <c r="O14" s="29"/>
      <c r="P14" s="29"/>
      <c r="Q14" s="29"/>
      <c r="R14" s="29"/>
      <c r="S14" s="29"/>
      <c r="T14" s="29"/>
      <c r="U14" s="25"/>
      <c r="W14" s="61" t="s">
        <v>84</v>
      </c>
      <c r="X14" s="62">
        <v>1.4945999999999999E-2</v>
      </c>
    </row>
    <row r="15" spans="1:24" ht="15" customHeight="1" x14ac:dyDescent="0.25">
      <c r="B15" s="64"/>
      <c r="C15" s="188" t="s">
        <v>145</v>
      </c>
      <c r="D15" s="196" t="s">
        <v>124</v>
      </c>
      <c r="E15" s="197">
        <v>2.6199E-2</v>
      </c>
      <c r="F15" s="29"/>
      <c r="G15" s="29"/>
      <c r="H15" s="29"/>
      <c r="I15" s="29"/>
      <c r="J15" s="29"/>
      <c r="K15" s="29"/>
      <c r="L15" s="29"/>
      <c r="M15" s="29"/>
      <c r="N15" s="29"/>
      <c r="O15" s="29"/>
      <c r="P15" s="29"/>
      <c r="Q15" s="29"/>
      <c r="R15" s="29"/>
      <c r="S15" s="29"/>
      <c r="T15" s="29"/>
      <c r="U15" s="25"/>
      <c r="W15" s="61" t="s">
        <v>24</v>
      </c>
      <c r="X15" s="62">
        <v>1.3339999999999999E-2</v>
      </c>
    </row>
    <row r="16" spans="1:24" ht="15" customHeight="1" x14ac:dyDescent="0.25">
      <c r="B16" s="64"/>
      <c r="C16" s="188" t="s">
        <v>288</v>
      </c>
      <c r="D16" s="196" t="s">
        <v>4</v>
      </c>
      <c r="E16" s="197">
        <v>2.4167000000000001E-2</v>
      </c>
      <c r="F16" s="29"/>
      <c r="G16" s="29"/>
      <c r="H16" s="29"/>
      <c r="I16" s="29"/>
      <c r="J16" s="29"/>
      <c r="K16" s="29"/>
      <c r="L16" s="29"/>
      <c r="M16" s="29"/>
      <c r="N16" s="29"/>
      <c r="O16" s="29"/>
      <c r="P16" s="29"/>
      <c r="Q16" s="29"/>
      <c r="R16" s="29"/>
      <c r="S16" s="29"/>
      <c r="T16" s="29"/>
      <c r="U16" s="25"/>
      <c r="W16" s="61" t="s">
        <v>16</v>
      </c>
      <c r="X16" s="62">
        <v>1.2508E-2</v>
      </c>
    </row>
    <row r="17" spans="2:24" ht="15" customHeight="1" x14ac:dyDescent="0.25">
      <c r="B17" s="64"/>
      <c r="C17" s="188" t="s">
        <v>267</v>
      </c>
      <c r="D17" s="196" t="s">
        <v>124</v>
      </c>
      <c r="E17" s="197">
        <v>2.3817000000000001E-2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317</v>
      </c>
      <c r="D18" s="196" t="s">
        <v>110</v>
      </c>
      <c r="E18" s="197">
        <v>2.2631999999999999E-2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226</v>
      </c>
      <c r="D19" s="196" t="s">
        <v>26</v>
      </c>
      <c r="E19" s="197">
        <v>2.2327E-2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318</v>
      </c>
      <c r="D20" s="196" t="s">
        <v>127</v>
      </c>
      <c r="E20" s="197">
        <v>2.0753000000000001E-2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351</v>
      </c>
      <c r="D21" s="196" t="s">
        <v>110</v>
      </c>
      <c r="E21" s="197">
        <v>2.0677999999999998E-2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319</v>
      </c>
      <c r="D22" s="196" t="s">
        <v>110</v>
      </c>
      <c r="E22" s="197">
        <v>2.0053999999999999E-2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0.61588100000000001</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ht="15" customHeight="1" x14ac:dyDescent="0.25">
      <c r="B40" s="271"/>
      <c r="C40" s="272"/>
      <c r="D40" s="272"/>
      <c r="E40" s="272"/>
      <c r="F40" s="272"/>
      <c r="G40" s="272"/>
      <c r="H40" s="272"/>
      <c r="I40" s="272"/>
      <c r="J40" s="272"/>
      <c r="K40" s="272"/>
      <c r="L40" s="272"/>
      <c r="M40" s="272"/>
      <c r="N40" s="272"/>
      <c r="O40" s="272"/>
      <c r="P40" s="272"/>
      <c r="Q40" s="272"/>
      <c r="R40" s="273"/>
      <c r="W40" s="61"/>
      <c r="X40" s="62"/>
    </row>
    <row r="41" spans="2:24" ht="15" customHeight="1" x14ac:dyDescent="0.25">
      <c r="B41" s="271"/>
      <c r="C41" s="272"/>
      <c r="D41" s="272"/>
      <c r="E41" s="272"/>
      <c r="F41" s="272"/>
      <c r="G41" s="272"/>
      <c r="H41" s="272"/>
      <c r="I41" s="272"/>
      <c r="J41" s="272"/>
      <c r="K41" s="272"/>
      <c r="L41" s="272"/>
      <c r="M41" s="272"/>
      <c r="N41" s="272"/>
      <c r="O41" s="272"/>
      <c r="P41" s="272"/>
      <c r="Q41" s="272"/>
      <c r="R41" s="273"/>
      <c r="W41" s="61"/>
      <c r="X41" s="62"/>
    </row>
    <row r="42" spans="2:24" ht="15" customHeight="1" x14ac:dyDescent="0.25">
      <c r="B42" s="271"/>
      <c r="C42" s="272"/>
      <c r="D42" s="272"/>
      <c r="E42" s="272"/>
      <c r="F42" s="272"/>
      <c r="G42" s="272"/>
      <c r="H42" s="272"/>
      <c r="I42" s="272"/>
      <c r="J42" s="272"/>
      <c r="K42" s="272"/>
      <c r="L42" s="272"/>
      <c r="M42" s="272"/>
      <c r="N42" s="272"/>
      <c r="O42" s="272"/>
      <c r="P42" s="272"/>
      <c r="Q42" s="272"/>
      <c r="R42" s="273"/>
      <c r="W42" s="61"/>
      <c r="X42" s="62"/>
    </row>
    <row r="43" spans="2:24" ht="15" customHeight="1" x14ac:dyDescent="0.25">
      <c r="B43" s="271"/>
      <c r="C43" s="272"/>
      <c r="D43" s="272"/>
      <c r="E43" s="272"/>
      <c r="F43" s="272"/>
      <c r="G43" s="272"/>
      <c r="H43" s="272"/>
      <c r="I43" s="272"/>
      <c r="J43" s="272"/>
      <c r="K43" s="272"/>
      <c r="L43" s="272"/>
      <c r="M43" s="272"/>
      <c r="N43" s="272"/>
      <c r="O43" s="272"/>
      <c r="P43" s="272"/>
      <c r="Q43" s="272"/>
      <c r="R43" s="273"/>
    </row>
    <row r="44" spans="2:24" ht="15" customHeight="1" x14ac:dyDescent="0.25">
      <c r="B44" s="271"/>
      <c r="C44" s="272"/>
      <c r="D44" s="272"/>
      <c r="E44" s="272"/>
      <c r="F44" s="272"/>
      <c r="G44" s="272"/>
      <c r="H44" s="272"/>
      <c r="I44" s="272"/>
      <c r="J44" s="272"/>
      <c r="K44" s="272"/>
      <c r="L44" s="272"/>
      <c r="M44" s="272"/>
      <c r="N44" s="272"/>
      <c r="O44" s="272"/>
      <c r="P44" s="272"/>
      <c r="Q44" s="272"/>
      <c r="R44" s="273"/>
    </row>
    <row r="45" spans="2:24" ht="27.75" customHeight="1" thickBot="1" x14ac:dyDescent="0.3">
      <c r="B45" s="274"/>
      <c r="C45" s="275"/>
      <c r="D45" s="275"/>
      <c r="E45" s="275"/>
      <c r="F45" s="275"/>
      <c r="G45" s="275"/>
      <c r="H45" s="275"/>
      <c r="I45" s="275"/>
      <c r="J45" s="275"/>
      <c r="K45" s="275"/>
      <c r="L45" s="275"/>
      <c r="M45" s="275"/>
      <c r="N45" s="275"/>
      <c r="O45" s="275"/>
      <c r="P45" s="275"/>
      <c r="Q45" s="275"/>
      <c r="R45" s="276"/>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election activeCell="C8" sqref="C8:E22"/>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7" t="s">
        <v>184</v>
      </c>
      <c r="D3" s="278"/>
      <c r="E3" s="278"/>
      <c r="F3" s="278"/>
      <c r="G3" s="278"/>
      <c r="H3" s="278"/>
      <c r="I3" s="278"/>
      <c r="J3" s="278"/>
      <c r="K3" s="278"/>
      <c r="L3" s="278"/>
      <c r="M3" s="278"/>
      <c r="N3" s="278"/>
      <c r="O3" s="278"/>
      <c r="P3" s="278"/>
      <c r="Q3" s="278"/>
      <c r="R3" s="278"/>
      <c r="S3" s="278"/>
      <c r="T3" s="65"/>
      <c r="U3" s="66"/>
    </row>
    <row r="4" spans="1:24" ht="15.75" customHeight="1" x14ac:dyDescent="0.25">
      <c r="B4" s="64"/>
      <c r="C4" s="67" t="s">
        <v>405</v>
      </c>
      <c r="D4" s="29"/>
      <c r="E4" s="29"/>
      <c r="F4" s="29"/>
      <c r="G4" s="29"/>
      <c r="H4" s="29"/>
      <c r="I4" s="29"/>
      <c r="J4" s="29"/>
      <c r="K4" s="29"/>
      <c r="L4" s="29"/>
      <c r="M4" s="29"/>
      <c r="N4" s="29"/>
      <c r="O4" s="29"/>
      <c r="P4" s="29"/>
      <c r="Q4" s="29"/>
      <c r="R4" s="29"/>
      <c r="S4" s="29"/>
      <c r="T4" s="29"/>
      <c r="U4" s="25"/>
    </row>
    <row r="5" spans="1:24" ht="18" customHeight="1" x14ac:dyDescent="0.25">
      <c r="B5" s="64"/>
      <c r="C5" s="221" t="s">
        <v>406</v>
      </c>
      <c r="D5" s="281" t="s">
        <v>377</v>
      </c>
      <c r="E5" s="281"/>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32</v>
      </c>
      <c r="D8" s="194" t="s">
        <v>3</v>
      </c>
      <c r="E8" s="195">
        <v>0.14838200000000001</v>
      </c>
      <c r="F8" s="29"/>
      <c r="G8" s="29"/>
      <c r="H8" s="29"/>
      <c r="I8" s="29"/>
      <c r="J8" s="29"/>
      <c r="K8" s="29"/>
      <c r="L8" s="29"/>
      <c r="M8" s="29"/>
      <c r="N8" s="29"/>
      <c r="O8" s="29"/>
      <c r="P8" s="29"/>
      <c r="Q8" s="29"/>
      <c r="R8" s="29"/>
      <c r="S8" s="29"/>
      <c r="T8" s="29"/>
      <c r="U8" s="25"/>
      <c r="W8" s="180" t="s">
        <v>3</v>
      </c>
      <c r="X8" s="179">
        <v>0.45639500000000005</v>
      </c>
    </row>
    <row r="9" spans="1:24" ht="15.75" customHeight="1" x14ac:dyDescent="0.25">
      <c r="B9" s="64"/>
      <c r="C9" s="188" t="s">
        <v>29</v>
      </c>
      <c r="D9" s="196" t="s">
        <v>3</v>
      </c>
      <c r="E9" s="197">
        <v>0.14552000000000001</v>
      </c>
      <c r="F9" s="29"/>
      <c r="G9" s="29"/>
      <c r="H9" s="29"/>
      <c r="I9" s="29"/>
      <c r="J9" s="29"/>
      <c r="K9" s="29"/>
      <c r="L9" s="29"/>
      <c r="M9" s="29"/>
      <c r="N9" s="29"/>
      <c r="O9" s="29"/>
      <c r="P9" s="29"/>
      <c r="Q9" s="29"/>
      <c r="R9" s="29"/>
      <c r="S9" s="29"/>
      <c r="T9" s="29"/>
      <c r="U9" s="25"/>
      <c r="W9" s="180" t="s">
        <v>4</v>
      </c>
      <c r="X9" s="179">
        <v>0.27083299999999999</v>
      </c>
    </row>
    <row r="10" spans="1:24" ht="15.75" x14ac:dyDescent="0.25">
      <c r="B10" s="64"/>
      <c r="C10" s="188" t="s">
        <v>36</v>
      </c>
      <c r="D10" s="196" t="s">
        <v>3</v>
      </c>
      <c r="E10" s="197">
        <v>8.8967000000000004E-2</v>
      </c>
      <c r="F10" s="29"/>
      <c r="G10" s="29"/>
      <c r="H10" s="29"/>
      <c r="I10" s="29"/>
      <c r="J10" s="29"/>
      <c r="K10" s="29"/>
      <c r="L10" s="29"/>
      <c r="M10" s="29"/>
      <c r="N10" s="29"/>
      <c r="O10" s="29"/>
      <c r="P10" s="29"/>
      <c r="Q10" s="29"/>
      <c r="R10" s="29"/>
      <c r="S10" s="29"/>
      <c r="T10" s="29"/>
      <c r="U10" s="25"/>
      <c r="W10" s="180" t="s">
        <v>85</v>
      </c>
      <c r="X10" s="179">
        <v>0.111996</v>
      </c>
    </row>
    <row r="11" spans="1:24" ht="15.75" customHeight="1" x14ac:dyDescent="0.25">
      <c r="B11" s="64"/>
      <c r="C11" s="188" t="s">
        <v>35</v>
      </c>
      <c r="D11" s="196" t="s">
        <v>3</v>
      </c>
      <c r="E11" s="197">
        <v>5.2525000000000002E-2</v>
      </c>
      <c r="F11" s="29"/>
      <c r="G11" s="29"/>
      <c r="H11" s="29"/>
      <c r="I11" s="29"/>
      <c r="J11" s="29"/>
      <c r="K11" s="29"/>
      <c r="L11" s="29"/>
      <c r="M11" s="29"/>
      <c r="N11" s="29"/>
      <c r="O11" s="29"/>
      <c r="P11" s="29"/>
      <c r="Q11" s="29"/>
      <c r="R11" s="29"/>
      <c r="S11" s="29"/>
      <c r="T11" s="29"/>
      <c r="U11" s="25"/>
      <c r="W11" s="180" t="s">
        <v>86</v>
      </c>
      <c r="X11" s="179">
        <v>7.5120000000000006E-2</v>
      </c>
    </row>
    <row r="12" spans="1:24" ht="15" customHeight="1" x14ac:dyDescent="0.25">
      <c r="B12" s="64"/>
      <c r="C12" s="188" t="s">
        <v>105</v>
      </c>
      <c r="D12" s="196" t="s">
        <v>4</v>
      </c>
      <c r="E12" s="197">
        <v>3.4050999999999998E-2</v>
      </c>
      <c r="F12" s="29"/>
      <c r="G12" s="29"/>
      <c r="H12" s="29"/>
      <c r="I12" s="29"/>
      <c r="J12" s="29"/>
      <c r="K12" s="29"/>
      <c r="L12" s="29"/>
      <c r="M12" s="29"/>
      <c r="N12" s="29"/>
      <c r="O12" s="29"/>
      <c r="P12" s="29"/>
      <c r="Q12" s="29"/>
      <c r="R12" s="29"/>
      <c r="S12" s="29"/>
      <c r="T12" s="29"/>
      <c r="U12" s="25"/>
      <c r="W12" s="180" t="s">
        <v>185</v>
      </c>
      <c r="X12" s="179">
        <v>4.1199E-2</v>
      </c>
    </row>
    <row r="13" spans="1:24" ht="15" customHeight="1" x14ac:dyDescent="0.25">
      <c r="B13" s="64"/>
      <c r="C13" s="188" t="s">
        <v>241</v>
      </c>
      <c r="D13" s="196" t="s">
        <v>4</v>
      </c>
      <c r="E13" s="197">
        <v>3.1150000000000001E-2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8" t="s">
        <v>207</v>
      </c>
      <c r="D14" s="196" t="s">
        <v>4</v>
      </c>
      <c r="E14" s="197">
        <v>2.9739000000000002E-2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8" t="s">
        <v>228</v>
      </c>
      <c r="D15" s="196" t="s">
        <v>185</v>
      </c>
      <c r="E15" s="197">
        <v>2.4412E-2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8" t="s">
        <v>264</v>
      </c>
      <c r="D16" s="196" t="s">
        <v>85</v>
      </c>
      <c r="E16" s="197">
        <v>2.4392E-2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8" t="s">
        <v>247</v>
      </c>
      <c r="D17" s="196" t="s">
        <v>85</v>
      </c>
      <c r="E17" s="197">
        <v>2.3795E-2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81</v>
      </c>
      <c r="D18" s="196" t="s">
        <v>4</v>
      </c>
      <c r="E18" s="197">
        <v>2.0247000000000001E-2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251</v>
      </c>
      <c r="D19" s="196" t="s">
        <v>85</v>
      </c>
      <c r="E19" s="197">
        <v>1.7367E-2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294</v>
      </c>
      <c r="D20" s="196" t="s">
        <v>185</v>
      </c>
      <c r="E20" s="197">
        <v>1.6787E-2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320</v>
      </c>
      <c r="D21" s="196" t="s">
        <v>4</v>
      </c>
      <c r="E21" s="197">
        <v>1.6775999999999999E-2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408</v>
      </c>
      <c r="D22" s="196" t="s">
        <v>4</v>
      </c>
      <c r="E22" s="197">
        <v>1.4962E-2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0.68907200000000002</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ht="15" customHeight="1" x14ac:dyDescent="0.25">
      <c r="B40" s="271"/>
      <c r="C40" s="272"/>
      <c r="D40" s="272"/>
      <c r="E40" s="272"/>
      <c r="F40" s="272"/>
      <c r="G40" s="272"/>
      <c r="H40" s="272"/>
      <c r="I40" s="272"/>
      <c r="J40" s="272"/>
      <c r="K40" s="272"/>
      <c r="L40" s="272"/>
      <c r="M40" s="272"/>
      <c r="N40" s="272"/>
      <c r="O40" s="272"/>
      <c r="P40" s="272"/>
      <c r="Q40" s="272"/>
      <c r="R40" s="273"/>
      <c r="W40" s="61"/>
      <c r="X40" s="62"/>
    </row>
    <row r="41" spans="2:24" ht="15" customHeight="1" x14ac:dyDescent="0.25">
      <c r="B41" s="271"/>
      <c r="C41" s="272"/>
      <c r="D41" s="272"/>
      <c r="E41" s="272"/>
      <c r="F41" s="272"/>
      <c r="G41" s="272"/>
      <c r="H41" s="272"/>
      <c r="I41" s="272"/>
      <c r="J41" s="272"/>
      <c r="K41" s="272"/>
      <c r="L41" s="272"/>
      <c r="M41" s="272"/>
      <c r="N41" s="272"/>
      <c r="O41" s="272"/>
      <c r="P41" s="272"/>
      <c r="Q41" s="272"/>
      <c r="R41" s="273"/>
      <c r="W41" s="61"/>
      <c r="X41" s="62"/>
    </row>
    <row r="42" spans="2:24" ht="15" customHeight="1" x14ac:dyDescent="0.25">
      <c r="B42" s="271"/>
      <c r="C42" s="272"/>
      <c r="D42" s="272"/>
      <c r="E42" s="272"/>
      <c r="F42" s="272"/>
      <c r="G42" s="272"/>
      <c r="H42" s="272"/>
      <c r="I42" s="272"/>
      <c r="J42" s="272"/>
      <c r="K42" s="272"/>
      <c r="L42" s="272"/>
      <c r="M42" s="272"/>
      <c r="N42" s="272"/>
      <c r="O42" s="272"/>
      <c r="P42" s="272"/>
      <c r="Q42" s="272"/>
      <c r="R42" s="273"/>
      <c r="W42" s="61"/>
      <c r="X42" s="62"/>
    </row>
    <row r="43" spans="2:24" ht="15" customHeight="1" x14ac:dyDescent="0.25">
      <c r="B43" s="271"/>
      <c r="C43" s="272"/>
      <c r="D43" s="272"/>
      <c r="E43" s="272"/>
      <c r="F43" s="272"/>
      <c r="G43" s="272"/>
      <c r="H43" s="272"/>
      <c r="I43" s="272"/>
      <c r="J43" s="272"/>
      <c r="K43" s="272"/>
      <c r="L43" s="272"/>
      <c r="M43" s="272"/>
      <c r="N43" s="272"/>
      <c r="O43" s="272"/>
      <c r="P43" s="272"/>
      <c r="Q43" s="272"/>
      <c r="R43" s="273"/>
    </row>
    <row r="44" spans="2:24" ht="15" customHeight="1" x14ac:dyDescent="0.25">
      <c r="B44" s="271"/>
      <c r="C44" s="272"/>
      <c r="D44" s="272"/>
      <c r="E44" s="272"/>
      <c r="F44" s="272"/>
      <c r="G44" s="272"/>
      <c r="H44" s="272"/>
      <c r="I44" s="272"/>
      <c r="J44" s="272"/>
      <c r="K44" s="272"/>
      <c r="L44" s="272"/>
      <c r="M44" s="272"/>
      <c r="N44" s="272"/>
      <c r="O44" s="272"/>
      <c r="P44" s="272"/>
      <c r="Q44" s="272"/>
      <c r="R44" s="273"/>
    </row>
    <row r="45" spans="2:24" ht="27.75" customHeight="1" thickBot="1" x14ac:dyDescent="0.3">
      <c r="B45" s="274"/>
      <c r="C45" s="275"/>
      <c r="D45" s="275"/>
      <c r="E45" s="275"/>
      <c r="F45" s="275"/>
      <c r="G45" s="275"/>
      <c r="H45" s="275"/>
      <c r="I45" s="275"/>
      <c r="J45" s="275"/>
      <c r="K45" s="275"/>
      <c r="L45" s="275"/>
      <c r="M45" s="275"/>
      <c r="N45" s="275"/>
      <c r="O45" s="275"/>
      <c r="P45" s="275"/>
      <c r="Q45" s="275"/>
      <c r="R45" s="276"/>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254</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378</v>
      </c>
      <c r="E5" s="279"/>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259</v>
      </c>
      <c r="D8" s="196" t="s">
        <v>111</v>
      </c>
      <c r="E8" s="204">
        <v>3.7718000000000002E-2</v>
      </c>
      <c r="F8" s="29">
        <v>1</v>
      </c>
      <c r="G8" s="29"/>
      <c r="H8" s="29"/>
      <c r="I8" s="29"/>
      <c r="J8" s="29"/>
      <c r="K8" s="29"/>
      <c r="L8" s="29"/>
      <c r="M8" s="29"/>
      <c r="N8" s="29"/>
      <c r="O8" s="29"/>
      <c r="P8" s="29"/>
      <c r="Q8" s="29"/>
      <c r="R8" s="29"/>
      <c r="S8" s="29"/>
      <c r="T8" s="22"/>
      <c r="W8" s="180" t="s">
        <v>111</v>
      </c>
      <c r="X8" s="239">
        <v>0.12851899999999999</v>
      </c>
    </row>
    <row r="9" spans="1:24" ht="15.75" customHeight="1" x14ac:dyDescent="0.25">
      <c r="B9" s="79"/>
      <c r="C9" s="188" t="s">
        <v>226</v>
      </c>
      <c r="D9" s="196" t="s">
        <v>26</v>
      </c>
      <c r="E9" s="204">
        <v>2.9505E-2</v>
      </c>
      <c r="F9" s="29">
        <v>2</v>
      </c>
      <c r="G9" s="29"/>
      <c r="H9" s="29"/>
      <c r="I9" s="29"/>
      <c r="J9" s="29"/>
      <c r="K9" s="29"/>
      <c r="L9" s="29"/>
      <c r="M9" s="29"/>
      <c r="N9" s="29"/>
      <c r="O9" s="29"/>
      <c r="P9" s="29"/>
      <c r="Q9" s="29"/>
      <c r="R9" s="29"/>
      <c r="S9" s="29"/>
      <c r="T9" s="22"/>
      <c r="W9" s="180" t="s">
        <v>26</v>
      </c>
      <c r="X9" s="239">
        <v>8.8940000000000005E-2</v>
      </c>
    </row>
    <row r="10" spans="1:24" ht="15" customHeight="1" x14ac:dyDescent="0.25">
      <c r="B10" s="79"/>
      <c r="C10" s="188" t="s">
        <v>70</v>
      </c>
      <c r="D10" s="196" t="s">
        <v>12</v>
      </c>
      <c r="E10" s="204">
        <v>2.8322E-2</v>
      </c>
      <c r="F10" s="29">
        <v>3</v>
      </c>
      <c r="G10" s="29"/>
      <c r="H10" s="29"/>
      <c r="I10" s="29"/>
      <c r="J10" s="29"/>
      <c r="K10" s="29"/>
      <c r="L10" s="29"/>
      <c r="M10" s="29"/>
      <c r="N10" s="29"/>
      <c r="O10" s="29"/>
      <c r="P10" s="29"/>
      <c r="Q10" s="29"/>
      <c r="R10" s="29"/>
      <c r="S10" s="29"/>
      <c r="T10" s="22"/>
      <c r="W10" s="180" t="s">
        <v>4</v>
      </c>
      <c r="X10" s="239">
        <v>7.2007999999999989E-2</v>
      </c>
    </row>
    <row r="11" spans="1:24" ht="15" customHeight="1" x14ac:dyDescent="0.25">
      <c r="B11" s="79"/>
      <c r="C11" s="188" t="s">
        <v>81</v>
      </c>
      <c r="D11" s="196" t="s">
        <v>4</v>
      </c>
      <c r="E11" s="204">
        <v>2.7881E-2</v>
      </c>
      <c r="F11" s="29">
        <v>4</v>
      </c>
      <c r="G11" s="29"/>
      <c r="H11" s="29"/>
      <c r="I11" s="29"/>
      <c r="J11" s="29"/>
      <c r="K11" s="29"/>
      <c r="L11" s="29"/>
      <c r="M11" s="29"/>
      <c r="N11" s="29"/>
      <c r="O11" s="29"/>
      <c r="P11" s="29"/>
      <c r="Q11" s="29"/>
      <c r="R11" s="29"/>
      <c r="S11" s="29"/>
      <c r="T11" s="22"/>
      <c r="W11" s="180" t="s">
        <v>16</v>
      </c>
      <c r="X11" s="239">
        <v>6.7524000000000001E-2</v>
      </c>
    </row>
    <row r="12" spans="1:24" ht="15" customHeight="1" x14ac:dyDescent="0.25">
      <c r="B12" s="79"/>
      <c r="C12" s="188" t="s">
        <v>198</v>
      </c>
      <c r="D12" s="196" t="s">
        <v>106</v>
      </c>
      <c r="E12" s="204">
        <v>2.6294999999999999E-2</v>
      </c>
      <c r="F12" s="29">
        <v>5</v>
      </c>
      <c r="G12" s="29"/>
      <c r="H12" s="29"/>
      <c r="I12" s="29"/>
      <c r="J12" s="29"/>
      <c r="K12" s="29"/>
      <c r="L12" s="29"/>
      <c r="M12" s="29"/>
      <c r="N12" s="29"/>
      <c r="O12" s="29"/>
      <c r="P12" s="29"/>
      <c r="Q12" s="29"/>
      <c r="R12" s="29"/>
      <c r="S12" s="29"/>
      <c r="T12" s="22"/>
      <c r="W12" s="180" t="s">
        <v>77</v>
      </c>
      <c r="X12" s="239">
        <v>6.1163000000000009E-2</v>
      </c>
    </row>
    <row r="13" spans="1:24" ht="15" customHeight="1" x14ac:dyDescent="0.25">
      <c r="B13" s="79"/>
      <c r="C13" s="188" t="s">
        <v>237</v>
      </c>
      <c r="D13" s="196" t="s">
        <v>26</v>
      </c>
      <c r="E13" s="204">
        <v>2.5021000000000002E-2</v>
      </c>
      <c r="F13" s="29">
        <v>6</v>
      </c>
      <c r="G13" s="29"/>
      <c r="H13" s="29"/>
      <c r="I13" s="29"/>
      <c r="J13" s="29"/>
      <c r="K13" s="29"/>
      <c r="L13" s="29"/>
      <c r="M13" s="29"/>
      <c r="N13" s="29"/>
      <c r="O13" s="29"/>
      <c r="P13" s="29"/>
      <c r="Q13" s="29"/>
      <c r="R13" s="29"/>
      <c r="S13" s="29"/>
      <c r="T13" s="22"/>
      <c r="W13" s="180" t="s">
        <v>107</v>
      </c>
      <c r="X13" s="239">
        <v>4.6397000000000001E-2</v>
      </c>
    </row>
    <row r="14" spans="1:24" ht="15" customHeight="1" x14ac:dyDescent="0.25">
      <c r="B14" s="79"/>
      <c r="C14" s="188" t="s">
        <v>264</v>
      </c>
      <c r="D14" s="196" t="s">
        <v>85</v>
      </c>
      <c r="E14" s="204">
        <v>2.3858000000000001E-2</v>
      </c>
      <c r="F14" s="29">
        <v>7</v>
      </c>
      <c r="G14" s="29"/>
      <c r="H14" s="29"/>
      <c r="I14" s="29"/>
      <c r="J14" s="29"/>
      <c r="K14" s="29"/>
      <c r="L14" s="29"/>
      <c r="M14" s="29"/>
      <c r="N14" s="29"/>
      <c r="O14" s="29"/>
      <c r="P14" s="29"/>
      <c r="Q14" s="29"/>
      <c r="R14" s="29"/>
      <c r="S14" s="29"/>
      <c r="T14" s="22"/>
      <c r="W14" s="180" t="s">
        <v>119</v>
      </c>
      <c r="X14" s="239">
        <v>3.9555E-2</v>
      </c>
    </row>
    <row r="15" spans="1:24" ht="15" customHeight="1" x14ac:dyDescent="0.25">
      <c r="B15" s="79"/>
      <c r="C15" s="188" t="s">
        <v>294</v>
      </c>
      <c r="D15" s="196" t="s">
        <v>185</v>
      </c>
      <c r="E15" s="204">
        <v>2.366E-2</v>
      </c>
      <c r="F15" s="29">
        <v>8</v>
      </c>
      <c r="G15" s="29"/>
      <c r="H15" s="29"/>
      <c r="I15" s="29"/>
      <c r="J15" s="29"/>
      <c r="K15" s="29"/>
      <c r="L15" s="29"/>
      <c r="M15" s="29"/>
      <c r="N15" s="29"/>
      <c r="O15" s="29"/>
      <c r="P15" s="29"/>
      <c r="Q15" s="29"/>
      <c r="R15" s="29"/>
      <c r="S15" s="29"/>
      <c r="T15" s="22"/>
      <c r="W15" s="180" t="s">
        <v>106</v>
      </c>
      <c r="X15" s="239">
        <v>3.5302E-2</v>
      </c>
    </row>
    <row r="16" spans="1:24" ht="15" customHeight="1" x14ac:dyDescent="0.25">
      <c r="B16" s="79"/>
      <c r="C16" s="188" t="s">
        <v>260</v>
      </c>
      <c r="D16" s="196" t="s">
        <v>77</v>
      </c>
      <c r="E16" s="204">
        <v>2.2894000000000001E-2</v>
      </c>
      <c r="F16" s="29">
        <v>9</v>
      </c>
      <c r="G16" s="29"/>
      <c r="H16" s="29"/>
      <c r="I16" s="29"/>
      <c r="J16" s="29"/>
      <c r="K16" s="29"/>
      <c r="L16" s="29"/>
      <c r="M16" s="29"/>
      <c r="N16" s="29"/>
      <c r="O16" s="29"/>
      <c r="P16" s="29"/>
      <c r="Q16" s="29"/>
      <c r="R16" s="29"/>
      <c r="S16" s="29"/>
      <c r="T16" s="22"/>
      <c r="W16" s="180" t="s">
        <v>137</v>
      </c>
      <c r="X16" s="239">
        <v>3.5193000000000002E-2</v>
      </c>
    </row>
    <row r="17" spans="2:24" ht="15" customHeight="1" x14ac:dyDescent="0.25">
      <c r="B17" s="79"/>
      <c r="C17" s="188" t="s">
        <v>265</v>
      </c>
      <c r="D17" s="196" t="s">
        <v>77</v>
      </c>
      <c r="E17" s="204">
        <v>2.2197000000000001E-2</v>
      </c>
      <c r="F17" s="29">
        <v>10</v>
      </c>
      <c r="G17" s="29"/>
      <c r="H17" s="29"/>
      <c r="I17" s="29"/>
      <c r="J17" s="29"/>
      <c r="K17" s="29"/>
      <c r="L17" s="29"/>
      <c r="M17" s="29"/>
      <c r="N17" s="29"/>
      <c r="O17" s="29"/>
      <c r="P17" s="29"/>
      <c r="Q17" s="29"/>
      <c r="R17" s="29"/>
      <c r="S17" s="29"/>
      <c r="T17" s="22"/>
      <c r="W17" s="180" t="s">
        <v>85</v>
      </c>
      <c r="X17" s="239">
        <v>3.2597000000000001E-2</v>
      </c>
    </row>
    <row r="18" spans="2:24" ht="15" customHeight="1" x14ac:dyDescent="0.25">
      <c r="B18" s="79"/>
      <c r="C18" s="188" t="s">
        <v>321</v>
      </c>
      <c r="D18" s="196" t="s">
        <v>116</v>
      </c>
      <c r="E18" s="204">
        <v>1.9748999999999999E-2</v>
      </c>
      <c r="F18" s="29">
        <v>11</v>
      </c>
      <c r="G18" s="29"/>
      <c r="H18" s="29"/>
      <c r="I18" s="29"/>
      <c r="J18" s="29"/>
      <c r="K18" s="29"/>
      <c r="L18" s="29"/>
      <c r="M18" s="29"/>
      <c r="N18" s="29"/>
      <c r="O18" s="29"/>
      <c r="P18" s="29"/>
      <c r="Q18" s="29"/>
      <c r="R18" s="29"/>
      <c r="S18" s="29"/>
      <c r="T18" s="22"/>
      <c r="W18" s="180" t="s">
        <v>24</v>
      </c>
      <c r="X18" s="239">
        <v>2.9196E-2</v>
      </c>
    </row>
    <row r="19" spans="2:24" ht="15" customHeight="1" x14ac:dyDescent="0.25">
      <c r="B19" s="79"/>
      <c r="C19" s="188" t="s">
        <v>195</v>
      </c>
      <c r="D19" s="196" t="s">
        <v>107</v>
      </c>
      <c r="E19" s="204">
        <v>1.8161E-2</v>
      </c>
      <c r="F19" s="29">
        <v>12</v>
      </c>
      <c r="G19" s="29"/>
      <c r="H19" s="29"/>
      <c r="I19" s="29"/>
      <c r="J19" s="29"/>
      <c r="K19" s="29"/>
      <c r="L19" s="29"/>
      <c r="M19" s="29"/>
      <c r="N19" s="29"/>
      <c r="O19" s="29"/>
      <c r="P19" s="29"/>
      <c r="Q19" s="29"/>
      <c r="R19" s="29"/>
      <c r="S19" s="29"/>
      <c r="T19" s="22"/>
      <c r="W19" s="180" t="s">
        <v>116</v>
      </c>
      <c r="X19" s="239">
        <v>2.8568999999999997E-2</v>
      </c>
    </row>
    <row r="20" spans="2:24" ht="15" customHeight="1" x14ac:dyDescent="0.25">
      <c r="B20" s="79"/>
      <c r="C20" s="188" t="s">
        <v>274</v>
      </c>
      <c r="D20" s="196" t="s">
        <v>137</v>
      </c>
      <c r="E20" s="204">
        <v>1.7426000000000001E-2</v>
      </c>
      <c r="F20" s="29">
        <v>13</v>
      </c>
      <c r="G20" s="29"/>
      <c r="H20" s="29"/>
      <c r="I20" s="29"/>
      <c r="J20" s="29"/>
      <c r="K20" s="29"/>
      <c r="L20" s="29"/>
      <c r="M20" s="29"/>
      <c r="N20" s="29"/>
      <c r="O20" s="29"/>
      <c r="P20" s="29"/>
      <c r="Q20" s="29"/>
      <c r="R20" s="29"/>
      <c r="S20" s="29"/>
      <c r="T20" s="22"/>
      <c r="W20" s="180" t="s">
        <v>12</v>
      </c>
      <c r="X20" s="239">
        <v>2.8322E-2</v>
      </c>
    </row>
    <row r="21" spans="2:24" ht="15" customHeight="1" x14ac:dyDescent="0.25">
      <c r="B21" s="79"/>
      <c r="C21" s="188" t="s">
        <v>145</v>
      </c>
      <c r="D21" s="196" t="s">
        <v>124</v>
      </c>
      <c r="E21" s="204">
        <v>1.7284000000000001E-2</v>
      </c>
      <c r="F21" s="29">
        <v>14</v>
      </c>
      <c r="G21" s="29"/>
      <c r="H21" s="29"/>
      <c r="I21" s="29"/>
      <c r="J21" s="29"/>
      <c r="K21" s="29"/>
      <c r="L21" s="29"/>
      <c r="M21" s="29"/>
      <c r="N21" s="29"/>
      <c r="O21" s="29"/>
      <c r="P21" s="29"/>
      <c r="Q21" s="29"/>
      <c r="R21" s="29"/>
      <c r="S21" s="29"/>
      <c r="T21" s="22"/>
      <c r="W21" s="180" t="s">
        <v>114</v>
      </c>
      <c r="X21" s="239">
        <v>2.649E-2</v>
      </c>
    </row>
    <row r="22" spans="2:24" ht="15" customHeight="1" x14ac:dyDescent="0.25">
      <c r="B22" s="79"/>
      <c r="C22" s="188" t="s">
        <v>249</v>
      </c>
      <c r="D22" s="196" t="s">
        <v>111</v>
      </c>
      <c r="E22" s="204">
        <v>1.7238E-2</v>
      </c>
      <c r="F22" s="29">
        <v>15</v>
      </c>
      <c r="G22" s="29"/>
      <c r="H22" s="29"/>
      <c r="I22" s="29"/>
      <c r="J22" s="29"/>
      <c r="K22" s="29"/>
      <c r="L22" s="29"/>
      <c r="M22" s="29"/>
      <c r="N22" s="29"/>
      <c r="O22" s="29"/>
      <c r="P22" s="29"/>
      <c r="Q22" s="29"/>
      <c r="R22" s="29"/>
      <c r="S22" s="29"/>
      <c r="T22" s="22"/>
      <c r="W22" s="180" t="s">
        <v>10</v>
      </c>
      <c r="X22" s="239">
        <v>2.4126999999999999E-2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185</v>
      </c>
      <c r="X23" s="239">
        <v>2.366E-2</v>
      </c>
    </row>
    <row r="24" spans="2:24" ht="15" customHeight="1" x14ac:dyDescent="0.25">
      <c r="B24" s="79"/>
      <c r="C24" s="73" t="s">
        <v>55</v>
      </c>
      <c r="D24" s="74"/>
      <c r="E24" s="75">
        <f>SUM(E8:E22)</f>
        <v>0.357209</v>
      </c>
      <c r="F24" s="29"/>
      <c r="G24" s="29"/>
      <c r="H24" s="29"/>
      <c r="I24" s="29"/>
      <c r="J24" s="29"/>
      <c r="K24" s="29"/>
      <c r="L24" s="29"/>
      <c r="M24" s="29"/>
      <c r="N24" s="29"/>
      <c r="O24" s="29"/>
      <c r="P24" s="29"/>
      <c r="Q24" s="29"/>
      <c r="R24" s="29"/>
      <c r="S24" s="29"/>
      <c r="T24" s="22"/>
      <c r="W24" s="180" t="s">
        <v>86</v>
      </c>
      <c r="X24" s="239">
        <v>1.7707000000000001E-2</v>
      </c>
    </row>
    <row r="25" spans="2:24" ht="15" customHeight="1" x14ac:dyDescent="0.25">
      <c r="B25" s="79"/>
      <c r="F25" s="29"/>
      <c r="G25" s="29"/>
      <c r="H25" s="29"/>
      <c r="I25" s="29"/>
      <c r="J25" s="29"/>
      <c r="K25" s="29"/>
      <c r="L25" s="29"/>
      <c r="M25" s="29"/>
      <c r="N25" s="29"/>
      <c r="O25" s="29"/>
      <c r="P25" s="29"/>
      <c r="Q25" s="29"/>
      <c r="R25" s="29"/>
      <c r="S25" s="29"/>
      <c r="T25" s="22"/>
      <c r="W25" s="180" t="s">
        <v>112</v>
      </c>
      <c r="X25" s="239">
        <v>1.7686E-2</v>
      </c>
    </row>
    <row r="26" spans="2:24" ht="15" customHeight="1" x14ac:dyDescent="0.25">
      <c r="B26" s="79"/>
      <c r="F26" s="29"/>
      <c r="G26" s="29"/>
      <c r="H26" s="29"/>
      <c r="I26" s="29"/>
      <c r="J26" s="29"/>
      <c r="K26" s="29"/>
      <c r="L26" s="29"/>
      <c r="M26" s="29"/>
      <c r="N26" s="29"/>
      <c r="O26" s="29"/>
      <c r="P26" s="29"/>
      <c r="Q26" s="29"/>
      <c r="R26" s="29"/>
      <c r="S26" s="29"/>
      <c r="T26" s="22"/>
      <c r="W26" s="180" t="s">
        <v>124</v>
      </c>
      <c r="X26" s="239">
        <v>1.7284000000000001E-2</v>
      </c>
    </row>
    <row r="27" spans="2:24" ht="15" customHeight="1" x14ac:dyDescent="0.25">
      <c r="B27" s="79"/>
      <c r="F27" s="29"/>
      <c r="G27" s="29"/>
      <c r="H27" s="29"/>
      <c r="I27" s="29"/>
      <c r="J27" s="29"/>
      <c r="K27" s="29"/>
      <c r="L27" s="29"/>
      <c r="M27" s="29"/>
      <c r="N27" s="29"/>
      <c r="O27" s="29"/>
      <c r="P27" s="29"/>
      <c r="Q27" s="29"/>
      <c r="R27" s="29"/>
      <c r="S27" s="29"/>
      <c r="T27" s="22"/>
      <c r="W27" s="180" t="s">
        <v>3</v>
      </c>
      <c r="X27" s="239">
        <v>1.6556000000000001E-2</v>
      </c>
    </row>
    <row r="28" spans="2:24" ht="15" customHeight="1" x14ac:dyDescent="0.25">
      <c r="B28" s="79"/>
      <c r="F28" s="29"/>
      <c r="G28" s="29"/>
      <c r="H28" s="29"/>
      <c r="I28" s="29"/>
      <c r="J28" s="29"/>
      <c r="K28" s="29"/>
      <c r="L28" s="29"/>
      <c r="M28" s="29"/>
      <c r="N28" s="29"/>
      <c r="O28" s="29"/>
      <c r="P28" s="29"/>
      <c r="Q28" s="29"/>
      <c r="R28" s="29"/>
      <c r="S28" s="29"/>
      <c r="T28" s="22"/>
      <c r="W28" s="180" t="s">
        <v>110</v>
      </c>
      <c r="X28" s="239">
        <v>1.601E-2</v>
      </c>
    </row>
    <row r="29" spans="2:24" ht="15" customHeight="1" x14ac:dyDescent="0.25">
      <c r="B29" s="79"/>
      <c r="F29" s="29"/>
      <c r="G29" s="29"/>
      <c r="H29" s="29"/>
      <c r="I29" s="29"/>
      <c r="J29" s="29"/>
      <c r="K29" s="29"/>
      <c r="L29" s="29"/>
      <c r="M29" s="29"/>
      <c r="N29" s="29"/>
      <c r="O29" s="29"/>
      <c r="P29" s="29"/>
      <c r="Q29" s="29"/>
      <c r="R29" s="29"/>
      <c r="S29" s="29"/>
      <c r="T29" s="22"/>
      <c r="W29" s="180" t="s">
        <v>84</v>
      </c>
      <c r="X29" s="239">
        <v>1.5023E-2</v>
      </c>
    </row>
    <row r="30" spans="2:24" ht="15" customHeight="1" x14ac:dyDescent="0.25">
      <c r="B30" s="79"/>
      <c r="F30" s="29"/>
      <c r="G30" s="29"/>
      <c r="H30" s="29"/>
      <c r="I30" s="29"/>
      <c r="J30" s="29"/>
      <c r="K30" s="29"/>
      <c r="L30" s="29"/>
      <c r="M30" s="29"/>
      <c r="N30" s="29"/>
      <c r="O30" s="29"/>
      <c r="P30" s="29"/>
      <c r="Q30" s="29"/>
      <c r="R30" s="29"/>
      <c r="S30" s="29"/>
      <c r="T30" s="22"/>
      <c r="W30" s="180" t="s">
        <v>6</v>
      </c>
      <c r="X30" s="239">
        <v>1.4511E-2</v>
      </c>
    </row>
    <row r="31" spans="2:24" ht="15" customHeight="1" x14ac:dyDescent="0.25">
      <c r="B31" s="79"/>
      <c r="F31" s="29"/>
      <c r="G31" s="29"/>
      <c r="H31" s="29"/>
      <c r="I31" s="29"/>
      <c r="J31" s="29"/>
      <c r="K31" s="29"/>
      <c r="L31" s="29"/>
      <c r="M31" s="29"/>
      <c r="N31" s="29"/>
      <c r="O31" s="29"/>
      <c r="P31" s="29"/>
      <c r="Q31" s="29"/>
      <c r="R31" s="29"/>
      <c r="S31" s="29"/>
      <c r="T31" s="22"/>
      <c r="W31" s="180" t="s">
        <v>87</v>
      </c>
      <c r="X31" s="239">
        <v>1.3961000000000001E-2</v>
      </c>
    </row>
    <row r="32" spans="2:24" ht="15.75" customHeight="1" x14ac:dyDescent="0.25">
      <c r="B32" s="79"/>
      <c r="F32" s="29"/>
      <c r="G32" s="29"/>
      <c r="H32" s="29"/>
      <c r="I32" s="29"/>
      <c r="J32" s="29"/>
      <c r="K32" s="29"/>
      <c r="L32" s="29"/>
      <c r="M32" s="29"/>
      <c r="N32" s="29"/>
      <c r="O32" s="29"/>
      <c r="P32" s="29"/>
      <c r="Q32" s="29"/>
      <c r="R32" s="29"/>
      <c r="S32" s="29"/>
      <c r="T32" s="22"/>
      <c r="W32" s="180" t="s">
        <v>240</v>
      </c>
      <c r="X32" s="239">
        <v>1.1709000000000001E-2</v>
      </c>
    </row>
    <row r="33" spans="2:24" ht="15" customHeight="1" x14ac:dyDescent="0.25">
      <c r="B33" s="79"/>
      <c r="F33" s="29"/>
      <c r="G33" s="29"/>
      <c r="H33" s="29"/>
      <c r="I33" s="29"/>
      <c r="J33" s="29"/>
      <c r="K33" s="29"/>
      <c r="L33" s="29"/>
      <c r="M33" s="29"/>
      <c r="N33" s="29"/>
      <c r="O33" s="29"/>
      <c r="P33" s="29"/>
      <c r="Q33" s="29"/>
      <c r="R33" s="29"/>
      <c r="S33" s="29"/>
      <c r="T33" s="22"/>
      <c r="W33" s="180" t="s">
        <v>123</v>
      </c>
      <c r="X33" s="239">
        <v>1.0838E-2</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113</v>
      </c>
      <c r="X34" s="239">
        <v>1.0814000000000001E-2</v>
      </c>
    </row>
    <row r="35" spans="2:24" ht="15" customHeight="1" thickBot="1" x14ac:dyDescent="0.3">
      <c r="W35" s="180" t="s">
        <v>133</v>
      </c>
      <c r="X35" s="239">
        <v>1.0638999999999999E-2</v>
      </c>
    </row>
    <row r="36" spans="2:24" ht="15" customHeight="1" x14ac:dyDescent="0.25">
      <c r="B36" s="268" t="s">
        <v>182</v>
      </c>
      <c r="C36" s="269"/>
      <c r="D36" s="269"/>
      <c r="E36" s="269"/>
      <c r="F36" s="269"/>
      <c r="G36" s="269"/>
      <c r="H36" s="269"/>
      <c r="I36" s="269"/>
      <c r="J36" s="269"/>
      <c r="K36" s="269"/>
      <c r="L36" s="269"/>
      <c r="M36" s="269"/>
      <c r="N36" s="269"/>
      <c r="O36" s="269"/>
      <c r="P36" s="269"/>
      <c r="Q36" s="269"/>
      <c r="R36" s="270"/>
      <c r="W36" s="180" t="s">
        <v>126</v>
      </c>
      <c r="X36" s="239">
        <v>1.0137E-2</v>
      </c>
    </row>
    <row r="37" spans="2:24" ht="15" customHeight="1" x14ac:dyDescent="0.25">
      <c r="B37" s="271"/>
      <c r="C37" s="272"/>
      <c r="D37" s="272"/>
      <c r="E37" s="272"/>
      <c r="F37" s="272"/>
      <c r="G37" s="272"/>
      <c r="H37" s="272"/>
      <c r="I37" s="272"/>
      <c r="J37" s="272"/>
      <c r="K37" s="272"/>
      <c r="L37" s="272"/>
      <c r="M37" s="272"/>
      <c r="N37" s="272"/>
      <c r="O37" s="272"/>
      <c r="P37" s="272"/>
      <c r="Q37" s="272"/>
      <c r="R37" s="273"/>
      <c r="W37" s="180" t="s">
        <v>23</v>
      </c>
      <c r="X37" s="239">
        <v>9.9100000000000004E-3</v>
      </c>
    </row>
    <row r="38" spans="2:24" ht="15" customHeight="1" x14ac:dyDescent="0.25">
      <c r="B38" s="271"/>
      <c r="C38" s="272"/>
      <c r="D38" s="272"/>
      <c r="E38" s="272"/>
      <c r="F38" s="272"/>
      <c r="G38" s="272"/>
      <c r="H38" s="272"/>
      <c r="I38" s="272"/>
      <c r="J38" s="272"/>
      <c r="K38" s="272"/>
      <c r="L38" s="272"/>
      <c r="M38" s="272"/>
      <c r="N38" s="272"/>
      <c r="O38" s="272"/>
      <c r="P38" s="272"/>
      <c r="Q38" s="272"/>
      <c r="R38" s="273"/>
      <c r="W38" s="180" t="s">
        <v>95</v>
      </c>
      <c r="X38" s="239">
        <v>9.6360000000000005E-3</v>
      </c>
    </row>
    <row r="39" spans="2:24" ht="15" customHeight="1" x14ac:dyDescent="0.25">
      <c r="B39" s="271"/>
      <c r="C39" s="272"/>
      <c r="D39" s="272"/>
      <c r="E39" s="272"/>
      <c r="F39" s="272"/>
      <c r="G39" s="272"/>
      <c r="H39" s="272"/>
      <c r="I39" s="272"/>
      <c r="J39" s="272"/>
      <c r="K39" s="272"/>
      <c r="L39" s="272"/>
      <c r="M39" s="272"/>
      <c r="N39" s="272"/>
      <c r="O39" s="272"/>
      <c r="P39" s="272"/>
      <c r="Q39" s="272"/>
      <c r="R39" s="273"/>
      <c r="W39" s="180" t="s">
        <v>83</v>
      </c>
      <c r="X39" s="239">
        <v>6.9040000000000004E-3</v>
      </c>
    </row>
    <row r="40" spans="2:24" ht="15" customHeight="1" x14ac:dyDescent="0.25">
      <c r="B40" s="271"/>
      <c r="C40" s="272"/>
      <c r="D40" s="272"/>
      <c r="E40" s="272"/>
      <c r="F40" s="272"/>
      <c r="G40" s="272"/>
      <c r="H40" s="272"/>
      <c r="I40" s="272"/>
      <c r="J40" s="272"/>
      <c r="K40" s="272"/>
      <c r="L40" s="272"/>
      <c r="M40" s="272"/>
      <c r="N40" s="272"/>
      <c r="O40" s="272"/>
      <c r="P40" s="272"/>
      <c r="Q40" s="272"/>
      <c r="R40" s="273"/>
      <c r="W40" s="180" t="s">
        <v>125</v>
      </c>
      <c r="X40" s="239">
        <v>5.13E-3</v>
      </c>
    </row>
    <row r="41" spans="2:24" ht="15" customHeight="1" x14ac:dyDescent="0.25">
      <c r="B41" s="271"/>
      <c r="C41" s="272"/>
      <c r="D41" s="272"/>
      <c r="E41" s="272"/>
      <c r="F41" s="272"/>
      <c r="G41" s="272"/>
      <c r="H41" s="272"/>
      <c r="I41" s="272"/>
      <c r="J41" s="272"/>
      <c r="K41" s="272"/>
      <c r="L41" s="272"/>
      <c r="M41" s="272"/>
      <c r="N41" s="272"/>
      <c r="O41" s="272"/>
      <c r="P41" s="272"/>
      <c r="Q41" s="272"/>
      <c r="R41" s="273"/>
      <c r="W41" s="180"/>
      <c r="X41" s="239"/>
    </row>
    <row r="42" spans="2:24" ht="15" customHeight="1" thickBot="1" x14ac:dyDescent="0.3">
      <c r="B42" s="274"/>
      <c r="C42" s="275"/>
      <c r="D42" s="275"/>
      <c r="E42" s="275"/>
      <c r="F42" s="275"/>
      <c r="G42" s="275"/>
      <c r="H42" s="275"/>
      <c r="I42" s="275"/>
      <c r="J42" s="275"/>
      <c r="K42" s="275"/>
      <c r="L42" s="275"/>
      <c r="M42" s="275"/>
      <c r="N42" s="275"/>
      <c r="O42" s="275"/>
      <c r="P42" s="275"/>
      <c r="Q42" s="275"/>
      <c r="R42" s="276"/>
      <c r="X42" s="239"/>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336</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379</v>
      </c>
      <c r="E5" s="279"/>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62</v>
      </c>
      <c r="D8" s="196" t="s">
        <v>10</v>
      </c>
      <c r="E8" s="204">
        <v>2.7236E-2</v>
      </c>
      <c r="F8" s="29">
        <v>1</v>
      </c>
      <c r="G8" s="29"/>
      <c r="H8" s="29"/>
      <c r="I8" s="29"/>
      <c r="J8" s="29"/>
      <c r="K8" s="29"/>
      <c r="L8" s="29"/>
      <c r="M8" s="29"/>
      <c r="N8" s="29"/>
      <c r="O8" s="29"/>
      <c r="P8" s="29"/>
      <c r="Q8" s="29"/>
      <c r="R8" s="29"/>
      <c r="S8" s="29"/>
      <c r="T8" s="22"/>
      <c r="W8" s="236" t="s">
        <v>3</v>
      </c>
      <c r="X8" s="239">
        <v>8.3652000000000004E-2</v>
      </c>
    </row>
    <row r="9" spans="1:24" ht="15.75" customHeight="1" x14ac:dyDescent="0.25">
      <c r="B9" s="79"/>
      <c r="C9" s="188" t="s">
        <v>352</v>
      </c>
      <c r="D9" s="196" t="s">
        <v>110</v>
      </c>
      <c r="E9" s="204">
        <v>2.1669999999999998E-2</v>
      </c>
      <c r="F9" s="29">
        <v>2</v>
      </c>
      <c r="G9" s="29"/>
      <c r="H9" s="29"/>
      <c r="I9" s="29"/>
      <c r="J9" s="29"/>
      <c r="K9" s="29"/>
      <c r="L9" s="29"/>
      <c r="M9" s="29"/>
      <c r="N9" s="29"/>
      <c r="O9" s="29"/>
      <c r="P9" s="29"/>
      <c r="Q9" s="29"/>
      <c r="R9" s="29"/>
      <c r="S9" s="29"/>
      <c r="T9" s="22"/>
      <c r="W9" s="236" t="s">
        <v>4</v>
      </c>
      <c r="X9" s="239">
        <v>5.6271999999999996E-2</v>
      </c>
    </row>
    <row r="10" spans="1:24" ht="15" customHeight="1" x14ac:dyDescent="0.25">
      <c r="B10" s="79"/>
      <c r="C10" s="188" t="s">
        <v>258</v>
      </c>
      <c r="D10" s="196" t="s">
        <v>130</v>
      </c>
      <c r="E10" s="204">
        <v>2.1097999999999999E-2</v>
      </c>
      <c r="F10" s="29">
        <v>3</v>
      </c>
      <c r="G10" s="29"/>
      <c r="H10" s="29"/>
      <c r="I10" s="29"/>
      <c r="J10" s="29"/>
      <c r="K10" s="29"/>
      <c r="L10" s="29"/>
      <c r="M10" s="29"/>
      <c r="N10" s="29"/>
      <c r="O10" s="29"/>
      <c r="P10" s="29"/>
      <c r="Q10" s="29"/>
      <c r="R10" s="29"/>
      <c r="S10" s="29"/>
      <c r="T10" s="22"/>
      <c r="W10" s="236" t="s">
        <v>107</v>
      </c>
      <c r="X10" s="239">
        <v>4.8176999999999998E-2</v>
      </c>
    </row>
    <row r="11" spans="1:24" ht="15" customHeight="1" x14ac:dyDescent="0.25">
      <c r="B11" s="79"/>
      <c r="C11" s="188" t="s">
        <v>81</v>
      </c>
      <c r="D11" s="196" t="s">
        <v>4</v>
      </c>
      <c r="E11" s="204">
        <v>2.0227999999999999E-2</v>
      </c>
      <c r="F11" s="29">
        <v>4</v>
      </c>
      <c r="G11" s="29"/>
      <c r="H11" s="29"/>
      <c r="I11" s="29"/>
      <c r="J11" s="29"/>
      <c r="K11" s="29"/>
      <c r="L11" s="29"/>
      <c r="M11" s="29"/>
      <c r="N11" s="29"/>
      <c r="O11" s="29"/>
      <c r="P11" s="29"/>
      <c r="Q11" s="29"/>
      <c r="R11" s="29"/>
      <c r="S11" s="29"/>
      <c r="T11" s="22"/>
      <c r="W11" s="236" t="s">
        <v>23</v>
      </c>
      <c r="X11" s="239">
        <v>3.8815000000000002E-2</v>
      </c>
    </row>
    <row r="12" spans="1:24" ht="15" customHeight="1" x14ac:dyDescent="0.25">
      <c r="B12" s="79"/>
      <c r="C12" s="188" t="s">
        <v>36</v>
      </c>
      <c r="D12" s="196" t="s">
        <v>3</v>
      </c>
      <c r="E12" s="204">
        <v>2.0029000000000002E-2</v>
      </c>
      <c r="F12" s="29">
        <v>5</v>
      </c>
      <c r="G12" s="29"/>
      <c r="H12" s="29"/>
      <c r="I12" s="29"/>
      <c r="J12" s="29"/>
      <c r="K12" s="29"/>
      <c r="L12" s="29"/>
      <c r="M12" s="29"/>
      <c r="N12" s="29"/>
      <c r="O12" s="29"/>
      <c r="P12" s="29"/>
      <c r="Q12" s="29"/>
      <c r="R12" s="29"/>
      <c r="S12" s="29"/>
      <c r="T12" s="22"/>
      <c r="W12" s="236" t="s">
        <v>10</v>
      </c>
      <c r="X12" s="239">
        <v>3.7018999999999996E-2</v>
      </c>
    </row>
    <row r="13" spans="1:24" ht="15" customHeight="1" x14ac:dyDescent="0.25">
      <c r="B13" s="79"/>
      <c r="C13" s="188" t="s">
        <v>28</v>
      </c>
      <c r="D13" s="196" t="s">
        <v>107</v>
      </c>
      <c r="E13" s="204">
        <v>1.9259999999999999E-2</v>
      </c>
      <c r="F13" s="29">
        <v>6</v>
      </c>
      <c r="G13" s="29"/>
      <c r="H13" s="29"/>
      <c r="I13" s="29"/>
      <c r="J13" s="29"/>
      <c r="K13" s="29"/>
      <c r="L13" s="29"/>
      <c r="M13" s="29"/>
      <c r="N13" s="29"/>
      <c r="O13" s="29"/>
      <c r="P13" s="29"/>
      <c r="Q13" s="29"/>
      <c r="R13" s="29"/>
      <c r="S13" s="29"/>
      <c r="T13" s="22"/>
      <c r="W13" s="236" t="s">
        <v>130</v>
      </c>
      <c r="X13" s="239">
        <v>3.1237000000000001E-2</v>
      </c>
    </row>
    <row r="14" spans="1:24" ht="15" customHeight="1" x14ac:dyDescent="0.25">
      <c r="B14" s="79"/>
      <c r="C14" s="188" t="s">
        <v>69</v>
      </c>
      <c r="D14" s="196" t="s">
        <v>4</v>
      </c>
      <c r="E14" s="204">
        <v>1.9184E-2</v>
      </c>
      <c r="F14" s="29">
        <v>7</v>
      </c>
      <c r="G14" s="29"/>
      <c r="H14" s="29"/>
      <c r="I14" s="29"/>
      <c r="J14" s="29"/>
      <c r="K14" s="29"/>
      <c r="L14" s="29"/>
      <c r="M14" s="29"/>
      <c r="N14" s="29"/>
      <c r="O14" s="29"/>
      <c r="P14" s="29"/>
      <c r="Q14" s="29"/>
      <c r="R14" s="29"/>
      <c r="S14" s="29"/>
      <c r="T14" s="22"/>
      <c r="W14" s="236" t="s">
        <v>110</v>
      </c>
      <c r="X14" s="239">
        <v>3.0726999999999997E-2</v>
      </c>
    </row>
    <row r="15" spans="1:24" ht="15" customHeight="1" x14ac:dyDescent="0.25">
      <c r="B15" s="79"/>
      <c r="C15" s="188" t="s">
        <v>31</v>
      </c>
      <c r="D15" s="196" t="s">
        <v>6</v>
      </c>
      <c r="E15" s="204">
        <v>1.8305999999999999E-2</v>
      </c>
      <c r="F15" s="29">
        <v>8</v>
      </c>
      <c r="G15" s="29"/>
      <c r="H15" s="29"/>
      <c r="I15" s="29"/>
      <c r="J15" s="29"/>
      <c r="K15" s="29"/>
      <c r="L15" s="29"/>
      <c r="M15" s="29"/>
      <c r="N15" s="29"/>
      <c r="O15" s="29"/>
      <c r="P15" s="29"/>
      <c r="Q15" s="29"/>
      <c r="R15" s="29"/>
      <c r="S15" s="29"/>
      <c r="T15" s="22"/>
      <c r="W15" s="236" t="s">
        <v>111</v>
      </c>
      <c r="X15" s="239">
        <v>2.6636999999999997E-2</v>
      </c>
    </row>
    <row r="16" spans="1:24" ht="15" customHeight="1" x14ac:dyDescent="0.25">
      <c r="B16" s="79"/>
      <c r="C16" s="188" t="s">
        <v>35</v>
      </c>
      <c r="D16" s="196" t="s">
        <v>3</v>
      </c>
      <c r="E16" s="204">
        <v>1.6086E-2</v>
      </c>
      <c r="F16" s="29">
        <v>9</v>
      </c>
      <c r="G16" s="29"/>
      <c r="H16" s="29"/>
      <c r="I16" s="29"/>
      <c r="J16" s="29"/>
      <c r="K16" s="29"/>
      <c r="L16" s="29"/>
      <c r="M16" s="29"/>
      <c r="N16" s="29"/>
      <c r="O16" s="29"/>
      <c r="P16" s="29"/>
      <c r="Q16" s="29"/>
      <c r="R16" s="29"/>
      <c r="S16" s="29"/>
      <c r="T16" s="22"/>
      <c r="W16" s="236" t="s">
        <v>6</v>
      </c>
      <c r="X16" s="239">
        <v>2.2775E-2</v>
      </c>
    </row>
    <row r="17" spans="2:24" ht="15" customHeight="1" x14ac:dyDescent="0.25">
      <c r="B17" s="79"/>
      <c r="C17" s="188" t="s">
        <v>192</v>
      </c>
      <c r="D17" s="196" t="s">
        <v>107</v>
      </c>
      <c r="E17" s="204">
        <v>1.5233999999999999E-2</v>
      </c>
      <c r="F17" s="29">
        <v>10</v>
      </c>
      <c r="G17" s="29"/>
      <c r="H17" s="29"/>
      <c r="I17" s="29"/>
      <c r="J17" s="29"/>
      <c r="K17" s="29"/>
      <c r="L17" s="29"/>
      <c r="M17" s="29"/>
      <c r="N17" s="29"/>
      <c r="O17" s="29"/>
      <c r="P17" s="29"/>
      <c r="Q17" s="29"/>
      <c r="R17" s="29"/>
      <c r="S17" s="29"/>
      <c r="T17" s="22"/>
      <c r="W17" s="236" t="s">
        <v>112</v>
      </c>
      <c r="X17" s="239">
        <v>1.9022000000000001E-2</v>
      </c>
    </row>
    <row r="18" spans="2:24" ht="15" customHeight="1" x14ac:dyDescent="0.25">
      <c r="B18" s="79"/>
      <c r="C18" s="188" t="s">
        <v>337</v>
      </c>
      <c r="D18" s="196" t="s">
        <v>118</v>
      </c>
      <c r="E18" s="204">
        <v>1.4559000000000001E-2</v>
      </c>
      <c r="F18" s="29">
        <v>11</v>
      </c>
      <c r="G18" s="29"/>
      <c r="H18" s="29"/>
      <c r="I18" s="29"/>
      <c r="J18" s="29"/>
      <c r="K18" s="29"/>
      <c r="L18" s="29"/>
      <c r="M18" s="29"/>
      <c r="N18" s="29"/>
      <c r="O18" s="29"/>
      <c r="P18" s="29"/>
      <c r="Q18" s="29"/>
      <c r="R18" s="29"/>
      <c r="S18" s="29"/>
      <c r="T18" s="22"/>
      <c r="W18" s="236" t="s">
        <v>85</v>
      </c>
      <c r="X18" s="239">
        <v>1.7502E-2</v>
      </c>
    </row>
    <row r="19" spans="2:24" ht="15" customHeight="1" x14ac:dyDescent="0.25">
      <c r="B19" s="79"/>
      <c r="C19" s="188" t="s">
        <v>33</v>
      </c>
      <c r="D19" s="196" t="s">
        <v>107</v>
      </c>
      <c r="E19" s="204">
        <v>1.3683000000000001E-2</v>
      </c>
      <c r="F19" s="29">
        <v>12</v>
      </c>
      <c r="G19" s="29"/>
      <c r="H19" s="29"/>
      <c r="I19" s="29"/>
      <c r="J19" s="29"/>
      <c r="K19" s="29"/>
      <c r="L19" s="29"/>
      <c r="M19" s="29"/>
      <c r="N19" s="29"/>
      <c r="O19" s="29"/>
      <c r="P19" s="29"/>
      <c r="Q19" s="29"/>
      <c r="R19" s="29"/>
      <c r="S19" s="29"/>
      <c r="T19" s="22"/>
      <c r="W19" s="236" t="s">
        <v>11</v>
      </c>
      <c r="X19" s="239">
        <v>1.6971E-2</v>
      </c>
    </row>
    <row r="20" spans="2:24" ht="15" customHeight="1" x14ac:dyDescent="0.25">
      <c r="B20" s="79"/>
      <c r="C20" s="188" t="s">
        <v>104</v>
      </c>
      <c r="D20" s="196" t="s">
        <v>111</v>
      </c>
      <c r="E20" s="204">
        <v>1.268E-2</v>
      </c>
      <c r="F20" s="29">
        <v>13</v>
      </c>
      <c r="G20" s="29"/>
      <c r="H20" s="29"/>
      <c r="I20" s="29"/>
      <c r="J20" s="29"/>
      <c r="K20" s="29"/>
      <c r="L20" s="29"/>
      <c r="M20" s="29"/>
      <c r="N20" s="29"/>
      <c r="O20" s="29"/>
      <c r="P20" s="29"/>
      <c r="Q20" s="29"/>
      <c r="R20" s="29"/>
      <c r="S20" s="29"/>
      <c r="T20" s="22"/>
      <c r="W20" s="236" t="s">
        <v>116</v>
      </c>
      <c r="X20" s="239">
        <v>1.6808E-2</v>
      </c>
    </row>
    <row r="21" spans="2:24" ht="15" customHeight="1" x14ac:dyDescent="0.25">
      <c r="B21" s="79"/>
      <c r="C21" s="188" t="s">
        <v>353</v>
      </c>
      <c r="D21" s="196" t="s">
        <v>116</v>
      </c>
      <c r="E21" s="204">
        <v>1.2248E-2</v>
      </c>
      <c r="F21" s="29">
        <v>14</v>
      </c>
      <c r="G21" s="29"/>
      <c r="H21" s="29"/>
      <c r="I21" s="29"/>
      <c r="J21" s="29"/>
      <c r="K21" s="29"/>
      <c r="L21" s="29"/>
      <c r="M21" s="29"/>
      <c r="N21" s="29"/>
      <c r="O21" s="29"/>
      <c r="P21" s="29"/>
      <c r="Q21" s="29"/>
      <c r="R21" s="29"/>
      <c r="S21" s="29"/>
      <c r="T21" s="22"/>
      <c r="W21" s="180" t="s">
        <v>118</v>
      </c>
      <c r="X21" s="239">
        <v>1.6539000000000002E-2</v>
      </c>
    </row>
    <row r="22" spans="2:24" ht="15" customHeight="1" x14ac:dyDescent="0.25">
      <c r="B22" s="79"/>
      <c r="C22" s="188" t="s">
        <v>135</v>
      </c>
      <c r="D22" s="196" t="s">
        <v>3</v>
      </c>
      <c r="E22" s="204">
        <v>1.1776999999999999E-2</v>
      </c>
      <c r="F22" s="29">
        <v>15</v>
      </c>
      <c r="G22" s="29"/>
      <c r="H22" s="29"/>
      <c r="I22" s="29"/>
      <c r="J22" s="29"/>
      <c r="K22" s="29"/>
      <c r="L22" s="29"/>
      <c r="M22" s="29"/>
      <c r="N22" s="29"/>
      <c r="O22" s="29"/>
      <c r="P22" s="29"/>
      <c r="Q22" s="29"/>
      <c r="R22" s="29"/>
      <c r="S22" s="29"/>
      <c r="T22" s="22"/>
      <c r="W22" s="180" t="s">
        <v>87</v>
      </c>
      <c r="X22" s="239">
        <v>1.1813000000000001E-2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113</v>
      </c>
      <c r="X23" s="239">
        <v>1.1764999999999998E-2</v>
      </c>
    </row>
    <row r="24" spans="2:24" ht="15" customHeight="1" x14ac:dyDescent="0.25">
      <c r="B24" s="79"/>
      <c r="C24" s="73" t="s">
        <v>55</v>
      </c>
      <c r="D24" s="74"/>
      <c r="E24" s="75">
        <f>SUM(E8:E22)</f>
        <v>0.26327799999999996</v>
      </c>
      <c r="F24" s="29"/>
      <c r="G24" s="29"/>
      <c r="H24" s="29"/>
      <c r="I24" s="29"/>
      <c r="J24" s="29"/>
      <c r="K24" s="29"/>
      <c r="L24" s="29"/>
      <c r="M24" s="29"/>
      <c r="N24" s="29"/>
      <c r="O24" s="29"/>
      <c r="P24" s="29"/>
      <c r="Q24" s="29"/>
      <c r="R24" s="29"/>
      <c r="S24" s="29"/>
      <c r="T24" s="22"/>
      <c r="W24" s="180" t="s">
        <v>137</v>
      </c>
      <c r="X24" s="239">
        <v>1.1693E-2</v>
      </c>
    </row>
    <row r="25" spans="2:24" ht="15" customHeight="1" x14ac:dyDescent="0.25">
      <c r="B25" s="79"/>
      <c r="F25" s="29"/>
      <c r="G25" s="29"/>
      <c r="H25" s="29"/>
      <c r="I25" s="29"/>
      <c r="J25" s="29"/>
      <c r="K25" s="29"/>
      <c r="L25" s="29"/>
      <c r="M25" s="29"/>
      <c r="N25" s="29"/>
      <c r="O25" s="29"/>
      <c r="P25" s="29"/>
      <c r="Q25" s="29"/>
      <c r="R25" s="29"/>
      <c r="S25" s="29"/>
      <c r="T25" s="22"/>
      <c r="W25" s="180" t="s">
        <v>26</v>
      </c>
      <c r="X25" s="239">
        <v>1.1140000000000001E-2</v>
      </c>
    </row>
    <row r="26" spans="2:24" ht="15" customHeight="1" x14ac:dyDescent="0.25">
      <c r="B26" s="79"/>
      <c r="F26" s="29"/>
      <c r="G26" s="29"/>
      <c r="H26" s="29"/>
      <c r="I26" s="29"/>
      <c r="J26" s="29"/>
      <c r="K26" s="29"/>
      <c r="L26" s="29"/>
      <c r="M26" s="29"/>
      <c r="N26" s="29"/>
      <c r="O26" s="29"/>
      <c r="P26" s="29"/>
      <c r="Q26" s="29"/>
      <c r="R26" s="29"/>
      <c r="S26" s="29"/>
      <c r="T26" s="22"/>
      <c r="W26" s="180" t="s">
        <v>24</v>
      </c>
      <c r="X26" s="239">
        <v>1.0666E-2</v>
      </c>
    </row>
    <row r="27" spans="2:24" ht="15" customHeight="1" x14ac:dyDescent="0.25">
      <c r="B27" s="79"/>
      <c r="F27" s="29"/>
      <c r="G27" s="29"/>
      <c r="H27" s="29"/>
      <c r="I27" s="29"/>
      <c r="J27" s="29"/>
      <c r="K27" s="29"/>
      <c r="L27" s="29"/>
      <c r="M27" s="29"/>
      <c r="N27" s="29"/>
      <c r="O27" s="29"/>
      <c r="P27" s="29"/>
      <c r="Q27" s="29"/>
      <c r="R27" s="29"/>
      <c r="S27" s="29"/>
      <c r="T27" s="22"/>
      <c r="W27" s="180" t="s">
        <v>121</v>
      </c>
      <c r="X27" s="239">
        <v>9.5409999999999991E-3</v>
      </c>
    </row>
    <row r="28" spans="2:24" ht="15" customHeight="1" x14ac:dyDescent="0.25">
      <c r="B28" s="79"/>
      <c r="F28" s="29"/>
      <c r="G28" s="29"/>
      <c r="H28" s="29"/>
      <c r="I28" s="29"/>
      <c r="J28" s="29"/>
      <c r="K28" s="29"/>
      <c r="L28" s="29"/>
      <c r="M28" s="29"/>
      <c r="N28" s="29"/>
      <c r="O28" s="29"/>
      <c r="P28" s="29"/>
      <c r="Q28" s="29"/>
      <c r="R28" s="29"/>
      <c r="S28" s="29"/>
      <c r="T28" s="22"/>
      <c r="W28" s="180" t="s">
        <v>77</v>
      </c>
      <c r="X28" s="239">
        <v>9.214E-3</v>
      </c>
    </row>
    <row r="29" spans="2:24" ht="15" customHeight="1" x14ac:dyDescent="0.25">
      <c r="B29" s="79"/>
      <c r="F29" s="29"/>
      <c r="G29" s="29"/>
      <c r="H29" s="29"/>
      <c r="I29" s="29"/>
      <c r="J29" s="29"/>
      <c r="K29" s="29"/>
      <c r="L29" s="29"/>
      <c r="M29" s="29"/>
      <c r="N29" s="29"/>
      <c r="O29" s="29"/>
      <c r="P29" s="29"/>
      <c r="Q29" s="29"/>
      <c r="R29" s="29"/>
      <c r="S29" s="29"/>
      <c r="T29" s="22"/>
      <c r="W29" s="180" t="s">
        <v>114</v>
      </c>
      <c r="X29" s="239">
        <v>8.0630000000000007E-3</v>
      </c>
    </row>
    <row r="30" spans="2:24" ht="15" customHeight="1" x14ac:dyDescent="0.25">
      <c r="B30" s="79"/>
      <c r="F30" s="29"/>
      <c r="G30" s="29"/>
      <c r="H30" s="29"/>
      <c r="I30" s="29"/>
      <c r="J30" s="29"/>
      <c r="K30" s="29"/>
      <c r="L30" s="29"/>
      <c r="M30" s="29"/>
      <c r="N30" s="29"/>
      <c r="O30" s="29"/>
      <c r="P30" s="29"/>
      <c r="Q30" s="29"/>
      <c r="R30" s="29"/>
      <c r="S30" s="29"/>
      <c r="T30" s="22"/>
      <c r="W30" s="180" t="s">
        <v>25</v>
      </c>
      <c r="X30" s="239">
        <v>6.2940000000000001E-3</v>
      </c>
    </row>
    <row r="31" spans="2:24" ht="15" customHeight="1" x14ac:dyDescent="0.25">
      <c r="B31" s="79"/>
      <c r="F31" s="29"/>
      <c r="G31" s="29"/>
      <c r="H31" s="29"/>
      <c r="I31" s="29"/>
      <c r="J31" s="29"/>
      <c r="K31" s="29"/>
      <c r="L31" s="29"/>
      <c r="M31" s="29"/>
      <c r="N31" s="29"/>
      <c r="O31" s="29"/>
      <c r="P31" s="29"/>
      <c r="Q31" s="29"/>
      <c r="R31" s="29"/>
      <c r="S31" s="29"/>
      <c r="T31" s="22"/>
      <c r="W31" s="180" t="s">
        <v>185</v>
      </c>
      <c r="X31" s="239">
        <v>5.777E-3</v>
      </c>
    </row>
    <row r="32" spans="2:24" ht="15.75" customHeight="1" x14ac:dyDescent="0.25">
      <c r="B32" s="79"/>
      <c r="F32" s="29"/>
      <c r="G32" s="29"/>
      <c r="H32" s="29"/>
      <c r="I32" s="29"/>
      <c r="J32" s="29"/>
      <c r="K32" s="29"/>
      <c r="L32" s="29"/>
      <c r="M32" s="29"/>
      <c r="N32" s="29"/>
      <c r="O32" s="29"/>
      <c r="P32" s="29"/>
      <c r="Q32" s="29"/>
      <c r="R32" s="29"/>
      <c r="S32" s="29"/>
      <c r="T32" s="22"/>
      <c r="W32" s="180" t="s">
        <v>86</v>
      </c>
      <c r="X32" s="239">
        <v>5.3299999999999997E-3</v>
      </c>
    </row>
    <row r="33" spans="2:24" ht="15" customHeight="1" x14ac:dyDescent="0.25">
      <c r="B33" s="79"/>
      <c r="F33" s="29"/>
      <c r="G33" s="29"/>
      <c r="H33" s="29"/>
      <c r="I33" s="29"/>
      <c r="J33" s="29"/>
      <c r="K33" s="29"/>
      <c r="L33" s="29"/>
      <c r="M33" s="29"/>
      <c r="N33" s="29"/>
      <c r="O33" s="29"/>
      <c r="P33" s="29"/>
      <c r="Q33" s="29"/>
      <c r="R33" s="29"/>
      <c r="S33" s="29"/>
      <c r="T33" s="22"/>
      <c r="W33" s="180" t="s">
        <v>106</v>
      </c>
      <c r="X33" s="239">
        <v>5.0670000000000003E-3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124</v>
      </c>
      <c r="X34" s="239">
        <v>5.0330000000000001E-3</v>
      </c>
    </row>
    <row r="35" spans="2:24" ht="15" customHeight="1" thickBot="1" x14ac:dyDescent="0.3">
      <c r="W35" s="180" t="s">
        <v>127</v>
      </c>
      <c r="X35" s="239">
        <v>4.5919999999999997E-3</v>
      </c>
    </row>
    <row r="36" spans="2:24" ht="15" customHeight="1" x14ac:dyDescent="0.25">
      <c r="B36" s="268" t="s">
        <v>182</v>
      </c>
      <c r="C36" s="269"/>
      <c r="D36" s="269"/>
      <c r="E36" s="269"/>
      <c r="F36" s="269"/>
      <c r="G36" s="269"/>
      <c r="H36" s="269"/>
      <c r="I36" s="269"/>
      <c r="J36" s="269"/>
      <c r="K36" s="269"/>
      <c r="L36" s="269"/>
      <c r="M36" s="269"/>
      <c r="N36" s="269"/>
      <c r="O36" s="269"/>
      <c r="P36" s="269"/>
      <c r="Q36" s="269"/>
      <c r="R36" s="270"/>
      <c r="W36" s="180" t="s">
        <v>119</v>
      </c>
      <c r="X36" s="239">
        <v>4.3429999999999996E-3</v>
      </c>
    </row>
    <row r="37" spans="2:24" ht="15" customHeight="1" x14ac:dyDescent="0.25">
      <c r="B37" s="271"/>
      <c r="C37" s="272"/>
      <c r="D37" s="272"/>
      <c r="E37" s="272"/>
      <c r="F37" s="272"/>
      <c r="G37" s="272"/>
      <c r="H37" s="272"/>
      <c r="I37" s="272"/>
      <c r="J37" s="272"/>
      <c r="K37" s="272"/>
      <c r="L37" s="272"/>
      <c r="M37" s="272"/>
      <c r="N37" s="272"/>
      <c r="O37" s="272"/>
      <c r="P37" s="272"/>
      <c r="Q37" s="272"/>
      <c r="R37" s="273"/>
      <c r="W37" s="180" t="s">
        <v>126</v>
      </c>
      <c r="X37" s="239">
        <v>2.7309999999999999E-3</v>
      </c>
    </row>
    <row r="38" spans="2:24" ht="15" customHeight="1" x14ac:dyDescent="0.25">
      <c r="B38" s="271"/>
      <c r="C38" s="272"/>
      <c r="D38" s="272"/>
      <c r="E38" s="272"/>
      <c r="F38" s="272"/>
      <c r="G38" s="272"/>
      <c r="H38" s="272"/>
      <c r="I38" s="272"/>
      <c r="J38" s="272"/>
      <c r="K38" s="272"/>
      <c r="L38" s="272"/>
      <c r="M38" s="272"/>
      <c r="N38" s="272"/>
      <c r="O38" s="272"/>
      <c r="P38" s="272"/>
      <c r="Q38" s="272"/>
      <c r="R38" s="273"/>
      <c r="W38" s="180" t="s">
        <v>84</v>
      </c>
      <c r="X38" s="239">
        <v>2.33E-3</v>
      </c>
    </row>
    <row r="39" spans="2:24" ht="15" customHeight="1" x14ac:dyDescent="0.25">
      <c r="B39" s="271"/>
      <c r="C39" s="272"/>
      <c r="D39" s="272"/>
      <c r="E39" s="272"/>
      <c r="F39" s="272"/>
      <c r="G39" s="272"/>
      <c r="H39" s="272"/>
      <c r="I39" s="272"/>
      <c r="J39" s="272"/>
      <c r="K39" s="272"/>
      <c r="L39" s="272"/>
      <c r="M39" s="272"/>
      <c r="N39" s="272"/>
      <c r="O39" s="272"/>
      <c r="P39" s="272"/>
      <c r="Q39" s="272"/>
      <c r="R39" s="273"/>
      <c r="W39" s="180" t="s">
        <v>16</v>
      </c>
      <c r="X39" s="239">
        <v>1.039E-3</v>
      </c>
    </row>
    <row r="40" spans="2:24" ht="15" customHeight="1" x14ac:dyDescent="0.25">
      <c r="B40" s="271"/>
      <c r="C40" s="272"/>
      <c r="D40" s="272"/>
      <c r="E40" s="272"/>
      <c r="F40" s="272"/>
      <c r="G40" s="272"/>
      <c r="H40" s="272"/>
      <c r="I40" s="272"/>
      <c r="J40" s="272"/>
      <c r="K40" s="272"/>
      <c r="L40" s="272"/>
      <c r="M40" s="272"/>
      <c r="N40" s="272"/>
      <c r="O40" s="272"/>
      <c r="P40" s="272"/>
      <c r="Q40" s="272"/>
      <c r="R40" s="273"/>
      <c r="W40" s="180"/>
      <c r="X40" s="239"/>
    </row>
    <row r="41" spans="2:24" ht="15" customHeight="1" x14ac:dyDescent="0.25">
      <c r="B41" s="271"/>
      <c r="C41" s="272"/>
      <c r="D41" s="272"/>
      <c r="E41" s="272"/>
      <c r="F41" s="272"/>
      <c r="G41" s="272"/>
      <c r="H41" s="272"/>
      <c r="I41" s="272"/>
      <c r="J41" s="272"/>
      <c r="K41" s="272"/>
      <c r="L41" s="272"/>
      <c r="M41" s="272"/>
      <c r="N41" s="272"/>
      <c r="O41" s="272"/>
      <c r="P41" s="272"/>
      <c r="Q41" s="272"/>
      <c r="R41" s="273"/>
      <c r="W41" s="180"/>
      <c r="X41" s="239"/>
    </row>
    <row r="42" spans="2:24" ht="15" customHeight="1" thickBot="1" x14ac:dyDescent="0.3">
      <c r="B42" s="274"/>
      <c r="C42" s="275"/>
      <c r="D42" s="275"/>
      <c r="E42" s="275"/>
      <c r="F42" s="275"/>
      <c r="G42" s="275"/>
      <c r="H42" s="275"/>
      <c r="I42" s="275"/>
      <c r="J42" s="275"/>
      <c r="K42" s="275"/>
      <c r="L42" s="275"/>
      <c r="M42" s="275"/>
      <c r="N42" s="275"/>
      <c r="O42" s="275"/>
      <c r="P42" s="275"/>
      <c r="Q42" s="275"/>
      <c r="R42" s="276"/>
      <c r="X42" s="239"/>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277" t="s">
        <v>212</v>
      </c>
      <c r="D3" s="278"/>
      <c r="E3" s="278"/>
      <c r="F3" s="278"/>
      <c r="G3" s="278"/>
      <c r="H3" s="278"/>
      <c r="I3" s="278"/>
      <c r="J3" s="278"/>
      <c r="K3" s="278"/>
      <c r="L3" s="278"/>
      <c r="M3" s="278"/>
      <c r="N3" s="278"/>
      <c r="O3" s="278"/>
      <c r="P3" s="278"/>
      <c r="Q3" s="278"/>
      <c r="R3" s="278"/>
      <c r="S3" s="278"/>
      <c r="T3" s="22"/>
    </row>
    <row r="4" spans="1:25" ht="15.75" customHeight="1" x14ac:dyDescent="0.25">
      <c r="B4" s="79"/>
      <c r="C4" s="67" t="s">
        <v>405</v>
      </c>
      <c r="D4" s="29"/>
      <c r="E4" s="29"/>
      <c r="F4" s="29"/>
      <c r="G4" s="29"/>
      <c r="H4" s="29"/>
      <c r="I4" s="29"/>
      <c r="J4" s="29"/>
      <c r="K4" s="29"/>
      <c r="L4" s="29"/>
      <c r="M4" s="29"/>
      <c r="N4" s="29"/>
      <c r="O4" s="29"/>
      <c r="P4" s="29"/>
      <c r="Q4" s="29"/>
      <c r="R4" s="29"/>
      <c r="S4" s="29"/>
      <c r="T4" s="22"/>
    </row>
    <row r="5" spans="1:25" ht="18" customHeight="1" x14ac:dyDescent="0.25">
      <c r="B5" s="79"/>
      <c r="C5" s="221" t="s">
        <v>406</v>
      </c>
      <c r="D5" s="279" t="s">
        <v>380</v>
      </c>
      <c r="E5" s="279"/>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3" t="s">
        <v>29</v>
      </c>
      <c r="D8" s="194" t="s">
        <v>3</v>
      </c>
      <c r="E8" s="195">
        <v>6.2885999999999997E-2</v>
      </c>
      <c r="F8" s="29"/>
      <c r="G8" s="29"/>
      <c r="H8" s="29"/>
      <c r="I8" s="29"/>
      <c r="J8" s="29"/>
      <c r="K8" s="29"/>
      <c r="L8" s="29"/>
      <c r="M8" s="29"/>
      <c r="N8" s="29"/>
      <c r="O8" s="29"/>
      <c r="P8" s="29"/>
      <c r="Q8" s="29"/>
      <c r="R8" s="29"/>
      <c r="S8" s="29"/>
      <c r="T8" s="22"/>
      <c r="W8" s="173" t="s">
        <v>3</v>
      </c>
      <c r="X8" s="174">
        <v>0.20528799999999997</v>
      </c>
      <c r="Y8" s="149"/>
    </row>
    <row r="9" spans="1:25" ht="15.75" customHeight="1" x14ac:dyDescent="0.25">
      <c r="B9" s="79"/>
      <c r="C9" s="188" t="s">
        <v>32</v>
      </c>
      <c r="D9" s="196" t="s">
        <v>3</v>
      </c>
      <c r="E9" s="197">
        <v>5.6182999999999997E-2</v>
      </c>
      <c r="F9" s="29"/>
      <c r="G9" s="29"/>
      <c r="H9" s="29"/>
      <c r="I9" s="29"/>
      <c r="J9" s="29"/>
      <c r="K9" s="29"/>
      <c r="L9" s="29"/>
      <c r="M9" s="29"/>
      <c r="N9" s="29"/>
      <c r="O9" s="29"/>
      <c r="P9" s="29"/>
      <c r="Q9" s="29"/>
      <c r="R9" s="29"/>
      <c r="S9" s="29"/>
      <c r="T9" s="22"/>
      <c r="W9" s="173" t="s">
        <v>107</v>
      </c>
      <c r="X9" s="174">
        <v>8.7686E-2</v>
      </c>
      <c r="Y9" s="149"/>
    </row>
    <row r="10" spans="1:25" ht="15" customHeight="1" x14ac:dyDescent="0.25">
      <c r="B10" s="79"/>
      <c r="C10" s="188" t="s">
        <v>31</v>
      </c>
      <c r="D10" s="196" t="s">
        <v>6</v>
      </c>
      <c r="E10" s="197">
        <v>5.0192000000000001E-2</v>
      </c>
      <c r="F10" s="29"/>
      <c r="G10" s="29"/>
      <c r="H10" s="29"/>
      <c r="I10" s="29"/>
      <c r="J10" s="29"/>
      <c r="K10" s="29"/>
      <c r="L10" s="29"/>
      <c r="M10" s="29"/>
      <c r="N10" s="29"/>
      <c r="O10" s="29"/>
      <c r="P10" s="29"/>
      <c r="Q10" s="29"/>
      <c r="R10" s="29"/>
      <c r="S10" s="29"/>
      <c r="T10" s="22"/>
      <c r="W10" s="173" t="s">
        <v>111</v>
      </c>
      <c r="X10" s="174">
        <v>8.705199999999999E-2</v>
      </c>
      <c r="Y10" s="149"/>
    </row>
    <row r="11" spans="1:25" ht="15" customHeight="1" x14ac:dyDescent="0.25">
      <c r="B11" s="79"/>
      <c r="C11" s="188" t="s">
        <v>36</v>
      </c>
      <c r="D11" s="196" t="s">
        <v>3</v>
      </c>
      <c r="E11" s="197">
        <v>4.2012000000000001E-2</v>
      </c>
      <c r="F11" s="29"/>
      <c r="G11" s="29"/>
      <c r="H11" s="29"/>
      <c r="I11" s="29"/>
      <c r="J11" s="29"/>
      <c r="K11" s="29"/>
      <c r="L11" s="29"/>
      <c r="M11" s="29"/>
      <c r="N11" s="29"/>
      <c r="O11" s="29"/>
      <c r="P11" s="29"/>
      <c r="Q11" s="29"/>
      <c r="R11" s="29"/>
      <c r="S11" s="29"/>
      <c r="T11" s="22"/>
      <c r="W11" s="173" t="s">
        <v>23</v>
      </c>
      <c r="X11" s="174">
        <v>5.3911999999999995E-2</v>
      </c>
      <c r="Y11" s="149"/>
    </row>
    <row r="12" spans="1:25" ht="15" customHeight="1" x14ac:dyDescent="0.25">
      <c r="B12" s="79"/>
      <c r="C12" s="188" t="s">
        <v>28</v>
      </c>
      <c r="D12" s="196" t="s">
        <v>107</v>
      </c>
      <c r="E12" s="197">
        <v>3.5652999999999997E-2</v>
      </c>
      <c r="F12" s="29"/>
      <c r="G12" s="29"/>
      <c r="H12" s="29"/>
      <c r="I12" s="29"/>
      <c r="J12" s="29"/>
      <c r="K12" s="29"/>
      <c r="L12" s="29"/>
      <c r="M12" s="29"/>
      <c r="N12" s="29"/>
      <c r="O12" s="29"/>
      <c r="P12" s="29"/>
      <c r="Q12" s="29"/>
      <c r="R12" s="29"/>
      <c r="S12" s="29"/>
      <c r="T12" s="22"/>
      <c r="W12" s="173" t="s">
        <v>6</v>
      </c>
      <c r="X12" s="174">
        <v>5.0192000000000001E-2</v>
      </c>
      <c r="Y12" s="149"/>
    </row>
    <row r="13" spans="1:25" ht="15" customHeight="1" x14ac:dyDescent="0.25">
      <c r="B13" s="79"/>
      <c r="C13" s="188" t="s">
        <v>70</v>
      </c>
      <c r="D13" s="196" t="s">
        <v>12</v>
      </c>
      <c r="E13" s="197">
        <v>2.5707000000000001E-2</v>
      </c>
      <c r="F13" s="29"/>
      <c r="G13" s="29"/>
      <c r="H13" s="29"/>
      <c r="I13" s="29"/>
      <c r="J13" s="29"/>
      <c r="K13" s="29"/>
      <c r="L13" s="29"/>
      <c r="M13" s="29"/>
      <c r="N13" s="29"/>
      <c r="O13" s="29"/>
      <c r="P13" s="29"/>
      <c r="Q13" s="29"/>
      <c r="R13" s="29"/>
      <c r="S13" s="29"/>
      <c r="T13" s="22"/>
      <c r="W13" s="173" t="s">
        <v>86</v>
      </c>
      <c r="X13" s="174">
        <v>3.6249000000000003E-2</v>
      </c>
      <c r="Y13" s="149"/>
    </row>
    <row r="14" spans="1:25" ht="15" customHeight="1" x14ac:dyDescent="0.25">
      <c r="B14" s="79"/>
      <c r="C14" s="188" t="s">
        <v>62</v>
      </c>
      <c r="D14" s="196" t="s">
        <v>10</v>
      </c>
      <c r="E14" s="197">
        <v>2.366E-2</v>
      </c>
      <c r="F14" s="29"/>
      <c r="G14" s="29"/>
      <c r="H14" s="29"/>
      <c r="I14" s="29"/>
      <c r="J14" s="29"/>
      <c r="K14" s="29"/>
      <c r="L14" s="29"/>
      <c r="M14" s="29"/>
      <c r="N14" s="29"/>
      <c r="O14" s="29"/>
      <c r="P14" s="29"/>
      <c r="Q14" s="29"/>
      <c r="R14" s="29"/>
      <c r="S14" s="29"/>
      <c r="T14" s="22"/>
      <c r="W14" s="173" t="s">
        <v>10</v>
      </c>
      <c r="X14" s="174">
        <v>3.5616000000000002E-2</v>
      </c>
      <c r="Y14" s="149"/>
    </row>
    <row r="15" spans="1:25" ht="15" customHeight="1" x14ac:dyDescent="0.25">
      <c r="B15" s="79"/>
      <c r="C15" s="188" t="s">
        <v>98</v>
      </c>
      <c r="D15" s="196" t="s">
        <v>119</v>
      </c>
      <c r="E15" s="197">
        <v>2.0417000000000001E-2</v>
      </c>
      <c r="F15" s="29"/>
      <c r="G15" s="29"/>
      <c r="H15" s="29"/>
      <c r="I15" s="29"/>
      <c r="J15" s="29"/>
      <c r="K15" s="29"/>
      <c r="L15" s="29"/>
      <c r="M15" s="29"/>
      <c r="N15" s="29"/>
      <c r="O15" s="29"/>
      <c r="P15" s="29"/>
      <c r="Q15" s="29"/>
      <c r="R15" s="29"/>
      <c r="S15" s="29"/>
      <c r="T15" s="22"/>
      <c r="W15" s="173" t="s">
        <v>112</v>
      </c>
      <c r="X15" s="174">
        <v>3.5586E-2</v>
      </c>
      <c r="Y15" s="149"/>
    </row>
    <row r="16" spans="1:25" ht="15" customHeight="1" x14ac:dyDescent="0.25">
      <c r="B16" s="79"/>
      <c r="C16" s="188" t="s">
        <v>33</v>
      </c>
      <c r="D16" s="196" t="s">
        <v>107</v>
      </c>
      <c r="E16" s="197">
        <v>2.0129000000000001E-2</v>
      </c>
      <c r="F16" s="29"/>
      <c r="G16" s="29"/>
      <c r="H16" s="29"/>
      <c r="I16" s="29"/>
      <c r="J16" s="29"/>
      <c r="K16" s="29"/>
      <c r="L16" s="29"/>
      <c r="M16" s="29"/>
      <c r="N16" s="29"/>
      <c r="O16" s="29"/>
      <c r="P16" s="29"/>
      <c r="Q16" s="29"/>
      <c r="R16" s="29"/>
      <c r="S16" s="29"/>
      <c r="T16" s="22"/>
      <c r="W16" s="173" t="s">
        <v>110</v>
      </c>
      <c r="X16" s="174">
        <v>3.5274E-2</v>
      </c>
      <c r="Y16" s="149"/>
    </row>
    <row r="17" spans="2:25" ht="15" customHeight="1" x14ac:dyDescent="0.25">
      <c r="B17" s="79"/>
      <c r="C17" s="188" t="s">
        <v>75</v>
      </c>
      <c r="D17" s="196" t="s">
        <v>11</v>
      </c>
      <c r="E17" s="197">
        <v>2.001E-2</v>
      </c>
      <c r="F17" s="29"/>
      <c r="G17" s="29"/>
      <c r="H17" s="29"/>
      <c r="I17" s="29"/>
      <c r="J17" s="29"/>
      <c r="K17" s="29"/>
      <c r="L17" s="29"/>
      <c r="M17" s="29"/>
      <c r="N17" s="29"/>
      <c r="O17" s="29"/>
      <c r="P17" s="29"/>
      <c r="Q17" s="29"/>
      <c r="R17" s="29"/>
      <c r="S17" s="29"/>
      <c r="T17" s="22"/>
      <c r="W17" s="173" t="s">
        <v>4</v>
      </c>
      <c r="X17" s="174">
        <v>2.9346000000000001E-2</v>
      </c>
      <c r="Y17" s="149"/>
    </row>
    <row r="18" spans="2:25" ht="15" customHeight="1" x14ac:dyDescent="0.25">
      <c r="B18" s="79"/>
      <c r="C18" s="188" t="s">
        <v>104</v>
      </c>
      <c r="D18" s="196" t="s">
        <v>111</v>
      </c>
      <c r="E18" s="197">
        <v>1.9115E-2</v>
      </c>
      <c r="F18" s="29"/>
      <c r="G18" s="29"/>
      <c r="H18" s="29"/>
      <c r="I18" s="29"/>
      <c r="J18" s="29"/>
      <c r="K18" s="29"/>
      <c r="L18" s="29"/>
      <c r="M18" s="29"/>
      <c r="N18" s="29"/>
      <c r="O18" s="29"/>
      <c r="P18" s="29"/>
      <c r="Q18" s="29"/>
      <c r="R18" s="29"/>
      <c r="S18" s="29"/>
      <c r="T18" s="22"/>
      <c r="W18" s="173" t="s">
        <v>11</v>
      </c>
      <c r="X18" s="174">
        <v>2.6800000000000001E-2</v>
      </c>
      <c r="Y18" s="149"/>
    </row>
    <row r="19" spans="2:25" ht="15" customHeight="1" x14ac:dyDescent="0.25">
      <c r="B19" s="79"/>
      <c r="C19" s="188" t="s">
        <v>34</v>
      </c>
      <c r="D19" s="196" t="s">
        <v>23</v>
      </c>
      <c r="E19" s="197">
        <v>1.8373E-2</v>
      </c>
      <c r="F19" s="29"/>
      <c r="G19" s="29"/>
      <c r="H19" s="29"/>
      <c r="I19" s="29"/>
      <c r="J19" s="29"/>
      <c r="K19" s="29"/>
      <c r="L19" s="29"/>
      <c r="M19" s="29"/>
      <c r="N19" s="29"/>
      <c r="O19" s="29"/>
      <c r="P19" s="29"/>
      <c r="Q19" s="29"/>
      <c r="R19" s="29"/>
      <c r="S19" s="29"/>
      <c r="T19" s="22"/>
      <c r="W19" s="173" t="s">
        <v>12</v>
      </c>
      <c r="X19" s="174">
        <v>2.5707000000000001E-2</v>
      </c>
      <c r="Y19" s="149"/>
    </row>
    <row r="20" spans="2:25" ht="15" customHeight="1" x14ac:dyDescent="0.25">
      <c r="B20" s="79"/>
      <c r="C20" s="188" t="s">
        <v>194</v>
      </c>
      <c r="D20" s="196" t="s">
        <v>107</v>
      </c>
      <c r="E20" s="197">
        <v>1.7916000000000001E-2</v>
      </c>
      <c r="F20" s="29"/>
      <c r="G20" s="29"/>
      <c r="H20" s="29"/>
      <c r="I20" s="29"/>
      <c r="J20" s="29"/>
      <c r="K20" s="29"/>
      <c r="L20" s="29"/>
      <c r="M20" s="29"/>
      <c r="N20" s="29"/>
      <c r="O20" s="29"/>
      <c r="P20" s="29"/>
      <c r="Q20" s="29"/>
      <c r="R20" s="29"/>
      <c r="S20" s="29"/>
      <c r="T20" s="22"/>
      <c r="W20" s="173" t="s">
        <v>106</v>
      </c>
      <c r="X20" s="174">
        <v>2.4448000000000001E-2</v>
      </c>
      <c r="Y20" s="149"/>
    </row>
    <row r="21" spans="2:25" ht="15" customHeight="1" x14ac:dyDescent="0.25">
      <c r="B21" s="79"/>
      <c r="C21" s="188" t="s">
        <v>270</v>
      </c>
      <c r="D21" s="196" t="s">
        <v>23</v>
      </c>
      <c r="E21" s="197">
        <v>1.7842E-2</v>
      </c>
      <c r="F21" s="29"/>
      <c r="G21" s="29"/>
      <c r="H21" s="29"/>
      <c r="I21" s="29"/>
      <c r="J21" s="29"/>
      <c r="K21" s="29"/>
      <c r="L21" s="29"/>
      <c r="M21" s="29"/>
      <c r="N21" s="29"/>
      <c r="O21" s="29"/>
      <c r="P21" s="29"/>
      <c r="Q21" s="29"/>
      <c r="R21" s="29"/>
      <c r="S21" s="29"/>
      <c r="T21" s="22"/>
      <c r="W21" s="173" t="s">
        <v>84</v>
      </c>
      <c r="X21" s="174">
        <v>2.3709000000000001E-2</v>
      </c>
      <c r="Y21" s="149"/>
    </row>
    <row r="22" spans="2:25" ht="15" customHeight="1" x14ac:dyDescent="0.25">
      <c r="B22" s="79"/>
      <c r="C22" s="188" t="s">
        <v>30</v>
      </c>
      <c r="D22" s="196" t="s">
        <v>117</v>
      </c>
      <c r="E22" s="197">
        <v>1.771E-2</v>
      </c>
      <c r="F22" s="29"/>
      <c r="G22" s="29"/>
      <c r="H22" s="29"/>
      <c r="I22" s="29"/>
      <c r="J22" s="29"/>
      <c r="K22" s="29"/>
      <c r="L22" s="29"/>
      <c r="M22" s="29"/>
      <c r="N22" s="29"/>
      <c r="O22" s="29"/>
      <c r="P22" s="29"/>
      <c r="Q22" s="29"/>
      <c r="R22" s="29"/>
      <c r="S22" s="29"/>
      <c r="T22" s="22"/>
      <c r="W22" s="173" t="s">
        <v>26</v>
      </c>
      <c r="X22" s="174">
        <v>2.179E-2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119</v>
      </c>
      <c r="X23" s="174">
        <v>2.0417000000000001E-2</v>
      </c>
      <c r="Y23" s="149"/>
    </row>
    <row r="24" spans="2:25" ht="15" customHeight="1" x14ac:dyDescent="0.25">
      <c r="B24" s="79"/>
      <c r="C24" s="73" t="s">
        <v>55</v>
      </c>
      <c r="D24" s="74"/>
      <c r="E24" s="75">
        <f>SUM(E8:E22)</f>
        <v>0.44780499999999995</v>
      </c>
      <c r="F24" s="29"/>
      <c r="G24" s="29"/>
      <c r="H24" s="29"/>
      <c r="I24" s="29"/>
      <c r="J24" s="29"/>
      <c r="K24" s="29"/>
      <c r="L24" s="29"/>
      <c r="M24" s="29"/>
      <c r="N24" s="29"/>
      <c r="O24" s="29"/>
      <c r="P24" s="29"/>
      <c r="Q24" s="29"/>
      <c r="R24" s="29"/>
      <c r="S24" s="29"/>
      <c r="T24" s="22"/>
      <c r="W24" s="173" t="s">
        <v>83</v>
      </c>
      <c r="X24" s="174">
        <v>1.9414000000000001E-2</v>
      </c>
      <c r="Y24" s="149"/>
    </row>
    <row r="25" spans="2:25" ht="15" customHeight="1" x14ac:dyDescent="0.25">
      <c r="B25" s="79"/>
      <c r="F25" s="29"/>
      <c r="G25" s="29"/>
      <c r="H25" s="29"/>
      <c r="I25" s="29"/>
      <c r="J25" s="29"/>
      <c r="K25" s="29"/>
      <c r="L25" s="29"/>
      <c r="M25" s="29"/>
      <c r="N25" s="29"/>
      <c r="O25" s="29"/>
      <c r="P25" s="29"/>
      <c r="Q25" s="29"/>
      <c r="R25" s="29"/>
      <c r="S25" s="29"/>
      <c r="T25" s="22"/>
      <c r="W25" s="173" t="s">
        <v>117</v>
      </c>
      <c r="X25" s="174">
        <v>1.771E-2</v>
      </c>
      <c r="Y25" s="149"/>
    </row>
    <row r="26" spans="2:25" ht="15" customHeight="1" x14ac:dyDescent="0.25">
      <c r="B26" s="79"/>
      <c r="F26" s="29"/>
      <c r="G26" s="29"/>
      <c r="H26" s="29"/>
      <c r="I26" s="29"/>
      <c r="J26" s="29"/>
      <c r="K26" s="29"/>
      <c r="L26" s="29"/>
      <c r="M26" s="29"/>
      <c r="N26" s="29"/>
      <c r="O26" s="29"/>
      <c r="P26" s="29"/>
      <c r="Q26" s="29"/>
      <c r="R26" s="29"/>
      <c r="S26" s="29"/>
      <c r="T26" s="22"/>
      <c r="W26" s="173" t="s">
        <v>16</v>
      </c>
      <c r="X26" s="174">
        <v>1.6496E-2</v>
      </c>
      <c r="Y26" s="149"/>
    </row>
    <row r="27" spans="2:25" ht="15" customHeight="1" x14ac:dyDescent="0.25">
      <c r="B27" s="79"/>
      <c r="F27" s="29"/>
      <c r="G27" s="29"/>
      <c r="H27" s="29"/>
      <c r="I27" s="29"/>
      <c r="J27" s="29"/>
      <c r="K27" s="29"/>
      <c r="L27" s="29"/>
      <c r="M27" s="29"/>
      <c r="N27" s="29"/>
      <c r="O27" s="29"/>
      <c r="P27" s="29"/>
      <c r="Q27" s="29"/>
      <c r="R27" s="29"/>
      <c r="S27" s="29"/>
      <c r="T27" s="22"/>
      <c r="W27" s="173" t="s">
        <v>108</v>
      </c>
      <c r="X27" s="174">
        <v>1.5869999999999999E-2</v>
      </c>
      <c r="Y27" s="149"/>
    </row>
    <row r="28" spans="2:25" ht="15" customHeight="1" x14ac:dyDescent="0.25">
      <c r="B28" s="79"/>
      <c r="F28" s="29"/>
      <c r="G28" s="29"/>
      <c r="H28" s="29"/>
      <c r="I28" s="29"/>
      <c r="J28" s="29"/>
      <c r="K28" s="29"/>
      <c r="L28" s="29"/>
      <c r="M28" s="29"/>
      <c r="N28" s="29"/>
      <c r="O28" s="29"/>
      <c r="P28" s="29"/>
      <c r="Q28" s="29"/>
      <c r="R28" s="29"/>
      <c r="S28" s="29"/>
      <c r="T28" s="22"/>
      <c r="W28" s="173" t="s">
        <v>113</v>
      </c>
      <c r="X28" s="174">
        <v>1.5235E-2</v>
      </c>
      <c r="Y28" s="149"/>
    </row>
    <row r="29" spans="2:25" ht="15" customHeight="1" x14ac:dyDescent="0.25">
      <c r="B29" s="79"/>
      <c r="F29" s="29"/>
      <c r="G29" s="29"/>
      <c r="H29" s="29"/>
      <c r="I29" s="29"/>
      <c r="J29" s="29"/>
      <c r="K29" s="29"/>
      <c r="L29" s="29"/>
      <c r="M29" s="29"/>
      <c r="N29" s="29"/>
      <c r="O29" s="29"/>
      <c r="P29" s="29"/>
      <c r="Q29" s="29"/>
      <c r="R29" s="29"/>
      <c r="S29" s="29"/>
      <c r="T29" s="22"/>
      <c r="W29" s="173" t="s">
        <v>133</v>
      </c>
      <c r="X29" s="174">
        <v>1.1433E-2</v>
      </c>
      <c r="Y29" s="149"/>
    </row>
    <row r="30" spans="2:25" ht="15" customHeight="1" x14ac:dyDescent="0.25">
      <c r="B30" s="79"/>
      <c r="F30" s="29"/>
      <c r="G30" s="29"/>
      <c r="H30" s="29"/>
      <c r="I30" s="29"/>
      <c r="J30" s="29"/>
      <c r="K30" s="29"/>
      <c r="L30" s="29"/>
      <c r="M30" s="29"/>
      <c r="N30" s="29"/>
      <c r="O30" s="29"/>
      <c r="P30" s="29"/>
      <c r="Q30" s="29"/>
      <c r="R30" s="29"/>
      <c r="S30" s="29"/>
      <c r="T30" s="22"/>
      <c r="W30" s="173" t="s">
        <v>121</v>
      </c>
      <c r="X30" s="174">
        <v>1.0956E-2</v>
      </c>
    </row>
    <row r="31" spans="2:25" ht="15" customHeight="1" x14ac:dyDescent="0.25">
      <c r="B31" s="79"/>
      <c r="F31" s="29"/>
      <c r="G31" s="29"/>
      <c r="H31" s="29"/>
      <c r="I31" s="29"/>
      <c r="J31" s="29"/>
      <c r="K31" s="29"/>
      <c r="L31" s="29"/>
      <c r="M31" s="29"/>
      <c r="N31" s="29"/>
      <c r="O31" s="29"/>
      <c r="P31" s="29"/>
      <c r="Q31" s="29"/>
      <c r="R31" s="29"/>
      <c r="S31" s="29"/>
      <c r="T31" s="22"/>
      <c r="W31" s="173" t="s">
        <v>124</v>
      </c>
      <c r="X31" s="174">
        <v>9.9570000000000006E-3</v>
      </c>
    </row>
    <row r="32" spans="2:25" ht="15" customHeight="1" x14ac:dyDescent="0.25">
      <c r="B32" s="79"/>
      <c r="F32" s="29"/>
      <c r="G32" s="29"/>
      <c r="H32" s="29"/>
      <c r="I32" s="29"/>
      <c r="J32" s="29"/>
      <c r="K32" s="29"/>
      <c r="L32" s="29"/>
      <c r="M32" s="29"/>
      <c r="N32" s="29"/>
      <c r="O32" s="29"/>
      <c r="P32" s="29"/>
      <c r="Q32" s="29"/>
      <c r="R32" s="29"/>
      <c r="S32" s="29"/>
      <c r="T32" s="22"/>
      <c r="W32" s="173" t="s">
        <v>15</v>
      </c>
      <c r="X32" s="174">
        <v>9.9419999999999994E-3</v>
      </c>
    </row>
    <row r="33" spans="2:24" ht="15" customHeight="1" x14ac:dyDescent="0.25">
      <c r="B33" s="79"/>
      <c r="F33" s="29"/>
      <c r="G33" s="29"/>
      <c r="H33" s="29"/>
      <c r="I33" s="29"/>
      <c r="J33" s="29"/>
      <c r="K33" s="29"/>
      <c r="L33" s="29"/>
      <c r="M33" s="29"/>
      <c r="N33" s="29"/>
      <c r="O33" s="29"/>
      <c r="P33" s="29"/>
      <c r="Q33" s="29"/>
      <c r="R33" s="29"/>
      <c r="S33" s="29"/>
      <c r="T33" s="22"/>
      <c r="W33" s="173" t="s">
        <v>118</v>
      </c>
      <c r="X33" s="174">
        <v>9.6019999999999994E-3</v>
      </c>
    </row>
    <row r="34" spans="2:24" ht="15" customHeight="1" x14ac:dyDescent="0.25">
      <c r="B34" s="79"/>
      <c r="F34" s="29"/>
      <c r="G34" s="29"/>
      <c r="H34" s="29"/>
      <c r="I34" s="29"/>
      <c r="J34" s="29"/>
      <c r="K34" s="29"/>
      <c r="L34" s="29"/>
      <c r="M34" s="29"/>
      <c r="N34" s="29"/>
      <c r="O34" s="29"/>
      <c r="P34" s="29"/>
      <c r="Q34" s="29"/>
      <c r="R34" s="29"/>
      <c r="S34" s="29"/>
      <c r="T34" s="22"/>
      <c r="W34" s="173" t="s">
        <v>219</v>
      </c>
      <c r="X34" s="174">
        <v>8.4069999999999995E-3</v>
      </c>
    </row>
    <row r="35" spans="2:24" ht="15" customHeight="1" x14ac:dyDescent="0.25">
      <c r="B35" s="79"/>
      <c r="F35" s="29"/>
      <c r="G35" s="29"/>
      <c r="H35" s="29"/>
      <c r="I35" s="29"/>
      <c r="J35" s="29"/>
      <c r="K35" s="29"/>
      <c r="L35" s="29"/>
      <c r="M35" s="29"/>
      <c r="N35" s="29"/>
      <c r="O35" s="29"/>
      <c r="P35" s="29"/>
      <c r="Q35" s="29"/>
      <c r="R35" s="29"/>
      <c r="S35" s="29"/>
      <c r="T35" s="22"/>
      <c r="W35" s="173" t="s">
        <v>13</v>
      </c>
      <c r="X35" s="174">
        <v>5.7860000000000003E-3</v>
      </c>
    </row>
    <row r="36" spans="2:24" ht="15" customHeight="1" x14ac:dyDescent="0.25">
      <c r="B36" s="79"/>
      <c r="F36" s="29"/>
      <c r="G36" s="29"/>
      <c r="H36" s="29"/>
      <c r="I36" s="29"/>
      <c r="J36" s="29"/>
      <c r="K36" s="29"/>
      <c r="L36" s="29"/>
      <c r="M36" s="29"/>
      <c r="N36" s="29"/>
      <c r="O36" s="29"/>
      <c r="P36" s="29"/>
      <c r="Q36" s="29"/>
      <c r="R36" s="29"/>
      <c r="S36" s="29"/>
      <c r="T36" s="22"/>
      <c r="W36" s="173" t="s">
        <v>116</v>
      </c>
      <c r="X36" s="174">
        <v>5.731E-3</v>
      </c>
    </row>
    <row r="37" spans="2:24" ht="15" customHeight="1" x14ac:dyDescent="0.25">
      <c r="B37" s="79"/>
      <c r="F37" s="29"/>
      <c r="G37" s="29"/>
      <c r="H37" s="29"/>
      <c r="I37" s="29"/>
      <c r="J37" s="29"/>
      <c r="K37" s="29"/>
      <c r="L37" s="29"/>
      <c r="M37" s="29"/>
      <c r="N37" s="29"/>
      <c r="O37" s="29"/>
      <c r="P37" s="29"/>
      <c r="Q37" s="29"/>
      <c r="R37" s="29"/>
      <c r="S37" s="29"/>
      <c r="T37" s="22"/>
      <c r="W37" s="173" t="s">
        <v>24</v>
      </c>
      <c r="X37" s="174">
        <v>3.8400000000000001E-3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68" t="s">
        <v>182</v>
      </c>
      <c r="C40" s="269"/>
      <c r="D40" s="269"/>
      <c r="E40" s="269"/>
      <c r="F40" s="269"/>
      <c r="G40" s="269"/>
      <c r="H40" s="269"/>
      <c r="I40" s="269"/>
      <c r="J40" s="269"/>
      <c r="K40" s="269"/>
      <c r="L40" s="269"/>
      <c r="M40" s="269"/>
      <c r="N40" s="269"/>
      <c r="O40" s="269"/>
      <c r="P40" s="269"/>
      <c r="Q40" s="269"/>
      <c r="R40" s="270"/>
    </row>
    <row r="41" spans="2:24" ht="15" customHeight="1" x14ac:dyDescent="0.25">
      <c r="B41" s="271"/>
      <c r="C41" s="272"/>
      <c r="D41" s="272"/>
      <c r="E41" s="272"/>
      <c r="F41" s="272"/>
      <c r="G41" s="272"/>
      <c r="H41" s="272"/>
      <c r="I41" s="272"/>
      <c r="J41" s="272"/>
      <c r="K41" s="272"/>
      <c r="L41" s="272"/>
      <c r="M41" s="272"/>
      <c r="N41" s="272"/>
      <c r="O41" s="272"/>
      <c r="P41" s="272"/>
      <c r="Q41" s="272"/>
      <c r="R41" s="273"/>
    </row>
    <row r="42" spans="2:24" ht="15" customHeight="1" x14ac:dyDescent="0.25">
      <c r="B42" s="271"/>
      <c r="C42" s="272"/>
      <c r="D42" s="272"/>
      <c r="E42" s="272"/>
      <c r="F42" s="272"/>
      <c r="G42" s="272"/>
      <c r="H42" s="272"/>
      <c r="I42" s="272"/>
      <c r="J42" s="272"/>
      <c r="K42" s="272"/>
      <c r="L42" s="272"/>
      <c r="M42" s="272"/>
      <c r="N42" s="272"/>
      <c r="O42" s="272"/>
      <c r="P42" s="272"/>
      <c r="Q42" s="272"/>
      <c r="R42" s="273"/>
    </row>
    <row r="43" spans="2:24" ht="15" customHeight="1" x14ac:dyDescent="0.25">
      <c r="B43" s="271"/>
      <c r="C43" s="272"/>
      <c r="D43" s="272"/>
      <c r="E43" s="272"/>
      <c r="F43" s="272"/>
      <c r="G43" s="272"/>
      <c r="H43" s="272"/>
      <c r="I43" s="272"/>
      <c r="J43" s="272"/>
      <c r="K43" s="272"/>
      <c r="L43" s="272"/>
      <c r="M43" s="272"/>
      <c r="N43" s="272"/>
      <c r="O43" s="272"/>
      <c r="P43" s="272"/>
      <c r="Q43" s="272"/>
      <c r="R43" s="273"/>
    </row>
    <row r="44" spans="2:24" ht="15" customHeight="1" x14ac:dyDescent="0.25">
      <c r="B44" s="271"/>
      <c r="C44" s="272"/>
      <c r="D44" s="272"/>
      <c r="E44" s="272"/>
      <c r="F44" s="272"/>
      <c r="G44" s="272"/>
      <c r="H44" s="272"/>
      <c r="I44" s="272"/>
      <c r="J44" s="272"/>
      <c r="K44" s="272"/>
      <c r="L44" s="272"/>
      <c r="M44" s="272"/>
      <c r="N44" s="272"/>
      <c r="O44" s="272"/>
      <c r="P44" s="272"/>
      <c r="Q44" s="272"/>
      <c r="R44" s="273"/>
    </row>
    <row r="45" spans="2:24" ht="15" customHeight="1" x14ac:dyDescent="0.25">
      <c r="B45" s="271"/>
      <c r="C45" s="272"/>
      <c r="D45" s="272"/>
      <c r="E45" s="272"/>
      <c r="F45" s="272"/>
      <c r="G45" s="272"/>
      <c r="H45" s="272"/>
      <c r="I45" s="272"/>
      <c r="J45" s="272"/>
      <c r="K45" s="272"/>
      <c r="L45" s="272"/>
      <c r="M45" s="272"/>
      <c r="N45" s="272"/>
      <c r="O45" s="272"/>
      <c r="P45" s="272"/>
      <c r="Q45" s="272"/>
      <c r="R45" s="273"/>
    </row>
    <row r="46" spans="2:24" ht="15" customHeight="1" thickBot="1" x14ac:dyDescent="0.3">
      <c r="B46" s="274"/>
      <c r="C46" s="275"/>
      <c r="D46" s="275"/>
      <c r="E46" s="275"/>
      <c r="F46" s="275"/>
      <c r="G46" s="275"/>
      <c r="H46" s="275"/>
      <c r="I46" s="275"/>
      <c r="J46" s="275"/>
      <c r="K46" s="275"/>
      <c r="L46" s="275"/>
      <c r="M46" s="275"/>
      <c r="N46" s="275"/>
      <c r="O46" s="275"/>
      <c r="P46" s="275"/>
      <c r="Q46" s="275"/>
      <c r="R46" s="276"/>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86"/>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62" t="s">
        <v>162</v>
      </c>
      <c r="D3" s="262"/>
      <c r="E3" s="262"/>
      <c r="F3" s="262"/>
      <c r="G3" s="262"/>
      <c r="H3" s="262"/>
      <c r="I3" s="262"/>
      <c r="J3" s="262"/>
      <c r="K3" s="262"/>
      <c r="L3" s="262"/>
      <c r="M3" s="262"/>
      <c r="N3" s="262"/>
      <c r="O3" s="262"/>
      <c r="P3" s="262"/>
      <c r="Q3" s="20"/>
    </row>
    <row r="4" spans="2:27" ht="15.75" x14ac:dyDescent="0.25">
      <c r="B4" s="93"/>
      <c r="C4" s="67" t="s">
        <v>405</v>
      </c>
      <c r="D4" s="5"/>
      <c r="E4" s="5"/>
      <c r="F4" s="5"/>
      <c r="G4" s="5"/>
      <c r="H4" s="5"/>
      <c r="I4" s="5"/>
      <c r="J4" s="5"/>
      <c r="K4" s="5"/>
      <c r="L4" s="5"/>
      <c r="M4" s="5"/>
      <c r="N4" s="5"/>
      <c r="O4" s="5"/>
      <c r="P4" s="5"/>
      <c r="Q4" s="20"/>
    </row>
    <row r="5" spans="2:27" ht="20.25" x14ac:dyDescent="0.2">
      <c r="B5" s="93"/>
      <c r="C5" s="221" t="s">
        <v>406</v>
      </c>
      <c r="D5" s="279" t="s">
        <v>381</v>
      </c>
      <c r="E5" s="279"/>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163</v>
      </c>
      <c r="T7" s="171"/>
    </row>
    <row r="8" spans="2:27" ht="15.75" x14ac:dyDescent="0.25">
      <c r="B8" s="93"/>
      <c r="C8" s="102"/>
      <c r="D8" s="38"/>
      <c r="E8" s="218"/>
      <c r="F8" s="5"/>
      <c r="G8" s="5"/>
      <c r="H8" s="5"/>
      <c r="I8" s="5"/>
      <c r="J8" s="5"/>
      <c r="K8" s="5"/>
      <c r="L8" s="5"/>
      <c r="M8" s="5"/>
      <c r="N8" s="5"/>
      <c r="O8" s="5"/>
      <c r="P8" s="5"/>
      <c r="Q8" s="20"/>
      <c r="R8" s="12" t="s">
        <v>39</v>
      </c>
      <c r="S8" s="13">
        <f>E9</f>
        <v>0.70530499999999996</v>
      </c>
      <c r="T8" s="171"/>
      <c r="V8" s="56"/>
      <c r="W8" s="57"/>
      <c r="Z8" s="43"/>
      <c r="AA8" s="43"/>
    </row>
    <row r="9" spans="2:27" ht="15.75" x14ac:dyDescent="0.25">
      <c r="B9" s="93"/>
      <c r="C9" s="128" t="s">
        <v>39</v>
      </c>
      <c r="D9" s="125"/>
      <c r="E9" s="191">
        <v>0.70530499999999996</v>
      </c>
      <c r="F9" s="47"/>
      <c r="G9" s="5"/>
      <c r="H9" s="5"/>
      <c r="I9" s="5"/>
      <c r="J9" s="5"/>
      <c r="K9" s="5"/>
      <c r="L9" s="5"/>
      <c r="M9" s="5"/>
      <c r="N9" s="5"/>
      <c r="O9" s="5"/>
      <c r="P9" s="5"/>
      <c r="Q9" s="20"/>
      <c r="R9" s="12" t="s">
        <v>40</v>
      </c>
      <c r="S9" s="13">
        <f>100%-S8</f>
        <v>0.29469500000000004</v>
      </c>
      <c r="T9" s="171"/>
      <c r="V9" s="56"/>
      <c r="W9" s="57"/>
      <c r="Z9" s="43"/>
      <c r="AA9" s="43"/>
    </row>
    <row r="10" spans="2:27" ht="15.75" x14ac:dyDescent="0.25">
      <c r="B10" s="93"/>
      <c r="C10" s="102"/>
      <c r="D10" s="38"/>
      <c r="E10" s="217"/>
      <c r="F10" s="47"/>
      <c r="G10" s="5"/>
      <c r="H10" s="5"/>
      <c r="I10" s="5"/>
      <c r="J10" s="5"/>
      <c r="K10" s="5"/>
      <c r="L10" s="5"/>
      <c r="M10" s="5"/>
      <c r="N10" s="5"/>
      <c r="O10" s="5"/>
      <c r="P10" s="5"/>
      <c r="Q10" s="20"/>
      <c r="R10" s="172"/>
      <c r="S10" s="171"/>
      <c r="T10" s="171"/>
      <c r="V10" s="56"/>
      <c r="W10" s="57"/>
      <c r="Z10" s="43"/>
      <c r="AA10" s="43"/>
    </row>
    <row r="11" spans="2:27" ht="15.75" x14ac:dyDescent="0.25">
      <c r="B11" s="93"/>
      <c r="C11" s="128" t="s">
        <v>41</v>
      </c>
      <c r="D11" s="125"/>
      <c r="E11" s="191">
        <v>3.2758000000000002E-2</v>
      </c>
      <c r="F11" s="47"/>
      <c r="G11" s="5"/>
      <c r="H11" s="5"/>
      <c r="I11" s="5"/>
      <c r="J11" s="5"/>
      <c r="K11" s="5"/>
      <c r="L11" s="5"/>
      <c r="M11" s="5"/>
      <c r="N11" s="5"/>
      <c r="O11" s="5"/>
      <c r="P11" s="5"/>
      <c r="Q11" s="20"/>
      <c r="R11" s="14"/>
      <c r="S11" s="1"/>
      <c r="T11" s="1"/>
      <c r="V11" s="56"/>
      <c r="W11" s="57"/>
    </row>
    <row r="12" spans="2:27" ht="15.75" x14ac:dyDescent="0.25">
      <c r="B12" s="93"/>
      <c r="C12" s="222"/>
      <c r="D12" s="225"/>
      <c r="E12" s="223"/>
      <c r="F12" s="47"/>
      <c r="G12" s="5"/>
      <c r="H12" s="5"/>
      <c r="I12" s="5"/>
      <c r="J12" s="5"/>
      <c r="K12" s="5"/>
      <c r="L12" s="5"/>
      <c r="M12" s="5"/>
      <c r="N12" s="5"/>
      <c r="O12" s="5"/>
      <c r="P12" s="5"/>
      <c r="Q12" s="20"/>
      <c r="R12" s="14"/>
      <c r="S12" s="1"/>
      <c r="T12" s="1"/>
      <c r="V12" s="56"/>
      <c r="W12" s="57"/>
    </row>
    <row r="13" spans="2:27" ht="15.75" x14ac:dyDescent="0.25">
      <c r="B13" s="93"/>
      <c r="C13" s="128" t="s">
        <v>42</v>
      </c>
      <c r="D13" s="125"/>
      <c r="E13" s="191">
        <v>6.4000000000000005E-4</v>
      </c>
      <c r="F13" s="47"/>
      <c r="G13" s="5"/>
      <c r="H13" s="5"/>
      <c r="I13" s="5"/>
      <c r="J13" s="5"/>
      <c r="K13" s="5"/>
      <c r="L13" s="5"/>
      <c r="M13" s="5"/>
      <c r="N13" s="5"/>
      <c r="O13" s="5"/>
      <c r="P13" s="5"/>
      <c r="Q13" s="20"/>
      <c r="R13" s="49"/>
      <c r="V13" s="56"/>
      <c r="W13" s="57"/>
    </row>
    <row r="14" spans="2:27" ht="15.75" x14ac:dyDescent="0.25">
      <c r="B14" s="93"/>
      <c r="C14" s="102"/>
      <c r="D14" s="38"/>
      <c r="E14" s="224"/>
      <c r="F14" s="47"/>
      <c r="G14" s="5"/>
      <c r="H14" s="5"/>
      <c r="I14" s="5"/>
      <c r="J14" s="5"/>
      <c r="K14" s="5"/>
      <c r="L14" s="5"/>
      <c r="M14" s="5"/>
      <c r="N14" s="5"/>
      <c r="O14" s="5"/>
      <c r="P14" s="5"/>
      <c r="Q14" s="20"/>
      <c r="R14" s="49"/>
      <c r="V14" s="56"/>
      <c r="W14" s="57"/>
    </row>
    <row r="15" spans="2:27" ht="15.75" x14ac:dyDescent="0.25">
      <c r="B15" s="93"/>
      <c r="C15" s="128" t="s">
        <v>340</v>
      </c>
      <c r="D15" s="125"/>
      <c r="E15" s="191">
        <v>2.0052E-2</v>
      </c>
      <c r="F15" s="47"/>
      <c r="G15" s="5"/>
      <c r="H15" s="5"/>
      <c r="I15" s="5"/>
      <c r="J15" s="5"/>
      <c r="K15" s="5"/>
      <c r="L15" s="5"/>
      <c r="M15" s="5"/>
      <c r="N15" s="5"/>
      <c r="O15" s="5"/>
      <c r="P15" s="5"/>
      <c r="Q15" s="20"/>
      <c r="R15" s="49"/>
      <c r="V15" s="56"/>
      <c r="W15" s="57"/>
    </row>
    <row r="16" spans="2:27" ht="15.75" x14ac:dyDescent="0.25">
      <c r="B16" s="93"/>
      <c r="C16" s="102"/>
      <c r="D16" s="38"/>
      <c r="E16" s="224"/>
      <c r="F16" s="47"/>
      <c r="G16" s="5"/>
      <c r="H16" s="5"/>
      <c r="I16" s="5"/>
      <c r="J16" s="5"/>
      <c r="K16" s="5"/>
      <c r="L16" s="5"/>
      <c r="M16" s="5"/>
      <c r="N16" s="5"/>
      <c r="O16" s="5"/>
      <c r="P16" s="5"/>
      <c r="Q16" s="20"/>
      <c r="R16" s="49"/>
      <c r="V16" s="56"/>
      <c r="W16" s="57"/>
    </row>
    <row r="17" spans="1:27" ht="15.75" x14ac:dyDescent="0.25">
      <c r="B17" s="93"/>
      <c r="C17" s="102" t="s">
        <v>224</v>
      </c>
      <c r="D17" s="38"/>
      <c r="E17" s="224">
        <v>0.127301</v>
      </c>
      <c r="F17" s="47"/>
      <c r="G17" s="29"/>
      <c r="H17" s="29"/>
      <c r="I17" s="29"/>
      <c r="J17" s="29"/>
      <c r="K17" s="29"/>
      <c r="L17" s="29"/>
      <c r="M17" s="29"/>
      <c r="N17" s="29"/>
      <c r="O17" s="29"/>
      <c r="P17" s="29"/>
      <c r="Q17" s="20"/>
      <c r="R17" s="49"/>
    </row>
    <row r="18" spans="1:27" ht="15.75" x14ac:dyDescent="0.25">
      <c r="B18" s="93"/>
      <c r="C18" s="102" t="s">
        <v>175</v>
      </c>
      <c r="D18" s="38"/>
      <c r="E18" s="224">
        <v>5.108E-2</v>
      </c>
      <c r="F18" s="5"/>
      <c r="G18" s="29"/>
      <c r="H18" s="29"/>
      <c r="I18" s="29"/>
      <c r="J18" s="29"/>
      <c r="K18" s="29"/>
      <c r="L18" s="29"/>
      <c r="M18" s="29"/>
      <c r="N18" s="29"/>
      <c r="O18" s="29"/>
      <c r="P18" s="29"/>
      <c r="Q18" s="20"/>
      <c r="R18" s="49"/>
    </row>
    <row r="19" spans="1:27" ht="15.75" x14ac:dyDescent="0.2">
      <c r="B19" s="93"/>
      <c r="C19" s="128" t="s">
        <v>223</v>
      </c>
      <c r="D19" s="125"/>
      <c r="E19" s="191">
        <v>0.17838100000000001</v>
      </c>
      <c r="F19" s="148"/>
      <c r="G19" s="5"/>
      <c r="H19" s="5"/>
      <c r="I19" s="5"/>
      <c r="J19" s="5"/>
      <c r="K19" s="5"/>
      <c r="L19" s="5"/>
      <c r="M19" s="5"/>
      <c r="N19" s="5"/>
      <c r="O19" s="5"/>
      <c r="P19" s="5"/>
      <c r="Q19" s="20"/>
      <c r="R19" s="49"/>
    </row>
    <row r="20" spans="1:27" x14ac:dyDescent="0.2">
      <c r="B20" s="93"/>
      <c r="C20" s="102"/>
      <c r="D20" s="38"/>
      <c r="E20" s="217"/>
      <c r="F20" s="5"/>
      <c r="G20" s="5"/>
      <c r="H20" s="5"/>
      <c r="I20" s="5"/>
      <c r="J20" s="5"/>
      <c r="K20" s="5"/>
      <c r="L20" s="5"/>
      <c r="M20" s="5"/>
      <c r="N20" s="5"/>
      <c r="O20" s="5"/>
      <c r="P20" s="5"/>
      <c r="Q20" s="20"/>
      <c r="R20" s="49"/>
    </row>
    <row r="21" spans="1:27" ht="15.75" x14ac:dyDescent="0.2">
      <c r="B21" s="93"/>
      <c r="C21" s="128" t="s">
        <v>20</v>
      </c>
      <c r="D21" s="125"/>
      <c r="E21" s="191">
        <v>6.2864000000000059E-2</v>
      </c>
      <c r="F21" s="148"/>
      <c r="G21" s="5"/>
      <c r="H21" s="5"/>
      <c r="I21" s="5"/>
      <c r="J21" s="5"/>
      <c r="K21" s="5"/>
      <c r="L21" s="5"/>
      <c r="M21" s="5"/>
      <c r="N21" s="5"/>
      <c r="O21" s="5"/>
      <c r="P21" s="5"/>
      <c r="Q21" s="20"/>
      <c r="R21" s="49"/>
    </row>
    <row r="22" spans="1:27" x14ac:dyDescent="0.2">
      <c r="B22" s="93"/>
      <c r="C22" s="102"/>
      <c r="D22" s="38"/>
      <c r="E22" s="217"/>
      <c r="F22" s="5"/>
      <c r="G22" s="5"/>
      <c r="H22" s="5"/>
      <c r="I22" s="5"/>
      <c r="J22" s="5"/>
      <c r="K22" s="5"/>
      <c r="L22" s="5"/>
      <c r="M22" s="5"/>
      <c r="N22" s="5"/>
      <c r="O22" s="5"/>
      <c r="P22" s="5"/>
      <c r="Q22" s="20"/>
      <c r="R22" s="49"/>
    </row>
    <row r="23" spans="1:27" ht="15.75" x14ac:dyDescent="0.2">
      <c r="B23" s="93"/>
      <c r="C23" s="214" t="s">
        <v>21</v>
      </c>
      <c r="D23" s="226"/>
      <c r="E23" s="219">
        <f>SUM(E21+E19+E15+E13+E11+E9)</f>
        <v>1</v>
      </c>
      <c r="F23" s="5"/>
      <c r="G23" s="5"/>
      <c r="H23" s="5"/>
      <c r="I23" s="5"/>
      <c r="J23" s="5"/>
      <c r="K23" s="5"/>
      <c r="L23" s="5"/>
      <c r="M23" s="5"/>
      <c r="N23" s="5"/>
      <c r="O23" s="5"/>
      <c r="P23" s="5"/>
      <c r="Q23" s="20"/>
      <c r="R23" s="49"/>
    </row>
    <row r="24" spans="1:27" ht="15.75" thickBot="1" x14ac:dyDescent="0.25">
      <c r="A24" s="5"/>
      <c r="B24" s="96"/>
      <c r="C24" s="45"/>
      <c r="D24" s="45"/>
      <c r="E24" s="45"/>
      <c r="F24" s="45"/>
      <c r="G24" s="45"/>
      <c r="H24" s="45"/>
      <c r="I24" s="45"/>
      <c r="J24" s="45"/>
      <c r="K24" s="45"/>
      <c r="L24" s="45"/>
      <c r="M24" s="45"/>
      <c r="N24" s="45"/>
      <c r="O24" s="45"/>
      <c r="P24" s="45"/>
      <c r="Q24" s="118"/>
      <c r="R24" s="50"/>
      <c r="S24" s="5"/>
      <c r="T24" s="5"/>
      <c r="U24" s="5"/>
      <c r="V24" s="5"/>
      <c r="W24" s="5"/>
      <c r="X24" s="5"/>
      <c r="Y24" s="5"/>
      <c r="Z24" s="5"/>
      <c r="AA24" s="5"/>
    </row>
    <row r="25" spans="1:27" ht="15.75" thickBot="1" x14ac:dyDescent="0.25">
      <c r="A25" s="5"/>
      <c r="B25" s="5"/>
      <c r="C25" s="5"/>
      <c r="D25" s="5"/>
      <c r="E25" s="5"/>
      <c r="F25" s="5"/>
      <c r="G25" s="5"/>
      <c r="H25" s="5"/>
      <c r="I25" s="5"/>
      <c r="J25" s="5"/>
      <c r="K25" s="5"/>
      <c r="L25" s="5"/>
      <c r="M25" s="5"/>
      <c r="N25" s="5"/>
      <c r="O25" s="5"/>
      <c r="P25" s="5"/>
      <c r="Q25" s="5"/>
      <c r="R25" s="50"/>
      <c r="S25" s="5"/>
      <c r="T25" s="5"/>
      <c r="U25" s="5"/>
      <c r="V25" s="5"/>
      <c r="W25" s="5"/>
      <c r="X25" s="5"/>
      <c r="Y25" s="5"/>
      <c r="Z25" s="5"/>
      <c r="AA25" s="5"/>
    </row>
    <row r="26" spans="1:27" ht="15" customHeight="1" x14ac:dyDescent="0.2">
      <c r="A26" s="5"/>
      <c r="B26" s="268" t="s">
        <v>182</v>
      </c>
      <c r="C26" s="269"/>
      <c r="D26" s="269"/>
      <c r="E26" s="269"/>
      <c r="F26" s="269"/>
      <c r="G26" s="269"/>
      <c r="H26" s="269"/>
      <c r="I26" s="269"/>
      <c r="J26" s="269"/>
      <c r="K26" s="269"/>
      <c r="L26" s="269"/>
      <c r="M26" s="269"/>
      <c r="N26" s="269"/>
      <c r="O26" s="269"/>
      <c r="P26" s="269"/>
      <c r="Q26" s="269"/>
      <c r="R26" s="270"/>
      <c r="S26" s="5"/>
      <c r="T26" s="5"/>
      <c r="U26" s="5"/>
      <c r="V26" s="5"/>
      <c r="W26" s="5"/>
      <c r="X26" s="5"/>
      <c r="Y26" s="5"/>
      <c r="Z26" s="5"/>
      <c r="AA26" s="5"/>
    </row>
    <row r="27" spans="1:27" x14ac:dyDescent="0.2">
      <c r="A27" s="5"/>
      <c r="B27" s="271"/>
      <c r="C27" s="272"/>
      <c r="D27" s="272"/>
      <c r="E27" s="272"/>
      <c r="F27" s="272"/>
      <c r="G27" s="272"/>
      <c r="H27" s="272"/>
      <c r="I27" s="272"/>
      <c r="J27" s="272"/>
      <c r="K27" s="272"/>
      <c r="L27" s="272"/>
      <c r="M27" s="272"/>
      <c r="N27" s="272"/>
      <c r="O27" s="272"/>
      <c r="P27" s="272"/>
      <c r="Q27" s="272"/>
      <c r="R27" s="273"/>
      <c r="S27" s="5"/>
      <c r="T27" s="5"/>
      <c r="U27" s="5"/>
      <c r="V27" s="5"/>
      <c r="W27" s="5"/>
      <c r="X27" s="5"/>
      <c r="Y27" s="5"/>
      <c r="Z27" s="5"/>
      <c r="AA27" s="5"/>
    </row>
    <row r="28" spans="1:27" x14ac:dyDescent="0.2">
      <c r="A28" s="5"/>
      <c r="B28" s="271"/>
      <c r="C28" s="272"/>
      <c r="D28" s="272"/>
      <c r="E28" s="272"/>
      <c r="F28" s="272"/>
      <c r="G28" s="272"/>
      <c r="H28" s="272"/>
      <c r="I28" s="272"/>
      <c r="J28" s="272"/>
      <c r="K28" s="272"/>
      <c r="L28" s="272"/>
      <c r="M28" s="272"/>
      <c r="N28" s="272"/>
      <c r="O28" s="272"/>
      <c r="P28" s="272"/>
      <c r="Q28" s="272"/>
      <c r="R28" s="273"/>
      <c r="S28" s="5"/>
      <c r="T28" s="5"/>
      <c r="U28" s="5"/>
      <c r="V28" s="5"/>
      <c r="W28" s="5"/>
      <c r="X28" s="5"/>
      <c r="Y28" s="5"/>
      <c r="Z28" s="5"/>
      <c r="AA28" s="5"/>
    </row>
    <row r="29" spans="1:27" x14ac:dyDescent="0.2">
      <c r="A29" s="5"/>
      <c r="B29" s="271"/>
      <c r="C29" s="272"/>
      <c r="D29" s="272"/>
      <c r="E29" s="272"/>
      <c r="F29" s="272"/>
      <c r="G29" s="272"/>
      <c r="H29" s="272"/>
      <c r="I29" s="272"/>
      <c r="J29" s="272"/>
      <c r="K29" s="272"/>
      <c r="L29" s="272"/>
      <c r="M29" s="272"/>
      <c r="N29" s="272"/>
      <c r="O29" s="272"/>
      <c r="P29" s="272"/>
      <c r="Q29" s="272"/>
      <c r="R29" s="273"/>
      <c r="S29" s="5"/>
      <c r="T29" s="5"/>
      <c r="U29" s="5"/>
      <c r="V29" s="5"/>
      <c r="W29" s="5"/>
      <c r="X29" s="5"/>
      <c r="Y29" s="5"/>
      <c r="Z29" s="5"/>
      <c r="AA29" s="5"/>
    </row>
    <row r="30" spans="1:27" x14ac:dyDescent="0.2">
      <c r="A30" s="5"/>
      <c r="B30" s="271"/>
      <c r="C30" s="272"/>
      <c r="D30" s="272"/>
      <c r="E30" s="272"/>
      <c r="F30" s="272"/>
      <c r="G30" s="272"/>
      <c r="H30" s="272"/>
      <c r="I30" s="272"/>
      <c r="J30" s="272"/>
      <c r="K30" s="272"/>
      <c r="L30" s="272"/>
      <c r="M30" s="272"/>
      <c r="N30" s="272"/>
      <c r="O30" s="272"/>
      <c r="P30" s="272"/>
      <c r="Q30" s="272"/>
      <c r="R30" s="273"/>
      <c r="S30" s="5"/>
      <c r="T30" s="5"/>
      <c r="U30" s="5"/>
      <c r="V30" s="5"/>
      <c r="W30" s="5"/>
      <c r="X30" s="5"/>
      <c r="Y30" s="5"/>
      <c r="Z30" s="5"/>
      <c r="AA30" s="5"/>
    </row>
    <row r="31" spans="1:27" x14ac:dyDescent="0.2">
      <c r="A31" s="5"/>
      <c r="B31" s="271"/>
      <c r="C31" s="272"/>
      <c r="D31" s="272"/>
      <c r="E31" s="272"/>
      <c r="F31" s="272"/>
      <c r="G31" s="272"/>
      <c r="H31" s="272"/>
      <c r="I31" s="272"/>
      <c r="J31" s="272"/>
      <c r="K31" s="272"/>
      <c r="L31" s="272"/>
      <c r="M31" s="272"/>
      <c r="N31" s="272"/>
      <c r="O31" s="272"/>
      <c r="P31" s="272"/>
      <c r="Q31" s="272"/>
      <c r="R31" s="273"/>
      <c r="S31" s="5"/>
      <c r="T31" s="5"/>
      <c r="U31" s="5"/>
      <c r="V31" s="5"/>
      <c r="W31" s="5"/>
      <c r="X31" s="5"/>
      <c r="Y31" s="5"/>
      <c r="Z31" s="5"/>
      <c r="AA31" s="5"/>
    </row>
    <row r="32" spans="1:27" ht="15.75" thickBot="1" x14ac:dyDescent="0.25">
      <c r="A32" s="5"/>
      <c r="B32" s="274"/>
      <c r="C32" s="275"/>
      <c r="D32" s="275"/>
      <c r="E32" s="275"/>
      <c r="F32" s="275"/>
      <c r="G32" s="275"/>
      <c r="H32" s="275"/>
      <c r="I32" s="275"/>
      <c r="J32" s="275"/>
      <c r="K32" s="275"/>
      <c r="L32" s="275"/>
      <c r="M32" s="275"/>
      <c r="N32" s="275"/>
      <c r="O32" s="275"/>
      <c r="P32" s="275"/>
      <c r="Q32" s="275"/>
      <c r="R32" s="276"/>
      <c r="S32" s="5"/>
      <c r="T32" s="5"/>
      <c r="U32" s="5"/>
      <c r="V32" s="5"/>
      <c r="W32" s="5"/>
      <c r="X32" s="5"/>
      <c r="Y32" s="5"/>
      <c r="Z32" s="5"/>
      <c r="AA32" s="5"/>
    </row>
    <row r="33" spans="1:27" x14ac:dyDescent="0.2">
      <c r="A33" s="5"/>
      <c r="B33" s="5"/>
      <c r="F33" s="5"/>
      <c r="G33" s="5"/>
      <c r="H33" s="5"/>
      <c r="I33" s="5"/>
      <c r="J33" s="5"/>
      <c r="K33" s="5"/>
      <c r="L33" s="5"/>
      <c r="M33" s="5"/>
      <c r="N33" s="5"/>
      <c r="O33" s="5"/>
      <c r="P33" s="5"/>
      <c r="Q33" s="5"/>
      <c r="R33" s="50"/>
      <c r="S33" s="5"/>
      <c r="T33" s="5"/>
      <c r="U33" s="5"/>
      <c r="V33" s="5"/>
      <c r="W33" s="5"/>
      <c r="X33" s="5"/>
      <c r="Y33" s="5"/>
      <c r="Z33" s="5"/>
      <c r="AA33" s="5"/>
    </row>
    <row r="34" spans="1:27" x14ac:dyDescent="0.2">
      <c r="A34" s="5"/>
      <c r="B34" s="5"/>
      <c r="F34" s="5"/>
      <c r="G34" s="5"/>
      <c r="H34" s="5"/>
      <c r="I34" s="5"/>
      <c r="J34" s="5"/>
      <c r="K34" s="5"/>
      <c r="L34" s="5"/>
      <c r="M34" s="5"/>
      <c r="N34" s="5"/>
      <c r="O34" s="5"/>
      <c r="P34" s="5"/>
      <c r="Q34" s="5"/>
      <c r="R34" s="50"/>
      <c r="S34" s="5"/>
      <c r="T34" s="5"/>
      <c r="U34" s="5"/>
      <c r="V34" s="5"/>
      <c r="W34" s="5"/>
      <c r="X34" s="5"/>
      <c r="Y34" s="5"/>
      <c r="Z34" s="5"/>
      <c r="AA34" s="5"/>
    </row>
    <row r="35" spans="1:27" x14ac:dyDescent="0.2">
      <c r="A35" s="5"/>
      <c r="B35" s="5"/>
      <c r="F35" s="5"/>
      <c r="G35" s="5"/>
      <c r="H35" s="5"/>
      <c r="I35" s="5"/>
      <c r="J35" s="5"/>
      <c r="K35" s="5"/>
      <c r="L35" s="5"/>
      <c r="M35" s="5"/>
      <c r="N35" s="5"/>
      <c r="O35" s="5"/>
      <c r="P35" s="5"/>
      <c r="Q35" s="5"/>
      <c r="R35" s="50"/>
      <c r="S35" s="5"/>
      <c r="T35" s="5"/>
      <c r="U35" s="5"/>
      <c r="V35" s="5"/>
      <c r="W35" s="5"/>
      <c r="X35" s="5"/>
      <c r="Y35" s="5"/>
      <c r="Z35" s="5"/>
      <c r="AA35" s="5"/>
    </row>
    <row r="36" spans="1:27" x14ac:dyDescent="0.2">
      <c r="A36" s="5"/>
      <c r="B36" s="5"/>
      <c r="F36" s="5"/>
      <c r="G36" s="5"/>
      <c r="H36" s="5"/>
      <c r="I36" s="5"/>
      <c r="J36" s="5"/>
      <c r="K36" s="5"/>
      <c r="L36" s="5"/>
      <c r="M36" s="5"/>
      <c r="N36" s="5"/>
      <c r="O36" s="5"/>
      <c r="P36" s="5"/>
      <c r="Q36" s="5"/>
      <c r="R36" s="50"/>
      <c r="S36" s="5"/>
      <c r="T36" s="5"/>
      <c r="U36" s="5"/>
      <c r="V36" s="5"/>
      <c r="W36" s="5"/>
      <c r="X36" s="5"/>
      <c r="Y36" s="5"/>
      <c r="Z36" s="5"/>
      <c r="AA36" s="5"/>
    </row>
    <row r="37" spans="1:27" x14ac:dyDescent="0.2">
      <c r="A37" s="5"/>
      <c r="B37" s="5"/>
      <c r="F37" s="5"/>
      <c r="G37" s="5"/>
      <c r="H37" s="5"/>
      <c r="I37" s="5"/>
      <c r="J37" s="5"/>
      <c r="K37" s="5"/>
      <c r="L37" s="5"/>
      <c r="M37" s="5"/>
      <c r="N37" s="5"/>
      <c r="O37" s="5"/>
      <c r="P37" s="5"/>
      <c r="Q37" s="5"/>
      <c r="R37" s="50"/>
      <c r="S37" s="5"/>
      <c r="T37" s="5"/>
      <c r="U37" s="5"/>
      <c r="V37" s="5"/>
      <c r="W37" s="5"/>
      <c r="X37" s="5"/>
      <c r="Y37" s="5"/>
      <c r="Z37" s="5"/>
      <c r="AA37" s="5"/>
    </row>
    <row r="38" spans="1:27" x14ac:dyDescent="0.2">
      <c r="A38" s="5"/>
      <c r="B38" s="5"/>
      <c r="F38" s="5"/>
      <c r="G38" s="5"/>
      <c r="H38" s="5"/>
      <c r="I38" s="5"/>
      <c r="J38" s="5"/>
      <c r="K38" s="5"/>
      <c r="L38" s="5"/>
      <c r="M38" s="5"/>
      <c r="N38" s="5"/>
      <c r="O38" s="5"/>
      <c r="P38" s="5"/>
      <c r="Q38" s="5"/>
      <c r="R38" s="50"/>
      <c r="S38" s="5"/>
      <c r="T38" s="5"/>
      <c r="U38" s="5"/>
      <c r="V38" s="5"/>
      <c r="W38" s="5"/>
      <c r="X38" s="5"/>
      <c r="Y38" s="5"/>
      <c r="Z38" s="5"/>
      <c r="AA38" s="5"/>
    </row>
    <row r="39" spans="1:27" x14ac:dyDescent="0.2">
      <c r="A39" s="5"/>
      <c r="B39" s="5"/>
      <c r="F39" s="5"/>
      <c r="G39" s="5"/>
      <c r="H39" s="5"/>
      <c r="I39" s="5"/>
      <c r="J39" s="5"/>
      <c r="K39" s="5"/>
      <c r="L39" s="5"/>
      <c r="M39" s="5"/>
      <c r="N39" s="5"/>
      <c r="O39" s="5"/>
      <c r="P39" s="5"/>
      <c r="Q39" s="5"/>
      <c r="R39" s="5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B95" s="5"/>
      <c r="C95" s="5"/>
      <c r="D95" s="5"/>
      <c r="E95" s="5"/>
      <c r="F95" s="5"/>
      <c r="G95" s="5"/>
      <c r="H95" s="5"/>
      <c r="I95" s="5"/>
      <c r="J95" s="5"/>
      <c r="K95" s="5"/>
      <c r="L95" s="5"/>
      <c r="M95" s="5"/>
      <c r="N95" s="5"/>
      <c r="O95" s="5"/>
      <c r="P95" s="5"/>
      <c r="Q95" s="5"/>
      <c r="R95" s="49"/>
    </row>
    <row r="96" spans="1:27" x14ac:dyDescent="0.2">
      <c r="B96" s="5"/>
      <c r="C96" s="5"/>
      <c r="D96" s="5"/>
      <c r="E96" s="5"/>
      <c r="F96" s="5"/>
      <c r="G96" s="5"/>
      <c r="H96" s="5"/>
      <c r="I96" s="5"/>
      <c r="J96" s="5"/>
      <c r="K96" s="5"/>
      <c r="L96" s="5"/>
      <c r="M96" s="5"/>
      <c r="N96" s="5"/>
      <c r="O96" s="5"/>
      <c r="P96" s="5"/>
      <c r="Q96" s="5"/>
      <c r="R96" s="49"/>
    </row>
    <row r="97" spans="2:18" x14ac:dyDescent="0.2">
      <c r="B97" s="5"/>
      <c r="C97" s="5"/>
      <c r="D97" s="5"/>
      <c r="E97" s="5"/>
      <c r="F97" s="5"/>
      <c r="G97" s="5"/>
      <c r="H97" s="5"/>
      <c r="I97" s="5"/>
      <c r="J97" s="5"/>
      <c r="K97" s="5"/>
      <c r="L97" s="5"/>
      <c r="M97" s="5"/>
      <c r="N97" s="5"/>
      <c r="O97" s="5"/>
      <c r="P97" s="5"/>
      <c r="Q97" s="5"/>
      <c r="R97" s="49"/>
    </row>
    <row r="98" spans="2:18" x14ac:dyDescent="0.2">
      <c r="B98" s="5"/>
      <c r="C98" s="5"/>
      <c r="D98" s="5"/>
      <c r="E98" s="5"/>
      <c r="F98" s="5"/>
      <c r="G98" s="5"/>
      <c r="H98" s="5"/>
      <c r="I98" s="5"/>
      <c r="J98" s="5"/>
      <c r="K98" s="5"/>
      <c r="L98" s="5"/>
      <c r="M98" s="5"/>
      <c r="N98" s="5"/>
      <c r="O98" s="5"/>
      <c r="P98" s="5"/>
      <c r="Q98" s="5"/>
      <c r="R98" s="49"/>
    </row>
    <row r="99" spans="2:18" x14ac:dyDescent="0.2">
      <c r="R99" s="49"/>
    </row>
    <row r="100" spans="2:18" x14ac:dyDescent="0.2">
      <c r="R100" s="49"/>
    </row>
    <row r="101" spans="2:18" x14ac:dyDescent="0.2">
      <c r="R101" s="49"/>
    </row>
    <row r="102" spans="2:18" x14ac:dyDescent="0.2">
      <c r="R102" s="49"/>
    </row>
    <row r="103" spans="2:18" x14ac:dyDescent="0.2">
      <c r="R103" s="49"/>
    </row>
    <row r="104" spans="2:18" x14ac:dyDescent="0.2">
      <c r="R104" s="49"/>
    </row>
    <row r="105" spans="2:18" x14ac:dyDescent="0.2">
      <c r="R105" s="49"/>
    </row>
    <row r="106" spans="2:18" x14ac:dyDescent="0.2">
      <c r="R106" s="49"/>
    </row>
    <row r="107" spans="2:18" x14ac:dyDescent="0.2">
      <c r="R107" s="49"/>
    </row>
    <row r="108" spans="2:18" x14ac:dyDescent="0.2">
      <c r="R108" s="49"/>
    </row>
    <row r="109" spans="2:18" x14ac:dyDescent="0.2">
      <c r="R109" s="49"/>
    </row>
    <row r="110" spans="2:18" x14ac:dyDescent="0.2">
      <c r="R110" s="49"/>
    </row>
    <row r="111" spans="2:18" x14ac:dyDescent="0.2">
      <c r="R111" s="49"/>
    </row>
    <row r="112" spans="2: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sheetData>
  <sortState ref="C15:E16">
    <sortCondition descending="1" ref="E15"/>
  </sortState>
  <mergeCells count="3">
    <mergeCell ref="C3:P3"/>
    <mergeCell ref="D5:E5"/>
    <mergeCell ref="B26:R32"/>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1"/>
  <sheetViews>
    <sheetView showGridLines="0" zoomScale="80" zoomScaleNormal="80" workbookViewId="0">
      <selection activeCell="D5" sqref="D5:E5"/>
    </sheetView>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277" t="s">
        <v>161</v>
      </c>
      <c r="D3" s="278"/>
      <c r="E3" s="278"/>
      <c r="F3" s="278"/>
      <c r="G3" s="278"/>
      <c r="H3" s="278"/>
      <c r="I3" s="278"/>
      <c r="J3" s="278"/>
      <c r="K3" s="278"/>
      <c r="L3" s="278"/>
      <c r="M3" s="278"/>
      <c r="N3" s="278"/>
      <c r="O3" s="278"/>
      <c r="P3" s="278"/>
      <c r="Q3" s="278"/>
      <c r="R3" s="278"/>
      <c r="S3" s="278"/>
      <c r="T3" s="25"/>
    </row>
    <row r="4" spans="1:25" ht="15.75" customHeight="1" x14ac:dyDescent="0.25">
      <c r="B4" s="64"/>
      <c r="C4" s="67" t="s">
        <v>405</v>
      </c>
      <c r="D4" s="29"/>
      <c r="E4" s="29"/>
      <c r="F4" s="29"/>
      <c r="G4" s="29"/>
      <c r="H4" s="29"/>
      <c r="I4" s="29"/>
      <c r="J4" s="29"/>
      <c r="K4" s="29"/>
      <c r="L4" s="29"/>
      <c r="M4" s="29"/>
      <c r="N4" s="29"/>
      <c r="O4" s="29"/>
      <c r="P4" s="29"/>
      <c r="Q4" s="29"/>
      <c r="R4" s="29"/>
      <c r="S4" s="29"/>
      <c r="T4" s="25"/>
    </row>
    <row r="5" spans="1:25" ht="18" customHeight="1" x14ac:dyDescent="0.25">
      <c r="B5" s="64"/>
      <c r="C5" s="221" t="s">
        <v>406</v>
      </c>
      <c r="D5" s="279" t="s">
        <v>407</v>
      </c>
      <c r="E5" s="279"/>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7" t="s">
        <v>32</v>
      </c>
      <c r="D8" s="188" t="s">
        <v>3</v>
      </c>
      <c r="E8" s="189">
        <v>3.2725999999999998E-2</v>
      </c>
      <c r="F8" s="29"/>
      <c r="G8" s="29"/>
      <c r="H8" s="29"/>
      <c r="I8" s="29"/>
      <c r="J8" s="29"/>
      <c r="K8" s="29"/>
      <c r="L8" s="29"/>
      <c r="M8" s="29"/>
      <c r="N8" s="29"/>
      <c r="O8" s="29"/>
      <c r="P8" s="29"/>
      <c r="Q8" s="29"/>
      <c r="R8" s="29"/>
      <c r="S8" s="29"/>
      <c r="T8" s="25"/>
      <c r="W8" s="236" t="s">
        <v>3</v>
      </c>
      <c r="X8" s="239">
        <v>7.2447000000000025E-2</v>
      </c>
      <c r="Y8" s="39"/>
    </row>
    <row r="9" spans="1:25" ht="15.75" customHeight="1" x14ac:dyDescent="0.25">
      <c r="B9" s="64"/>
      <c r="C9" s="187" t="s">
        <v>31</v>
      </c>
      <c r="D9" s="188" t="s">
        <v>6</v>
      </c>
      <c r="E9" s="189">
        <v>2.1442000000000003E-2</v>
      </c>
      <c r="F9" s="29"/>
      <c r="G9" s="29"/>
      <c r="H9" s="29"/>
      <c r="I9" s="29"/>
      <c r="J9" s="29"/>
      <c r="K9" s="29"/>
      <c r="L9" s="29"/>
      <c r="M9" s="29"/>
      <c r="N9" s="29"/>
      <c r="O9" s="29"/>
      <c r="P9" s="29"/>
      <c r="Q9" s="29"/>
      <c r="R9" s="29"/>
      <c r="S9" s="29"/>
      <c r="T9" s="25"/>
      <c r="W9" s="236" t="s">
        <v>26</v>
      </c>
      <c r="X9" s="239">
        <v>4.7181000000000001E-2</v>
      </c>
      <c r="Y9" s="39"/>
    </row>
    <row r="10" spans="1:25" ht="15" customHeight="1" x14ac:dyDescent="0.25">
      <c r="B10" s="64"/>
      <c r="C10" s="187" t="s">
        <v>28</v>
      </c>
      <c r="D10" s="188" t="s">
        <v>107</v>
      </c>
      <c r="E10" s="189">
        <v>1.4927000000000003E-2</v>
      </c>
      <c r="F10" s="29"/>
      <c r="G10" s="29"/>
      <c r="H10" s="29"/>
      <c r="I10" s="29"/>
      <c r="J10" s="29"/>
      <c r="K10" s="29"/>
      <c r="L10" s="29"/>
      <c r="M10" s="29"/>
      <c r="N10" s="29"/>
      <c r="O10" s="29"/>
      <c r="P10" s="29"/>
      <c r="Q10" s="29"/>
      <c r="R10" s="29"/>
      <c r="S10" s="29"/>
      <c r="T10" s="25"/>
      <c r="W10" s="236" t="s">
        <v>107</v>
      </c>
      <c r="X10" s="239">
        <v>3.3861999999999996E-2</v>
      </c>
      <c r="Y10" s="39"/>
    </row>
    <row r="11" spans="1:25" ht="15" customHeight="1" x14ac:dyDescent="0.25">
      <c r="B11" s="64"/>
      <c r="C11" s="187" t="s">
        <v>29</v>
      </c>
      <c r="D11" s="188" t="s">
        <v>3</v>
      </c>
      <c r="E11" s="189">
        <v>1.3602000000000003E-2</v>
      </c>
      <c r="F11" s="29"/>
      <c r="G11" s="29"/>
      <c r="H11" s="29"/>
      <c r="I11" s="29"/>
      <c r="J11" s="29"/>
      <c r="K11" s="29"/>
      <c r="L11" s="29"/>
      <c r="M11" s="29"/>
      <c r="N11" s="29"/>
      <c r="O11" s="29"/>
      <c r="P11" s="29"/>
      <c r="Q11" s="29"/>
      <c r="R11" s="29"/>
      <c r="S11" s="29"/>
      <c r="T11" s="25"/>
      <c r="W11" s="236" t="s">
        <v>111</v>
      </c>
      <c r="X11" s="239">
        <v>2.6872999999999994E-2</v>
      </c>
      <c r="Y11" s="39"/>
    </row>
    <row r="12" spans="1:25" ht="15" customHeight="1" x14ac:dyDescent="0.25">
      <c r="B12" s="64"/>
      <c r="C12" s="187" t="s">
        <v>226</v>
      </c>
      <c r="D12" s="188" t="s">
        <v>26</v>
      </c>
      <c r="E12" s="189">
        <v>1.3502E-2</v>
      </c>
      <c r="F12" s="29"/>
      <c r="G12" s="29"/>
      <c r="H12" s="29"/>
      <c r="I12" s="29"/>
      <c r="J12" s="29"/>
      <c r="K12" s="29"/>
      <c r="L12" s="29"/>
      <c r="M12" s="29"/>
      <c r="N12" s="29"/>
      <c r="O12" s="29"/>
      <c r="P12" s="29"/>
      <c r="Q12" s="29"/>
      <c r="R12" s="29"/>
      <c r="S12" s="29"/>
      <c r="T12" s="25"/>
      <c r="W12" s="236" t="s">
        <v>4</v>
      </c>
      <c r="X12" s="239">
        <v>2.3995000000000006E-2</v>
      </c>
      <c r="Y12" s="39"/>
    </row>
    <row r="13" spans="1:25" ht="15" customHeight="1" x14ac:dyDescent="0.25">
      <c r="B13" s="64"/>
      <c r="C13" s="187" t="s">
        <v>237</v>
      </c>
      <c r="D13" s="188" t="s">
        <v>26</v>
      </c>
      <c r="E13" s="189">
        <v>1.2466E-2</v>
      </c>
      <c r="F13" s="29"/>
      <c r="G13" s="29"/>
      <c r="H13" s="29"/>
      <c r="I13" s="29"/>
      <c r="J13" s="29"/>
      <c r="K13" s="29"/>
      <c r="L13" s="29"/>
      <c r="M13" s="29"/>
      <c r="N13" s="29"/>
      <c r="O13" s="29"/>
      <c r="P13" s="29"/>
      <c r="Q13" s="29"/>
      <c r="R13" s="29"/>
      <c r="S13" s="29"/>
      <c r="T13" s="25"/>
      <c r="W13" s="236" t="s">
        <v>77</v>
      </c>
      <c r="X13" s="239">
        <v>2.1949999999999997E-2</v>
      </c>
      <c r="Y13" s="39"/>
    </row>
    <row r="14" spans="1:25" ht="15.75" customHeight="1" x14ac:dyDescent="0.25">
      <c r="B14" s="64"/>
      <c r="C14" s="187" t="s">
        <v>310</v>
      </c>
      <c r="D14" s="188" t="s">
        <v>133</v>
      </c>
      <c r="E14" s="189">
        <v>1.1945000000000001E-2</v>
      </c>
      <c r="F14" s="29"/>
      <c r="G14" s="29"/>
      <c r="H14" s="29"/>
      <c r="I14" s="29"/>
      <c r="J14" s="29"/>
      <c r="K14" s="29"/>
      <c r="L14" s="29"/>
      <c r="M14" s="29"/>
      <c r="N14" s="29"/>
      <c r="O14" s="29"/>
      <c r="P14" s="29"/>
      <c r="Q14" s="29"/>
      <c r="R14" s="29"/>
      <c r="S14" s="29"/>
      <c r="T14" s="25"/>
      <c r="W14" s="236" t="s">
        <v>6</v>
      </c>
      <c r="X14" s="239">
        <v>2.1442000000000003E-2</v>
      </c>
      <c r="Y14" s="39"/>
    </row>
    <row r="15" spans="1:25" ht="15.75" x14ac:dyDescent="0.25">
      <c r="B15" s="64"/>
      <c r="C15" s="187" t="s">
        <v>70</v>
      </c>
      <c r="D15" s="188" t="s">
        <v>12</v>
      </c>
      <c r="E15" s="189">
        <v>1.1803999999999995E-2</v>
      </c>
      <c r="F15" s="29"/>
      <c r="G15" s="29"/>
      <c r="H15" s="29"/>
      <c r="I15" s="29"/>
      <c r="J15" s="29"/>
      <c r="K15" s="29"/>
      <c r="L15" s="29"/>
      <c r="M15" s="29"/>
      <c r="N15" s="29"/>
      <c r="O15" s="29"/>
      <c r="P15" s="29"/>
      <c r="Q15" s="29"/>
      <c r="R15" s="29"/>
      <c r="S15" s="29"/>
      <c r="T15" s="25"/>
      <c r="W15" s="236" t="s">
        <v>23</v>
      </c>
      <c r="X15" s="239">
        <v>1.8186000000000001E-2</v>
      </c>
      <c r="Y15" s="39"/>
    </row>
    <row r="16" spans="1:25" ht="15.75" customHeight="1" x14ac:dyDescent="0.25">
      <c r="B16" s="64"/>
      <c r="C16" s="187" t="s">
        <v>79</v>
      </c>
      <c r="D16" s="188" t="s">
        <v>3</v>
      </c>
      <c r="E16" s="189">
        <v>1.1259000000000002E-2</v>
      </c>
      <c r="F16" s="29"/>
      <c r="G16" s="29"/>
      <c r="H16" s="29"/>
      <c r="I16" s="29"/>
      <c r="J16" s="29"/>
      <c r="K16" s="29"/>
      <c r="L16" s="29"/>
      <c r="M16" s="29"/>
      <c r="N16" s="29"/>
      <c r="O16" s="29"/>
      <c r="P16" s="29"/>
      <c r="Q16" s="29"/>
      <c r="R16" s="29"/>
      <c r="S16" s="29"/>
      <c r="T16" s="25"/>
      <c r="W16" s="236" t="s">
        <v>10</v>
      </c>
      <c r="X16" s="239">
        <v>1.7481E-2</v>
      </c>
      <c r="Y16" s="39"/>
    </row>
    <row r="17" spans="2:25" ht="15" customHeight="1" x14ac:dyDescent="0.25">
      <c r="B17" s="64"/>
      <c r="C17" s="187" t="s">
        <v>81</v>
      </c>
      <c r="D17" s="188" t="s">
        <v>4</v>
      </c>
      <c r="E17" s="189">
        <v>1.0792000000000003E-2</v>
      </c>
      <c r="F17" s="29"/>
      <c r="G17" s="29"/>
      <c r="H17" s="29"/>
      <c r="I17" s="29"/>
      <c r="J17" s="29"/>
      <c r="K17" s="29"/>
      <c r="L17" s="29"/>
      <c r="M17" s="29"/>
      <c r="N17" s="29"/>
      <c r="O17" s="29"/>
      <c r="P17" s="29"/>
      <c r="Q17" s="29"/>
      <c r="R17" s="29"/>
      <c r="S17" s="29"/>
      <c r="T17" s="25"/>
      <c r="W17" s="236" t="s">
        <v>119</v>
      </c>
      <c r="X17" s="239">
        <v>1.7299999999999999E-2</v>
      </c>
      <c r="Y17" s="39"/>
    </row>
    <row r="18" spans="2:25" ht="15" customHeight="1" x14ac:dyDescent="0.25">
      <c r="B18" s="64"/>
      <c r="C18" s="187" t="s">
        <v>34</v>
      </c>
      <c r="D18" s="188" t="s">
        <v>23</v>
      </c>
      <c r="E18" s="189">
        <v>1.0321000000000002E-2</v>
      </c>
      <c r="F18" s="29"/>
      <c r="G18" s="29"/>
      <c r="H18" s="29"/>
      <c r="I18" s="29"/>
      <c r="J18" s="29"/>
      <c r="K18" s="29"/>
      <c r="L18" s="29"/>
      <c r="M18" s="29"/>
      <c r="N18" s="29"/>
      <c r="O18" s="29"/>
      <c r="P18" s="29"/>
      <c r="Q18" s="29"/>
      <c r="R18" s="29"/>
      <c r="S18" s="29"/>
      <c r="T18" s="25"/>
      <c r="W18" s="236" t="s">
        <v>112</v>
      </c>
      <c r="X18" s="239">
        <v>1.3249999999999996E-2</v>
      </c>
      <c r="Y18" s="39"/>
    </row>
    <row r="19" spans="2:25" ht="15" customHeight="1" x14ac:dyDescent="0.25">
      <c r="B19" s="64"/>
      <c r="C19" s="187" t="s">
        <v>294</v>
      </c>
      <c r="D19" s="188" t="s">
        <v>185</v>
      </c>
      <c r="E19" s="189">
        <v>1.0215E-2</v>
      </c>
      <c r="F19" s="29"/>
      <c r="G19" s="29"/>
      <c r="H19" s="29"/>
      <c r="I19" s="29"/>
      <c r="J19" s="29"/>
      <c r="K19" s="29"/>
      <c r="L19" s="29"/>
      <c r="M19" s="29"/>
      <c r="N19" s="29"/>
      <c r="O19" s="29"/>
      <c r="P19" s="29"/>
      <c r="Q19" s="29"/>
      <c r="R19" s="29"/>
      <c r="S19" s="29"/>
      <c r="T19" s="25"/>
      <c r="W19" s="236" t="s">
        <v>110</v>
      </c>
      <c r="X19" s="239">
        <v>1.2667999999999999E-2</v>
      </c>
      <c r="Y19" s="39"/>
    </row>
    <row r="20" spans="2:25" ht="15" customHeight="1" x14ac:dyDescent="0.25">
      <c r="B20" s="64"/>
      <c r="C20" s="187" t="s">
        <v>265</v>
      </c>
      <c r="D20" s="188" t="s">
        <v>77</v>
      </c>
      <c r="E20" s="189">
        <v>9.9129999999999999E-3</v>
      </c>
      <c r="F20" s="29"/>
      <c r="G20" s="29"/>
      <c r="H20" s="29"/>
      <c r="I20" s="29"/>
      <c r="J20" s="29"/>
      <c r="K20" s="29"/>
      <c r="L20" s="29"/>
      <c r="M20" s="29"/>
      <c r="N20" s="29"/>
      <c r="O20" s="29"/>
      <c r="P20" s="29"/>
      <c r="Q20" s="29"/>
      <c r="R20" s="29"/>
      <c r="S20" s="29"/>
      <c r="T20" s="25"/>
      <c r="W20" s="236" t="s">
        <v>113</v>
      </c>
      <c r="X20" s="239">
        <v>1.2114999999999999E-2</v>
      </c>
      <c r="Y20" s="39"/>
    </row>
    <row r="21" spans="2:25" ht="15" customHeight="1" x14ac:dyDescent="0.25">
      <c r="B21" s="64"/>
      <c r="C21" s="187" t="s">
        <v>36</v>
      </c>
      <c r="D21" s="188" t="s">
        <v>3</v>
      </c>
      <c r="E21" s="189">
        <v>9.8910000000000005E-3</v>
      </c>
      <c r="F21" s="29"/>
      <c r="G21" s="29"/>
      <c r="H21" s="29"/>
      <c r="I21" s="29"/>
      <c r="J21" s="29"/>
      <c r="K21" s="29"/>
      <c r="L21" s="29"/>
      <c r="M21" s="29"/>
      <c r="N21" s="29"/>
      <c r="O21" s="29"/>
      <c r="P21" s="29"/>
      <c r="Q21" s="29"/>
      <c r="R21" s="29"/>
      <c r="S21" s="29"/>
      <c r="T21" s="25"/>
      <c r="W21" s="236" t="s">
        <v>133</v>
      </c>
      <c r="X21" s="239">
        <v>1.1945000000000001E-2</v>
      </c>
      <c r="Y21" s="39"/>
    </row>
    <row r="22" spans="2:25" ht="15" customHeight="1" x14ac:dyDescent="0.25">
      <c r="B22" s="64"/>
      <c r="C22" s="187" t="s">
        <v>198</v>
      </c>
      <c r="D22" s="188" t="s">
        <v>106</v>
      </c>
      <c r="E22" s="189">
        <v>9.2779999999999998E-3</v>
      </c>
      <c r="F22" s="29"/>
      <c r="G22" s="29"/>
      <c r="H22" s="29"/>
      <c r="I22" s="29"/>
      <c r="J22" s="29"/>
      <c r="K22" s="29"/>
      <c r="L22" s="29"/>
      <c r="M22" s="29"/>
      <c r="N22" s="29"/>
      <c r="O22" s="29"/>
      <c r="P22" s="29"/>
      <c r="Q22" s="29"/>
      <c r="R22" s="29"/>
      <c r="S22" s="29"/>
      <c r="T22" s="25"/>
      <c r="W22" s="236" t="s">
        <v>12</v>
      </c>
      <c r="X22" s="239">
        <v>1.1775000000000001E-2</v>
      </c>
      <c r="Y22" s="39"/>
    </row>
    <row r="23" spans="2:25" ht="16.5" customHeight="1" x14ac:dyDescent="0.25">
      <c r="B23" s="64"/>
      <c r="C23" s="128" t="s">
        <v>65</v>
      </c>
      <c r="D23" s="129"/>
      <c r="E23" s="130">
        <v>0.20408300000000001</v>
      </c>
      <c r="F23" s="29"/>
      <c r="G23" s="29"/>
      <c r="H23" s="29"/>
      <c r="I23" s="29"/>
      <c r="J23" s="29"/>
      <c r="K23" s="29"/>
      <c r="L23" s="29"/>
      <c r="M23" s="29"/>
      <c r="N23" s="29"/>
      <c r="O23" s="29"/>
      <c r="P23" s="29"/>
      <c r="Q23" s="29"/>
      <c r="R23" s="29"/>
      <c r="S23" s="29"/>
      <c r="T23" s="25"/>
      <c r="W23" s="236" t="s">
        <v>106</v>
      </c>
      <c r="X23" s="239">
        <v>1.0594000000000003E-2</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6" t="s">
        <v>185</v>
      </c>
      <c r="X24" s="239">
        <v>1.0215E-2</v>
      </c>
      <c r="Y24" s="39"/>
    </row>
    <row r="25" spans="2:25" ht="15" customHeight="1" x14ac:dyDescent="0.25">
      <c r="B25" s="64"/>
      <c r="C25" s="128" t="s">
        <v>59</v>
      </c>
      <c r="D25" s="129"/>
      <c r="E25" s="190">
        <v>0.23355800000000007</v>
      </c>
      <c r="F25" s="29"/>
      <c r="G25" s="29"/>
      <c r="H25" s="29"/>
      <c r="I25" s="29"/>
      <c r="J25" s="29"/>
      <c r="K25" s="29"/>
      <c r="L25" s="29"/>
      <c r="M25" s="29"/>
      <c r="N25" s="29"/>
      <c r="O25" s="29"/>
      <c r="P25" s="29"/>
      <c r="Q25" s="29"/>
      <c r="R25" s="29"/>
      <c r="S25" s="29"/>
      <c r="T25" s="25"/>
      <c r="W25" s="236" t="s">
        <v>85</v>
      </c>
      <c r="X25" s="239">
        <v>9.2640000000000014E-3</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6" t="s">
        <v>124</v>
      </c>
      <c r="X26" s="239">
        <v>7.8110000000000002E-3</v>
      </c>
      <c r="Y26" s="39"/>
    </row>
    <row r="27" spans="2:25" ht="18" customHeight="1" x14ac:dyDescent="0.25">
      <c r="B27" s="64"/>
      <c r="C27" s="128" t="s">
        <v>58</v>
      </c>
      <c r="D27" s="108"/>
      <c r="E27" s="191">
        <v>0.38627800000000001</v>
      </c>
      <c r="F27" s="29"/>
      <c r="G27" s="29"/>
      <c r="H27" s="29"/>
      <c r="I27" s="29"/>
      <c r="J27" s="29"/>
      <c r="K27" s="29"/>
      <c r="L27" s="29"/>
      <c r="M27" s="29"/>
      <c r="N27" s="29"/>
      <c r="O27" s="29"/>
      <c r="P27" s="29"/>
      <c r="Q27" s="29"/>
      <c r="R27" s="29"/>
      <c r="S27" s="29"/>
      <c r="T27" s="25"/>
      <c r="W27" s="236" t="s">
        <v>117</v>
      </c>
      <c r="X27" s="239">
        <v>6.6080000000000019E-3</v>
      </c>
    </row>
    <row r="28" spans="2:25" ht="18" customHeight="1" x14ac:dyDescent="0.25">
      <c r="B28" s="64"/>
      <c r="C28" s="240"/>
      <c r="D28" s="241"/>
      <c r="E28" s="127"/>
      <c r="F28" s="29"/>
      <c r="G28" s="29"/>
      <c r="H28" s="29"/>
      <c r="I28" s="29"/>
      <c r="J28" s="29"/>
      <c r="K28" s="29"/>
      <c r="L28" s="29"/>
      <c r="M28" s="29"/>
      <c r="N28" s="29"/>
      <c r="O28" s="29"/>
      <c r="P28" s="29"/>
      <c r="Q28" s="29"/>
      <c r="R28" s="29"/>
      <c r="S28" s="29"/>
      <c r="T28" s="25"/>
      <c r="W28" s="236" t="s">
        <v>83</v>
      </c>
      <c r="X28" s="239">
        <v>6.3690000000000005E-3</v>
      </c>
    </row>
    <row r="29" spans="2:25" ht="15" customHeight="1" x14ac:dyDescent="0.25">
      <c r="B29" s="64"/>
      <c r="C29" s="242" t="s">
        <v>36</v>
      </c>
      <c r="D29" s="241" t="s">
        <v>296</v>
      </c>
      <c r="E29" s="189">
        <v>4.3319999999999999E-3</v>
      </c>
      <c r="F29" s="29"/>
      <c r="G29" s="29"/>
      <c r="H29" s="29"/>
      <c r="I29" s="29"/>
      <c r="J29" s="29"/>
      <c r="K29" s="29"/>
      <c r="L29" s="29"/>
      <c r="M29" s="29"/>
      <c r="N29" s="29"/>
      <c r="O29" s="29"/>
      <c r="P29" s="29"/>
      <c r="Q29" s="29"/>
      <c r="R29" s="29"/>
      <c r="S29" s="29"/>
      <c r="T29" s="25"/>
      <c r="W29" s="236" t="s">
        <v>87</v>
      </c>
      <c r="X29" s="239">
        <v>5.8669999999999998E-3</v>
      </c>
    </row>
    <row r="30" spans="2:25" ht="15" customHeight="1" x14ac:dyDescent="0.25">
      <c r="B30" s="64"/>
      <c r="C30" s="133" t="s">
        <v>295</v>
      </c>
      <c r="D30" s="129"/>
      <c r="E30" s="130">
        <v>4.3319999999999999E-3</v>
      </c>
      <c r="F30" s="29"/>
      <c r="G30" s="132"/>
      <c r="H30" s="29"/>
      <c r="I30" s="29"/>
      <c r="J30" s="29"/>
      <c r="K30" s="29"/>
      <c r="L30" s="29"/>
      <c r="M30" s="29"/>
      <c r="N30" s="29"/>
      <c r="O30" s="29"/>
      <c r="P30" s="29"/>
      <c r="Q30" s="29"/>
      <c r="R30" s="29"/>
      <c r="S30" s="29"/>
      <c r="T30" s="25"/>
      <c r="W30" s="236" t="s">
        <v>25</v>
      </c>
      <c r="X30" s="239">
        <v>5.2900000000000004E-3</v>
      </c>
    </row>
    <row r="31" spans="2:25" ht="15" customHeight="1" x14ac:dyDescent="0.25">
      <c r="B31" s="64"/>
      <c r="C31" s="242"/>
      <c r="D31" s="241"/>
      <c r="E31" s="127"/>
      <c r="F31" s="29"/>
      <c r="G31" s="132"/>
      <c r="H31" s="29"/>
      <c r="I31" s="29"/>
      <c r="J31" s="29"/>
      <c r="K31" s="29"/>
      <c r="L31" s="29"/>
      <c r="M31" s="29"/>
      <c r="N31" s="29"/>
      <c r="O31" s="29"/>
      <c r="P31" s="29"/>
      <c r="Q31" s="29"/>
      <c r="R31" s="29"/>
      <c r="S31" s="29"/>
      <c r="T31" s="25"/>
      <c r="W31" s="236" t="s">
        <v>84</v>
      </c>
      <c r="X31" s="239">
        <v>3.738E-3</v>
      </c>
    </row>
    <row r="32" spans="2:25" ht="15" customHeight="1" x14ac:dyDescent="0.25">
      <c r="B32" s="64"/>
      <c r="C32" s="242" t="s">
        <v>298</v>
      </c>
      <c r="D32" s="241" t="s">
        <v>293</v>
      </c>
      <c r="E32" s="127">
        <v>8.7939999999999997E-3</v>
      </c>
      <c r="F32" s="29"/>
      <c r="G32" s="132"/>
      <c r="H32" s="29"/>
      <c r="I32" s="29"/>
      <c r="J32" s="29"/>
      <c r="K32" s="29"/>
      <c r="L32" s="29"/>
      <c r="M32" s="29"/>
      <c r="N32" s="29"/>
      <c r="O32" s="29"/>
      <c r="P32" s="29"/>
      <c r="Q32" s="29"/>
      <c r="R32" s="29"/>
      <c r="S32" s="29"/>
      <c r="T32" s="25"/>
      <c r="W32" s="236" t="s">
        <v>137</v>
      </c>
      <c r="X32" s="239">
        <v>3.6879999999999999E-3</v>
      </c>
    </row>
    <row r="33" spans="2:24" ht="15" customHeight="1" x14ac:dyDescent="0.25">
      <c r="B33" s="64"/>
      <c r="C33" s="242" t="s">
        <v>279</v>
      </c>
      <c r="D33" s="241" t="s">
        <v>280</v>
      </c>
      <c r="E33" s="127">
        <v>6.646E-3</v>
      </c>
      <c r="F33" s="29"/>
      <c r="G33" s="132"/>
      <c r="H33" s="29"/>
      <c r="I33" s="29"/>
      <c r="J33" s="29"/>
      <c r="K33" s="29"/>
      <c r="L33" s="29"/>
      <c r="M33" s="29"/>
      <c r="N33" s="29"/>
      <c r="O33" s="29"/>
      <c r="P33" s="29"/>
      <c r="Q33" s="29"/>
      <c r="R33" s="29"/>
      <c r="S33" s="29"/>
      <c r="T33" s="25"/>
      <c r="W33" s="236" t="s">
        <v>13</v>
      </c>
      <c r="X33" s="239">
        <v>2.9329999999999998E-3</v>
      </c>
    </row>
    <row r="34" spans="2:24" ht="15" customHeight="1" x14ac:dyDescent="0.25">
      <c r="B34" s="64"/>
      <c r="C34" s="242" t="s">
        <v>74</v>
      </c>
      <c r="D34" s="241" t="s">
        <v>63</v>
      </c>
      <c r="E34" s="127">
        <v>6.574E-3</v>
      </c>
      <c r="F34" s="29"/>
      <c r="G34" s="132"/>
      <c r="H34" s="29"/>
      <c r="I34" s="29"/>
      <c r="J34" s="29"/>
      <c r="K34" s="29"/>
      <c r="L34" s="29"/>
      <c r="M34" s="29"/>
      <c r="N34" s="29"/>
      <c r="O34" s="29"/>
      <c r="P34" s="29"/>
      <c r="Q34" s="29"/>
      <c r="R34" s="29"/>
      <c r="S34" s="29"/>
      <c r="T34" s="25"/>
      <c r="W34" s="236" t="s">
        <v>108</v>
      </c>
      <c r="X34" s="239">
        <v>1.0859999999999999E-3</v>
      </c>
    </row>
    <row r="35" spans="2:24" ht="15" customHeight="1" x14ac:dyDescent="0.25">
      <c r="B35" s="64"/>
      <c r="C35" s="240" t="s">
        <v>278</v>
      </c>
      <c r="D35" s="241" t="s">
        <v>293</v>
      </c>
      <c r="E35" s="127">
        <v>2.2309999999999999E-3</v>
      </c>
      <c r="F35" s="29"/>
      <c r="G35" s="132"/>
      <c r="H35" s="29"/>
      <c r="I35" s="29"/>
      <c r="J35" s="29"/>
      <c r="K35" s="29"/>
      <c r="L35" s="29"/>
      <c r="M35" s="29"/>
      <c r="N35" s="29"/>
      <c r="O35" s="29"/>
      <c r="P35" s="29"/>
      <c r="Q35" s="29"/>
      <c r="R35" s="29"/>
      <c r="S35" s="29"/>
      <c r="T35" s="25"/>
      <c r="W35" s="236" t="s">
        <v>95</v>
      </c>
      <c r="X35" s="239">
        <v>1.0480000000000001E-3</v>
      </c>
    </row>
    <row r="36" spans="2:24" ht="15" customHeight="1" x14ac:dyDescent="0.25">
      <c r="B36" s="64"/>
      <c r="C36" s="240" t="s">
        <v>341</v>
      </c>
      <c r="D36" s="241" t="s">
        <v>293</v>
      </c>
      <c r="E36" s="127">
        <v>2.2049999999999999E-3</v>
      </c>
      <c r="F36" s="29"/>
      <c r="G36" s="132"/>
      <c r="H36" s="29"/>
      <c r="I36" s="29"/>
      <c r="J36" s="29"/>
      <c r="K36" s="29"/>
      <c r="L36" s="29"/>
      <c r="M36" s="29"/>
      <c r="N36" s="29"/>
      <c r="O36" s="29"/>
      <c r="P36" s="29"/>
      <c r="Q36" s="29"/>
      <c r="R36" s="29"/>
      <c r="S36" s="29"/>
      <c r="T36" s="25"/>
      <c r="W36" s="236" t="s">
        <v>116</v>
      </c>
      <c r="X36" s="239">
        <v>9.4600000000000023E-4</v>
      </c>
    </row>
    <row r="37" spans="2:24" ht="15" customHeight="1" x14ac:dyDescent="0.25">
      <c r="B37" s="64"/>
      <c r="C37" s="242" t="s">
        <v>62</v>
      </c>
      <c r="D37" s="241" t="s">
        <v>63</v>
      </c>
      <c r="E37" s="255">
        <v>4.3999999999999999E-5</v>
      </c>
      <c r="F37" s="29"/>
      <c r="G37" s="132"/>
      <c r="H37" s="29"/>
      <c r="I37" s="29"/>
      <c r="J37" s="29"/>
      <c r="K37" s="29"/>
      <c r="L37" s="29"/>
      <c r="M37" s="29"/>
      <c r="N37" s="29"/>
      <c r="O37" s="29"/>
      <c r="P37" s="29"/>
      <c r="Q37" s="29"/>
      <c r="R37" s="29"/>
      <c r="S37" s="29"/>
      <c r="T37" s="25"/>
      <c r="W37" s="236" t="s">
        <v>118</v>
      </c>
      <c r="X37" s="239">
        <v>-2.8000000000000247E-5</v>
      </c>
    </row>
    <row r="38" spans="2:24" ht="15" customHeight="1" x14ac:dyDescent="0.25">
      <c r="B38" s="64"/>
      <c r="C38" s="133" t="s">
        <v>5</v>
      </c>
      <c r="D38" s="129"/>
      <c r="E38" s="130">
        <v>2.6494E-2</v>
      </c>
      <c r="F38" s="29"/>
      <c r="G38" s="132"/>
      <c r="H38" s="29"/>
      <c r="I38" s="29"/>
      <c r="J38" s="29"/>
      <c r="K38" s="29"/>
      <c r="L38" s="29"/>
      <c r="M38" s="29"/>
      <c r="N38" s="29"/>
      <c r="O38" s="29"/>
      <c r="P38" s="29"/>
      <c r="Q38" s="29"/>
      <c r="R38" s="29"/>
      <c r="S38" s="29"/>
      <c r="T38" s="25"/>
      <c r="W38" s="236" t="s">
        <v>16</v>
      </c>
      <c r="X38" s="239">
        <v>-3.4999999999999441E-5</v>
      </c>
    </row>
    <row r="39" spans="2:24" ht="15" customHeight="1" x14ac:dyDescent="0.25">
      <c r="B39" s="64"/>
      <c r="C39" s="233"/>
      <c r="D39" s="234"/>
      <c r="E39" s="234"/>
      <c r="F39" s="29"/>
      <c r="G39" s="134"/>
      <c r="H39" s="29"/>
      <c r="I39" s="29"/>
      <c r="J39" s="29"/>
      <c r="K39" s="29"/>
      <c r="L39" s="29"/>
      <c r="M39" s="29"/>
      <c r="N39" s="29"/>
      <c r="O39" s="29"/>
      <c r="P39" s="29"/>
      <c r="Q39" s="29"/>
      <c r="R39" s="29"/>
      <c r="S39" s="29"/>
      <c r="T39" s="25"/>
      <c r="W39" s="236" t="s">
        <v>11</v>
      </c>
      <c r="X39" s="239">
        <v>-4.4999999999999901E-5</v>
      </c>
    </row>
    <row r="40" spans="2:24" ht="15" customHeight="1" x14ac:dyDescent="0.25">
      <c r="B40" s="64"/>
      <c r="C40" s="141" t="s">
        <v>197</v>
      </c>
      <c r="D40" s="142" t="s">
        <v>61</v>
      </c>
      <c r="E40" s="235">
        <v>5.9859999999999997E-2</v>
      </c>
      <c r="F40" s="29"/>
      <c r="G40" s="29"/>
      <c r="H40" s="29"/>
      <c r="I40" s="135"/>
      <c r="J40" s="29"/>
      <c r="K40" s="29"/>
      <c r="L40" s="29"/>
      <c r="M40" s="29"/>
      <c r="N40" s="29"/>
      <c r="O40" s="29"/>
      <c r="P40" s="29"/>
      <c r="Q40" s="29"/>
      <c r="R40" s="29"/>
      <c r="S40" s="29"/>
      <c r="T40" s="25"/>
      <c r="W40" s="236" t="s">
        <v>86</v>
      </c>
      <c r="X40" s="239">
        <v>-8.000000000000021E-5</v>
      </c>
    </row>
    <row r="41" spans="2:24" ht="15" customHeight="1" x14ac:dyDescent="0.25">
      <c r="B41" s="64"/>
      <c r="C41" s="141" t="s">
        <v>225</v>
      </c>
      <c r="D41" s="142" t="s">
        <v>61</v>
      </c>
      <c r="E41" s="235">
        <v>4.7226999999999998E-2</v>
      </c>
      <c r="F41" s="29"/>
      <c r="G41" s="29"/>
      <c r="H41" s="29"/>
      <c r="I41" s="135"/>
      <c r="J41" s="29"/>
      <c r="K41" s="29"/>
      <c r="L41" s="29"/>
      <c r="M41" s="29"/>
      <c r="N41" s="29"/>
      <c r="O41" s="29"/>
      <c r="P41" s="29"/>
      <c r="Q41" s="29"/>
      <c r="R41" s="29"/>
      <c r="S41" s="29"/>
      <c r="T41" s="25"/>
      <c r="W41" s="236" t="s">
        <v>121</v>
      </c>
      <c r="X41" s="239">
        <v>-9.7999999999999129E-5</v>
      </c>
    </row>
    <row r="42" spans="2:24" ht="15" customHeight="1" x14ac:dyDescent="0.25">
      <c r="B42" s="64"/>
      <c r="C42" s="131" t="s">
        <v>201</v>
      </c>
      <c r="D42" s="142" t="s">
        <v>61</v>
      </c>
      <c r="E42" s="184">
        <v>1.3551000000000001E-2</v>
      </c>
      <c r="F42" s="29"/>
      <c r="G42" s="29"/>
      <c r="H42" s="29"/>
      <c r="I42" s="135"/>
      <c r="J42" s="29"/>
      <c r="K42" s="29"/>
      <c r="L42" s="29"/>
      <c r="M42" s="29"/>
      <c r="N42" s="29"/>
      <c r="O42" s="29"/>
      <c r="P42" s="29"/>
      <c r="Q42" s="29"/>
      <c r="R42" s="29"/>
      <c r="S42" s="29"/>
      <c r="T42" s="25"/>
      <c r="W42" s="236"/>
      <c r="X42" s="239"/>
    </row>
    <row r="43" spans="2:24" ht="15" customHeight="1" x14ac:dyDescent="0.25">
      <c r="B43" s="64"/>
      <c r="C43" s="141" t="s">
        <v>244</v>
      </c>
      <c r="D43" s="142" t="s">
        <v>61</v>
      </c>
      <c r="E43" s="235">
        <v>2.6029999999999998E-3</v>
      </c>
      <c r="F43" s="29"/>
      <c r="G43" s="29"/>
      <c r="H43" s="29"/>
      <c r="I43" s="135"/>
      <c r="J43" s="29"/>
      <c r="K43" s="29"/>
      <c r="L43" s="29"/>
      <c r="M43" s="29"/>
      <c r="N43" s="29"/>
      <c r="O43" s="29"/>
      <c r="P43" s="29"/>
      <c r="Q43" s="29"/>
      <c r="R43" s="29"/>
      <c r="S43" s="29"/>
      <c r="T43" s="25"/>
      <c r="W43" s="236"/>
      <c r="X43" s="239"/>
    </row>
    <row r="44" spans="2:24" ht="15" customHeight="1" x14ac:dyDescent="0.25">
      <c r="B44" s="64"/>
      <c r="C44" s="128" t="s">
        <v>311</v>
      </c>
      <c r="D44" s="108"/>
      <c r="E44" s="130">
        <v>0.123241</v>
      </c>
      <c r="F44" s="29"/>
      <c r="G44" s="29"/>
      <c r="H44" s="29"/>
      <c r="I44" s="135"/>
      <c r="J44" s="29"/>
      <c r="K44" s="29"/>
      <c r="L44" s="29"/>
      <c r="M44" s="29"/>
      <c r="N44" s="29"/>
      <c r="O44" s="29"/>
      <c r="P44" s="29"/>
      <c r="Q44" s="29"/>
      <c r="R44" s="29"/>
      <c r="S44" s="29"/>
      <c r="T44" s="25"/>
      <c r="W44" s="236"/>
      <c r="X44" s="239"/>
    </row>
    <row r="45" spans="2:24" s="53" customFormat="1" ht="15" customHeight="1" x14ac:dyDescent="0.25">
      <c r="B45" s="136"/>
      <c r="C45" s="137"/>
      <c r="D45" s="138"/>
      <c r="E45" s="139"/>
      <c r="F45" s="51"/>
      <c r="G45" s="51"/>
      <c r="H45" s="51"/>
      <c r="I45" s="140"/>
      <c r="J45" s="51"/>
      <c r="K45" s="51"/>
      <c r="L45" s="51"/>
      <c r="M45" s="51"/>
      <c r="N45" s="51"/>
      <c r="O45" s="51"/>
      <c r="P45" s="51"/>
      <c r="Q45" s="51"/>
      <c r="R45" s="51"/>
      <c r="S45" s="51"/>
      <c r="T45" s="52"/>
      <c r="W45" s="236"/>
      <c r="X45" s="239"/>
    </row>
    <row r="46" spans="2:24" s="53" customFormat="1" ht="15" customHeight="1" x14ac:dyDescent="0.25">
      <c r="B46" s="136"/>
      <c r="C46" s="141" t="s">
        <v>313</v>
      </c>
      <c r="D46" s="142" t="s">
        <v>280</v>
      </c>
      <c r="E46" s="235">
        <v>1.3179E-2</v>
      </c>
      <c r="F46" s="51"/>
      <c r="G46" s="51"/>
      <c r="H46" s="51"/>
      <c r="I46" s="140"/>
      <c r="J46" s="51"/>
      <c r="K46" s="51"/>
      <c r="L46" s="51"/>
      <c r="M46" s="51"/>
      <c r="N46" s="51"/>
      <c r="O46" s="51"/>
      <c r="P46" s="51"/>
      <c r="Q46" s="51"/>
      <c r="R46" s="51"/>
      <c r="S46" s="51"/>
      <c r="T46" s="52"/>
      <c r="W46" s="236"/>
      <c r="X46" s="239"/>
    </row>
    <row r="47" spans="2:24" s="53" customFormat="1" ht="15" customHeight="1" x14ac:dyDescent="0.25">
      <c r="B47" s="136"/>
      <c r="C47" s="128" t="s">
        <v>312</v>
      </c>
      <c r="D47" s="108"/>
      <c r="E47" s="130">
        <v>1.3179E-2</v>
      </c>
      <c r="F47" s="51"/>
      <c r="G47" s="51"/>
      <c r="H47" s="51"/>
      <c r="I47" s="140"/>
      <c r="J47" s="51"/>
      <c r="K47" s="51"/>
      <c r="L47" s="51"/>
      <c r="M47" s="51"/>
      <c r="N47" s="51"/>
      <c r="O47" s="51"/>
      <c r="P47" s="51"/>
      <c r="Q47" s="51"/>
      <c r="R47" s="51"/>
      <c r="S47" s="51"/>
      <c r="T47" s="52"/>
      <c r="W47" s="236"/>
      <c r="X47" s="239"/>
    </row>
    <row r="48" spans="2:24" s="53" customFormat="1" ht="15" customHeight="1" x14ac:dyDescent="0.25">
      <c r="B48" s="136"/>
      <c r="C48" s="137"/>
      <c r="D48" s="138"/>
      <c r="E48" s="139"/>
      <c r="F48" s="51"/>
      <c r="G48" s="51"/>
      <c r="H48" s="51"/>
      <c r="I48" s="140"/>
      <c r="J48" s="51"/>
      <c r="K48" s="51"/>
      <c r="L48" s="51"/>
      <c r="M48" s="51"/>
      <c r="N48" s="51"/>
      <c r="O48" s="51"/>
      <c r="P48" s="51"/>
      <c r="Q48" s="51"/>
      <c r="R48" s="51"/>
      <c r="S48" s="51"/>
      <c r="T48" s="52"/>
      <c r="W48" s="236"/>
      <c r="X48" s="239"/>
    </row>
    <row r="49" spans="2:24" s="53" customFormat="1" ht="15" customHeight="1" x14ac:dyDescent="0.25">
      <c r="B49" s="136"/>
      <c r="C49" s="143" t="s">
        <v>68</v>
      </c>
      <c r="D49" s="144"/>
      <c r="E49" s="190">
        <v>8.835000000000013E-3</v>
      </c>
      <c r="F49" s="51"/>
      <c r="G49" s="51"/>
      <c r="H49" s="51"/>
      <c r="I49" s="140"/>
      <c r="J49" s="51"/>
      <c r="K49" s="51"/>
      <c r="L49" s="51"/>
      <c r="M49" s="51"/>
      <c r="N49" s="51"/>
      <c r="O49" s="51"/>
      <c r="P49" s="51"/>
      <c r="Q49" s="51"/>
      <c r="R49" s="51"/>
      <c r="S49" s="51"/>
      <c r="T49" s="52"/>
      <c r="W49" s="236"/>
      <c r="X49" s="239"/>
    </row>
    <row r="50" spans="2:24" s="53" customFormat="1" ht="15" customHeight="1" x14ac:dyDescent="0.25">
      <c r="B50" s="136"/>
      <c r="C50" s="145"/>
      <c r="D50" s="113"/>
      <c r="E50" s="146"/>
      <c r="F50" s="51"/>
      <c r="G50" s="51"/>
      <c r="H50" s="51"/>
      <c r="I50" s="140"/>
      <c r="J50" s="51"/>
      <c r="K50" s="51"/>
      <c r="L50" s="51"/>
      <c r="M50" s="51"/>
      <c r="N50" s="51"/>
      <c r="O50" s="51"/>
      <c r="P50" s="51"/>
      <c r="Q50" s="51"/>
      <c r="R50" s="51"/>
      <c r="S50" s="51"/>
      <c r="T50" s="52"/>
      <c r="X50" s="179"/>
    </row>
    <row r="51" spans="2:24" s="53" customFormat="1" ht="15" customHeight="1" x14ac:dyDescent="0.25">
      <c r="B51" s="136"/>
      <c r="C51" s="147" t="s">
        <v>21</v>
      </c>
      <c r="D51" s="74"/>
      <c r="E51" s="75">
        <f>E49+E44+E38+E27+E25+E23+E30+E47</f>
        <v>1</v>
      </c>
      <c r="F51" s="51"/>
      <c r="G51" s="51"/>
      <c r="H51" s="51"/>
      <c r="I51" s="140"/>
      <c r="J51" s="51"/>
      <c r="K51" s="51"/>
      <c r="L51" s="51"/>
      <c r="M51" s="51"/>
      <c r="N51" s="51"/>
      <c r="O51" s="51"/>
      <c r="P51" s="51"/>
      <c r="Q51" s="51"/>
      <c r="R51" s="51"/>
      <c r="S51" s="51"/>
      <c r="T51" s="52"/>
    </row>
    <row r="52" spans="2:24" ht="15" customHeight="1" x14ac:dyDescent="0.25">
      <c r="B52" s="64"/>
      <c r="F52" s="29"/>
      <c r="G52" s="29"/>
      <c r="H52" s="29"/>
      <c r="I52" s="135"/>
      <c r="J52" s="29"/>
      <c r="K52" s="29"/>
      <c r="L52" s="29"/>
      <c r="M52" s="29"/>
      <c r="N52" s="29"/>
      <c r="O52" s="29"/>
      <c r="P52" s="29"/>
      <c r="Q52" s="29"/>
      <c r="R52" s="29"/>
      <c r="S52" s="29"/>
      <c r="T52" s="25"/>
    </row>
    <row r="53" spans="2:24" ht="15" customHeight="1" x14ac:dyDescent="0.25">
      <c r="B53" s="64"/>
      <c r="F53" s="29"/>
      <c r="G53" s="29"/>
      <c r="H53" s="29"/>
      <c r="I53" s="135"/>
      <c r="J53" s="29"/>
      <c r="K53" s="29"/>
      <c r="L53" s="29"/>
      <c r="M53" s="29"/>
      <c r="N53" s="29"/>
      <c r="O53" s="29"/>
      <c r="P53" s="29"/>
      <c r="Q53" s="29"/>
      <c r="R53" s="29"/>
      <c r="S53" s="29"/>
      <c r="T53" s="25"/>
    </row>
    <row r="54" spans="2:24" ht="15" customHeight="1" thickBot="1" x14ac:dyDescent="0.3">
      <c r="B54" s="76"/>
      <c r="C54" s="30"/>
      <c r="D54" s="30"/>
      <c r="E54" s="30"/>
      <c r="F54" s="30"/>
      <c r="G54" s="30"/>
      <c r="H54" s="30"/>
      <c r="I54" s="30"/>
      <c r="J54" s="30"/>
      <c r="K54" s="30"/>
      <c r="L54" s="30"/>
      <c r="M54" s="30"/>
      <c r="N54" s="30"/>
      <c r="O54" s="30"/>
      <c r="P54" s="30"/>
      <c r="Q54" s="30"/>
      <c r="R54" s="30"/>
      <c r="S54" s="30"/>
      <c r="T54" s="26"/>
    </row>
    <row r="55" spans="2:24" ht="15" customHeight="1" thickBot="1" x14ac:dyDescent="0.3"/>
    <row r="56" spans="2:24" ht="15" customHeight="1" x14ac:dyDescent="0.25">
      <c r="B56" s="268" t="s">
        <v>182</v>
      </c>
      <c r="C56" s="269"/>
      <c r="D56" s="269"/>
      <c r="E56" s="269"/>
      <c r="F56" s="269"/>
      <c r="G56" s="269"/>
      <c r="H56" s="269"/>
      <c r="I56" s="269"/>
      <c r="J56" s="269"/>
      <c r="K56" s="269"/>
      <c r="L56" s="269"/>
      <c r="M56" s="269"/>
      <c r="N56" s="269"/>
      <c r="O56" s="269"/>
      <c r="P56" s="269"/>
      <c r="Q56" s="269"/>
      <c r="R56" s="270"/>
    </row>
    <row r="57" spans="2:24" ht="15" customHeight="1" x14ac:dyDescent="0.25">
      <c r="B57" s="271"/>
      <c r="C57" s="272"/>
      <c r="D57" s="272"/>
      <c r="E57" s="272"/>
      <c r="F57" s="272"/>
      <c r="G57" s="272"/>
      <c r="H57" s="272"/>
      <c r="I57" s="272"/>
      <c r="J57" s="272"/>
      <c r="K57" s="272"/>
      <c r="L57" s="272"/>
      <c r="M57" s="272"/>
      <c r="N57" s="272"/>
      <c r="O57" s="272"/>
      <c r="P57" s="272"/>
      <c r="Q57" s="272"/>
      <c r="R57" s="273"/>
    </row>
    <row r="58" spans="2:24" ht="15" customHeight="1" x14ac:dyDescent="0.25">
      <c r="B58" s="271"/>
      <c r="C58" s="272"/>
      <c r="D58" s="272"/>
      <c r="E58" s="272"/>
      <c r="F58" s="272"/>
      <c r="G58" s="272"/>
      <c r="H58" s="272"/>
      <c r="I58" s="272"/>
      <c r="J58" s="272"/>
      <c r="K58" s="272"/>
      <c r="L58" s="272"/>
      <c r="M58" s="272"/>
      <c r="N58" s="272"/>
      <c r="O58" s="272"/>
      <c r="P58" s="272"/>
      <c r="Q58" s="272"/>
      <c r="R58" s="273"/>
    </row>
    <row r="59" spans="2:24" ht="15" customHeight="1" x14ac:dyDescent="0.25">
      <c r="B59" s="271"/>
      <c r="C59" s="272"/>
      <c r="D59" s="272"/>
      <c r="E59" s="272"/>
      <c r="F59" s="272"/>
      <c r="G59" s="272"/>
      <c r="H59" s="272"/>
      <c r="I59" s="272"/>
      <c r="J59" s="272"/>
      <c r="K59" s="272"/>
      <c r="L59" s="272"/>
      <c r="M59" s="272"/>
      <c r="N59" s="272"/>
      <c r="O59" s="272"/>
      <c r="P59" s="272"/>
      <c r="Q59" s="272"/>
      <c r="R59" s="273"/>
    </row>
    <row r="60" spans="2:24" ht="15" customHeight="1" x14ac:dyDescent="0.25">
      <c r="B60" s="271"/>
      <c r="C60" s="272"/>
      <c r="D60" s="272"/>
      <c r="E60" s="272"/>
      <c r="F60" s="272"/>
      <c r="G60" s="272"/>
      <c r="H60" s="272"/>
      <c r="I60" s="272"/>
      <c r="J60" s="272"/>
      <c r="K60" s="272"/>
      <c r="L60" s="272"/>
      <c r="M60" s="272"/>
      <c r="N60" s="272"/>
      <c r="O60" s="272"/>
      <c r="P60" s="272"/>
      <c r="Q60" s="272"/>
      <c r="R60" s="273"/>
    </row>
    <row r="61" spans="2:24" ht="15" customHeight="1" x14ac:dyDescent="0.25">
      <c r="B61" s="271"/>
      <c r="C61" s="272"/>
      <c r="D61" s="272"/>
      <c r="E61" s="272"/>
      <c r="F61" s="272"/>
      <c r="G61" s="272"/>
      <c r="H61" s="272"/>
      <c r="I61" s="272"/>
      <c r="J61" s="272"/>
      <c r="K61" s="272"/>
      <c r="L61" s="272"/>
      <c r="M61" s="272"/>
      <c r="N61" s="272"/>
      <c r="O61" s="272"/>
      <c r="P61" s="272"/>
      <c r="Q61" s="272"/>
      <c r="R61" s="273"/>
    </row>
    <row r="62" spans="2:24" ht="24.75" customHeight="1" thickBot="1" x14ac:dyDescent="0.3">
      <c r="B62" s="274"/>
      <c r="C62" s="275"/>
      <c r="D62" s="275"/>
      <c r="E62" s="275"/>
      <c r="F62" s="275"/>
      <c r="G62" s="275"/>
      <c r="H62" s="275"/>
      <c r="I62" s="275"/>
      <c r="J62" s="275"/>
      <c r="K62" s="275"/>
      <c r="L62" s="275"/>
      <c r="M62" s="275"/>
      <c r="N62" s="275"/>
      <c r="O62" s="275"/>
      <c r="P62" s="275"/>
      <c r="Q62" s="275"/>
      <c r="R62" s="276"/>
    </row>
    <row r="63" spans="2:24" ht="15" customHeight="1" x14ac:dyDescent="0.25"/>
    <row r="64" spans="2:2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32:E37">
    <sortCondition descending="1" ref="E32"/>
  </sortState>
  <mergeCells count="3">
    <mergeCell ref="C3:S3"/>
    <mergeCell ref="D5:E5"/>
    <mergeCell ref="B56:R62"/>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7"/>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62" t="s">
        <v>160</v>
      </c>
      <c r="D3" s="262"/>
      <c r="E3" s="262"/>
      <c r="F3" s="262"/>
      <c r="G3" s="262"/>
      <c r="H3" s="262"/>
      <c r="I3" s="262"/>
      <c r="J3" s="262"/>
      <c r="K3" s="262"/>
      <c r="L3" s="262"/>
      <c r="M3" s="262"/>
      <c r="N3" s="263"/>
    </row>
    <row r="4" spans="2:19" ht="15.75" x14ac:dyDescent="0.25">
      <c r="B4" s="93"/>
      <c r="C4" s="67" t="s">
        <v>405</v>
      </c>
      <c r="D4" s="29"/>
      <c r="E4" s="29"/>
      <c r="F4" s="5"/>
      <c r="G4" s="5"/>
      <c r="H4" s="5"/>
      <c r="I4" s="5"/>
      <c r="J4" s="5"/>
      <c r="K4" s="5"/>
      <c r="L4" s="5"/>
      <c r="M4" s="5"/>
      <c r="N4" s="20"/>
    </row>
    <row r="5" spans="2:19" ht="20.25" customHeight="1" x14ac:dyDescent="0.2">
      <c r="B5" s="93"/>
      <c r="C5" s="221" t="s">
        <v>406</v>
      </c>
      <c r="D5" s="279" t="s">
        <v>382</v>
      </c>
      <c r="E5" s="279"/>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31" t="s">
        <v>45</v>
      </c>
      <c r="F7" s="5"/>
      <c r="G7" s="264" t="s">
        <v>46</v>
      </c>
      <c r="H7" s="264"/>
      <c r="I7" s="264"/>
      <c r="J7" s="264"/>
      <c r="K7" s="264"/>
      <c r="L7" s="264"/>
      <c r="M7" s="264"/>
      <c r="N7" s="265"/>
    </row>
    <row r="8" spans="2:19" x14ac:dyDescent="0.2">
      <c r="B8" s="93"/>
      <c r="C8" s="120" t="s">
        <v>268</v>
      </c>
      <c r="D8" s="121" t="s">
        <v>111</v>
      </c>
      <c r="E8" s="192">
        <v>4.6079999999999984E-3</v>
      </c>
      <c r="F8" s="5"/>
      <c r="G8" s="245" t="s">
        <v>47</v>
      </c>
      <c r="H8" s="246">
        <v>1</v>
      </c>
      <c r="I8" s="247">
        <f>H8/SUM($H$8:$H$10)</f>
        <v>1</v>
      </c>
      <c r="J8" s="245"/>
      <c r="K8" s="246"/>
      <c r="L8" s="245"/>
      <c r="M8" s="5"/>
      <c r="N8" s="20"/>
      <c r="S8" s="49"/>
    </row>
    <row r="9" spans="2:19" ht="15.75" customHeight="1" x14ac:dyDescent="0.2">
      <c r="B9" s="93"/>
      <c r="C9" s="122" t="s">
        <v>37</v>
      </c>
      <c r="D9" s="38" t="s">
        <v>117</v>
      </c>
      <c r="E9" s="192">
        <v>4.4910000000000002E-3</v>
      </c>
      <c r="F9" s="5"/>
      <c r="G9" s="245" t="s">
        <v>57</v>
      </c>
      <c r="H9" s="248">
        <v>0</v>
      </c>
      <c r="I9" s="247">
        <f>H9/SUM($H$8:$H$10)</f>
        <v>0</v>
      </c>
      <c r="J9" s="245" t="s">
        <v>99</v>
      </c>
      <c r="K9" s="246">
        <f>E23+E25</f>
        <v>0.10831099999999999</v>
      </c>
      <c r="L9" s="245"/>
      <c r="M9" s="5"/>
      <c r="N9" s="20"/>
      <c r="S9" s="49"/>
    </row>
    <row r="10" spans="2:19" x14ac:dyDescent="0.2">
      <c r="B10" s="93"/>
      <c r="C10" s="122" t="s">
        <v>88</v>
      </c>
      <c r="D10" s="38" t="s">
        <v>108</v>
      </c>
      <c r="E10" s="192">
        <v>4.4689999999999999E-3</v>
      </c>
      <c r="F10" s="31"/>
      <c r="G10" s="245" t="s">
        <v>48</v>
      </c>
      <c r="H10" s="248">
        <v>0</v>
      </c>
      <c r="I10" s="247">
        <f>H10/SUM($H$8:$H$10)</f>
        <v>0</v>
      </c>
      <c r="J10" s="245" t="s">
        <v>20</v>
      </c>
      <c r="K10" s="246">
        <f>E43</f>
        <v>5.695800000000005E-2</v>
      </c>
      <c r="L10" s="245"/>
      <c r="M10" s="5"/>
      <c r="N10" s="20"/>
      <c r="S10" s="49"/>
    </row>
    <row r="11" spans="2:19" x14ac:dyDescent="0.2">
      <c r="B11" s="93"/>
      <c r="C11" s="122" t="s">
        <v>248</v>
      </c>
      <c r="D11" s="38" t="s">
        <v>16</v>
      </c>
      <c r="E11" s="192">
        <v>4.3839999999999999E-3</v>
      </c>
      <c r="F11" s="5"/>
      <c r="G11" s="245"/>
      <c r="H11" s="245"/>
      <c r="I11" s="245"/>
      <c r="J11" s="1"/>
      <c r="K11" s="1"/>
      <c r="L11" s="245"/>
      <c r="M11" s="5"/>
      <c r="N11" s="20"/>
      <c r="S11" s="49"/>
    </row>
    <row r="12" spans="2:19" ht="15.75" customHeight="1" x14ac:dyDescent="0.2">
      <c r="B12" s="93"/>
      <c r="C12" s="122" t="s">
        <v>30</v>
      </c>
      <c r="D12" s="38" t="s">
        <v>117</v>
      </c>
      <c r="E12" s="192">
        <v>4.271999999999998E-3</v>
      </c>
      <c r="F12" s="31"/>
      <c r="G12" s="245"/>
      <c r="H12" s="246"/>
      <c r="I12" s="245"/>
      <c r="J12" s="245" t="s">
        <v>41</v>
      </c>
      <c r="K12" s="246">
        <f>E38</f>
        <v>8.2206000000000001E-2</v>
      </c>
      <c r="L12" s="245"/>
      <c r="M12" s="5"/>
      <c r="N12" s="20"/>
      <c r="S12" s="49"/>
    </row>
    <row r="13" spans="2:19" x14ac:dyDescent="0.2">
      <c r="B13" s="93"/>
      <c r="C13" s="122" t="s">
        <v>142</v>
      </c>
      <c r="D13" s="38" t="s">
        <v>111</v>
      </c>
      <c r="E13" s="192">
        <v>4.1320000000000003E-3</v>
      </c>
      <c r="F13" s="31"/>
      <c r="G13" s="245"/>
      <c r="H13" s="245"/>
      <c r="I13" s="245"/>
      <c r="J13" s="1"/>
      <c r="K13" s="1"/>
      <c r="L13" s="245"/>
      <c r="M13" s="5"/>
      <c r="N13" s="20"/>
      <c r="S13" s="49"/>
    </row>
    <row r="14" spans="2:19" x14ac:dyDescent="0.2">
      <c r="B14" s="93"/>
      <c r="C14" s="122" t="s">
        <v>32</v>
      </c>
      <c r="D14" s="38" t="s">
        <v>3</v>
      </c>
      <c r="E14" s="192">
        <v>4.0889999999999989E-3</v>
      </c>
      <c r="F14" s="31"/>
      <c r="G14" s="245"/>
      <c r="H14" s="245"/>
      <c r="I14" s="245"/>
      <c r="J14" s="245" t="s">
        <v>223</v>
      </c>
      <c r="K14" s="246">
        <f>E29</f>
        <v>0.12707599999999999</v>
      </c>
      <c r="L14" s="245"/>
      <c r="M14" s="5"/>
      <c r="N14" s="20"/>
      <c r="S14" s="49"/>
    </row>
    <row r="15" spans="2:19" x14ac:dyDescent="0.2">
      <c r="B15" s="93"/>
      <c r="C15" s="122" t="s">
        <v>314</v>
      </c>
      <c r="D15" s="38" t="s">
        <v>108</v>
      </c>
      <c r="E15" s="192">
        <v>3.8649999999999999E-3</v>
      </c>
      <c r="F15" s="5"/>
      <c r="G15" s="245"/>
      <c r="H15" s="245"/>
      <c r="I15" s="245"/>
      <c r="J15" s="245" t="s">
        <v>42</v>
      </c>
      <c r="K15" s="246">
        <f>E41</f>
        <v>6.3156000000000004E-2</v>
      </c>
      <c r="L15" s="245"/>
      <c r="M15" s="5"/>
      <c r="N15" s="20"/>
      <c r="S15" s="49"/>
    </row>
    <row r="16" spans="2:19" x14ac:dyDescent="0.2">
      <c r="B16" s="93"/>
      <c r="C16" s="122" t="s">
        <v>323</v>
      </c>
      <c r="D16" s="38" t="s">
        <v>77</v>
      </c>
      <c r="E16" s="192">
        <v>3.8140000000000001E-3</v>
      </c>
      <c r="F16" s="5"/>
      <c r="G16" s="245"/>
      <c r="H16" s="245"/>
      <c r="I16" s="245"/>
      <c r="J16" s="245" t="s">
        <v>60</v>
      </c>
      <c r="K16" s="246">
        <f>E33</f>
        <v>0.56211999999999995</v>
      </c>
      <c r="L16" s="245"/>
      <c r="M16" s="5"/>
      <c r="N16" s="20"/>
      <c r="S16" s="49"/>
    </row>
    <row r="17" spans="2:19" x14ac:dyDescent="0.2">
      <c r="B17" s="93"/>
      <c r="C17" s="123" t="s">
        <v>322</v>
      </c>
      <c r="D17" s="105" t="s">
        <v>121</v>
      </c>
      <c r="E17" s="192">
        <v>3.8039999999999984E-3</v>
      </c>
      <c r="F17" s="5"/>
      <c r="G17" s="245"/>
      <c r="H17" s="245"/>
      <c r="I17" s="245"/>
      <c r="J17" s="245" t="s">
        <v>339</v>
      </c>
      <c r="K17" s="246">
        <f>E31</f>
        <v>1.73E-4</v>
      </c>
      <c r="L17" s="245"/>
      <c r="M17" s="5"/>
      <c r="N17" s="20"/>
      <c r="S17" s="49"/>
    </row>
    <row r="18" spans="2:19" x14ac:dyDescent="0.2">
      <c r="B18" s="93"/>
      <c r="C18" s="122" t="s">
        <v>33</v>
      </c>
      <c r="D18" s="38" t="s">
        <v>107</v>
      </c>
      <c r="E18" s="192">
        <v>3.7569999999999999E-3</v>
      </c>
      <c r="F18" s="5"/>
      <c r="G18" s="245"/>
      <c r="H18" s="245"/>
      <c r="I18" s="245"/>
      <c r="J18" s="245"/>
      <c r="K18" s="245"/>
      <c r="L18" s="245"/>
      <c r="M18" s="5"/>
      <c r="N18" s="20"/>
      <c r="S18" s="49"/>
    </row>
    <row r="19" spans="2:19" x14ac:dyDescent="0.2">
      <c r="B19" s="93"/>
      <c r="C19" s="122" t="s">
        <v>261</v>
      </c>
      <c r="D19" s="38" t="s">
        <v>4</v>
      </c>
      <c r="E19" s="192">
        <v>3.643E-3</v>
      </c>
      <c r="F19" s="5"/>
      <c r="G19" s="249"/>
      <c r="H19" s="249"/>
      <c r="I19" s="249"/>
      <c r="J19" s="249"/>
      <c r="K19" s="249"/>
      <c r="L19" s="249"/>
      <c r="M19" s="5"/>
      <c r="N19" s="20"/>
      <c r="S19" s="49"/>
    </row>
    <row r="20" spans="2:19" ht="15.75" customHeight="1" x14ac:dyDescent="0.25">
      <c r="B20" s="93"/>
      <c r="C20" s="122" t="s">
        <v>194</v>
      </c>
      <c r="D20" s="38" t="s">
        <v>107</v>
      </c>
      <c r="E20" s="192">
        <v>3.6029999999999986E-3</v>
      </c>
      <c r="F20" s="5"/>
      <c r="G20" s="282" t="s">
        <v>100</v>
      </c>
      <c r="H20" s="283"/>
      <c r="I20" s="283"/>
      <c r="J20" s="283"/>
      <c r="K20" s="283"/>
      <c r="L20" s="181">
        <v>2.6533998152361584</v>
      </c>
      <c r="M20" s="124"/>
      <c r="N20" s="107"/>
      <c r="P20" s="19"/>
      <c r="S20" s="49"/>
    </row>
    <row r="21" spans="2:19" ht="15.75" x14ac:dyDescent="0.25">
      <c r="B21" s="93"/>
      <c r="C21" s="122" t="s">
        <v>70</v>
      </c>
      <c r="D21" s="38" t="s">
        <v>12</v>
      </c>
      <c r="E21" s="192">
        <v>3.5910000000000004E-3</v>
      </c>
      <c r="F21" s="5"/>
      <c r="G21" s="5"/>
      <c r="H21" s="5"/>
      <c r="I21" s="5"/>
      <c r="J21" s="5"/>
      <c r="K21" s="5"/>
      <c r="L21" s="5"/>
      <c r="M21" s="5"/>
      <c r="N21" s="20"/>
      <c r="P21" s="19"/>
      <c r="S21" s="49"/>
    </row>
    <row r="22" spans="2:19" ht="15.75" x14ac:dyDescent="0.25">
      <c r="B22" s="93"/>
      <c r="C22" s="122" t="s">
        <v>31</v>
      </c>
      <c r="D22" s="38" t="s">
        <v>6</v>
      </c>
      <c r="E22" s="192">
        <v>3.5859999999999989E-3</v>
      </c>
      <c r="F22" s="5"/>
      <c r="G22" s="31"/>
      <c r="H22" s="31"/>
      <c r="I22" s="31"/>
      <c r="J22" s="5"/>
      <c r="K22" s="31"/>
      <c r="L22" s="5"/>
      <c r="M22" s="5"/>
      <c r="N22" s="20"/>
      <c r="P22" s="19"/>
      <c r="S22" s="49"/>
    </row>
    <row r="23" spans="2:19" ht="15.75" customHeight="1" x14ac:dyDescent="0.25">
      <c r="B23" s="93"/>
      <c r="C23" s="108" t="s">
        <v>89</v>
      </c>
      <c r="D23" s="108"/>
      <c r="E23" s="109">
        <v>6.0107999999999988E-2</v>
      </c>
      <c r="F23" s="5"/>
      <c r="G23" s="264" t="s">
        <v>50</v>
      </c>
      <c r="H23" s="264"/>
      <c r="I23" s="264"/>
      <c r="J23" s="264"/>
      <c r="K23" s="264"/>
      <c r="L23" s="264"/>
      <c r="M23" s="264"/>
      <c r="N23" s="265"/>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90</v>
      </c>
      <c r="D25" s="108"/>
      <c r="E25" s="109">
        <v>4.8202999999999996E-2</v>
      </c>
      <c r="F25" s="5"/>
      <c r="G25" s="5"/>
      <c r="H25" s="5"/>
      <c r="I25" s="5"/>
      <c r="J25" s="5"/>
      <c r="K25" s="5"/>
      <c r="L25" s="5"/>
      <c r="M25" s="5"/>
      <c r="N25" s="20"/>
      <c r="P25" s="19"/>
      <c r="S25" s="49"/>
    </row>
    <row r="26" spans="2:19" ht="15.75" x14ac:dyDescent="0.25">
      <c r="B26" s="93"/>
      <c r="C26" s="210"/>
      <c r="D26" s="210"/>
      <c r="E26" s="192"/>
      <c r="F26" s="5"/>
      <c r="G26" s="5"/>
      <c r="H26" s="5"/>
      <c r="I26" s="5"/>
      <c r="J26" s="5"/>
      <c r="K26" s="5"/>
      <c r="L26" s="5"/>
      <c r="M26" s="5"/>
      <c r="N26" s="20"/>
      <c r="P26" s="19"/>
      <c r="S26" s="49"/>
    </row>
    <row r="27" spans="2:19" ht="15.75" x14ac:dyDescent="0.25">
      <c r="B27" s="93"/>
      <c r="C27" s="210" t="s">
        <v>179</v>
      </c>
      <c r="D27" s="210"/>
      <c r="E27" s="192">
        <v>4.9003999999999999E-2</v>
      </c>
      <c r="F27" s="5"/>
      <c r="G27" s="5"/>
      <c r="H27" s="5"/>
      <c r="I27" s="5"/>
      <c r="J27" s="5"/>
      <c r="K27" s="5"/>
      <c r="L27" s="5"/>
      <c r="M27" s="5"/>
      <c r="N27" s="20"/>
      <c r="P27" s="19"/>
      <c r="S27" s="49"/>
    </row>
    <row r="28" spans="2:19" ht="15.75" x14ac:dyDescent="0.25">
      <c r="B28" s="93"/>
      <c r="C28" s="210" t="s">
        <v>224</v>
      </c>
      <c r="D28" s="210"/>
      <c r="E28" s="192">
        <v>7.8072000000000003E-2</v>
      </c>
      <c r="F28" s="5"/>
      <c r="G28" s="5"/>
      <c r="H28" s="5"/>
      <c r="I28" s="5"/>
      <c r="J28" s="5"/>
      <c r="K28" s="5"/>
      <c r="L28" s="5"/>
      <c r="M28" s="5"/>
      <c r="N28" s="20"/>
      <c r="P28" s="19"/>
      <c r="S28" s="49"/>
    </row>
    <row r="29" spans="2:19" ht="15.75" x14ac:dyDescent="0.25">
      <c r="B29" s="93"/>
      <c r="C29" s="108" t="s">
        <v>223</v>
      </c>
      <c r="D29" s="108"/>
      <c r="E29" s="186">
        <v>0.12707599999999999</v>
      </c>
      <c r="F29" s="5"/>
      <c r="G29" s="5"/>
      <c r="H29" s="5"/>
      <c r="I29" s="5"/>
      <c r="J29" s="5"/>
      <c r="K29" s="5"/>
      <c r="L29" s="5"/>
      <c r="M29" s="5"/>
      <c r="N29" s="20"/>
      <c r="P29" s="19"/>
      <c r="S29" s="49"/>
    </row>
    <row r="30" spans="2:19" ht="15.75" x14ac:dyDescent="0.25">
      <c r="B30" s="93"/>
      <c r="C30" s="244"/>
      <c r="D30" s="257"/>
      <c r="E30" s="256"/>
      <c r="F30" s="5"/>
      <c r="G30" s="5"/>
      <c r="H30" s="5"/>
      <c r="I30" s="5"/>
      <c r="J30" s="5"/>
      <c r="K30" s="5"/>
      <c r="L30" s="5"/>
      <c r="M30" s="5"/>
      <c r="N30" s="20"/>
      <c r="P30" s="19"/>
      <c r="S30" s="49"/>
    </row>
    <row r="31" spans="2:19" ht="15.75" x14ac:dyDescent="0.25">
      <c r="B31" s="93"/>
      <c r="C31" s="108" t="s">
        <v>339</v>
      </c>
      <c r="D31" s="258"/>
      <c r="E31" s="186">
        <v>1.73E-4</v>
      </c>
      <c r="F31" s="5"/>
      <c r="G31" s="5"/>
      <c r="H31" s="5"/>
      <c r="I31" s="5"/>
      <c r="J31" s="5"/>
      <c r="K31" s="5"/>
      <c r="L31" s="5"/>
      <c r="M31" s="5"/>
      <c r="N31" s="20"/>
      <c r="P31" s="19"/>
      <c r="S31" s="49"/>
    </row>
    <row r="32" spans="2:19" ht="15.75" x14ac:dyDescent="0.25">
      <c r="B32" s="93"/>
      <c r="C32" s="38"/>
      <c r="D32" s="5"/>
      <c r="E32" s="38"/>
      <c r="F32" s="5"/>
      <c r="G32" s="5"/>
      <c r="H32" s="5"/>
      <c r="I32" s="5"/>
      <c r="J32" s="5"/>
      <c r="K32" s="5"/>
      <c r="L32" s="5"/>
      <c r="M32" s="5"/>
      <c r="N32" s="20"/>
      <c r="P32" s="19"/>
      <c r="S32" s="49"/>
    </row>
    <row r="33" spans="2:19" ht="15" customHeight="1" x14ac:dyDescent="0.25">
      <c r="B33" s="93"/>
      <c r="C33" s="108" t="s">
        <v>58</v>
      </c>
      <c r="D33" s="258"/>
      <c r="E33" s="186">
        <v>0.56211999999999995</v>
      </c>
      <c r="F33" s="5"/>
      <c r="G33" s="5"/>
      <c r="H33" s="5"/>
      <c r="I33" s="5"/>
      <c r="J33" s="5"/>
      <c r="K33" s="5"/>
      <c r="L33" s="5"/>
      <c r="M33" s="5"/>
      <c r="N33" s="20"/>
      <c r="P33" s="19"/>
      <c r="S33" s="49"/>
    </row>
    <row r="34" spans="2:19" ht="15" customHeight="1" x14ac:dyDescent="0.25">
      <c r="B34" s="93"/>
      <c r="C34" s="210" t="s">
        <v>76</v>
      </c>
      <c r="D34" s="259" t="s">
        <v>63</v>
      </c>
      <c r="E34" s="192">
        <v>2.5765E-2</v>
      </c>
      <c r="F34" s="5"/>
      <c r="G34" s="5"/>
      <c r="H34" s="5"/>
      <c r="I34" s="5"/>
      <c r="J34" s="5"/>
      <c r="K34" s="5"/>
      <c r="L34" s="5"/>
      <c r="M34" s="5"/>
      <c r="N34" s="20"/>
      <c r="P34" s="19"/>
      <c r="S34" s="49"/>
    </row>
    <row r="35" spans="2:19" s="48" customFormat="1" ht="15.75" x14ac:dyDescent="0.25">
      <c r="B35" s="110"/>
      <c r="C35" s="210" t="s">
        <v>74</v>
      </c>
      <c r="D35" s="259" t="s">
        <v>63</v>
      </c>
      <c r="E35" s="192">
        <v>2.5741E-2</v>
      </c>
      <c r="F35" s="41"/>
      <c r="G35" s="41"/>
      <c r="H35" s="41"/>
      <c r="I35" s="41"/>
      <c r="J35" s="41"/>
      <c r="K35" s="41"/>
      <c r="L35" s="41"/>
      <c r="M35" s="41"/>
      <c r="N35" s="111"/>
      <c r="P35" s="53"/>
      <c r="S35" s="112"/>
    </row>
    <row r="36" spans="2:19" s="48" customFormat="1" ht="15.75" x14ac:dyDescent="0.25">
      <c r="B36" s="110"/>
      <c r="C36" s="210" t="s">
        <v>181</v>
      </c>
      <c r="D36" s="259" t="s">
        <v>63</v>
      </c>
      <c r="E36" s="192">
        <v>2.5649000000000002E-2</v>
      </c>
      <c r="F36" s="41"/>
      <c r="G36" s="41"/>
      <c r="H36" s="41"/>
      <c r="I36" s="41"/>
      <c r="J36" s="41"/>
      <c r="K36" s="41"/>
      <c r="L36" s="41"/>
      <c r="M36" s="41"/>
      <c r="N36" s="111"/>
      <c r="P36" s="53"/>
      <c r="S36" s="112"/>
    </row>
    <row r="37" spans="2:19" ht="15.75" x14ac:dyDescent="0.25">
      <c r="B37" s="93"/>
      <c r="C37" s="210" t="s">
        <v>69</v>
      </c>
      <c r="D37" s="259" t="s">
        <v>63</v>
      </c>
      <c r="E37" s="192">
        <v>5.0509999999999999E-3</v>
      </c>
      <c r="F37" s="5"/>
      <c r="G37" s="5"/>
      <c r="H37" s="5"/>
      <c r="I37" s="5"/>
      <c r="J37" s="5"/>
      <c r="K37" s="5"/>
      <c r="L37" s="5"/>
      <c r="M37" s="5"/>
      <c r="N37" s="20"/>
      <c r="P37" s="19"/>
      <c r="S37" s="49"/>
    </row>
    <row r="38" spans="2:19" ht="15.75" x14ac:dyDescent="0.25">
      <c r="B38" s="93"/>
      <c r="C38" s="108" t="s">
        <v>49</v>
      </c>
      <c r="D38" s="258"/>
      <c r="E38" s="186">
        <v>8.2206000000000001E-2</v>
      </c>
      <c r="F38" s="5"/>
      <c r="G38" s="5"/>
      <c r="H38" s="5"/>
      <c r="I38" s="5"/>
      <c r="J38" s="5"/>
      <c r="K38" s="5"/>
      <c r="L38" s="5"/>
      <c r="M38" s="5"/>
      <c r="N38" s="20"/>
      <c r="P38" s="19"/>
      <c r="S38" s="49"/>
    </row>
    <row r="39" spans="2:19" ht="15.75" x14ac:dyDescent="0.25">
      <c r="B39" s="93"/>
      <c r="C39" s="27" t="s">
        <v>201</v>
      </c>
      <c r="D39" s="33" t="s">
        <v>61</v>
      </c>
      <c r="E39" s="192">
        <v>3.6944999999999999E-2</v>
      </c>
      <c r="F39" s="5"/>
      <c r="G39" s="5"/>
      <c r="H39" s="5"/>
      <c r="I39" s="5"/>
      <c r="J39" s="5"/>
      <c r="K39" s="5"/>
      <c r="L39" s="5"/>
      <c r="M39" s="5"/>
      <c r="N39" s="20"/>
      <c r="P39" s="19"/>
      <c r="S39" s="49"/>
    </row>
    <row r="40" spans="2:19" ht="15.75" x14ac:dyDescent="0.25">
      <c r="B40" s="93"/>
      <c r="C40" s="27" t="s">
        <v>342</v>
      </c>
      <c r="D40" s="33" t="s">
        <v>61</v>
      </c>
      <c r="E40" s="192">
        <v>2.6211000000000002E-2</v>
      </c>
      <c r="F40" s="5"/>
      <c r="G40" s="5"/>
      <c r="H40" s="5"/>
      <c r="I40" s="5"/>
      <c r="J40" s="5"/>
      <c r="K40" s="5"/>
      <c r="L40" s="5"/>
      <c r="M40" s="5"/>
      <c r="N40" s="20"/>
      <c r="P40" s="19"/>
      <c r="S40" s="49"/>
    </row>
    <row r="41" spans="2:19" ht="15.75" x14ac:dyDescent="0.25">
      <c r="B41" s="93"/>
      <c r="C41" s="108" t="s">
        <v>42</v>
      </c>
      <c r="D41" s="258"/>
      <c r="E41" s="186">
        <v>6.3156000000000004E-2</v>
      </c>
      <c r="F41" s="5"/>
      <c r="G41" s="5"/>
      <c r="H41" s="5"/>
      <c r="I41" s="5"/>
      <c r="J41" s="5"/>
      <c r="K41" s="5"/>
      <c r="L41" s="5"/>
      <c r="M41" s="5"/>
      <c r="N41" s="20"/>
      <c r="P41" s="19"/>
      <c r="S41" s="49"/>
    </row>
    <row r="42" spans="2:19" ht="15.75" x14ac:dyDescent="0.25">
      <c r="B42" s="93"/>
      <c r="C42" s="4"/>
      <c r="D42" s="260"/>
      <c r="E42" s="32"/>
      <c r="F42" s="5"/>
      <c r="G42" s="5"/>
      <c r="H42" s="5"/>
      <c r="I42" s="5"/>
      <c r="J42" s="5"/>
      <c r="K42" s="5"/>
      <c r="L42" s="5"/>
      <c r="M42" s="5"/>
      <c r="N42" s="20"/>
      <c r="P42" s="19"/>
      <c r="S42" s="49"/>
    </row>
    <row r="43" spans="2:19" ht="15.75" x14ac:dyDescent="0.25">
      <c r="B43" s="93"/>
      <c r="C43" s="108" t="s">
        <v>20</v>
      </c>
      <c r="D43" s="258"/>
      <c r="E43" s="186">
        <v>5.695800000000005E-2</v>
      </c>
      <c r="F43" s="5"/>
      <c r="G43" s="5"/>
      <c r="H43" s="5"/>
      <c r="I43" s="5"/>
      <c r="J43" s="5"/>
      <c r="K43" s="5"/>
      <c r="L43" s="5"/>
      <c r="M43" s="5"/>
      <c r="N43" s="20"/>
      <c r="P43" s="19"/>
      <c r="S43" s="49"/>
    </row>
    <row r="44" spans="2:19" ht="15.75" x14ac:dyDescent="0.25">
      <c r="B44" s="93"/>
      <c r="C44" s="4"/>
      <c r="D44" s="260"/>
      <c r="E44" s="32"/>
      <c r="F44" s="5"/>
      <c r="G44" s="5"/>
      <c r="H44" s="5"/>
      <c r="I44" s="5"/>
      <c r="J44" s="5"/>
      <c r="K44" s="5"/>
      <c r="L44" s="5"/>
      <c r="M44" s="5"/>
      <c r="N44" s="20"/>
      <c r="P44" s="19"/>
      <c r="S44" s="49"/>
    </row>
    <row r="45" spans="2:19" ht="15.75" x14ac:dyDescent="0.25">
      <c r="B45" s="93"/>
      <c r="C45" s="115" t="s">
        <v>21</v>
      </c>
      <c r="D45" s="261"/>
      <c r="E45" s="116">
        <v>1</v>
      </c>
      <c r="F45" s="5"/>
      <c r="G45" s="5"/>
      <c r="H45" s="5"/>
      <c r="I45" s="5"/>
      <c r="J45" s="5"/>
      <c r="K45" s="5"/>
      <c r="L45" s="5"/>
      <c r="M45" s="5"/>
      <c r="N45" s="20"/>
      <c r="P45" s="19"/>
      <c r="S45" s="49"/>
    </row>
    <row r="46" spans="2:19" ht="15.75" x14ac:dyDescent="0.25">
      <c r="B46" s="93"/>
      <c r="F46" s="5"/>
      <c r="G46" s="5"/>
      <c r="H46" s="5"/>
      <c r="I46" s="5"/>
      <c r="J46" s="5"/>
      <c r="K46" s="5"/>
      <c r="L46" s="5"/>
      <c r="M46" s="5"/>
      <c r="N46" s="20"/>
      <c r="P46" s="19"/>
      <c r="S46" s="49"/>
    </row>
    <row r="47" spans="2:19" ht="15.75" x14ac:dyDescent="0.25">
      <c r="B47" s="93"/>
      <c r="C47" s="5"/>
      <c r="D47" s="5"/>
      <c r="E47" s="5"/>
      <c r="F47" s="5"/>
      <c r="G47" s="5"/>
      <c r="H47" s="5"/>
      <c r="I47" s="5"/>
      <c r="J47" s="5"/>
      <c r="K47" s="5"/>
      <c r="L47" s="5"/>
      <c r="M47" s="5"/>
      <c r="N47" s="20"/>
      <c r="P47" s="19"/>
      <c r="S47" s="49"/>
    </row>
    <row r="48" spans="2:19" ht="11.25" customHeight="1" thickBot="1" x14ac:dyDescent="0.25">
      <c r="B48" s="96"/>
      <c r="C48" s="45"/>
      <c r="D48" s="45"/>
      <c r="E48" s="45"/>
      <c r="F48" s="45"/>
      <c r="G48" s="45"/>
      <c r="H48" s="45"/>
      <c r="I48" s="45"/>
      <c r="J48" s="45"/>
      <c r="K48" s="45"/>
      <c r="L48" s="45"/>
      <c r="M48" s="45"/>
      <c r="N48" s="118"/>
      <c r="S48" s="49"/>
    </row>
    <row r="49" spans="2:19" ht="15.75" thickBot="1" x14ac:dyDescent="0.25">
      <c r="S49" s="49"/>
    </row>
    <row r="50" spans="2:19" ht="15" customHeight="1" x14ac:dyDescent="0.2">
      <c r="B50" s="268" t="s">
        <v>182</v>
      </c>
      <c r="C50" s="269"/>
      <c r="D50" s="269"/>
      <c r="E50" s="269"/>
      <c r="F50" s="269"/>
      <c r="G50" s="269"/>
      <c r="H50" s="269"/>
      <c r="I50" s="269"/>
      <c r="J50" s="269"/>
      <c r="K50" s="269"/>
      <c r="L50" s="269"/>
      <c r="M50" s="269"/>
      <c r="N50" s="269"/>
      <c r="O50" s="269"/>
      <c r="P50" s="269"/>
      <c r="Q50" s="269"/>
      <c r="R50" s="270"/>
      <c r="S50" s="49"/>
    </row>
    <row r="51" spans="2:19" x14ac:dyDescent="0.2">
      <c r="B51" s="271"/>
      <c r="C51" s="272"/>
      <c r="D51" s="272"/>
      <c r="E51" s="272"/>
      <c r="F51" s="272"/>
      <c r="G51" s="272"/>
      <c r="H51" s="272"/>
      <c r="I51" s="272"/>
      <c r="J51" s="272"/>
      <c r="K51" s="272"/>
      <c r="L51" s="272"/>
      <c r="M51" s="272"/>
      <c r="N51" s="272"/>
      <c r="O51" s="272"/>
      <c r="P51" s="272"/>
      <c r="Q51" s="272"/>
      <c r="R51" s="273"/>
      <c r="S51" s="49"/>
    </row>
    <row r="52" spans="2:19" x14ac:dyDescent="0.2">
      <c r="B52" s="271"/>
      <c r="C52" s="272"/>
      <c r="D52" s="272"/>
      <c r="E52" s="272"/>
      <c r="F52" s="272"/>
      <c r="G52" s="272"/>
      <c r="H52" s="272"/>
      <c r="I52" s="272"/>
      <c r="J52" s="272"/>
      <c r="K52" s="272"/>
      <c r="L52" s="272"/>
      <c r="M52" s="272"/>
      <c r="N52" s="272"/>
      <c r="O52" s="272"/>
      <c r="P52" s="272"/>
      <c r="Q52" s="272"/>
      <c r="R52" s="273"/>
      <c r="S52" s="49"/>
    </row>
    <row r="53" spans="2:19" x14ac:dyDescent="0.2">
      <c r="B53" s="271"/>
      <c r="C53" s="272"/>
      <c r="D53" s="272"/>
      <c r="E53" s="272"/>
      <c r="F53" s="272"/>
      <c r="G53" s="272"/>
      <c r="H53" s="272"/>
      <c r="I53" s="272"/>
      <c r="J53" s="272"/>
      <c r="K53" s="272"/>
      <c r="L53" s="272"/>
      <c r="M53" s="272"/>
      <c r="N53" s="272"/>
      <c r="O53" s="272"/>
      <c r="P53" s="272"/>
      <c r="Q53" s="272"/>
      <c r="R53" s="273"/>
      <c r="S53" s="49"/>
    </row>
    <row r="54" spans="2:19" x14ac:dyDescent="0.2">
      <c r="B54" s="271"/>
      <c r="C54" s="272"/>
      <c r="D54" s="272"/>
      <c r="E54" s="272"/>
      <c r="F54" s="272"/>
      <c r="G54" s="272"/>
      <c r="H54" s="272"/>
      <c r="I54" s="272"/>
      <c r="J54" s="272"/>
      <c r="K54" s="272"/>
      <c r="L54" s="272"/>
      <c r="M54" s="272"/>
      <c r="N54" s="272"/>
      <c r="O54" s="272"/>
      <c r="P54" s="272"/>
      <c r="Q54" s="272"/>
      <c r="R54" s="273"/>
      <c r="S54" s="49"/>
    </row>
    <row r="55" spans="2:19" x14ac:dyDescent="0.2">
      <c r="B55" s="271"/>
      <c r="C55" s="272"/>
      <c r="D55" s="272"/>
      <c r="E55" s="272"/>
      <c r="F55" s="272"/>
      <c r="G55" s="272"/>
      <c r="H55" s="272"/>
      <c r="I55" s="272"/>
      <c r="J55" s="272"/>
      <c r="K55" s="272"/>
      <c r="L55" s="272"/>
      <c r="M55" s="272"/>
      <c r="N55" s="272"/>
      <c r="O55" s="272"/>
      <c r="P55" s="272"/>
      <c r="Q55" s="272"/>
      <c r="R55" s="273"/>
      <c r="S55" s="49"/>
    </row>
    <row r="56" spans="2:19" ht="15.75" thickBot="1" x14ac:dyDescent="0.25">
      <c r="B56" s="274"/>
      <c r="C56" s="275"/>
      <c r="D56" s="275"/>
      <c r="E56" s="275"/>
      <c r="F56" s="275"/>
      <c r="G56" s="275"/>
      <c r="H56" s="275"/>
      <c r="I56" s="275"/>
      <c r="J56" s="275"/>
      <c r="K56" s="275"/>
      <c r="L56" s="275"/>
      <c r="M56" s="275"/>
      <c r="N56" s="275"/>
      <c r="O56" s="275"/>
      <c r="P56" s="275"/>
      <c r="Q56" s="275"/>
      <c r="R56" s="276"/>
      <c r="S56" s="49"/>
    </row>
    <row r="57" spans="2:19" x14ac:dyDescent="0.2">
      <c r="S57" s="49"/>
    </row>
    <row r="58" spans="2:19" x14ac:dyDescent="0.2">
      <c r="S58" s="49"/>
    </row>
    <row r="59" spans="2:19" x14ac:dyDescent="0.2">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sheetData>
  <sortState ref="C34:E37">
    <sortCondition descending="1" ref="E34"/>
  </sortState>
  <mergeCells count="6">
    <mergeCell ref="B50:R56"/>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7"/>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2" t="s">
        <v>281</v>
      </c>
      <c r="D3" s="262"/>
      <c r="E3" s="262"/>
      <c r="F3" s="262"/>
      <c r="G3" s="262"/>
      <c r="H3" s="262"/>
      <c r="I3" s="262"/>
      <c r="J3" s="262"/>
      <c r="K3" s="262"/>
      <c r="L3" s="262"/>
      <c r="M3" s="262"/>
      <c r="N3" s="263"/>
    </row>
    <row r="4" spans="2:18" ht="15.75" x14ac:dyDescent="0.25">
      <c r="B4" s="93"/>
      <c r="C4" s="67" t="s">
        <v>405</v>
      </c>
      <c r="D4" s="29"/>
      <c r="E4" s="29"/>
      <c r="F4" s="5"/>
      <c r="G4" s="5"/>
      <c r="H4" s="5"/>
      <c r="I4" s="5"/>
      <c r="J4" s="5"/>
      <c r="K4" s="5"/>
      <c r="L4" s="5"/>
      <c r="M4" s="5"/>
      <c r="N4" s="20"/>
    </row>
    <row r="5" spans="2:18" ht="20.25" customHeight="1" x14ac:dyDescent="0.2">
      <c r="B5" s="93"/>
      <c r="C5" s="221" t="s">
        <v>406</v>
      </c>
      <c r="D5" s="279" t="s">
        <v>383</v>
      </c>
      <c r="E5" s="279"/>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31" t="s">
        <v>44</v>
      </c>
      <c r="E7" s="119" t="s">
        <v>45</v>
      </c>
      <c r="F7" s="5"/>
      <c r="G7" s="264" t="s">
        <v>46</v>
      </c>
      <c r="H7" s="264"/>
      <c r="I7" s="264"/>
      <c r="J7" s="264"/>
      <c r="K7" s="264"/>
      <c r="L7" s="264"/>
      <c r="M7" s="264"/>
      <c r="N7" s="265"/>
    </row>
    <row r="8" spans="2:18" x14ac:dyDescent="0.2">
      <c r="B8" s="93"/>
      <c r="C8" s="228" t="s">
        <v>134</v>
      </c>
      <c r="D8" s="196" t="s">
        <v>112</v>
      </c>
      <c r="E8" s="203">
        <v>1.4496999999999999E-2</v>
      </c>
      <c r="F8" s="5"/>
      <c r="G8" s="245" t="s">
        <v>47</v>
      </c>
      <c r="H8" s="250">
        <f>100%-H9-H10</f>
        <v>0.89883699999999989</v>
      </c>
      <c r="I8" s="247">
        <f>H8/SUM($H$8:$H$10)</f>
        <v>0.89883699999999989</v>
      </c>
      <c r="J8" s="245"/>
      <c r="K8" s="246"/>
      <c r="L8" s="245"/>
      <c r="M8" s="5"/>
      <c r="N8" s="20"/>
      <c r="R8" s="49"/>
    </row>
    <row r="9" spans="2:18" ht="15.75" customHeight="1" x14ac:dyDescent="0.2">
      <c r="B9" s="93"/>
      <c r="C9" s="187" t="s">
        <v>136</v>
      </c>
      <c r="D9" s="196" t="s">
        <v>110</v>
      </c>
      <c r="E9" s="204">
        <v>1.0108000000000001E-2</v>
      </c>
      <c r="F9" s="5"/>
      <c r="G9" s="245" t="s">
        <v>57</v>
      </c>
      <c r="H9" s="250">
        <f>E31+E32</f>
        <v>6.7301E-2</v>
      </c>
      <c r="I9" s="247">
        <f t="shared" ref="I9:I10" si="0">H9/SUM($H$8:$H$10)</f>
        <v>6.7301E-2</v>
      </c>
      <c r="J9" s="245" t="s">
        <v>41</v>
      </c>
      <c r="K9" s="246">
        <f>E34</f>
        <v>0.193077</v>
      </c>
      <c r="L9" s="245"/>
      <c r="M9" s="5"/>
      <c r="N9" s="20"/>
      <c r="R9" s="49"/>
    </row>
    <row r="10" spans="2:18" x14ac:dyDescent="0.2">
      <c r="B10" s="93"/>
      <c r="C10" s="187" t="s">
        <v>150</v>
      </c>
      <c r="D10" s="196" t="s">
        <v>121</v>
      </c>
      <c r="E10" s="204">
        <v>8.4550000000000007E-3</v>
      </c>
      <c r="F10" s="31"/>
      <c r="G10" s="245" t="s">
        <v>48</v>
      </c>
      <c r="H10" s="250">
        <f>E30</f>
        <v>3.3862000000000003E-2</v>
      </c>
      <c r="I10" s="247">
        <f t="shared" si="0"/>
        <v>3.3862000000000003E-2</v>
      </c>
      <c r="J10" s="245" t="s">
        <v>97</v>
      </c>
      <c r="K10" s="246">
        <f>E19+E22+E24</f>
        <v>0.22153699999999998</v>
      </c>
      <c r="L10" s="245"/>
      <c r="M10" s="5"/>
      <c r="N10" s="20"/>
      <c r="R10" s="49"/>
    </row>
    <row r="11" spans="2:18" x14ac:dyDescent="0.2">
      <c r="B11" s="93"/>
      <c r="C11" s="187" t="s">
        <v>33</v>
      </c>
      <c r="D11" s="196" t="s">
        <v>107</v>
      </c>
      <c r="E11" s="204">
        <v>7.8899999999999994E-3</v>
      </c>
      <c r="F11" s="5"/>
      <c r="G11" s="249"/>
      <c r="H11" s="249"/>
      <c r="I11" s="245"/>
      <c r="J11" s="245" t="s">
        <v>20</v>
      </c>
      <c r="K11" s="246">
        <f>E43</f>
        <v>0.15904099999999999</v>
      </c>
      <c r="L11" s="245"/>
      <c r="M11" s="5"/>
      <c r="N11" s="20"/>
      <c r="R11" s="49"/>
    </row>
    <row r="12" spans="2:18" ht="15.75" customHeight="1" x14ac:dyDescent="0.2">
      <c r="B12" s="93"/>
      <c r="C12" s="187" t="s">
        <v>148</v>
      </c>
      <c r="D12" s="196" t="s">
        <v>107</v>
      </c>
      <c r="E12" s="204">
        <v>7.7149999999999996E-3</v>
      </c>
      <c r="F12" s="31"/>
      <c r="G12" s="245"/>
      <c r="H12" s="246"/>
      <c r="I12" s="245"/>
      <c r="J12" s="245" t="s">
        <v>42</v>
      </c>
      <c r="K12" s="246">
        <f>E41</f>
        <v>0.42318499999999998</v>
      </c>
      <c r="L12" s="245"/>
      <c r="M12" s="5"/>
      <c r="N12" s="20"/>
      <c r="R12" s="49"/>
    </row>
    <row r="13" spans="2:18" x14ac:dyDescent="0.2">
      <c r="B13" s="93"/>
      <c r="C13" s="187" t="s">
        <v>105</v>
      </c>
      <c r="D13" s="196" t="s">
        <v>4</v>
      </c>
      <c r="E13" s="204">
        <v>7.6800000000000002E-3</v>
      </c>
      <c r="F13" s="31"/>
      <c r="G13" s="245"/>
      <c r="H13" s="245"/>
      <c r="I13" s="245"/>
      <c r="J13" s="245"/>
      <c r="K13" s="246"/>
      <c r="L13" s="245"/>
      <c r="M13" s="5"/>
      <c r="N13" s="20"/>
      <c r="R13" s="49"/>
    </row>
    <row r="14" spans="2:18" x14ac:dyDescent="0.2">
      <c r="B14" s="93"/>
      <c r="C14" s="187" t="s">
        <v>29</v>
      </c>
      <c r="D14" s="196" t="s">
        <v>3</v>
      </c>
      <c r="E14" s="204">
        <v>6.9950000000000003E-3</v>
      </c>
      <c r="F14" s="31"/>
      <c r="G14" s="245"/>
      <c r="H14" s="245"/>
      <c r="I14" s="245"/>
      <c r="J14" s="1" t="s">
        <v>202</v>
      </c>
      <c r="K14" s="251">
        <f>E27</f>
        <v>3.16E-3</v>
      </c>
      <c r="L14" s="245"/>
      <c r="M14" s="5"/>
      <c r="N14" s="20"/>
      <c r="R14" s="49"/>
    </row>
    <row r="15" spans="2:18" x14ac:dyDescent="0.2">
      <c r="B15" s="93"/>
      <c r="C15" s="187" t="s">
        <v>36</v>
      </c>
      <c r="D15" s="196" t="s">
        <v>3</v>
      </c>
      <c r="E15" s="204">
        <v>2.7829999999999999E-3</v>
      </c>
      <c r="F15" s="5"/>
      <c r="G15" s="245"/>
      <c r="H15" s="245"/>
      <c r="I15" s="245"/>
      <c r="J15" s="1"/>
      <c r="K15" s="1"/>
      <c r="L15" s="245"/>
      <c r="M15" s="5"/>
      <c r="N15" s="20"/>
      <c r="R15" s="49"/>
    </row>
    <row r="16" spans="2:18" x14ac:dyDescent="0.2">
      <c r="B16" s="93"/>
      <c r="C16" s="187" t="s">
        <v>135</v>
      </c>
      <c r="D16" s="196" t="s">
        <v>3</v>
      </c>
      <c r="E16" s="204">
        <v>1.9499999999999999E-3</v>
      </c>
      <c r="F16" s="5"/>
      <c r="G16" s="245"/>
      <c r="H16" s="245"/>
      <c r="I16" s="245"/>
      <c r="J16" s="245"/>
      <c r="K16" s="245"/>
      <c r="L16" s="245"/>
      <c r="M16" s="5"/>
      <c r="N16" s="20"/>
      <c r="R16" s="49"/>
    </row>
    <row r="17" spans="2:18" x14ac:dyDescent="0.2">
      <c r="B17" s="93"/>
      <c r="C17" s="187"/>
      <c r="D17" s="196"/>
      <c r="E17" s="204"/>
      <c r="F17" s="5"/>
      <c r="G17" s="5"/>
      <c r="H17" s="5"/>
      <c r="I17" s="5"/>
      <c r="J17" s="5"/>
      <c r="K17" s="5"/>
      <c r="L17" s="5"/>
      <c r="M17" s="5"/>
      <c r="N17" s="20"/>
      <c r="R17" s="49"/>
    </row>
    <row r="18" spans="2:18" x14ac:dyDescent="0.2">
      <c r="B18" s="93"/>
      <c r="C18" s="187"/>
      <c r="D18" s="196"/>
      <c r="E18" s="204"/>
      <c r="F18" s="5"/>
      <c r="G18" s="5"/>
      <c r="H18" s="5"/>
      <c r="I18" s="5"/>
      <c r="J18" s="5"/>
      <c r="K18" s="5"/>
      <c r="L18" s="5"/>
      <c r="M18" s="5"/>
      <c r="N18" s="20"/>
      <c r="R18" s="49"/>
    </row>
    <row r="19" spans="2:18" ht="15.75" x14ac:dyDescent="0.2">
      <c r="B19" s="93"/>
      <c r="C19" s="229" t="s">
        <v>56</v>
      </c>
      <c r="D19" s="117"/>
      <c r="E19" s="230">
        <v>6.8072999999999995E-2</v>
      </c>
      <c r="F19" s="5"/>
      <c r="G19" s="5"/>
      <c r="H19" s="5"/>
      <c r="I19" s="5"/>
      <c r="J19" s="5"/>
      <c r="K19" s="5"/>
      <c r="L19" s="5"/>
      <c r="M19" s="5"/>
      <c r="N19" s="20"/>
      <c r="R19" s="49"/>
    </row>
    <row r="20" spans="2:18" ht="15.75" customHeight="1" x14ac:dyDescent="0.25">
      <c r="B20" s="93"/>
      <c r="C20" s="213"/>
      <c r="D20" s="4"/>
      <c r="E20" s="46"/>
      <c r="F20" s="5"/>
      <c r="G20" s="282" t="s">
        <v>100</v>
      </c>
      <c r="H20" s="283"/>
      <c r="I20" s="283"/>
      <c r="J20" s="283"/>
      <c r="K20" s="283"/>
      <c r="L20" s="181">
        <v>11.894072500579052</v>
      </c>
      <c r="M20" s="106"/>
      <c r="N20" s="107"/>
      <c r="R20" s="49"/>
    </row>
    <row r="21" spans="2:18" x14ac:dyDescent="0.2">
      <c r="B21" s="93"/>
      <c r="C21" s="213" t="s">
        <v>173</v>
      </c>
      <c r="D21" s="4"/>
      <c r="E21" s="215">
        <v>0.15346399999999999</v>
      </c>
      <c r="F21" s="5"/>
      <c r="G21" s="5"/>
      <c r="H21" s="5"/>
      <c r="I21" s="5"/>
      <c r="J21" s="5"/>
      <c r="K21" s="5"/>
      <c r="L21" s="5"/>
      <c r="M21" s="5"/>
      <c r="N21" s="20"/>
      <c r="R21" s="49"/>
    </row>
    <row r="22" spans="2:18" ht="15.75" x14ac:dyDescent="0.2">
      <c r="B22" s="93"/>
      <c r="C22" s="128" t="s">
        <v>82</v>
      </c>
      <c r="D22" s="108"/>
      <c r="E22" s="191">
        <v>0.15346399999999999</v>
      </c>
      <c r="F22" s="5"/>
      <c r="G22" s="31"/>
      <c r="H22" s="31"/>
      <c r="I22" s="31"/>
      <c r="J22" s="5"/>
      <c r="K22" s="31"/>
      <c r="L22" s="5"/>
      <c r="M22" s="5"/>
      <c r="N22" s="20"/>
      <c r="R22" s="49"/>
    </row>
    <row r="23" spans="2:18" ht="15.75" customHeight="1" x14ac:dyDescent="0.2">
      <c r="B23" s="93"/>
      <c r="C23" s="222"/>
      <c r="D23" s="113"/>
      <c r="E23" s="243"/>
      <c r="F23" s="5"/>
      <c r="G23" s="264" t="s">
        <v>50</v>
      </c>
      <c r="H23" s="264"/>
      <c r="I23" s="264"/>
      <c r="J23" s="264"/>
      <c r="K23" s="264"/>
      <c r="L23" s="264"/>
      <c r="M23" s="264"/>
      <c r="N23" s="265"/>
      <c r="R23" s="49"/>
    </row>
    <row r="24" spans="2:18" ht="15.75" x14ac:dyDescent="0.2">
      <c r="B24" s="93"/>
      <c r="C24" s="128" t="s">
        <v>66</v>
      </c>
      <c r="D24" s="108"/>
      <c r="E24" s="216">
        <v>0</v>
      </c>
      <c r="F24" s="5"/>
      <c r="G24" s="5"/>
      <c r="H24" s="5"/>
      <c r="I24" s="5"/>
      <c r="J24" s="5"/>
      <c r="K24" s="5"/>
      <c r="L24" s="5"/>
      <c r="M24" s="5"/>
      <c r="N24" s="20"/>
      <c r="R24" s="49"/>
    </row>
    <row r="25" spans="2:18" x14ac:dyDescent="0.2">
      <c r="B25" s="93"/>
      <c r="C25" s="102"/>
      <c r="D25" s="38"/>
      <c r="E25" s="227"/>
      <c r="F25" s="5"/>
      <c r="G25" s="5"/>
      <c r="H25" s="5"/>
      <c r="I25" s="5"/>
      <c r="J25" s="5"/>
      <c r="K25" s="5"/>
      <c r="L25" s="5"/>
      <c r="M25" s="5"/>
      <c r="N25" s="20"/>
      <c r="R25" s="49"/>
    </row>
    <row r="26" spans="2:18" x14ac:dyDescent="0.2">
      <c r="B26" s="93"/>
      <c r="C26" s="102" t="s">
        <v>202</v>
      </c>
      <c r="D26" s="38"/>
      <c r="E26" s="215">
        <v>3.16E-3</v>
      </c>
      <c r="F26" s="5"/>
      <c r="G26" s="5"/>
      <c r="H26" s="5"/>
      <c r="I26" s="5"/>
      <c r="J26" s="5"/>
      <c r="K26" s="5"/>
      <c r="L26" s="5"/>
      <c r="M26" s="5"/>
      <c r="N26" s="20"/>
      <c r="R26" s="49"/>
    </row>
    <row r="27" spans="2:18" ht="15.75" x14ac:dyDescent="0.2">
      <c r="B27" s="93"/>
      <c r="C27" s="128" t="s">
        <v>202</v>
      </c>
      <c r="D27" s="108"/>
      <c r="E27" s="191">
        <v>3.16E-3</v>
      </c>
      <c r="F27" s="5"/>
      <c r="G27" s="5"/>
      <c r="H27" s="5"/>
      <c r="I27" s="5"/>
      <c r="J27" s="5"/>
      <c r="K27" s="5"/>
      <c r="L27" s="5"/>
      <c r="M27" s="5"/>
      <c r="N27" s="20"/>
      <c r="R27" s="49"/>
    </row>
    <row r="28" spans="2:18" s="48" customFormat="1" x14ac:dyDescent="0.2">
      <c r="B28" s="110"/>
      <c r="C28" s="102"/>
      <c r="D28" s="200"/>
      <c r="E28" s="215"/>
      <c r="F28" s="41"/>
      <c r="G28" s="41"/>
      <c r="H28" s="41"/>
      <c r="I28" s="41"/>
      <c r="J28" s="41"/>
      <c r="K28" s="41"/>
      <c r="L28" s="41"/>
      <c r="M28" s="41"/>
      <c r="N28" s="111"/>
      <c r="R28" s="112"/>
    </row>
    <row r="29" spans="2:18" x14ac:dyDescent="0.2">
      <c r="B29" s="93"/>
      <c r="C29" s="212" t="s">
        <v>81</v>
      </c>
      <c r="D29" s="200" t="s">
        <v>63</v>
      </c>
      <c r="E29" s="215">
        <v>8.3711999999999995E-2</v>
      </c>
      <c r="F29" s="5"/>
      <c r="G29" s="5"/>
      <c r="H29" s="5"/>
      <c r="I29" s="5"/>
      <c r="J29" s="5"/>
      <c r="K29" s="5"/>
      <c r="L29" s="5"/>
      <c r="M29" s="5"/>
      <c r="N29" s="20"/>
      <c r="R29" s="49"/>
    </row>
    <row r="30" spans="2:18" x14ac:dyDescent="0.2">
      <c r="B30" s="93"/>
      <c r="C30" s="102" t="s">
        <v>278</v>
      </c>
      <c r="D30" s="200" t="s">
        <v>293</v>
      </c>
      <c r="E30" s="215">
        <v>3.3862000000000003E-2</v>
      </c>
      <c r="F30" s="5"/>
      <c r="G30" s="5"/>
      <c r="H30" s="5"/>
      <c r="I30" s="5"/>
      <c r="J30" s="5"/>
      <c r="K30" s="5"/>
      <c r="L30" s="5"/>
      <c r="M30" s="5"/>
      <c r="N30" s="20"/>
      <c r="R30" s="49"/>
    </row>
    <row r="31" spans="2:18" x14ac:dyDescent="0.2">
      <c r="B31" s="93"/>
      <c r="C31" s="102" t="s">
        <v>282</v>
      </c>
      <c r="D31" s="200" t="s">
        <v>280</v>
      </c>
      <c r="E31" s="232">
        <v>3.3672000000000001E-2</v>
      </c>
      <c r="F31" s="5"/>
      <c r="G31" s="5"/>
      <c r="H31" s="5"/>
      <c r="I31" s="5"/>
      <c r="J31" s="5"/>
      <c r="K31" s="5"/>
      <c r="L31" s="5"/>
      <c r="M31" s="5"/>
      <c r="N31" s="20"/>
      <c r="R31" s="49"/>
    </row>
    <row r="32" spans="2:18" x14ac:dyDescent="0.2">
      <c r="B32" s="93"/>
      <c r="C32" s="102" t="s">
        <v>279</v>
      </c>
      <c r="D32" s="200" t="s">
        <v>280</v>
      </c>
      <c r="E32" s="232">
        <v>3.3628999999999999E-2</v>
      </c>
      <c r="F32" s="5"/>
      <c r="G32" s="5"/>
      <c r="H32" s="5"/>
      <c r="I32" s="5"/>
      <c r="J32" s="5"/>
      <c r="K32" s="5"/>
      <c r="L32" s="5"/>
      <c r="M32" s="5"/>
      <c r="N32" s="20"/>
      <c r="R32" s="49"/>
    </row>
    <row r="33" spans="1:18" x14ac:dyDescent="0.2">
      <c r="B33" s="93"/>
      <c r="C33" s="212" t="s">
        <v>69</v>
      </c>
      <c r="D33" s="200" t="s">
        <v>63</v>
      </c>
      <c r="E33" s="215">
        <v>8.2019999999999992E-3</v>
      </c>
      <c r="F33" s="5"/>
      <c r="G33" s="5"/>
      <c r="H33" s="5"/>
      <c r="I33" s="5"/>
      <c r="J33" s="5"/>
      <c r="K33" s="5"/>
      <c r="L33" s="5"/>
      <c r="M33" s="5"/>
      <c r="N33" s="20"/>
      <c r="R33" s="49"/>
    </row>
    <row r="34" spans="1:18" ht="15.75" x14ac:dyDescent="0.2">
      <c r="B34" s="93"/>
      <c r="C34" s="128" t="s">
        <v>49</v>
      </c>
      <c r="D34" s="108"/>
      <c r="E34" s="216">
        <v>0.193077</v>
      </c>
      <c r="F34" s="5"/>
      <c r="G34" s="5"/>
      <c r="H34" s="5"/>
      <c r="I34" s="5"/>
      <c r="J34" s="5"/>
      <c r="K34" s="5"/>
      <c r="L34" s="5"/>
      <c r="M34" s="5"/>
      <c r="N34" s="20"/>
      <c r="R34" s="49"/>
    </row>
    <row r="35" spans="1:18" x14ac:dyDescent="0.2">
      <c r="B35" s="93"/>
      <c r="C35" s="102"/>
      <c r="D35" s="38"/>
      <c r="E35" s="215"/>
      <c r="F35" s="5"/>
      <c r="G35" s="5"/>
      <c r="H35" s="5"/>
      <c r="I35" s="5"/>
      <c r="J35" s="5"/>
      <c r="K35" s="5"/>
      <c r="L35" s="5"/>
      <c r="M35" s="5"/>
      <c r="N35" s="20"/>
      <c r="R35" s="49"/>
    </row>
    <row r="36" spans="1:18" x14ac:dyDescent="0.2">
      <c r="B36" s="93"/>
      <c r="C36" s="102" t="s">
        <v>225</v>
      </c>
      <c r="D36" s="38" t="s">
        <v>61</v>
      </c>
      <c r="E36" s="215">
        <v>0.26100400000000001</v>
      </c>
      <c r="F36" s="5"/>
      <c r="G36" s="5"/>
      <c r="H36" s="5"/>
      <c r="I36" s="5"/>
      <c r="J36" s="5"/>
      <c r="K36" s="5"/>
      <c r="L36" s="5"/>
      <c r="M36" s="5"/>
      <c r="N36" s="20"/>
      <c r="R36" s="49"/>
    </row>
    <row r="37" spans="1:18" x14ac:dyDescent="0.2">
      <c r="B37" s="93"/>
      <c r="C37" s="102" t="s">
        <v>197</v>
      </c>
      <c r="D37" s="38" t="s">
        <v>61</v>
      </c>
      <c r="E37" s="215">
        <v>0.12809999999999999</v>
      </c>
      <c r="F37" s="5"/>
      <c r="G37" s="5"/>
      <c r="H37" s="5"/>
      <c r="I37" s="5"/>
      <c r="J37" s="5"/>
      <c r="K37" s="5"/>
      <c r="L37" s="5"/>
      <c r="M37" s="5"/>
      <c r="N37" s="20"/>
      <c r="R37" s="49"/>
    </row>
    <row r="38" spans="1:18" x14ac:dyDescent="0.2">
      <c r="B38" s="93"/>
      <c r="C38" s="102" t="s">
        <v>103</v>
      </c>
      <c r="D38" s="38" t="s">
        <v>61</v>
      </c>
      <c r="E38" s="215">
        <v>2.2369E-2</v>
      </c>
      <c r="F38" s="5"/>
      <c r="G38" s="5"/>
      <c r="H38" s="5"/>
      <c r="I38" s="5"/>
      <c r="J38" s="5"/>
      <c r="K38" s="5"/>
      <c r="L38" s="5"/>
      <c r="M38" s="5"/>
      <c r="N38" s="20"/>
      <c r="R38" s="49"/>
    </row>
    <row r="39" spans="1:18" x14ac:dyDescent="0.2">
      <c r="B39" s="93"/>
      <c r="C39" s="102" t="s">
        <v>140</v>
      </c>
      <c r="D39" s="38" t="s">
        <v>61</v>
      </c>
      <c r="E39" s="215">
        <v>1.0187999999999999E-2</v>
      </c>
      <c r="F39" s="5"/>
      <c r="G39" s="5"/>
      <c r="H39" s="5"/>
      <c r="I39" s="5"/>
      <c r="J39" s="5"/>
      <c r="K39" s="5"/>
      <c r="L39" s="5"/>
      <c r="M39" s="5"/>
      <c r="N39" s="20"/>
      <c r="R39" s="49"/>
    </row>
    <row r="40" spans="1:18" x14ac:dyDescent="0.2">
      <c r="B40" s="93"/>
      <c r="C40" s="102" t="s">
        <v>67</v>
      </c>
      <c r="D40" s="38" t="s">
        <v>61</v>
      </c>
      <c r="E40" s="215">
        <v>1.524E-3</v>
      </c>
      <c r="F40" s="5"/>
      <c r="G40" s="5"/>
      <c r="H40" s="5"/>
      <c r="I40" s="5"/>
      <c r="J40" s="5"/>
      <c r="K40" s="5"/>
      <c r="L40" s="5"/>
      <c r="M40" s="5"/>
      <c r="N40" s="20"/>
      <c r="R40" s="49"/>
    </row>
    <row r="41" spans="1:18" ht="15.75" x14ac:dyDescent="0.2">
      <c r="B41" s="93"/>
      <c r="C41" s="128" t="s">
        <v>42</v>
      </c>
      <c r="D41" s="108"/>
      <c r="E41" s="191">
        <v>0.42318499999999998</v>
      </c>
      <c r="F41" s="5"/>
      <c r="G41" s="5"/>
      <c r="H41" s="5"/>
      <c r="I41" s="5"/>
      <c r="J41" s="5"/>
      <c r="K41" s="5"/>
      <c r="L41" s="5"/>
      <c r="M41" s="5"/>
      <c r="N41" s="20"/>
      <c r="R41" s="49"/>
    </row>
    <row r="42" spans="1:18" x14ac:dyDescent="0.2">
      <c r="B42" s="93"/>
      <c r="C42" s="102"/>
      <c r="D42" s="38"/>
      <c r="E42" s="217"/>
      <c r="F42" s="5"/>
      <c r="G42" s="5"/>
      <c r="H42" s="5"/>
      <c r="I42" s="5"/>
      <c r="J42" s="5"/>
      <c r="K42" s="5"/>
      <c r="L42" s="5"/>
      <c r="M42" s="5"/>
      <c r="N42" s="20"/>
      <c r="R42" s="49"/>
    </row>
    <row r="43" spans="1:18" ht="15.75" x14ac:dyDescent="0.2">
      <c r="B43" s="93"/>
      <c r="C43" s="128" t="s">
        <v>20</v>
      </c>
      <c r="D43" s="108"/>
      <c r="E43" s="216">
        <v>0.15904099999999999</v>
      </c>
      <c r="F43" s="5"/>
      <c r="G43" s="5"/>
      <c r="H43" s="5"/>
      <c r="I43" s="5"/>
      <c r="J43" s="5"/>
      <c r="K43" s="5"/>
      <c r="L43" s="5"/>
      <c r="M43" s="5"/>
      <c r="N43" s="20"/>
      <c r="R43" s="49"/>
    </row>
    <row r="44" spans="1:18" x14ac:dyDescent="0.2">
      <c r="B44" s="93"/>
      <c r="C44" s="213"/>
      <c r="D44" s="4"/>
      <c r="E44" s="218"/>
      <c r="F44" s="5"/>
      <c r="G44" s="44"/>
      <c r="H44" s="5"/>
      <c r="I44" s="5"/>
      <c r="J44" s="5"/>
      <c r="K44" s="5"/>
      <c r="L44" s="5"/>
      <c r="M44" s="5"/>
      <c r="N44" s="20"/>
      <c r="R44" s="49"/>
    </row>
    <row r="45" spans="1:18" ht="15.75" x14ac:dyDescent="0.2">
      <c r="B45" s="93"/>
      <c r="C45" s="214" t="s">
        <v>21</v>
      </c>
      <c r="D45" s="115"/>
      <c r="E45" s="219">
        <f>E43+E41+E34+E27+E24+E22+E19</f>
        <v>1</v>
      </c>
      <c r="F45" s="5"/>
      <c r="G45" s="5"/>
      <c r="H45" s="5"/>
      <c r="I45" s="5"/>
      <c r="J45" s="5"/>
      <c r="K45" s="5"/>
      <c r="L45" s="5"/>
      <c r="M45" s="5"/>
      <c r="N45" s="20"/>
      <c r="R45" s="49"/>
    </row>
    <row r="46" spans="1:18" x14ac:dyDescent="0.2">
      <c r="A46" s="5"/>
      <c r="B46" s="93"/>
      <c r="F46" s="5"/>
      <c r="J46" s="5"/>
      <c r="K46" s="5"/>
      <c r="L46" s="5"/>
      <c r="M46" s="5"/>
      <c r="N46" s="20"/>
      <c r="O46" s="5"/>
      <c r="R46" s="49"/>
    </row>
    <row r="47" spans="1:18" x14ac:dyDescent="0.2">
      <c r="A47" s="5"/>
      <c r="B47" s="93"/>
      <c r="F47" s="5"/>
      <c r="G47" s="5"/>
      <c r="H47" s="5"/>
      <c r="I47" s="5"/>
      <c r="J47" s="5"/>
      <c r="K47" s="5"/>
      <c r="L47" s="5"/>
      <c r="M47" s="5"/>
      <c r="N47" s="20"/>
      <c r="O47" s="5"/>
      <c r="R47" s="49"/>
    </row>
    <row r="48" spans="1:18" ht="15.75" thickBot="1" x14ac:dyDescent="0.25">
      <c r="A48" s="5"/>
      <c r="B48" s="96"/>
      <c r="C48" s="54"/>
      <c r="D48" s="54"/>
      <c r="E48" s="55"/>
      <c r="F48" s="45"/>
      <c r="G48" s="45"/>
      <c r="H48" s="45"/>
      <c r="I48" s="45"/>
      <c r="J48" s="45"/>
      <c r="K48" s="45"/>
      <c r="L48" s="45"/>
      <c r="M48" s="45"/>
      <c r="N48" s="118"/>
      <c r="O48" s="5"/>
      <c r="R48" s="49"/>
    </row>
    <row r="49" spans="2:18" ht="15.75" thickBot="1" x14ac:dyDescent="0.25">
      <c r="R49" s="49"/>
    </row>
    <row r="50" spans="2:18" ht="15" customHeight="1" x14ac:dyDescent="0.2">
      <c r="B50" s="268" t="s">
        <v>182</v>
      </c>
      <c r="C50" s="269"/>
      <c r="D50" s="269"/>
      <c r="E50" s="269"/>
      <c r="F50" s="269"/>
      <c r="G50" s="269"/>
      <c r="H50" s="269"/>
      <c r="I50" s="269"/>
      <c r="J50" s="269"/>
      <c r="K50" s="269"/>
      <c r="L50" s="269"/>
      <c r="M50" s="269"/>
      <c r="N50" s="269"/>
      <c r="O50" s="269"/>
      <c r="P50" s="269"/>
      <c r="Q50" s="269"/>
      <c r="R50" s="270"/>
    </row>
    <row r="51" spans="2:18" x14ac:dyDescent="0.2">
      <c r="B51" s="271"/>
      <c r="C51" s="272"/>
      <c r="D51" s="272"/>
      <c r="E51" s="272"/>
      <c r="F51" s="272"/>
      <c r="G51" s="272"/>
      <c r="H51" s="272"/>
      <c r="I51" s="272"/>
      <c r="J51" s="272"/>
      <c r="K51" s="272"/>
      <c r="L51" s="272"/>
      <c r="M51" s="272"/>
      <c r="N51" s="272"/>
      <c r="O51" s="272"/>
      <c r="P51" s="272"/>
      <c r="Q51" s="272"/>
      <c r="R51" s="273"/>
    </row>
    <row r="52" spans="2:18" x14ac:dyDescent="0.2">
      <c r="B52" s="271"/>
      <c r="C52" s="272"/>
      <c r="D52" s="272"/>
      <c r="E52" s="272"/>
      <c r="F52" s="272"/>
      <c r="G52" s="272"/>
      <c r="H52" s="272"/>
      <c r="I52" s="272"/>
      <c r="J52" s="272"/>
      <c r="K52" s="272"/>
      <c r="L52" s="272"/>
      <c r="M52" s="272"/>
      <c r="N52" s="272"/>
      <c r="O52" s="272"/>
      <c r="P52" s="272"/>
      <c r="Q52" s="272"/>
      <c r="R52" s="273"/>
    </row>
    <row r="53" spans="2:18" x14ac:dyDescent="0.2">
      <c r="B53" s="271"/>
      <c r="C53" s="272"/>
      <c r="D53" s="272"/>
      <c r="E53" s="272"/>
      <c r="F53" s="272"/>
      <c r="G53" s="272"/>
      <c r="H53" s="272"/>
      <c r="I53" s="272"/>
      <c r="J53" s="272"/>
      <c r="K53" s="272"/>
      <c r="L53" s="272"/>
      <c r="M53" s="272"/>
      <c r="N53" s="272"/>
      <c r="O53" s="272"/>
      <c r="P53" s="272"/>
      <c r="Q53" s="272"/>
      <c r="R53" s="273"/>
    </row>
    <row r="54" spans="2:18" x14ac:dyDescent="0.2">
      <c r="B54" s="271"/>
      <c r="C54" s="272"/>
      <c r="D54" s="272"/>
      <c r="E54" s="272"/>
      <c r="F54" s="272"/>
      <c r="G54" s="272"/>
      <c r="H54" s="272"/>
      <c r="I54" s="272"/>
      <c r="J54" s="272"/>
      <c r="K54" s="272"/>
      <c r="L54" s="272"/>
      <c r="M54" s="272"/>
      <c r="N54" s="272"/>
      <c r="O54" s="272"/>
      <c r="P54" s="272"/>
      <c r="Q54" s="272"/>
      <c r="R54" s="273"/>
    </row>
    <row r="55" spans="2:18" x14ac:dyDescent="0.2">
      <c r="B55" s="271"/>
      <c r="C55" s="272"/>
      <c r="D55" s="272"/>
      <c r="E55" s="272"/>
      <c r="F55" s="272"/>
      <c r="G55" s="272"/>
      <c r="H55" s="272"/>
      <c r="I55" s="272"/>
      <c r="J55" s="272"/>
      <c r="K55" s="272"/>
      <c r="L55" s="272"/>
      <c r="M55" s="272"/>
      <c r="N55" s="272"/>
      <c r="O55" s="272"/>
      <c r="P55" s="272"/>
      <c r="Q55" s="272"/>
      <c r="R55" s="273"/>
    </row>
    <row r="56" spans="2:18" ht="15.75" thickBot="1" x14ac:dyDescent="0.25">
      <c r="B56" s="274"/>
      <c r="C56" s="275"/>
      <c r="D56" s="275"/>
      <c r="E56" s="275"/>
      <c r="F56" s="275"/>
      <c r="G56" s="275"/>
      <c r="H56" s="275"/>
      <c r="I56" s="275"/>
      <c r="J56" s="275"/>
      <c r="K56" s="275"/>
      <c r="L56" s="275"/>
      <c r="M56" s="275"/>
      <c r="N56" s="275"/>
      <c r="O56" s="275"/>
      <c r="P56" s="275"/>
      <c r="Q56" s="275"/>
      <c r="R56" s="276"/>
    </row>
    <row r="57" spans="2:18" ht="15.75" thickBot="1" x14ac:dyDescent="0.25">
      <c r="R57" s="49"/>
    </row>
    <row r="58" spans="2:18" x14ac:dyDescent="0.2">
      <c r="B58" s="284" t="s">
        <v>206</v>
      </c>
      <c r="C58" s="285"/>
      <c r="D58" s="285"/>
      <c r="E58" s="285"/>
      <c r="F58" s="285"/>
      <c r="G58" s="285"/>
      <c r="H58" s="285"/>
      <c r="I58" s="285"/>
      <c r="J58" s="285"/>
      <c r="K58" s="285"/>
      <c r="L58" s="285"/>
      <c r="M58" s="285"/>
      <c r="N58" s="286"/>
      <c r="R58" s="49"/>
    </row>
    <row r="59" spans="2:18" x14ac:dyDescent="0.2">
      <c r="B59" s="287"/>
      <c r="C59" s="288"/>
      <c r="D59" s="288"/>
      <c r="E59" s="288"/>
      <c r="F59" s="288"/>
      <c r="G59" s="288"/>
      <c r="H59" s="288"/>
      <c r="I59" s="288"/>
      <c r="J59" s="288"/>
      <c r="K59" s="288"/>
      <c r="L59" s="288"/>
      <c r="M59" s="288"/>
      <c r="N59" s="289"/>
      <c r="R59" s="49"/>
    </row>
    <row r="60" spans="2:18" x14ac:dyDescent="0.2">
      <c r="B60" s="287"/>
      <c r="C60" s="288"/>
      <c r="D60" s="288"/>
      <c r="E60" s="288"/>
      <c r="F60" s="288"/>
      <c r="G60" s="288"/>
      <c r="H60" s="288"/>
      <c r="I60" s="288"/>
      <c r="J60" s="288"/>
      <c r="K60" s="288"/>
      <c r="L60" s="288"/>
      <c r="M60" s="288"/>
      <c r="N60" s="289"/>
      <c r="R60" s="49"/>
    </row>
    <row r="61" spans="2:18" ht="15.75" thickBot="1" x14ac:dyDescent="0.25">
      <c r="B61" s="290"/>
      <c r="C61" s="291"/>
      <c r="D61" s="291"/>
      <c r="E61" s="291"/>
      <c r="F61" s="291"/>
      <c r="G61" s="291"/>
      <c r="H61" s="291"/>
      <c r="I61" s="291"/>
      <c r="J61" s="291"/>
      <c r="K61" s="291"/>
      <c r="L61" s="291"/>
      <c r="M61" s="291"/>
      <c r="N61" s="292"/>
      <c r="R61" s="49"/>
    </row>
    <row r="62" spans="2:18" x14ac:dyDescent="0.2">
      <c r="R62" s="49"/>
    </row>
    <row r="63" spans="2:18" x14ac:dyDescent="0.2">
      <c r="R63" s="49"/>
    </row>
    <row r="64" spans="2: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sheetData>
  <sortState ref="C30:E33">
    <sortCondition descending="1" ref="E29"/>
  </sortState>
  <mergeCells count="7">
    <mergeCell ref="B58:N61"/>
    <mergeCell ref="B50:R56"/>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8"/>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0.42578125" style="3"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2" t="s">
        <v>159</v>
      </c>
      <c r="D3" s="262"/>
      <c r="E3" s="262"/>
      <c r="F3" s="262"/>
      <c r="G3" s="262"/>
      <c r="H3" s="262"/>
      <c r="I3" s="262"/>
      <c r="J3" s="262"/>
      <c r="K3" s="262"/>
      <c r="L3" s="262"/>
      <c r="M3" s="262"/>
      <c r="N3" s="263"/>
    </row>
    <row r="4" spans="2:18" ht="15.75" x14ac:dyDescent="0.25">
      <c r="B4" s="93"/>
      <c r="C4" s="67" t="s">
        <v>405</v>
      </c>
      <c r="D4" s="29"/>
      <c r="E4" s="29"/>
      <c r="F4" s="5"/>
      <c r="G4" s="5"/>
      <c r="H4" s="5"/>
      <c r="I4" s="5"/>
      <c r="J4" s="5"/>
      <c r="K4" s="5"/>
      <c r="L4" s="5"/>
      <c r="M4" s="5"/>
      <c r="N4" s="20"/>
    </row>
    <row r="5" spans="2:18" ht="20.25" customHeight="1" x14ac:dyDescent="0.2">
      <c r="B5" s="93"/>
      <c r="C5" s="221" t="s">
        <v>406</v>
      </c>
      <c r="D5" s="279" t="s">
        <v>384</v>
      </c>
      <c r="E5" s="279"/>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64" t="s">
        <v>46</v>
      </c>
      <c r="H7" s="264"/>
      <c r="I7" s="264"/>
      <c r="J7" s="264"/>
      <c r="K7" s="264"/>
      <c r="L7" s="264"/>
      <c r="M7" s="264"/>
      <c r="N7" s="265"/>
    </row>
    <row r="8" spans="2:18" x14ac:dyDescent="0.2">
      <c r="B8" s="93"/>
      <c r="C8" s="38" t="s">
        <v>70</v>
      </c>
      <c r="D8" s="58" t="s">
        <v>12</v>
      </c>
      <c r="E8" s="6">
        <v>3.2745999999999997E-2</v>
      </c>
      <c r="F8" s="5"/>
      <c r="G8" s="171" t="s">
        <v>47</v>
      </c>
      <c r="H8" s="252">
        <f>100%-H9-H10</f>
        <v>0.97061500000000001</v>
      </c>
      <c r="I8" s="253">
        <f>H8/SUM($H$8:$H$10)</f>
        <v>0.97061500000000001</v>
      </c>
      <c r="J8" s="245"/>
      <c r="K8" s="246"/>
      <c r="L8" s="5"/>
      <c r="M8" s="5"/>
      <c r="N8" s="20"/>
      <c r="R8" s="49"/>
    </row>
    <row r="9" spans="2:18" ht="15.75" customHeight="1" x14ac:dyDescent="0.2">
      <c r="B9" s="93"/>
      <c r="C9" s="38" t="s">
        <v>28</v>
      </c>
      <c r="D9" s="58" t="s">
        <v>107</v>
      </c>
      <c r="E9" s="6">
        <v>3.1628999999999997E-2</v>
      </c>
      <c r="F9" s="5"/>
      <c r="G9" s="171" t="s">
        <v>57</v>
      </c>
      <c r="H9" s="252">
        <f>E31+E32</f>
        <v>1.5334E-2</v>
      </c>
      <c r="I9" s="253">
        <f>H9/SUM($H$8:$H$10)</f>
        <v>1.5334E-2</v>
      </c>
      <c r="J9" s="245" t="s">
        <v>41</v>
      </c>
      <c r="K9" s="246">
        <f>E37</f>
        <v>0.10419199999999999</v>
      </c>
      <c r="L9" s="5"/>
      <c r="M9" s="5"/>
      <c r="N9" s="20"/>
      <c r="R9" s="49"/>
    </row>
    <row r="10" spans="2:18" x14ac:dyDescent="0.2">
      <c r="B10" s="93"/>
      <c r="C10" s="38" t="s">
        <v>32</v>
      </c>
      <c r="D10" s="58" t="s">
        <v>3</v>
      </c>
      <c r="E10" s="6">
        <v>3.1399999999999997E-2</v>
      </c>
      <c r="F10" s="31"/>
      <c r="G10" s="171" t="s">
        <v>48</v>
      </c>
      <c r="H10" s="252">
        <f>E30+E34</f>
        <v>1.4050999999999999E-2</v>
      </c>
      <c r="I10" s="253">
        <f>H10/SUM($H$8:$H$10)</f>
        <v>1.4050999999999999E-2</v>
      </c>
      <c r="J10" s="245" t="s">
        <v>141</v>
      </c>
      <c r="K10" s="246">
        <f>E24+E26</f>
        <v>0.76531300000000002</v>
      </c>
      <c r="L10" s="5"/>
      <c r="M10" s="5"/>
      <c r="N10" s="20"/>
      <c r="R10" s="49"/>
    </row>
    <row r="11" spans="2:18" x14ac:dyDescent="0.2">
      <c r="B11" s="93"/>
      <c r="C11" s="38" t="s">
        <v>31</v>
      </c>
      <c r="D11" s="58" t="s">
        <v>6</v>
      </c>
      <c r="E11" s="6">
        <v>2.9409999999999999E-2</v>
      </c>
      <c r="F11" s="5"/>
      <c r="G11" s="245"/>
      <c r="H11" s="245"/>
      <c r="I11" s="245"/>
      <c r="J11" s="245"/>
      <c r="K11" s="246"/>
      <c r="L11" s="5"/>
      <c r="M11" s="5"/>
      <c r="N11" s="20"/>
      <c r="R11" s="49"/>
    </row>
    <row r="12" spans="2:18" ht="15.75" customHeight="1" x14ac:dyDescent="0.2">
      <c r="B12" s="93"/>
      <c r="C12" s="38" t="s">
        <v>62</v>
      </c>
      <c r="D12" s="58" t="s">
        <v>10</v>
      </c>
      <c r="E12" s="6">
        <v>2.7126000000000001E-2</v>
      </c>
      <c r="F12" s="31"/>
      <c r="G12" s="245"/>
      <c r="H12" s="246"/>
      <c r="I12" s="245"/>
      <c r="J12" s="245" t="s">
        <v>20</v>
      </c>
      <c r="K12" s="246">
        <f>E45</f>
        <v>2.1214999999999998E-2</v>
      </c>
      <c r="L12" s="5"/>
      <c r="M12" s="5"/>
      <c r="N12" s="20"/>
      <c r="R12" s="49"/>
    </row>
    <row r="13" spans="2:18" x14ac:dyDescent="0.2">
      <c r="B13" s="93"/>
      <c r="C13" s="38" t="s">
        <v>36</v>
      </c>
      <c r="D13" s="58" t="s">
        <v>3</v>
      </c>
      <c r="E13" s="6">
        <v>2.6831000000000001E-2</v>
      </c>
      <c r="F13" s="31"/>
      <c r="G13" s="245"/>
      <c r="H13" s="245"/>
      <c r="I13" s="245"/>
      <c r="J13" s="245" t="s">
        <v>42</v>
      </c>
      <c r="K13" s="246">
        <f>E43</f>
        <v>0.10928</v>
      </c>
      <c r="L13" s="5"/>
      <c r="M13" s="5"/>
      <c r="N13" s="20"/>
      <c r="R13" s="49"/>
    </row>
    <row r="14" spans="2:18" x14ac:dyDescent="0.2">
      <c r="B14" s="93"/>
      <c r="C14" s="38" t="s">
        <v>226</v>
      </c>
      <c r="D14" s="58" t="s">
        <v>26</v>
      </c>
      <c r="E14" s="6">
        <v>2.4523E-2</v>
      </c>
      <c r="F14" s="31"/>
      <c r="G14" s="245"/>
      <c r="H14" s="245"/>
      <c r="I14" s="245"/>
      <c r="J14" s="245"/>
      <c r="K14" s="246"/>
      <c r="L14" s="5"/>
      <c r="M14" s="5"/>
      <c r="N14" s="20"/>
      <c r="R14" s="49"/>
    </row>
    <row r="15" spans="2:18" x14ac:dyDescent="0.2">
      <c r="B15" s="93"/>
      <c r="C15" s="38" t="s">
        <v>81</v>
      </c>
      <c r="D15" s="58" t="s">
        <v>4</v>
      </c>
      <c r="E15" s="6">
        <v>2.3626000000000001E-2</v>
      </c>
      <c r="F15" s="5"/>
      <c r="G15" s="245"/>
      <c r="H15" s="245"/>
      <c r="I15" s="245"/>
      <c r="J15" s="245"/>
      <c r="K15" s="246"/>
      <c r="L15" s="5"/>
      <c r="M15" s="5"/>
      <c r="N15" s="20"/>
      <c r="R15" s="49"/>
    </row>
    <row r="16" spans="2:18" x14ac:dyDescent="0.2">
      <c r="B16" s="93"/>
      <c r="C16" s="38" t="s">
        <v>198</v>
      </c>
      <c r="D16" s="58" t="s">
        <v>106</v>
      </c>
      <c r="E16" s="6">
        <v>2.2466E-2</v>
      </c>
      <c r="F16" s="5"/>
      <c r="G16" s="245"/>
      <c r="H16" s="245"/>
      <c r="I16" s="245"/>
      <c r="J16" s="245"/>
      <c r="K16" s="245"/>
      <c r="L16" s="5"/>
      <c r="M16" s="5"/>
      <c r="N16" s="20"/>
      <c r="R16" s="49"/>
    </row>
    <row r="17" spans="2:18" x14ac:dyDescent="0.2">
      <c r="B17" s="93"/>
      <c r="C17" s="38" t="s">
        <v>190</v>
      </c>
      <c r="D17" s="58" t="s">
        <v>107</v>
      </c>
      <c r="E17" s="6">
        <v>1.8762000000000001E-2</v>
      </c>
      <c r="F17" s="5"/>
      <c r="G17" s="245"/>
      <c r="H17" s="245"/>
      <c r="I17" s="245"/>
      <c r="J17" s="245"/>
      <c r="K17" s="245"/>
      <c r="L17" s="5"/>
      <c r="M17" s="5"/>
      <c r="N17" s="20"/>
      <c r="R17" s="49"/>
    </row>
    <row r="18" spans="2:18" x14ac:dyDescent="0.2">
      <c r="B18" s="93"/>
      <c r="C18" s="38" t="s">
        <v>29</v>
      </c>
      <c r="D18" s="58" t="s">
        <v>3</v>
      </c>
      <c r="E18" s="6">
        <v>1.7749000000000001E-2</v>
      </c>
      <c r="F18" s="5"/>
      <c r="G18" s="5"/>
      <c r="H18" s="5"/>
      <c r="I18" s="5"/>
      <c r="J18" s="5"/>
      <c r="K18" s="5"/>
      <c r="L18" s="5"/>
      <c r="M18" s="5"/>
      <c r="N18" s="20"/>
      <c r="R18" s="49"/>
    </row>
    <row r="19" spans="2:18" x14ac:dyDescent="0.2">
      <c r="B19" s="93"/>
      <c r="C19" s="38" t="s">
        <v>69</v>
      </c>
      <c r="D19" s="58" t="s">
        <v>4</v>
      </c>
      <c r="E19" s="6">
        <v>1.7538999999999999E-2</v>
      </c>
      <c r="F19" s="5"/>
      <c r="G19" s="5"/>
      <c r="H19" s="5"/>
      <c r="I19" s="5"/>
      <c r="J19" s="5"/>
      <c r="K19" s="5"/>
      <c r="L19" s="5"/>
      <c r="M19" s="5"/>
      <c r="N19" s="20"/>
      <c r="R19" s="49"/>
    </row>
    <row r="20" spans="2:18" ht="33.75" customHeight="1" x14ac:dyDescent="0.25">
      <c r="B20" s="93"/>
      <c r="C20" s="38" t="s">
        <v>264</v>
      </c>
      <c r="D20" s="58" t="s">
        <v>85</v>
      </c>
      <c r="E20" s="6">
        <v>1.6192000000000002E-2</v>
      </c>
      <c r="F20" s="5"/>
      <c r="G20" s="282" t="s">
        <v>100</v>
      </c>
      <c r="H20" s="283"/>
      <c r="I20" s="283"/>
      <c r="J20" s="283"/>
      <c r="K20" s="283"/>
      <c r="L20" s="181">
        <v>12.42776449076219</v>
      </c>
      <c r="M20" s="106"/>
      <c r="N20" s="177"/>
      <c r="R20" s="49"/>
    </row>
    <row r="21" spans="2:18" ht="30" x14ac:dyDescent="0.2">
      <c r="B21" s="93"/>
      <c r="C21" s="38" t="s">
        <v>259</v>
      </c>
      <c r="D21" s="58" t="s">
        <v>111</v>
      </c>
      <c r="E21" s="6">
        <v>1.5689999999999999E-2</v>
      </c>
      <c r="F21" s="5"/>
      <c r="G21" s="5"/>
      <c r="H21" s="5"/>
      <c r="I21" s="5"/>
      <c r="J21" s="5"/>
      <c r="K21" s="5"/>
      <c r="L21" s="5"/>
      <c r="M21" s="5"/>
      <c r="N21" s="20"/>
      <c r="R21" s="49"/>
    </row>
    <row r="22" spans="2:18" x14ac:dyDescent="0.2">
      <c r="B22" s="93"/>
      <c r="C22" s="38" t="s">
        <v>195</v>
      </c>
      <c r="D22" s="58" t="s">
        <v>107</v>
      </c>
      <c r="E22" s="6">
        <v>1.4678E-2</v>
      </c>
      <c r="F22" s="5"/>
      <c r="G22" s="31"/>
      <c r="H22" s="31"/>
      <c r="I22" s="31"/>
      <c r="J22" s="5"/>
      <c r="K22" s="31"/>
      <c r="L22" s="5"/>
      <c r="M22" s="5"/>
      <c r="N22" s="20"/>
      <c r="R22" s="49"/>
    </row>
    <row r="23" spans="2:18" ht="15.75" customHeight="1" x14ac:dyDescent="0.2">
      <c r="B23" s="93"/>
      <c r="C23" s="38"/>
      <c r="D23" s="4"/>
      <c r="E23" s="6"/>
      <c r="F23" s="5"/>
      <c r="G23" s="264" t="s">
        <v>50</v>
      </c>
      <c r="H23" s="264"/>
      <c r="I23" s="264"/>
      <c r="J23" s="264"/>
      <c r="K23" s="264"/>
      <c r="L23" s="264"/>
      <c r="M23" s="264"/>
      <c r="N23" s="265"/>
      <c r="R23" s="49"/>
    </row>
    <row r="24" spans="2:18" ht="15.75" x14ac:dyDescent="0.2">
      <c r="B24" s="93"/>
      <c r="C24" s="108" t="s">
        <v>56</v>
      </c>
      <c r="D24" s="108"/>
      <c r="E24" s="109">
        <f>SUM(E8:E22)</f>
        <v>0.35036700000000004</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0.41494599999999998</v>
      </c>
      <c r="F26" s="31"/>
      <c r="G26" s="5"/>
      <c r="H26" s="5"/>
      <c r="I26" s="5"/>
      <c r="J26" s="5"/>
      <c r="K26" s="5"/>
      <c r="L26" s="5"/>
      <c r="M26" s="5"/>
      <c r="N26" s="20"/>
      <c r="R26" s="49"/>
    </row>
    <row r="27" spans="2:18" x14ac:dyDescent="0.2">
      <c r="B27" s="93"/>
      <c r="C27" s="38" t="s">
        <v>300</v>
      </c>
      <c r="D27" s="58" t="s">
        <v>63</v>
      </c>
      <c r="E27" s="6">
        <v>3.1718999999999997E-2</v>
      </c>
      <c r="F27" s="5"/>
      <c r="G27" s="5"/>
      <c r="H27" s="5"/>
      <c r="I27" s="5"/>
      <c r="J27" s="5"/>
      <c r="K27" s="5"/>
      <c r="L27" s="5"/>
      <c r="M27" s="5"/>
      <c r="N27" s="20"/>
      <c r="R27" s="49"/>
    </row>
    <row r="28" spans="2:18" s="48" customFormat="1" ht="13.5" customHeight="1" x14ac:dyDescent="0.2">
      <c r="B28" s="110"/>
      <c r="C28" s="38" t="s">
        <v>81</v>
      </c>
      <c r="D28" s="58" t="s">
        <v>63</v>
      </c>
      <c r="E28" s="6">
        <v>1.9071999999999999E-2</v>
      </c>
      <c r="F28" s="41"/>
      <c r="G28" s="41"/>
      <c r="H28" s="41"/>
      <c r="I28" s="41"/>
      <c r="J28" s="41"/>
      <c r="K28" s="41"/>
      <c r="L28" s="41"/>
      <c r="M28" s="41"/>
      <c r="N28" s="111"/>
      <c r="R28" s="112"/>
    </row>
    <row r="29" spans="2:18" x14ac:dyDescent="0.2">
      <c r="B29" s="93"/>
      <c r="C29" s="38" t="s">
        <v>69</v>
      </c>
      <c r="D29" s="58" t="s">
        <v>63</v>
      </c>
      <c r="E29" s="6">
        <v>1.0074E-2</v>
      </c>
      <c r="F29" s="5"/>
      <c r="G29" s="5"/>
      <c r="H29" s="5"/>
      <c r="I29" s="5"/>
      <c r="J29" s="5"/>
      <c r="K29" s="5"/>
      <c r="L29" s="5"/>
      <c r="M29" s="5"/>
      <c r="N29" s="20"/>
      <c r="R29" s="49"/>
    </row>
    <row r="30" spans="2:18" x14ac:dyDescent="0.2">
      <c r="B30" s="93"/>
      <c r="C30" s="38" t="s">
        <v>278</v>
      </c>
      <c r="D30" s="58" t="s">
        <v>293</v>
      </c>
      <c r="E30" s="6">
        <v>7.7149999999999996E-3</v>
      </c>
      <c r="F30" s="5"/>
      <c r="G30" s="5"/>
      <c r="H30" s="5"/>
      <c r="I30" s="5"/>
      <c r="J30" s="5"/>
      <c r="K30" s="5"/>
      <c r="L30" s="5"/>
      <c r="M30" s="5"/>
      <c r="N30" s="20"/>
      <c r="R30" s="49"/>
    </row>
    <row r="31" spans="2:18" x14ac:dyDescent="0.2">
      <c r="B31" s="93"/>
      <c r="C31" s="38" t="s">
        <v>282</v>
      </c>
      <c r="D31" s="58" t="s">
        <v>280</v>
      </c>
      <c r="E31" s="6">
        <v>7.672E-3</v>
      </c>
      <c r="F31" s="5"/>
      <c r="G31" s="5"/>
      <c r="H31" s="5"/>
      <c r="I31" s="5"/>
      <c r="J31" s="5"/>
      <c r="K31" s="5"/>
      <c r="L31" s="5"/>
      <c r="M31" s="5"/>
      <c r="N31" s="20"/>
      <c r="R31" s="49"/>
    </row>
    <row r="32" spans="2:18" x14ac:dyDescent="0.2">
      <c r="B32" s="93"/>
      <c r="C32" s="38" t="s">
        <v>279</v>
      </c>
      <c r="D32" s="58" t="s">
        <v>280</v>
      </c>
      <c r="E32" s="6">
        <v>7.6620000000000004E-3</v>
      </c>
      <c r="F32" s="5"/>
      <c r="G32" s="5"/>
      <c r="H32" s="5"/>
      <c r="I32" s="5"/>
      <c r="J32" s="5"/>
      <c r="K32" s="5"/>
      <c r="L32" s="5"/>
      <c r="M32" s="5"/>
      <c r="N32" s="20"/>
      <c r="R32" s="49"/>
    </row>
    <row r="33" spans="1:18" x14ac:dyDescent="0.2">
      <c r="B33" s="93"/>
      <c r="C33" s="38" t="s">
        <v>29</v>
      </c>
      <c r="D33" s="58" t="s">
        <v>63</v>
      </c>
      <c r="E33" s="6">
        <v>6.3480000000000003E-3</v>
      </c>
      <c r="F33" s="5"/>
      <c r="G33" s="5"/>
      <c r="H33" s="5"/>
      <c r="I33" s="5"/>
      <c r="J33" s="5"/>
      <c r="K33" s="5"/>
      <c r="L33" s="5"/>
      <c r="M33" s="5"/>
      <c r="N33" s="20"/>
      <c r="R33" s="49"/>
    </row>
    <row r="34" spans="1:18" x14ac:dyDescent="0.2">
      <c r="B34" s="93"/>
      <c r="C34" s="38" t="s">
        <v>298</v>
      </c>
      <c r="D34" s="58" t="s">
        <v>293</v>
      </c>
      <c r="E34" s="6">
        <v>6.3359999999999996E-3</v>
      </c>
      <c r="F34" s="5"/>
      <c r="G34" s="5"/>
      <c r="H34" s="5"/>
      <c r="I34" s="5"/>
      <c r="J34" s="5"/>
      <c r="K34" s="5"/>
      <c r="L34" s="5"/>
      <c r="M34" s="5"/>
      <c r="N34" s="20"/>
      <c r="R34" s="49"/>
    </row>
    <row r="35" spans="1:18" x14ac:dyDescent="0.2">
      <c r="B35" s="93"/>
      <c r="C35" s="38" t="s">
        <v>74</v>
      </c>
      <c r="D35" s="58" t="s">
        <v>63</v>
      </c>
      <c r="E35" s="6">
        <v>6.3239999999999998E-3</v>
      </c>
      <c r="F35" s="5"/>
      <c r="G35" s="5"/>
      <c r="H35" s="5"/>
      <c r="I35" s="5"/>
      <c r="J35" s="5"/>
      <c r="K35" s="5"/>
      <c r="L35" s="5"/>
      <c r="M35" s="5"/>
      <c r="N35" s="20"/>
      <c r="R35" s="49"/>
    </row>
    <row r="36" spans="1:18" x14ac:dyDescent="0.2">
      <c r="B36" s="93"/>
      <c r="C36" s="38" t="s">
        <v>76</v>
      </c>
      <c r="D36" s="58" t="s">
        <v>63</v>
      </c>
      <c r="E36" s="6">
        <v>1.2700000000000001E-3</v>
      </c>
      <c r="F36" s="5"/>
      <c r="G36" s="5"/>
      <c r="H36" s="5"/>
      <c r="I36" s="5"/>
      <c r="J36" s="5"/>
      <c r="K36" s="5"/>
      <c r="L36" s="5"/>
      <c r="M36" s="5"/>
      <c r="N36" s="20"/>
      <c r="R36" s="49"/>
    </row>
    <row r="37" spans="1:18" ht="15.75" x14ac:dyDescent="0.2">
      <c r="B37" s="93"/>
      <c r="C37" s="108" t="s">
        <v>49</v>
      </c>
      <c r="D37" s="108"/>
      <c r="E37" s="109">
        <v>0.10419199999999999</v>
      </c>
      <c r="F37" s="5"/>
      <c r="G37" s="5"/>
      <c r="H37" s="5"/>
      <c r="I37" s="5"/>
      <c r="J37" s="5"/>
      <c r="K37" s="5"/>
      <c r="L37" s="5"/>
      <c r="M37" s="5"/>
      <c r="N37" s="20"/>
      <c r="R37" s="49"/>
    </row>
    <row r="38" spans="1:18" x14ac:dyDescent="0.2">
      <c r="B38" s="93"/>
      <c r="C38" s="38" t="s">
        <v>225</v>
      </c>
      <c r="D38" s="4" t="s">
        <v>61</v>
      </c>
      <c r="E38" s="199">
        <v>9.2502000000000001E-2</v>
      </c>
      <c r="F38" s="5"/>
      <c r="G38" s="5"/>
      <c r="H38" s="5"/>
      <c r="I38" s="5"/>
      <c r="J38" s="5"/>
      <c r="K38" s="5"/>
      <c r="L38" s="5"/>
      <c r="M38" s="5"/>
      <c r="N38" s="20"/>
      <c r="R38" s="49"/>
    </row>
    <row r="39" spans="1:18" s="48" customFormat="1" x14ac:dyDescent="0.2">
      <c r="B39" s="110"/>
      <c r="C39" s="38" t="s">
        <v>72</v>
      </c>
      <c r="D39" s="4" t="s">
        <v>61</v>
      </c>
      <c r="E39" s="199">
        <v>6.5510000000000004E-3</v>
      </c>
      <c r="F39" s="41"/>
      <c r="G39" s="5"/>
      <c r="H39" s="5"/>
      <c r="I39" s="5"/>
      <c r="J39" s="5"/>
      <c r="K39" s="5"/>
      <c r="L39" s="41"/>
      <c r="M39" s="41"/>
      <c r="N39" s="111"/>
      <c r="R39" s="112"/>
    </row>
    <row r="40" spans="1:18" x14ac:dyDescent="0.2">
      <c r="B40" s="93"/>
      <c r="C40" s="38" t="s">
        <v>197</v>
      </c>
      <c r="D40" s="4" t="s">
        <v>61</v>
      </c>
      <c r="E40" s="199">
        <v>6.4859999999999996E-3</v>
      </c>
      <c r="F40" s="5"/>
      <c r="G40" s="5"/>
      <c r="H40" s="5"/>
      <c r="I40" s="5"/>
      <c r="J40" s="5"/>
      <c r="K40" s="5"/>
      <c r="L40" s="5"/>
      <c r="M40" s="5"/>
      <c r="N40" s="20"/>
      <c r="R40" s="49"/>
    </row>
    <row r="41" spans="1:18" x14ac:dyDescent="0.2">
      <c r="A41" s="5"/>
      <c r="B41" s="93"/>
      <c r="C41" s="38" t="s">
        <v>67</v>
      </c>
      <c r="D41" s="4" t="s">
        <v>61</v>
      </c>
      <c r="E41" s="199">
        <v>2.5709999999999999E-3</v>
      </c>
      <c r="F41" s="5"/>
      <c r="G41" s="5"/>
      <c r="H41" s="5"/>
      <c r="I41" s="5"/>
      <c r="J41" s="5"/>
      <c r="K41" s="5"/>
      <c r="L41" s="5"/>
      <c r="M41" s="5"/>
      <c r="N41" s="20"/>
      <c r="O41" s="5"/>
      <c r="R41" s="49"/>
    </row>
    <row r="42" spans="1:18" x14ac:dyDescent="0.2">
      <c r="A42" s="5"/>
      <c r="B42" s="93"/>
      <c r="C42" s="38" t="s">
        <v>73</v>
      </c>
      <c r="D42" s="4" t="s">
        <v>61</v>
      </c>
      <c r="E42" s="199">
        <v>1.17E-3</v>
      </c>
      <c r="F42" s="5"/>
      <c r="G42" s="5"/>
      <c r="H42" s="5"/>
      <c r="I42" s="5"/>
      <c r="J42" s="5"/>
      <c r="K42" s="5"/>
      <c r="L42" s="5"/>
      <c r="M42" s="5"/>
      <c r="N42" s="20"/>
      <c r="O42" s="5"/>
      <c r="R42" s="49"/>
    </row>
    <row r="43" spans="1:18" ht="15.75" x14ac:dyDescent="0.2">
      <c r="A43" s="5"/>
      <c r="B43" s="93"/>
      <c r="C43" s="108" t="s">
        <v>42</v>
      </c>
      <c r="D43" s="108"/>
      <c r="E43" s="109">
        <v>0.10928</v>
      </c>
      <c r="F43" s="5"/>
      <c r="G43" s="5"/>
      <c r="H43" s="5"/>
      <c r="I43" s="5"/>
      <c r="J43" s="5"/>
      <c r="K43" s="5"/>
      <c r="L43" s="5"/>
      <c r="M43" s="5"/>
      <c r="N43" s="20"/>
      <c r="O43" s="5"/>
      <c r="R43" s="49"/>
    </row>
    <row r="44" spans="1:18" ht="15.75" x14ac:dyDescent="0.2">
      <c r="A44" s="5"/>
      <c r="B44" s="93"/>
      <c r="C44" s="113"/>
      <c r="D44" s="113"/>
      <c r="E44" s="114"/>
      <c r="F44" s="5"/>
      <c r="G44" s="5"/>
      <c r="H44" s="5"/>
      <c r="I44" s="5"/>
      <c r="J44" s="5"/>
      <c r="K44" s="5"/>
      <c r="L44" s="5"/>
      <c r="M44" s="5"/>
      <c r="N44" s="20"/>
      <c r="O44" s="5"/>
      <c r="R44" s="49"/>
    </row>
    <row r="45" spans="1:18" ht="15.75" x14ac:dyDescent="0.2">
      <c r="A45" s="5"/>
      <c r="B45" s="93"/>
      <c r="C45" s="108" t="s">
        <v>20</v>
      </c>
      <c r="D45" s="108"/>
      <c r="E45" s="109">
        <v>2.1214999999999998E-2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15" t="s">
        <v>21</v>
      </c>
      <c r="D47" s="115"/>
      <c r="E47" s="116">
        <f>E45+E43+E37+E26+E24</f>
        <v>1</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45"/>
      <c r="D49" s="45"/>
      <c r="E49" s="45"/>
      <c r="F49" s="45"/>
      <c r="G49" s="45"/>
      <c r="H49" s="45"/>
      <c r="I49" s="45"/>
      <c r="J49" s="45"/>
      <c r="K49" s="45"/>
      <c r="L49" s="45"/>
      <c r="M49" s="45"/>
      <c r="N49" s="118"/>
      <c r="O49" s="5"/>
      <c r="R49" s="49"/>
    </row>
    <row r="50" spans="1:18" ht="15.75" thickBot="1" x14ac:dyDescent="0.25">
      <c r="R50" s="49"/>
    </row>
    <row r="51" spans="1:18" ht="15" customHeight="1" x14ac:dyDescent="0.2">
      <c r="B51" s="268" t="s">
        <v>182</v>
      </c>
      <c r="C51" s="269"/>
      <c r="D51" s="269"/>
      <c r="E51" s="269"/>
      <c r="F51" s="269"/>
      <c r="G51" s="269"/>
      <c r="H51" s="269"/>
      <c r="I51" s="269"/>
      <c r="J51" s="269"/>
      <c r="K51" s="269"/>
      <c r="L51" s="269"/>
      <c r="M51" s="269"/>
      <c r="N51" s="269"/>
      <c r="O51" s="269"/>
      <c r="P51" s="269"/>
      <c r="Q51" s="269"/>
      <c r="R51" s="270"/>
    </row>
    <row r="52" spans="1:18" x14ac:dyDescent="0.2">
      <c r="B52" s="271"/>
      <c r="C52" s="272"/>
      <c r="D52" s="272"/>
      <c r="E52" s="272"/>
      <c r="F52" s="272"/>
      <c r="G52" s="272"/>
      <c r="H52" s="272"/>
      <c r="I52" s="272"/>
      <c r="J52" s="272"/>
      <c r="K52" s="272"/>
      <c r="L52" s="272"/>
      <c r="M52" s="272"/>
      <c r="N52" s="272"/>
      <c r="O52" s="272"/>
      <c r="P52" s="272"/>
      <c r="Q52" s="272"/>
      <c r="R52" s="273"/>
    </row>
    <row r="53" spans="1:18" x14ac:dyDescent="0.2">
      <c r="B53" s="271"/>
      <c r="C53" s="272"/>
      <c r="D53" s="272"/>
      <c r="E53" s="272"/>
      <c r="F53" s="272"/>
      <c r="G53" s="272"/>
      <c r="H53" s="272"/>
      <c r="I53" s="272"/>
      <c r="J53" s="272"/>
      <c r="K53" s="272"/>
      <c r="L53" s="272"/>
      <c r="M53" s="272"/>
      <c r="N53" s="272"/>
      <c r="O53" s="272"/>
      <c r="P53" s="272"/>
      <c r="Q53" s="272"/>
      <c r="R53" s="273"/>
    </row>
    <row r="54" spans="1:18" x14ac:dyDescent="0.2">
      <c r="B54" s="271"/>
      <c r="C54" s="272"/>
      <c r="D54" s="272"/>
      <c r="E54" s="272"/>
      <c r="F54" s="272"/>
      <c r="G54" s="272"/>
      <c r="H54" s="272"/>
      <c r="I54" s="272"/>
      <c r="J54" s="272"/>
      <c r="K54" s="272"/>
      <c r="L54" s="272"/>
      <c r="M54" s="272"/>
      <c r="N54" s="272"/>
      <c r="O54" s="272"/>
      <c r="P54" s="272"/>
      <c r="Q54" s="272"/>
      <c r="R54" s="273"/>
    </row>
    <row r="55" spans="1:18" x14ac:dyDescent="0.2">
      <c r="B55" s="271"/>
      <c r="C55" s="272"/>
      <c r="D55" s="272"/>
      <c r="E55" s="272"/>
      <c r="F55" s="272"/>
      <c r="G55" s="272"/>
      <c r="H55" s="272"/>
      <c r="I55" s="272"/>
      <c r="J55" s="272"/>
      <c r="K55" s="272"/>
      <c r="L55" s="272"/>
      <c r="M55" s="272"/>
      <c r="N55" s="272"/>
      <c r="O55" s="272"/>
      <c r="P55" s="272"/>
      <c r="Q55" s="272"/>
      <c r="R55" s="273"/>
    </row>
    <row r="56" spans="1:18" x14ac:dyDescent="0.2">
      <c r="B56" s="271"/>
      <c r="C56" s="272"/>
      <c r="D56" s="272"/>
      <c r="E56" s="272"/>
      <c r="F56" s="272"/>
      <c r="G56" s="272"/>
      <c r="H56" s="272"/>
      <c r="I56" s="272"/>
      <c r="J56" s="272"/>
      <c r="K56" s="272"/>
      <c r="L56" s="272"/>
      <c r="M56" s="272"/>
      <c r="N56" s="272"/>
      <c r="O56" s="272"/>
      <c r="P56" s="272"/>
      <c r="Q56" s="272"/>
      <c r="R56" s="273"/>
    </row>
    <row r="57" spans="1:18" ht="15.75" thickBot="1" x14ac:dyDescent="0.25">
      <c r="B57" s="274"/>
      <c r="C57" s="275"/>
      <c r="D57" s="275"/>
      <c r="E57" s="275"/>
      <c r="F57" s="275"/>
      <c r="G57" s="275"/>
      <c r="H57" s="275"/>
      <c r="I57" s="275"/>
      <c r="J57" s="275"/>
      <c r="K57" s="275"/>
      <c r="L57" s="275"/>
      <c r="M57" s="275"/>
      <c r="N57" s="275"/>
      <c r="O57" s="275"/>
      <c r="P57" s="275"/>
      <c r="Q57" s="275"/>
      <c r="R57" s="276"/>
    </row>
    <row r="58" spans="1:18" x14ac:dyDescent="0.2">
      <c r="R58" s="49"/>
    </row>
    <row r="59" spans="1:18" x14ac:dyDescent="0.2">
      <c r="R59" s="49"/>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8:E42">
    <sortCondition descending="1" ref="E38"/>
  </sortState>
  <mergeCells count="6">
    <mergeCell ref="B51:R57"/>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2" t="s">
        <v>203</v>
      </c>
      <c r="D3" s="262"/>
      <c r="E3" s="262"/>
      <c r="F3" s="262"/>
      <c r="G3" s="262"/>
      <c r="H3" s="262"/>
      <c r="I3" s="262"/>
      <c r="J3" s="262"/>
      <c r="K3" s="262"/>
      <c r="L3" s="262"/>
      <c r="M3" s="262"/>
      <c r="N3" s="263"/>
    </row>
    <row r="4" spans="2:19" ht="15.75" x14ac:dyDescent="0.25">
      <c r="B4" s="93"/>
      <c r="C4" s="67" t="s">
        <v>405</v>
      </c>
      <c r="D4" s="29"/>
      <c r="E4" s="29"/>
      <c r="F4" s="5"/>
      <c r="G4" s="5"/>
      <c r="H4" s="5"/>
      <c r="I4" s="5"/>
      <c r="J4" s="5"/>
      <c r="K4" s="5"/>
      <c r="L4" s="5"/>
      <c r="M4" s="5"/>
      <c r="N4" s="20"/>
    </row>
    <row r="5" spans="2:19" ht="20.25" customHeight="1" x14ac:dyDescent="0.2">
      <c r="B5" s="93"/>
      <c r="C5" s="221" t="s">
        <v>406</v>
      </c>
      <c r="D5" s="279" t="s">
        <v>385</v>
      </c>
      <c r="E5" s="279"/>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31" t="s">
        <v>45</v>
      </c>
      <c r="F7" s="5"/>
      <c r="G7" s="5"/>
      <c r="H7" s="5"/>
      <c r="I7" s="5"/>
      <c r="J7" s="5"/>
      <c r="K7" s="5"/>
      <c r="L7" s="5"/>
      <c r="M7" s="5"/>
      <c r="N7" s="20"/>
      <c r="P7" s="236" t="s">
        <v>3</v>
      </c>
      <c r="Q7" s="239">
        <v>8.9206000000000008E-2</v>
      </c>
    </row>
    <row r="8" spans="2:19" ht="15.75" x14ac:dyDescent="0.25">
      <c r="B8" s="93"/>
      <c r="C8" s="198" t="s">
        <v>31</v>
      </c>
      <c r="D8" s="104" t="s">
        <v>6</v>
      </c>
      <c r="E8" s="199">
        <v>3.1316999999999998E-2</v>
      </c>
      <c r="F8" s="5"/>
      <c r="G8" s="5"/>
      <c r="H8" s="5"/>
      <c r="I8" s="5"/>
      <c r="J8" s="5"/>
      <c r="K8" s="5"/>
      <c r="L8" s="5"/>
      <c r="M8" s="5"/>
      <c r="N8" s="20"/>
      <c r="P8" s="236" t="s">
        <v>26</v>
      </c>
      <c r="Q8" s="239">
        <v>3.6882999999999999E-2</v>
      </c>
      <c r="R8" s="49"/>
    </row>
    <row r="9" spans="2:19" ht="15.75" customHeight="1" x14ac:dyDescent="0.25">
      <c r="B9" s="93"/>
      <c r="C9" s="122" t="s">
        <v>29</v>
      </c>
      <c r="D9" s="38" t="s">
        <v>3</v>
      </c>
      <c r="E9" s="199">
        <v>3.1165999999999999E-2</v>
      </c>
      <c r="F9" s="5"/>
      <c r="G9" s="5"/>
      <c r="H9" s="5"/>
      <c r="I9" s="5"/>
      <c r="J9" s="5"/>
      <c r="K9" s="5"/>
      <c r="L9" s="5"/>
      <c r="M9" s="5"/>
      <c r="N9" s="20"/>
      <c r="P9" s="236" t="s">
        <v>4</v>
      </c>
      <c r="Q9" s="239">
        <v>3.5284999999999997E-2</v>
      </c>
      <c r="R9" s="49"/>
    </row>
    <row r="10" spans="2:19" ht="15.75" x14ac:dyDescent="0.25">
      <c r="B10" s="93"/>
      <c r="C10" s="122" t="s">
        <v>32</v>
      </c>
      <c r="D10" s="38" t="s">
        <v>3</v>
      </c>
      <c r="E10" s="199">
        <v>2.5503000000000005E-2</v>
      </c>
      <c r="F10" s="31"/>
      <c r="G10" s="5"/>
      <c r="H10" s="5"/>
      <c r="I10" s="5"/>
      <c r="J10" s="5"/>
      <c r="K10" s="5"/>
      <c r="L10" s="5"/>
      <c r="M10" s="5"/>
      <c r="N10" s="20"/>
      <c r="P10" s="236" t="s">
        <v>107</v>
      </c>
      <c r="Q10" s="239">
        <v>3.4489000000000006E-2</v>
      </c>
      <c r="R10" s="49"/>
    </row>
    <row r="11" spans="2:19" ht="15.75" x14ac:dyDescent="0.25">
      <c r="B11" s="93"/>
      <c r="C11" s="122" t="s">
        <v>36</v>
      </c>
      <c r="D11" s="38" t="s">
        <v>3</v>
      </c>
      <c r="E11" s="199">
        <v>2.2703000000000001E-2</v>
      </c>
      <c r="F11" s="5"/>
      <c r="G11" s="5"/>
      <c r="H11" s="5"/>
      <c r="I11" s="5"/>
      <c r="J11" s="5"/>
      <c r="K11" s="5"/>
      <c r="L11" s="5"/>
      <c r="M11" s="5"/>
      <c r="N11" s="20"/>
      <c r="P11" s="236" t="s">
        <v>6</v>
      </c>
      <c r="Q11" s="239">
        <v>3.1316999999999998E-2</v>
      </c>
      <c r="R11" s="49"/>
    </row>
    <row r="12" spans="2:19" ht="15.75" customHeight="1" x14ac:dyDescent="0.25">
      <c r="B12" s="93"/>
      <c r="C12" s="122" t="s">
        <v>30</v>
      </c>
      <c r="D12" s="38" t="s">
        <v>117</v>
      </c>
      <c r="E12" s="199">
        <v>2.1246999999999999E-2</v>
      </c>
      <c r="F12" s="31"/>
      <c r="G12" s="5"/>
      <c r="H12" s="5"/>
      <c r="I12" s="5"/>
      <c r="J12" s="5"/>
      <c r="K12" s="5"/>
      <c r="L12" s="5"/>
      <c r="M12" s="5"/>
      <c r="N12" s="20"/>
      <c r="P12" s="236" t="s">
        <v>112</v>
      </c>
      <c r="Q12" s="239">
        <v>2.5775000000000006E-2</v>
      </c>
      <c r="R12" s="49"/>
    </row>
    <row r="13" spans="2:19" ht="15.75" x14ac:dyDescent="0.25">
      <c r="B13" s="93"/>
      <c r="C13" s="122" t="s">
        <v>237</v>
      </c>
      <c r="D13" s="38" t="s">
        <v>26</v>
      </c>
      <c r="E13" s="199">
        <v>2.0133000000000002E-2</v>
      </c>
      <c r="F13" s="31"/>
      <c r="G13" s="5"/>
      <c r="H13" s="5"/>
      <c r="I13" s="5"/>
      <c r="J13" s="5"/>
      <c r="K13" s="5"/>
      <c r="L13" s="5"/>
      <c r="M13" s="5"/>
      <c r="N13" s="20"/>
      <c r="P13" s="236" t="s">
        <v>11</v>
      </c>
      <c r="Q13" s="239">
        <v>2.1791999999999999E-2</v>
      </c>
      <c r="R13" s="49"/>
    </row>
    <row r="14" spans="2:19" ht="15.75" x14ac:dyDescent="0.25">
      <c r="B14" s="93"/>
      <c r="C14" s="122" t="s">
        <v>70</v>
      </c>
      <c r="D14" s="38" t="s">
        <v>12</v>
      </c>
      <c r="E14" s="199">
        <v>1.9782000000000001E-2</v>
      </c>
      <c r="F14" s="31"/>
      <c r="G14" s="5"/>
      <c r="H14" s="5"/>
      <c r="I14" s="5"/>
      <c r="J14" s="5"/>
      <c r="K14" s="5"/>
      <c r="L14" s="5"/>
      <c r="M14" s="5"/>
      <c r="N14" s="20"/>
      <c r="P14" s="236" t="s">
        <v>111</v>
      </c>
      <c r="Q14" s="239">
        <v>2.1634E-2</v>
      </c>
      <c r="R14" s="49"/>
    </row>
    <row r="15" spans="2:19" ht="15.75" x14ac:dyDescent="0.25">
      <c r="B15" s="93"/>
      <c r="C15" s="122" t="s">
        <v>28</v>
      </c>
      <c r="D15" s="38" t="s">
        <v>107</v>
      </c>
      <c r="E15" s="199">
        <v>1.8808999999999999E-2</v>
      </c>
      <c r="F15" s="5"/>
      <c r="G15" s="5"/>
      <c r="H15" s="5"/>
      <c r="I15" s="5"/>
      <c r="J15" s="5"/>
      <c r="K15" s="5"/>
      <c r="L15" s="5"/>
      <c r="M15" s="5"/>
      <c r="N15" s="20"/>
      <c r="P15" s="236" t="s">
        <v>117</v>
      </c>
      <c r="Q15" s="239">
        <v>2.1246999999999999E-2</v>
      </c>
      <c r="R15" s="49"/>
    </row>
    <row r="16" spans="2:19" ht="15.75" x14ac:dyDescent="0.25">
      <c r="B16" s="93"/>
      <c r="C16" s="122" t="s">
        <v>226</v>
      </c>
      <c r="D16" s="38" t="s">
        <v>26</v>
      </c>
      <c r="E16" s="199">
        <v>1.6750000000000001E-2</v>
      </c>
      <c r="F16" s="5"/>
      <c r="G16" s="5"/>
      <c r="H16" s="5"/>
      <c r="I16" s="5"/>
      <c r="J16" s="5"/>
      <c r="K16" s="5"/>
      <c r="L16" s="5"/>
      <c r="M16" s="5"/>
      <c r="N16" s="20"/>
      <c r="P16" s="236" t="s">
        <v>12</v>
      </c>
      <c r="Q16" s="239">
        <v>1.9782000000000001E-2</v>
      </c>
      <c r="R16" s="49"/>
    </row>
    <row r="17" spans="2:18" ht="15.75" x14ac:dyDescent="0.25">
      <c r="B17" s="93"/>
      <c r="C17" s="122" t="s">
        <v>75</v>
      </c>
      <c r="D17" s="105" t="s">
        <v>11</v>
      </c>
      <c r="E17" s="199">
        <v>1.5956999999999999E-2</v>
      </c>
      <c r="F17" s="5"/>
      <c r="G17" s="5"/>
      <c r="H17" s="5"/>
      <c r="I17" s="5"/>
      <c r="J17" s="5"/>
      <c r="K17" s="5"/>
      <c r="L17" s="5"/>
      <c r="M17" s="5"/>
      <c r="N17" s="20"/>
      <c r="P17" s="236" t="s">
        <v>119</v>
      </c>
      <c r="Q17" s="239">
        <v>1.8373E-2</v>
      </c>
      <c r="R17" s="49"/>
    </row>
    <row r="18" spans="2:18" ht="15.75" x14ac:dyDescent="0.25">
      <c r="B18" s="93"/>
      <c r="C18" s="122" t="s">
        <v>76</v>
      </c>
      <c r="D18" s="38" t="s">
        <v>4</v>
      </c>
      <c r="E18" s="199">
        <v>1.4336E-2</v>
      </c>
      <c r="F18" s="5"/>
      <c r="G18" s="5"/>
      <c r="H18" s="5"/>
      <c r="I18" s="5"/>
      <c r="J18" s="5"/>
      <c r="K18" s="5"/>
      <c r="L18" s="5"/>
      <c r="M18" s="5"/>
      <c r="N18" s="20"/>
      <c r="P18" s="236" t="s">
        <v>86</v>
      </c>
      <c r="Q18" s="239">
        <v>1.6249E-2</v>
      </c>
      <c r="R18" s="49"/>
    </row>
    <row r="19" spans="2:18" ht="15.75" x14ac:dyDescent="0.25">
      <c r="B19" s="93"/>
      <c r="C19" s="122" t="s">
        <v>34</v>
      </c>
      <c r="D19" s="38" t="s">
        <v>23</v>
      </c>
      <c r="E19" s="199">
        <v>1.3750999999999999E-2</v>
      </c>
      <c r="F19" s="5"/>
      <c r="G19" s="5"/>
      <c r="H19" s="5"/>
      <c r="I19" s="5"/>
      <c r="J19" s="5"/>
      <c r="K19" s="5"/>
      <c r="L19" s="5"/>
      <c r="M19" s="5"/>
      <c r="N19" s="20"/>
      <c r="P19" s="236" t="s">
        <v>106</v>
      </c>
      <c r="Q19" s="239">
        <v>1.4718E-2</v>
      </c>
      <c r="R19" s="49"/>
    </row>
    <row r="20" spans="2:18" ht="15.75" customHeight="1" x14ac:dyDescent="0.25">
      <c r="B20" s="93"/>
      <c r="C20" s="122" t="s">
        <v>136</v>
      </c>
      <c r="D20" s="38" t="s">
        <v>110</v>
      </c>
      <c r="E20" s="199">
        <v>1.2892000000000001E-2</v>
      </c>
      <c r="F20" s="5"/>
      <c r="G20" s="5"/>
      <c r="H20" s="5"/>
      <c r="I20" s="5"/>
      <c r="J20" s="5"/>
      <c r="K20" s="5"/>
      <c r="L20" s="5"/>
      <c r="M20" s="5"/>
      <c r="N20" s="20"/>
      <c r="P20" s="236" t="s">
        <v>110</v>
      </c>
      <c r="Q20" s="239">
        <v>1.4263000000000001E-2</v>
      </c>
      <c r="R20" s="49"/>
    </row>
    <row r="21" spans="2:18" ht="15.75" x14ac:dyDescent="0.25">
      <c r="B21" s="93"/>
      <c r="C21" s="122" t="s">
        <v>145</v>
      </c>
      <c r="D21" s="38" t="s">
        <v>124</v>
      </c>
      <c r="E21" s="199">
        <v>1.2538000000000001E-2</v>
      </c>
      <c r="F21" s="5"/>
      <c r="G21" s="5"/>
      <c r="H21" s="5"/>
      <c r="I21" s="5"/>
      <c r="J21" s="5"/>
      <c r="K21" s="5"/>
      <c r="L21" s="5"/>
      <c r="M21" s="5"/>
      <c r="N21" s="20"/>
      <c r="P21" s="236" t="s">
        <v>116</v>
      </c>
      <c r="Q21" s="239">
        <v>1.4076999999999999E-2</v>
      </c>
      <c r="R21" s="49"/>
    </row>
    <row r="22" spans="2:18" ht="15.75" x14ac:dyDescent="0.25">
      <c r="B22" s="93"/>
      <c r="C22" s="122" t="s">
        <v>188</v>
      </c>
      <c r="D22" s="38" t="s">
        <v>10</v>
      </c>
      <c r="E22" s="199">
        <v>1.2344000000000001E-2</v>
      </c>
      <c r="F22" s="5"/>
      <c r="G22" s="31"/>
      <c r="H22" s="31"/>
      <c r="I22" s="31"/>
      <c r="J22" s="5"/>
      <c r="K22" s="31"/>
      <c r="L22" s="5"/>
      <c r="M22" s="5"/>
      <c r="N22" s="20"/>
      <c r="P22" s="236" t="s">
        <v>23</v>
      </c>
      <c r="Q22" s="239">
        <v>1.3750999999999999E-2</v>
      </c>
      <c r="R22" s="49"/>
    </row>
    <row r="23" spans="2:18" ht="15.75" customHeight="1" x14ac:dyDescent="0.25">
      <c r="B23" s="93"/>
      <c r="C23" s="38"/>
      <c r="D23" s="4"/>
      <c r="E23" s="6"/>
      <c r="F23" s="5"/>
      <c r="G23" s="31"/>
      <c r="H23" s="31"/>
      <c r="I23" s="31"/>
      <c r="J23" s="5"/>
      <c r="K23" s="31"/>
      <c r="L23" s="5"/>
      <c r="M23" s="5"/>
      <c r="N23" s="20"/>
      <c r="P23" s="236" t="s">
        <v>124</v>
      </c>
      <c r="Q23" s="239">
        <v>1.2538000000000001E-2</v>
      </c>
      <c r="R23" s="49"/>
    </row>
    <row r="24" spans="2:18" ht="15.75" x14ac:dyDescent="0.25">
      <c r="B24" s="93"/>
      <c r="C24" s="108" t="s">
        <v>56</v>
      </c>
      <c r="D24" s="108"/>
      <c r="E24" s="109">
        <v>0.28922799999999999</v>
      </c>
      <c r="F24" s="5"/>
      <c r="G24" s="5"/>
      <c r="H24" s="5"/>
      <c r="I24" s="5"/>
      <c r="J24" s="5"/>
      <c r="K24" s="5"/>
      <c r="L24" s="5"/>
      <c r="M24" s="5"/>
      <c r="N24" s="20"/>
      <c r="P24" s="236" t="s">
        <v>10</v>
      </c>
      <c r="Q24" s="239">
        <v>1.2344000000000001E-2</v>
      </c>
      <c r="R24" s="49"/>
    </row>
    <row r="25" spans="2:18" ht="15.75" x14ac:dyDescent="0.25">
      <c r="B25" s="93"/>
      <c r="C25" s="4"/>
      <c r="D25" s="4"/>
      <c r="E25" s="6"/>
      <c r="F25" s="5"/>
      <c r="G25" s="5"/>
      <c r="H25" s="5"/>
      <c r="I25" s="5"/>
      <c r="J25" s="5"/>
      <c r="K25" s="5"/>
      <c r="L25" s="5"/>
      <c r="M25" s="5"/>
      <c r="N25" s="20"/>
      <c r="P25" s="236" t="s">
        <v>131</v>
      </c>
      <c r="Q25" s="239">
        <v>1.1275E-2</v>
      </c>
      <c r="R25" s="49"/>
    </row>
    <row r="26" spans="2:18" ht="15.75" x14ac:dyDescent="0.25">
      <c r="B26" s="93"/>
      <c r="C26" s="108" t="s">
        <v>66</v>
      </c>
      <c r="D26" s="108"/>
      <c r="E26" s="109">
        <v>0.22613200000000006</v>
      </c>
      <c r="F26" s="31"/>
      <c r="G26" s="5"/>
      <c r="H26" s="5"/>
      <c r="I26" s="5"/>
      <c r="J26" s="5"/>
      <c r="K26" s="5"/>
      <c r="L26" s="5"/>
      <c r="M26" s="5"/>
      <c r="N26" s="20"/>
      <c r="P26" s="236" t="s">
        <v>15</v>
      </c>
      <c r="Q26" s="239">
        <v>1.1183999999999999E-2</v>
      </c>
      <c r="R26" s="49"/>
    </row>
    <row r="27" spans="2:18" ht="15.75" x14ac:dyDescent="0.25">
      <c r="B27" s="93"/>
      <c r="C27" s="38"/>
      <c r="D27" s="58"/>
      <c r="E27" s="6"/>
      <c r="F27" s="5"/>
      <c r="G27" s="5"/>
      <c r="H27" s="5"/>
      <c r="I27" s="5"/>
      <c r="J27" s="5"/>
      <c r="K27" s="5"/>
      <c r="L27" s="5"/>
      <c r="M27" s="5"/>
      <c r="N27" s="20"/>
      <c r="P27" s="236" t="s">
        <v>113</v>
      </c>
      <c r="Q27" s="239">
        <v>8.7999999999999988E-3</v>
      </c>
      <c r="R27" s="49"/>
    </row>
    <row r="28" spans="2:18" s="48" customFormat="1" ht="13.5" customHeight="1" x14ac:dyDescent="0.25">
      <c r="B28" s="110"/>
      <c r="C28" s="108" t="s">
        <v>58</v>
      </c>
      <c r="D28" s="108"/>
      <c r="E28" s="186">
        <v>0.20299800000000001</v>
      </c>
      <c r="F28" s="41"/>
      <c r="G28" s="41"/>
      <c r="H28" s="41"/>
      <c r="I28" s="41"/>
      <c r="J28" s="41"/>
      <c r="K28" s="41"/>
      <c r="L28" s="41"/>
      <c r="M28" s="41"/>
      <c r="N28" s="111"/>
      <c r="P28" s="236" t="s">
        <v>16</v>
      </c>
      <c r="Q28" s="239">
        <v>7.6839999999999999E-3</v>
      </c>
      <c r="R28" s="112"/>
    </row>
    <row r="29" spans="2:18" ht="15.75" x14ac:dyDescent="0.25">
      <c r="B29" s="93"/>
      <c r="C29" s="38"/>
      <c r="D29" s="38"/>
      <c r="E29" s="38"/>
      <c r="F29" s="5"/>
      <c r="G29" s="5"/>
      <c r="H29" s="5"/>
      <c r="I29" s="5"/>
      <c r="J29" s="5"/>
      <c r="K29" s="5"/>
      <c r="L29" s="5"/>
      <c r="M29" s="5"/>
      <c r="N29" s="20"/>
      <c r="P29" s="236" t="s">
        <v>118</v>
      </c>
      <c r="Q29" s="239">
        <v>6.4599999999999996E-3</v>
      </c>
      <c r="R29" s="49"/>
    </row>
    <row r="30" spans="2:18" ht="15.75" x14ac:dyDescent="0.25">
      <c r="B30" s="93"/>
      <c r="C30" s="38" t="s">
        <v>225</v>
      </c>
      <c r="D30" s="4" t="s">
        <v>61</v>
      </c>
      <c r="E30" s="199">
        <v>0.240643</v>
      </c>
      <c r="F30" s="5"/>
      <c r="G30" s="5"/>
      <c r="H30" s="5"/>
      <c r="I30" s="5"/>
      <c r="J30" s="5"/>
      <c r="K30" s="5"/>
      <c r="L30" s="5"/>
      <c r="M30" s="5"/>
      <c r="N30" s="20"/>
      <c r="P30" s="236" t="s">
        <v>130</v>
      </c>
      <c r="Q30" s="239">
        <v>5.5710000000000004E-3</v>
      </c>
      <c r="R30" s="49"/>
    </row>
    <row r="31" spans="2:18" ht="15.75" x14ac:dyDescent="0.25">
      <c r="B31" s="93"/>
      <c r="C31" s="108" t="s">
        <v>42</v>
      </c>
      <c r="D31" s="108"/>
      <c r="E31" s="109">
        <v>0.240643</v>
      </c>
      <c r="F31" s="5"/>
      <c r="G31" s="5"/>
      <c r="H31" s="5"/>
      <c r="I31" s="5"/>
      <c r="J31" s="5"/>
      <c r="K31" s="5"/>
      <c r="L31" s="5"/>
      <c r="M31" s="5"/>
      <c r="N31" s="20"/>
      <c r="P31" s="236" t="s">
        <v>85</v>
      </c>
      <c r="Q31" s="239">
        <v>4.47E-3</v>
      </c>
      <c r="R31" s="49"/>
    </row>
    <row r="32" spans="2:18" ht="15.75" x14ac:dyDescent="0.25">
      <c r="B32" s="93"/>
      <c r="C32" s="113"/>
      <c r="D32" s="113"/>
      <c r="E32" s="114"/>
      <c r="F32" s="5"/>
      <c r="G32" s="5"/>
      <c r="H32" s="5"/>
      <c r="I32" s="5"/>
      <c r="J32" s="5"/>
      <c r="K32" s="5"/>
      <c r="L32" s="5"/>
      <c r="M32" s="5"/>
      <c r="N32" s="20"/>
      <c r="P32" s="236" t="s">
        <v>84</v>
      </c>
      <c r="Q32" s="239">
        <v>2.715E-3</v>
      </c>
      <c r="R32" s="49"/>
    </row>
    <row r="33" spans="1:18" ht="15.75" x14ac:dyDescent="0.25">
      <c r="B33" s="93"/>
      <c r="C33" s="108" t="s">
        <v>20</v>
      </c>
      <c r="D33" s="108"/>
      <c r="E33" s="109">
        <v>4.099899999999998E-2</v>
      </c>
      <c r="F33" s="5"/>
      <c r="G33" s="5"/>
      <c r="H33" s="5"/>
      <c r="I33" s="5"/>
      <c r="J33" s="5"/>
      <c r="K33" s="5"/>
      <c r="L33" s="5"/>
      <c r="M33" s="5"/>
      <c r="N33" s="20"/>
      <c r="P33" s="236" t="s">
        <v>95</v>
      </c>
      <c r="Q33" s="239">
        <v>1.8320000000000001E-3</v>
      </c>
      <c r="R33" s="49"/>
    </row>
    <row r="34" spans="1:18" ht="15.75" x14ac:dyDescent="0.25">
      <c r="B34" s="93"/>
      <c r="C34" s="4"/>
      <c r="D34" s="4"/>
      <c r="E34" s="32"/>
      <c r="F34" s="5"/>
      <c r="G34" s="5"/>
      <c r="H34" s="5"/>
      <c r="I34" s="5"/>
      <c r="J34" s="5"/>
      <c r="K34" s="5"/>
      <c r="L34" s="5"/>
      <c r="M34" s="5"/>
      <c r="N34" s="20"/>
      <c r="P34" s="236" t="s">
        <v>25</v>
      </c>
      <c r="Q34" s="239">
        <v>1.0009999999999999E-3</v>
      </c>
      <c r="R34" s="49"/>
    </row>
    <row r="35" spans="1:18" ht="15.75" x14ac:dyDescent="0.25">
      <c r="B35" s="93"/>
      <c r="C35" s="115" t="s">
        <v>21</v>
      </c>
      <c r="D35" s="115"/>
      <c r="E35" s="116">
        <f>E33+E31+E28+E26+E24</f>
        <v>1</v>
      </c>
      <c r="F35" s="5"/>
      <c r="G35" s="5"/>
      <c r="H35" s="5"/>
      <c r="I35" s="5"/>
      <c r="J35" s="5"/>
      <c r="K35" s="5"/>
      <c r="L35" s="5"/>
      <c r="M35" s="5"/>
      <c r="N35" s="20"/>
      <c r="P35" s="236" t="s">
        <v>77</v>
      </c>
      <c r="Q35" s="239">
        <v>6.4499999999999996E-4</v>
      </c>
      <c r="R35" s="49"/>
    </row>
    <row r="36" spans="1:18" x14ac:dyDescent="0.2">
      <c r="B36" s="93"/>
      <c r="F36" s="5"/>
      <c r="G36" s="5"/>
      <c r="H36" s="5"/>
      <c r="I36" s="5"/>
      <c r="J36" s="5"/>
      <c r="K36" s="5"/>
      <c r="L36" s="5"/>
      <c r="M36" s="5"/>
      <c r="N36" s="20"/>
      <c r="R36" s="49"/>
    </row>
    <row r="37" spans="1:18" ht="15.75" thickBot="1" x14ac:dyDescent="0.25">
      <c r="A37" s="5"/>
      <c r="B37" s="96"/>
      <c r="C37" s="45"/>
      <c r="D37" s="45"/>
      <c r="E37" s="45"/>
      <c r="F37" s="45"/>
      <c r="G37" s="45"/>
      <c r="H37" s="45"/>
      <c r="I37" s="45"/>
      <c r="J37" s="45"/>
      <c r="K37" s="45"/>
      <c r="L37" s="45"/>
      <c r="M37" s="45"/>
      <c r="N37" s="118"/>
      <c r="O37" s="5"/>
      <c r="R37" s="49"/>
    </row>
    <row r="38" spans="1:18" ht="15.75" thickBot="1" x14ac:dyDescent="0.25">
      <c r="R38" s="49"/>
    </row>
    <row r="39" spans="1:18" ht="15" customHeight="1" x14ac:dyDescent="0.2">
      <c r="B39" s="268" t="s">
        <v>182</v>
      </c>
      <c r="C39" s="269"/>
      <c r="D39" s="269"/>
      <c r="E39" s="269"/>
      <c r="F39" s="269"/>
      <c r="G39" s="269"/>
      <c r="H39" s="269"/>
      <c r="I39" s="269"/>
      <c r="J39" s="269"/>
      <c r="K39" s="269"/>
      <c r="L39" s="269"/>
      <c r="M39" s="269"/>
      <c r="N39" s="269"/>
      <c r="O39" s="269"/>
      <c r="P39" s="269"/>
      <c r="Q39" s="269"/>
      <c r="R39" s="270"/>
    </row>
    <row r="40" spans="1:18" x14ac:dyDescent="0.2">
      <c r="B40" s="271"/>
      <c r="C40" s="272"/>
      <c r="D40" s="272"/>
      <c r="E40" s="272"/>
      <c r="F40" s="272"/>
      <c r="G40" s="272"/>
      <c r="H40" s="272"/>
      <c r="I40" s="272"/>
      <c r="J40" s="272"/>
      <c r="K40" s="272"/>
      <c r="L40" s="272"/>
      <c r="M40" s="272"/>
      <c r="N40" s="272"/>
      <c r="O40" s="272"/>
      <c r="P40" s="272"/>
      <c r="Q40" s="272"/>
      <c r="R40" s="273"/>
    </row>
    <row r="41" spans="1:18" x14ac:dyDescent="0.2">
      <c r="B41" s="271"/>
      <c r="C41" s="272"/>
      <c r="D41" s="272"/>
      <c r="E41" s="272"/>
      <c r="F41" s="272"/>
      <c r="G41" s="272"/>
      <c r="H41" s="272"/>
      <c r="I41" s="272"/>
      <c r="J41" s="272"/>
      <c r="K41" s="272"/>
      <c r="L41" s="272"/>
      <c r="M41" s="272"/>
      <c r="N41" s="272"/>
      <c r="O41" s="272"/>
      <c r="P41" s="272"/>
      <c r="Q41" s="272"/>
      <c r="R41" s="273"/>
    </row>
    <row r="42" spans="1:18" x14ac:dyDescent="0.2">
      <c r="B42" s="271"/>
      <c r="C42" s="272"/>
      <c r="D42" s="272"/>
      <c r="E42" s="272"/>
      <c r="F42" s="272"/>
      <c r="G42" s="272"/>
      <c r="H42" s="272"/>
      <c r="I42" s="272"/>
      <c r="J42" s="272"/>
      <c r="K42" s="272"/>
      <c r="L42" s="272"/>
      <c r="M42" s="272"/>
      <c r="N42" s="272"/>
      <c r="O42" s="272"/>
      <c r="P42" s="272"/>
      <c r="Q42" s="272"/>
      <c r="R42" s="273"/>
    </row>
    <row r="43" spans="1:18" x14ac:dyDescent="0.2">
      <c r="B43" s="271"/>
      <c r="C43" s="272"/>
      <c r="D43" s="272"/>
      <c r="E43" s="272"/>
      <c r="F43" s="272"/>
      <c r="G43" s="272"/>
      <c r="H43" s="272"/>
      <c r="I43" s="272"/>
      <c r="J43" s="272"/>
      <c r="K43" s="272"/>
      <c r="L43" s="272"/>
      <c r="M43" s="272"/>
      <c r="N43" s="272"/>
      <c r="O43" s="272"/>
      <c r="P43" s="272"/>
      <c r="Q43" s="272"/>
      <c r="R43" s="273"/>
    </row>
    <row r="44" spans="1:18" x14ac:dyDescent="0.2">
      <c r="B44" s="271"/>
      <c r="C44" s="272"/>
      <c r="D44" s="272"/>
      <c r="E44" s="272"/>
      <c r="F44" s="272"/>
      <c r="G44" s="272"/>
      <c r="H44" s="272"/>
      <c r="I44" s="272"/>
      <c r="J44" s="272"/>
      <c r="K44" s="272"/>
      <c r="L44" s="272"/>
      <c r="M44" s="272"/>
      <c r="N44" s="272"/>
      <c r="O44" s="272"/>
      <c r="P44" s="272"/>
      <c r="Q44" s="272"/>
      <c r="R44" s="273"/>
    </row>
    <row r="45" spans="1:18" ht="15.75" thickBot="1" x14ac:dyDescent="0.25">
      <c r="B45" s="274"/>
      <c r="C45" s="275"/>
      <c r="D45" s="275"/>
      <c r="E45" s="275"/>
      <c r="F45" s="275"/>
      <c r="G45" s="275"/>
      <c r="H45" s="275"/>
      <c r="I45" s="275"/>
      <c r="J45" s="275"/>
      <c r="K45" s="275"/>
      <c r="L45" s="275"/>
      <c r="M45" s="275"/>
      <c r="N45" s="275"/>
      <c r="O45" s="275"/>
      <c r="P45" s="275"/>
      <c r="Q45" s="275"/>
      <c r="R45" s="276"/>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2" t="s">
        <v>236</v>
      </c>
      <c r="D3" s="262" t="s">
        <v>236</v>
      </c>
      <c r="E3" s="262" t="s">
        <v>236</v>
      </c>
      <c r="F3" s="262" t="s">
        <v>236</v>
      </c>
      <c r="G3" s="262" t="s">
        <v>236</v>
      </c>
      <c r="H3" s="262" t="s">
        <v>236</v>
      </c>
      <c r="I3" s="262" t="s">
        <v>236</v>
      </c>
      <c r="J3" s="262" t="s">
        <v>236</v>
      </c>
      <c r="K3" s="262" t="s">
        <v>236</v>
      </c>
      <c r="L3" s="262" t="s">
        <v>236</v>
      </c>
      <c r="M3" s="262" t="s">
        <v>236</v>
      </c>
      <c r="N3" s="263" t="s">
        <v>236</v>
      </c>
    </row>
    <row r="4" spans="2:19" ht="15.75" x14ac:dyDescent="0.25">
      <c r="B4" s="93"/>
      <c r="C4" s="67" t="s">
        <v>405</v>
      </c>
      <c r="D4" s="29"/>
      <c r="E4" s="29"/>
      <c r="F4" s="5"/>
      <c r="G4" s="5"/>
      <c r="H4" s="5"/>
      <c r="I4" s="5"/>
      <c r="J4" s="5"/>
      <c r="K4" s="5"/>
      <c r="L4" s="5"/>
      <c r="M4" s="5"/>
      <c r="N4" s="20"/>
    </row>
    <row r="5" spans="2:19" ht="20.25" customHeight="1" x14ac:dyDescent="0.2">
      <c r="B5" s="93"/>
      <c r="C5" s="221" t="s">
        <v>406</v>
      </c>
      <c r="D5" s="279" t="s">
        <v>386</v>
      </c>
      <c r="E5" s="279"/>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6" t="s">
        <v>3</v>
      </c>
      <c r="Q7" s="239">
        <v>8.514300000000001E-2</v>
      </c>
    </row>
    <row r="8" spans="2:19" ht="15.75" x14ac:dyDescent="0.25">
      <c r="B8" s="93"/>
      <c r="C8" s="38" t="s">
        <v>29</v>
      </c>
      <c r="D8" s="38" t="s">
        <v>3</v>
      </c>
      <c r="E8" s="6">
        <v>2.2779000000000001E-2</v>
      </c>
      <c r="F8" s="5"/>
      <c r="G8" s="5"/>
      <c r="H8" s="5"/>
      <c r="I8" s="5"/>
      <c r="J8" s="5"/>
      <c r="K8" s="5"/>
      <c r="L8" s="5"/>
      <c r="M8" s="5"/>
      <c r="N8" s="20"/>
      <c r="P8" s="236" t="s">
        <v>4</v>
      </c>
      <c r="Q8" s="239">
        <v>3.4344000000000006E-2</v>
      </c>
      <c r="R8" s="49"/>
    </row>
    <row r="9" spans="2:19" ht="15.75" customHeight="1" x14ac:dyDescent="0.25">
      <c r="B9" s="93"/>
      <c r="C9" s="38" t="s">
        <v>32</v>
      </c>
      <c r="D9" s="38" t="s">
        <v>3</v>
      </c>
      <c r="E9" s="6">
        <v>2.112E-2</v>
      </c>
      <c r="F9" s="5"/>
      <c r="G9" s="5"/>
      <c r="H9" s="5"/>
      <c r="I9" s="5"/>
      <c r="J9" s="5"/>
      <c r="K9" s="5"/>
      <c r="L9" s="5"/>
      <c r="M9" s="5"/>
      <c r="N9" s="20"/>
      <c r="P9" s="236" t="s">
        <v>111</v>
      </c>
      <c r="Q9" s="239">
        <v>3.3222000000000002E-2</v>
      </c>
      <c r="R9" s="49"/>
    </row>
    <row r="10" spans="2:19" ht="15.75" x14ac:dyDescent="0.25">
      <c r="B10" s="93"/>
      <c r="C10" s="38" t="s">
        <v>31</v>
      </c>
      <c r="D10" s="38" t="s">
        <v>6</v>
      </c>
      <c r="E10" s="6">
        <v>1.8273999999999995E-2</v>
      </c>
      <c r="F10" s="31"/>
      <c r="G10" s="5"/>
      <c r="H10" s="5"/>
      <c r="I10" s="5"/>
      <c r="J10" s="5"/>
      <c r="K10" s="5"/>
      <c r="L10" s="5"/>
      <c r="M10" s="5"/>
      <c r="N10" s="20"/>
      <c r="P10" s="236" t="s">
        <v>26</v>
      </c>
      <c r="Q10" s="239">
        <v>3.1268000000000004E-2</v>
      </c>
      <c r="R10" s="49"/>
    </row>
    <row r="11" spans="2:19" ht="15.75" x14ac:dyDescent="0.25">
      <c r="B11" s="93"/>
      <c r="C11" s="38" t="s">
        <v>28</v>
      </c>
      <c r="D11" s="38" t="s">
        <v>107</v>
      </c>
      <c r="E11" s="6">
        <v>1.4369E-2</v>
      </c>
      <c r="F11" s="5"/>
      <c r="G11" s="5"/>
      <c r="H11" s="5"/>
      <c r="I11" s="5"/>
      <c r="J11" s="5"/>
      <c r="K11" s="5"/>
      <c r="L11" s="5"/>
      <c r="M11" s="5"/>
      <c r="N11" s="20"/>
      <c r="P11" s="236" t="s">
        <v>107</v>
      </c>
      <c r="Q11" s="239">
        <v>2.7519000000000002E-2</v>
      </c>
      <c r="R11" s="49"/>
    </row>
    <row r="12" spans="2:19" ht="15.75" customHeight="1" x14ac:dyDescent="0.25">
      <c r="B12" s="93"/>
      <c r="C12" s="38" t="s">
        <v>36</v>
      </c>
      <c r="D12" s="38" t="s">
        <v>3</v>
      </c>
      <c r="E12" s="6">
        <v>1.2202000000000001E-2</v>
      </c>
      <c r="F12" s="31"/>
      <c r="G12" s="5"/>
      <c r="H12" s="5"/>
      <c r="I12" s="5"/>
      <c r="J12" s="5"/>
      <c r="K12" s="5"/>
      <c r="L12" s="5"/>
      <c r="M12" s="5"/>
      <c r="N12" s="20"/>
      <c r="P12" s="236" t="s">
        <v>112</v>
      </c>
      <c r="Q12" s="239">
        <v>2.0507000000000001E-2</v>
      </c>
      <c r="R12" s="49"/>
    </row>
    <row r="13" spans="2:19" ht="15.75" x14ac:dyDescent="0.25">
      <c r="B13" s="93"/>
      <c r="C13" s="38" t="s">
        <v>37</v>
      </c>
      <c r="D13" s="38" t="s">
        <v>117</v>
      </c>
      <c r="E13" s="6">
        <v>8.5319999999999997E-3</v>
      </c>
      <c r="F13" s="31"/>
      <c r="G13" s="5"/>
      <c r="H13" s="5"/>
      <c r="I13" s="5"/>
      <c r="J13" s="5"/>
      <c r="K13" s="5"/>
      <c r="L13" s="5"/>
      <c r="M13" s="5"/>
      <c r="N13" s="20"/>
      <c r="P13" s="236" t="s">
        <v>16</v>
      </c>
      <c r="Q13" s="239">
        <v>1.8957000000000002E-2</v>
      </c>
      <c r="R13" s="49"/>
    </row>
    <row r="14" spans="2:19" ht="15.75" x14ac:dyDescent="0.25">
      <c r="B14" s="93"/>
      <c r="C14" s="38" t="s">
        <v>245</v>
      </c>
      <c r="D14" s="38" t="s">
        <v>26</v>
      </c>
      <c r="E14" s="6">
        <v>8.3820000000000006E-3</v>
      </c>
      <c r="F14" s="31"/>
      <c r="G14" s="5"/>
      <c r="H14" s="5"/>
      <c r="I14" s="5"/>
      <c r="J14" s="5"/>
      <c r="K14" s="5"/>
      <c r="L14" s="5"/>
      <c r="M14" s="5"/>
      <c r="N14" s="20"/>
      <c r="P14" s="236" t="s">
        <v>6</v>
      </c>
      <c r="Q14" s="239">
        <v>1.8273999999999995E-2</v>
      </c>
      <c r="R14" s="49"/>
    </row>
    <row r="15" spans="2:19" ht="15.75" x14ac:dyDescent="0.25">
      <c r="B15" s="93"/>
      <c r="C15" s="38" t="s">
        <v>226</v>
      </c>
      <c r="D15" s="38" t="s">
        <v>26</v>
      </c>
      <c r="E15" s="6">
        <v>8.0619999999999997E-3</v>
      </c>
      <c r="F15" s="5"/>
      <c r="G15" s="5"/>
      <c r="H15" s="5"/>
      <c r="I15" s="5"/>
      <c r="J15" s="5"/>
      <c r="K15" s="5"/>
      <c r="L15" s="5"/>
      <c r="M15" s="5"/>
      <c r="N15" s="20"/>
      <c r="P15" s="236" t="s">
        <v>24</v>
      </c>
      <c r="Q15" s="239">
        <v>1.7656999999999999E-2</v>
      </c>
      <c r="R15" s="49"/>
    </row>
    <row r="16" spans="2:19" ht="15.75" x14ac:dyDescent="0.25">
      <c r="B16" s="93"/>
      <c r="C16" s="38" t="s">
        <v>30</v>
      </c>
      <c r="D16" s="38" t="s">
        <v>117</v>
      </c>
      <c r="E16" s="6">
        <v>7.7679999999999989E-3</v>
      </c>
      <c r="F16" s="5"/>
      <c r="G16" s="5"/>
      <c r="H16" s="5"/>
      <c r="I16" s="5"/>
      <c r="J16" s="5"/>
      <c r="K16" s="5"/>
      <c r="L16" s="5"/>
      <c r="M16" s="5"/>
      <c r="N16" s="20"/>
      <c r="P16" s="236" t="s">
        <v>117</v>
      </c>
      <c r="Q16" s="239">
        <v>1.6300000000000002E-2</v>
      </c>
      <c r="R16" s="49"/>
    </row>
    <row r="17" spans="2:18" ht="15.75" x14ac:dyDescent="0.25">
      <c r="B17" s="93"/>
      <c r="C17" s="38" t="s">
        <v>33</v>
      </c>
      <c r="D17" s="38" t="s">
        <v>107</v>
      </c>
      <c r="E17" s="6">
        <v>7.721999999999998E-3</v>
      </c>
      <c r="F17" s="5"/>
      <c r="G17" s="5"/>
      <c r="H17" s="5"/>
      <c r="I17" s="5"/>
      <c r="J17" s="5"/>
      <c r="K17" s="5"/>
      <c r="L17" s="5"/>
      <c r="M17" s="5"/>
      <c r="N17" s="20"/>
      <c r="P17" s="236" t="s">
        <v>119</v>
      </c>
      <c r="Q17" s="239">
        <v>1.5354E-2</v>
      </c>
      <c r="R17" s="49"/>
    </row>
    <row r="18" spans="2:18" ht="15.75" x14ac:dyDescent="0.25">
      <c r="B18" s="93"/>
      <c r="C18" s="38" t="s">
        <v>120</v>
      </c>
      <c r="D18" s="38" t="s">
        <v>112</v>
      </c>
      <c r="E18" s="6">
        <v>7.3519999999999992E-3</v>
      </c>
      <c r="F18" s="5"/>
      <c r="G18" s="5"/>
      <c r="H18" s="5"/>
      <c r="I18" s="5"/>
      <c r="J18" s="5"/>
      <c r="K18" s="5"/>
      <c r="L18" s="5"/>
      <c r="M18" s="5"/>
      <c r="N18" s="20"/>
      <c r="P18" s="236" t="s">
        <v>118</v>
      </c>
      <c r="Q18" s="239">
        <v>1.5290000000000002E-2</v>
      </c>
      <c r="R18" s="49"/>
    </row>
    <row r="19" spans="2:18" ht="15.75" x14ac:dyDescent="0.25">
      <c r="B19" s="93"/>
      <c r="C19" s="38" t="s">
        <v>96</v>
      </c>
      <c r="D19" s="38" t="s">
        <v>112</v>
      </c>
      <c r="E19" s="6">
        <v>7.1170000000000001E-3</v>
      </c>
      <c r="F19" s="5"/>
      <c r="G19" s="5"/>
      <c r="H19" s="5"/>
      <c r="I19" s="5"/>
      <c r="J19" s="5"/>
      <c r="K19" s="5"/>
      <c r="L19" s="5"/>
      <c r="M19" s="5"/>
      <c r="N19" s="20"/>
      <c r="P19" s="236" t="s">
        <v>23</v>
      </c>
      <c r="Q19" s="239">
        <v>1.3593000000000001E-2</v>
      </c>
      <c r="R19" s="49"/>
    </row>
    <row r="20" spans="2:18" ht="15.75" customHeight="1" x14ac:dyDescent="0.25">
      <c r="B20" s="93"/>
      <c r="C20" s="38" t="s">
        <v>62</v>
      </c>
      <c r="D20" s="38" t="s">
        <v>10</v>
      </c>
      <c r="E20" s="6">
        <v>7.0919999999999993E-3</v>
      </c>
      <c r="F20" s="5"/>
      <c r="G20" s="5"/>
      <c r="H20" s="5"/>
      <c r="I20" s="5"/>
      <c r="J20" s="5"/>
      <c r="K20" s="5"/>
      <c r="L20" s="5"/>
      <c r="M20" s="5"/>
      <c r="N20" s="20"/>
      <c r="P20" s="236" t="s">
        <v>86</v>
      </c>
      <c r="Q20" s="239">
        <v>1.26E-2</v>
      </c>
      <c r="R20" s="49"/>
    </row>
    <row r="21" spans="2:18" ht="15.75" x14ac:dyDescent="0.25">
      <c r="B21" s="93"/>
      <c r="C21" s="38" t="s">
        <v>104</v>
      </c>
      <c r="D21" s="38" t="s">
        <v>111</v>
      </c>
      <c r="E21" s="6">
        <v>6.7279999999999996E-3</v>
      </c>
      <c r="F21" s="5"/>
      <c r="G21" s="5"/>
      <c r="H21" s="5"/>
      <c r="I21" s="5"/>
      <c r="J21" s="5"/>
      <c r="K21" s="5"/>
      <c r="L21" s="5"/>
      <c r="M21" s="5"/>
      <c r="N21" s="20"/>
      <c r="P21" s="236" t="s">
        <v>126</v>
      </c>
      <c r="Q21" s="239">
        <v>1.2101000000000001E-2</v>
      </c>
      <c r="R21" s="49"/>
    </row>
    <row r="22" spans="2:18" ht="15.75" x14ac:dyDescent="0.25">
      <c r="B22" s="93"/>
      <c r="C22" s="38" t="s">
        <v>70</v>
      </c>
      <c r="D22" s="38" t="s">
        <v>12</v>
      </c>
      <c r="E22" s="6">
        <v>6.2380000000000005E-3</v>
      </c>
      <c r="F22" s="5"/>
      <c r="G22" s="31"/>
      <c r="H22" s="31"/>
      <c r="I22" s="31"/>
      <c r="J22" s="5"/>
      <c r="K22" s="31"/>
      <c r="L22" s="5"/>
      <c r="M22" s="5"/>
      <c r="N22" s="20"/>
      <c r="P22" s="236" t="s">
        <v>10</v>
      </c>
      <c r="Q22" s="239">
        <v>1.1567999999999998E-2</v>
      </c>
      <c r="R22" s="49"/>
    </row>
    <row r="23" spans="2:18" ht="15.75" customHeight="1" x14ac:dyDescent="0.25">
      <c r="B23" s="93"/>
      <c r="C23" s="38"/>
      <c r="D23" s="4"/>
      <c r="E23" s="6"/>
      <c r="F23" s="5"/>
      <c r="G23" s="31"/>
      <c r="H23" s="31"/>
      <c r="I23" s="31"/>
      <c r="J23" s="5"/>
      <c r="K23" s="31"/>
      <c r="L23" s="5"/>
      <c r="M23" s="5"/>
      <c r="N23" s="20"/>
      <c r="P23" s="236" t="s">
        <v>110</v>
      </c>
      <c r="Q23" s="239">
        <v>1.0785999999999999E-2</v>
      </c>
      <c r="R23" s="49"/>
    </row>
    <row r="24" spans="2:18" ht="15.75" x14ac:dyDescent="0.25">
      <c r="B24" s="93"/>
      <c r="C24" s="108" t="s">
        <v>56</v>
      </c>
      <c r="D24" s="108"/>
      <c r="E24" s="109">
        <f>SUM(E8:E22)</f>
        <v>0.16373699999999999</v>
      </c>
      <c r="F24" s="5"/>
      <c r="G24" s="5"/>
      <c r="H24" s="5"/>
      <c r="I24" s="5"/>
      <c r="J24" s="5"/>
      <c r="K24" s="5"/>
      <c r="L24" s="5"/>
      <c r="M24" s="5"/>
      <c r="N24" s="20"/>
      <c r="P24" s="236" t="s">
        <v>113</v>
      </c>
      <c r="Q24" s="239">
        <v>1.0186000000000001E-2</v>
      </c>
      <c r="R24" s="49"/>
    </row>
    <row r="25" spans="2:18" ht="15.75" x14ac:dyDescent="0.25">
      <c r="B25" s="93"/>
      <c r="C25" s="4"/>
      <c r="D25" s="4"/>
      <c r="E25" s="6"/>
      <c r="F25" s="5"/>
      <c r="G25" s="5"/>
      <c r="H25" s="5"/>
      <c r="I25" s="5"/>
      <c r="J25" s="5"/>
      <c r="K25" s="5"/>
      <c r="L25" s="5"/>
      <c r="M25" s="5"/>
      <c r="N25" s="20"/>
      <c r="P25" s="236" t="s">
        <v>83</v>
      </c>
      <c r="Q25" s="239">
        <v>9.5399999999999999E-3</v>
      </c>
      <c r="R25" s="49"/>
    </row>
    <row r="26" spans="2:18" ht="15.75" x14ac:dyDescent="0.25">
      <c r="B26" s="93"/>
      <c r="C26" s="108" t="s">
        <v>66</v>
      </c>
      <c r="D26" s="108"/>
      <c r="E26" s="109">
        <v>0.33991700000000008</v>
      </c>
      <c r="F26" s="31"/>
      <c r="G26" s="5"/>
      <c r="H26" s="5"/>
      <c r="I26" s="5"/>
      <c r="J26" s="5"/>
      <c r="K26" s="5"/>
      <c r="L26" s="5"/>
      <c r="M26" s="5"/>
      <c r="N26" s="20"/>
      <c r="P26" s="236" t="s">
        <v>84</v>
      </c>
      <c r="Q26" s="239">
        <v>8.5660000000000007E-3</v>
      </c>
      <c r="R26" s="49"/>
    </row>
    <row r="27" spans="2:18" ht="15.75" x14ac:dyDescent="0.25">
      <c r="B27" s="93"/>
      <c r="C27" s="38"/>
      <c r="D27" s="58"/>
      <c r="E27" s="6"/>
      <c r="F27" s="5"/>
      <c r="G27" s="5"/>
      <c r="H27" s="5"/>
      <c r="I27" s="5"/>
      <c r="J27" s="5"/>
      <c r="K27" s="5"/>
      <c r="L27" s="5"/>
      <c r="M27" s="5"/>
      <c r="N27" s="20"/>
      <c r="P27" s="236" t="s">
        <v>11</v>
      </c>
      <c r="Q27" s="239">
        <v>7.1229999999999991E-3</v>
      </c>
      <c r="R27" s="49"/>
    </row>
    <row r="28" spans="2:18" s="48" customFormat="1" ht="13.5" customHeight="1" x14ac:dyDescent="0.25">
      <c r="B28" s="110"/>
      <c r="C28" s="108" t="s">
        <v>58</v>
      </c>
      <c r="D28" s="108"/>
      <c r="E28" s="186">
        <v>0.16023599999999999</v>
      </c>
      <c r="F28" s="41"/>
      <c r="G28" s="41"/>
      <c r="H28" s="41"/>
      <c r="I28" s="41"/>
      <c r="J28" s="41"/>
      <c r="K28" s="41"/>
      <c r="L28" s="41"/>
      <c r="M28" s="41"/>
      <c r="N28" s="111"/>
      <c r="P28" s="236" t="s">
        <v>108</v>
      </c>
      <c r="Q28" s="239">
        <v>7.0229999999999997E-3</v>
      </c>
      <c r="R28" s="112"/>
    </row>
    <row r="29" spans="2:18" ht="15.75" x14ac:dyDescent="0.25">
      <c r="B29" s="93"/>
      <c r="C29" s="38"/>
      <c r="D29" s="38"/>
      <c r="E29" s="6"/>
      <c r="F29" s="5"/>
      <c r="G29" s="5"/>
      <c r="H29" s="5"/>
      <c r="I29" s="5"/>
      <c r="J29" s="5"/>
      <c r="K29" s="5"/>
      <c r="L29" s="5"/>
      <c r="M29" s="5"/>
      <c r="N29" s="20"/>
      <c r="P29" s="236" t="s">
        <v>121</v>
      </c>
      <c r="Q29" s="239">
        <v>6.7299999999999999E-3</v>
      </c>
      <c r="R29" s="49"/>
    </row>
    <row r="30" spans="2:18" ht="15.75" x14ac:dyDescent="0.25">
      <c r="B30" s="93"/>
      <c r="C30" s="38" t="s">
        <v>235</v>
      </c>
      <c r="D30" s="38" t="s">
        <v>233</v>
      </c>
      <c r="E30" s="6">
        <v>6.3899999999999998E-2</v>
      </c>
      <c r="F30" s="5"/>
      <c r="G30" s="5"/>
      <c r="H30" s="5"/>
      <c r="I30" s="5"/>
      <c r="J30" s="5"/>
      <c r="K30" s="5"/>
      <c r="L30" s="5"/>
      <c r="M30" s="5"/>
      <c r="N30" s="20"/>
      <c r="P30" s="236" t="s">
        <v>12</v>
      </c>
      <c r="Q30" s="239">
        <v>6.2380000000000005E-3</v>
      </c>
      <c r="R30" s="49"/>
    </row>
    <row r="31" spans="2:18" ht="15.75" x14ac:dyDescent="0.25">
      <c r="B31" s="93"/>
      <c r="C31" s="38" t="s">
        <v>234</v>
      </c>
      <c r="D31" s="38" t="s">
        <v>233</v>
      </c>
      <c r="E31" s="6">
        <v>6.0054999999999997E-2</v>
      </c>
      <c r="F31" s="5"/>
      <c r="G31" s="5"/>
      <c r="H31" s="5"/>
      <c r="I31" s="5"/>
      <c r="J31" s="5"/>
      <c r="K31" s="5"/>
      <c r="L31" s="5"/>
      <c r="M31" s="5"/>
      <c r="N31" s="20"/>
      <c r="P31" s="236" t="s">
        <v>85</v>
      </c>
      <c r="Q31" s="239">
        <v>5.8089999999999999E-3</v>
      </c>
      <c r="R31" s="49"/>
    </row>
    <row r="32" spans="2:18" ht="15.75" x14ac:dyDescent="0.25">
      <c r="B32" s="93"/>
      <c r="C32" s="108" t="s">
        <v>232</v>
      </c>
      <c r="D32" s="108"/>
      <c r="E32" s="186">
        <v>0.123955</v>
      </c>
      <c r="F32" s="5"/>
      <c r="G32" s="5"/>
      <c r="H32" s="5"/>
      <c r="I32" s="5"/>
      <c r="J32" s="5"/>
      <c r="K32" s="5"/>
      <c r="L32" s="5"/>
      <c r="M32" s="5"/>
      <c r="N32" s="20"/>
      <c r="P32" s="236" t="s">
        <v>77</v>
      </c>
      <c r="Q32" s="239">
        <v>5.3429999999999997E-3</v>
      </c>
      <c r="R32" s="49"/>
    </row>
    <row r="33" spans="1:18" ht="15.75" x14ac:dyDescent="0.25">
      <c r="B33" s="93"/>
      <c r="C33" s="38"/>
      <c r="D33" s="4"/>
      <c r="E33" s="199"/>
      <c r="F33" s="5"/>
      <c r="G33" s="5"/>
      <c r="H33" s="5"/>
      <c r="I33" s="5"/>
      <c r="J33" s="5"/>
      <c r="K33" s="5"/>
      <c r="L33" s="5"/>
      <c r="M33" s="5"/>
      <c r="N33" s="20"/>
      <c r="P33" s="236" t="s">
        <v>146</v>
      </c>
      <c r="Q33" s="239">
        <v>5.2399999999999999E-3</v>
      </c>
      <c r="R33" s="49"/>
    </row>
    <row r="34" spans="1:18" ht="15.75" x14ac:dyDescent="0.25">
      <c r="B34" s="93"/>
      <c r="C34" s="38" t="s">
        <v>225</v>
      </c>
      <c r="D34" s="4" t="s">
        <v>61</v>
      </c>
      <c r="E34" s="199">
        <v>8.0125000000000002E-2</v>
      </c>
      <c r="F34" s="5"/>
      <c r="G34" s="5"/>
      <c r="H34" s="5"/>
      <c r="I34" s="5"/>
      <c r="J34" s="5"/>
      <c r="K34" s="5"/>
      <c r="L34" s="5"/>
      <c r="M34" s="5"/>
      <c r="N34" s="20"/>
      <c r="P34" s="236" t="s">
        <v>219</v>
      </c>
      <c r="Q34" s="239">
        <v>5.1919999999999996E-3</v>
      </c>
      <c r="R34" s="49"/>
    </row>
    <row r="35" spans="1:18" ht="15.75" x14ac:dyDescent="0.25">
      <c r="B35" s="93"/>
      <c r="C35" s="108" t="s">
        <v>42</v>
      </c>
      <c r="D35" s="108"/>
      <c r="E35" s="109">
        <v>8.0125000000000002E-2</v>
      </c>
      <c r="F35" s="5"/>
      <c r="G35" s="5"/>
      <c r="H35" s="5"/>
      <c r="I35" s="5"/>
      <c r="J35" s="5"/>
      <c r="K35" s="5"/>
      <c r="L35" s="5"/>
      <c r="M35" s="5"/>
      <c r="N35" s="20"/>
      <c r="P35" s="236" t="s">
        <v>127</v>
      </c>
      <c r="Q35" s="239">
        <v>4.6820000000000004E-3</v>
      </c>
      <c r="R35" s="49"/>
    </row>
    <row r="36" spans="1:18" ht="15.75" x14ac:dyDescent="0.25">
      <c r="B36" s="93"/>
      <c r="C36" s="113"/>
      <c r="D36" s="113"/>
      <c r="E36" s="114"/>
      <c r="F36" s="5"/>
      <c r="G36" s="5"/>
      <c r="H36" s="5"/>
      <c r="I36" s="5"/>
      <c r="J36" s="5"/>
      <c r="K36" s="5"/>
      <c r="L36" s="5"/>
      <c r="M36" s="5"/>
      <c r="N36" s="20"/>
      <c r="P36" s="236" t="s">
        <v>122</v>
      </c>
      <c r="Q36" s="239">
        <v>3.9659999999999999E-3</v>
      </c>
      <c r="R36" s="49"/>
    </row>
    <row r="37" spans="1:18" ht="15.75" x14ac:dyDescent="0.25">
      <c r="B37" s="93"/>
      <c r="C37" s="38" t="s">
        <v>231</v>
      </c>
      <c r="D37" s="38" t="s">
        <v>233</v>
      </c>
      <c r="E37" s="199">
        <v>9.4740000000000005E-2</v>
      </c>
      <c r="F37" s="5"/>
      <c r="G37" s="5"/>
      <c r="H37" s="5"/>
      <c r="I37" s="5"/>
      <c r="J37" s="5"/>
      <c r="K37" s="5"/>
      <c r="L37" s="5"/>
      <c r="M37" s="5"/>
      <c r="N37" s="20"/>
      <c r="P37" s="236" t="s">
        <v>131</v>
      </c>
      <c r="Q37" s="239">
        <v>3.813E-3</v>
      </c>
      <c r="R37" s="49"/>
    </row>
    <row r="38" spans="1:18" ht="15.75" x14ac:dyDescent="0.25">
      <c r="B38" s="93"/>
      <c r="C38" s="108" t="s">
        <v>230</v>
      </c>
      <c r="D38" s="108"/>
      <c r="E38" s="109">
        <v>9.4740000000000005E-2</v>
      </c>
      <c r="F38" s="5"/>
      <c r="G38" s="5"/>
      <c r="H38" s="5"/>
      <c r="I38" s="5"/>
      <c r="J38" s="5"/>
      <c r="K38" s="5"/>
      <c r="L38" s="5"/>
      <c r="M38" s="5"/>
      <c r="N38" s="20"/>
      <c r="P38" s="236" t="s">
        <v>124</v>
      </c>
      <c r="Q38" s="239">
        <v>3.1410000000000001E-3</v>
      </c>
      <c r="R38" s="49"/>
    </row>
    <row r="39" spans="1:18" ht="15.75" x14ac:dyDescent="0.25">
      <c r="B39" s="93"/>
      <c r="C39" s="113"/>
      <c r="D39" s="113"/>
      <c r="E39" s="114"/>
      <c r="F39" s="5"/>
      <c r="G39" s="5"/>
      <c r="H39" s="5"/>
      <c r="I39" s="5"/>
      <c r="J39" s="5"/>
      <c r="K39" s="5"/>
      <c r="L39" s="5"/>
      <c r="M39" s="5"/>
      <c r="N39" s="20"/>
      <c r="P39" s="236" t="s">
        <v>15</v>
      </c>
      <c r="Q39" s="239">
        <v>2.8870000000000002E-3</v>
      </c>
      <c r="R39" s="49"/>
    </row>
    <row r="40" spans="1:18" ht="15.75" x14ac:dyDescent="0.25">
      <c r="B40" s="93"/>
      <c r="C40" s="108" t="s">
        <v>20</v>
      </c>
      <c r="D40" s="108"/>
      <c r="E40" s="109">
        <v>3.7290000000000018E-2</v>
      </c>
      <c r="F40" s="5"/>
      <c r="G40" s="5"/>
      <c r="H40" s="5"/>
      <c r="I40" s="5"/>
      <c r="J40" s="5"/>
      <c r="K40" s="5"/>
      <c r="L40" s="5"/>
      <c r="M40" s="5"/>
      <c r="N40" s="20"/>
      <c r="P40" s="236" t="s">
        <v>133</v>
      </c>
      <c r="Q40" s="239">
        <v>2.6090000000000002E-3</v>
      </c>
      <c r="R40" s="49"/>
    </row>
    <row r="41" spans="1:18" ht="15.75" x14ac:dyDescent="0.25">
      <c r="B41" s="93"/>
      <c r="C41" s="4"/>
      <c r="D41" s="4"/>
      <c r="E41" s="32"/>
      <c r="F41" s="5"/>
      <c r="G41" s="5"/>
      <c r="H41" s="5"/>
      <c r="I41" s="5"/>
      <c r="J41" s="5"/>
      <c r="K41" s="5"/>
      <c r="L41" s="5"/>
      <c r="M41" s="5"/>
      <c r="N41" s="20"/>
      <c r="P41" s="236" t="s">
        <v>114</v>
      </c>
      <c r="Q41" s="239">
        <v>2.434E-3</v>
      </c>
      <c r="R41" s="49"/>
    </row>
    <row r="42" spans="1:18" s="48" customFormat="1" ht="15.75" x14ac:dyDescent="0.25">
      <c r="B42" s="110"/>
      <c r="C42" s="115" t="s">
        <v>21</v>
      </c>
      <c r="D42" s="115"/>
      <c r="E42" s="116">
        <f>E40+E38+E35+E32+E28+E26+E24</f>
        <v>1</v>
      </c>
      <c r="F42" s="41"/>
      <c r="G42" s="5"/>
      <c r="H42" s="5"/>
      <c r="I42" s="5"/>
      <c r="J42" s="5"/>
      <c r="K42" s="5"/>
      <c r="L42" s="41"/>
      <c r="M42" s="41"/>
      <c r="N42" s="111"/>
      <c r="P42" s="236" t="s">
        <v>123</v>
      </c>
      <c r="Q42" s="239">
        <v>2.434E-3</v>
      </c>
      <c r="R42" s="112"/>
    </row>
    <row r="43" spans="1:18" ht="15.75" x14ac:dyDescent="0.25">
      <c r="B43" s="93"/>
      <c r="F43" s="5"/>
      <c r="G43" s="5"/>
      <c r="H43" s="5"/>
      <c r="I43" s="5"/>
      <c r="J43" s="5"/>
      <c r="K43" s="5"/>
      <c r="L43" s="5"/>
      <c r="M43" s="5"/>
      <c r="N43" s="20"/>
      <c r="P43" s="236" t="s">
        <v>25</v>
      </c>
      <c r="Q43" s="239">
        <v>1.9689999999999998E-3</v>
      </c>
      <c r="R43" s="49"/>
    </row>
    <row r="44" spans="1:18" ht="15.75" x14ac:dyDescent="0.25">
      <c r="A44" s="5"/>
      <c r="B44" s="93"/>
      <c r="F44" s="5"/>
      <c r="G44" s="5"/>
      <c r="H44" s="5"/>
      <c r="I44" s="5"/>
      <c r="J44" s="5"/>
      <c r="K44" s="5"/>
      <c r="L44" s="5"/>
      <c r="M44" s="5"/>
      <c r="N44" s="20"/>
      <c r="O44" s="5"/>
      <c r="P44" s="236" t="s">
        <v>137</v>
      </c>
      <c r="Q44" s="239">
        <v>1.802E-3</v>
      </c>
      <c r="R44" s="49"/>
    </row>
    <row r="45" spans="1:18" ht="16.5" thickBot="1" x14ac:dyDescent="0.3">
      <c r="A45" s="5"/>
      <c r="B45" s="96"/>
      <c r="C45" s="45"/>
      <c r="D45" s="45"/>
      <c r="E45" s="45"/>
      <c r="F45" s="45"/>
      <c r="G45" s="45"/>
      <c r="H45" s="45"/>
      <c r="I45" s="45"/>
      <c r="J45" s="45"/>
      <c r="K45" s="45"/>
      <c r="L45" s="45"/>
      <c r="M45" s="45"/>
      <c r="N45" s="118"/>
      <c r="O45" s="5"/>
      <c r="P45" s="236" t="s">
        <v>115</v>
      </c>
      <c r="Q45" s="239">
        <v>1.439E-3</v>
      </c>
      <c r="R45" s="49"/>
    </row>
    <row r="46" spans="1:18" ht="15.75" x14ac:dyDescent="0.25">
      <c r="P46" s="236" t="s">
        <v>240</v>
      </c>
      <c r="Q46" s="239">
        <v>1.005E-3</v>
      </c>
      <c r="R46" s="49"/>
    </row>
    <row r="47" spans="1:18" ht="15" customHeight="1" thickBot="1" x14ac:dyDescent="0.3">
      <c r="P47" s="236"/>
      <c r="Q47" s="239"/>
    </row>
    <row r="48" spans="1:18" ht="103.5" customHeight="1" thickBot="1" x14ac:dyDescent="0.25">
      <c r="B48" s="293" t="s">
        <v>182</v>
      </c>
      <c r="C48" s="294"/>
      <c r="D48" s="294"/>
      <c r="E48" s="294"/>
      <c r="F48" s="294"/>
      <c r="G48" s="294"/>
      <c r="H48" s="294"/>
      <c r="I48" s="294"/>
      <c r="J48" s="294"/>
      <c r="K48" s="294"/>
      <c r="L48" s="294"/>
      <c r="M48" s="294"/>
      <c r="N48" s="294"/>
      <c r="O48" s="294"/>
      <c r="P48" s="294"/>
      <c r="Q48" s="294"/>
      <c r="R48" s="295"/>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election activeCell="D8" sqref="D8:D10"/>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62" t="s">
        <v>158</v>
      </c>
      <c r="D3" s="262"/>
      <c r="E3" s="262"/>
      <c r="F3" s="262"/>
      <c r="G3" s="262"/>
      <c r="H3" s="262"/>
      <c r="I3" s="262"/>
      <c r="J3" s="262"/>
      <c r="K3" s="262"/>
      <c r="L3" s="262"/>
      <c r="M3" s="263"/>
    </row>
    <row r="4" spans="2:16" ht="15.75" x14ac:dyDescent="0.25">
      <c r="B4" s="93"/>
      <c r="C4" s="67" t="s">
        <v>405</v>
      </c>
      <c r="D4" s="29"/>
      <c r="E4" s="29"/>
      <c r="F4" s="5"/>
      <c r="G4" s="5"/>
      <c r="H4" s="5"/>
      <c r="I4" s="5"/>
      <c r="J4" s="5"/>
      <c r="K4" s="5"/>
      <c r="L4" s="5"/>
      <c r="M4" s="20"/>
    </row>
    <row r="5" spans="2:16" ht="20.25" customHeight="1" x14ac:dyDescent="0.25">
      <c r="B5" s="93"/>
      <c r="C5" s="221" t="s">
        <v>406</v>
      </c>
      <c r="D5" s="94" t="s">
        <v>387</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64" t="s">
        <v>50</v>
      </c>
      <c r="G7" s="264"/>
      <c r="H7" s="264"/>
      <c r="I7" s="264"/>
      <c r="J7" s="264"/>
      <c r="K7" s="264"/>
      <c r="L7" s="264"/>
      <c r="M7" s="265"/>
    </row>
    <row r="8" spans="2:16" ht="15.75" x14ac:dyDescent="0.25">
      <c r="B8" s="93"/>
      <c r="C8" s="38" t="s">
        <v>179</v>
      </c>
      <c r="D8" s="200">
        <v>9.7947999999999993E-2</v>
      </c>
      <c r="E8" s="29"/>
      <c r="F8" s="5"/>
      <c r="G8" s="31"/>
      <c r="H8" s="5"/>
      <c r="I8" s="5"/>
      <c r="J8" s="47"/>
      <c r="K8" s="5"/>
      <c r="L8" s="5"/>
      <c r="M8" s="20"/>
      <c r="P8" s="49"/>
    </row>
    <row r="9" spans="2:16" x14ac:dyDescent="0.2">
      <c r="B9" s="93"/>
      <c r="C9" s="102" t="s">
        <v>175</v>
      </c>
      <c r="D9" s="182">
        <v>9.4037999999999997E-2</v>
      </c>
      <c r="E9" s="5"/>
      <c r="F9" s="5"/>
      <c r="G9" s="5"/>
      <c r="H9" s="5"/>
      <c r="I9" s="5" t="s">
        <v>51</v>
      </c>
      <c r="J9" s="47">
        <f>D11</f>
        <v>0.28279900000000002</v>
      </c>
      <c r="K9" s="5"/>
      <c r="L9" s="5"/>
      <c r="M9" s="20"/>
      <c r="P9" s="49"/>
    </row>
    <row r="10" spans="2:16" x14ac:dyDescent="0.2">
      <c r="B10" s="93"/>
      <c r="C10" s="102" t="s">
        <v>176</v>
      </c>
      <c r="D10" s="182">
        <v>9.0813000000000005E-2</v>
      </c>
      <c r="E10" s="5"/>
      <c r="F10" s="5"/>
      <c r="G10" s="5"/>
      <c r="H10" s="5"/>
      <c r="I10" s="5" t="s">
        <v>53</v>
      </c>
      <c r="J10" s="47">
        <f>D16</f>
        <v>0.67615099999999995</v>
      </c>
      <c r="K10" s="5"/>
      <c r="L10" s="5"/>
      <c r="M10" s="20"/>
      <c r="P10" s="49"/>
    </row>
    <row r="11" spans="2:16" ht="15.75" x14ac:dyDescent="0.25">
      <c r="B11" s="93"/>
      <c r="C11" s="7" t="s">
        <v>52</v>
      </c>
      <c r="D11" s="8">
        <f>SUM(D8:D10)</f>
        <v>0.28279900000000002</v>
      </c>
      <c r="E11" s="5"/>
      <c r="F11" s="5"/>
      <c r="G11" s="5"/>
      <c r="H11" s="5"/>
      <c r="I11" s="5" t="s">
        <v>20</v>
      </c>
      <c r="J11" s="47">
        <f>D18</f>
        <v>4.1049999999999996E-2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178</v>
      </c>
      <c r="D13" s="182">
        <v>0.59919199999999995</v>
      </c>
      <c r="E13" s="5"/>
      <c r="F13" s="5"/>
      <c r="G13" s="5"/>
      <c r="H13" s="5"/>
      <c r="I13" s="5"/>
      <c r="J13" s="47"/>
      <c r="K13" s="5"/>
      <c r="L13" s="5"/>
      <c r="M13" s="20"/>
      <c r="P13" s="49"/>
    </row>
    <row r="14" spans="2:16" ht="15.75" customHeight="1" x14ac:dyDescent="0.2">
      <c r="B14" s="93"/>
      <c r="C14" s="4" t="s">
        <v>177</v>
      </c>
      <c r="D14" s="182">
        <v>6.3232999999999998E-2</v>
      </c>
      <c r="E14" s="5"/>
      <c r="F14" s="5"/>
      <c r="G14" s="5"/>
      <c r="H14" s="5"/>
      <c r="I14" s="5"/>
      <c r="J14" s="47"/>
      <c r="K14" s="5"/>
      <c r="L14" s="5"/>
      <c r="M14" s="20"/>
      <c r="P14" s="49"/>
    </row>
    <row r="15" spans="2:16" x14ac:dyDescent="0.2">
      <c r="B15" s="93"/>
      <c r="C15" s="4" t="s">
        <v>210</v>
      </c>
      <c r="D15" s="182">
        <v>1.3726E-2</v>
      </c>
      <c r="E15" s="5"/>
      <c r="F15" s="5"/>
      <c r="G15" s="5"/>
      <c r="H15" s="5"/>
      <c r="I15" s="5"/>
      <c r="J15" s="103"/>
      <c r="K15" s="5"/>
      <c r="L15" s="5"/>
      <c r="M15" s="20"/>
      <c r="P15" s="49"/>
    </row>
    <row r="16" spans="2:16" ht="15.75" x14ac:dyDescent="0.25">
      <c r="B16" s="93"/>
      <c r="C16" s="7" t="s">
        <v>19</v>
      </c>
      <c r="D16" s="8">
        <f>SUM(D13:D15)</f>
        <v>0.67615099999999995</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09">
        <v>4.1049999999999996E-2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296"/>
      <c r="D23" s="296"/>
      <c r="E23" s="296"/>
      <c r="F23" s="296"/>
      <c r="G23" s="296"/>
      <c r="H23" s="5"/>
      <c r="I23" s="5"/>
      <c r="J23" s="5"/>
      <c r="K23" s="5"/>
      <c r="L23" s="5"/>
      <c r="M23" s="11"/>
      <c r="P23" s="49"/>
    </row>
    <row r="24" spans="2:18" ht="16.5" thickBot="1" x14ac:dyDescent="0.3">
      <c r="B24" s="96"/>
      <c r="C24" s="266"/>
      <c r="D24" s="266"/>
      <c r="E24" s="266"/>
      <c r="F24" s="266"/>
      <c r="G24" s="266"/>
      <c r="H24" s="266"/>
      <c r="I24" s="266"/>
      <c r="J24" s="266"/>
      <c r="K24" s="266"/>
      <c r="L24" s="266"/>
      <c r="M24" s="267"/>
      <c r="P24" s="49"/>
    </row>
    <row r="25" spans="2:18" ht="15.75" thickBot="1" x14ac:dyDescent="0.25">
      <c r="P25" s="49"/>
    </row>
    <row r="26" spans="2:18" ht="15" customHeight="1" x14ac:dyDescent="0.2">
      <c r="B26" s="268" t="s">
        <v>182</v>
      </c>
      <c r="C26" s="269"/>
      <c r="D26" s="269"/>
      <c r="E26" s="269"/>
      <c r="F26" s="269"/>
      <c r="G26" s="269"/>
      <c r="H26" s="269"/>
      <c r="I26" s="269"/>
      <c r="J26" s="269"/>
      <c r="K26" s="269"/>
      <c r="L26" s="269"/>
      <c r="M26" s="269"/>
      <c r="N26" s="269"/>
      <c r="O26" s="269"/>
      <c r="P26" s="269"/>
      <c r="Q26" s="269"/>
      <c r="R26" s="270"/>
    </row>
    <row r="27" spans="2:18" x14ac:dyDescent="0.2">
      <c r="B27" s="271"/>
      <c r="C27" s="272"/>
      <c r="D27" s="272"/>
      <c r="E27" s="272"/>
      <c r="F27" s="272"/>
      <c r="G27" s="272"/>
      <c r="H27" s="272"/>
      <c r="I27" s="272"/>
      <c r="J27" s="272"/>
      <c r="K27" s="272"/>
      <c r="L27" s="272"/>
      <c r="M27" s="272"/>
      <c r="N27" s="272"/>
      <c r="O27" s="272"/>
      <c r="P27" s="272"/>
      <c r="Q27" s="272"/>
      <c r="R27" s="273"/>
    </row>
    <row r="28" spans="2:18" x14ac:dyDescent="0.2">
      <c r="B28" s="271"/>
      <c r="C28" s="272"/>
      <c r="D28" s="272"/>
      <c r="E28" s="272"/>
      <c r="F28" s="272"/>
      <c r="G28" s="272"/>
      <c r="H28" s="272"/>
      <c r="I28" s="272"/>
      <c r="J28" s="272"/>
      <c r="K28" s="272"/>
      <c r="L28" s="272"/>
      <c r="M28" s="272"/>
      <c r="N28" s="272"/>
      <c r="O28" s="272"/>
      <c r="P28" s="272"/>
      <c r="Q28" s="272"/>
      <c r="R28" s="273"/>
    </row>
    <row r="29" spans="2:18" x14ac:dyDescent="0.2">
      <c r="B29" s="271"/>
      <c r="C29" s="272"/>
      <c r="D29" s="272"/>
      <c r="E29" s="272"/>
      <c r="F29" s="272"/>
      <c r="G29" s="272"/>
      <c r="H29" s="272"/>
      <c r="I29" s="272"/>
      <c r="J29" s="272"/>
      <c r="K29" s="272"/>
      <c r="L29" s="272"/>
      <c r="M29" s="272"/>
      <c r="N29" s="272"/>
      <c r="O29" s="272"/>
      <c r="P29" s="272"/>
      <c r="Q29" s="272"/>
      <c r="R29" s="273"/>
    </row>
    <row r="30" spans="2:18" x14ac:dyDescent="0.2">
      <c r="B30" s="271"/>
      <c r="C30" s="272"/>
      <c r="D30" s="272"/>
      <c r="E30" s="272"/>
      <c r="F30" s="272"/>
      <c r="G30" s="272"/>
      <c r="H30" s="272"/>
      <c r="I30" s="272"/>
      <c r="J30" s="272"/>
      <c r="K30" s="272"/>
      <c r="L30" s="272"/>
      <c r="M30" s="272"/>
      <c r="N30" s="272"/>
      <c r="O30" s="272"/>
      <c r="P30" s="272"/>
      <c r="Q30" s="272"/>
      <c r="R30" s="273"/>
    </row>
    <row r="31" spans="2:18" x14ac:dyDescent="0.2">
      <c r="B31" s="271"/>
      <c r="C31" s="272"/>
      <c r="D31" s="272"/>
      <c r="E31" s="272"/>
      <c r="F31" s="272"/>
      <c r="G31" s="272"/>
      <c r="H31" s="272"/>
      <c r="I31" s="272"/>
      <c r="J31" s="272"/>
      <c r="K31" s="272"/>
      <c r="L31" s="272"/>
      <c r="M31" s="272"/>
      <c r="N31" s="272"/>
      <c r="O31" s="272"/>
      <c r="P31" s="272"/>
      <c r="Q31" s="272"/>
      <c r="R31" s="273"/>
    </row>
    <row r="32" spans="2:18" ht="15.75" thickBot="1" x14ac:dyDescent="0.25">
      <c r="B32" s="274"/>
      <c r="C32" s="275"/>
      <c r="D32" s="275"/>
      <c r="E32" s="275"/>
      <c r="F32" s="275"/>
      <c r="G32" s="275"/>
      <c r="H32" s="275"/>
      <c r="I32" s="275"/>
      <c r="J32" s="275"/>
      <c r="K32" s="275"/>
      <c r="L32" s="275"/>
      <c r="M32" s="275"/>
      <c r="N32" s="275"/>
      <c r="O32" s="275"/>
      <c r="P32" s="275"/>
      <c r="Q32" s="275"/>
      <c r="R32" s="276"/>
    </row>
    <row r="33" spans="3:16" x14ac:dyDescent="0.2">
      <c r="P33" s="49"/>
    </row>
    <row r="34" spans="3:16" x14ac:dyDescent="0.2">
      <c r="C34" s="175"/>
      <c r="D34" s="176"/>
      <c r="P34" s="49"/>
    </row>
    <row r="35" spans="3:16" x14ac:dyDescent="0.2">
      <c r="C35" s="238"/>
      <c r="D35" s="237"/>
      <c r="P35" s="49"/>
    </row>
    <row r="36" spans="3:16" x14ac:dyDescent="0.2">
      <c r="C36" s="238"/>
      <c r="D36" s="237"/>
      <c r="P36" s="49"/>
    </row>
    <row r="37" spans="3:16" x14ac:dyDescent="0.2">
      <c r="C37" s="238"/>
      <c r="D37" s="237"/>
      <c r="P37" s="49"/>
    </row>
    <row r="38" spans="3:16" x14ac:dyDescent="0.2">
      <c r="C38" s="238"/>
      <c r="D38" s="237"/>
      <c r="P38" s="49"/>
    </row>
    <row r="39" spans="3:16" x14ac:dyDescent="0.2">
      <c r="C39" s="238"/>
      <c r="D39" s="237"/>
      <c r="P39" s="49"/>
    </row>
    <row r="40" spans="3:16" x14ac:dyDescent="0.2">
      <c r="C40" s="238"/>
      <c r="D40" s="237"/>
      <c r="P40" s="49"/>
    </row>
    <row r="41" spans="3:16" x14ac:dyDescent="0.2">
      <c r="C41" s="238"/>
      <c r="D41" s="237"/>
      <c r="P41" s="49"/>
    </row>
    <row r="42" spans="3:16" x14ac:dyDescent="0.2">
      <c r="C42" s="175"/>
      <c r="D42" s="254"/>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38:D40">
    <sortCondition descending="1" ref="D38"/>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election activeCell="D8" sqref="D8:D10"/>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2" t="s">
        <v>157</v>
      </c>
      <c r="D3" s="262"/>
      <c r="E3" s="262"/>
      <c r="F3" s="262"/>
      <c r="G3" s="262"/>
      <c r="H3" s="262"/>
      <c r="I3" s="262"/>
      <c r="J3" s="262"/>
      <c r="K3" s="262"/>
      <c r="L3" s="262"/>
      <c r="M3" s="263"/>
    </row>
    <row r="4" spans="2:19" ht="15.75" x14ac:dyDescent="0.25">
      <c r="B4" s="93"/>
      <c r="C4" s="67" t="s">
        <v>405</v>
      </c>
      <c r="D4" s="29"/>
      <c r="E4" s="29"/>
      <c r="F4" s="5"/>
      <c r="G4" s="5"/>
      <c r="H4" s="5"/>
      <c r="I4" s="5"/>
      <c r="J4" s="5"/>
      <c r="K4" s="5"/>
      <c r="L4" s="5"/>
      <c r="M4" s="20"/>
    </row>
    <row r="5" spans="2:19" ht="20.25" customHeight="1" x14ac:dyDescent="0.25">
      <c r="B5" s="93"/>
      <c r="C5" s="221" t="s">
        <v>406</v>
      </c>
      <c r="D5" s="94" t="s">
        <v>388</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64" t="s">
        <v>50</v>
      </c>
      <c r="G7" s="264"/>
      <c r="H7" s="264"/>
      <c r="I7" s="264"/>
      <c r="J7" s="264"/>
      <c r="K7" s="264"/>
      <c r="L7" s="264"/>
      <c r="M7" s="265"/>
    </row>
    <row r="8" spans="2:19" x14ac:dyDescent="0.2">
      <c r="B8" s="93"/>
      <c r="C8" s="4" t="s">
        <v>176</v>
      </c>
      <c r="D8" s="182">
        <v>0.25834400000000002</v>
      </c>
      <c r="E8" s="5"/>
      <c r="F8" s="5"/>
      <c r="G8" s="31"/>
      <c r="H8" s="5"/>
      <c r="I8" s="97" t="s">
        <v>51</v>
      </c>
      <c r="J8" s="98">
        <f>D11</f>
        <v>0.48410500000000001</v>
      </c>
      <c r="K8" s="5"/>
      <c r="L8" s="5"/>
      <c r="M8" s="20"/>
      <c r="S8" s="49"/>
    </row>
    <row r="9" spans="2:19" ht="15.75" customHeight="1" x14ac:dyDescent="0.2">
      <c r="B9" s="93"/>
      <c r="C9" s="4" t="s">
        <v>175</v>
      </c>
      <c r="D9" s="182">
        <v>0.12554000000000001</v>
      </c>
      <c r="E9" s="5"/>
      <c r="F9" s="5"/>
      <c r="G9" s="5"/>
      <c r="H9" s="5"/>
      <c r="I9" s="97" t="s">
        <v>53</v>
      </c>
      <c r="J9" s="99">
        <f>D17</f>
        <v>0.501942</v>
      </c>
      <c r="K9" s="5"/>
      <c r="L9" s="5"/>
      <c r="M9" s="20"/>
      <c r="S9" s="49"/>
    </row>
    <row r="10" spans="2:19" x14ac:dyDescent="0.2">
      <c r="B10" s="93"/>
      <c r="C10" s="38" t="s">
        <v>179</v>
      </c>
      <c r="D10" s="200">
        <v>0.100221</v>
      </c>
      <c r="E10" s="5"/>
      <c r="F10" s="5"/>
      <c r="G10" s="5"/>
      <c r="H10" s="5"/>
      <c r="I10" s="97" t="s">
        <v>20</v>
      </c>
      <c r="J10" s="99">
        <f>D19</f>
        <v>1.3952999999999998E-2</v>
      </c>
      <c r="K10" s="5"/>
      <c r="L10" s="5"/>
      <c r="M10" s="20"/>
      <c r="S10" s="49"/>
    </row>
    <row r="11" spans="2:19" ht="15.75" customHeight="1" x14ac:dyDescent="0.25">
      <c r="B11" s="93"/>
      <c r="C11" s="7" t="s">
        <v>52</v>
      </c>
      <c r="D11" s="8">
        <f>SUM(D8:D10)</f>
        <v>0.48410500000000001</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178</v>
      </c>
      <c r="D13" s="182">
        <v>0.38558300000000001</v>
      </c>
      <c r="E13" s="5"/>
      <c r="F13" s="5"/>
      <c r="G13" s="5"/>
      <c r="H13" s="5"/>
      <c r="I13" s="97"/>
      <c r="J13" s="97"/>
      <c r="K13" s="5"/>
      <c r="L13" s="5"/>
      <c r="M13" s="20"/>
      <c r="S13" s="49"/>
    </row>
    <row r="14" spans="2:19" x14ac:dyDescent="0.2">
      <c r="B14" s="93"/>
      <c r="C14" s="4" t="s">
        <v>177</v>
      </c>
      <c r="D14" s="182">
        <v>0.11626499999999999</v>
      </c>
      <c r="E14" s="5"/>
      <c r="F14" s="5"/>
      <c r="G14" s="5"/>
      <c r="H14" s="5"/>
      <c r="I14" s="5"/>
      <c r="J14" s="5"/>
      <c r="K14" s="5"/>
      <c r="L14" s="5"/>
      <c r="M14" s="20"/>
      <c r="S14" s="49"/>
    </row>
    <row r="15" spans="2:19" x14ac:dyDescent="0.2">
      <c r="B15" s="93"/>
      <c r="C15" s="4" t="s">
        <v>210</v>
      </c>
      <c r="D15" s="182">
        <v>9.3999999999999994E-5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0.501942</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09">
        <v>1.3952999999999998E-2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68" t="s">
        <v>182</v>
      </c>
      <c r="C28" s="269"/>
      <c r="D28" s="269"/>
      <c r="E28" s="269"/>
      <c r="F28" s="269"/>
      <c r="G28" s="269"/>
      <c r="H28" s="269"/>
      <c r="I28" s="269"/>
      <c r="J28" s="269"/>
      <c r="K28" s="269"/>
      <c r="L28" s="269"/>
      <c r="M28" s="269"/>
      <c r="N28" s="269"/>
      <c r="O28" s="269"/>
      <c r="P28" s="269"/>
      <c r="Q28" s="269"/>
      <c r="R28" s="270"/>
      <c r="S28" s="49"/>
    </row>
    <row r="29" spans="2:19" x14ac:dyDescent="0.2">
      <c r="B29" s="271"/>
      <c r="C29" s="272"/>
      <c r="D29" s="272"/>
      <c r="E29" s="272"/>
      <c r="F29" s="272"/>
      <c r="G29" s="272"/>
      <c r="H29" s="272"/>
      <c r="I29" s="272"/>
      <c r="J29" s="272"/>
      <c r="K29" s="272"/>
      <c r="L29" s="272"/>
      <c r="M29" s="272"/>
      <c r="N29" s="272"/>
      <c r="O29" s="272"/>
      <c r="P29" s="272"/>
      <c r="Q29" s="272"/>
      <c r="R29" s="273"/>
      <c r="S29" s="49"/>
    </row>
    <row r="30" spans="2:19" x14ac:dyDescent="0.2">
      <c r="B30" s="271"/>
      <c r="C30" s="272"/>
      <c r="D30" s="272"/>
      <c r="E30" s="272"/>
      <c r="F30" s="272"/>
      <c r="G30" s="272"/>
      <c r="H30" s="272"/>
      <c r="I30" s="272"/>
      <c r="J30" s="272"/>
      <c r="K30" s="272"/>
      <c r="L30" s="272"/>
      <c r="M30" s="272"/>
      <c r="N30" s="272"/>
      <c r="O30" s="272"/>
      <c r="P30" s="272"/>
      <c r="Q30" s="272"/>
      <c r="R30" s="273"/>
      <c r="S30" s="49"/>
    </row>
    <row r="31" spans="2:19" x14ac:dyDescent="0.2">
      <c r="B31" s="271"/>
      <c r="C31" s="272"/>
      <c r="D31" s="272"/>
      <c r="E31" s="272"/>
      <c r="F31" s="272"/>
      <c r="G31" s="272"/>
      <c r="H31" s="272"/>
      <c r="I31" s="272"/>
      <c r="J31" s="272"/>
      <c r="K31" s="272"/>
      <c r="L31" s="272"/>
      <c r="M31" s="272"/>
      <c r="N31" s="272"/>
      <c r="O31" s="272"/>
      <c r="P31" s="272"/>
      <c r="Q31" s="272"/>
      <c r="R31" s="273"/>
      <c r="S31" s="49"/>
    </row>
    <row r="32" spans="2:19" x14ac:dyDescent="0.2">
      <c r="B32" s="271"/>
      <c r="C32" s="272"/>
      <c r="D32" s="272"/>
      <c r="E32" s="272"/>
      <c r="F32" s="272"/>
      <c r="G32" s="272"/>
      <c r="H32" s="272"/>
      <c r="I32" s="272"/>
      <c r="J32" s="272"/>
      <c r="K32" s="272"/>
      <c r="L32" s="272"/>
      <c r="M32" s="272"/>
      <c r="N32" s="272"/>
      <c r="O32" s="272"/>
      <c r="P32" s="272"/>
      <c r="Q32" s="272"/>
      <c r="R32" s="273"/>
      <c r="S32" s="49"/>
    </row>
    <row r="33" spans="2:19" x14ac:dyDescent="0.2">
      <c r="B33" s="271"/>
      <c r="C33" s="272"/>
      <c r="D33" s="272"/>
      <c r="E33" s="272"/>
      <c r="F33" s="272"/>
      <c r="G33" s="272"/>
      <c r="H33" s="272"/>
      <c r="I33" s="272"/>
      <c r="J33" s="272"/>
      <c r="K33" s="272"/>
      <c r="L33" s="272"/>
      <c r="M33" s="272"/>
      <c r="N33" s="272"/>
      <c r="O33" s="272"/>
      <c r="P33" s="272"/>
      <c r="Q33" s="272"/>
      <c r="R33" s="273"/>
      <c r="S33" s="49"/>
    </row>
    <row r="34" spans="2:19" ht="15.75" thickBot="1" x14ac:dyDescent="0.25">
      <c r="B34" s="274"/>
      <c r="C34" s="275"/>
      <c r="D34" s="275"/>
      <c r="E34" s="275"/>
      <c r="F34" s="275"/>
      <c r="G34" s="275"/>
      <c r="H34" s="275"/>
      <c r="I34" s="275"/>
      <c r="J34" s="275"/>
      <c r="K34" s="275"/>
      <c r="L34" s="275"/>
      <c r="M34" s="275"/>
      <c r="N34" s="275"/>
      <c r="O34" s="275"/>
      <c r="P34" s="275"/>
      <c r="Q34" s="275"/>
      <c r="R34" s="276"/>
      <c r="S34" s="49"/>
    </row>
    <row r="35" spans="2:19" x14ac:dyDescent="0.2">
      <c r="S35" s="49"/>
    </row>
    <row r="36" spans="2:19" x14ac:dyDescent="0.2">
      <c r="C36" s="238"/>
      <c r="D36" s="237"/>
      <c r="S36" s="49"/>
    </row>
    <row r="37" spans="2:19" x14ac:dyDescent="0.2">
      <c r="C37" s="238"/>
      <c r="D37" s="237"/>
      <c r="S37" s="49"/>
    </row>
    <row r="38" spans="2:19" x14ac:dyDescent="0.2">
      <c r="C38" s="238"/>
      <c r="D38" s="237"/>
      <c r="S38" s="49"/>
    </row>
    <row r="39" spans="2:19" x14ac:dyDescent="0.2">
      <c r="C39" s="238"/>
      <c r="D39" s="237"/>
      <c r="S39" s="49"/>
    </row>
    <row r="40" spans="2:19" x14ac:dyDescent="0.2">
      <c r="C40" s="238"/>
      <c r="D40" s="237"/>
      <c r="S40" s="49"/>
    </row>
    <row r="41" spans="2:19" x14ac:dyDescent="0.2">
      <c r="C41" s="238"/>
      <c r="D41" s="237"/>
      <c r="S41" s="49"/>
    </row>
    <row r="42" spans="2:19" x14ac:dyDescent="0.2">
      <c r="C42" s="238"/>
      <c r="D42" s="237"/>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2" t="s">
        <v>174</v>
      </c>
      <c r="D3" s="262"/>
      <c r="E3" s="262"/>
      <c r="F3" s="262"/>
      <c r="G3" s="262"/>
      <c r="H3" s="262"/>
      <c r="I3" s="262"/>
      <c r="J3" s="262"/>
      <c r="K3" s="262"/>
      <c r="L3" s="262"/>
      <c r="M3" s="263"/>
    </row>
    <row r="4" spans="2:19" ht="15.75" x14ac:dyDescent="0.25">
      <c r="B4" s="93"/>
      <c r="C4" s="67" t="s">
        <v>405</v>
      </c>
      <c r="D4" s="29"/>
      <c r="E4" s="29"/>
      <c r="F4" s="5"/>
      <c r="G4" s="5"/>
      <c r="H4" s="5"/>
      <c r="I4" s="5"/>
      <c r="J4" s="5"/>
      <c r="K4" s="5"/>
      <c r="L4" s="5"/>
      <c r="M4" s="20"/>
    </row>
    <row r="5" spans="2:19" ht="20.25" customHeight="1" x14ac:dyDescent="0.25">
      <c r="B5" s="93"/>
      <c r="C5" s="221" t="s">
        <v>406</v>
      </c>
      <c r="D5" s="94" t="s">
        <v>389</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64" t="s">
        <v>50</v>
      </c>
      <c r="G7" s="264"/>
      <c r="H7" s="264"/>
      <c r="I7" s="264"/>
      <c r="J7" s="264"/>
      <c r="K7" s="264"/>
      <c r="L7" s="264"/>
      <c r="M7" s="265"/>
    </row>
    <row r="8" spans="2:19" x14ac:dyDescent="0.2">
      <c r="B8" s="93"/>
      <c r="C8" s="4" t="s">
        <v>176</v>
      </c>
      <c r="D8" s="182">
        <v>0.33380100000000001</v>
      </c>
      <c r="E8" s="5"/>
      <c r="F8" s="5"/>
      <c r="G8" s="31"/>
      <c r="H8" s="5"/>
      <c r="I8" s="5" t="s">
        <v>51</v>
      </c>
      <c r="J8" s="47">
        <f>D11</f>
        <v>0.71626000000000012</v>
      </c>
      <c r="K8" s="5"/>
      <c r="L8" s="5"/>
      <c r="M8" s="20"/>
      <c r="S8" s="49"/>
    </row>
    <row r="9" spans="2:19" ht="15.75" customHeight="1" x14ac:dyDescent="0.2">
      <c r="B9" s="93"/>
      <c r="C9" s="4" t="s">
        <v>175</v>
      </c>
      <c r="D9" s="182">
        <v>0.30526300000000001</v>
      </c>
      <c r="E9" s="5"/>
      <c r="F9" s="5"/>
      <c r="G9" s="5"/>
      <c r="H9" s="5"/>
      <c r="I9" s="5" t="s">
        <v>53</v>
      </c>
      <c r="J9" s="47">
        <f>D14</f>
        <v>0.244841</v>
      </c>
      <c r="K9" s="5"/>
      <c r="L9" s="5"/>
      <c r="M9" s="20"/>
      <c r="S9" s="49"/>
    </row>
    <row r="10" spans="2:19" x14ac:dyDescent="0.2">
      <c r="B10" s="93"/>
      <c r="C10" s="38" t="s">
        <v>179</v>
      </c>
      <c r="D10" s="199">
        <v>7.7196000000000001E-2</v>
      </c>
      <c r="E10" s="5"/>
      <c r="F10" s="5"/>
      <c r="G10" s="5"/>
      <c r="H10" s="5"/>
      <c r="I10" s="5" t="s">
        <v>20</v>
      </c>
      <c r="J10" s="47">
        <f>D16</f>
        <v>3.8899000000000003E-2</v>
      </c>
      <c r="K10" s="5"/>
      <c r="L10" s="5"/>
      <c r="M10" s="20"/>
      <c r="S10" s="49"/>
    </row>
    <row r="11" spans="2:19" ht="15.75" x14ac:dyDescent="0.25">
      <c r="B11" s="93"/>
      <c r="C11" s="7" t="s">
        <v>52</v>
      </c>
      <c r="D11" s="8">
        <f>SUM(D8:D10)</f>
        <v>0.71626000000000012</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178</v>
      </c>
      <c r="D13" s="182">
        <v>0.244841</v>
      </c>
      <c r="E13" s="5"/>
      <c r="F13" s="5"/>
      <c r="G13" s="5"/>
      <c r="H13" s="5"/>
      <c r="I13" s="5"/>
      <c r="J13" s="5"/>
      <c r="K13" s="5"/>
      <c r="L13" s="5"/>
      <c r="M13" s="20"/>
      <c r="S13" s="49"/>
    </row>
    <row r="14" spans="2:19" ht="15.75" x14ac:dyDescent="0.25">
      <c r="B14" s="93"/>
      <c r="C14" s="7" t="s">
        <v>19</v>
      </c>
      <c r="D14" s="8">
        <v>0.244841</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09">
        <v>3.8899000000000003E-2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66"/>
      <c r="D22" s="266"/>
      <c r="E22" s="266"/>
      <c r="F22" s="266"/>
      <c r="G22" s="266"/>
      <c r="H22" s="266"/>
      <c r="I22" s="266"/>
      <c r="J22" s="266"/>
      <c r="K22" s="266"/>
      <c r="L22" s="266"/>
      <c r="M22" s="267"/>
      <c r="S22" s="49"/>
    </row>
    <row r="23" spans="2:19" ht="15.75" thickBot="1" x14ac:dyDescent="0.25">
      <c r="S23" s="49"/>
    </row>
    <row r="24" spans="2:19" ht="15" customHeight="1" x14ac:dyDescent="0.2">
      <c r="B24" s="268" t="s">
        <v>182</v>
      </c>
      <c r="C24" s="269"/>
      <c r="D24" s="269"/>
      <c r="E24" s="269"/>
      <c r="F24" s="269"/>
      <c r="G24" s="269"/>
      <c r="H24" s="269"/>
      <c r="I24" s="269"/>
      <c r="J24" s="269"/>
      <c r="K24" s="269"/>
      <c r="L24" s="269"/>
      <c r="M24" s="269"/>
      <c r="N24" s="269"/>
      <c r="O24" s="269"/>
      <c r="P24" s="269"/>
      <c r="Q24" s="269"/>
      <c r="R24" s="270"/>
      <c r="S24" s="49"/>
    </row>
    <row r="25" spans="2:19" x14ac:dyDescent="0.2">
      <c r="B25" s="271"/>
      <c r="C25" s="272"/>
      <c r="D25" s="272"/>
      <c r="E25" s="272"/>
      <c r="F25" s="272"/>
      <c r="G25" s="272"/>
      <c r="H25" s="272"/>
      <c r="I25" s="272"/>
      <c r="J25" s="272"/>
      <c r="K25" s="272"/>
      <c r="L25" s="272"/>
      <c r="M25" s="272"/>
      <c r="N25" s="272"/>
      <c r="O25" s="272"/>
      <c r="P25" s="272"/>
      <c r="Q25" s="272"/>
      <c r="R25" s="273"/>
      <c r="S25" s="49"/>
    </row>
    <row r="26" spans="2:19" x14ac:dyDescent="0.2">
      <c r="B26" s="271"/>
      <c r="C26" s="272"/>
      <c r="D26" s="272"/>
      <c r="E26" s="272"/>
      <c r="F26" s="272"/>
      <c r="G26" s="272"/>
      <c r="H26" s="272"/>
      <c r="I26" s="272"/>
      <c r="J26" s="272"/>
      <c r="K26" s="272"/>
      <c r="L26" s="272"/>
      <c r="M26" s="272"/>
      <c r="N26" s="272"/>
      <c r="O26" s="272"/>
      <c r="P26" s="272"/>
      <c r="Q26" s="272"/>
      <c r="R26" s="273"/>
      <c r="S26" s="49"/>
    </row>
    <row r="27" spans="2:19" x14ac:dyDescent="0.2">
      <c r="B27" s="271"/>
      <c r="C27" s="272"/>
      <c r="D27" s="272"/>
      <c r="E27" s="272"/>
      <c r="F27" s="272"/>
      <c r="G27" s="272"/>
      <c r="H27" s="272"/>
      <c r="I27" s="272"/>
      <c r="J27" s="272"/>
      <c r="K27" s="272"/>
      <c r="L27" s="272"/>
      <c r="M27" s="272"/>
      <c r="N27" s="272"/>
      <c r="O27" s="272"/>
      <c r="P27" s="272"/>
      <c r="Q27" s="272"/>
      <c r="R27" s="273"/>
      <c r="S27" s="49"/>
    </row>
    <row r="28" spans="2:19" x14ac:dyDescent="0.2">
      <c r="B28" s="271"/>
      <c r="C28" s="272"/>
      <c r="D28" s="272"/>
      <c r="E28" s="272"/>
      <c r="F28" s="272"/>
      <c r="G28" s="272"/>
      <c r="H28" s="272"/>
      <c r="I28" s="272"/>
      <c r="J28" s="272"/>
      <c r="K28" s="272"/>
      <c r="L28" s="272"/>
      <c r="M28" s="272"/>
      <c r="N28" s="272"/>
      <c r="O28" s="272"/>
      <c r="P28" s="272"/>
      <c r="Q28" s="272"/>
      <c r="R28" s="273"/>
      <c r="S28" s="49"/>
    </row>
    <row r="29" spans="2:19" x14ac:dyDescent="0.2">
      <c r="B29" s="271"/>
      <c r="C29" s="272"/>
      <c r="D29" s="272"/>
      <c r="E29" s="272"/>
      <c r="F29" s="272"/>
      <c r="G29" s="272"/>
      <c r="H29" s="272"/>
      <c r="I29" s="272"/>
      <c r="J29" s="272"/>
      <c r="K29" s="272"/>
      <c r="L29" s="272"/>
      <c r="M29" s="272"/>
      <c r="N29" s="272"/>
      <c r="O29" s="272"/>
      <c r="P29" s="272"/>
      <c r="Q29" s="272"/>
      <c r="R29" s="273"/>
      <c r="S29" s="49"/>
    </row>
    <row r="30" spans="2:19" ht="15.75" thickBot="1" x14ac:dyDescent="0.25">
      <c r="B30" s="274"/>
      <c r="C30" s="275"/>
      <c r="D30" s="275"/>
      <c r="E30" s="275"/>
      <c r="F30" s="275"/>
      <c r="G30" s="275"/>
      <c r="H30" s="275"/>
      <c r="I30" s="275"/>
      <c r="J30" s="275"/>
      <c r="K30" s="275"/>
      <c r="L30" s="275"/>
      <c r="M30" s="275"/>
      <c r="N30" s="275"/>
      <c r="O30" s="275"/>
      <c r="P30" s="275"/>
      <c r="Q30" s="275"/>
      <c r="R30" s="276"/>
      <c r="S30" s="49"/>
    </row>
    <row r="31" spans="2:19" x14ac:dyDescent="0.2">
      <c r="S31" s="49"/>
    </row>
    <row r="32" spans="2:19" x14ac:dyDescent="0.2">
      <c r="C32" s="238"/>
      <c r="D32" s="237"/>
      <c r="S32" s="49"/>
    </row>
    <row r="33" spans="3:19" x14ac:dyDescent="0.2">
      <c r="C33" s="238"/>
      <c r="D33" s="237"/>
      <c r="S33" s="49"/>
    </row>
    <row r="34" spans="3:19" x14ac:dyDescent="0.2">
      <c r="C34" s="238"/>
      <c r="D34" s="237"/>
      <c r="S34" s="49"/>
    </row>
    <row r="35" spans="3:19" x14ac:dyDescent="0.2">
      <c r="C35" s="238"/>
      <c r="D35" s="237"/>
      <c r="S35" s="49"/>
    </row>
    <row r="36" spans="3:19" x14ac:dyDescent="0.2">
      <c r="C36" s="238"/>
      <c r="D36" s="237"/>
      <c r="S36" s="49"/>
    </row>
    <row r="37" spans="3:19" x14ac:dyDescent="0.2">
      <c r="D37" s="254"/>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156</v>
      </c>
      <c r="D3" s="277"/>
      <c r="E3" s="277"/>
      <c r="F3" s="277"/>
      <c r="G3" s="277"/>
      <c r="H3" s="277"/>
      <c r="I3" s="277"/>
      <c r="J3" s="277"/>
      <c r="K3" s="277"/>
      <c r="L3" s="277"/>
      <c r="M3" s="277"/>
      <c r="N3" s="277"/>
      <c r="O3" s="277"/>
      <c r="P3" s="277"/>
      <c r="Q3" s="277"/>
      <c r="R3" s="277"/>
      <c r="S3" s="277"/>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79" t="s">
        <v>390</v>
      </c>
      <c r="E5" s="279"/>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0.121007</v>
      </c>
      <c r="F8" s="29"/>
      <c r="G8" s="29"/>
      <c r="H8" s="29"/>
      <c r="I8" s="29"/>
      <c r="J8" s="29"/>
      <c r="K8" s="29"/>
      <c r="L8" s="29"/>
      <c r="M8" s="29"/>
      <c r="N8" s="29"/>
      <c r="O8" s="29"/>
      <c r="P8" s="29"/>
      <c r="Q8" s="29"/>
      <c r="R8" s="29"/>
      <c r="S8" s="29"/>
      <c r="T8" s="22"/>
      <c r="W8" s="173" t="s">
        <v>3</v>
      </c>
      <c r="X8" s="174">
        <v>0.29382999999999998</v>
      </c>
    </row>
    <row r="9" spans="1:24" ht="15.75" customHeight="1" x14ac:dyDescent="0.25">
      <c r="B9" s="79"/>
      <c r="C9" s="188" t="s">
        <v>32</v>
      </c>
      <c r="D9" s="196" t="s">
        <v>3</v>
      </c>
      <c r="E9" s="197">
        <v>8.3674999999999999E-2</v>
      </c>
      <c r="F9" s="29"/>
      <c r="G9" s="29"/>
      <c r="H9" s="29"/>
      <c r="I9" s="29"/>
      <c r="J9" s="29"/>
      <c r="K9" s="29"/>
      <c r="L9" s="29"/>
      <c r="M9" s="29"/>
      <c r="N9" s="29"/>
      <c r="O9" s="29"/>
      <c r="P9" s="29"/>
      <c r="Q9" s="29"/>
      <c r="R9" s="29"/>
      <c r="S9" s="29"/>
      <c r="T9" s="22"/>
      <c r="W9" s="173" t="s">
        <v>107</v>
      </c>
      <c r="X9" s="174">
        <v>0.12910000000000002</v>
      </c>
    </row>
    <row r="10" spans="1:24" ht="15.75" x14ac:dyDescent="0.25">
      <c r="B10" s="79"/>
      <c r="C10" s="188" t="s">
        <v>31</v>
      </c>
      <c r="D10" s="196" t="s">
        <v>6</v>
      </c>
      <c r="E10" s="197">
        <v>8.3026000000000003E-2</v>
      </c>
      <c r="F10" s="29"/>
      <c r="G10" s="29"/>
      <c r="H10" s="29"/>
      <c r="I10" s="29"/>
      <c r="J10" s="29"/>
      <c r="K10" s="29"/>
      <c r="L10" s="29"/>
      <c r="M10" s="29"/>
      <c r="N10" s="29"/>
      <c r="O10" s="29"/>
      <c r="P10" s="29"/>
      <c r="Q10" s="29"/>
      <c r="R10" s="29"/>
      <c r="S10" s="29"/>
      <c r="T10" s="22"/>
      <c r="W10" s="173" t="s">
        <v>6</v>
      </c>
      <c r="X10" s="174">
        <v>8.8554000000000008E-2</v>
      </c>
    </row>
    <row r="11" spans="1:24" ht="15.75" customHeight="1" x14ac:dyDescent="0.25">
      <c r="B11" s="79"/>
      <c r="C11" s="188" t="s">
        <v>28</v>
      </c>
      <c r="D11" s="196" t="s">
        <v>107</v>
      </c>
      <c r="E11" s="197">
        <v>5.8126999999999998E-2</v>
      </c>
      <c r="F11" s="29"/>
      <c r="G11" s="29"/>
      <c r="H11" s="29"/>
      <c r="I11" s="29"/>
      <c r="J11" s="29"/>
      <c r="K11" s="29"/>
      <c r="L11" s="29"/>
      <c r="M11" s="29"/>
      <c r="N11" s="29"/>
      <c r="O11" s="29"/>
      <c r="P11" s="29"/>
      <c r="Q11" s="29"/>
      <c r="R11" s="29"/>
      <c r="S11" s="29"/>
      <c r="T11" s="22"/>
      <c r="W11" s="173" t="s">
        <v>112</v>
      </c>
      <c r="X11" s="174">
        <v>7.4171000000000001E-2</v>
      </c>
    </row>
    <row r="12" spans="1:24" ht="15" customHeight="1" x14ac:dyDescent="0.25">
      <c r="B12" s="79"/>
      <c r="C12" s="188" t="s">
        <v>30</v>
      </c>
      <c r="D12" s="196" t="s">
        <v>117</v>
      </c>
      <c r="E12" s="197">
        <v>4.1787999999999999E-2</v>
      </c>
      <c r="F12" s="29"/>
      <c r="G12" s="29"/>
      <c r="H12" s="29"/>
      <c r="I12" s="29"/>
      <c r="J12" s="29"/>
      <c r="K12" s="29"/>
      <c r="L12" s="29"/>
      <c r="M12" s="29"/>
      <c r="N12" s="29"/>
      <c r="O12" s="29"/>
      <c r="P12" s="29"/>
      <c r="Q12" s="29"/>
      <c r="R12" s="29"/>
      <c r="S12" s="29"/>
      <c r="T12" s="22"/>
      <c r="W12" s="173" t="s">
        <v>117</v>
      </c>
      <c r="X12" s="174">
        <v>6.2476999999999998E-2</v>
      </c>
    </row>
    <row r="13" spans="1:24" ht="15" customHeight="1" x14ac:dyDescent="0.25">
      <c r="B13" s="79"/>
      <c r="C13" s="188" t="s">
        <v>70</v>
      </c>
      <c r="D13" s="196" t="s">
        <v>12</v>
      </c>
      <c r="E13" s="197">
        <v>3.9725000000000003E-2</v>
      </c>
      <c r="F13" s="29"/>
      <c r="G13" s="29"/>
      <c r="H13" s="29"/>
      <c r="I13" s="29"/>
      <c r="J13" s="29"/>
      <c r="K13" s="29"/>
      <c r="L13" s="29"/>
      <c r="M13" s="29"/>
      <c r="N13" s="29"/>
      <c r="O13" s="29"/>
      <c r="P13" s="29"/>
      <c r="Q13" s="29"/>
      <c r="R13" s="29"/>
      <c r="S13" s="29"/>
      <c r="T13" s="22"/>
      <c r="W13" s="173" t="s">
        <v>12</v>
      </c>
      <c r="X13" s="174">
        <v>3.9725000000000003E-2</v>
      </c>
    </row>
    <row r="14" spans="1:24" ht="15" customHeight="1" x14ac:dyDescent="0.25">
      <c r="B14" s="79"/>
      <c r="C14" s="188" t="s">
        <v>34</v>
      </c>
      <c r="D14" s="196" t="s">
        <v>23</v>
      </c>
      <c r="E14" s="197">
        <v>3.9190000000000003E-2</v>
      </c>
      <c r="F14" s="29"/>
      <c r="G14" s="29"/>
      <c r="H14" s="29"/>
      <c r="I14" s="29"/>
      <c r="J14" s="29"/>
      <c r="K14" s="29"/>
      <c r="L14" s="29"/>
      <c r="M14" s="29"/>
      <c r="N14" s="29"/>
      <c r="O14" s="29"/>
      <c r="P14" s="29"/>
      <c r="Q14" s="29"/>
      <c r="R14" s="29"/>
      <c r="S14" s="29"/>
      <c r="T14" s="22"/>
      <c r="W14" s="173" t="s">
        <v>23</v>
      </c>
      <c r="X14" s="174">
        <v>3.9190000000000003E-2</v>
      </c>
    </row>
    <row r="15" spans="1:24" ht="15" customHeight="1" x14ac:dyDescent="0.25">
      <c r="B15" s="79"/>
      <c r="C15" s="188" t="s">
        <v>33</v>
      </c>
      <c r="D15" s="196" t="s">
        <v>107</v>
      </c>
      <c r="E15" s="197">
        <v>3.7277999999999999E-2</v>
      </c>
      <c r="F15" s="29"/>
      <c r="G15" s="29"/>
      <c r="H15" s="29"/>
      <c r="I15" s="29"/>
      <c r="J15" s="29"/>
      <c r="K15" s="29"/>
      <c r="L15" s="29"/>
      <c r="M15" s="29"/>
      <c r="N15" s="29"/>
      <c r="O15" s="29"/>
      <c r="P15" s="29"/>
      <c r="Q15" s="29"/>
      <c r="R15" s="29"/>
      <c r="S15" s="29"/>
      <c r="T15" s="22"/>
      <c r="W15" s="173" t="s">
        <v>4</v>
      </c>
      <c r="X15" s="174">
        <v>3.4563999999999998E-2</v>
      </c>
    </row>
    <row r="16" spans="1:24" ht="15" customHeight="1" x14ac:dyDescent="0.25">
      <c r="B16" s="79"/>
      <c r="C16" s="188" t="s">
        <v>36</v>
      </c>
      <c r="D16" s="196" t="s">
        <v>3</v>
      </c>
      <c r="E16" s="197">
        <v>3.0374999999999999E-2</v>
      </c>
      <c r="F16" s="29"/>
      <c r="G16" s="29"/>
      <c r="H16" s="29"/>
      <c r="I16" s="29"/>
      <c r="J16" s="29"/>
      <c r="K16" s="29"/>
      <c r="L16" s="29"/>
      <c r="M16" s="29"/>
      <c r="N16" s="29"/>
      <c r="O16" s="29"/>
      <c r="P16" s="29"/>
      <c r="Q16" s="29"/>
      <c r="R16" s="29"/>
      <c r="S16" s="29"/>
      <c r="T16" s="22"/>
      <c r="W16" s="173" t="s">
        <v>111</v>
      </c>
      <c r="X16" s="174">
        <v>3.3322999999999998E-2</v>
      </c>
    </row>
    <row r="17" spans="2:24" ht="15" customHeight="1" x14ac:dyDescent="0.25">
      <c r="B17" s="79"/>
      <c r="C17" s="188" t="s">
        <v>79</v>
      </c>
      <c r="D17" s="196" t="s">
        <v>3</v>
      </c>
      <c r="E17" s="197">
        <v>2.9003000000000001E-2</v>
      </c>
      <c r="F17" s="29"/>
      <c r="G17" s="29"/>
      <c r="H17" s="29"/>
      <c r="I17" s="29"/>
      <c r="J17" s="29"/>
      <c r="K17" s="29"/>
      <c r="L17" s="29"/>
      <c r="M17" s="29"/>
      <c r="N17" s="29"/>
      <c r="O17" s="29"/>
      <c r="P17" s="29"/>
      <c r="Q17" s="29"/>
      <c r="R17" s="29"/>
      <c r="S17" s="29"/>
      <c r="T17" s="22"/>
      <c r="W17" s="173" t="s">
        <v>10</v>
      </c>
      <c r="X17" s="174">
        <v>3.1120999999999999E-2</v>
      </c>
    </row>
    <row r="18" spans="2:24" ht="15" customHeight="1" x14ac:dyDescent="0.25">
      <c r="B18" s="79"/>
      <c r="C18" s="188" t="s">
        <v>35</v>
      </c>
      <c r="D18" s="196" t="s">
        <v>3</v>
      </c>
      <c r="E18" s="197">
        <v>2.3362000000000001E-2</v>
      </c>
      <c r="F18" s="29"/>
      <c r="G18" s="29"/>
      <c r="H18" s="29"/>
      <c r="I18" s="29"/>
      <c r="J18" s="29"/>
      <c r="K18" s="29"/>
      <c r="L18" s="29"/>
      <c r="M18" s="29"/>
      <c r="N18" s="29"/>
      <c r="O18" s="29"/>
      <c r="P18" s="29"/>
      <c r="Q18" s="29"/>
      <c r="R18" s="29"/>
      <c r="S18" s="29"/>
      <c r="T18" s="22"/>
      <c r="W18" s="173" t="s">
        <v>16</v>
      </c>
      <c r="X18" s="174">
        <v>2.4628999999999998E-2</v>
      </c>
    </row>
    <row r="19" spans="2:24" ht="15" customHeight="1" x14ac:dyDescent="0.25">
      <c r="B19" s="79"/>
      <c r="C19" s="188" t="s">
        <v>120</v>
      </c>
      <c r="D19" s="196" t="s">
        <v>112</v>
      </c>
      <c r="E19" s="197">
        <v>2.2345E-2</v>
      </c>
      <c r="F19" s="29"/>
      <c r="G19" s="29"/>
      <c r="H19" s="29"/>
      <c r="I19" s="29"/>
      <c r="J19" s="29"/>
      <c r="K19" s="29"/>
      <c r="L19" s="29"/>
      <c r="M19" s="29"/>
      <c r="N19" s="29"/>
      <c r="O19" s="29"/>
      <c r="P19" s="29"/>
      <c r="Q19" s="29"/>
      <c r="R19" s="29"/>
      <c r="S19" s="29"/>
      <c r="T19" s="22"/>
      <c r="W19" s="173" t="s">
        <v>83</v>
      </c>
      <c r="X19" s="174">
        <v>2.0826999999999998E-2</v>
      </c>
    </row>
    <row r="20" spans="2:24" ht="15" customHeight="1" x14ac:dyDescent="0.25">
      <c r="B20" s="79"/>
      <c r="C20" s="188" t="s">
        <v>37</v>
      </c>
      <c r="D20" s="196" t="s">
        <v>117</v>
      </c>
      <c r="E20" s="197">
        <v>2.0688999999999999E-2</v>
      </c>
      <c r="F20" s="29"/>
      <c r="G20" s="29"/>
      <c r="H20" s="29"/>
      <c r="I20" s="29"/>
      <c r="J20" s="29"/>
      <c r="K20" s="29"/>
      <c r="L20" s="29"/>
      <c r="M20" s="29"/>
      <c r="N20" s="29"/>
      <c r="O20" s="29"/>
      <c r="P20" s="29"/>
      <c r="Q20" s="29"/>
      <c r="R20" s="29"/>
      <c r="S20" s="29"/>
      <c r="T20" s="22"/>
      <c r="W20" s="173" t="s">
        <v>11</v>
      </c>
      <c r="X20" s="174">
        <v>1.9809E-2</v>
      </c>
    </row>
    <row r="21" spans="2:24" ht="15" customHeight="1" x14ac:dyDescent="0.25">
      <c r="B21" s="79"/>
      <c r="C21" s="188" t="s">
        <v>268</v>
      </c>
      <c r="D21" s="196" t="s">
        <v>111</v>
      </c>
      <c r="E21" s="197">
        <v>1.8343999999999999E-2</v>
      </c>
      <c r="F21" s="29"/>
      <c r="G21" s="29"/>
      <c r="H21" s="29"/>
      <c r="I21" s="29"/>
      <c r="J21" s="29"/>
      <c r="K21" s="29"/>
      <c r="L21" s="29"/>
      <c r="M21" s="29"/>
      <c r="N21" s="29"/>
      <c r="O21" s="29"/>
      <c r="P21" s="29"/>
      <c r="Q21" s="29"/>
      <c r="R21" s="29"/>
      <c r="S21" s="29"/>
      <c r="T21" s="22"/>
      <c r="W21" s="173" t="s">
        <v>26</v>
      </c>
      <c r="X21" s="174">
        <v>1.4555E-2</v>
      </c>
    </row>
    <row r="22" spans="2:24" ht="15" customHeight="1" x14ac:dyDescent="0.25">
      <c r="B22" s="79"/>
      <c r="C22" s="188" t="s">
        <v>62</v>
      </c>
      <c r="D22" s="196" t="s">
        <v>10</v>
      </c>
      <c r="E22" s="197">
        <v>1.7763999999999999E-2</v>
      </c>
      <c r="F22" s="29"/>
      <c r="G22" s="29"/>
      <c r="H22" s="29"/>
      <c r="I22" s="29"/>
      <c r="J22" s="29"/>
      <c r="K22" s="29"/>
      <c r="L22" s="29"/>
      <c r="M22" s="29"/>
      <c r="N22" s="29"/>
      <c r="O22" s="29"/>
      <c r="P22" s="29"/>
      <c r="Q22" s="29"/>
      <c r="R22" s="29"/>
      <c r="S22" s="29"/>
      <c r="T22" s="22"/>
      <c r="W22" s="173" t="s">
        <v>86</v>
      </c>
      <c r="X22" s="174">
        <v>1.3732999999999999E-2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108</v>
      </c>
      <c r="X23" s="174">
        <v>1.3653E-2</v>
      </c>
    </row>
    <row r="24" spans="2:24" ht="15" customHeight="1" x14ac:dyDescent="0.25">
      <c r="B24" s="79"/>
      <c r="C24" s="73" t="s">
        <v>55</v>
      </c>
      <c r="D24" s="74"/>
      <c r="E24" s="84">
        <f>SUM(E8:E22)</f>
        <v>0.66569800000000001</v>
      </c>
      <c r="F24" s="29"/>
      <c r="G24" s="29"/>
      <c r="H24" s="29"/>
      <c r="I24" s="29"/>
      <c r="J24" s="29"/>
      <c r="K24" s="29"/>
      <c r="L24" s="29"/>
      <c r="M24" s="29"/>
      <c r="N24" s="29"/>
      <c r="O24" s="29"/>
      <c r="P24" s="29"/>
      <c r="Q24" s="29"/>
      <c r="R24" s="29"/>
      <c r="S24" s="29"/>
      <c r="T24" s="22"/>
      <c r="W24" s="173" t="s">
        <v>13</v>
      </c>
      <c r="X24" s="174">
        <v>9.4900000000000002E-3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131</v>
      </c>
      <c r="X25" s="174">
        <v>9.4240000000000001E-3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87</v>
      </c>
      <c r="X26" s="174">
        <v>9.3650000000000001E-3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130</v>
      </c>
      <c r="X27" s="174">
        <v>9.3209999999999994E-3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15</v>
      </c>
      <c r="X28" s="174">
        <v>9.1750000000000009E-3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77</v>
      </c>
      <c r="X29" s="174">
        <v>6.535E-3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132</v>
      </c>
      <c r="X30" s="62">
        <v>6.3740000000000003E-3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115</v>
      </c>
      <c r="X31" s="62">
        <v>5.9930000000000001E-3</v>
      </c>
    </row>
    <row r="32" spans="2:24" ht="15" customHeight="1" thickBot="1" x14ac:dyDescent="0.3"/>
    <row r="33" spans="2:18" ht="15" customHeight="1" x14ac:dyDescent="0.25">
      <c r="B33" s="268" t="s">
        <v>182</v>
      </c>
      <c r="C33" s="269"/>
      <c r="D33" s="269"/>
      <c r="E33" s="269"/>
      <c r="F33" s="269"/>
      <c r="G33" s="269"/>
      <c r="H33" s="269"/>
      <c r="I33" s="269"/>
      <c r="J33" s="269"/>
      <c r="K33" s="269"/>
      <c r="L33" s="269"/>
      <c r="M33" s="269"/>
      <c r="N33" s="269"/>
      <c r="O33" s="269"/>
      <c r="P33" s="269"/>
      <c r="Q33" s="269"/>
      <c r="R33" s="270"/>
    </row>
    <row r="34" spans="2:18" ht="15" customHeight="1" x14ac:dyDescent="0.25">
      <c r="B34" s="271"/>
      <c r="C34" s="272"/>
      <c r="D34" s="272"/>
      <c r="E34" s="272"/>
      <c r="F34" s="272"/>
      <c r="G34" s="272"/>
      <c r="H34" s="272"/>
      <c r="I34" s="272"/>
      <c r="J34" s="272"/>
      <c r="K34" s="272"/>
      <c r="L34" s="272"/>
      <c r="M34" s="272"/>
      <c r="N34" s="272"/>
      <c r="O34" s="272"/>
      <c r="P34" s="272"/>
      <c r="Q34" s="272"/>
      <c r="R34" s="273"/>
    </row>
    <row r="35" spans="2:18" ht="15" customHeight="1" x14ac:dyDescent="0.25">
      <c r="B35" s="271"/>
      <c r="C35" s="272"/>
      <c r="D35" s="272"/>
      <c r="E35" s="272"/>
      <c r="F35" s="272"/>
      <c r="G35" s="272"/>
      <c r="H35" s="272"/>
      <c r="I35" s="272"/>
      <c r="J35" s="272"/>
      <c r="K35" s="272"/>
      <c r="L35" s="272"/>
      <c r="M35" s="272"/>
      <c r="N35" s="272"/>
      <c r="O35" s="272"/>
      <c r="P35" s="272"/>
      <c r="Q35" s="272"/>
      <c r="R35" s="273"/>
    </row>
    <row r="36" spans="2:18" ht="15" customHeight="1" x14ac:dyDescent="0.25">
      <c r="B36" s="271"/>
      <c r="C36" s="272"/>
      <c r="D36" s="272"/>
      <c r="E36" s="272"/>
      <c r="F36" s="272"/>
      <c r="G36" s="272"/>
      <c r="H36" s="272"/>
      <c r="I36" s="272"/>
      <c r="J36" s="272"/>
      <c r="K36" s="272"/>
      <c r="L36" s="272"/>
      <c r="M36" s="272"/>
      <c r="N36" s="272"/>
      <c r="O36" s="272"/>
      <c r="P36" s="272"/>
      <c r="Q36" s="272"/>
      <c r="R36" s="273"/>
    </row>
    <row r="37" spans="2:18" ht="15" customHeight="1" x14ac:dyDescent="0.25">
      <c r="B37" s="271"/>
      <c r="C37" s="272"/>
      <c r="D37" s="272"/>
      <c r="E37" s="272"/>
      <c r="F37" s="272"/>
      <c r="G37" s="272"/>
      <c r="H37" s="272"/>
      <c r="I37" s="272"/>
      <c r="J37" s="272"/>
      <c r="K37" s="272"/>
      <c r="L37" s="272"/>
      <c r="M37" s="272"/>
      <c r="N37" s="272"/>
      <c r="O37" s="272"/>
      <c r="P37" s="272"/>
      <c r="Q37" s="272"/>
      <c r="R37" s="273"/>
    </row>
    <row r="38" spans="2:18" ht="15" customHeight="1" x14ac:dyDescent="0.25">
      <c r="B38" s="271"/>
      <c r="C38" s="272"/>
      <c r="D38" s="272"/>
      <c r="E38" s="272"/>
      <c r="F38" s="272"/>
      <c r="G38" s="272"/>
      <c r="H38" s="272"/>
      <c r="I38" s="272"/>
      <c r="J38" s="272"/>
      <c r="K38" s="272"/>
      <c r="L38" s="272"/>
      <c r="M38" s="272"/>
      <c r="N38" s="272"/>
      <c r="O38" s="272"/>
      <c r="P38" s="272"/>
      <c r="Q38" s="272"/>
      <c r="R38" s="273"/>
    </row>
    <row r="39" spans="2:18" ht="15" customHeight="1" thickBot="1" x14ac:dyDescent="0.3">
      <c r="B39" s="274"/>
      <c r="C39" s="275"/>
      <c r="D39" s="275"/>
      <c r="E39" s="275"/>
      <c r="F39" s="275"/>
      <c r="G39" s="275"/>
      <c r="H39" s="275"/>
      <c r="I39" s="275"/>
      <c r="J39" s="275"/>
      <c r="K39" s="275"/>
      <c r="L39" s="275"/>
      <c r="M39" s="275"/>
      <c r="N39" s="275"/>
      <c r="O39" s="275"/>
      <c r="P39" s="275"/>
      <c r="Q39" s="275"/>
      <c r="R39" s="276"/>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354</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81" t="s">
        <v>391</v>
      </c>
      <c r="E5" s="281"/>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0.14242099999999999</v>
      </c>
      <c r="F8" s="29"/>
      <c r="G8" s="29"/>
      <c r="H8" s="29"/>
      <c r="I8" s="29"/>
      <c r="J8" s="29"/>
      <c r="K8" s="29"/>
      <c r="L8" s="29"/>
      <c r="M8" s="29"/>
      <c r="N8" s="29"/>
      <c r="O8" s="29"/>
      <c r="P8" s="29"/>
      <c r="Q8" s="29"/>
      <c r="R8" s="29"/>
      <c r="S8" s="29"/>
      <c r="T8" s="22"/>
      <c r="W8" s="56" t="s">
        <v>3</v>
      </c>
      <c r="X8" s="57">
        <v>0.34678200000000003</v>
      </c>
    </row>
    <row r="9" spans="1:24" ht="15.75" customHeight="1" x14ac:dyDescent="0.25">
      <c r="B9" s="79"/>
      <c r="C9" s="188" t="s">
        <v>32</v>
      </c>
      <c r="D9" s="196" t="s">
        <v>3</v>
      </c>
      <c r="E9" s="197">
        <v>9.9026000000000003E-2</v>
      </c>
      <c r="F9" s="29"/>
      <c r="G9" s="29"/>
      <c r="H9" s="29"/>
      <c r="I9" s="29"/>
      <c r="J9" s="29"/>
      <c r="K9" s="29"/>
      <c r="L9" s="29"/>
      <c r="M9" s="29"/>
      <c r="N9" s="29"/>
      <c r="O9" s="29"/>
      <c r="P9" s="29"/>
      <c r="Q9" s="29"/>
      <c r="R9" s="29"/>
      <c r="S9" s="29"/>
      <c r="T9" s="22"/>
      <c r="W9" s="56" t="s">
        <v>107</v>
      </c>
      <c r="X9" s="57">
        <v>0.144265</v>
      </c>
    </row>
    <row r="10" spans="1:24" ht="15.75" x14ac:dyDescent="0.25">
      <c r="B10" s="79"/>
      <c r="C10" s="188" t="s">
        <v>31</v>
      </c>
      <c r="D10" s="196" t="s">
        <v>6</v>
      </c>
      <c r="E10" s="197">
        <v>9.8174999999999998E-2</v>
      </c>
      <c r="F10" s="29"/>
      <c r="G10" s="29"/>
      <c r="H10" s="29"/>
      <c r="I10" s="29"/>
      <c r="J10" s="29"/>
      <c r="K10" s="29"/>
      <c r="L10" s="29"/>
      <c r="M10" s="29"/>
      <c r="N10" s="29"/>
      <c r="O10" s="29"/>
      <c r="P10" s="29"/>
      <c r="Q10" s="29"/>
      <c r="R10" s="29"/>
      <c r="S10" s="29"/>
      <c r="T10" s="22"/>
      <c r="W10" s="56" t="s">
        <v>6</v>
      </c>
      <c r="X10" s="57">
        <v>9.8174999999999998E-2</v>
      </c>
    </row>
    <row r="11" spans="1:24" ht="15.75" customHeight="1" x14ac:dyDescent="0.25">
      <c r="B11" s="79"/>
      <c r="C11" s="188" t="s">
        <v>28</v>
      </c>
      <c r="D11" s="196" t="s">
        <v>107</v>
      </c>
      <c r="E11" s="197">
        <v>6.9120000000000001E-2</v>
      </c>
      <c r="F11" s="29"/>
      <c r="G11" s="29"/>
      <c r="H11" s="29"/>
      <c r="I11" s="29"/>
      <c r="J11" s="29"/>
      <c r="K11" s="29"/>
      <c r="L11" s="29"/>
      <c r="M11" s="29"/>
      <c r="N11" s="29"/>
      <c r="O11" s="29"/>
      <c r="P11" s="29"/>
      <c r="Q11" s="29"/>
      <c r="R11" s="29"/>
      <c r="S11" s="29"/>
      <c r="T11" s="22"/>
      <c r="W11" s="56" t="s">
        <v>117</v>
      </c>
      <c r="X11" s="57">
        <v>7.3824000000000001E-2</v>
      </c>
    </row>
    <row r="12" spans="1:24" ht="15" customHeight="1" x14ac:dyDescent="0.25">
      <c r="B12" s="79"/>
      <c r="C12" s="188" t="s">
        <v>30</v>
      </c>
      <c r="D12" s="196" t="s">
        <v>117</v>
      </c>
      <c r="E12" s="197">
        <v>4.9179E-2</v>
      </c>
      <c r="F12" s="29"/>
      <c r="G12" s="29"/>
      <c r="H12" s="29"/>
      <c r="I12" s="29"/>
      <c r="J12" s="29"/>
      <c r="K12" s="29"/>
      <c r="L12" s="29"/>
      <c r="M12" s="29"/>
      <c r="N12" s="29"/>
      <c r="O12" s="29"/>
      <c r="P12" s="29"/>
      <c r="Q12" s="29"/>
      <c r="R12" s="29"/>
      <c r="S12" s="29"/>
      <c r="T12" s="22"/>
      <c r="W12" s="56" t="s">
        <v>112</v>
      </c>
      <c r="X12" s="57">
        <v>6.3384999999999997E-2</v>
      </c>
    </row>
    <row r="13" spans="1:24" ht="15" customHeight="1" x14ac:dyDescent="0.25">
      <c r="B13" s="79"/>
      <c r="C13" s="188" t="s">
        <v>70</v>
      </c>
      <c r="D13" s="196" t="s">
        <v>12</v>
      </c>
      <c r="E13" s="197">
        <v>4.6876000000000001E-2</v>
      </c>
      <c r="F13" s="29"/>
      <c r="G13" s="29"/>
      <c r="H13" s="29"/>
      <c r="I13" s="29"/>
      <c r="J13" s="29"/>
      <c r="K13" s="29"/>
      <c r="L13" s="29"/>
      <c r="M13" s="29"/>
      <c r="N13" s="29"/>
      <c r="O13" s="29"/>
      <c r="P13" s="29"/>
      <c r="Q13" s="29"/>
      <c r="R13" s="29"/>
      <c r="S13" s="29"/>
      <c r="T13" s="22"/>
      <c r="W13" s="56" t="s">
        <v>12</v>
      </c>
      <c r="X13" s="57">
        <v>4.6876000000000001E-2</v>
      </c>
    </row>
    <row r="14" spans="1:24" ht="15" customHeight="1" x14ac:dyDescent="0.25">
      <c r="B14" s="79"/>
      <c r="C14" s="188" t="s">
        <v>34</v>
      </c>
      <c r="D14" s="196" t="s">
        <v>23</v>
      </c>
      <c r="E14" s="197">
        <v>4.6213999999999998E-2</v>
      </c>
      <c r="F14" s="29"/>
      <c r="G14" s="29"/>
      <c r="H14" s="29"/>
      <c r="I14" s="29"/>
      <c r="J14" s="29"/>
      <c r="K14" s="29"/>
      <c r="L14" s="29"/>
      <c r="M14" s="29"/>
      <c r="N14" s="29"/>
      <c r="O14" s="29"/>
      <c r="P14" s="29"/>
      <c r="Q14" s="29"/>
      <c r="R14" s="29"/>
      <c r="S14" s="29"/>
      <c r="T14" s="22"/>
      <c r="W14" s="56" t="s">
        <v>23</v>
      </c>
      <c r="X14" s="57">
        <v>4.6213999999999998E-2</v>
      </c>
    </row>
    <row r="15" spans="1:24" ht="15" customHeight="1" x14ac:dyDescent="0.25">
      <c r="B15" s="79"/>
      <c r="C15" s="188" t="s">
        <v>33</v>
      </c>
      <c r="D15" s="196" t="s">
        <v>107</v>
      </c>
      <c r="E15" s="197">
        <v>4.3686999999999997E-2</v>
      </c>
      <c r="F15" s="29"/>
      <c r="G15" s="29"/>
      <c r="H15" s="29"/>
      <c r="I15" s="29"/>
      <c r="J15" s="29"/>
      <c r="K15" s="29"/>
      <c r="L15" s="29"/>
      <c r="M15" s="29"/>
      <c r="N15" s="29"/>
      <c r="O15" s="29"/>
      <c r="P15" s="29"/>
      <c r="Q15" s="29"/>
      <c r="R15" s="29"/>
      <c r="S15" s="29"/>
      <c r="T15" s="22"/>
      <c r="W15" s="56" t="s">
        <v>10</v>
      </c>
      <c r="X15" s="57">
        <v>3.7014000000000005E-2</v>
      </c>
    </row>
    <row r="16" spans="1:24" ht="15" customHeight="1" x14ac:dyDescent="0.25">
      <c r="B16" s="79"/>
      <c r="C16" s="188" t="s">
        <v>36</v>
      </c>
      <c r="D16" s="196" t="s">
        <v>3</v>
      </c>
      <c r="E16" s="197">
        <v>3.5819999999999998E-2</v>
      </c>
      <c r="F16" s="29"/>
      <c r="G16" s="29"/>
      <c r="H16" s="29"/>
      <c r="I16" s="29"/>
      <c r="J16" s="29"/>
      <c r="K16" s="29"/>
      <c r="L16" s="29"/>
      <c r="M16" s="29"/>
      <c r="N16" s="29"/>
      <c r="O16" s="29"/>
      <c r="P16" s="29"/>
      <c r="Q16" s="29"/>
      <c r="R16" s="29"/>
      <c r="S16" s="29"/>
      <c r="T16" s="22"/>
      <c r="W16" s="56" t="s">
        <v>4</v>
      </c>
      <c r="X16" s="57">
        <v>3.1040999999999999E-2</v>
      </c>
    </row>
    <row r="17" spans="2:24" ht="15" customHeight="1" x14ac:dyDescent="0.25">
      <c r="B17" s="79"/>
      <c r="C17" s="188" t="s">
        <v>79</v>
      </c>
      <c r="D17" s="196" t="s">
        <v>3</v>
      </c>
      <c r="E17" s="197">
        <v>3.4257999999999997E-2</v>
      </c>
      <c r="F17" s="29"/>
      <c r="G17" s="29"/>
      <c r="H17" s="29"/>
      <c r="I17" s="29"/>
      <c r="J17" s="29"/>
      <c r="K17" s="29"/>
      <c r="L17" s="29"/>
      <c r="M17" s="29"/>
      <c r="N17" s="29"/>
      <c r="O17" s="29"/>
      <c r="P17" s="29"/>
      <c r="Q17" s="29"/>
      <c r="R17" s="29"/>
      <c r="S17" s="29"/>
      <c r="T17" s="22"/>
      <c r="W17" s="56" t="s">
        <v>16</v>
      </c>
      <c r="X17" s="57">
        <v>2.9158999999999997E-2</v>
      </c>
    </row>
    <row r="18" spans="2:24" ht="15" customHeight="1" x14ac:dyDescent="0.25">
      <c r="B18" s="79"/>
      <c r="C18" s="188" t="s">
        <v>120</v>
      </c>
      <c r="D18" s="196" t="s">
        <v>112</v>
      </c>
      <c r="E18" s="197">
        <v>2.8639000000000001E-2</v>
      </c>
      <c r="F18" s="29"/>
      <c r="G18" s="29"/>
      <c r="H18" s="29"/>
      <c r="I18" s="29"/>
      <c r="J18" s="29"/>
      <c r="K18" s="29"/>
      <c r="L18" s="29"/>
      <c r="M18" s="29"/>
      <c r="N18" s="29"/>
      <c r="O18" s="29"/>
      <c r="P18" s="29"/>
      <c r="Q18" s="29"/>
      <c r="R18" s="29"/>
      <c r="S18" s="29"/>
      <c r="T18" s="22"/>
      <c r="W18" s="56" t="s">
        <v>11</v>
      </c>
      <c r="X18" s="57">
        <v>2.3377000000000002E-2</v>
      </c>
    </row>
    <row r="19" spans="2:24" ht="15" customHeight="1" x14ac:dyDescent="0.25">
      <c r="B19" s="79"/>
      <c r="C19" s="188" t="s">
        <v>35</v>
      </c>
      <c r="D19" s="196" t="s">
        <v>3</v>
      </c>
      <c r="E19" s="197">
        <v>2.7689999999999999E-2</v>
      </c>
      <c r="F19" s="29"/>
      <c r="G19" s="29"/>
      <c r="H19" s="29"/>
      <c r="I19" s="29"/>
      <c r="J19" s="29"/>
      <c r="K19" s="29"/>
      <c r="L19" s="29"/>
      <c r="M19" s="29"/>
      <c r="N19" s="29"/>
      <c r="O19" s="29"/>
      <c r="P19" s="29"/>
      <c r="Q19" s="29"/>
      <c r="R19" s="29"/>
      <c r="S19" s="29"/>
      <c r="T19" s="22"/>
      <c r="W19" s="56" t="s">
        <v>111</v>
      </c>
      <c r="X19" s="57">
        <v>2.1728000000000001E-2</v>
      </c>
    </row>
    <row r="20" spans="2:24" ht="15" customHeight="1" x14ac:dyDescent="0.25">
      <c r="B20" s="79"/>
      <c r="C20" s="188" t="s">
        <v>37</v>
      </c>
      <c r="D20" s="196" t="s">
        <v>117</v>
      </c>
      <c r="E20" s="197">
        <v>2.4645E-2</v>
      </c>
      <c r="F20" s="29"/>
      <c r="G20" s="29"/>
      <c r="H20" s="29"/>
      <c r="I20" s="29"/>
      <c r="J20" s="29"/>
      <c r="K20" s="29"/>
      <c r="L20" s="29"/>
      <c r="M20" s="29"/>
      <c r="N20" s="29"/>
      <c r="O20" s="29"/>
      <c r="P20" s="29"/>
      <c r="Q20" s="29"/>
      <c r="R20" s="29"/>
      <c r="S20" s="29"/>
      <c r="T20" s="22"/>
      <c r="W20" s="56" t="s">
        <v>83</v>
      </c>
      <c r="X20" s="57">
        <v>1.3835999999999999E-2</v>
      </c>
    </row>
    <row r="21" spans="2:24" ht="15" customHeight="1" x14ac:dyDescent="0.25">
      <c r="B21" s="79"/>
      <c r="C21" s="188" t="s">
        <v>268</v>
      </c>
      <c r="D21" s="196" t="s">
        <v>111</v>
      </c>
      <c r="E21" s="197">
        <v>2.1728000000000001E-2</v>
      </c>
      <c r="F21" s="29"/>
      <c r="G21" s="29"/>
      <c r="H21" s="29"/>
      <c r="I21" s="29"/>
      <c r="J21" s="29"/>
      <c r="K21" s="29"/>
      <c r="L21" s="29"/>
      <c r="M21" s="29"/>
      <c r="N21" s="29"/>
      <c r="O21" s="29"/>
      <c r="P21" s="29"/>
      <c r="Q21" s="29"/>
      <c r="R21" s="29"/>
      <c r="S21" s="29"/>
      <c r="T21" s="22"/>
      <c r="W21" s="56" t="s">
        <v>130</v>
      </c>
      <c r="X21" s="57">
        <v>1.1013999999999999E-2</v>
      </c>
    </row>
    <row r="22" spans="2:24" ht="15" customHeight="1" x14ac:dyDescent="0.25">
      <c r="B22" s="79"/>
      <c r="C22" s="188" t="s">
        <v>62</v>
      </c>
      <c r="D22" s="196" t="s">
        <v>10</v>
      </c>
      <c r="E22" s="197">
        <v>2.1087000000000002E-2</v>
      </c>
      <c r="F22" s="29"/>
      <c r="G22" s="29"/>
      <c r="H22" s="29"/>
      <c r="I22" s="29"/>
      <c r="J22" s="29"/>
      <c r="K22" s="29"/>
      <c r="L22" s="29"/>
      <c r="M22" s="29"/>
      <c r="N22" s="29"/>
      <c r="O22" s="29"/>
      <c r="P22" s="29"/>
      <c r="Q22" s="29"/>
      <c r="R22" s="29"/>
      <c r="S22" s="29"/>
      <c r="T22" s="22"/>
      <c r="W22" s="19" t="s">
        <v>108</v>
      </c>
      <c r="X22" s="57">
        <v>8.8690000000000001E-3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c r="X23" s="57"/>
    </row>
    <row r="24" spans="2:24" ht="15" customHeight="1" x14ac:dyDescent="0.25">
      <c r="B24" s="79"/>
      <c r="C24" s="73" t="s">
        <v>55</v>
      </c>
      <c r="D24" s="74"/>
      <c r="E24" s="75">
        <f>SUM(E8:E22)</f>
        <v>0.78856499999999996</v>
      </c>
      <c r="F24" s="29"/>
      <c r="G24" s="29"/>
      <c r="H24" s="29"/>
      <c r="I24" s="29"/>
      <c r="J24" s="29"/>
      <c r="K24" s="29"/>
      <c r="L24" s="29"/>
      <c r="M24" s="29"/>
      <c r="N24" s="29"/>
      <c r="O24" s="29"/>
      <c r="P24" s="29"/>
      <c r="Q24" s="29"/>
      <c r="R24" s="29"/>
      <c r="S24" s="29"/>
      <c r="T24" s="22"/>
      <c r="W24" s="56"/>
      <c r="X24" s="57"/>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8" t="s">
        <v>182</v>
      </c>
      <c r="C39" s="269"/>
      <c r="D39" s="269"/>
      <c r="E39" s="269"/>
      <c r="F39" s="269"/>
      <c r="G39" s="269"/>
      <c r="H39" s="269"/>
      <c r="I39" s="269"/>
      <c r="J39" s="269"/>
      <c r="K39" s="269"/>
      <c r="L39" s="269"/>
      <c r="M39" s="269"/>
      <c r="N39" s="269"/>
      <c r="O39" s="269"/>
      <c r="P39" s="269"/>
      <c r="Q39" s="269"/>
      <c r="R39" s="270"/>
    </row>
    <row r="40" spans="2:24" ht="15" customHeight="1" x14ac:dyDescent="0.25">
      <c r="B40" s="271"/>
      <c r="C40" s="272"/>
      <c r="D40" s="272"/>
      <c r="E40" s="272"/>
      <c r="F40" s="272"/>
      <c r="G40" s="272"/>
      <c r="H40" s="272"/>
      <c r="I40" s="272"/>
      <c r="J40" s="272"/>
      <c r="K40" s="272"/>
      <c r="L40" s="272"/>
      <c r="M40" s="272"/>
      <c r="N40" s="272"/>
      <c r="O40" s="272"/>
      <c r="P40" s="272"/>
      <c r="Q40" s="272"/>
      <c r="R40" s="273"/>
    </row>
    <row r="41" spans="2:24" ht="15" customHeight="1" x14ac:dyDescent="0.25">
      <c r="B41" s="271"/>
      <c r="C41" s="272"/>
      <c r="D41" s="272"/>
      <c r="E41" s="272"/>
      <c r="F41" s="272"/>
      <c r="G41" s="272"/>
      <c r="H41" s="272"/>
      <c r="I41" s="272"/>
      <c r="J41" s="272"/>
      <c r="K41" s="272"/>
      <c r="L41" s="272"/>
      <c r="M41" s="272"/>
      <c r="N41" s="272"/>
      <c r="O41" s="272"/>
      <c r="P41" s="272"/>
      <c r="Q41" s="272"/>
      <c r="R41" s="273"/>
    </row>
    <row r="42" spans="2:24" ht="15" customHeight="1" x14ac:dyDescent="0.25">
      <c r="B42" s="271"/>
      <c r="C42" s="272"/>
      <c r="D42" s="272"/>
      <c r="E42" s="272"/>
      <c r="F42" s="272"/>
      <c r="G42" s="272"/>
      <c r="H42" s="272"/>
      <c r="I42" s="272"/>
      <c r="J42" s="272"/>
      <c r="K42" s="272"/>
      <c r="L42" s="272"/>
      <c r="M42" s="272"/>
      <c r="N42" s="272"/>
      <c r="O42" s="272"/>
      <c r="P42" s="272"/>
      <c r="Q42" s="272"/>
      <c r="R42" s="273"/>
    </row>
    <row r="43" spans="2:24" ht="15" customHeight="1" x14ac:dyDescent="0.25">
      <c r="B43" s="271"/>
      <c r="C43" s="272"/>
      <c r="D43" s="272"/>
      <c r="E43" s="272"/>
      <c r="F43" s="272"/>
      <c r="G43" s="272"/>
      <c r="H43" s="272"/>
      <c r="I43" s="272"/>
      <c r="J43" s="272"/>
      <c r="K43" s="272"/>
      <c r="L43" s="272"/>
      <c r="M43" s="272"/>
      <c r="N43" s="272"/>
      <c r="O43" s="272"/>
      <c r="P43" s="272"/>
      <c r="Q43" s="272"/>
      <c r="R43" s="273"/>
    </row>
    <row r="44" spans="2:24" ht="15" customHeight="1" x14ac:dyDescent="0.25">
      <c r="B44" s="271"/>
      <c r="C44" s="272"/>
      <c r="D44" s="272"/>
      <c r="E44" s="272"/>
      <c r="F44" s="272"/>
      <c r="G44" s="272"/>
      <c r="H44" s="272"/>
      <c r="I44" s="272"/>
      <c r="J44" s="272"/>
      <c r="K44" s="272"/>
      <c r="L44" s="272"/>
      <c r="M44" s="272"/>
      <c r="N44" s="272"/>
      <c r="O44" s="272"/>
      <c r="P44" s="272"/>
      <c r="Q44" s="272"/>
      <c r="R44" s="273"/>
    </row>
    <row r="45" spans="2:24" ht="26.25" customHeight="1" thickBot="1" x14ac:dyDescent="0.3">
      <c r="B45" s="274"/>
      <c r="C45" s="275"/>
      <c r="D45" s="275"/>
      <c r="E45" s="275"/>
      <c r="F45" s="275"/>
      <c r="G45" s="275"/>
      <c r="H45" s="275"/>
      <c r="I45" s="275"/>
      <c r="J45" s="275"/>
      <c r="K45" s="275"/>
      <c r="L45" s="275"/>
      <c r="M45" s="275"/>
      <c r="N45" s="275"/>
      <c r="O45" s="275"/>
      <c r="P45" s="275"/>
      <c r="Q45" s="275"/>
      <c r="R45" s="276"/>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7" t="s">
        <v>155</v>
      </c>
      <c r="D3" s="278"/>
      <c r="E3" s="278"/>
      <c r="F3" s="278"/>
      <c r="G3" s="278"/>
      <c r="H3" s="278"/>
      <c r="I3" s="278"/>
      <c r="J3" s="278"/>
      <c r="K3" s="278"/>
      <c r="L3" s="278"/>
      <c r="M3" s="278"/>
      <c r="N3" s="278"/>
      <c r="O3" s="278"/>
      <c r="P3" s="278"/>
      <c r="Q3" s="278"/>
      <c r="R3" s="278"/>
      <c r="S3" s="278"/>
      <c r="T3" s="22"/>
    </row>
    <row r="4" spans="1:24" ht="15.75" customHeight="1" x14ac:dyDescent="0.25">
      <c r="B4" s="79"/>
      <c r="C4" s="67" t="s">
        <v>405</v>
      </c>
      <c r="D4" s="29"/>
      <c r="E4" s="29"/>
      <c r="F4" s="29"/>
      <c r="G4" s="29"/>
      <c r="H4" s="29"/>
      <c r="I4" s="29"/>
      <c r="J4" s="29"/>
      <c r="K4" s="29"/>
      <c r="L4" s="29"/>
      <c r="M4" s="29"/>
      <c r="N4" s="29"/>
      <c r="O4" s="29"/>
      <c r="P4" s="29"/>
      <c r="Q4" s="29"/>
      <c r="R4" s="29"/>
      <c r="S4" s="29"/>
      <c r="T4" s="22"/>
    </row>
    <row r="5" spans="1:24" ht="18" customHeight="1" x14ac:dyDescent="0.25">
      <c r="B5" s="79"/>
      <c r="C5" s="221" t="s">
        <v>406</v>
      </c>
      <c r="D5" s="281" t="s">
        <v>392</v>
      </c>
      <c r="E5" s="281"/>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0.120907</v>
      </c>
      <c r="F8" s="29"/>
      <c r="G8" s="29"/>
      <c r="H8" s="29"/>
      <c r="I8" s="29"/>
      <c r="J8" s="29"/>
      <c r="K8" s="29"/>
      <c r="L8" s="29"/>
      <c r="M8" s="29"/>
      <c r="N8" s="29"/>
      <c r="O8" s="29"/>
      <c r="P8" s="29"/>
      <c r="Q8" s="29"/>
      <c r="R8" s="29"/>
      <c r="S8" s="29"/>
      <c r="T8" s="22"/>
      <c r="W8" t="s">
        <v>3</v>
      </c>
      <c r="X8" s="179">
        <v>0.29358599999999996</v>
      </c>
    </row>
    <row r="9" spans="1:24" ht="15.75" customHeight="1" x14ac:dyDescent="0.25">
      <c r="B9" s="79"/>
      <c r="C9" s="188" t="s">
        <v>32</v>
      </c>
      <c r="D9" s="196" t="s">
        <v>3</v>
      </c>
      <c r="E9" s="197">
        <v>8.3601999999999996E-2</v>
      </c>
      <c r="F9" s="29"/>
      <c r="G9" s="29"/>
      <c r="H9" s="29"/>
      <c r="I9" s="29"/>
      <c r="J9" s="29"/>
      <c r="K9" s="29"/>
      <c r="L9" s="29"/>
      <c r="M9" s="29"/>
      <c r="N9" s="29"/>
      <c r="O9" s="29"/>
      <c r="P9" s="29"/>
      <c r="Q9" s="29"/>
      <c r="R9" s="29"/>
      <c r="S9" s="29"/>
      <c r="T9" s="22"/>
      <c r="W9" t="s">
        <v>107</v>
      </c>
      <c r="X9" s="179">
        <v>0.129021</v>
      </c>
    </row>
    <row r="10" spans="1:24" ht="15.75" x14ac:dyDescent="0.25">
      <c r="B10" s="79"/>
      <c r="C10" s="188" t="s">
        <v>31</v>
      </c>
      <c r="D10" s="196" t="s">
        <v>6</v>
      </c>
      <c r="E10" s="197">
        <v>8.2964999999999997E-2</v>
      </c>
      <c r="F10" s="29"/>
      <c r="G10" s="29"/>
      <c r="H10" s="29"/>
      <c r="I10" s="29"/>
      <c r="J10" s="29"/>
      <c r="K10" s="29"/>
      <c r="L10" s="29"/>
      <c r="M10" s="29"/>
      <c r="N10" s="29"/>
      <c r="O10" s="29"/>
      <c r="P10" s="29"/>
      <c r="Q10" s="29"/>
      <c r="R10" s="29"/>
      <c r="S10" s="29"/>
      <c r="T10" s="22"/>
      <c r="W10" t="s">
        <v>6</v>
      </c>
      <c r="X10" s="179">
        <v>8.8495999999999991E-2</v>
      </c>
    </row>
    <row r="11" spans="1:24" ht="15.75" customHeight="1" x14ac:dyDescent="0.25">
      <c r="B11" s="79"/>
      <c r="C11" s="188" t="s">
        <v>28</v>
      </c>
      <c r="D11" s="196" t="s">
        <v>107</v>
      </c>
      <c r="E11" s="197">
        <v>5.8090999999999997E-2</v>
      </c>
      <c r="F11" s="29"/>
      <c r="G11" s="29"/>
      <c r="H11" s="29"/>
      <c r="I11" s="29"/>
      <c r="J11" s="29"/>
      <c r="K11" s="29"/>
      <c r="L11" s="29"/>
      <c r="M11" s="29"/>
      <c r="N11" s="29"/>
      <c r="O11" s="29"/>
      <c r="P11" s="29"/>
      <c r="Q11" s="29"/>
      <c r="R11" s="29"/>
      <c r="S11" s="29"/>
      <c r="T11" s="22"/>
      <c r="W11" t="s">
        <v>112</v>
      </c>
      <c r="X11" s="179">
        <v>7.4119000000000004E-2</v>
      </c>
    </row>
    <row r="12" spans="1:24" ht="15" customHeight="1" x14ac:dyDescent="0.25">
      <c r="B12" s="79"/>
      <c r="C12" s="188" t="s">
        <v>30</v>
      </c>
      <c r="D12" s="196" t="s">
        <v>117</v>
      </c>
      <c r="E12" s="197">
        <v>4.1757000000000002E-2</v>
      </c>
      <c r="F12" s="29"/>
      <c r="G12" s="29"/>
      <c r="H12" s="29"/>
      <c r="I12" s="29"/>
      <c r="J12" s="29"/>
      <c r="K12" s="29"/>
      <c r="L12" s="29"/>
      <c r="M12" s="29"/>
      <c r="N12" s="29"/>
      <c r="O12" s="29"/>
      <c r="P12" s="29"/>
      <c r="Q12" s="29"/>
      <c r="R12" s="29"/>
      <c r="S12" s="29"/>
      <c r="T12" s="22"/>
      <c r="W12" t="s">
        <v>117</v>
      </c>
      <c r="X12" s="179">
        <v>6.2433000000000002E-2</v>
      </c>
    </row>
    <row r="13" spans="1:24" ht="15" customHeight="1" x14ac:dyDescent="0.25">
      <c r="B13" s="79"/>
      <c r="C13" s="188" t="s">
        <v>70</v>
      </c>
      <c r="D13" s="196" t="s">
        <v>12</v>
      </c>
      <c r="E13" s="197">
        <v>3.9688000000000001E-2</v>
      </c>
      <c r="F13" s="29"/>
      <c r="G13" s="29"/>
      <c r="H13" s="29"/>
      <c r="I13" s="29"/>
      <c r="J13" s="29"/>
      <c r="K13" s="29"/>
      <c r="L13" s="29"/>
      <c r="M13" s="29"/>
      <c r="N13" s="29"/>
      <c r="O13" s="29"/>
      <c r="P13" s="29"/>
      <c r="Q13" s="29"/>
      <c r="R13" s="29"/>
      <c r="S13" s="29"/>
      <c r="T13" s="22"/>
      <c r="W13" t="s">
        <v>12</v>
      </c>
      <c r="X13" s="179">
        <v>3.9688000000000001E-2</v>
      </c>
    </row>
    <row r="14" spans="1:24" ht="15" customHeight="1" x14ac:dyDescent="0.25">
      <c r="B14" s="79"/>
      <c r="C14" s="188" t="s">
        <v>34</v>
      </c>
      <c r="D14" s="196" t="s">
        <v>23</v>
      </c>
      <c r="E14" s="197">
        <v>3.9163999999999997E-2</v>
      </c>
      <c r="F14" s="29"/>
      <c r="G14" s="29"/>
      <c r="H14" s="29"/>
      <c r="I14" s="29"/>
      <c r="J14" s="29"/>
      <c r="K14" s="29"/>
      <c r="L14" s="29"/>
      <c r="M14" s="29"/>
      <c r="N14" s="29"/>
      <c r="O14" s="29"/>
      <c r="P14" s="29"/>
      <c r="Q14" s="29"/>
      <c r="R14" s="29"/>
      <c r="S14" s="29"/>
      <c r="T14" s="22"/>
      <c r="W14" t="s">
        <v>23</v>
      </c>
      <c r="X14" s="179">
        <v>3.9163999999999997E-2</v>
      </c>
    </row>
    <row r="15" spans="1:24" ht="15" customHeight="1" x14ac:dyDescent="0.25">
      <c r="B15" s="79"/>
      <c r="C15" s="188" t="s">
        <v>33</v>
      </c>
      <c r="D15" s="196" t="s">
        <v>107</v>
      </c>
      <c r="E15" s="197">
        <v>3.7254000000000002E-2</v>
      </c>
      <c r="F15" s="29"/>
      <c r="G15" s="29"/>
      <c r="H15" s="29"/>
      <c r="I15" s="29"/>
      <c r="J15" s="29"/>
      <c r="K15" s="29"/>
      <c r="L15" s="29"/>
      <c r="M15" s="29"/>
      <c r="N15" s="29"/>
      <c r="O15" s="29"/>
      <c r="P15" s="29"/>
      <c r="Q15" s="29"/>
      <c r="R15" s="29"/>
      <c r="S15" s="29"/>
      <c r="T15" s="22"/>
      <c r="W15" t="s">
        <v>4</v>
      </c>
      <c r="X15" s="179">
        <v>3.4527000000000002E-2</v>
      </c>
    </row>
    <row r="16" spans="1:24" ht="15" customHeight="1" x14ac:dyDescent="0.25">
      <c r="B16" s="79"/>
      <c r="C16" s="188" t="s">
        <v>36</v>
      </c>
      <c r="D16" s="196" t="s">
        <v>3</v>
      </c>
      <c r="E16" s="197">
        <v>3.0349999999999999E-2</v>
      </c>
      <c r="F16" s="29"/>
      <c r="G16" s="29"/>
      <c r="H16" s="29"/>
      <c r="I16" s="29"/>
      <c r="J16" s="29"/>
      <c r="K16" s="29"/>
      <c r="L16" s="29"/>
      <c r="M16" s="29"/>
      <c r="N16" s="29"/>
      <c r="O16" s="29"/>
      <c r="P16" s="29"/>
      <c r="Q16" s="29"/>
      <c r="R16" s="29"/>
      <c r="S16" s="29"/>
      <c r="T16" s="22"/>
      <c r="W16" t="s">
        <v>111</v>
      </c>
      <c r="X16" s="179">
        <v>3.3301999999999998E-2</v>
      </c>
    </row>
    <row r="17" spans="2:24" ht="15" customHeight="1" x14ac:dyDescent="0.25">
      <c r="B17" s="79"/>
      <c r="C17" s="188" t="s">
        <v>79</v>
      </c>
      <c r="D17" s="196" t="s">
        <v>3</v>
      </c>
      <c r="E17" s="197">
        <v>2.8981E-2</v>
      </c>
      <c r="F17" s="29"/>
      <c r="G17" s="29"/>
      <c r="H17" s="29"/>
      <c r="I17" s="29"/>
      <c r="J17" s="29"/>
      <c r="K17" s="29"/>
      <c r="L17" s="29"/>
      <c r="M17" s="29"/>
      <c r="N17" s="29"/>
      <c r="O17" s="29"/>
      <c r="P17" s="29"/>
      <c r="Q17" s="29"/>
      <c r="R17" s="29"/>
      <c r="S17" s="29"/>
      <c r="T17" s="22"/>
      <c r="W17" t="s">
        <v>10</v>
      </c>
      <c r="X17" s="179">
        <v>3.1092000000000002E-2</v>
      </c>
    </row>
    <row r="18" spans="2:24" ht="15" customHeight="1" x14ac:dyDescent="0.25">
      <c r="B18" s="79"/>
      <c r="C18" s="188" t="s">
        <v>35</v>
      </c>
      <c r="D18" s="196" t="s">
        <v>3</v>
      </c>
      <c r="E18" s="197">
        <v>2.3342000000000002E-2</v>
      </c>
      <c r="F18" s="29"/>
      <c r="G18" s="29"/>
      <c r="H18" s="29"/>
      <c r="I18" s="29"/>
      <c r="J18" s="29"/>
      <c r="K18" s="29"/>
      <c r="L18" s="29"/>
      <c r="M18" s="29"/>
      <c r="N18" s="29"/>
      <c r="O18" s="29"/>
      <c r="P18" s="29"/>
      <c r="Q18" s="29"/>
      <c r="R18" s="29"/>
      <c r="S18" s="29"/>
      <c r="T18" s="22"/>
      <c r="W18" t="s">
        <v>16</v>
      </c>
      <c r="X18" s="179">
        <v>2.4614E-2</v>
      </c>
    </row>
    <row r="19" spans="2:24" ht="15" customHeight="1" x14ac:dyDescent="0.25">
      <c r="B19" s="79"/>
      <c r="C19" s="188" t="s">
        <v>120</v>
      </c>
      <c r="D19" s="196" t="s">
        <v>112</v>
      </c>
      <c r="E19" s="197">
        <v>2.2335000000000001E-2</v>
      </c>
      <c r="F19" s="29"/>
      <c r="G19" s="29"/>
      <c r="H19" s="29"/>
      <c r="I19" s="29"/>
      <c r="J19" s="29"/>
      <c r="K19" s="29"/>
      <c r="L19" s="29"/>
      <c r="M19" s="29"/>
      <c r="N19" s="29"/>
      <c r="O19" s="29"/>
      <c r="P19" s="29"/>
      <c r="Q19" s="29"/>
      <c r="R19" s="29"/>
      <c r="S19" s="29"/>
      <c r="T19" s="22"/>
      <c r="W19" t="s">
        <v>83</v>
      </c>
      <c r="X19" s="179">
        <v>2.0811E-2</v>
      </c>
    </row>
    <row r="20" spans="2:24" ht="15" customHeight="1" x14ac:dyDescent="0.25">
      <c r="B20" s="79"/>
      <c r="C20" s="188" t="s">
        <v>37</v>
      </c>
      <c r="D20" s="196" t="s">
        <v>117</v>
      </c>
      <c r="E20" s="197">
        <v>2.0676E-2</v>
      </c>
      <c r="F20" s="29"/>
      <c r="G20" s="29"/>
      <c r="H20" s="29"/>
      <c r="I20" s="29"/>
      <c r="J20" s="29"/>
      <c r="K20" s="29"/>
      <c r="L20" s="29"/>
      <c r="M20" s="29"/>
      <c r="N20" s="29"/>
      <c r="O20" s="29"/>
      <c r="P20" s="29"/>
      <c r="Q20" s="29"/>
      <c r="R20" s="29"/>
      <c r="S20" s="29"/>
      <c r="T20" s="22"/>
      <c r="W20" t="s">
        <v>11</v>
      </c>
      <c r="X20" s="179">
        <v>1.9793999999999999E-2</v>
      </c>
    </row>
    <row r="21" spans="2:24" ht="15" customHeight="1" x14ac:dyDescent="0.25">
      <c r="B21" s="79"/>
      <c r="C21" s="188" t="s">
        <v>268</v>
      </c>
      <c r="D21" s="196" t="s">
        <v>111</v>
      </c>
      <c r="E21" s="197">
        <v>1.8336000000000002E-2</v>
      </c>
      <c r="F21" s="29"/>
      <c r="G21" s="29"/>
      <c r="H21" s="29"/>
      <c r="I21" s="29"/>
      <c r="J21" s="29"/>
      <c r="K21" s="29"/>
      <c r="L21" s="29"/>
      <c r="M21" s="29"/>
      <c r="N21" s="29"/>
      <c r="O21" s="29"/>
      <c r="P21" s="29"/>
      <c r="Q21" s="29"/>
      <c r="R21" s="29"/>
      <c r="S21" s="29"/>
      <c r="T21" s="22"/>
      <c r="W21" t="s">
        <v>26</v>
      </c>
      <c r="X21" s="179">
        <v>1.4506E-2</v>
      </c>
    </row>
    <row r="22" spans="2:24" ht="15" customHeight="1" x14ac:dyDescent="0.25">
      <c r="B22" s="79"/>
      <c r="C22" s="188" t="s">
        <v>62</v>
      </c>
      <c r="D22" s="196" t="s">
        <v>10</v>
      </c>
      <c r="E22" s="197">
        <v>1.7753000000000001E-2</v>
      </c>
      <c r="F22" s="29"/>
      <c r="G22" s="29"/>
      <c r="H22" s="29"/>
      <c r="I22" s="29"/>
      <c r="J22" s="29"/>
      <c r="K22" s="29"/>
      <c r="L22" s="29"/>
      <c r="M22" s="29"/>
      <c r="N22" s="29"/>
      <c r="O22" s="29"/>
      <c r="P22" s="29"/>
      <c r="Q22" s="29"/>
      <c r="R22" s="29"/>
      <c r="S22" s="29"/>
      <c r="T22" s="22"/>
      <c r="W22" t="s">
        <v>86</v>
      </c>
      <c r="X22" s="179">
        <v>1.3722999999999999E-2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108</v>
      </c>
      <c r="X23" s="179">
        <v>1.3646999999999999E-2</v>
      </c>
    </row>
    <row r="24" spans="2:24" ht="15" customHeight="1" x14ac:dyDescent="0.25">
      <c r="B24" s="79"/>
      <c r="C24" s="73" t="s">
        <v>55</v>
      </c>
      <c r="D24" s="74"/>
      <c r="E24" s="75">
        <f>SUM(E8:E22)</f>
        <v>0.66520100000000004</v>
      </c>
      <c r="F24" s="29"/>
      <c r="G24" s="29"/>
      <c r="H24" s="29"/>
      <c r="I24" s="29"/>
      <c r="J24" s="29"/>
      <c r="K24" s="29"/>
      <c r="L24" s="29"/>
      <c r="M24" s="29"/>
      <c r="N24" s="29"/>
      <c r="O24" s="29"/>
      <c r="P24" s="29"/>
      <c r="Q24" s="29"/>
      <c r="R24" s="29"/>
      <c r="S24" s="29"/>
      <c r="T24" s="22"/>
      <c r="W24" t="s">
        <v>13</v>
      </c>
      <c r="X24" s="179">
        <v>9.4809999999999998E-3</v>
      </c>
    </row>
    <row r="25" spans="2:24" ht="15" customHeight="1" x14ac:dyDescent="0.25">
      <c r="B25" s="79"/>
      <c r="F25" s="29"/>
      <c r="G25" s="29"/>
      <c r="H25" s="29"/>
      <c r="I25" s="29"/>
      <c r="J25" s="29"/>
      <c r="K25" s="29"/>
      <c r="L25" s="29"/>
      <c r="M25" s="29"/>
      <c r="N25" s="29"/>
      <c r="O25" s="29"/>
      <c r="P25" s="29"/>
      <c r="Q25" s="29"/>
      <c r="R25" s="29"/>
      <c r="S25" s="29"/>
      <c r="T25" s="22"/>
      <c r="W25" t="s">
        <v>131</v>
      </c>
      <c r="X25" s="179">
        <v>9.4190000000000003E-3</v>
      </c>
    </row>
    <row r="26" spans="2:24" ht="15" customHeight="1" x14ac:dyDescent="0.25">
      <c r="B26" s="79"/>
      <c r="F26" s="29"/>
      <c r="G26" s="29"/>
      <c r="H26" s="29"/>
      <c r="I26" s="29"/>
      <c r="J26" s="29"/>
      <c r="K26" s="29"/>
      <c r="L26" s="29"/>
      <c r="M26" s="29"/>
      <c r="N26" s="29"/>
      <c r="O26" s="29"/>
      <c r="P26" s="29"/>
      <c r="Q26" s="29"/>
      <c r="R26" s="29"/>
      <c r="S26" s="29"/>
      <c r="T26" s="22"/>
      <c r="W26" t="s">
        <v>87</v>
      </c>
      <c r="X26" s="179">
        <v>9.3600000000000003E-3</v>
      </c>
    </row>
    <row r="27" spans="2:24" ht="15" customHeight="1" x14ac:dyDescent="0.25">
      <c r="B27" s="79"/>
      <c r="F27" s="29"/>
      <c r="G27" s="29"/>
      <c r="H27" s="29"/>
      <c r="I27" s="29"/>
      <c r="J27" s="29"/>
      <c r="K27" s="29"/>
      <c r="L27" s="29"/>
      <c r="M27" s="29"/>
      <c r="N27" s="29"/>
      <c r="O27" s="29"/>
      <c r="P27" s="29"/>
      <c r="Q27" s="29"/>
      <c r="R27" s="29"/>
      <c r="S27" s="29"/>
      <c r="T27" s="22"/>
      <c r="W27" t="s">
        <v>130</v>
      </c>
      <c r="X27" s="179">
        <v>9.3139999999999994E-3</v>
      </c>
    </row>
    <row r="28" spans="2:24" ht="15" customHeight="1" x14ac:dyDescent="0.25">
      <c r="B28" s="79"/>
      <c r="F28" s="29"/>
      <c r="G28" s="29"/>
      <c r="H28" s="29"/>
      <c r="I28" s="29"/>
      <c r="J28" s="29"/>
      <c r="K28" s="29"/>
      <c r="L28" s="29"/>
      <c r="M28" s="29"/>
      <c r="N28" s="29"/>
      <c r="O28" s="29"/>
      <c r="P28" s="29"/>
      <c r="Q28" s="29"/>
      <c r="R28" s="29"/>
      <c r="S28" s="29"/>
      <c r="T28" s="22"/>
      <c r="W28" t="s">
        <v>15</v>
      </c>
      <c r="X28" s="179">
        <v>9.1690000000000001E-3</v>
      </c>
    </row>
    <row r="29" spans="2:24" ht="15" customHeight="1" x14ac:dyDescent="0.25">
      <c r="B29" s="79"/>
      <c r="F29" s="29"/>
      <c r="G29" s="29"/>
      <c r="H29" s="29"/>
      <c r="I29" s="29"/>
      <c r="J29" s="29"/>
      <c r="K29" s="29"/>
      <c r="L29" s="29"/>
      <c r="M29" s="29"/>
      <c r="N29" s="29"/>
      <c r="O29" s="29"/>
      <c r="P29" s="29"/>
      <c r="Q29" s="29"/>
      <c r="R29" s="29"/>
      <c r="S29" s="29"/>
      <c r="T29" s="22"/>
      <c r="W29" t="s">
        <v>77</v>
      </c>
      <c r="X29" s="179">
        <v>6.5250000000000004E-3</v>
      </c>
    </row>
    <row r="30" spans="2:24" ht="15" customHeight="1" x14ac:dyDescent="0.25">
      <c r="B30" s="79"/>
      <c r="F30" s="29"/>
      <c r="G30" s="29"/>
      <c r="H30" s="29"/>
      <c r="I30" s="29"/>
      <c r="J30" s="29"/>
      <c r="K30" s="29"/>
      <c r="L30" s="29"/>
      <c r="M30" s="29"/>
      <c r="N30" s="29"/>
      <c r="O30" s="29"/>
      <c r="P30" s="29"/>
      <c r="Q30" s="29"/>
      <c r="R30" s="29"/>
      <c r="S30" s="29"/>
      <c r="T30" s="22"/>
      <c r="W30" s="56" t="s">
        <v>132</v>
      </c>
      <c r="X30" s="57">
        <v>6.3819999999999997E-3</v>
      </c>
    </row>
    <row r="31" spans="2:24" ht="15" customHeight="1" x14ac:dyDescent="0.25">
      <c r="B31" s="79"/>
      <c r="F31" s="29"/>
      <c r="G31" s="29"/>
      <c r="H31" s="29"/>
      <c r="I31" s="29"/>
      <c r="J31" s="29"/>
      <c r="K31" s="29"/>
      <c r="L31" s="29"/>
      <c r="M31" s="29"/>
      <c r="N31" s="29"/>
      <c r="O31" s="29"/>
      <c r="P31" s="29"/>
      <c r="Q31" s="29"/>
      <c r="R31" s="29"/>
      <c r="S31" s="29"/>
      <c r="T31" s="22"/>
      <c r="W31" s="56" t="s">
        <v>115</v>
      </c>
      <c r="X31" s="57">
        <v>5.9890000000000004E-3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8" t="s">
        <v>182</v>
      </c>
      <c r="C39" s="269"/>
      <c r="D39" s="269"/>
      <c r="E39" s="269"/>
      <c r="F39" s="269"/>
      <c r="G39" s="269"/>
      <c r="H39" s="269"/>
      <c r="I39" s="269"/>
      <c r="J39" s="269"/>
      <c r="K39" s="269"/>
      <c r="L39" s="269"/>
      <c r="M39" s="269"/>
      <c r="N39" s="269"/>
      <c r="O39" s="269"/>
      <c r="P39" s="269"/>
      <c r="Q39" s="269"/>
      <c r="R39" s="270"/>
    </row>
    <row r="40" spans="2:24" ht="15" customHeight="1" x14ac:dyDescent="0.25">
      <c r="B40" s="271"/>
      <c r="C40" s="272"/>
      <c r="D40" s="272"/>
      <c r="E40" s="272"/>
      <c r="F40" s="272"/>
      <c r="G40" s="272"/>
      <c r="H40" s="272"/>
      <c r="I40" s="272"/>
      <c r="J40" s="272"/>
      <c r="K40" s="272"/>
      <c r="L40" s="272"/>
      <c r="M40" s="272"/>
      <c r="N40" s="272"/>
      <c r="O40" s="272"/>
      <c r="P40" s="272"/>
      <c r="Q40" s="272"/>
      <c r="R40" s="273"/>
    </row>
    <row r="41" spans="2:24" ht="15" customHeight="1" x14ac:dyDescent="0.25">
      <c r="B41" s="271"/>
      <c r="C41" s="272"/>
      <c r="D41" s="272"/>
      <c r="E41" s="272"/>
      <c r="F41" s="272"/>
      <c r="G41" s="272"/>
      <c r="H41" s="272"/>
      <c r="I41" s="272"/>
      <c r="J41" s="272"/>
      <c r="K41" s="272"/>
      <c r="L41" s="272"/>
      <c r="M41" s="272"/>
      <c r="N41" s="272"/>
      <c r="O41" s="272"/>
      <c r="P41" s="272"/>
      <c r="Q41" s="272"/>
      <c r="R41" s="273"/>
    </row>
    <row r="42" spans="2:24" ht="15" customHeight="1" x14ac:dyDescent="0.25">
      <c r="B42" s="271"/>
      <c r="C42" s="272"/>
      <c r="D42" s="272"/>
      <c r="E42" s="272"/>
      <c r="F42" s="272"/>
      <c r="G42" s="272"/>
      <c r="H42" s="272"/>
      <c r="I42" s="272"/>
      <c r="J42" s="272"/>
      <c r="K42" s="272"/>
      <c r="L42" s="272"/>
      <c r="M42" s="272"/>
      <c r="N42" s="272"/>
      <c r="O42" s="272"/>
      <c r="P42" s="272"/>
      <c r="Q42" s="272"/>
      <c r="R42" s="273"/>
    </row>
    <row r="43" spans="2:24" ht="15" customHeight="1" x14ac:dyDescent="0.25">
      <c r="B43" s="271"/>
      <c r="C43" s="272"/>
      <c r="D43" s="272"/>
      <c r="E43" s="272"/>
      <c r="F43" s="272"/>
      <c r="G43" s="272"/>
      <c r="H43" s="272"/>
      <c r="I43" s="272"/>
      <c r="J43" s="272"/>
      <c r="K43" s="272"/>
      <c r="L43" s="272"/>
      <c r="M43" s="272"/>
      <c r="N43" s="272"/>
      <c r="O43" s="272"/>
      <c r="P43" s="272"/>
      <c r="Q43" s="272"/>
      <c r="R43" s="273"/>
    </row>
    <row r="44" spans="2:24" ht="15" customHeight="1" x14ac:dyDescent="0.25">
      <c r="B44" s="271"/>
      <c r="C44" s="272"/>
      <c r="D44" s="272"/>
      <c r="E44" s="272"/>
      <c r="F44" s="272"/>
      <c r="G44" s="272"/>
      <c r="H44" s="272"/>
      <c r="I44" s="272"/>
      <c r="J44" s="272"/>
      <c r="K44" s="272"/>
      <c r="L44" s="272"/>
      <c r="M44" s="272"/>
      <c r="N44" s="272"/>
      <c r="O44" s="272"/>
      <c r="P44" s="272"/>
      <c r="Q44" s="272"/>
      <c r="R44" s="273"/>
    </row>
    <row r="45" spans="2:24" ht="27.75" customHeight="1" thickBot="1" x14ac:dyDescent="0.3">
      <c r="B45" s="274"/>
      <c r="C45" s="275"/>
      <c r="D45" s="275"/>
      <c r="E45" s="275"/>
      <c r="F45" s="275"/>
      <c r="G45" s="275"/>
      <c r="H45" s="275"/>
      <c r="I45" s="275"/>
      <c r="J45" s="275"/>
      <c r="K45" s="275"/>
      <c r="L45" s="275"/>
      <c r="M45" s="275"/>
      <c r="N45" s="275"/>
      <c r="O45" s="275"/>
      <c r="P45" s="275"/>
      <c r="Q45" s="275"/>
      <c r="R45" s="276"/>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7" t="s">
        <v>154</v>
      </c>
      <c r="D3" s="278"/>
      <c r="E3" s="278"/>
      <c r="F3" s="278"/>
      <c r="G3" s="278"/>
      <c r="H3" s="278"/>
      <c r="I3" s="278"/>
      <c r="J3" s="278"/>
      <c r="K3" s="278"/>
      <c r="L3" s="278"/>
      <c r="M3" s="278"/>
      <c r="N3" s="278"/>
      <c r="O3" s="278"/>
      <c r="P3" s="278"/>
      <c r="Q3" s="278"/>
      <c r="R3" s="278"/>
      <c r="S3" s="278"/>
      <c r="T3" s="65"/>
      <c r="U3" s="66"/>
    </row>
    <row r="4" spans="1:24" ht="15.75" customHeight="1" x14ac:dyDescent="0.25">
      <c r="B4" s="64"/>
      <c r="C4" s="67" t="s">
        <v>405</v>
      </c>
      <c r="D4" s="29"/>
      <c r="E4" s="29"/>
      <c r="F4" s="29"/>
      <c r="G4" s="29"/>
      <c r="H4" s="29"/>
      <c r="I4" s="29"/>
      <c r="J4" s="29"/>
      <c r="K4" s="29"/>
      <c r="L4" s="29"/>
      <c r="M4" s="29"/>
      <c r="N4" s="29"/>
      <c r="O4" s="29"/>
      <c r="P4" s="29"/>
      <c r="Q4" s="29"/>
      <c r="R4" s="29"/>
      <c r="S4" s="29"/>
      <c r="T4" s="29"/>
      <c r="U4" s="25"/>
    </row>
    <row r="5" spans="1:24" ht="18" customHeight="1" x14ac:dyDescent="0.25">
      <c r="B5" s="64"/>
      <c r="C5" s="221" t="s">
        <v>406</v>
      </c>
      <c r="D5" s="281" t="s">
        <v>393</v>
      </c>
      <c r="E5" s="281"/>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5" t="s">
        <v>29</v>
      </c>
      <c r="D8" s="206" t="s">
        <v>3</v>
      </c>
      <c r="E8" s="195">
        <v>9.8884E-2</v>
      </c>
      <c r="F8" s="29"/>
      <c r="G8" s="29"/>
      <c r="H8" s="29"/>
      <c r="I8" s="29"/>
      <c r="J8" s="29"/>
      <c r="K8" s="29"/>
      <c r="L8" s="29"/>
      <c r="M8" s="29"/>
      <c r="N8" s="29"/>
      <c r="O8" s="29"/>
      <c r="P8" s="29"/>
      <c r="Q8" s="29"/>
      <c r="R8" s="29"/>
      <c r="S8" s="29"/>
      <c r="T8" s="29"/>
      <c r="U8" s="25"/>
      <c r="W8" s="178" t="s">
        <v>3</v>
      </c>
      <c r="X8" s="179">
        <v>0.25009100000000001</v>
      </c>
    </row>
    <row r="9" spans="1:24" ht="15.75" customHeight="1" x14ac:dyDescent="0.25">
      <c r="B9" s="64"/>
      <c r="C9" s="207" t="s">
        <v>32</v>
      </c>
      <c r="D9" s="208" t="s">
        <v>3</v>
      </c>
      <c r="E9" s="197">
        <v>6.8376999999999993E-2</v>
      </c>
      <c r="F9" s="29"/>
      <c r="G9" s="29"/>
      <c r="H9" s="29"/>
      <c r="I9" s="29"/>
      <c r="J9" s="29"/>
      <c r="K9" s="29"/>
      <c r="L9" s="29"/>
      <c r="M9" s="29"/>
      <c r="N9" s="29"/>
      <c r="O9" s="29"/>
      <c r="P9" s="29"/>
      <c r="Q9" s="29"/>
      <c r="R9" s="29"/>
      <c r="S9" s="29"/>
      <c r="T9" s="29"/>
      <c r="U9" s="25"/>
      <c r="W9" s="178" t="s">
        <v>107</v>
      </c>
      <c r="X9" s="179">
        <v>0.109459</v>
      </c>
    </row>
    <row r="10" spans="1:24" ht="15.75" x14ac:dyDescent="0.25">
      <c r="B10" s="64"/>
      <c r="C10" s="207" t="s">
        <v>31</v>
      </c>
      <c r="D10" s="208" t="s">
        <v>6</v>
      </c>
      <c r="E10" s="197">
        <v>6.7849000000000007E-2</v>
      </c>
      <c r="F10" s="29"/>
      <c r="G10" s="29"/>
      <c r="H10" s="29"/>
      <c r="I10" s="29"/>
      <c r="J10" s="29"/>
      <c r="K10" s="29"/>
      <c r="L10" s="29"/>
      <c r="M10" s="29"/>
      <c r="N10" s="29"/>
      <c r="O10" s="29"/>
      <c r="P10" s="29"/>
      <c r="Q10" s="29"/>
      <c r="R10" s="29"/>
      <c r="S10" s="29"/>
      <c r="T10" s="29"/>
      <c r="U10" s="25"/>
      <c r="W10" s="178" t="s">
        <v>6</v>
      </c>
      <c r="X10" s="179">
        <v>7.6380000000000003E-2</v>
      </c>
    </row>
    <row r="11" spans="1:24" ht="15.75" customHeight="1" x14ac:dyDescent="0.25">
      <c r="B11" s="64"/>
      <c r="C11" s="207" t="s">
        <v>28</v>
      </c>
      <c r="D11" s="208" t="s">
        <v>107</v>
      </c>
      <c r="E11" s="197">
        <v>4.7499E-2</v>
      </c>
      <c r="F11" s="29"/>
      <c r="G11" s="29"/>
      <c r="H11" s="29"/>
      <c r="I11" s="29"/>
      <c r="J11" s="29"/>
      <c r="K11" s="29"/>
      <c r="L11" s="29"/>
      <c r="M11" s="29"/>
      <c r="N11" s="29"/>
      <c r="O11" s="29"/>
      <c r="P11" s="29"/>
      <c r="Q11" s="29"/>
      <c r="R11" s="29"/>
      <c r="S11" s="29"/>
      <c r="T11" s="29"/>
      <c r="U11" s="25"/>
      <c r="W11" s="178" t="s">
        <v>112</v>
      </c>
      <c r="X11" s="179">
        <v>6.5006999999999995E-2</v>
      </c>
    </row>
    <row r="12" spans="1:24" ht="15" customHeight="1" x14ac:dyDescent="0.25">
      <c r="B12" s="64"/>
      <c r="C12" s="207" t="s">
        <v>30</v>
      </c>
      <c r="D12" s="208" t="s">
        <v>117</v>
      </c>
      <c r="E12" s="197">
        <v>3.4148999999999999E-2</v>
      </c>
      <c r="F12" s="29"/>
      <c r="G12" s="29"/>
      <c r="H12" s="29"/>
      <c r="I12" s="29"/>
      <c r="J12" s="29"/>
      <c r="K12" s="29"/>
      <c r="L12" s="29"/>
      <c r="M12" s="29"/>
      <c r="N12" s="29"/>
      <c r="O12" s="29"/>
      <c r="P12" s="29"/>
      <c r="Q12" s="29"/>
      <c r="R12" s="29"/>
      <c r="S12" s="29"/>
      <c r="T12" s="29"/>
      <c r="U12" s="25"/>
      <c r="W12" s="178" t="s">
        <v>4</v>
      </c>
      <c r="X12" s="179">
        <v>5.5449999999999999E-2</v>
      </c>
    </row>
    <row r="13" spans="1:24" ht="15" customHeight="1" x14ac:dyDescent="0.25">
      <c r="B13" s="64"/>
      <c r="C13" s="207" t="s">
        <v>70</v>
      </c>
      <c r="D13" s="208" t="s">
        <v>12</v>
      </c>
      <c r="E13" s="197">
        <v>3.2461999999999998E-2</v>
      </c>
      <c r="F13" s="29"/>
      <c r="G13" s="29"/>
      <c r="H13" s="29"/>
      <c r="I13" s="29"/>
      <c r="J13" s="29"/>
      <c r="K13" s="29"/>
      <c r="L13" s="29"/>
      <c r="M13" s="29"/>
      <c r="N13" s="29"/>
      <c r="O13" s="29"/>
      <c r="P13" s="29"/>
      <c r="Q13" s="29"/>
      <c r="R13" s="29"/>
      <c r="S13" s="29"/>
      <c r="T13" s="29"/>
      <c r="U13" s="25"/>
      <c r="W13" s="178" t="s">
        <v>117</v>
      </c>
      <c r="X13" s="179">
        <v>5.1055999999999997E-2</v>
      </c>
    </row>
    <row r="14" spans="1:24" ht="15" customHeight="1" x14ac:dyDescent="0.25">
      <c r="B14" s="64"/>
      <c r="C14" s="207" t="s">
        <v>34</v>
      </c>
      <c r="D14" s="208" t="s">
        <v>23</v>
      </c>
      <c r="E14" s="197">
        <v>3.2025999999999999E-2</v>
      </c>
      <c r="F14" s="29"/>
      <c r="G14" s="29"/>
      <c r="H14" s="29"/>
      <c r="I14" s="29"/>
      <c r="J14" s="29"/>
      <c r="K14" s="29"/>
      <c r="L14" s="29"/>
      <c r="M14" s="29"/>
      <c r="N14" s="29"/>
      <c r="O14" s="29"/>
      <c r="P14" s="29"/>
      <c r="Q14" s="29"/>
      <c r="R14" s="29"/>
      <c r="S14" s="29"/>
      <c r="T14" s="29"/>
      <c r="U14" s="25"/>
      <c r="W14" s="178" t="s">
        <v>10</v>
      </c>
      <c r="X14" s="179">
        <v>4.6573999999999997E-2</v>
      </c>
    </row>
    <row r="15" spans="1:24" ht="15" customHeight="1" x14ac:dyDescent="0.25">
      <c r="B15" s="64"/>
      <c r="C15" s="207" t="s">
        <v>33</v>
      </c>
      <c r="D15" s="208" t="s">
        <v>107</v>
      </c>
      <c r="E15" s="197">
        <v>3.0461999999999999E-2</v>
      </c>
      <c r="F15" s="29"/>
      <c r="G15" s="29"/>
      <c r="H15" s="29"/>
      <c r="I15" s="29"/>
      <c r="J15" s="29"/>
      <c r="K15" s="29"/>
      <c r="L15" s="29"/>
      <c r="M15" s="29"/>
      <c r="N15" s="29"/>
      <c r="O15" s="29"/>
      <c r="P15" s="29"/>
      <c r="Q15" s="29"/>
      <c r="R15" s="29"/>
      <c r="S15" s="29"/>
      <c r="T15" s="29"/>
      <c r="U15" s="25"/>
      <c r="W15" s="178" t="s">
        <v>111</v>
      </c>
      <c r="X15" s="179">
        <v>3.6940000000000001E-2</v>
      </c>
    </row>
    <row r="16" spans="1:24" ht="15" customHeight="1" x14ac:dyDescent="0.25">
      <c r="B16" s="64"/>
      <c r="C16" s="207" t="s">
        <v>36</v>
      </c>
      <c r="D16" s="208" t="s">
        <v>3</v>
      </c>
      <c r="E16" s="197">
        <v>2.4820999999999999E-2</v>
      </c>
      <c r="F16" s="29"/>
      <c r="G16" s="29"/>
      <c r="H16" s="29"/>
      <c r="I16" s="29"/>
      <c r="J16" s="29"/>
      <c r="K16" s="29"/>
      <c r="L16" s="29"/>
      <c r="M16" s="29"/>
      <c r="N16" s="29"/>
      <c r="O16" s="29"/>
      <c r="P16" s="29"/>
      <c r="Q16" s="29"/>
      <c r="R16" s="29"/>
      <c r="S16" s="29"/>
      <c r="T16" s="29"/>
      <c r="U16" s="25"/>
      <c r="W16" s="178" t="s">
        <v>12</v>
      </c>
      <c r="X16" s="179">
        <v>3.2461999999999998E-2</v>
      </c>
    </row>
    <row r="17" spans="2:24" ht="15" customHeight="1" x14ac:dyDescent="0.25">
      <c r="B17" s="64"/>
      <c r="C17" s="207" t="s">
        <v>79</v>
      </c>
      <c r="D17" s="208" t="s">
        <v>3</v>
      </c>
      <c r="E17" s="197">
        <v>2.3699999999999999E-2</v>
      </c>
      <c r="F17" s="29"/>
      <c r="G17" s="29"/>
      <c r="H17" s="29"/>
      <c r="I17" s="29"/>
      <c r="J17" s="29"/>
      <c r="K17" s="29"/>
      <c r="L17" s="29"/>
      <c r="M17" s="29"/>
      <c r="N17" s="29"/>
      <c r="O17" s="29"/>
      <c r="P17" s="29"/>
      <c r="Q17" s="29"/>
      <c r="R17" s="29"/>
      <c r="S17" s="29"/>
      <c r="T17" s="29"/>
      <c r="U17" s="25"/>
      <c r="W17" s="178" t="s">
        <v>23</v>
      </c>
      <c r="X17" s="179">
        <v>3.2025999999999999E-2</v>
      </c>
    </row>
    <row r="18" spans="2:24" ht="15" customHeight="1" x14ac:dyDescent="0.25">
      <c r="B18" s="64"/>
      <c r="C18" s="207" t="s">
        <v>35</v>
      </c>
      <c r="D18" s="208" t="s">
        <v>3</v>
      </c>
      <c r="E18" s="197">
        <v>1.9089999999999999E-2</v>
      </c>
      <c r="F18" s="29"/>
      <c r="G18" s="29"/>
      <c r="H18" s="29"/>
      <c r="I18" s="29"/>
      <c r="J18" s="29"/>
      <c r="K18" s="29"/>
      <c r="L18" s="29"/>
      <c r="M18" s="29"/>
      <c r="N18" s="29"/>
      <c r="O18" s="29"/>
      <c r="P18" s="29"/>
      <c r="Q18" s="29"/>
      <c r="R18" s="29"/>
      <c r="S18" s="29"/>
      <c r="T18" s="29"/>
      <c r="U18" s="25"/>
      <c r="W18" s="178" t="s">
        <v>26</v>
      </c>
      <c r="X18" s="179">
        <v>3.1925000000000002E-2</v>
      </c>
    </row>
    <row r="19" spans="2:24" ht="15" customHeight="1" x14ac:dyDescent="0.25">
      <c r="B19" s="64"/>
      <c r="C19" s="207" t="s">
        <v>120</v>
      </c>
      <c r="D19" s="208" t="s">
        <v>112</v>
      </c>
      <c r="E19" s="197">
        <v>1.8259000000000001E-2</v>
      </c>
      <c r="F19" s="29"/>
      <c r="G19" s="29"/>
      <c r="H19" s="29"/>
      <c r="I19" s="29"/>
      <c r="J19" s="29"/>
      <c r="K19" s="29"/>
      <c r="L19" s="29"/>
      <c r="M19" s="29"/>
      <c r="N19" s="29"/>
      <c r="O19" s="29"/>
      <c r="P19" s="29"/>
      <c r="Q19" s="29"/>
      <c r="R19" s="29"/>
      <c r="S19" s="29"/>
      <c r="T19" s="29"/>
      <c r="U19" s="25"/>
      <c r="W19" s="178" t="s">
        <v>16</v>
      </c>
      <c r="X19" s="179">
        <v>2.3237000000000001E-2</v>
      </c>
    </row>
    <row r="20" spans="2:24" ht="15" customHeight="1" x14ac:dyDescent="0.25">
      <c r="B20" s="64"/>
      <c r="C20" s="207" t="s">
        <v>37</v>
      </c>
      <c r="D20" s="208" t="s">
        <v>117</v>
      </c>
      <c r="E20" s="197">
        <v>1.6906999999999998E-2</v>
      </c>
      <c r="F20" s="29"/>
      <c r="G20" s="29"/>
      <c r="H20" s="29"/>
      <c r="I20" s="29"/>
      <c r="J20" s="29"/>
      <c r="K20" s="29"/>
      <c r="L20" s="29"/>
      <c r="M20" s="29"/>
      <c r="N20" s="29"/>
      <c r="O20" s="29"/>
      <c r="P20" s="29"/>
      <c r="Q20" s="29"/>
      <c r="R20" s="29"/>
      <c r="S20" s="29"/>
      <c r="T20" s="29"/>
      <c r="U20" s="25"/>
      <c r="W20" s="178" t="s">
        <v>83</v>
      </c>
      <c r="X20" s="179">
        <v>2.2186999999999998E-2</v>
      </c>
    </row>
    <row r="21" spans="2:24" ht="15" customHeight="1" x14ac:dyDescent="0.25">
      <c r="B21" s="64"/>
      <c r="C21" s="207" t="s">
        <v>268</v>
      </c>
      <c r="D21" s="208" t="s">
        <v>111</v>
      </c>
      <c r="E21" s="197">
        <v>1.499E-2</v>
      </c>
      <c r="F21" s="29"/>
      <c r="G21" s="29"/>
      <c r="H21" s="29"/>
      <c r="I21" s="29"/>
      <c r="J21" s="29"/>
      <c r="K21" s="29"/>
      <c r="L21" s="29"/>
      <c r="M21" s="29"/>
      <c r="N21" s="29"/>
      <c r="O21" s="29"/>
      <c r="P21" s="29"/>
      <c r="Q21" s="29"/>
      <c r="R21" s="29"/>
      <c r="S21" s="29"/>
      <c r="T21" s="29"/>
      <c r="U21" s="25"/>
      <c r="W21" s="178" t="s">
        <v>11</v>
      </c>
      <c r="X21" s="179">
        <v>1.881E-2</v>
      </c>
    </row>
    <row r="22" spans="2:24" ht="15" customHeight="1" x14ac:dyDescent="0.25">
      <c r="B22" s="64"/>
      <c r="C22" s="207" t="s">
        <v>62</v>
      </c>
      <c r="D22" s="208" t="s">
        <v>10</v>
      </c>
      <c r="E22" s="197">
        <v>1.4515999999999999E-2</v>
      </c>
      <c r="F22" s="29"/>
      <c r="G22" s="29"/>
      <c r="H22" s="29"/>
      <c r="I22" s="29"/>
      <c r="J22" s="29"/>
      <c r="K22" s="29"/>
      <c r="L22" s="29"/>
      <c r="M22" s="29"/>
      <c r="N22" s="29"/>
      <c r="O22" s="29"/>
      <c r="P22" s="29"/>
      <c r="Q22" s="29"/>
      <c r="R22" s="29"/>
      <c r="S22" s="29"/>
      <c r="T22" s="29"/>
      <c r="U22" s="25"/>
      <c r="W22" s="178" t="s">
        <v>86</v>
      </c>
      <c r="X22" s="179">
        <v>1.8342000000000001E-2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87</v>
      </c>
      <c r="X23" s="179">
        <v>1.3711000000000001E-2</v>
      </c>
    </row>
    <row r="24" spans="2:24" ht="15" customHeight="1" x14ac:dyDescent="0.25">
      <c r="B24" s="64"/>
      <c r="C24" s="73" t="s">
        <v>55</v>
      </c>
      <c r="D24" s="74"/>
      <c r="E24" s="75">
        <f>SUM(E8:E22)</f>
        <v>0.54399099999999989</v>
      </c>
      <c r="F24" s="29"/>
      <c r="G24" s="29"/>
      <c r="H24" s="29"/>
      <c r="I24" s="29"/>
      <c r="J24" s="29"/>
      <c r="K24" s="29"/>
      <c r="L24" s="29"/>
      <c r="M24" s="29"/>
      <c r="N24" s="29"/>
      <c r="O24" s="29"/>
      <c r="P24" s="29"/>
      <c r="Q24" s="29"/>
      <c r="R24" s="29"/>
      <c r="S24" s="29"/>
      <c r="T24" s="29"/>
      <c r="U24" s="25"/>
      <c r="W24" s="178" t="s">
        <v>108</v>
      </c>
      <c r="X24" s="179">
        <v>1.1157E-2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119</v>
      </c>
      <c r="X25" s="179">
        <v>9.8530000000000006E-3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106</v>
      </c>
      <c r="X26" s="179">
        <v>8.626E-3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13</v>
      </c>
      <c r="X27" s="179">
        <v>7.7539999999999996E-3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131</v>
      </c>
      <c r="X28" s="179">
        <v>7.7010000000000004E-3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130</v>
      </c>
      <c r="X29" s="179">
        <v>7.6179999999999998E-3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15</v>
      </c>
      <c r="X30" s="179">
        <v>7.4980000000000003E-3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113</v>
      </c>
      <c r="X31" s="179">
        <v>6.4619999999999999E-3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110</v>
      </c>
      <c r="X32" s="179">
        <v>6.0689999999999997E-3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121</v>
      </c>
      <c r="X33" s="179">
        <v>6.019E-3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133</v>
      </c>
      <c r="X34" s="179">
        <v>5.9080000000000001E-3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25</v>
      </c>
      <c r="X35" s="179">
        <v>5.5510000000000004E-3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77</v>
      </c>
      <c r="X36" s="179">
        <v>5.3379999999999999E-3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124</v>
      </c>
      <c r="X37" s="179">
        <v>5.2630000000000003E-3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132</v>
      </c>
      <c r="X38" s="179">
        <v>5.2090000000000001E-3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115</v>
      </c>
      <c r="X39" s="179">
        <v>4.8979999999999996E-3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116</v>
      </c>
      <c r="X40" s="179">
        <v>3.614E-3</v>
      </c>
    </row>
    <row r="41" spans="2:24" ht="15" customHeight="1" thickBot="1" x14ac:dyDescent="0.3">
      <c r="W41" s="178" t="s">
        <v>84</v>
      </c>
      <c r="X41" s="179">
        <v>1.8580000000000001E-3</v>
      </c>
    </row>
    <row r="42" spans="2:24" ht="15" customHeight="1" x14ac:dyDescent="0.25">
      <c r="B42" s="268" t="s">
        <v>182</v>
      </c>
      <c r="C42" s="269"/>
      <c r="D42" s="269"/>
      <c r="E42" s="269"/>
      <c r="F42" s="269"/>
      <c r="G42" s="269"/>
      <c r="H42" s="269"/>
      <c r="I42" s="269"/>
      <c r="J42" s="269"/>
      <c r="K42" s="269"/>
      <c r="L42" s="269"/>
      <c r="M42" s="269"/>
      <c r="N42" s="269"/>
      <c r="O42" s="269"/>
      <c r="P42" s="269"/>
      <c r="Q42" s="269"/>
      <c r="R42" s="270"/>
      <c r="W42" s="178"/>
      <c r="X42" s="179"/>
    </row>
    <row r="43" spans="2:24" ht="15" customHeight="1" x14ac:dyDescent="0.25">
      <c r="B43" s="271"/>
      <c r="C43" s="272"/>
      <c r="D43" s="272"/>
      <c r="E43" s="272"/>
      <c r="F43" s="272"/>
      <c r="G43" s="272"/>
      <c r="H43" s="272"/>
      <c r="I43" s="272"/>
      <c r="J43" s="272"/>
      <c r="K43" s="272"/>
      <c r="L43" s="272"/>
      <c r="M43" s="272"/>
      <c r="N43" s="272"/>
      <c r="O43" s="272"/>
      <c r="P43" s="272"/>
      <c r="Q43" s="272"/>
      <c r="R43" s="273"/>
      <c r="W43" s="178"/>
      <c r="X43" s="179"/>
    </row>
    <row r="44" spans="2:24" ht="15" customHeight="1" x14ac:dyDescent="0.25">
      <c r="B44" s="271"/>
      <c r="C44" s="272"/>
      <c r="D44" s="272"/>
      <c r="E44" s="272"/>
      <c r="F44" s="272"/>
      <c r="G44" s="272"/>
      <c r="H44" s="272"/>
      <c r="I44" s="272"/>
      <c r="J44" s="272"/>
      <c r="K44" s="272"/>
      <c r="L44" s="272"/>
      <c r="M44" s="272"/>
      <c r="N44" s="272"/>
      <c r="O44" s="272"/>
      <c r="P44" s="272"/>
      <c r="Q44" s="272"/>
      <c r="R44" s="273"/>
      <c r="W44" s="178"/>
      <c r="X44" s="179"/>
    </row>
    <row r="45" spans="2:24" ht="15" customHeight="1" x14ac:dyDescent="0.25">
      <c r="B45" s="271"/>
      <c r="C45" s="272"/>
      <c r="D45" s="272"/>
      <c r="E45" s="272"/>
      <c r="F45" s="272"/>
      <c r="G45" s="272"/>
      <c r="H45" s="272"/>
      <c r="I45" s="272"/>
      <c r="J45" s="272"/>
      <c r="K45" s="272"/>
      <c r="L45" s="272"/>
      <c r="M45" s="272"/>
      <c r="N45" s="272"/>
      <c r="O45" s="272"/>
      <c r="P45" s="272"/>
      <c r="Q45" s="272"/>
      <c r="R45" s="273"/>
    </row>
    <row r="46" spans="2:24" ht="15" customHeight="1" x14ac:dyDescent="0.25">
      <c r="B46" s="271"/>
      <c r="C46" s="272"/>
      <c r="D46" s="272"/>
      <c r="E46" s="272"/>
      <c r="F46" s="272"/>
      <c r="G46" s="272"/>
      <c r="H46" s="272"/>
      <c r="I46" s="272"/>
      <c r="J46" s="272"/>
      <c r="K46" s="272"/>
      <c r="L46" s="272"/>
      <c r="M46" s="272"/>
      <c r="N46" s="272"/>
      <c r="O46" s="272"/>
      <c r="P46" s="272"/>
      <c r="Q46" s="272"/>
      <c r="R46" s="273"/>
    </row>
    <row r="47" spans="2:24" ht="15" customHeight="1" x14ac:dyDescent="0.25">
      <c r="B47" s="271"/>
      <c r="C47" s="272"/>
      <c r="D47" s="272"/>
      <c r="E47" s="272"/>
      <c r="F47" s="272"/>
      <c r="G47" s="272"/>
      <c r="H47" s="272"/>
      <c r="I47" s="272"/>
      <c r="J47" s="272"/>
      <c r="K47" s="272"/>
      <c r="L47" s="272"/>
      <c r="M47" s="272"/>
      <c r="N47" s="272"/>
      <c r="O47" s="272"/>
      <c r="P47" s="272"/>
      <c r="Q47" s="272"/>
      <c r="R47" s="273"/>
    </row>
    <row r="48" spans="2:24" ht="15" customHeight="1" thickBot="1" x14ac:dyDescent="0.3">
      <c r="B48" s="274"/>
      <c r="C48" s="275"/>
      <c r="D48" s="275"/>
      <c r="E48" s="275"/>
      <c r="F48" s="275"/>
      <c r="G48" s="275"/>
      <c r="H48" s="275"/>
      <c r="I48" s="275"/>
      <c r="J48" s="275"/>
      <c r="K48" s="275"/>
      <c r="L48" s="275"/>
      <c r="M48" s="275"/>
      <c r="N48" s="275"/>
      <c r="O48" s="275"/>
      <c r="P48" s="275"/>
      <c r="Q48" s="275"/>
      <c r="R48" s="27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153</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394</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138</v>
      </c>
      <c r="D8" s="194" t="s">
        <v>26</v>
      </c>
      <c r="E8" s="195">
        <v>6.7751000000000006E-2</v>
      </c>
      <c r="F8" s="29"/>
      <c r="G8" s="29"/>
      <c r="H8" s="29"/>
      <c r="I8" s="29"/>
      <c r="J8" s="29"/>
      <c r="K8" s="29"/>
      <c r="L8" s="29"/>
      <c r="M8" s="29"/>
      <c r="N8" s="29"/>
      <c r="O8" s="29"/>
      <c r="P8" s="29"/>
      <c r="Q8" s="29"/>
      <c r="R8" s="29"/>
      <c r="S8" s="29"/>
      <c r="T8" s="29"/>
      <c r="U8" s="25"/>
      <c r="W8" s="61" t="s">
        <v>112</v>
      </c>
      <c r="X8" s="62">
        <v>0.17110999999999998</v>
      </c>
    </row>
    <row r="9" spans="1:24" ht="15.75" x14ac:dyDescent="0.25">
      <c r="B9" s="64"/>
      <c r="C9" s="188" t="s">
        <v>70</v>
      </c>
      <c r="D9" s="196" t="s">
        <v>12</v>
      </c>
      <c r="E9" s="197">
        <v>5.7827999999999997E-2</v>
      </c>
      <c r="F9" s="29"/>
      <c r="G9" s="29"/>
      <c r="H9" s="29"/>
      <c r="I9" s="29"/>
      <c r="J9" s="29"/>
      <c r="K9" s="29"/>
      <c r="L9" s="29"/>
      <c r="M9" s="29"/>
      <c r="N9" s="29"/>
      <c r="O9" s="29"/>
      <c r="P9" s="29"/>
      <c r="Q9" s="29"/>
      <c r="R9" s="29"/>
      <c r="S9" s="29"/>
      <c r="T9" s="29"/>
      <c r="U9" s="25"/>
      <c r="W9" s="61" t="s">
        <v>10</v>
      </c>
      <c r="X9" s="62">
        <v>9.5879999999999993E-2</v>
      </c>
    </row>
    <row r="10" spans="1:24" ht="15.75" x14ac:dyDescent="0.25">
      <c r="B10" s="64"/>
      <c r="C10" s="188" t="s">
        <v>62</v>
      </c>
      <c r="D10" s="196" t="s">
        <v>10</v>
      </c>
      <c r="E10" s="197">
        <v>5.7391999999999999E-2</v>
      </c>
      <c r="F10" s="29"/>
      <c r="G10" s="29"/>
      <c r="H10" s="29"/>
      <c r="I10" s="29"/>
      <c r="J10" s="29"/>
      <c r="K10" s="29"/>
      <c r="L10" s="29"/>
      <c r="M10" s="29"/>
      <c r="N10" s="29"/>
      <c r="O10" s="29"/>
      <c r="P10" s="29"/>
      <c r="Q10" s="29"/>
      <c r="R10" s="29"/>
      <c r="S10" s="29"/>
      <c r="T10" s="29"/>
      <c r="U10" s="25"/>
      <c r="W10" s="61" t="s">
        <v>119</v>
      </c>
      <c r="X10" s="62">
        <v>8.9956000000000008E-2</v>
      </c>
    </row>
    <row r="11" spans="1:24" ht="15.75" x14ac:dyDescent="0.25">
      <c r="B11" s="64"/>
      <c r="C11" s="188" t="s">
        <v>143</v>
      </c>
      <c r="D11" s="196" t="s">
        <v>112</v>
      </c>
      <c r="E11" s="197">
        <v>5.1665999999999997E-2</v>
      </c>
      <c r="F11" s="29"/>
      <c r="G11" s="29"/>
      <c r="H11" s="29"/>
      <c r="I11" s="29"/>
      <c r="J11" s="29"/>
      <c r="K11" s="29"/>
      <c r="L11" s="29"/>
      <c r="M11" s="29"/>
      <c r="N11" s="29"/>
      <c r="O11" s="29"/>
      <c r="P11" s="29"/>
      <c r="Q11" s="29"/>
      <c r="R11" s="29"/>
      <c r="S11" s="29"/>
      <c r="T11" s="29"/>
      <c r="U11" s="25"/>
      <c r="W11" s="61" t="s">
        <v>87</v>
      </c>
      <c r="X11" s="62">
        <v>8.6792000000000008E-2</v>
      </c>
    </row>
    <row r="12" spans="1:24" ht="15.75" x14ac:dyDescent="0.25">
      <c r="B12" s="64"/>
      <c r="C12" s="188" t="s">
        <v>258</v>
      </c>
      <c r="D12" s="196" t="s">
        <v>130</v>
      </c>
      <c r="E12" s="197">
        <v>4.7944000000000001E-2</v>
      </c>
      <c r="F12" s="29"/>
      <c r="G12" s="29"/>
      <c r="H12" s="29"/>
      <c r="I12" s="29"/>
      <c r="J12" s="29"/>
      <c r="K12" s="29"/>
      <c r="L12" s="29"/>
      <c r="M12" s="29"/>
      <c r="N12" s="29"/>
      <c r="O12" s="29"/>
      <c r="P12" s="29"/>
      <c r="Q12" s="29"/>
      <c r="R12" s="29"/>
      <c r="S12" s="29"/>
      <c r="T12" s="29"/>
      <c r="U12" s="25"/>
      <c r="W12" s="61" t="s">
        <v>4</v>
      </c>
      <c r="X12" s="62">
        <v>7.868E-2</v>
      </c>
    </row>
    <row r="13" spans="1:24" ht="15.75" x14ac:dyDescent="0.25">
      <c r="B13" s="64"/>
      <c r="C13" s="188" t="s">
        <v>120</v>
      </c>
      <c r="D13" s="196" t="s">
        <v>112</v>
      </c>
      <c r="E13" s="197">
        <v>4.7586999999999997E-2</v>
      </c>
      <c r="F13" s="29"/>
      <c r="G13" s="29"/>
      <c r="H13" s="29"/>
      <c r="I13" s="29"/>
      <c r="J13" s="29"/>
      <c r="K13" s="29"/>
      <c r="L13" s="29"/>
      <c r="M13" s="29"/>
      <c r="N13" s="29"/>
      <c r="O13" s="29"/>
      <c r="P13" s="29"/>
      <c r="Q13" s="29"/>
      <c r="R13" s="29"/>
      <c r="S13" s="29"/>
      <c r="T13" s="29"/>
      <c r="U13" s="25"/>
      <c r="W13" s="61" t="s">
        <v>12</v>
      </c>
      <c r="X13" s="62">
        <v>7.3698E-2</v>
      </c>
    </row>
    <row r="14" spans="1:24" ht="15.75" x14ac:dyDescent="0.25">
      <c r="B14" s="64"/>
      <c r="C14" s="188" t="s">
        <v>129</v>
      </c>
      <c r="D14" s="196" t="s">
        <v>87</v>
      </c>
      <c r="E14" s="197">
        <v>4.6676000000000002E-2</v>
      </c>
      <c r="F14" s="29"/>
      <c r="G14" s="29"/>
      <c r="H14" s="29"/>
      <c r="I14" s="29"/>
      <c r="J14" s="29"/>
      <c r="K14" s="29"/>
      <c r="L14" s="29"/>
      <c r="M14" s="29"/>
      <c r="N14" s="29"/>
      <c r="O14" s="29"/>
      <c r="P14" s="29"/>
      <c r="Q14" s="29"/>
      <c r="R14" s="29"/>
      <c r="S14" s="29"/>
      <c r="T14" s="29"/>
      <c r="U14" s="25"/>
      <c r="W14" s="61" t="s">
        <v>26</v>
      </c>
      <c r="X14" s="62">
        <v>6.7751000000000006E-2</v>
      </c>
    </row>
    <row r="15" spans="1:24" ht="15.75" x14ac:dyDescent="0.25">
      <c r="B15" s="64"/>
      <c r="C15" s="188" t="s">
        <v>246</v>
      </c>
      <c r="D15" s="196" t="s">
        <v>119</v>
      </c>
      <c r="E15" s="197">
        <v>4.6366999999999998E-2</v>
      </c>
      <c r="F15" s="29"/>
      <c r="G15" s="29"/>
      <c r="H15" s="29"/>
      <c r="I15" s="29"/>
      <c r="J15" s="29"/>
      <c r="K15" s="29"/>
      <c r="L15" s="29"/>
      <c r="M15" s="29"/>
      <c r="N15" s="29"/>
      <c r="O15" s="29"/>
      <c r="P15" s="29"/>
      <c r="Q15" s="29"/>
      <c r="R15" s="29"/>
      <c r="S15" s="29"/>
      <c r="T15" s="29"/>
      <c r="U15" s="25"/>
      <c r="W15" s="61" t="s">
        <v>110</v>
      </c>
      <c r="X15" s="62">
        <v>5.6027E-2</v>
      </c>
    </row>
    <row r="16" spans="1:24" ht="15.75" x14ac:dyDescent="0.25">
      <c r="B16" s="64"/>
      <c r="C16" s="188" t="s">
        <v>204</v>
      </c>
      <c r="D16" s="196" t="s">
        <v>131</v>
      </c>
      <c r="E16" s="197">
        <v>4.5065000000000001E-2</v>
      </c>
      <c r="F16" s="29"/>
      <c r="G16" s="29"/>
      <c r="H16" s="29"/>
      <c r="I16" s="29"/>
      <c r="J16" s="29"/>
      <c r="K16" s="29"/>
      <c r="L16" s="29"/>
      <c r="M16" s="29"/>
      <c r="N16" s="29"/>
      <c r="O16" s="29"/>
      <c r="P16" s="29"/>
      <c r="Q16" s="29"/>
      <c r="R16" s="29"/>
      <c r="S16" s="29"/>
      <c r="T16" s="29"/>
      <c r="U16" s="25"/>
      <c r="W16" s="61" t="s">
        <v>130</v>
      </c>
      <c r="X16" s="62">
        <v>4.7944000000000001E-2</v>
      </c>
    </row>
    <row r="17" spans="2:24" ht="15.75" x14ac:dyDescent="0.25">
      <c r="B17" s="64"/>
      <c r="C17" s="188" t="s">
        <v>80</v>
      </c>
      <c r="D17" s="196" t="s">
        <v>112</v>
      </c>
      <c r="E17" s="197">
        <v>4.4313999999999999E-2</v>
      </c>
      <c r="F17" s="29"/>
      <c r="G17" s="29"/>
      <c r="H17" s="29"/>
      <c r="I17" s="29"/>
      <c r="J17" s="29"/>
      <c r="K17" s="29"/>
      <c r="L17" s="29"/>
      <c r="M17" s="29"/>
      <c r="N17" s="29"/>
      <c r="O17" s="29"/>
      <c r="P17" s="29"/>
      <c r="Q17" s="29"/>
      <c r="R17" s="29"/>
      <c r="S17" s="29"/>
      <c r="T17" s="29"/>
      <c r="U17" s="25"/>
      <c r="W17" s="61" t="s">
        <v>131</v>
      </c>
      <c r="X17" s="62">
        <v>4.5065000000000001E-2</v>
      </c>
    </row>
    <row r="18" spans="2:24" ht="15.75" x14ac:dyDescent="0.25">
      <c r="B18" s="64"/>
      <c r="C18" s="188" t="s">
        <v>69</v>
      </c>
      <c r="D18" s="196" t="s">
        <v>4</v>
      </c>
      <c r="E18" s="197">
        <v>4.1293000000000003E-2</v>
      </c>
      <c r="F18" s="29"/>
      <c r="G18" s="29"/>
      <c r="H18" s="29"/>
      <c r="I18" s="29"/>
      <c r="J18" s="29"/>
      <c r="K18" s="29"/>
      <c r="L18" s="29"/>
      <c r="M18" s="29"/>
      <c r="N18" s="29"/>
      <c r="O18" s="29"/>
      <c r="P18" s="29"/>
      <c r="Q18" s="29"/>
      <c r="R18" s="29"/>
      <c r="S18" s="29"/>
      <c r="T18" s="29"/>
      <c r="U18" s="25"/>
      <c r="W18" s="61" t="s">
        <v>111</v>
      </c>
      <c r="X18" s="62">
        <v>3.7388000000000005E-2</v>
      </c>
    </row>
    <row r="19" spans="2:24" ht="15.75" x14ac:dyDescent="0.25">
      <c r="B19" s="64"/>
      <c r="C19" s="188" t="s">
        <v>149</v>
      </c>
      <c r="D19" s="196" t="s">
        <v>87</v>
      </c>
      <c r="E19" s="197">
        <v>4.0115999999999999E-2</v>
      </c>
      <c r="F19" s="29"/>
      <c r="G19" s="29"/>
      <c r="H19" s="29"/>
      <c r="I19" s="29"/>
      <c r="J19" s="29"/>
      <c r="K19" s="29"/>
      <c r="L19" s="29"/>
      <c r="M19" s="29"/>
      <c r="N19" s="29"/>
      <c r="O19" s="29"/>
      <c r="P19" s="29"/>
      <c r="Q19" s="29"/>
      <c r="R19" s="29"/>
      <c r="S19" s="29"/>
      <c r="T19" s="29"/>
      <c r="U19" s="25"/>
      <c r="W19" s="61" t="s">
        <v>24</v>
      </c>
      <c r="X19" s="62">
        <v>3.4037999999999999E-2</v>
      </c>
    </row>
    <row r="20" spans="2:24" ht="15.75" x14ac:dyDescent="0.25">
      <c r="B20" s="64"/>
      <c r="C20" s="188" t="s">
        <v>276</v>
      </c>
      <c r="D20" s="196" t="s">
        <v>10</v>
      </c>
      <c r="E20" s="197">
        <v>3.8488000000000001E-2</v>
      </c>
      <c r="F20" s="29"/>
      <c r="G20" s="29"/>
      <c r="H20" s="29"/>
      <c r="I20" s="29"/>
      <c r="J20" s="29"/>
      <c r="K20" s="29"/>
      <c r="L20" s="29"/>
      <c r="M20" s="29"/>
      <c r="N20" s="29"/>
      <c r="O20" s="29"/>
      <c r="P20" s="29"/>
      <c r="Q20" s="29"/>
      <c r="R20" s="29"/>
      <c r="S20" s="29"/>
      <c r="T20" s="29"/>
      <c r="U20" s="25"/>
      <c r="W20" s="61" t="s">
        <v>16</v>
      </c>
      <c r="X20" s="62">
        <v>3.3204999999999998E-2</v>
      </c>
    </row>
    <row r="21" spans="2:24" ht="15.75" x14ac:dyDescent="0.25">
      <c r="B21" s="64"/>
      <c r="C21" s="188" t="s">
        <v>76</v>
      </c>
      <c r="D21" s="196" t="s">
        <v>4</v>
      </c>
      <c r="E21" s="197">
        <v>3.7386999999999997E-2</v>
      </c>
      <c r="F21" s="29"/>
      <c r="G21" s="29"/>
      <c r="H21" s="29"/>
      <c r="I21" s="29"/>
      <c r="J21" s="29"/>
      <c r="K21" s="29"/>
      <c r="L21" s="29"/>
      <c r="M21" s="29"/>
      <c r="N21" s="29"/>
      <c r="O21" s="29"/>
      <c r="P21" s="29"/>
      <c r="Q21" s="29"/>
      <c r="R21" s="29"/>
      <c r="S21" s="29"/>
      <c r="T21" s="29"/>
      <c r="U21" s="25"/>
      <c r="W21" s="61" t="s">
        <v>133</v>
      </c>
      <c r="X21" s="62">
        <v>3.2998E-2</v>
      </c>
    </row>
    <row r="22" spans="2:24" ht="15.75" x14ac:dyDescent="0.25">
      <c r="B22" s="64"/>
      <c r="C22" s="188" t="s">
        <v>139</v>
      </c>
      <c r="D22" s="196" t="s">
        <v>24</v>
      </c>
      <c r="E22" s="197">
        <v>3.4037999999999999E-2</v>
      </c>
      <c r="F22" s="29"/>
      <c r="G22" s="29"/>
      <c r="H22" s="29"/>
      <c r="I22" s="29"/>
      <c r="J22" s="29"/>
      <c r="K22" s="29"/>
      <c r="L22" s="29"/>
      <c r="M22" s="29"/>
      <c r="N22" s="29"/>
      <c r="O22" s="29"/>
      <c r="P22" s="29"/>
      <c r="Q22" s="29"/>
      <c r="R22" s="29"/>
      <c r="S22" s="29"/>
      <c r="T22" s="29"/>
      <c r="U22" s="25"/>
      <c r="W22" s="61" t="s">
        <v>3</v>
      </c>
      <c r="X22" s="62">
        <v>1.6583000000000001E-2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107</v>
      </c>
      <c r="X23" s="62">
        <v>1.231E-2</v>
      </c>
    </row>
    <row r="24" spans="2:24" ht="15.75" x14ac:dyDescent="0.25">
      <c r="B24" s="64"/>
      <c r="C24" s="73" t="s">
        <v>55</v>
      </c>
      <c r="D24" s="74"/>
      <c r="E24" s="75">
        <f>SUM(E8:E22)</f>
        <v>0.70391199999999998</v>
      </c>
      <c r="F24" s="29"/>
      <c r="G24" s="29"/>
      <c r="H24" s="29"/>
      <c r="I24" s="29"/>
      <c r="J24" s="29"/>
      <c r="K24" s="29"/>
      <c r="L24" s="29"/>
      <c r="M24" s="29"/>
      <c r="N24" s="29"/>
      <c r="O24" s="29"/>
      <c r="P24" s="29"/>
      <c r="Q24" s="29"/>
      <c r="R24" s="29"/>
      <c r="S24" s="29"/>
      <c r="T24" s="29"/>
      <c r="U24" s="25"/>
      <c r="W24" s="61" t="s">
        <v>146</v>
      </c>
      <c r="X24" s="62">
        <v>1.1741E-2</v>
      </c>
    </row>
    <row r="25" spans="2:24" x14ac:dyDescent="0.25">
      <c r="B25" s="64"/>
      <c r="C25" s="29"/>
      <c r="D25" s="29"/>
      <c r="E25" s="29"/>
      <c r="F25" s="29"/>
      <c r="G25" s="29"/>
      <c r="H25" s="29"/>
      <c r="I25" s="29"/>
      <c r="J25" s="29"/>
      <c r="K25" s="29"/>
      <c r="L25" s="29"/>
      <c r="M25" s="29"/>
      <c r="N25" s="29"/>
      <c r="O25" s="29"/>
      <c r="P25" s="29"/>
      <c r="Q25" s="29"/>
      <c r="R25" s="29"/>
      <c r="S25" s="29"/>
      <c r="T25" s="29"/>
      <c r="U25" s="25"/>
      <c r="W25" s="61" t="s">
        <v>113</v>
      </c>
      <c r="X25" s="62">
        <v>8.4779999999999994E-3</v>
      </c>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row>
    <row r="44" spans="2:24" x14ac:dyDescent="0.25">
      <c r="B44" s="271"/>
      <c r="C44" s="272"/>
      <c r="D44" s="272"/>
      <c r="E44" s="272"/>
      <c r="F44" s="272"/>
      <c r="G44" s="272"/>
      <c r="H44" s="272"/>
      <c r="I44" s="272"/>
      <c r="J44" s="272"/>
      <c r="K44" s="272"/>
      <c r="L44" s="272"/>
      <c r="M44" s="272"/>
      <c r="N44" s="272"/>
      <c r="O44" s="272"/>
      <c r="P44" s="272"/>
      <c r="Q44" s="272"/>
      <c r="R44" s="273"/>
    </row>
    <row r="45" spans="2:24" ht="15.75" thickBot="1" x14ac:dyDescent="0.3">
      <c r="B45" s="274"/>
      <c r="C45" s="275"/>
      <c r="D45" s="275"/>
      <c r="E45" s="275"/>
      <c r="F45" s="275"/>
      <c r="G45" s="275"/>
      <c r="H45" s="275"/>
      <c r="I45" s="275"/>
      <c r="J45" s="275"/>
      <c r="K45" s="275"/>
      <c r="L45" s="275"/>
      <c r="M45" s="275"/>
      <c r="N45" s="275"/>
      <c r="O45" s="275"/>
      <c r="P45" s="275"/>
      <c r="Q45" s="275"/>
      <c r="R45" s="276"/>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152</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395</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30" x14ac:dyDescent="0.25">
      <c r="B8" s="64"/>
      <c r="C8" s="193" t="s">
        <v>268</v>
      </c>
      <c r="D8" s="194" t="s">
        <v>111</v>
      </c>
      <c r="E8" s="195">
        <v>4.1980999999999997E-2</v>
      </c>
      <c r="F8" s="29"/>
      <c r="G8" s="29"/>
      <c r="H8" s="29"/>
      <c r="I8" s="29"/>
      <c r="J8" s="29"/>
      <c r="K8" s="29"/>
      <c r="L8" s="29"/>
      <c r="M8" s="29"/>
      <c r="N8" s="29"/>
      <c r="O8" s="29"/>
      <c r="P8" s="29"/>
      <c r="Q8" s="29"/>
      <c r="R8" s="29"/>
      <c r="S8" s="29"/>
      <c r="T8" s="29"/>
      <c r="U8" s="25"/>
      <c r="W8" s="180" t="s">
        <v>111</v>
      </c>
      <c r="X8" s="179">
        <v>0.13996</v>
      </c>
    </row>
    <row r="9" spans="1:24" ht="15.75" x14ac:dyDescent="0.25">
      <c r="B9" s="64"/>
      <c r="C9" s="188" t="s">
        <v>88</v>
      </c>
      <c r="D9" s="196" t="s">
        <v>108</v>
      </c>
      <c r="E9" s="197">
        <v>3.9962999999999999E-2</v>
      </c>
      <c r="F9" s="29"/>
      <c r="G9" s="29"/>
      <c r="H9" s="29"/>
      <c r="I9" s="29"/>
      <c r="J9" s="29"/>
      <c r="K9" s="29"/>
      <c r="L9" s="29"/>
      <c r="M9" s="29"/>
      <c r="N9" s="29"/>
      <c r="O9" s="29"/>
      <c r="P9" s="29"/>
      <c r="Q9" s="29"/>
      <c r="R9" s="29"/>
      <c r="S9" s="29"/>
      <c r="T9" s="29"/>
      <c r="U9" s="25"/>
      <c r="W9" s="180" t="s">
        <v>107</v>
      </c>
      <c r="X9" s="179">
        <v>0.133164</v>
      </c>
    </row>
    <row r="10" spans="1:24" ht="15.75" x14ac:dyDescent="0.25">
      <c r="B10" s="64"/>
      <c r="C10" s="188" t="s">
        <v>30</v>
      </c>
      <c r="D10" s="196" t="s">
        <v>117</v>
      </c>
      <c r="E10" s="197">
        <v>3.9808000000000003E-2</v>
      </c>
      <c r="F10" s="29"/>
      <c r="G10" s="29"/>
      <c r="H10" s="29"/>
      <c r="I10" s="29"/>
      <c r="J10" s="29"/>
      <c r="K10" s="29"/>
      <c r="L10" s="29"/>
      <c r="M10" s="29"/>
      <c r="N10" s="29"/>
      <c r="O10" s="29"/>
      <c r="P10" s="29"/>
      <c r="Q10" s="29"/>
      <c r="R10" s="29"/>
      <c r="S10" s="29"/>
      <c r="T10" s="29"/>
      <c r="U10" s="25"/>
      <c r="W10" s="180" t="s">
        <v>3</v>
      </c>
      <c r="X10" s="179">
        <v>0.10616599999999998</v>
      </c>
    </row>
    <row r="11" spans="1:24" ht="15.75" x14ac:dyDescent="0.25">
      <c r="B11" s="64"/>
      <c r="C11" s="188" t="s">
        <v>248</v>
      </c>
      <c r="D11" s="196" t="s">
        <v>16</v>
      </c>
      <c r="E11" s="197">
        <v>3.9271E-2</v>
      </c>
      <c r="F11" s="29"/>
      <c r="G11" s="29"/>
      <c r="H11" s="29"/>
      <c r="I11" s="29"/>
      <c r="J11" s="29"/>
      <c r="K11" s="29"/>
      <c r="L11" s="29"/>
      <c r="M11" s="29"/>
      <c r="N11" s="29"/>
      <c r="O11" s="29"/>
      <c r="P11" s="29"/>
      <c r="Q11" s="29"/>
      <c r="R11" s="29"/>
      <c r="S11" s="29"/>
      <c r="T11" s="29"/>
      <c r="U11" s="25"/>
      <c r="W11" s="180" t="s">
        <v>112</v>
      </c>
      <c r="X11" s="179">
        <v>8.3716999999999986E-2</v>
      </c>
    </row>
    <row r="12" spans="1:24" ht="15.75" x14ac:dyDescent="0.25">
      <c r="B12" s="64"/>
      <c r="C12" s="188" t="s">
        <v>32</v>
      </c>
      <c r="D12" s="196" t="s">
        <v>3</v>
      </c>
      <c r="E12" s="197">
        <v>3.9126000000000001E-2</v>
      </c>
      <c r="F12" s="29"/>
      <c r="G12" s="29"/>
      <c r="H12" s="29"/>
      <c r="I12" s="29"/>
      <c r="J12" s="29"/>
      <c r="K12" s="29"/>
      <c r="L12" s="29"/>
      <c r="M12" s="29"/>
      <c r="N12" s="29"/>
      <c r="O12" s="29"/>
      <c r="P12" s="29"/>
      <c r="Q12" s="29"/>
      <c r="R12" s="29"/>
      <c r="S12" s="29"/>
      <c r="T12" s="29"/>
      <c r="U12" s="25"/>
      <c r="W12" s="180" t="s">
        <v>117</v>
      </c>
      <c r="X12" s="179">
        <v>7.8477000000000005E-2</v>
      </c>
    </row>
    <row r="13" spans="1:24" ht="15.75" x14ac:dyDescent="0.25">
      <c r="B13" s="64"/>
      <c r="C13" s="188" t="s">
        <v>37</v>
      </c>
      <c r="D13" s="196" t="s">
        <v>117</v>
      </c>
      <c r="E13" s="197">
        <v>3.8669000000000002E-2</v>
      </c>
      <c r="F13" s="29"/>
      <c r="G13" s="29"/>
      <c r="H13" s="29"/>
      <c r="I13" s="29"/>
      <c r="J13" s="29"/>
      <c r="K13" s="29"/>
      <c r="L13" s="29"/>
      <c r="M13" s="29"/>
      <c r="N13" s="29"/>
      <c r="O13" s="29"/>
      <c r="P13" s="29"/>
      <c r="Q13" s="29"/>
      <c r="R13" s="29"/>
      <c r="S13" s="29"/>
      <c r="T13" s="29"/>
      <c r="U13" s="25"/>
      <c r="W13" s="180" t="s">
        <v>108</v>
      </c>
      <c r="X13" s="179">
        <v>7.4129E-2</v>
      </c>
    </row>
    <row r="14" spans="1:24" ht="30" x14ac:dyDescent="0.25">
      <c r="B14" s="64"/>
      <c r="C14" s="188" t="s">
        <v>142</v>
      </c>
      <c r="D14" s="196" t="s">
        <v>111</v>
      </c>
      <c r="E14" s="197">
        <v>3.6880999999999997E-2</v>
      </c>
      <c r="F14" s="29"/>
      <c r="G14" s="29"/>
      <c r="H14" s="29"/>
      <c r="I14" s="29"/>
      <c r="J14" s="29"/>
      <c r="K14" s="29"/>
      <c r="L14" s="29"/>
      <c r="M14" s="29"/>
      <c r="N14" s="29"/>
      <c r="O14" s="29"/>
      <c r="P14" s="29"/>
      <c r="Q14" s="29"/>
      <c r="R14" s="29"/>
      <c r="S14" s="29"/>
      <c r="T14" s="29"/>
      <c r="U14" s="25"/>
      <c r="W14" s="180" t="s">
        <v>16</v>
      </c>
      <c r="X14" s="179">
        <v>7.0061999999999999E-2</v>
      </c>
    </row>
    <row r="15" spans="1:24" ht="15.75" x14ac:dyDescent="0.25">
      <c r="B15" s="64"/>
      <c r="C15" s="188" t="s">
        <v>33</v>
      </c>
      <c r="D15" s="196" t="s">
        <v>107</v>
      </c>
      <c r="E15" s="197">
        <v>3.5846000000000003E-2</v>
      </c>
      <c r="F15" s="29"/>
      <c r="G15" s="29"/>
      <c r="H15" s="29"/>
      <c r="I15" s="29"/>
      <c r="J15" s="29"/>
      <c r="K15" s="29"/>
      <c r="L15" s="29"/>
      <c r="M15" s="29"/>
      <c r="N15" s="29"/>
      <c r="O15" s="29"/>
      <c r="P15" s="29"/>
      <c r="Q15" s="29"/>
      <c r="R15" s="29"/>
      <c r="S15" s="29"/>
      <c r="T15" s="29"/>
      <c r="U15" s="25"/>
      <c r="W15" s="180" t="s">
        <v>77</v>
      </c>
      <c r="X15" s="179">
        <v>3.5005000000000001E-2</v>
      </c>
    </row>
    <row r="16" spans="1:24" ht="15.75" x14ac:dyDescent="0.25">
      <c r="B16" s="64"/>
      <c r="C16" s="188" t="s">
        <v>29</v>
      </c>
      <c r="D16" s="196" t="s">
        <v>3</v>
      </c>
      <c r="E16" s="197">
        <v>3.5272999999999999E-2</v>
      </c>
      <c r="F16" s="29"/>
      <c r="G16" s="29"/>
      <c r="H16" s="29"/>
      <c r="I16" s="29"/>
      <c r="J16" s="29"/>
      <c r="K16" s="29"/>
      <c r="L16" s="29"/>
      <c r="M16" s="29"/>
      <c r="N16" s="29"/>
      <c r="O16" s="29"/>
      <c r="P16" s="29"/>
      <c r="Q16" s="29"/>
      <c r="R16" s="29"/>
      <c r="S16" s="29"/>
      <c r="T16" s="29"/>
      <c r="U16" s="25"/>
      <c r="W16" s="180" t="s">
        <v>12</v>
      </c>
      <c r="X16" s="179">
        <v>3.3584999999999997E-2</v>
      </c>
    </row>
    <row r="17" spans="2:24" ht="15.75" x14ac:dyDescent="0.25">
      <c r="B17" s="64"/>
      <c r="C17" s="188" t="s">
        <v>323</v>
      </c>
      <c r="D17" s="196" t="s">
        <v>77</v>
      </c>
      <c r="E17" s="197">
        <v>3.5005000000000001E-2</v>
      </c>
      <c r="F17" s="29"/>
      <c r="G17" s="29"/>
      <c r="H17" s="29"/>
      <c r="I17" s="29"/>
      <c r="J17" s="29"/>
      <c r="K17" s="29"/>
      <c r="L17" s="29"/>
      <c r="M17" s="29"/>
      <c r="N17" s="29"/>
      <c r="O17" s="29"/>
      <c r="P17" s="29"/>
      <c r="Q17" s="29"/>
      <c r="R17" s="29"/>
      <c r="S17" s="29"/>
      <c r="T17" s="29"/>
      <c r="U17" s="25"/>
      <c r="W17" s="180" t="s">
        <v>6</v>
      </c>
      <c r="X17" s="179">
        <v>3.3487999999999997E-2</v>
      </c>
    </row>
    <row r="18" spans="2:24" ht="15.75" x14ac:dyDescent="0.25">
      <c r="B18" s="64"/>
      <c r="C18" s="188" t="s">
        <v>194</v>
      </c>
      <c r="D18" s="196" t="s">
        <v>107</v>
      </c>
      <c r="E18" s="197">
        <v>3.4608E-2</v>
      </c>
      <c r="F18" s="29"/>
      <c r="G18" s="29"/>
      <c r="H18" s="29"/>
      <c r="I18" s="29"/>
      <c r="J18" s="29"/>
      <c r="K18" s="29"/>
      <c r="L18" s="29"/>
      <c r="M18" s="29"/>
      <c r="N18" s="29"/>
      <c r="O18" s="29"/>
      <c r="P18" s="29"/>
      <c r="Q18" s="29"/>
      <c r="R18" s="29"/>
      <c r="S18" s="29"/>
      <c r="T18" s="29"/>
      <c r="U18" s="25"/>
      <c r="W18" s="180" t="s">
        <v>4</v>
      </c>
      <c r="X18" s="179">
        <v>3.3241E-2</v>
      </c>
    </row>
    <row r="19" spans="2:24" ht="15.75" x14ac:dyDescent="0.25">
      <c r="B19" s="64"/>
      <c r="C19" s="188" t="s">
        <v>314</v>
      </c>
      <c r="D19" s="196" t="s">
        <v>108</v>
      </c>
      <c r="E19" s="197">
        <v>3.4166000000000002E-2</v>
      </c>
      <c r="F19" s="29"/>
      <c r="G19" s="29"/>
      <c r="H19" s="29"/>
      <c r="I19" s="29"/>
      <c r="J19" s="29"/>
      <c r="K19" s="29"/>
      <c r="L19" s="29"/>
      <c r="M19" s="29"/>
      <c r="N19" s="29"/>
      <c r="O19" s="29"/>
      <c r="P19" s="29"/>
      <c r="Q19" s="29"/>
      <c r="R19" s="29"/>
      <c r="S19" s="29"/>
      <c r="T19" s="29"/>
      <c r="U19" s="25"/>
      <c r="W19" s="180" t="s">
        <v>121</v>
      </c>
      <c r="X19" s="179">
        <v>3.3218999999999999E-2</v>
      </c>
    </row>
    <row r="20" spans="2:24" ht="15.75" x14ac:dyDescent="0.25">
      <c r="B20" s="64"/>
      <c r="C20" s="188" t="s">
        <v>70</v>
      </c>
      <c r="D20" s="196" t="s">
        <v>12</v>
      </c>
      <c r="E20" s="197">
        <v>3.3584999999999997E-2</v>
      </c>
      <c r="F20" s="29"/>
      <c r="G20" s="29"/>
      <c r="H20" s="29"/>
      <c r="I20" s="29"/>
      <c r="J20" s="29"/>
      <c r="K20" s="29"/>
      <c r="L20" s="29"/>
      <c r="M20" s="29"/>
      <c r="N20" s="29"/>
      <c r="O20" s="29"/>
      <c r="P20" s="29"/>
      <c r="Q20" s="29"/>
      <c r="R20" s="29"/>
      <c r="S20" s="29"/>
      <c r="T20" s="29"/>
      <c r="U20" s="25"/>
      <c r="W20" s="180" t="s">
        <v>83</v>
      </c>
      <c r="X20" s="179">
        <v>3.2058000000000003E-2</v>
      </c>
    </row>
    <row r="21" spans="2:24" ht="15.75" x14ac:dyDescent="0.25">
      <c r="B21" s="64"/>
      <c r="C21" s="188" t="s">
        <v>31</v>
      </c>
      <c r="D21" s="196" t="s">
        <v>6</v>
      </c>
      <c r="E21" s="197">
        <v>3.3487999999999997E-2</v>
      </c>
      <c r="F21" s="29"/>
      <c r="G21" s="29"/>
      <c r="H21" s="29"/>
      <c r="I21" s="29"/>
      <c r="J21" s="29"/>
      <c r="K21" s="29"/>
      <c r="L21" s="29"/>
      <c r="M21" s="29"/>
      <c r="N21" s="29"/>
      <c r="O21" s="29"/>
      <c r="P21" s="29"/>
      <c r="Q21" s="29"/>
      <c r="R21" s="29"/>
      <c r="S21" s="29"/>
      <c r="T21" s="29"/>
      <c r="U21" s="25"/>
      <c r="W21" s="180" t="s">
        <v>116</v>
      </c>
      <c r="X21" s="179">
        <v>3.1708E-2</v>
      </c>
    </row>
    <row r="22" spans="2:24" ht="15.75" x14ac:dyDescent="0.25">
      <c r="B22" s="64"/>
      <c r="C22" s="188" t="s">
        <v>261</v>
      </c>
      <c r="D22" s="196" t="s">
        <v>4</v>
      </c>
      <c r="E22" s="197">
        <v>3.3241E-2</v>
      </c>
      <c r="F22" s="29"/>
      <c r="G22" s="29"/>
      <c r="H22" s="29"/>
      <c r="I22" s="29"/>
      <c r="J22" s="29"/>
      <c r="K22" s="29"/>
      <c r="L22" s="29"/>
      <c r="M22" s="29"/>
      <c r="N22" s="29"/>
      <c r="O22" s="29"/>
      <c r="P22" s="29"/>
      <c r="Q22" s="29"/>
      <c r="R22" s="29"/>
      <c r="S22" s="29"/>
      <c r="T22" s="29"/>
      <c r="U22" s="25"/>
      <c r="W22" s="61" t="s">
        <v>110</v>
      </c>
      <c r="X22" s="62">
        <v>3.1196000000000002E-2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86</v>
      </c>
      <c r="X23" s="62">
        <v>2.9589000000000001E-2</v>
      </c>
    </row>
    <row r="24" spans="2:24" ht="15.75" x14ac:dyDescent="0.25">
      <c r="B24" s="64"/>
      <c r="C24" s="73" t="s">
        <v>55</v>
      </c>
      <c r="D24" s="74"/>
      <c r="E24" s="75">
        <f>SUM(E8:E22)</f>
        <v>0.55091099999999993</v>
      </c>
      <c r="F24" s="29"/>
      <c r="G24" s="29"/>
      <c r="H24" s="29"/>
      <c r="I24" s="29"/>
      <c r="J24" s="29"/>
      <c r="K24" s="29"/>
      <c r="L24" s="29"/>
      <c r="M24" s="29"/>
      <c r="N24" s="29"/>
      <c r="O24" s="29"/>
      <c r="P24" s="29"/>
      <c r="Q24" s="29"/>
      <c r="R24" s="29"/>
      <c r="S24" s="29"/>
      <c r="T24" s="29"/>
      <c r="U24" s="25"/>
      <c r="W24" s="61" t="s">
        <v>23</v>
      </c>
      <c r="X24" s="62">
        <v>2.7661999999999999E-2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row>
    <row r="44" spans="2:24" x14ac:dyDescent="0.25">
      <c r="B44" s="271"/>
      <c r="C44" s="272"/>
      <c r="D44" s="272"/>
      <c r="E44" s="272"/>
      <c r="F44" s="272"/>
      <c r="G44" s="272"/>
      <c r="H44" s="272"/>
      <c r="I44" s="272"/>
      <c r="J44" s="272"/>
      <c r="K44" s="272"/>
      <c r="L44" s="272"/>
      <c r="M44" s="272"/>
      <c r="N44" s="272"/>
      <c r="O44" s="272"/>
      <c r="P44" s="272"/>
      <c r="Q44" s="272"/>
      <c r="R44" s="273"/>
    </row>
    <row r="45" spans="2:24" ht="15.75" thickBot="1" x14ac:dyDescent="0.3">
      <c r="B45" s="274"/>
      <c r="C45" s="275"/>
      <c r="D45" s="275"/>
      <c r="E45" s="275"/>
      <c r="F45" s="275"/>
      <c r="G45" s="275"/>
      <c r="H45" s="275"/>
      <c r="I45" s="275"/>
      <c r="J45" s="275"/>
      <c r="K45" s="275"/>
      <c r="L45" s="275"/>
      <c r="M45" s="275"/>
      <c r="N45" s="275"/>
      <c r="O45" s="275"/>
      <c r="P45" s="275"/>
      <c r="Q45" s="275"/>
      <c r="R45" s="276"/>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196</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396</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28</v>
      </c>
      <c r="D8" s="194" t="s">
        <v>107</v>
      </c>
      <c r="E8" s="195">
        <v>0.26348700000000003</v>
      </c>
      <c r="F8" s="29"/>
      <c r="G8" s="29"/>
      <c r="H8" s="29"/>
      <c r="I8" s="29"/>
      <c r="J8" s="29"/>
      <c r="K8" s="29"/>
      <c r="L8" s="29"/>
      <c r="M8" s="29"/>
      <c r="N8" s="29"/>
      <c r="O8" s="29"/>
      <c r="P8" s="29"/>
      <c r="Q8" s="29"/>
      <c r="R8" s="29"/>
      <c r="S8" s="29"/>
      <c r="T8" s="29"/>
      <c r="U8" s="25"/>
      <c r="W8" t="s">
        <v>107</v>
      </c>
      <c r="X8" s="179">
        <v>0.98215199999999991</v>
      </c>
    </row>
    <row r="9" spans="1:24" ht="15.75" x14ac:dyDescent="0.25">
      <c r="B9" s="64"/>
      <c r="C9" s="188" t="s">
        <v>33</v>
      </c>
      <c r="D9" s="196" t="s">
        <v>107</v>
      </c>
      <c r="E9" s="197">
        <v>0.23162099999999999</v>
      </c>
      <c r="F9" s="29"/>
      <c r="G9" s="29"/>
      <c r="H9" s="29"/>
      <c r="I9" s="29"/>
      <c r="J9" s="29"/>
      <c r="K9" s="29"/>
      <c r="L9" s="29"/>
      <c r="M9" s="29"/>
      <c r="N9" s="29"/>
      <c r="O9" s="29"/>
      <c r="P9" s="29"/>
      <c r="Q9" s="29"/>
      <c r="R9" s="29"/>
      <c r="S9" s="29"/>
      <c r="T9" s="29"/>
      <c r="U9" s="25"/>
      <c r="W9" t="s">
        <v>114</v>
      </c>
      <c r="X9" s="179">
        <v>1.3832000000000001E-2</v>
      </c>
    </row>
    <row r="10" spans="1:24" ht="15.75" x14ac:dyDescent="0.25">
      <c r="B10" s="64"/>
      <c r="C10" s="188" t="s">
        <v>194</v>
      </c>
      <c r="D10" s="196" t="s">
        <v>107</v>
      </c>
      <c r="E10" s="197">
        <v>0.106516</v>
      </c>
      <c r="F10" s="29"/>
      <c r="G10" s="29"/>
      <c r="H10" s="29"/>
      <c r="I10" s="29"/>
      <c r="J10" s="29"/>
      <c r="K10" s="29"/>
      <c r="L10" s="29"/>
      <c r="M10" s="29"/>
      <c r="N10" s="29"/>
      <c r="O10" s="29"/>
      <c r="P10" s="29"/>
      <c r="Q10" s="29"/>
      <c r="R10" s="29"/>
      <c r="S10" s="29"/>
      <c r="T10" s="29"/>
      <c r="U10" s="25"/>
      <c r="W10" s="180"/>
      <c r="X10" s="179"/>
    </row>
    <row r="11" spans="1:24" ht="15.75" x14ac:dyDescent="0.25">
      <c r="B11" s="64"/>
      <c r="C11" s="188" t="s">
        <v>193</v>
      </c>
      <c r="D11" s="196" t="s">
        <v>107</v>
      </c>
      <c r="E11" s="197">
        <v>0.104147</v>
      </c>
      <c r="F11" s="29"/>
      <c r="G11" s="29"/>
      <c r="H11" s="29"/>
      <c r="I11" s="29"/>
      <c r="J11" s="29"/>
      <c r="K11" s="29"/>
      <c r="L11" s="29"/>
      <c r="M11" s="29"/>
      <c r="N11" s="29"/>
      <c r="O11" s="29"/>
      <c r="P11" s="29"/>
      <c r="Q11" s="29"/>
      <c r="R11" s="29"/>
      <c r="S11" s="29"/>
      <c r="T11" s="29"/>
      <c r="U11" s="25"/>
      <c r="W11" s="180"/>
      <c r="X11" s="179"/>
    </row>
    <row r="12" spans="1:24" ht="15.75" x14ac:dyDescent="0.25">
      <c r="B12" s="64"/>
      <c r="C12" s="188" t="s">
        <v>192</v>
      </c>
      <c r="D12" s="196" t="s">
        <v>107</v>
      </c>
      <c r="E12" s="197">
        <v>7.9594999999999999E-2</v>
      </c>
      <c r="F12" s="29"/>
      <c r="G12" s="29"/>
      <c r="H12" s="29"/>
      <c r="I12" s="29"/>
      <c r="J12" s="29"/>
      <c r="K12" s="29"/>
      <c r="L12" s="29"/>
      <c r="M12" s="29"/>
      <c r="N12" s="29"/>
      <c r="O12" s="29"/>
      <c r="P12" s="29"/>
      <c r="Q12" s="29"/>
      <c r="R12" s="29"/>
      <c r="S12" s="29"/>
      <c r="T12" s="29"/>
      <c r="U12" s="25"/>
      <c r="W12" s="180"/>
      <c r="X12" s="179"/>
    </row>
    <row r="13" spans="1:24" ht="15.75" x14ac:dyDescent="0.25">
      <c r="B13" s="64"/>
      <c r="C13" s="188" t="s">
        <v>190</v>
      </c>
      <c r="D13" s="196" t="s">
        <v>107</v>
      </c>
      <c r="E13" s="197">
        <v>5.8184E-2</v>
      </c>
      <c r="F13" s="29"/>
      <c r="G13" s="29"/>
      <c r="H13" s="29"/>
      <c r="I13" s="29"/>
      <c r="J13" s="29"/>
      <c r="K13" s="29"/>
      <c r="L13" s="29"/>
      <c r="M13" s="29"/>
      <c r="N13" s="29"/>
      <c r="O13" s="29"/>
      <c r="P13" s="29"/>
      <c r="Q13" s="29"/>
      <c r="R13" s="29"/>
      <c r="S13" s="29"/>
      <c r="T13" s="29"/>
      <c r="U13" s="25"/>
      <c r="W13" s="180"/>
      <c r="X13" s="179"/>
    </row>
    <row r="14" spans="1:24" ht="15.75" x14ac:dyDescent="0.25">
      <c r="B14" s="64"/>
      <c r="C14" s="188" t="s">
        <v>148</v>
      </c>
      <c r="D14" s="196" t="s">
        <v>107</v>
      </c>
      <c r="E14" s="197">
        <v>5.3863000000000001E-2</v>
      </c>
      <c r="F14" s="29"/>
      <c r="G14" s="29"/>
      <c r="H14" s="29"/>
      <c r="I14" s="29"/>
      <c r="J14" s="29"/>
      <c r="K14" s="29"/>
      <c r="L14" s="29"/>
      <c r="M14" s="29"/>
      <c r="N14" s="29"/>
      <c r="O14" s="29"/>
      <c r="P14" s="29"/>
      <c r="Q14" s="29"/>
      <c r="R14" s="29"/>
      <c r="S14" s="29"/>
      <c r="T14" s="29"/>
      <c r="U14" s="25"/>
      <c r="W14" s="180"/>
      <c r="X14" s="179"/>
    </row>
    <row r="15" spans="1:24" ht="15.75" x14ac:dyDescent="0.25">
      <c r="B15" s="64"/>
      <c r="C15" s="188" t="s">
        <v>195</v>
      </c>
      <c r="D15" s="196" t="s">
        <v>107</v>
      </c>
      <c r="E15" s="197">
        <v>5.1617000000000003E-2</v>
      </c>
      <c r="F15" s="29"/>
      <c r="G15" s="29"/>
      <c r="H15" s="29"/>
      <c r="I15" s="29"/>
      <c r="J15" s="29"/>
      <c r="K15" s="29"/>
      <c r="L15" s="29"/>
      <c r="M15" s="29"/>
      <c r="N15" s="29"/>
      <c r="O15" s="29"/>
      <c r="P15" s="29"/>
      <c r="Q15" s="29"/>
      <c r="R15" s="29"/>
      <c r="S15" s="29"/>
      <c r="T15" s="29"/>
      <c r="U15" s="25"/>
      <c r="W15" s="180"/>
      <c r="X15" s="179"/>
    </row>
    <row r="16" spans="1:24" ht="15.75" x14ac:dyDescent="0.25">
      <c r="B16" s="64"/>
      <c r="C16" s="188" t="s">
        <v>289</v>
      </c>
      <c r="D16" s="196" t="s">
        <v>107</v>
      </c>
      <c r="E16" s="197">
        <v>3.3121999999999999E-2</v>
      </c>
      <c r="F16" s="29"/>
      <c r="G16" s="29"/>
      <c r="H16" s="29"/>
      <c r="I16" s="29"/>
      <c r="J16" s="29"/>
      <c r="K16" s="29"/>
      <c r="L16" s="29"/>
      <c r="M16" s="29"/>
      <c r="N16" s="29"/>
      <c r="O16" s="29"/>
      <c r="P16" s="29"/>
      <c r="Q16" s="29"/>
      <c r="R16" s="29"/>
      <c r="S16" s="29"/>
      <c r="T16" s="29"/>
      <c r="U16" s="25"/>
      <c r="W16" s="180"/>
      <c r="X16" s="179"/>
    </row>
    <row r="17" spans="2:24" ht="15.75" x14ac:dyDescent="0.25">
      <c r="B17" s="64"/>
      <c r="C17" s="188" t="s">
        <v>189</v>
      </c>
      <c r="D17" s="196" t="s">
        <v>114</v>
      </c>
      <c r="E17" s="197">
        <v>1.3832000000000001E-2</v>
      </c>
      <c r="F17" s="29"/>
      <c r="G17" s="29"/>
      <c r="H17" s="29"/>
      <c r="I17" s="29"/>
      <c r="J17" s="29"/>
      <c r="K17" s="29"/>
      <c r="L17" s="29"/>
      <c r="M17" s="29"/>
      <c r="N17" s="29"/>
      <c r="O17" s="29"/>
      <c r="P17" s="29"/>
      <c r="Q17" s="29"/>
      <c r="R17" s="29"/>
      <c r="S17" s="29"/>
      <c r="T17" s="29"/>
      <c r="U17" s="25"/>
      <c r="W17" s="180"/>
      <c r="X17" s="179"/>
    </row>
    <row r="18" spans="2:24" ht="15.75" x14ac:dyDescent="0.25">
      <c r="B18" s="64"/>
      <c r="C18" s="188"/>
      <c r="D18" s="196"/>
      <c r="E18" s="197"/>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0.99598399999999987</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row>
    <row r="44" spans="2:24" x14ac:dyDescent="0.25">
      <c r="B44" s="271"/>
      <c r="C44" s="272"/>
      <c r="D44" s="272"/>
      <c r="E44" s="272"/>
      <c r="F44" s="272"/>
      <c r="G44" s="272"/>
      <c r="H44" s="272"/>
      <c r="I44" s="272"/>
      <c r="J44" s="272"/>
      <c r="K44" s="272"/>
      <c r="L44" s="272"/>
      <c r="M44" s="272"/>
      <c r="N44" s="272"/>
      <c r="O44" s="272"/>
      <c r="P44" s="272"/>
      <c r="Q44" s="272"/>
      <c r="R44" s="273"/>
    </row>
    <row r="45" spans="2:24" ht="15.75" thickBot="1" x14ac:dyDescent="0.3">
      <c r="B45" s="274"/>
      <c r="C45" s="275"/>
      <c r="D45" s="275"/>
      <c r="E45" s="275"/>
      <c r="F45" s="275"/>
      <c r="G45" s="275"/>
      <c r="H45" s="275"/>
      <c r="I45" s="275"/>
      <c r="J45" s="275"/>
      <c r="K45" s="275"/>
      <c r="L45" s="275"/>
      <c r="M45" s="275"/>
      <c r="N45" s="275"/>
      <c r="O45" s="275"/>
      <c r="P45" s="275"/>
      <c r="Q45" s="275"/>
      <c r="R45" s="276"/>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208</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397</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253</v>
      </c>
      <c r="D8" s="194" t="s">
        <v>23</v>
      </c>
      <c r="E8" s="195">
        <v>3.7769999999999998E-2</v>
      </c>
      <c r="F8" s="29"/>
      <c r="G8" s="29"/>
      <c r="H8" s="29"/>
      <c r="I8" s="29"/>
      <c r="J8" s="29"/>
      <c r="K8" s="29"/>
      <c r="L8" s="29"/>
      <c r="M8" s="29"/>
      <c r="N8" s="29"/>
      <c r="O8" s="29"/>
      <c r="P8" s="29"/>
      <c r="Q8" s="29"/>
      <c r="R8" s="29"/>
      <c r="S8" s="29"/>
      <c r="T8" s="29"/>
      <c r="U8" s="25"/>
      <c r="W8" s="180" t="s">
        <v>119</v>
      </c>
      <c r="X8" s="179">
        <v>0.12603</v>
      </c>
    </row>
    <row r="9" spans="1:24" ht="15.75" x14ac:dyDescent="0.25">
      <c r="B9" s="64"/>
      <c r="C9" s="188" t="s">
        <v>286</v>
      </c>
      <c r="D9" s="196" t="s">
        <v>119</v>
      </c>
      <c r="E9" s="197">
        <v>3.7296000000000003E-2</v>
      </c>
      <c r="F9" s="29"/>
      <c r="G9" s="29"/>
      <c r="H9" s="29"/>
      <c r="I9" s="29"/>
      <c r="J9" s="29"/>
      <c r="K9" s="29"/>
      <c r="L9" s="29"/>
      <c r="M9" s="29"/>
      <c r="N9" s="29"/>
      <c r="O9" s="29"/>
      <c r="P9" s="29"/>
      <c r="Q9" s="29"/>
      <c r="R9" s="29"/>
      <c r="S9" s="29"/>
      <c r="T9" s="29"/>
      <c r="U9" s="25"/>
      <c r="W9" s="180" t="s">
        <v>85</v>
      </c>
      <c r="X9" s="179">
        <v>8.8452000000000003E-2</v>
      </c>
    </row>
    <row r="10" spans="1:24" ht="15.75" x14ac:dyDescent="0.25">
      <c r="B10" s="64"/>
      <c r="C10" s="188" t="s">
        <v>138</v>
      </c>
      <c r="D10" s="196" t="s">
        <v>26</v>
      </c>
      <c r="E10" s="197">
        <v>3.6089999999999997E-2</v>
      </c>
      <c r="F10" s="29"/>
      <c r="G10" s="29"/>
      <c r="H10" s="29"/>
      <c r="I10" s="29"/>
      <c r="J10" s="29"/>
      <c r="K10" s="29"/>
      <c r="L10" s="29"/>
      <c r="M10" s="29"/>
      <c r="N10" s="29"/>
      <c r="O10" s="29"/>
      <c r="P10" s="29"/>
      <c r="Q10" s="29"/>
      <c r="R10" s="29"/>
      <c r="S10" s="29"/>
      <c r="T10" s="29"/>
      <c r="U10" s="25"/>
      <c r="W10" s="180" t="s">
        <v>4</v>
      </c>
      <c r="X10" s="179">
        <v>8.3929999999999991E-2</v>
      </c>
    </row>
    <row r="11" spans="1:24" ht="15.75" x14ac:dyDescent="0.25">
      <c r="B11" s="64"/>
      <c r="C11" s="188" t="s">
        <v>324</v>
      </c>
      <c r="D11" s="196" t="s">
        <v>137</v>
      </c>
      <c r="E11" s="197">
        <v>3.4155999999999999E-2</v>
      </c>
      <c r="F11" s="29"/>
      <c r="G11" s="29"/>
      <c r="H11" s="29"/>
      <c r="I11" s="29"/>
      <c r="J11" s="29"/>
      <c r="K11" s="29"/>
      <c r="L11" s="29"/>
      <c r="M11" s="29"/>
      <c r="N11" s="29"/>
      <c r="O11" s="29"/>
      <c r="P11" s="29"/>
      <c r="Q11" s="29"/>
      <c r="R11" s="29"/>
      <c r="S11" s="29"/>
      <c r="T11" s="29"/>
      <c r="U11" s="25"/>
      <c r="W11" s="180" t="s">
        <v>111</v>
      </c>
      <c r="X11" s="179">
        <v>7.2067999999999993E-2</v>
      </c>
    </row>
    <row r="12" spans="1:24" ht="15.75" x14ac:dyDescent="0.25">
      <c r="B12" s="64"/>
      <c r="C12" s="188" t="s">
        <v>301</v>
      </c>
      <c r="D12" s="196" t="s">
        <v>13</v>
      </c>
      <c r="E12" s="197">
        <v>3.2537999999999997E-2</v>
      </c>
      <c r="F12" s="29"/>
      <c r="G12" s="29"/>
      <c r="H12" s="29"/>
      <c r="I12" s="29"/>
      <c r="J12" s="29"/>
      <c r="K12" s="29"/>
      <c r="L12" s="29"/>
      <c r="M12" s="29"/>
      <c r="N12" s="29"/>
      <c r="O12" s="29"/>
      <c r="P12" s="29"/>
      <c r="Q12" s="29"/>
      <c r="R12" s="29"/>
      <c r="S12" s="29"/>
      <c r="T12" s="29"/>
      <c r="U12" s="25"/>
      <c r="W12" s="180" t="s">
        <v>23</v>
      </c>
      <c r="X12" s="179">
        <v>6.4631999999999995E-2</v>
      </c>
    </row>
    <row r="13" spans="1:24" ht="15.75" x14ac:dyDescent="0.25">
      <c r="B13" s="64"/>
      <c r="C13" s="188" t="s">
        <v>251</v>
      </c>
      <c r="D13" s="196" t="s">
        <v>85</v>
      </c>
      <c r="E13" s="197">
        <v>3.2301000000000003E-2</v>
      </c>
      <c r="F13" s="29"/>
      <c r="G13" s="29"/>
      <c r="H13" s="29"/>
      <c r="I13" s="29"/>
      <c r="J13" s="29"/>
      <c r="K13" s="29"/>
      <c r="L13" s="29"/>
      <c r="M13" s="29"/>
      <c r="N13" s="29"/>
      <c r="O13" s="29"/>
      <c r="P13" s="29"/>
      <c r="Q13" s="29"/>
      <c r="R13" s="29"/>
      <c r="S13" s="29"/>
      <c r="T13" s="29"/>
      <c r="U13" s="25"/>
      <c r="W13" s="180" t="s">
        <v>26</v>
      </c>
      <c r="X13" s="179">
        <v>5.8940999999999993E-2</v>
      </c>
    </row>
    <row r="14" spans="1:24" ht="15.75" x14ac:dyDescent="0.25">
      <c r="B14" s="64"/>
      <c r="C14" s="188" t="s">
        <v>216</v>
      </c>
      <c r="D14" s="196" t="s">
        <v>85</v>
      </c>
      <c r="E14" s="197">
        <v>3.1629999999999998E-2</v>
      </c>
      <c r="F14" s="29"/>
      <c r="G14" s="29"/>
      <c r="H14" s="29"/>
      <c r="I14" s="29"/>
      <c r="J14" s="29"/>
      <c r="K14" s="29"/>
      <c r="L14" s="29"/>
      <c r="M14" s="29"/>
      <c r="N14" s="29"/>
      <c r="O14" s="29"/>
      <c r="P14" s="29"/>
      <c r="Q14" s="29"/>
      <c r="R14" s="29"/>
      <c r="S14" s="29"/>
      <c r="T14" s="29"/>
      <c r="U14" s="25"/>
      <c r="W14" s="180" t="s">
        <v>87</v>
      </c>
      <c r="X14" s="179">
        <v>4.9375000000000002E-2</v>
      </c>
    </row>
    <row r="15" spans="1:24" ht="15.75" x14ac:dyDescent="0.25">
      <c r="B15" s="64"/>
      <c r="C15" s="188" t="s">
        <v>209</v>
      </c>
      <c r="D15" s="196" t="s">
        <v>4</v>
      </c>
      <c r="E15" s="197">
        <v>2.9672E-2</v>
      </c>
      <c r="F15" s="29"/>
      <c r="G15" s="29"/>
      <c r="H15" s="29"/>
      <c r="I15" s="29"/>
      <c r="J15" s="29"/>
      <c r="K15" s="29"/>
      <c r="L15" s="29"/>
      <c r="M15" s="29"/>
      <c r="N15" s="29"/>
      <c r="O15" s="29"/>
      <c r="P15" s="29"/>
      <c r="Q15" s="29"/>
      <c r="R15" s="29"/>
      <c r="S15" s="29"/>
      <c r="T15" s="29"/>
      <c r="U15" s="25"/>
      <c r="W15" s="180" t="s">
        <v>10</v>
      </c>
      <c r="X15" s="179">
        <v>4.9363999999999998E-2</v>
      </c>
    </row>
    <row r="16" spans="1:24" ht="15.75" x14ac:dyDescent="0.25">
      <c r="B16" s="64"/>
      <c r="C16" s="188" t="s">
        <v>277</v>
      </c>
      <c r="D16" s="196" t="s">
        <v>4</v>
      </c>
      <c r="E16" s="197">
        <v>2.7425999999999999E-2</v>
      </c>
      <c r="F16" s="29"/>
      <c r="G16" s="29"/>
      <c r="H16" s="29"/>
      <c r="I16" s="29"/>
      <c r="J16" s="29"/>
      <c r="K16" s="29"/>
      <c r="L16" s="29"/>
      <c r="M16" s="29"/>
      <c r="N16" s="29"/>
      <c r="O16" s="29"/>
      <c r="P16" s="29"/>
      <c r="Q16" s="29"/>
      <c r="R16" s="29"/>
      <c r="S16" s="29"/>
      <c r="T16" s="29"/>
      <c r="U16" s="25"/>
      <c r="W16" s="180" t="s">
        <v>113</v>
      </c>
      <c r="X16" s="179">
        <v>4.8434000000000005E-2</v>
      </c>
    </row>
    <row r="17" spans="2:24" ht="15.75" x14ac:dyDescent="0.25">
      <c r="B17" s="64"/>
      <c r="C17" s="188" t="s">
        <v>290</v>
      </c>
      <c r="D17" s="196" t="s">
        <v>23</v>
      </c>
      <c r="E17" s="197">
        <v>2.6862E-2</v>
      </c>
      <c r="F17" s="29"/>
      <c r="G17" s="29"/>
      <c r="H17" s="29"/>
      <c r="I17" s="29"/>
      <c r="J17" s="29"/>
      <c r="K17" s="29"/>
      <c r="L17" s="29"/>
      <c r="M17" s="29"/>
      <c r="N17" s="29"/>
      <c r="O17" s="29"/>
      <c r="P17" s="29"/>
      <c r="Q17" s="29"/>
      <c r="R17" s="29"/>
      <c r="S17" s="29"/>
      <c r="T17" s="29"/>
      <c r="U17" s="25"/>
      <c r="W17" s="180" t="s">
        <v>16</v>
      </c>
      <c r="X17" s="179">
        <v>4.7218999999999997E-2</v>
      </c>
    </row>
    <row r="18" spans="2:24" ht="15.75" x14ac:dyDescent="0.25">
      <c r="B18" s="64"/>
      <c r="C18" s="188" t="s">
        <v>355</v>
      </c>
      <c r="D18" s="196" t="s">
        <v>119</v>
      </c>
      <c r="E18" s="197">
        <v>2.6852999999999998E-2</v>
      </c>
      <c r="F18" s="29"/>
      <c r="G18" s="29"/>
      <c r="H18" s="29"/>
      <c r="I18" s="29"/>
      <c r="J18" s="29"/>
      <c r="K18" s="29"/>
      <c r="L18" s="29"/>
      <c r="M18" s="29"/>
      <c r="N18" s="29"/>
      <c r="O18" s="29"/>
      <c r="P18" s="29"/>
      <c r="Q18" s="29"/>
      <c r="R18" s="29"/>
      <c r="S18" s="29"/>
      <c r="T18" s="29"/>
      <c r="U18" s="25"/>
      <c r="W18" s="180" t="s">
        <v>112</v>
      </c>
      <c r="X18" s="179">
        <v>3.6233000000000001E-2</v>
      </c>
    </row>
    <row r="19" spans="2:24" ht="15.75" x14ac:dyDescent="0.25">
      <c r="B19" s="64"/>
      <c r="C19" s="188" t="s">
        <v>252</v>
      </c>
      <c r="D19" s="196" t="s">
        <v>119</v>
      </c>
      <c r="E19" s="197">
        <v>2.6794999999999999E-2</v>
      </c>
      <c r="F19" s="29"/>
      <c r="G19" s="29"/>
      <c r="H19" s="29"/>
      <c r="I19" s="29"/>
      <c r="J19" s="29"/>
      <c r="K19" s="29"/>
      <c r="L19" s="29"/>
      <c r="M19" s="29"/>
      <c r="N19" s="29"/>
      <c r="O19" s="29"/>
      <c r="P19" s="29"/>
      <c r="Q19" s="29"/>
      <c r="R19" s="29"/>
      <c r="S19" s="29"/>
      <c r="T19" s="29"/>
      <c r="U19" s="25"/>
      <c r="W19" s="180" t="s">
        <v>137</v>
      </c>
      <c r="X19" s="179">
        <v>3.4155999999999999E-2</v>
      </c>
    </row>
    <row r="20" spans="2:24" ht="15.75" x14ac:dyDescent="0.25">
      <c r="B20" s="64"/>
      <c r="C20" s="188" t="s">
        <v>71</v>
      </c>
      <c r="D20" s="196" t="s">
        <v>10</v>
      </c>
      <c r="E20" s="197">
        <v>2.6291999999999999E-2</v>
      </c>
      <c r="F20" s="29"/>
      <c r="G20" s="29"/>
      <c r="H20" s="29"/>
      <c r="I20" s="29"/>
      <c r="J20" s="29"/>
      <c r="K20" s="29"/>
      <c r="L20" s="29"/>
      <c r="M20" s="29"/>
      <c r="N20" s="29"/>
      <c r="O20" s="29"/>
      <c r="P20" s="29"/>
      <c r="Q20" s="29"/>
      <c r="R20" s="29"/>
      <c r="S20" s="29"/>
      <c r="T20" s="29"/>
      <c r="U20" s="25"/>
      <c r="W20" s="180" t="s">
        <v>13</v>
      </c>
      <c r="X20" s="179">
        <v>3.2537999999999997E-2</v>
      </c>
    </row>
    <row r="21" spans="2:24" ht="15.75" x14ac:dyDescent="0.25">
      <c r="B21" s="64"/>
      <c r="C21" s="188" t="s">
        <v>325</v>
      </c>
      <c r="D21" s="196" t="s">
        <v>107</v>
      </c>
      <c r="E21" s="197">
        <v>2.5874000000000001E-2</v>
      </c>
      <c r="F21" s="29"/>
      <c r="G21" s="29"/>
      <c r="H21" s="29"/>
      <c r="I21" s="29"/>
      <c r="J21" s="29"/>
      <c r="K21" s="29"/>
      <c r="L21" s="29"/>
      <c r="M21" s="29"/>
      <c r="N21" s="29"/>
      <c r="O21" s="29"/>
      <c r="P21" s="29"/>
      <c r="Q21" s="29"/>
      <c r="R21" s="29"/>
      <c r="S21" s="29"/>
      <c r="T21" s="29"/>
      <c r="U21" s="25"/>
      <c r="W21" s="180" t="s">
        <v>24</v>
      </c>
      <c r="X21" s="179">
        <v>2.6761E-2</v>
      </c>
    </row>
    <row r="22" spans="2:24" ht="15.75" x14ac:dyDescent="0.25">
      <c r="B22" s="64"/>
      <c r="C22" s="188" t="s">
        <v>221</v>
      </c>
      <c r="D22" s="196" t="s">
        <v>85</v>
      </c>
      <c r="E22" s="197">
        <v>2.4521000000000001E-2</v>
      </c>
      <c r="F22" s="29"/>
      <c r="G22" s="29"/>
      <c r="H22" s="29"/>
      <c r="I22" s="29"/>
      <c r="J22" s="29"/>
      <c r="K22" s="29"/>
      <c r="L22" s="29"/>
      <c r="M22" s="29"/>
      <c r="N22" s="29"/>
      <c r="O22" s="29"/>
      <c r="P22" s="29"/>
      <c r="Q22" s="29"/>
      <c r="R22" s="29"/>
      <c r="S22" s="29"/>
      <c r="T22" s="29"/>
      <c r="U22" s="25"/>
      <c r="W22" s="180" t="s">
        <v>107</v>
      </c>
      <c r="X22" s="179">
        <v>2.5874000000000001E-2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185</v>
      </c>
      <c r="X23" s="179">
        <v>2.2078E-2</v>
      </c>
    </row>
    <row r="24" spans="2:24" ht="15.75" x14ac:dyDescent="0.25">
      <c r="B24" s="64"/>
      <c r="C24" s="73" t="s">
        <v>55</v>
      </c>
      <c r="D24" s="74"/>
      <c r="E24" s="75">
        <f>SUM(E8:E22)</f>
        <v>0.45607600000000004</v>
      </c>
      <c r="F24" s="29"/>
      <c r="G24" s="29"/>
      <c r="H24" s="29"/>
      <c r="I24" s="29"/>
      <c r="J24" s="29"/>
      <c r="K24" s="29"/>
      <c r="L24" s="29"/>
      <c r="M24" s="29"/>
      <c r="N24" s="29"/>
      <c r="O24" s="29"/>
      <c r="P24" s="29"/>
      <c r="Q24" s="29"/>
      <c r="R24" s="29"/>
      <c r="S24" s="29"/>
      <c r="T24" s="29"/>
      <c r="U24" s="25"/>
      <c r="W24" s="180" t="s">
        <v>110</v>
      </c>
      <c r="X24" s="179">
        <v>1.9608E-2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125</v>
      </c>
      <c r="X25" s="179">
        <v>1.8889E-2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6</v>
      </c>
      <c r="X26" s="179">
        <v>1.7666000000000001E-2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12</v>
      </c>
      <c r="X27" s="62">
        <v>1.7590999999999999E-2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116</v>
      </c>
      <c r="X28" s="62">
        <v>1.7305999999999998E-2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121</v>
      </c>
      <c r="X29" s="62">
        <v>1.5610000000000001E-2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106</v>
      </c>
      <c r="X30" s="62">
        <v>1.0973E-2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v>
      </c>
      <c r="X31" s="62">
        <v>8.541E-3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15</v>
      </c>
      <c r="X32" s="62">
        <v>6.2969999999999996E-3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row>
    <row r="44" spans="2:24" x14ac:dyDescent="0.25">
      <c r="B44" s="271"/>
      <c r="C44" s="272"/>
      <c r="D44" s="272"/>
      <c r="E44" s="272"/>
      <c r="F44" s="272"/>
      <c r="G44" s="272"/>
      <c r="H44" s="272"/>
      <c r="I44" s="272"/>
      <c r="J44" s="272"/>
      <c r="K44" s="272"/>
      <c r="L44" s="272"/>
      <c r="M44" s="272"/>
      <c r="N44" s="272"/>
      <c r="O44" s="272"/>
      <c r="P44" s="272"/>
      <c r="Q44" s="272"/>
      <c r="R44" s="273"/>
    </row>
    <row r="45" spans="2:24" ht="15.75" thickBot="1" x14ac:dyDescent="0.3">
      <c r="B45" s="274"/>
      <c r="C45" s="275"/>
      <c r="D45" s="275"/>
      <c r="E45" s="275"/>
      <c r="F45" s="275"/>
      <c r="G45" s="275"/>
      <c r="H45" s="275"/>
      <c r="I45" s="275"/>
      <c r="J45" s="275"/>
      <c r="K45" s="275"/>
      <c r="L45" s="275"/>
      <c r="M45" s="275"/>
      <c r="N45" s="275"/>
      <c r="O45" s="275"/>
      <c r="P45" s="275"/>
      <c r="Q45" s="275"/>
      <c r="R45" s="276"/>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218</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398</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216</v>
      </c>
      <c r="D8" s="194" t="s">
        <v>85</v>
      </c>
      <c r="E8" s="195">
        <v>1.7385999999999999E-2</v>
      </c>
      <c r="F8" s="29"/>
      <c r="G8" s="29"/>
      <c r="H8" s="29"/>
      <c r="I8" s="29"/>
      <c r="J8" s="29"/>
      <c r="K8" s="29"/>
      <c r="L8" s="29"/>
      <c r="M8" s="29"/>
      <c r="N8" s="29"/>
      <c r="O8" s="29"/>
      <c r="P8" s="29"/>
      <c r="Q8" s="29"/>
      <c r="R8" s="29"/>
      <c r="S8" s="29"/>
      <c r="T8" s="29"/>
      <c r="U8" s="25"/>
      <c r="W8" s="180" t="s">
        <v>85</v>
      </c>
      <c r="X8" s="239">
        <v>9.6957000000000015E-2</v>
      </c>
    </row>
    <row r="9" spans="1:24" ht="15.75" x14ac:dyDescent="0.25">
      <c r="B9" s="64"/>
      <c r="C9" s="188" t="s">
        <v>221</v>
      </c>
      <c r="D9" s="196" t="s">
        <v>85</v>
      </c>
      <c r="E9" s="197">
        <v>1.4397999999999999E-2</v>
      </c>
      <c r="F9" s="29"/>
      <c r="G9" s="29"/>
      <c r="H9" s="29"/>
      <c r="I9" s="29"/>
      <c r="J9" s="29"/>
      <c r="K9" s="29"/>
      <c r="L9" s="29"/>
      <c r="M9" s="29"/>
      <c r="N9" s="29"/>
      <c r="O9" s="29"/>
      <c r="P9" s="29"/>
      <c r="Q9" s="29"/>
      <c r="R9" s="29"/>
      <c r="S9" s="29"/>
      <c r="T9" s="29"/>
      <c r="U9" s="25"/>
      <c r="W9" s="180" t="s">
        <v>111</v>
      </c>
      <c r="X9" s="239">
        <v>8.8443999999999995E-2</v>
      </c>
    </row>
    <row r="10" spans="1:24" ht="30" x14ac:dyDescent="0.25">
      <c r="B10" s="64"/>
      <c r="C10" s="188" t="s">
        <v>249</v>
      </c>
      <c r="D10" s="196" t="s">
        <v>111</v>
      </c>
      <c r="E10" s="197">
        <v>1.3355000000000001E-2</v>
      </c>
      <c r="F10" s="29"/>
      <c r="G10" s="29"/>
      <c r="H10" s="29"/>
      <c r="I10" s="29"/>
      <c r="J10" s="29"/>
      <c r="K10" s="29"/>
      <c r="L10" s="29"/>
      <c r="M10" s="29"/>
      <c r="N10" s="29"/>
      <c r="O10" s="29"/>
      <c r="P10" s="29"/>
      <c r="Q10" s="29"/>
      <c r="R10" s="29"/>
      <c r="S10" s="29"/>
      <c r="T10" s="29"/>
      <c r="U10" s="25"/>
      <c r="W10" s="180" t="s">
        <v>4</v>
      </c>
      <c r="X10" s="239">
        <v>6.9097999999999993E-2</v>
      </c>
    </row>
    <row r="11" spans="1:24" ht="15.75" x14ac:dyDescent="0.25">
      <c r="B11" s="64"/>
      <c r="C11" s="188" t="s">
        <v>250</v>
      </c>
      <c r="D11" s="196" t="s">
        <v>16</v>
      </c>
      <c r="E11" s="197">
        <v>1.3162999999999999E-2</v>
      </c>
      <c r="F11" s="29"/>
      <c r="G11" s="29"/>
      <c r="H11" s="29"/>
      <c r="I11" s="29"/>
      <c r="J11" s="29"/>
      <c r="K11" s="29"/>
      <c r="L11" s="29"/>
      <c r="M11" s="29"/>
      <c r="N11" s="29"/>
      <c r="O11" s="29"/>
      <c r="P11" s="29"/>
      <c r="Q11" s="29"/>
      <c r="R11" s="29"/>
      <c r="S11" s="29"/>
      <c r="T11" s="29"/>
      <c r="U11" s="25"/>
      <c r="W11" s="180" t="s">
        <v>16</v>
      </c>
      <c r="X11" s="239">
        <v>6.668700000000001E-2</v>
      </c>
    </row>
    <row r="12" spans="1:24" ht="15.75" x14ac:dyDescent="0.25">
      <c r="B12" s="64"/>
      <c r="C12" s="188" t="s">
        <v>229</v>
      </c>
      <c r="D12" s="196" t="s">
        <v>16</v>
      </c>
      <c r="E12" s="197">
        <v>1.2692999999999999E-2</v>
      </c>
      <c r="F12" s="29"/>
      <c r="G12" s="29"/>
      <c r="H12" s="29"/>
      <c r="I12" s="29"/>
      <c r="J12" s="29"/>
      <c r="K12" s="29"/>
      <c r="L12" s="29"/>
      <c r="M12" s="29"/>
      <c r="N12" s="29"/>
      <c r="O12" s="29"/>
      <c r="P12" s="29"/>
      <c r="Q12" s="29"/>
      <c r="R12" s="29"/>
      <c r="S12" s="29"/>
      <c r="T12" s="29"/>
      <c r="U12" s="25"/>
      <c r="W12" s="180" t="s">
        <v>24</v>
      </c>
      <c r="X12" s="239">
        <v>6.3772000000000009E-2</v>
      </c>
    </row>
    <row r="13" spans="1:24" ht="15.75" x14ac:dyDescent="0.25">
      <c r="B13" s="64"/>
      <c r="C13" s="188" t="s">
        <v>214</v>
      </c>
      <c r="D13" s="196" t="s">
        <v>85</v>
      </c>
      <c r="E13" s="197">
        <v>1.1114000000000001E-2</v>
      </c>
      <c r="F13" s="29"/>
      <c r="G13" s="29"/>
      <c r="H13" s="29"/>
      <c r="I13" s="29"/>
      <c r="J13" s="29"/>
      <c r="K13" s="29"/>
      <c r="L13" s="29"/>
      <c r="M13" s="29"/>
      <c r="N13" s="29"/>
      <c r="O13" s="29"/>
      <c r="P13" s="29"/>
      <c r="Q13" s="29"/>
      <c r="R13" s="29"/>
      <c r="S13" s="29"/>
      <c r="T13" s="29"/>
      <c r="U13" s="25"/>
      <c r="W13" s="180" t="s">
        <v>116</v>
      </c>
      <c r="X13" s="239">
        <v>5.6221999999999994E-2</v>
      </c>
    </row>
    <row r="14" spans="1:24" ht="15.75" x14ac:dyDescent="0.25">
      <c r="B14" s="64"/>
      <c r="C14" s="188" t="s">
        <v>242</v>
      </c>
      <c r="D14" s="196" t="s">
        <v>15</v>
      </c>
      <c r="E14" s="197">
        <v>1.0659E-2</v>
      </c>
      <c r="F14" s="29"/>
      <c r="G14" s="29"/>
      <c r="H14" s="29"/>
      <c r="I14" s="29"/>
      <c r="J14" s="29"/>
      <c r="K14" s="29"/>
      <c r="L14" s="29"/>
      <c r="M14" s="29"/>
      <c r="N14" s="29"/>
      <c r="O14" s="29"/>
      <c r="P14" s="29"/>
      <c r="Q14" s="29"/>
      <c r="R14" s="29"/>
      <c r="S14" s="29"/>
      <c r="T14" s="29"/>
      <c r="U14" s="25"/>
      <c r="W14" s="180" t="s">
        <v>23</v>
      </c>
      <c r="X14" s="239">
        <v>4.8424999999999996E-2</v>
      </c>
    </row>
    <row r="15" spans="1:24" ht="30" x14ac:dyDescent="0.25">
      <c r="B15" s="64"/>
      <c r="C15" s="188" t="s">
        <v>356</v>
      </c>
      <c r="D15" s="196" t="s">
        <v>111</v>
      </c>
      <c r="E15" s="197">
        <v>1.0114E-2</v>
      </c>
      <c r="F15" s="29"/>
      <c r="G15" s="29"/>
      <c r="H15" s="29"/>
      <c r="I15" s="29"/>
      <c r="J15" s="29"/>
      <c r="K15" s="29"/>
      <c r="L15" s="29"/>
      <c r="M15" s="29"/>
      <c r="N15" s="29"/>
      <c r="O15" s="29"/>
      <c r="P15" s="29"/>
      <c r="Q15" s="29"/>
      <c r="R15" s="29"/>
      <c r="S15" s="29"/>
      <c r="T15" s="29"/>
      <c r="U15" s="25"/>
      <c r="W15" s="180" t="s">
        <v>110</v>
      </c>
      <c r="X15" s="239">
        <v>3.8842999999999989E-2</v>
      </c>
    </row>
    <row r="16" spans="1:24" ht="15.75" x14ac:dyDescent="0.25">
      <c r="B16" s="64"/>
      <c r="C16" s="188" t="s">
        <v>326</v>
      </c>
      <c r="D16" s="196" t="s">
        <v>106</v>
      </c>
      <c r="E16" s="197">
        <v>9.7199999999999995E-3</v>
      </c>
      <c r="F16" s="29"/>
      <c r="G16" s="29"/>
      <c r="H16" s="29"/>
      <c r="I16" s="29"/>
      <c r="J16" s="29"/>
      <c r="K16" s="29"/>
      <c r="L16" s="29"/>
      <c r="M16" s="29"/>
      <c r="N16" s="29"/>
      <c r="O16" s="29"/>
      <c r="P16" s="29"/>
      <c r="Q16" s="29"/>
      <c r="R16" s="29"/>
      <c r="S16" s="29"/>
      <c r="T16" s="29"/>
      <c r="U16" s="25"/>
      <c r="W16" s="180" t="s">
        <v>3</v>
      </c>
      <c r="X16" s="239">
        <v>3.4488999999999999E-2</v>
      </c>
    </row>
    <row r="17" spans="2:24" ht="15.75" x14ac:dyDescent="0.25">
      <c r="B17" s="64"/>
      <c r="C17" s="188" t="s">
        <v>222</v>
      </c>
      <c r="D17" s="196" t="s">
        <v>3</v>
      </c>
      <c r="E17" s="197">
        <v>9.2840000000000006E-3</v>
      </c>
      <c r="F17" s="29"/>
      <c r="G17" s="29"/>
      <c r="H17" s="29"/>
      <c r="I17" s="29"/>
      <c r="J17" s="29"/>
      <c r="K17" s="29"/>
      <c r="L17" s="29"/>
      <c r="M17" s="29"/>
      <c r="N17" s="29"/>
      <c r="O17" s="29"/>
      <c r="P17" s="29"/>
      <c r="Q17" s="29"/>
      <c r="R17" s="29"/>
      <c r="S17" s="29"/>
      <c r="T17" s="29"/>
      <c r="U17" s="25"/>
      <c r="W17" s="180" t="s">
        <v>107</v>
      </c>
      <c r="X17" s="239">
        <v>3.4265999999999998E-2</v>
      </c>
    </row>
    <row r="18" spans="2:24" ht="15.75" x14ac:dyDescent="0.25">
      <c r="B18" s="64"/>
      <c r="C18" s="188" t="s">
        <v>303</v>
      </c>
      <c r="D18" s="196" t="s">
        <v>85</v>
      </c>
      <c r="E18" s="197">
        <v>9.2329999999999999E-3</v>
      </c>
      <c r="F18" s="29"/>
      <c r="G18" s="29"/>
      <c r="H18" s="29"/>
      <c r="I18" s="29"/>
      <c r="J18" s="29"/>
      <c r="K18" s="29"/>
      <c r="L18" s="29"/>
      <c r="M18" s="29"/>
      <c r="N18" s="29"/>
      <c r="O18" s="29"/>
      <c r="P18" s="29"/>
      <c r="Q18" s="29"/>
      <c r="R18" s="29"/>
      <c r="S18" s="29"/>
      <c r="T18" s="29"/>
      <c r="U18" s="25"/>
      <c r="W18" s="180" t="s">
        <v>77</v>
      </c>
      <c r="X18" s="239">
        <v>3.3402000000000001E-2</v>
      </c>
    </row>
    <row r="19" spans="2:24" ht="15.75" x14ac:dyDescent="0.25">
      <c r="B19" s="64"/>
      <c r="C19" s="188" t="s">
        <v>266</v>
      </c>
      <c r="D19" s="196" t="s">
        <v>110</v>
      </c>
      <c r="E19" s="197">
        <v>8.9079999999999993E-3</v>
      </c>
      <c r="F19" s="29"/>
      <c r="G19" s="29"/>
      <c r="H19" s="29"/>
      <c r="I19" s="29"/>
      <c r="J19" s="29"/>
      <c r="K19" s="29"/>
      <c r="L19" s="29"/>
      <c r="M19" s="29"/>
      <c r="N19" s="29"/>
      <c r="O19" s="29"/>
      <c r="P19" s="29"/>
      <c r="Q19" s="29"/>
      <c r="R19" s="29"/>
      <c r="S19" s="29"/>
      <c r="T19" s="29"/>
      <c r="U19" s="25"/>
      <c r="W19" s="180" t="s">
        <v>119</v>
      </c>
      <c r="X19" s="239">
        <v>2.8754000000000002E-2</v>
      </c>
    </row>
    <row r="20" spans="2:24" ht="15.75" x14ac:dyDescent="0.25">
      <c r="B20" s="64"/>
      <c r="C20" s="188" t="s">
        <v>199</v>
      </c>
      <c r="D20" s="196" t="s">
        <v>119</v>
      </c>
      <c r="E20" s="197">
        <v>8.8959999999999994E-3</v>
      </c>
      <c r="F20" s="29"/>
      <c r="G20" s="29"/>
      <c r="H20" s="29"/>
      <c r="I20" s="29"/>
      <c r="J20" s="29"/>
      <c r="K20" s="29"/>
      <c r="L20" s="29"/>
      <c r="M20" s="29"/>
      <c r="N20" s="29"/>
      <c r="O20" s="29"/>
      <c r="P20" s="29"/>
      <c r="Q20" s="29"/>
      <c r="R20" s="29"/>
      <c r="S20" s="29"/>
      <c r="T20" s="29"/>
      <c r="U20" s="25"/>
      <c r="W20" s="180" t="s">
        <v>137</v>
      </c>
      <c r="X20" s="239">
        <v>2.7172999999999999E-2</v>
      </c>
    </row>
    <row r="21" spans="2:24" ht="15.75" x14ac:dyDescent="0.25">
      <c r="B21" s="64"/>
      <c r="C21" s="188" t="s">
        <v>191</v>
      </c>
      <c r="D21" s="196" t="s">
        <v>4</v>
      </c>
      <c r="E21" s="197">
        <v>8.8159999999999992E-3</v>
      </c>
      <c r="F21" s="29"/>
      <c r="G21" s="29"/>
      <c r="H21" s="29"/>
      <c r="I21" s="29"/>
      <c r="J21" s="29"/>
      <c r="K21" s="29"/>
      <c r="L21" s="29"/>
      <c r="M21" s="29"/>
      <c r="N21" s="29"/>
      <c r="O21" s="29"/>
      <c r="P21" s="29"/>
      <c r="Q21" s="29"/>
      <c r="R21" s="29"/>
      <c r="S21" s="29"/>
      <c r="T21" s="29"/>
      <c r="U21" s="25"/>
      <c r="W21" s="180" t="s">
        <v>113</v>
      </c>
      <c r="X21" s="239">
        <v>2.5956E-2</v>
      </c>
    </row>
    <row r="22" spans="2:24" ht="30" x14ac:dyDescent="0.25">
      <c r="B22" s="64"/>
      <c r="C22" s="188" t="s">
        <v>357</v>
      </c>
      <c r="D22" s="196" t="s">
        <v>111</v>
      </c>
      <c r="E22" s="197">
        <v>8.7229999999999999E-3</v>
      </c>
      <c r="F22" s="29"/>
      <c r="G22" s="29"/>
      <c r="H22" s="29"/>
      <c r="I22" s="29"/>
      <c r="J22" s="29"/>
      <c r="K22" s="29"/>
      <c r="L22" s="29"/>
      <c r="M22" s="29"/>
      <c r="N22" s="29"/>
      <c r="O22" s="29"/>
      <c r="P22" s="29"/>
      <c r="Q22" s="29"/>
      <c r="R22" s="29"/>
      <c r="S22" s="29"/>
      <c r="T22" s="29"/>
      <c r="U22" s="25"/>
      <c r="W22" s="180" t="s">
        <v>84</v>
      </c>
      <c r="X22" s="239">
        <v>2.4863E-2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126</v>
      </c>
      <c r="X23" s="239">
        <v>1.7940999999999999E-2</v>
      </c>
    </row>
    <row r="24" spans="2:24" ht="15.75" x14ac:dyDescent="0.25">
      <c r="B24" s="64"/>
      <c r="C24" s="73" t="s">
        <v>55</v>
      </c>
      <c r="D24" s="74"/>
      <c r="E24" s="75">
        <f>SUM(E8:E22)</f>
        <v>0.166462</v>
      </c>
      <c r="F24" s="29"/>
      <c r="G24" s="29"/>
      <c r="H24" s="29"/>
      <c r="I24" s="29"/>
      <c r="J24" s="29"/>
      <c r="K24" s="29"/>
      <c r="L24" s="29"/>
      <c r="M24" s="29"/>
      <c r="N24" s="29"/>
      <c r="O24" s="29"/>
      <c r="P24" s="29"/>
      <c r="Q24" s="29"/>
      <c r="R24" s="29"/>
      <c r="S24" s="29"/>
      <c r="T24" s="29"/>
      <c r="U24" s="25"/>
      <c r="W24" s="180" t="s">
        <v>95</v>
      </c>
      <c r="X24" s="239">
        <v>1.6828000000000003E-2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15</v>
      </c>
      <c r="X25" s="239">
        <v>1.5708E-2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25</v>
      </c>
      <c r="X26" s="239">
        <v>1.5412000000000002E-2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118</v>
      </c>
      <c r="X27" s="239">
        <v>1.5395000000000001E-2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83</v>
      </c>
      <c r="X28" s="239">
        <v>1.4498E-2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114</v>
      </c>
      <c r="X29" s="239">
        <v>1.3176E-2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124</v>
      </c>
      <c r="X30" s="239">
        <v>1.2492E-2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26</v>
      </c>
      <c r="X31" s="239">
        <v>1.1102000000000001E-2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115</v>
      </c>
      <c r="X32" s="239">
        <v>1.0926E-2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10</v>
      </c>
      <c r="X33" s="239">
        <v>1.0777999999999999E-2</v>
      </c>
    </row>
    <row r="34" spans="2:24" x14ac:dyDescent="0.25">
      <c r="B34" s="64"/>
      <c r="C34" s="29"/>
      <c r="D34" s="29"/>
      <c r="E34" s="29"/>
      <c r="F34" s="29"/>
      <c r="G34" s="29"/>
      <c r="H34" s="29"/>
      <c r="I34" s="29"/>
      <c r="J34" s="29"/>
      <c r="K34" s="29"/>
      <c r="L34" s="29"/>
      <c r="M34" s="29"/>
      <c r="N34" s="29"/>
      <c r="O34" s="29"/>
      <c r="P34" s="29"/>
      <c r="Q34" s="29"/>
      <c r="R34" s="29"/>
      <c r="S34" s="29"/>
      <c r="T34" s="29"/>
      <c r="U34" s="25"/>
      <c r="W34" s="180" t="s">
        <v>12</v>
      </c>
      <c r="X34" s="239">
        <v>1.0409E-2</v>
      </c>
    </row>
    <row r="35" spans="2:24" x14ac:dyDescent="0.25">
      <c r="B35" s="64"/>
      <c r="C35" s="29"/>
      <c r="D35" s="29"/>
      <c r="E35" s="29"/>
      <c r="F35" s="29"/>
      <c r="G35" s="29"/>
      <c r="H35" s="29"/>
      <c r="I35" s="29"/>
      <c r="J35" s="29"/>
      <c r="K35" s="29"/>
      <c r="L35" s="29"/>
      <c r="M35" s="29"/>
      <c r="N35" s="29"/>
      <c r="O35" s="29"/>
      <c r="P35" s="29"/>
      <c r="Q35" s="29"/>
      <c r="R35" s="29"/>
      <c r="S35" s="29"/>
      <c r="T35" s="29"/>
      <c r="U35" s="25"/>
      <c r="W35" s="180" t="s">
        <v>106</v>
      </c>
      <c r="X35" s="239">
        <v>9.7199999999999995E-3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122</v>
      </c>
      <c r="X36" s="239">
        <v>8.3289999999999996E-3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108</v>
      </c>
      <c r="X37" s="239">
        <v>7.7219999999999997E-3</v>
      </c>
    </row>
    <row r="38" spans="2:24" ht="15.75" thickBot="1" x14ac:dyDescent="0.3">
      <c r="W38" s="180" t="s">
        <v>125</v>
      </c>
      <c r="X38" s="239">
        <v>7.4999999999999997E-3</v>
      </c>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180" t="s">
        <v>127</v>
      </c>
      <c r="X39" s="239">
        <v>6.9749999999999994E-3</v>
      </c>
    </row>
    <row r="40" spans="2:24" x14ac:dyDescent="0.25">
      <c r="B40" s="271"/>
      <c r="C40" s="272"/>
      <c r="D40" s="272"/>
      <c r="E40" s="272"/>
      <c r="F40" s="272"/>
      <c r="G40" s="272"/>
      <c r="H40" s="272"/>
      <c r="I40" s="272"/>
      <c r="J40" s="272"/>
      <c r="K40" s="272"/>
      <c r="L40" s="272"/>
      <c r="M40" s="272"/>
      <c r="N40" s="272"/>
      <c r="O40" s="272"/>
      <c r="P40" s="272"/>
      <c r="Q40" s="272"/>
      <c r="R40" s="273"/>
      <c r="W40" s="180" t="s">
        <v>6</v>
      </c>
      <c r="X40" s="239">
        <v>6.9340000000000001E-3</v>
      </c>
    </row>
    <row r="41" spans="2:24" x14ac:dyDescent="0.25">
      <c r="B41" s="271"/>
      <c r="C41" s="272"/>
      <c r="D41" s="272"/>
      <c r="E41" s="272"/>
      <c r="F41" s="272"/>
      <c r="G41" s="272"/>
      <c r="H41" s="272"/>
      <c r="I41" s="272"/>
      <c r="J41" s="272"/>
      <c r="K41" s="272"/>
      <c r="L41" s="272"/>
      <c r="M41" s="272"/>
      <c r="N41" s="272"/>
      <c r="O41" s="272"/>
      <c r="P41" s="272"/>
      <c r="Q41" s="272"/>
      <c r="R41" s="273"/>
      <c r="W41" s="180" t="s">
        <v>121</v>
      </c>
      <c r="X41" s="239">
        <v>6.6180000000000006E-3</v>
      </c>
    </row>
    <row r="42" spans="2:24" x14ac:dyDescent="0.25">
      <c r="B42" s="271"/>
      <c r="C42" s="272"/>
      <c r="D42" s="272"/>
      <c r="E42" s="272"/>
      <c r="F42" s="272"/>
      <c r="G42" s="272"/>
      <c r="H42" s="272"/>
      <c r="I42" s="272"/>
      <c r="J42" s="272"/>
      <c r="K42" s="272"/>
      <c r="L42" s="272"/>
      <c r="M42" s="272"/>
      <c r="N42" s="272"/>
      <c r="O42" s="272"/>
      <c r="P42" s="272"/>
      <c r="Q42" s="272"/>
      <c r="R42" s="273"/>
      <c r="W42" s="180" t="s">
        <v>219</v>
      </c>
      <c r="X42" s="239">
        <v>6.4980000000000003E-3</v>
      </c>
    </row>
    <row r="43" spans="2:24" x14ac:dyDescent="0.25">
      <c r="B43" s="271"/>
      <c r="C43" s="272"/>
      <c r="D43" s="272"/>
      <c r="E43" s="272"/>
      <c r="F43" s="272"/>
      <c r="G43" s="272"/>
      <c r="H43" s="272"/>
      <c r="I43" s="272"/>
      <c r="J43" s="272"/>
      <c r="K43" s="272"/>
      <c r="L43" s="272"/>
      <c r="M43" s="272"/>
      <c r="N43" s="272"/>
      <c r="O43" s="272"/>
      <c r="P43" s="272"/>
      <c r="Q43" s="272"/>
      <c r="R43" s="273"/>
      <c r="W43" s="180" t="s">
        <v>87</v>
      </c>
      <c r="X43" s="239">
        <v>6.2199999999999998E-3</v>
      </c>
    </row>
    <row r="44" spans="2:24" x14ac:dyDescent="0.25">
      <c r="B44" s="271"/>
      <c r="C44" s="272"/>
      <c r="D44" s="272"/>
      <c r="E44" s="272"/>
      <c r="F44" s="272"/>
      <c r="G44" s="272"/>
      <c r="H44" s="272"/>
      <c r="I44" s="272"/>
      <c r="J44" s="272"/>
      <c r="K44" s="272"/>
      <c r="L44" s="272"/>
      <c r="M44" s="272"/>
      <c r="N44" s="272"/>
      <c r="O44" s="272"/>
      <c r="P44" s="272"/>
      <c r="Q44" s="272"/>
      <c r="R44" s="273"/>
      <c r="W44" s="180" t="s">
        <v>186</v>
      </c>
      <c r="X44" s="239">
        <v>5.9160000000000003E-3</v>
      </c>
    </row>
    <row r="45" spans="2:24" ht="15.75" thickBot="1" x14ac:dyDescent="0.3">
      <c r="B45" s="274"/>
      <c r="C45" s="275"/>
      <c r="D45" s="275"/>
      <c r="E45" s="275"/>
      <c r="F45" s="275"/>
      <c r="G45" s="275"/>
      <c r="H45" s="275"/>
      <c r="I45" s="275"/>
      <c r="J45" s="275"/>
      <c r="K45" s="275"/>
      <c r="L45" s="275"/>
      <c r="M45" s="275"/>
      <c r="N45" s="275"/>
      <c r="O45" s="275"/>
      <c r="P45" s="275"/>
      <c r="Q45" s="275"/>
      <c r="R45" s="276"/>
      <c r="W45" s="180" t="s">
        <v>220</v>
      </c>
      <c r="X45" s="239">
        <v>5.7140000000000003E-3</v>
      </c>
    </row>
    <row r="46" spans="2:24" x14ac:dyDescent="0.25">
      <c r="W46" s="180" t="s">
        <v>128</v>
      </c>
      <c r="X46" s="239">
        <v>4.7190000000000001E-3</v>
      </c>
    </row>
    <row r="47" spans="2:24" x14ac:dyDescent="0.25">
      <c r="W47" s="180" t="s">
        <v>123</v>
      </c>
      <c r="X47" s="239">
        <v>3.607E-3</v>
      </c>
    </row>
    <row r="48" spans="2:24" x14ac:dyDescent="0.25">
      <c r="W48" s="180" t="s">
        <v>112</v>
      </c>
      <c r="X48" s="239">
        <v>3.5239999999999998E-3</v>
      </c>
    </row>
    <row r="49" spans="23:24" x14ac:dyDescent="0.25">
      <c r="W49" s="180" t="s">
        <v>86</v>
      </c>
      <c r="X49" s="239">
        <v>3.1159999999999998E-3</v>
      </c>
    </row>
    <row r="50" spans="23:24" x14ac:dyDescent="0.25">
      <c r="W50" s="180" t="s">
        <v>11</v>
      </c>
      <c r="X50" s="239">
        <v>2.8609999999999998E-3</v>
      </c>
    </row>
    <row r="51" spans="23:24" x14ac:dyDescent="0.25">
      <c r="W51" s="180" t="s">
        <v>130</v>
      </c>
      <c r="X51" s="239">
        <v>2.8E-3</v>
      </c>
    </row>
    <row r="52" spans="23:24" x14ac:dyDescent="0.25">
      <c r="W52" s="180" t="s">
        <v>240</v>
      </c>
      <c r="X52" s="239">
        <v>1.99E-3</v>
      </c>
    </row>
    <row r="53" spans="23:24" x14ac:dyDescent="0.25">
      <c r="W53" s="180" t="s">
        <v>146</v>
      </c>
      <c r="X53" s="239">
        <v>1.603E-3</v>
      </c>
    </row>
    <row r="54" spans="23:24" x14ac:dyDescent="0.25">
      <c r="W54" s="180"/>
      <c r="X54" s="239"/>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283</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399</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6.8241999999999997E-2</v>
      </c>
      <c r="F8" s="29"/>
      <c r="G8" s="29"/>
      <c r="H8" s="29"/>
      <c r="I8" s="29"/>
      <c r="J8" s="29"/>
      <c r="K8" s="29"/>
      <c r="L8" s="29"/>
      <c r="M8" s="29"/>
      <c r="N8" s="29"/>
      <c r="O8" s="29"/>
      <c r="P8" s="29"/>
      <c r="Q8" s="29"/>
      <c r="R8" s="29"/>
      <c r="S8" s="29"/>
      <c r="T8" s="29"/>
      <c r="U8" s="25"/>
      <c r="W8" s="180" t="s">
        <v>3</v>
      </c>
      <c r="X8" s="239">
        <v>0.17945900000000006</v>
      </c>
    </row>
    <row r="9" spans="1:24" ht="15.75" x14ac:dyDescent="0.25">
      <c r="B9" s="64"/>
      <c r="C9" s="188" t="s">
        <v>32</v>
      </c>
      <c r="D9" s="196" t="s">
        <v>3</v>
      </c>
      <c r="E9" s="197">
        <v>4.7190000000000003E-2</v>
      </c>
      <c r="F9" s="29"/>
      <c r="G9" s="29"/>
      <c r="H9" s="29"/>
      <c r="I9" s="29"/>
      <c r="J9" s="29"/>
      <c r="K9" s="29"/>
      <c r="L9" s="29"/>
      <c r="M9" s="29"/>
      <c r="N9" s="29"/>
      <c r="O9" s="29"/>
      <c r="P9" s="29"/>
      <c r="Q9" s="29"/>
      <c r="R9" s="29"/>
      <c r="S9" s="29"/>
      <c r="T9" s="29"/>
      <c r="U9" s="25"/>
      <c r="W9" s="180" t="s">
        <v>107</v>
      </c>
      <c r="X9" s="239">
        <v>8.8847999999999996E-2</v>
      </c>
    </row>
    <row r="10" spans="1:24" ht="15.75" x14ac:dyDescent="0.25">
      <c r="B10" s="64"/>
      <c r="C10" s="188" t="s">
        <v>31</v>
      </c>
      <c r="D10" s="196" t="s">
        <v>6</v>
      </c>
      <c r="E10" s="197">
        <v>4.6826E-2</v>
      </c>
      <c r="F10" s="29"/>
      <c r="G10" s="29"/>
      <c r="H10" s="29"/>
      <c r="I10" s="29"/>
      <c r="J10" s="29"/>
      <c r="K10" s="29"/>
      <c r="L10" s="29"/>
      <c r="M10" s="29"/>
      <c r="N10" s="29"/>
      <c r="O10" s="29"/>
      <c r="P10" s="29"/>
      <c r="Q10" s="29"/>
      <c r="R10" s="29"/>
      <c r="S10" s="29"/>
      <c r="T10" s="29"/>
      <c r="U10" s="25"/>
      <c r="W10" s="180" t="s">
        <v>4</v>
      </c>
      <c r="X10" s="239">
        <v>5.9466000000000005E-2</v>
      </c>
    </row>
    <row r="11" spans="1:24" ht="15.75" x14ac:dyDescent="0.25">
      <c r="B11" s="64"/>
      <c r="C11" s="188" t="s">
        <v>28</v>
      </c>
      <c r="D11" s="196" t="s">
        <v>107</v>
      </c>
      <c r="E11" s="197">
        <v>3.2780999999999998E-2</v>
      </c>
      <c r="F11" s="29"/>
      <c r="G11" s="29"/>
      <c r="H11" s="29"/>
      <c r="I11" s="29"/>
      <c r="J11" s="29"/>
      <c r="K11" s="29"/>
      <c r="L11" s="29"/>
      <c r="M11" s="29"/>
      <c r="N11" s="29"/>
      <c r="O11" s="29"/>
      <c r="P11" s="29"/>
      <c r="Q11" s="29"/>
      <c r="R11" s="29"/>
      <c r="S11" s="29"/>
      <c r="T11" s="29"/>
      <c r="U11" s="25"/>
      <c r="W11" s="180" t="s">
        <v>6</v>
      </c>
      <c r="X11" s="239">
        <v>5.8589000000000009E-2</v>
      </c>
    </row>
    <row r="12" spans="1:24" ht="15.75" x14ac:dyDescent="0.25">
      <c r="B12" s="64"/>
      <c r="C12" s="188" t="s">
        <v>30</v>
      </c>
      <c r="D12" s="196" t="s">
        <v>117</v>
      </c>
      <c r="E12" s="197">
        <v>2.3567999999999999E-2</v>
      </c>
      <c r="F12" s="29"/>
      <c r="G12" s="29"/>
      <c r="H12" s="29"/>
      <c r="I12" s="29"/>
      <c r="J12" s="29"/>
      <c r="K12" s="29"/>
      <c r="L12" s="29"/>
      <c r="M12" s="29"/>
      <c r="N12" s="29"/>
      <c r="O12" s="29"/>
      <c r="P12" s="29"/>
      <c r="Q12" s="29"/>
      <c r="R12" s="29"/>
      <c r="S12" s="29"/>
      <c r="T12" s="29"/>
      <c r="U12" s="25"/>
      <c r="W12" s="180" t="s">
        <v>112</v>
      </c>
      <c r="X12" s="239">
        <v>4.9338000000000007E-2</v>
      </c>
    </row>
    <row r="13" spans="1:24" ht="15.75" x14ac:dyDescent="0.25">
      <c r="B13" s="64"/>
      <c r="C13" s="188" t="s">
        <v>70</v>
      </c>
      <c r="D13" s="196" t="s">
        <v>12</v>
      </c>
      <c r="E13" s="197">
        <v>2.2405000000000001E-2</v>
      </c>
      <c r="F13" s="29"/>
      <c r="G13" s="29"/>
      <c r="H13" s="29"/>
      <c r="I13" s="29"/>
      <c r="J13" s="29"/>
      <c r="K13" s="29"/>
      <c r="L13" s="29"/>
      <c r="M13" s="29"/>
      <c r="N13" s="29"/>
      <c r="O13" s="29"/>
      <c r="P13" s="29"/>
      <c r="Q13" s="29"/>
      <c r="R13" s="29"/>
      <c r="S13" s="29"/>
      <c r="T13" s="29"/>
      <c r="U13" s="25"/>
      <c r="W13" s="180" t="s">
        <v>111</v>
      </c>
      <c r="X13" s="239">
        <v>4.7589000000000006E-2</v>
      </c>
    </row>
    <row r="14" spans="1:24" ht="15.75" x14ac:dyDescent="0.25">
      <c r="B14" s="64"/>
      <c r="C14" s="188" t="s">
        <v>34</v>
      </c>
      <c r="D14" s="196" t="s">
        <v>23</v>
      </c>
      <c r="E14" s="197">
        <v>2.2103000000000001E-2</v>
      </c>
      <c r="F14" s="29"/>
      <c r="G14" s="29"/>
      <c r="H14" s="29"/>
      <c r="I14" s="29"/>
      <c r="J14" s="29"/>
      <c r="K14" s="29"/>
      <c r="L14" s="29"/>
      <c r="M14" s="29"/>
      <c r="N14" s="29"/>
      <c r="O14" s="29"/>
      <c r="P14" s="29"/>
      <c r="Q14" s="29"/>
      <c r="R14" s="29"/>
      <c r="S14" s="29"/>
      <c r="T14" s="29"/>
      <c r="U14" s="25"/>
      <c r="W14" s="180" t="s">
        <v>10</v>
      </c>
      <c r="X14" s="239">
        <v>3.7765000000000007E-2</v>
      </c>
    </row>
    <row r="15" spans="1:24" ht="15.75" x14ac:dyDescent="0.25">
      <c r="B15" s="64"/>
      <c r="C15" s="188" t="s">
        <v>33</v>
      </c>
      <c r="D15" s="196" t="s">
        <v>107</v>
      </c>
      <c r="E15" s="197">
        <v>2.1024999999999999E-2</v>
      </c>
      <c r="F15" s="29"/>
      <c r="G15" s="29"/>
      <c r="H15" s="29"/>
      <c r="I15" s="29"/>
      <c r="J15" s="29"/>
      <c r="K15" s="29"/>
      <c r="L15" s="29"/>
      <c r="M15" s="29"/>
      <c r="N15" s="29"/>
      <c r="O15" s="29"/>
      <c r="P15" s="29"/>
      <c r="Q15" s="29"/>
      <c r="R15" s="29"/>
      <c r="S15" s="29"/>
      <c r="T15" s="29"/>
      <c r="U15" s="25"/>
      <c r="W15" s="180" t="s">
        <v>117</v>
      </c>
      <c r="X15" s="239">
        <v>3.6334999999999999E-2</v>
      </c>
    </row>
    <row r="16" spans="1:24" ht="15.75" x14ac:dyDescent="0.25">
      <c r="B16" s="64"/>
      <c r="C16" s="188" t="s">
        <v>36</v>
      </c>
      <c r="D16" s="196" t="s">
        <v>3</v>
      </c>
      <c r="E16" s="197">
        <v>1.7131E-2</v>
      </c>
      <c r="F16" s="29"/>
      <c r="G16" s="29"/>
      <c r="H16" s="29"/>
      <c r="I16" s="29"/>
      <c r="J16" s="29"/>
      <c r="K16" s="29"/>
      <c r="L16" s="29"/>
      <c r="M16" s="29"/>
      <c r="N16" s="29"/>
      <c r="O16" s="29"/>
      <c r="P16" s="29"/>
      <c r="Q16" s="29"/>
      <c r="R16" s="29"/>
      <c r="S16" s="29"/>
      <c r="T16" s="29"/>
      <c r="U16" s="25"/>
      <c r="W16" s="180" t="s">
        <v>16</v>
      </c>
      <c r="X16" s="239">
        <v>3.3368000000000002E-2</v>
      </c>
    </row>
    <row r="17" spans="2:24" ht="15.75" x14ac:dyDescent="0.25">
      <c r="B17" s="64"/>
      <c r="C17" s="188" t="s">
        <v>79</v>
      </c>
      <c r="D17" s="196" t="s">
        <v>3</v>
      </c>
      <c r="E17" s="197">
        <v>1.6357E-2</v>
      </c>
      <c r="F17" s="29"/>
      <c r="G17" s="29"/>
      <c r="H17" s="29"/>
      <c r="I17" s="29"/>
      <c r="J17" s="29"/>
      <c r="K17" s="29"/>
      <c r="L17" s="29"/>
      <c r="M17" s="29"/>
      <c r="N17" s="29"/>
      <c r="O17" s="29"/>
      <c r="P17" s="29"/>
      <c r="Q17" s="29"/>
      <c r="R17" s="29"/>
      <c r="S17" s="29"/>
      <c r="T17" s="29"/>
      <c r="U17" s="25"/>
      <c r="W17" s="180" t="s">
        <v>23</v>
      </c>
      <c r="X17" s="239">
        <v>3.0054999999999998E-2</v>
      </c>
    </row>
    <row r="18" spans="2:24" ht="15.75" x14ac:dyDescent="0.25">
      <c r="B18" s="64"/>
      <c r="C18" s="188" t="s">
        <v>35</v>
      </c>
      <c r="D18" s="196" t="s">
        <v>3</v>
      </c>
      <c r="E18" s="197">
        <v>1.3173000000000001E-2</v>
      </c>
      <c r="F18" s="29"/>
      <c r="G18" s="29"/>
      <c r="H18" s="29"/>
      <c r="I18" s="29"/>
      <c r="J18" s="29"/>
      <c r="K18" s="29"/>
      <c r="L18" s="29"/>
      <c r="M18" s="29"/>
      <c r="N18" s="29"/>
      <c r="O18" s="29"/>
      <c r="P18" s="29"/>
      <c r="Q18" s="29"/>
      <c r="R18" s="29"/>
      <c r="S18" s="29"/>
      <c r="T18" s="29"/>
      <c r="U18" s="25"/>
      <c r="W18" s="180" t="s">
        <v>12</v>
      </c>
      <c r="X18" s="239">
        <v>2.8579E-2</v>
      </c>
    </row>
    <row r="19" spans="2:24" ht="15.75" x14ac:dyDescent="0.25">
      <c r="B19" s="64"/>
      <c r="C19" s="188" t="s">
        <v>120</v>
      </c>
      <c r="D19" s="196" t="s">
        <v>112</v>
      </c>
      <c r="E19" s="197">
        <v>1.2599000000000001E-2</v>
      </c>
      <c r="F19" s="29"/>
      <c r="G19" s="29"/>
      <c r="H19" s="29"/>
      <c r="I19" s="29"/>
      <c r="J19" s="29"/>
      <c r="K19" s="29"/>
      <c r="L19" s="29"/>
      <c r="M19" s="29"/>
      <c r="N19" s="29"/>
      <c r="O19" s="29"/>
      <c r="P19" s="29"/>
      <c r="Q19" s="29"/>
      <c r="R19" s="29"/>
      <c r="S19" s="29"/>
      <c r="T19" s="29"/>
      <c r="U19" s="25"/>
      <c r="W19" s="180" t="s">
        <v>26</v>
      </c>
      <c r="X19" s="239">
        <v>2.7404999999999992E-2</v>
      </c>
    </row>
    <row r="20" spans="2:24" ht="15.75" x14ac:dyDescent="0.25">
      <c r="B20" s="64"/>
      <c r="C20" s="188" t="s">
        <v>37</v>
      </c>
      <c r="D20" s="196" t="s">
        <v>117</v>
      </c>
      <c r="E20" s="197">
        <v>1.1667E-2</v>
      </c>
      <c r="F20" s="29"/>
      <c r="G20" s="29"/>
      <c r="H20" s="29"/>
      <c r="I20" s="29"/>
      <c r="J20" s="29"/>
      <c r="K20" s="29"/>
      <c r="L20" s="29"/>
      <c r="M20" s="29"/>
      <c r="N20" s="29"/>
      <c r="O20" s="29"/>
      <c r="P20" s="29"/>
      <c r="Q20" s="29"/>
      <c r="R20" s="29"/>
      <c r="S20" s="29"/>
      <c r="T20" s="29"/>
      <c r="U20" s="25"/>
      <c r="W20" s="180" t="s">
        <v>110</v>
      </c>
      <c r="X20" s="239">
        <v>2.4204E-2</v>
      </c>
    </row>
    <row r="21" spans="2:24" ht="30" x14ac:dyDescent="0.25">
      <c r="B21" s="64"/>
      <c r="C21" s="188" t="s">
        <v>268</v>
      </c>
      <c r="D21" s="196" t="s">
        <v>111</v>
      </c>
      <c r="E21" s="197">
        <v>1.0344000000000001E-2</v>
      </c>
      <c r="F21" s="29"/>
      <c r="G21" s="29"/>
      <c r="H21" s="29"/>
      <c r="I21" s="29"/>
      <c r="J21" s="29"/>
      <c r="K21" s="29"/>
      <c r="L21" s="29"/>
      <c r="M21" s="29"/>
      <c r="N21" s="29"/>
      <c r="O21" s="29"/>
      <c r="P21" s="29"/>
      <c r="Q21" s="29"/>
      <c r="R21" s="29"/>
      <c r="S21" s="29"/>
      <c r="T21" s="29"/>
      <c r="U21" s="25"/>
      <c r="W21" s="180" t="s">
        <v>24</v>
      </c>
      <c r="X21" s="239">
        <v>2.2510999999999996E-2</v>
      </c>
    </row>
    <row r="22" spans="2:24" ht="15.75" x14ac:dyDescent="0.25">
      <c r="B22" s="64"/>
      <c r="C22" s="188" t="s">
        <v>62</v>
      </c>
      <c r="D22" s="196" t="s">
        <v>10</v>
      </c>
      <c r="E22" s="197">
        <v>1.0018000000000001E-2</v>
      </c>
      <c r="F22" s="29"/>
      <c r="G22" s="29"/>
      <c r="H22" s="29"/>
      <c r="I22" s="29"/>
      <c r="J22" s="29"/>
      <c r="K22" s="29"/>
      <c r="L22" s="29"/>
      <c r="M22" s="29"/>
      <c r="N22" s="29"/>
      <c r="O22" s="29"/>
      <c r="P22" s="29"/>
      <c r="Q22" s="29"/>
      <c r="R22" s="29"/>
      <c r="S22" s="29"/>
      <c r="T22" s="29"/>
      <c r="U22" s="25"/>
      <c r="W22" s="180" t="s">
        <v>83</v>
      </c>
      <c r="X22" s="239">
        <v>1.9563999999999998E-2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119</v>
      </c>
      <c r="X23" s="239">
        <v>1.9224000000000002E-2</v>
      </c>
    </row>
    <row r="24" spans="2:24" ht="15.75" x14ac:dyDescent="0.25">
      <c r="B24" s="64"/>
      <c r="C24" s="73" t="s">
        <v>55</v>
      </c>
      <c r="D24" s="74"/>
      <c r="E24" s="75">
        <f>SUM(E8:E22)</f>
        <v>0.37542900000000012</v>
      </c>
      <c r="F24" s="29"/>
      <c r="G24" s="29"/>
      <c r="H24" s="29"/>
      <c r="I24" s="29"/>
      <c r="J24" s="29"/>
      <c r="K24" s="29"/>
      <c r="L24" s="29"/>
      <c r="M24" s="29"/>
      <c r="N24" s="29"/>
      <c r="O24" s="29"/>
      <c r="P24" s="29"/>
      <c r="Q24" s="29"/>
      <c r="R24" s="29"/>
      <c r="S24" s="29"/>
      <c r="T24" s="29"/>
      <c r="U24" s="25"/>
      <c r="W24" s="180" t="s">
        <v>11</v>
      </c>
      <c r="X24" s="239">
        <v>1.7314999999999997E-2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116</v>
      </c>
      <c r="X25" s="239">
        <v>1.6806999999999996E-2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86</v>
      </c>
      <c r="X26" s="239">
        <v>1.6050999999999999E-2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113</v>
      </c>
      <c r="X27" s="62">
        <v>1.4023999999999998E-2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85</v>
      </c>
      <c r="X28" s="62">
        <v>1.3998E-2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77</v>
      </c>
      <c r="X29" s="62">
        <v>1.3319999999999999E-2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87</v>
      </c>
      <c r="X30" s="62">
        <v>1.1312999999999998E-2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108</v>
      </c>
      <c r="X31" s="62">
        <v>9.8300000000000002E-3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84</v>
      </c>
      <c r="X32" s="62">
        <v>9.0789999999999985E-3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121</v>
      </c>
      <c r="X33" s="62">
        <v>8.9739999999999993E-3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25</v>
      </c>
      <c r="X34" s="62">
        <v>8.5640000000000004E-3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115</v>
      </c>
      <c r="X35" s="62">
        <v>8.4140000000000013E-3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124</v>
      </c>
      <c r="X36" s="62">
        <v>7.757E-3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106</v>
      </c>
      <c r="X37" s="62">
        <v>7.6959999999999997E-3</v>
      </c>
    </row>
    <row r="38" spans="2:24" ht="15.75" thickBot="1" x14ac:dyDescent="0.3">
      <c r="W38" s="61" t="s">
        <v>130</v>
      </c>
      <c r="X38" s="62">
        <v>7.6E-3</v>
      </c>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t="s">
        <v>15</v>
      </c>
      <c r="X39" s="62">
        <v>7.5669999999999999E-3</v>
      </c>
    </row>
    <row r="40" spans="2:24" x14ac:dyDescent="0.25">
      <c r="B40" s="271"/>
      <c r="C40" s="272"/>
      <c r="D40" s="272"/>
      <c r="E40" s="272"/>
      <c r="F40" s="272"/>
      <c r="G40" s="272"/>
      <c r="H40" s="272"/>
      <c r="I40" s="272"/>
      <c r="J40" s="272"/>
      <c r="K40" s="272"/>
      <c r="L40" s="272"/>
      <c r="M40" s="272"/>
      <c r="N40" s="272"/>
      <c r="O40" s="272"/>
      <c r="P40" s="272"/>
      <c r="Q40" s="272"/>
      <c r="R40" s="273"/>
      <c r="W40" s="61" t="s">
        <v>13</v>
      </c>
      <c r="X40" s="62">
        <v>7.2570000000000004E-3</v>
      </c>
    </row>
    <row r="41" spans="2:24" x14ac:dyDescent="0.25">
      <c r="B41" s="271"/>
      <c r="C41" s="272"/>
      <c r="D41" s="272"/>
      <c r="E41" s="272"/>
      <c r="F41" s="272"/>
      <c r="G41" s="272"/>
      <c r="H41" s="272"/>
      <c r="I41" s="272"/>
      <c r="J41" s="272"/>
      <c r="K41" s="272"/>
      <c r="L41" s="272"/>
      <c r="M41" s="272"/>
      <c r="N41" s="272"/>
      <c r="O41" s="272"/>
      <c r="P41" s="272"/>
      <c r="Q41" s="272"/>
      <c r="R41" s="273"/>
      <c r="W41" s="61" t="s">
        <v>118</v>
      </c>
      <c r="X41" s="62">
        <v>6.9769999999999997E-3</v>
      </c>
    </row>
    <row r="42" spans="2:24" x14ac:dyDescent="0.25">
      <c r="B42" s="271"/>
      <c r="C42" s="272"/>
      <c r="D42" s="272"/>
      <c r="E42" s="272"/>
      <c r="F42" s="272"/>
      <c r="G42" s="272"/>
      <c r="H42" s="272"/>
      <c r="I42" s="272"/>
      <c r="J42" s="272"/>
      <c r="K42" s="272"/>
      <c r="L42" s="272"/>
      <c r="M42" s="272"/>
      <c r="N42" s="272"/>
      <c r="O42" s="272"/>
      <c r="P42" s="272"/>
      <c r="Q42" s="272"/>
      <c r="R42" s="273"/>
      <c r="W42" s="61" t="s">
        <v>137</v>
      </c>
      <c r="X42" s="62">
        <v>6.0029999999999988E-3</v>
      </c>
    </row>
    <row r="43" spans="2:24" x14ac:dyDescent="0.25">
      <c r="B43" s="271"/>
      <c r="C43" s="272"/>
      <c r="D43" s="272"/>
      <c r="E43" s="272"/>
      <c r="F43" s="272"/>
      <c r="G43" s="272"/>
      <c r="H43" s="272"/>
      <c r="I43" s="272"/>
      <c r="J43" s="272"/>
      <c r="K43" s="272"/>
      <c r="L43" s="272"/>
      <c r="M43" s="272"/>
      <c r="N43" s="272"/>
      <c r="O43" s="272"/>
      <c r="P43" s="272"/>
      <c r="Q43" s="272"/>
      <c r="R43" s="273"/>
      <c r="W43" s="61" t="s">
        <v>131</v>
      </c>
      <c r="X43" s="62">
        <v>5.7230000000000007E-3</v>
      </c>
    </row>
    <row r="44" spans="2:24" x14ac:dyDescent="0.25">
      <c r="B44" s="271"/>
      <c r="C44" s="272"/>
      <c r="D44" s="272"/>
      <c r="E44" s="272"/>
      <c r="F44" s="272"/>
      <c r="G44" s="272"/>
      <c r="H44" s="272"/>
      <c r="I44" s="272"/>
      <c r="J44" s="272"/>
      <c r="K44" s="272"/>
      <c r="L44" s="272"/>
      <c r="M44" s="272"/>
      <c r="N44" s="272"/>
      <c r="O44" s="272"/>
      <c r="P44" s="272"/>
      <c r="Q44" s="272"/>
      <c r="R44" s="273"/>
      <c r="W44" s="61" t="s">
        <v>133</v>
      </c>
      <c r="X44" s="62">
        <v>4.2220000000000001E-3</v>
      </c>
    </row>
    <row r="45" spans="2:24" ht="15.75" thickBot="1" x14ac:dyDescent="0.3">
      <c r="B45" s="274"/>
      <c r="C45" s="275"/>
      <c r="D45" s="275"/>
      <c r="E45" s="275"/>
      <c r="F45" s="275"/>
      <c r="G45" s="275"/>
      <c r="H45" s="275"/>
      <c r="I45" s="275"/>
      <c r="J45" s="275"/>
      <c r="K45" s="275"/>
      <c r="L45" s="275"/>
      <c r="M45" s="275"/>
      <c r="N45" s="275"/>
      <c r="O45" s="275"/>
      <c r="P45" s="275"/>
      <c r="Q45" s="275"/>
      <c r="R45" s="276"/>
      <c r="W45" s="61" t="s">
        <v>185</v>
      </c>
      <c r="X45" s="62">
        <v>3.8279999999999998E-3</v>
      </c>
    </row>
    <row r="46" spans="2:24" x14ac:dyDescent="0.25">
      <c r="W46" s="61" t="s">
        <v>132</v>
      </c>
      <c r="X46" s="62">
        <v>3.5890000000000002E-3</v>
      </c>
    </row>
    <row r="47" spans="2:24" x14ac:dyDescent="0.25">
      <c r="W47" s="61" t="s">
        <v>122</v>
      </c>
      <c r="X47" s="62">
        <v>3.4089999999999997E-3</v>
      </c>
    </row>
    <row r="48" spans="2:24" x14ac:dyDescent="0.25">
      <c r="W48" s="61" t="s">
        <v>127</v>
      </c>
      <c r="X48" s="62">
        <v>3.045E-3</v>
      </c>
    </row>
    <row r="49" spans="23:24" x14ac:dyDescent="0.25">
      <c r="W49" s="61" t="s">
        <v>114</v>
      </c>
      <c r="X49" s="62">
        <v>2.9020000000000001E-3</v>
      </c>
    </row>
    <row r="50" spans="23:24" x14ac:dyDescent="0.25">
      <c r="W50" s="61" t="s">
        <v>95</v>
      </c>
      <c r="X50" s="62">
        <v>2.5309999999999998E-3</v>
      </c>
    </row>
    <row r="51" spans="23:24" x14ac:dyDescent="0.25">
      <c r="W51" s="61" t="s">
        <v>126</v>
      </c>
      <c r="X51" s="62">
        <v>2.5010000000000002E-3</v>
      </c>
    </row>
    <row r="52" spans="23:24" x14ac:dyDescent="0.25">
      <c r="W52" s="61" t="s">
        <v>146</v>
      </c>
      <c r="X52" s="62">
        <v>2.075E-3</v>
      </c>
    </row>
    <row r="53" spans="23:24" x14ac:dyDescent="0.25">
      <c r="W53" s="61" t="s">
        <v>123</v>
      </c>
      <c r="X53" s="62">
        <v>1.6459999999999999E-3</v>
      </c>
    </row>
    <row r="54" spans="23:24" x14ac:dyDescent="0.25">
      <c r="W54" s="61" t="s">
        <v>125</v>
      </c>
      <c r="X54" s="62">
        <v>9.7599999999999998E-4</v>
      </c>
    </row>
    <row r="55" spans="23:24" x14ac:dyDescent="0.25">
      <c r="W55" s="61" t="s">
        <v>219</v>
      </c>
      <c r="X55" s="62">
        <v>8.1400000000000005E-4</v>
      </c>
    </row>
    <row r="56" spans="23:24" x14ac:dyDescent="0.25">
      <c r="W56" s="61" t="s">
        <v>291</v>
      </c>
      <c r="X56" s="62">
        <v>7.4400000000000009E-4</v>
      </c>
    </row>
    <row r="57" spans="23:24" x14ac:dyDescent="0.25">
      <c r="W57" s="61" t="s">
        <v>186</v>
      </c>
      <c r="X57" s="62">
        <v>6.5799999999999995E-4</v>
      </c>
    </row>
    <row r="58" spans="23:24" x14ac:dyDescent="0.25">
      <c r="W58" s="61" t="s">
        <v>128</v>
      </c>
      <c r="X58" s="62">
        <v>5.53E-4</v>
      </c>
    </row>
    <row r="59" spans="23:24" x14ac:dyDescent="0.25">
      <c r="W59" s="61" t="s">
        <v>220</v>
      </c>
      <c r="X59" s="62">
        <v>4.2900000000000002E-4</v>
      </c>
    </row>
    <row r="60" spans="23:24" x14ac:dyDescent="0.25">
      <c r="W60" s="61" t="s">
        <v>292</v>
      </c>
      <c r="X60" s="62">
        <v>2.05E-4</v>
      </c>
    </row>
    <row r="61" spans="23:24" x14ac:dyDescent="0.25">
      <c r="W61" s="61" t="s">
        <v>240</v>
      </c>
      <c r="X61" s="62">
        <v>1.73E-4</v>
      </c>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309</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400</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0.28698800000000002</v>
      </c>
      <c r="F8" s="29"/>
      <c r="G8" s="29"/>
      <c r="H8" s="29"/>
      <c r="I8" s="29"/>
      <c r="J8" s="29"/>
      <c r="K8" s="29"/>
      <c r="L8" s="29"/>
      <c r="M8" s="29"/>
      <c r="N8" s="29"/>
      <c r="O8" s="29"/>
      <c r="P8" s="29"/>
      <c r="Q8" s="29"/>
      <c r="R8" s="29"/>
      <c r="S8" s="29"/>
      <c r="T8" s="29"/>
      <c r="U8" s="25"/>
      <c r="W8" s="180" t="s">
        <v>3</v>
      </c>
      <c r="X8" s="239">
        <v>0.99950899999999987</v>
      </c>
    </row>
    <row r="9" spans="1:24" ht="15.75" x14ac:dyDescent="0.25">
      <c r="B9" s="64"/>
      <c r="C9" s="188" t="s">
        <v>32</v>
      </c>
      <c r="D9" s="196" t="s">
        <v>3</v>
      </c>
      <c r="E9" s="197">
        <v>0.24638699999999999</v>
      </c>
      <c r="F9" s="29"/>
      <c r="G9" s="29"/>
      <c r="H9" s="29"/>
      <c r="I9" s="29"/>
      <c r="J9" s="29"/>
      <c r="K9" s="29"/>
      <c r="L9" s="29"/>
      <c r="M9" s="29"/>
      <c r="N9" s="29"/>
      <c r="O9" s="29"/>
      <c r="P9" s="29"/>
      <c r="Q9" s="29"/>
      <c r="R9" s="29"/>
      <c r="S9" s="29"/>
      <c r="T9" s="29"/>
      <c r="U9" s="25"/>
      <c r="W9" s="180"/>
      <c r="X9" s="239"/>
    </row>
    <row r="10" spans="1:24" ht="15.75" x14ac:dyDescent="0.25">
      <c r="B10" s="64"/>
      <c r="C10" s="188" t="s">
        <v>79</v>
      </c>
      <c r="D10" s="196" t="s">
        <v>3</v>
      </c>
      <c r="E10" s="197">
        <v>0.10115499999999999</v>
      </c>
      <c r="F10" s="29"/>
      <c r="G10" s="29"/>
      <c r="H10" s="29"/>
      <c r="I10" s="29"/>
      <c r="J10" s="29"/>
      <c r="K10" s="29"/>
      <c r="L10" s="29"/>
      <c r="M10" s="29"/>
      <c r="N10" s="29"/>
      <c r="O10" s="29"/>
      <c r="P10" s="29"/>
      <c r="Q10" s="29"/>
      <c r="R10" s="29"/>
      <c r="S10" s="29"/>
      <c r="T10" s="29"/>
      <c r="U10" s="25"/>
      <c r="W10" s="180"/>
      <c r="X10" s="239"/>
    </row>
    <row r="11" spans="1:24" ht="15.75" x14ac:dyDescent="0.25">
      <c r="B11" s="64"/>
      <c r="C11" s="188" t="s">
        <v>36</v>
      </c>
      <c r="D11" s="196" t="s">
        <v>3</v>
      </c>
      <c r="E11" s="197">
        <v>8.9438000000000004E-2</v>
      </c>
      <c r="F11" s="29"/>
      <c r="G11" s="29"/>
      <c r="H11" s="29"/>
      <c r="I11" s="29"/>
      <c r="J11" s="29"/>
      <c r="K11" s="29"/>
      <c r="L11" s="29"/>
      <c r="M11" s="29"/>
      <c r="N11" s="29"/>
      <c r="O11" s="29"/>
      <c r="P11" s="29"/>
      <c r="Q11" s="29"/>
      <c r="R11" s="29"/>
      <c r="S11" s="29"/>
      <c r="T11" s="29"/>
      <c r="U11" s="25"/>
      <c r="W11" s="180"/>
      <c r="X11" s="239"/>
    </row>
    <row r="12" spans="1:24" ht="15.75" x14ac:dyDescent="0.25">
      <c r="B12" s="64"/>
      <c r="C12" s="188" t="s">
        <v>35</v>
      </c>
      <c r="D12" s="196" t="s">
        <v>3</v>
      </c>
      <c r="E12" s="197">
        <v>8.9212E-2</v>
      </c>
      <c r="F12" s="29"/>
      <c r="G12" s="29"/>
      <c r="H12" s="29"/>
      <c r="I12" s="29"/>
      <c r="J12" s="29"/>
      <c r="K12" s="29"/>
      <c r="L12" s="29"/>
      <c r="M12" s="29"/>
      <c r="N12" s="29"/>
      <c r="O12" s="29"/>
      <c r="P12" s="29"/>
      <c r="Q12" s="29"/>
      <c r="R12" s="29"/>
      <c r="S12" s="29"/>
      <c r="T12" s="29"/>
      <c r="U12" s="25"/>
      <c r="W12" s="180"/>
      <c r="X12" s="239"/>
    </row>
    <row r="13" spans="1:24" ht="15.75" x14ac:dyDescent="0.25">
      <c r="B13" s="64"/>
      <c r="C13" s="188" t="s">
        <v>135</v>
      </c>
      <c r="D13" s="196" t="s">
        <v>3</v>
      </c>
      <c r="E13" s="197">
        <v>4.2241000000000001E-2</v>
      </c>
      <c r="F13" s="29"/>
      <c r="G13" s="29"/>
      <c r="H13" s="29"/>
      <c r="I13" s="29"/>
      <c r="J13" s="29"/>
      <c r="K13" s="29"/>
      <c r="L13" s="29"/>
      <c r="M13" s="29"/>
      <c r="N13" s="29"/>
      <c r="O13" s="29"/>
      <c r="P13" s="29"/>
      <c r="Q13" s="29"/>
      <c r="R13" s="29"/>
      <c r="S13" s="29"/>
      <c r="T13" s="29"/>
      <c r="U13" s="25"/>
      <c r="W13" s="180"/>
      <c r="X13" s="239"/>
    </row>
    <row r="14" spans="1:24" ht="15.75" x14ac:dyDescent="0.25">
      <c r="B14" s="64"/>
      <c r="C14" s="188" t="s">
        <v>284</v>
      </c>
      <c r="D14" s="196" t="s">
        <v>3</v>
      </c>
      <c r="E14" s="197">
        <v>3.0214000000000001E-2</v>
      </c>
      <c r="F14" s="29"/>
      <c r="G14" s="29"/>
      <c r="H14" s="29"/>
      <c r="I14" s="29"/>
      <c r="J14" s="29"/>
      <c r="K14" s="29"/>
      <c r="L14" s="29"/>
      <c r="M14" s="29"/>
      <c r="N14" s="29"/>
      <c r="O14" s="29"/>
      <c r="P14" s="29"/>
      <c r="Q14" s="29"/>
      <c r="R14" s="29"/>
      <c r="S14" s="29"/>
      <c r="T14" s="29"/>
      <c r="U14" s="25"/>
      <c r="W14" s="180"/>
      <c r="X14" s="239"/>
    </row>
    <row r="15" spans="1:24" ht="15.75" x14ac:dyDescent="0.25">
      <c r="B15" s="64"/>
      <c r="C15" s="188" t="s">
        <v>307</v>
      </c>
      <c r="D15" s="196" t="s">
        <v>3</v>
      </c>
      <c r="E15" s="197">
        <v>2.8327000000000001E-2</v>
      </c>
      <c r="F15" s="29"/>
      <c r="G15" s="29"/>
      <c r="H15" s="29"/>
      <c r="I15" s="29"/>
      <c r="J15" s="29"/>
      <c r="K15" s="29"/>
      <c r="L15" s="29"/>
      <c r="M15" s="29"/>
      <c r="N15" s="29"/>
      <c r="O15" s="29"/>
      <c r="P15" s="29"/>
      <c r="Q15" s="29"/>
      <c r="R15" s="29"/>
      <c r="S15" s="29"/>
      <c r="T15" s="29"/>
      <c r="U15" s="25"/>
      <c r="W15" s="180"/>
      <c r="X15" s="239"/>
    </row>
    <row r="16" spans="1:24" ht="15.75" x14ac:dyDescent="0.25">
      <c r="B16" s="64"/>
      <c r="C16" s="188" t="s">
        <v>308</v>
      </c>
      <c r="D16" s="196" t="s">
        <v>3</v>
      </c>
      <c r="E16" s="197">
        <v>2.6280000000000001E-2</v>
      </c>
      <c r="F16" s="29"/>
      <c r="G16" s="29"/>
      <c r="H16" s="29"/>
      <c r="I16" s="29"/>
      <c r="J16" s="29"/>
      <c r="K16" s="29"/>
      <c r="L16" s="29"/>
      <c r="M16" s="29"/>
      <c r="N16" s="29"/>
      <c r="O16" s="29"/>
      <c r="P16" s="29"/>
      <c r="Q16" s="29"/>
      <c r="R16" s="29"/>
      <c r="S16" s="29"/>
      <c r="T16" s="29"/>
      <c r="U16" s="25"/>
      <c r="W16" s="180"/>
      <c r="X16" s="239"/>
    </row>
    <row r="17" spans="2:24" ht="15.75" x14ac:dyDescent="0.25">
      <c r="B17" s="64"/>
      <c r="C17" s="188" t="s">
        <v>327</v>
      </c>
      <c r="D17" s="196" t="s">
        <v>3</v>
      </c>
      <c r="E17" s="197">
        <v>2.0938999999999999E-2</v>
      </c>
      <c r="F17" s="29"/>
      <c r="G17" s="29"/>
      <c r="H17" s="29"/>
      <c r="I17" s="29"/>
      <c r="J17" s="29"/>
      <c r="K17" s="29"/>
      <c r="L17" s="29"/>
      <c r="M17" s="29"/>
      <c r="N17" s="29"/>
      <c r="O17" s="29"/>
      <c r="P17" s="29"/>
      <c r="Q17" s="29"/>
      <c r="R17" s="29"/>
      <c r="S17" s="29"/>
      <c r="T17" s="29"/>
      <c r="U17" s="25"/>
      <c r="W17" s="180"/>
      <c r="X17" s="239"/>
    </row>
    <row r="18" spans="2:24" ht="15.75" x14ac:dyDescent="0.25">
      <c r="B18" s="64"/>
      <c r="C18" s="188" t="s">
        <v>278</v>
      </c>
      <c r="D18" s="196" t="s">
        <v>3</v>
      </c>
      <c r="E18" s="197">
        <v>2.0766E-2</v>
      </c>
      <c r="F18" s="29"/>
      <c r="G18" s="29"/>
      <c r="H18" s="29"/>
      <c r="I18" s="29"/>
      <c r="J18" s="29"/>
      <c r="K18" s="29"/>
      <c r="L18" s="29"/>
      <c r="M18" s="29"/>
      <c r="N18" s="29"/>
      <c r="O18" s="29"/>
      <c r="P18" s="29"/>
      <c r="Q18" s="29"/>
      <c r="R18" s="29"/>
      <c r="S18" s="29"/>
      <c r="T18" s="29"/>
      <c r="U18" s="25"/>
      <c r="W18" s="180"/>
      <c r="X18" s="239"/>
    </row>
    <row r="19" spans="2:24" ht="15.75" x14ac:dyDescent="0.25">
      <c r="B19" s="64"/>
      <c r="C19" s="188" t="s">
        <v>297</v>
      </c>
      <c r="D19" s="196" t="s">
        <v>3</v>
      </c>
      <c r="E19" s="197">
        <v>1.7562000000000001E-2</v>
      </c>
      <c r="F19" s="29"/>
      <c r="G19" s="29"/>
      <c r="H19" s="29"/>
      <c r="I19" s="29"/>
      <c r="J19" s="29"/>
      <c r="K19" s="29"/>
      <c r="L19" s="29"/>
      <c r="M19" s="29"/>
      <c r="N19" s="29"/>
      <c r="O19" s="29"/>
      <c r="P19" s="29"/>
      <c r="Q19" s="29"/>
      <c r="R19" s="29"/>
      <c r="S19" s="29"/>
      <c r="T19" s="29"/>
      <c r="U19" s="25"/>
      <c r="W19" s="180"/>
      <c r="X19" s="239"/>
    </row>
    <row r="20" spans="2:24" ht="15.75" x14ac:dyDescent="0.25">
      <c r="B20" s="64"/>
      <c r="C20" s="73" t="s">
        <v>55</v>
      </c>
      <c r="D20" s="74"/>
      <c r="E20" s="75">
        <f>SUM(E8:E19)</f>
        <v>0.99950899999999987</v>
      </c>
      <c r="F20" s="29"/>
      <c r="G20" s="29"/>
      <c r="H20" s="29"/>
      <c r="I20" s="29"/>
      <c r="J20" s="29"/>
      <c r="K20" s="29"/>
      <c r="L20" s="29"/>
      <c r="M20" s="29"/>
      <c r="N20" s="29"/>
      <c r="O20" s="29"/>
      <c r="P20" s="29"/>
      <c r="Q20" s="29"/>
      <c r="R20" s="29"/>
      <c r="S20" s="29"/>
      <c r="T20" s="29"/>
      <c r="U20" s="25"/>
      <c r="W20" s="180"/>
      <c r="X20" s="23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39"/>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39"/>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39"/>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39"/>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9"/>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c r="W43" s="61"/>
      <c r="X43" s="62"/>
    </row>
    <row r="44" spans="2:24" x14ac:dyDescent="0.25">
      <c r="B44" s="271"/>
      <c r="C44" s="272"/>
      <c r="D44" s="272"/>
      <c r="E44" s="272"/>
      <c r="F44" s="272"/>
      <c r="G44" s="272"/>
      <c r="H44" s="272"/>
      <c r="I44" s="272"/>
      <c r="J44" s="272"/>
      <c r="K44" s="272"/>
      <c r="L44" s="272"/>
      <c r="M44" s="272"/>
      <c r="N44" s="272"/>
      <c r="O44" s="272"/>
      <c r="P44" s="272"/>
      <c r="Q44" s="272"/>
      <c r="R44" s="273"/>
      <c r="W44" s="61"/>
      <c r="X44" s="62"/>
    </row>
    <row r="45" spans="2:24" ht="15.75" thickBot="1" x14ac:dyDescent="0.3">
      <c r="B45" s="274"/>
      <c r="C45" s="275"/>
      <c r="D45" s="275"/>
      <c r="E45" s="275"/>
      <c r="F45" s="275"/>
      <c r="G45" s="275"/>
      <c r="H45" s="275"/>
      <c r="I45" s="275"/>
      <c r="J45" s="275"/>
      <c r="K45" s="275"/>
      <c r="L45" s="275"/>
      <c r="M45" s="275"/>
      <c r="N45" s="275"/>
      <c r="O45" s="275"/>
      <c r="P45" s="275"/>
      <c r="Q45" s="275"/>
      <c r="R45" s="276"/>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43.28515625" style="19"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328</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401</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268</v>
      </c>
      <c r="D8" s="194" t="s">
        <v>111</v>
      </c>
      <c r="E8" s="195">
        <v>0.15451899999999999</v>
      </c>
      <c r="F8" s="29"/>
      <c r="G8" s="29"/>
      <c r="H8" s="29"/>
      <c r="I8" s="29"/>
      <c r="J8" s="29"/>
      <c r="K8" s="29"/>
      <c r="L8" s="29"/>
      <c r="M8" s="29"/>
      <c r="N8" s="29"/>
      <c r="O8" s="29"/>
      <c r="P8" s="29"/>
      <c r="Q8" s="29"/>
      <c r="R8" s="29"/>
      <c r="S8" s="29"/>
      <c r="T8" s="29"/>
      <c r="U8" s="25"/>
      <c r="W8" s="180" t="s">
        <v>111</v>
      </c>
      <c r="X8" s="239">
        <v>0.77067700000000006</v>
      </c>
    </row>
    <row r="9" spans="1:24" ht="15.75" x14ac:dyDescent="0.25">
      <c r="B9" s="64"/>
      <c r="C9" s="188" t="s">
        <v>104</v>
      </c>
      <c r="D9" s="196" t="s">
        <v>111</v>
      </c>
      <c r="E9" s="197">
        <v>6.6991999999999996E-2</v>
      </c>
      <c r="F9" s="29"/>
      <c r="G9" s="29"/>
      <c r="H9" s="29"/>
      <c r="I9" s="29"/>
      <c r="J9" s="29"/>
      <c r="K9" s="29"/>
      <c r="L9" s="29"/>
      <c r="M9" s="29"/>
      <c r="N9" s="29"/>
      <c r="O9" s="29"/>
      <c r="P9" s="29"/>
      <c r="Q9" s="29"/>
      <c r="R9" s="29"/>
      <c r="S9" s="29"/>
      <c r="T9" s="29"/>
      <c r="U9" s="25"/>
      <c r="W9" s="180" t="s">
        <v>77</v>
      </c>
      <c r="X9" s="239">
        <v>0.22172600000000006</v>
      </c>
    </row>
    <row r="10" spans="1:24" ht="15.75" x14ac:dyDescent="0.25">
      <c r="B10" s="64"/>
      <c r="C10" s="188" t="s">
        <v>142</v>
      </c>
      <c r="D10" s="196" t="s">
        <v>111</v>
      </c>
      <c r="E10" s="197">
        <v>6.0066000000000001E-2</v>
      </c>
      <c r="F10" s="29"/>
      <c r="G10" s="29"/>
      <c r="H10" s="29"/>
      <c r="I10" s="29"/>
      <c r="J10" s="29"/>
      <c r="K10" s="29"/>
      <c r="L10" s="29"/>
      <c r="M10" s="29"/>
      <c r="N10" s="29"/>
      <c r="O10" s="29"/>
      <c r="P10" s="29"/>
      <c r="Q10" s="29"/>
      <c r="R10" s="29"/>
      <c r="S10" s="29"/>
      <c r="T10" s="29"/>
      <c r="U10" s="25"/>
      <c r="W10" s="180" t="s">
        <v>220</v>
      </c>
      <c r="X10" s="239">
        <v>8.1530000000000005E-3</v>
      </c>
    </row>
    <row r="11" spans="1:24" ht="15.75" x14ac:dyDescent="0.25">
      <c r="B11" s="64"/>
      <c r="C11" s="188" t="s">
        <v>330</v>
      </c>
      <c r="D11" s="196" t="s">
        <v>111</v>
      </c>
      <c r="E11" s="197">
        <v>5.8133999999999998E-2</v>
      </c>
      <c r="F11" s="29"/>
      <c r="G11" s="29"/>
      <c r="H11" s="29"/>
      <c r="I11" s="29"/>
      <c r="J11" s="29"/>
      <c r="K11" s="29"/>
      <c r="L11" s="29"/>
      <c r="M11" s="29"/>
      <c r="N11" s="29"/>
      <c r="O11" s="29"/>
      <c r="P11" s="29"/>
      <c r="Q11" s="29"/>
      <c r="R11" s="29"/>
      <c r="S11" s="29"/>
      <c r="T11" s="29"/>
      <c r="U11" s="25"/>
      <c r="W11" s="180"/>
      <c r="X11" s="239"/>
    </row>
    <row r="12" spans="1:24" ht="15.75" x14ac:dyDescent="0.25">
      <c r="B12" s="64"/>
      <c r="C12" s="188" t="s">
        <v>329</v>
      </c>
      <c r="D12" s="196" t="s">
        <v>77</v>
      </c>
      <c r="E12" s="197">
        <v>5.8124000000000002E-2</v>
      </c>
      <c r="F12" s="29"/>
      <c r="G12" s="29"/>
      <c r="H12" s="29"/>
      <c r="I12" s="29"/>
      <c r="J12" s="29"/>
      <c r="K12" s="29"/>
      <c r="L12" s="29"/>
      <c r="M12" s="29"/>
      <c r="N12" s="29"/>
      <c r="O12" s="29"/>
      <c r="P12" s="29"/>
      <c r="Q12" s="29"/>
      <c r="R12" s="29"/>
      <c r="S12" s="29"/>
      <c r="T12" s="29"/>
      <c r="U12" s="25"/>
      <c r="W12" s="180"/>
      <c r="X12" s="239"/>
    </row>
    <row r="13" spans="1:24" ht="15.75" x14ac:dyDescent="0.25">
      <c r="B13" s="64"/>
      <c r="C13" s="188" t="s">
        <v>323</v>
      </c>
      <c r="D13" s="196" t="s">
        <v>77</v>
      </c>
      <c r="E13" s="197">
        <v>5.4067999999999998E-2</v>
      </c>
      <c r="F13" s="29"/>
      <c r="G13" s="29"/>
      <c r="H13" s="29"/>
      <c r="I13" s="29"/>
      <c r="J13" s="29"/>
      <c r="K13" s="29"/>
      <c r="L13" s="29"/>
      <c r="M13" s="29"/>
      <c r="N13" s="29"/>
      <c r="O13" s="29"/>
      <c r="P13" s="29"/>
      <c r="Q13" s="29"/>
      <c r="R13" s="29"/>
      <c r="S13" s="29"/>
      <c r="T13" s="29"/>
      <c r="U13" s="25"/>
      <c r="W13" s="180"/>
      <c r="X13" s="239"/>
    </row>
    <row r="14" spans="1:24" ht="15.75" x14ac:dyDescent="0.25">
      <c r="B14" s="64"/>
      <c r="C14" s="188" t="s">
        <v>331</v>
      </c>
      <c r="D14" s="196" t="s">
        <v>111</v>
      </c>
      <c r="E14" s="197">
        <v>4.0895000000000001E-2</v>
      </c>
      <c r="F14" s="29"/>
      <c r="G14" s="29"/>
      <c r="H14" s="29"/>
      <c r="I14" s="29"/>
      <c r="J14" s="29"/>
      <c r="K14" s="29"/>
      <c r="L14" s="29"/>
      <c r="M14" s="29"/>
      <c r="N14" s="29"/>
      <c r="O14" s="29"/>
      <c r="P14" s="29"/>
      <c r="Q14" s="29"/>
      <c r="R14" s="29"/>
      <c r="S14" s="29"/>
      <c r="T14" s="29"/>
      <c r="U14" s="25"/>
      <c r="W14" s="180"/>
      <c r="X14" s="239"/>
    </row>
    <row r="15" spans="1:24" ht="15.75" x14ac:dyDescent="0.25">
      <c r="B15" s="64"/>
      <c r="C15" s="188" t="s">
        <v>304</v>
      </c>
      <c r="D15" s="196" t="s">
        <v>111</v>
      </c>
      <c r="E15" s="197">
        <v>3.0391000000000001E-2</v>
      </c>
      <c r="F15" s="29"/>
      <c r="G15" s="29"/>
      <c r="H15" s="29"/>
      <c r="I15" s="29"/>
      <c r="J15" s="29"/>
      <c r="K15" s="29"/>
      <c r="L15" s="29"/>
      <c r="M15" s="29"/>
      <c r="N15" s="29"/>
      <c r="O15" s="29"/>
      <c r="P15" s="29"/>
      <c r="Q15" s="29"/>
      <c r="R15" s="29"/>
      <c r="S15" s="29"/>
      <c r="T15" s="29"/>
      <c r="U15" s="25"/>
      <c r="W15" s="180"/>
      <c r="X15" s="239"/>
    </row>
    <row r="16" spans="1:24" ht="15.75" x14ac:dyDescent="0.25">
      <c r="B16" s="64"/>
      <c r="C16" s="188" t="s">
        <v>332</v>
      </c>
      <c r="D16" s="196" t="s">
        <v>77</v>
      </c>
      <c r="E16" s="197">
        <v>2.5242000000000001E-2</v>
      </c>
      <c r="F16" s="29"/>
      <c r="G16" s="29"/>
      <c r="H16" s="29"/>
      <c r="I16" s="29"/>
      <c r="J16" s="29"/>
      <c r="K16" s="29"/>
      <c r="L16" s="29"/>
      <c r="M16" s="29"/>
      <c r="N16" s="29"/>
      <c r="O16" s="29"/>
      <c r="P16" s="29"/>
      <c r="Q16" s="29"/>
      <c r="R16" s="29"/>
      <c r="S16" s="29"/>
      <c r="T16" s="29"/>
      <c r="U16" s="25"/>
      <c r="W16" s="180"/>
      <c r="X16" s="239"/>
    </row>
    <row r="17" spans="2:24" ht="15.75" x14ac:dyDescent="0.25">
      <c r="B17" s="64"/>
      <c r="C17" s="188" t="s">
        <v>275</v>
      </c>
      <c r="D17" s="196" t="s">
        <v>111</v>
      </c>
      <c r="E17" s="197">
        <v>2.3535E-2</v>
      </c>
      <c r="F17" s="29"/>
      <c r="G17" s="29"/>
      <c r="H17" s="29"/>
      <c r="I17" s="29"/>
      <c r="J17" s="29"/>
      <c r="K17" s="29"/>
      <c r="L17" s="29"/>
      <c r="M17" s="29"/>
      <c r="N17" s="29"/>
      <c r="O17" s="29"/>
      <c r="P17" s="29"/>
      <c r="Q17" s="29"/>
      <c r="R17" s="29"/>
      <c r="S17" s="29"/>
      <c r="T17" s="29"/>
      <c r="U17" s="25"/>
      <c r="W17" s="180"/>
      <c r="X17" s="239"/>
    </row>
    <row r="18" spans="2:24" ht="15.75" x14ac:dyDescent="0.25">
      <c r="B18" s="64"/>
      <c r="C18" s="188" t="s">
        <v>299</v>
      </c>
      <c r="D18" s="196" t="s">
        <v>111</v>
      </c>
      <c r="E18" s="197">
        <v>2.2643E-2</v>
      </c>
      <c r="F18" s="29"/>
      <c r="G18" s="29"/>
      <c r="H18" s="29"/>
      <c r="I18" s="29"/>
      <c r="J18" s="29"/>
      <c r="K18" s="29"/>
      <c r="L18" s="29"/>
      <c r="M18" s="29"/>
      <c r="N18" s="29"/>
      <c r="O18" s="29"/>
      <c r="P18" s="29"/>
      <c r="Q18" s="29"/>
      <c r="R18" s="29"/>
      <c r="S18" s="29"/>
      <c r="T18" s="29"/>
      <c r="U18" s="25"/>
      <c r="W18" s="180"/>
      <c r="X18" s="239"/>
    </row>
    <row r="19" spans="2:24" ht="15.75" x14ac:dyDescent="0.25">
      <c r="B19" s="64"/>
      <c r="C19" s="188" t="s">
        <v>213</v>
      </c>
      <c r="D19" s="196" t="s">
        <v>111</v>
      </c>
      <c r="E19" s="197">
        <v>2.0671999999999999E-2</v>
      </c>
      <c r="F19" s="29"/>
      <c r="G19" s="29"/>
      <c r="H19" s="29"/>
      <c r="I19" s="29"/>
      <c r="J19" s="29"/>
      <c r="K19" s="29"/>
      <c r="L19" s="29"/>
      <c r="M19" s="29"/>
      <c r="N19" s="29"/>
      <c r="O19" s="29"/>
      <c r="P19" s="29"/>
      <c r="Q19" s="29"/>
      <c r="R19" s="29"/>
      <c r="S19" s="29"/>
      <c r="T19" s="29"/>
      <c r="U19" s="25"/>
      <c r="W19" s="180"/>
      <c r="X19" s="239"/>
    </row>
    <row r="20" spans="2:24" ht="15.75" x14ac:dyDescent="0.25">
      <c r="B20" s="64"/>
      <c r="C20" s="188" t="s">
        <v>249</v>
      </c>
      <c r="D20" s="196" t="s">
        <v>111</v>
      </c>
      <c r="E20" s="197">
        <v>1.9604E-2</v>
      </c>
      <c r="F20" s="29"/>
      <c r="G20" s="29"/>
      <c r="H20" s="29"/>
      <c r="I20" s="29"/>
      <c r="J20" s="29"/>
      <c r="K20" s="29"/>
      <c r="L20" s="29"/>
      <c r="M20" s="29"/>
      <c r="N20" s="29"/>
      <c r="O20" s="29"/>
      <c r="P20" s="29"/>
      <c r="Q20" s="29"/>
      <c r="R20" s="29"/>
      <c r="S20" s="29"/>
      <c r="T20" s="29"/>
      <c r="U20" s="25"/>
      <c r="W20" s="180"/>
      <c r="X20" s="239"/>
    </row>
    <row r="21" spans="2:24" ht="15.75" x14ac:dyDescent="0.25">
      <c r="B21" s="64"/>
      <c r="C21" s="188" t="s">
        <v>333</v>
      </c>
      <c r="D21" s="196" t="s">
        <v>111</v>
      </c>
      <c r="E21" s="197">
        <v>1.9508000000000001E-2</v>
      </c>
      <c r="F21" s="29"/>
      <c r="G21" s="29"/>
      <c r="H21" s="29"/>
      <c r="I21" s="29"/>
      <c r="J21" s="29"/>
      <c r="K21" s="29"/>
      <c r="L21" s="29"/>
      <c r="M21" s="29"/>
      <c r="N21" s="29"/>
      <c r="O21" s="29"/>
      <c r="P21" s="29"/>
      <c r="Q21" s="29"/>
      <c r="R21" s="29"/>
      <c r="S21" s="29"/>
      <c r="T21" s="29"/>
      <c r="U21" s="25"/>
      <c r="W21" s="180"/>
      <c r="X21" s="239"/>
    </row>
    <row r="22" spans="2:24" ht="15.75" x14ac:dyDescent="0.25">
      <c r="B22" s="64"/>
      <c r="C22" s="188" t="s">
        <v>334</v>
      </c>
      <c r="D22" s="196" t="s">
        <v>111</v>
      </c>
      <c r="E22" s="197">
        <v>1.6525999999999999E-2</v>
      </c>
      <c r="F22" s="29"/>
      <c r="G22" s="29"/>
      <c r="H22" s="29"/>
      <c r="I22" s="29"/>
      <c r="J22" s="29"/>
      <c r="K22" s="29"/>
      <c r="L22" s="29"/>
      <c r="M22" s="29"/>
      <c r="N22" s="29"/>
      <c r="O22" s="29"/>
      <c r="P22" s="29"/>
      <c r="Q22" s="29"/>
      <c r="R22" s="29"/>
      <c r="S22" s="29"/>
      <c r="T22" s="29"/>
      <c r="U22" s="25"/>
      <c r="W22" s="180"/>
      <c r="X22" s="239"/>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39"/>
    </row>
    <row r="24" spans="2:24" ht="15.75" x14ac:dyDescent="0.25">
      <c r="B24" s="64"/>
      <c r="C24" s="73" t="s">
        <v>55</v>
      </c>
      <c r="D24" s="74"/>
      <c r="E24" s="75">
        <f>SUM(E8:E22)</f>
        <v>0.67091899999999993</v>
      </c>
      <c r="F24" s="29"/>
      <c r="G24" s="29"/>
      <c r="H24" s="29"/>
      <c r="I24" s="29"/>
      <c r="J24" s="29"/>
      <c r="K24" s="29"/>
      <c r="L24" s="29"/>
      <c r="M24" s="29"/>
      <c r="N24" s="29"/>
      <c r="O24" s="29"/>
      <c r="P24" s="29"/>
      <c r="Q24" s="29"/>
      <c r="R24" s="29"/>
      <c r="S24" s="29"/>
      <c r="T24" s="29"/>
      <c r="U24" s="25"/>
      <c r="W24" s="180"/>
      <c r="X24" s="239"/>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9"/>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c r="W43" s="61"/>
      <c r="X43" s="62"/>
    </row>
    <row r="44" spans="2:24" x14ac:dyDescent="0.25">
      <c r="B44" s="271"/>
      <c r="C44" s="272"/>
      <c r="D44" s="272"/>
      <c r="E44" s="272"/>
      <c r="F44" s="272"/>
      <c r="G44" s="272"/>
      <c r="H44" s="272"/>
      <c r="I44" s="272"/>
      <c r="J44" s="272"/>
      <c r="K44" s="272"/>
      <c r="L44" s="272"/>
      <c r="M44" s="272"/>
      <c r="N44" s="272"/>
      <c r="O44" s="272"/>
      <c r="P44" s="272"/>
      <c r="Q44" s="272"/>
      <c r="R44" s="273"/>
      <c r="W44" s="61"/>
      <c r="X44" s="62"/>
    </row>
    <row r="45" spans="2:24" ht="15.75" thickBot="1" x14ac:dyDescent="0.3">
      <c r="B45" s="274"/>
      <c r="C45" s="275"/>
      <c r="D45" s="275"/>
      <c r="E45" s="275"/>
      <c r="F45" s="275"/>
      <c r="G45" s="275"/>
      <c r="H45" s="275"/>
      <c r="I45" s="275"/>
      <c r="J45" s="275"/>
      <c r="K45" s="275"/>
      <c r="L45" s="275"/>
      <c r="M45" s="275"/>
      <c r="N45" s="275"/>
      <c r="O45" s="275"/>
      <c r="P45" s="275"/>
      <c r="Q45" s="275"/>
      <c r="R45" s="276"/>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335</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402</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252</v>
      </c>
      <c r="D8" s="194" t="s">
        <v>119</v>
      </c>
      <c r="E8" s="195">
        <v>2.3813999999999998E-2</v>
      </c>
      <c r="F8" s="29"/>
      <c r="G8" s="29"/>
      <c r="H8" s="29"/>
      <c r="I8" s="29"/>
      <c r="J8" s="29"/>
      <c r="K8" s="29"/>
      <c r="L8" s="29"/>
      <c r="M8" s="29"/>
      <c r="N8" s="29"/>
      <c r="O8" s="29"/>
      <c r="P8" s="29"/>
      <c r="Q8" s="29"/>
      <c r="R8" s="29"/>
      <c r="S8" s="29"/>
      <c r="T8" s="29"/>
      <c r="U8" s="25"/>
      <c r="W8" s="180" t="s">
        <v>110</v>
      </c>
      <c r="X8" s="239">
        <v>8.1628000000000006E-2</v>
      </c>
    </row>
    <row r="9" spans="1:24" ht="15.75" x14ac:dyDescent="0.25">
      <c r="B9" s="64"/>
      <c r="C9" s="188" t="s">
        <v>329</v>
      </c>
      <c r="D9" s="196" t="s">
        <v>77</v>
      </c>
      <c r="E9" s="197">
        <v>2.2676000000000002E-2</v>
      </c>
      <c r="F9" s="29"/>
      <c r="G9" s="29"/>
      <c r="H9" s="29"/>
      <c r="I9" s="29"/>
      <c r="J9" s="29"/>
      <c r="K9" s="29"/>
      <c r="L9" s="29"/>
      <c r="M9" s="29"/>
      <c r="N9" s="29"/>
      <c r="O9" s="29"/>
      <c r="P9" s="29"/>
      <c r="Q9" s="29"/>
      <c r="R9" s="29"/>
      <c r="S9" s="29"/>
      <c r="T9" s="29"/>
      <c r="U9" s="25"/>
      <c r="W9" s="180" t="s">
        <v>24</v>
      </c>
      <c r="X9" s="239">
        <v>7.2785000000000002E-2</v>
      </c>
    </row>
    <row r="10" spans="1:24" ht="15.75" x14ac:dyDescent="0.25">
      <c r="B10" s="64"/>
      <c r="C10" s="188" t="s">
        <v>251</v>
      </c>
      <c r="D10" s="196" t="s">
        <v>85</v>
      </c>
      <c r="E10" s="197">
        <v>1.8168E-2</v>
      </c>
      <c r="F10" s="29"/>
      <c r="G10" s="29"/>
      <c r="H10" s="29"/>
      <c r="I10" s="29"/>
      <c r="J10" s="29"/>
      <c r="K10" s="29"/>
      <c r="L10" s="29"/>
      <c r="M10" s="29"/>
      <c r="N10" s="29"/>
      <c r="O10" s="29"/>
      <c r="P10" s="29"/>
      <c r="Q10" s="29"/>
      <c r="R10" s="29"/>
      <c r="S10" s="29"/>
      <c r="T10" s="29"/>
      <c r="U10" s="25"/>
      <c r="W10" s="180" t="s">
        <v>111</v>
      </c>
      <c r="X10" s="239">
        <v>7.0655999999999997E-2</v>
      </c>
    </row>
    <row r="11" spans="1:24" ht="15.75" x14ac:dyDescent="0.25">
      <c r="B11" s="64"/>
      <c r="C11" s="188" t="s">
        <v>94</v>
      </c>
      <c r="D11" s="196" t="s">
        <v>84</v>
      </c>
      <c r="E11" s="197">
        <v>1.7804E-2</v>
      </c>
      <c r="F11" s="29"/>
      <c r="G11" s="29"/>
      <c r="H11" s="29"/>
      <c r="I11" s="29"/>
      <c r="J11" s="29"/>
      <c r="K11" s="29"/>
      <c r="L11" s="29"/>
      <c r="M11" s="29"/>
      <c r="N11" s="29"/>
      <c r="O11" s="29"/>
      <c r="P11" s="29"/>
      <c r="Q11" s="29"/>
      <c r="R11" s="29"/>
      <c r="S11" s="29"/>
      <c r="T11" s="29"/>
      <c r="U11" s="25"/>
      <c r="W11" s="180" t="s">
        <v>3</v>
      </c>
      <c r="X11" s="239">
        <v>6.9707999999999992E-2</v>
      </c>
    </row>
    <row r="12" spans="1:24" ht="15.75" x14ac:dyDescent="0.25">
      <c r="B12" s="64"/>
      <c r="C12" s="188" t="s">
        <v>190</v>
      </c>
      <c r="D12" s="196" t="s">
        <v>107</v>
      </c>
      <c r="E12" s="197">
        <v>1.7139000000000001E-2</v>
      </c>
      <c r="F12" s="29"/>
      <c r="G12" s="29"/>
      <c r="H12" s="29"/>
      <c r="I12" s="29"/>
      <c r="J12" s="29"/>
      <c r="K12" s="29"/>
      <c r="L12" s="29"/>
      <c r="M12" s="29"/>
      <c r="N12" s="29"/>
      <c r="O12" s="29"/>
      <c r="P12" s="29"/>
      <c r="Q12" s="29"/>
      <c r="R12" s="29"/>
      <c r="S12" s="29"/>
      <c r="T12" s="29"/>
      <c r="U12" s="25"/>
      <c r="W12" s="180" t="s">
        <v>107</v>
      </c>
      <c r="X12" s="239">
        <v>6.3856999999999997E-2</v>
      </c>
    </row>
    <row r="13" spans="1:24" ht="15.75" x14ac:dyDescent="0.25">
      <c r="B13" s="64"/>
      <c r="C13" s="188" t="s">
        <v>228</v>
      </c>
      <c r="D13" s="196" t="s">
        <v>185</v>
      </c>
      <c r="E13" s="197">
        <v>1.6173E-2</v>
      </c>
      <c r="F13" s="29"/>
      <c r="G13" s="29"/>
      <c r="H13" s="29"/>
      <c r="I13" s="29"/>
      <c r="J13" s="29"/>
      <c r="K13" s="29"/>
      <c r="L13" s="29"/>
      <c r="M13" s="29"/>
      <c r="N13" s="29"/>
      <c r="O13" s="29"/>
      <c r="P13" s="29"/>
      <c r="Q13" s="29"/>
      <c r="R13" s="29"/>
      <c r="S13" s="29"/>
      <c r="T13" s="29"/>
      <c r="U13" s="25"/>
      <c r="W13" s="180" t="s">
        <v>4</v>
      </c>
      <c r="X13" s="239">
        <v>5.8032E-2</v>
      </c>
    </row>
    <row r="14" spans="1:24" ht="15.75" x14ac:dyDescent="0.25">
      <c r="B14" s="64"/>
      <c r="C14" s="188" t="s">
        <v>243</v>
      </c>
      <c r="D14" s="196" t="s">
        <v>16</v>
      </c>
      <c r="E14" s="197">
        <v>1.592E-2</v>
      </c>
      <c r="F14" s="29"/>
      <c r="G14" s="29"/>
      <c r="H14" s="29"/>
      <c r="I14" s="29"/>
      <c r="J14" s="29"/>
      <c r="K14" s="29"/>
      <c r="L14" s="29"/>
      <c r="M14" s="29"/>
      <c r="N14" s="29"/>
      <c r="O14" s="29"/>
      <c r="P14" s="29"/>
      <c r="Q14" s="29"/>
      <c r="R14" s="29"/>
      <c r="S14" s="29"/>
      <c r="T14" s="29"/>
      <c r="U14" s="25"/>
      <c r="W14" s="180" t="s">
        <v>119</v>
      </c>
      <c r="X14" s="239">
        <v>4.7438999999999995E-2</v>
      </c>
    </row>
    <row r="15" spans="1:24" ht="15.75" x14ac:dyDescent="0.25">
      <c r="B15" s="64"/>
      <c r="C15" s="188" t="s">
        <v>331</v>
      </c>
      <c r="D15" s="196" t="s">
        <v>111</v>
      </c>
      <c r="E15" s="197">
        <v>1.5816E-2</v>
      </c>
      <c r="F15" s="29"/>
      <c r="G15" s="29"/>
      <c r="H15" s="29"/>
      <c r="I15" s="29"/>
      <c r="J15" s="29"/>
      <c r="K15" s="29"/>
      <c r="L15" s="29"/>
      <c r="M15" s="29"/>
      <c r="N15" s="29"/>
      <c r="O15" s="29"/>
      <c r="P15" s="29"/>
      <c r="Q15" s="29"/>
      <c r="R15" s="29"/>
      <c r="S15" s="29"/>
      <c r="T15" s="29"/>
      <c r="U15" s="25"/>
      <c r="W15" s="180" t="s">
        <v>77</v>
      </c>
      <c r="X15" s="239">
        <v>3.9848000000000001E-2</v>
      </c>
    </row>
    <row r="16" spans="1:24" ht="15.75" x14ac:dyDescent="0.25">
      <c r="B16" s="64"/>
      <c r="C16" s="188" t="s">
        <v>195</v>
      </c>
      <c r="D16" s="196" t="s">
        <v>107</v>
      </c>
      <c r="E16" s="197">
        <v>1.5166000000000001E-2</v>
      </c>
      <c r="F16" s="29"/>
      <c r="G16" s="29"/>
      <c r="H16" s="29"/>
      <c r="I16" s="29"/>
      <c r="J16" s="29"/>
      <c r="K16" s="29"/>
      <c r="L16" s="29"/>
      <c r="M16" s="29"/>
      <c r="N16" s="29"/>
      <c r="O16" s="29"/>
      <c r="P16" s="29"/>
      <c r="Q16" s="29"/>
      <c r="R16" s="29"/>
      <c r="S16" s="29"/>
      <c r="T16" s="29"/>
      <c r="U16" s="25"/>
      <c r="W16" s="180" t="s">
        <v>16</v>
      </c>
      <c r="X16" s="239">
        <v>3.9080000000000004E-2</v>
      </c>
    </row>
    <row r="17" spans="2:24" ht="15.75" x14ac:dyDescent="0.25">
      <c r="B17" s="64"/>
      <c r="C17" s="188" t="s">
        <v>284</v>
      </c>
      <c r="D17" s="196" t="s">
        <v>3</v>
      </c>
      <c r="E17" s="197">
        <v>1.4973E-2</v>
      </c>
      <c r="F17" s="29"/>
      <c r="G17" s="29"/>
      <c r="H17" s="29"/>
      <c r="I17" s="29"/>
      <c r="J17" s="29"/>
      <c r="K17" s="29"/>
      <c r="L17" s="29"/>
      <c r="M17" s="29"/>
      <c r="N17" s="29"/>
      <c r="O17" s="29"/>
      <c r="P17" s="29"/>
      <c r="Q17" s="29"/>
      <c r="R17" s="29"/>
      <c r="S17" s="29"/>
      <c r="T17" s="29"/>
      <c r="U17" s="25"/>
      <c r="W17" s="180" t="s">
        <v>116</v>
      </c>
      <c r="X17" s="239">
        <v>3.8157999999999997E-2</v>
      </c>
    </row>
    <row r="18" spans="2:24" ht="15.75" x14ac:dyDescent="0.25">
      <c r="B18" s="64"/>
      <c r="C18" s="188" t="s">
        <v>183</v>
      </c>
      <c r="D18" s="196" t="s">
        <v>110</v>
      </c>
      <c r="E18" s="197">
        <v>1.4298E-2</v>
      </c>
      <c r="F18" s="29"/>
      <c r="G18" s="29"/>
      <c r="H18" s="29"/>
      <c r="I18" s="29"/>
      <c r="J18" s="29"/>
      <c r="K18" s="29"/>
      <c r="L18" s="29"/>
      <c r="M18" s="29"/>
      <c r="N18" s="29"/>
      <c r="O18" s="29"/>
      <c r="P18" s="29"/>
      <c r="Q18" s="29"/>
      <c r="R18" s="29"/>
      <c r="S18" s="29"/>
      <c r="T18" s="29"/>
      <c r="U18" s="25"/>
      <c r="W18" s="180" t="s">
        <v>85</v>
      </c>
      <c r="X18" s="239">
        <v>3.4896000000000003E-2</v>
      </c>
    </row>
    <row r="19" spans="2:24" ht="15.75" x14ac:dyDescent="0.25">
      <c r="B19" s="64"/>
      <c r="C19" s="188" t="s">
        <v>139</v>
      </c>
      <c r="D19" s="196" t="s">
        <v>24</v>
      </c>
      <c r="E19" s="197">
        <v>1.4223E-2</v>
      </c>
      <c r="F19" s="29"/>
      <c r="G19" s="29"/>
      <c r="H19" s="29"/>
      <c r="I19" s="29"/>
      <c r="J19" s="29"/>
      <c r="K19" s="29"/>
      <c r="L19" s="29"/>
      <c r="M19" s="29"/>
      <c r="N19" s="29"/>
      <c r="O19" s="29"/>
      <c r="P19" s="29"/>
      <c r="Q19" s="29"/>
      <c r="R19" s="29"/>
      <c r="S19" s="29"/>
      <c r="T19" s="29"/>
      <c r="U19" s="25"/>
      <c r="W19" s="180" t="s">
        <v>113</v>
      </c>
      <c r="X19" s="239">
        <v>3.3708999999999996E-2</v>
      </c>
    </row>
    <row r="20" spans="2:24" ht="15.75" x14ac:dyDescent="0.25">
      <c r="B20" s="64"/>
      <c r="C20" s="188" t="s">
        <v>98</v>
      </c>
      <c r="D20" s="196" t="s">
        <v>119</v>
      </c>
      <c r="E20" s="197">
        <v>1.3505E-2</v>
      </c>
      <c r="F20" s="29"/>
      <c r="G20" s="29"/>
      <c r="H20" s="29"/>
      <c r="I20" s="29"/>
      <c r="J20" s="29"/>
      <c r="K20" s="29"/>
      <c r="L20" s="29"/>
      <c r="M20" s="29"/>
      <c r="N20" s="29"/>
      <c r="O20" s="29"/>
      <c r="P20" s="29"/>
      <c r="Q20" s="29"/>
      <c r="R20" s="29"/>
      <c r="S20" s="29"/>
      <c r="T20" s="29"/>
      <c r="U20" s="25"/>
      <c r="W20" s="180" t="s">
        <v>118</v>
      </c>
      <c r="X20" s="239">
        <v>2.9322000000000001E-2</v>
      </c>
    </row>
    <row r="21" spans="2:24" ht="15.75" x14ac:dyDescent="0.25">
      <c r="B21" s="64"/>
      <c r="C21" s="188" t="s">
        <v>358</v>
      </c>
      <c r="D21" s="196" t="s">
        <v>85</v>
      </c>
      <c r="E21" s="197">
        <v>1.3056E-2</v>
      </c>
      <c r="F21" s="29"/>
      <c r="G21" s="29"/>
      <c r="H21" s="29"/>
      <c r="I21" s="29"/>
      <c r="J21" s="29"/>
      <c r="K21" s="29"/>
      <c r="L21" s="29"/>
      <c r="M21" s="29"/>
      <c r="N21" s="29"/>
      <c r="O21" s="29"/>
      <c r="P21" s="29"/>
      <c r="Q21" s="29"/>
      <c r="R21" s="29"/>
      <c r="S21" s="29"/>
      <c r="T21" s="29"/>
      <c r="U21" s="25"/>
      <c r="W21" s="180" t="s">
        <v>12</v>
      </c>
      <c r="X21" s="239">
        <v>2.7150000000000001E-2</v>
      </c>
    </row>
    <row r="22" spans="2:24" ht="15.75" x14ac:dyDescent="0.25">
      <c r="B22" s="64"/>
      <c r="C22" s="188" t="s">
        <v>308</v>
      </c>
      <c r="D22" s="196" t="s">
        <v>3</v>
      </c>
      <c r="E22" s="197">
        <v>1.3024000000000001E-2</v>
      </c>
      <c r="F22" s="29"/>
      <c r="G22" s="29"/>
      <c r="H22" s="29"/>
      <c r="I22" s="29"/>
      <c r="J22" s="29"/>
      <c r="K22" s="29"/>
      <c r="L22" s="29"/>
      <c r="M22" s="29"/>
      <c r="N22" s="29"/>
      <c r="O22" s="29"/>
      <c r="P22" s="29"/>
      <c r="Q22" s="29"/>
      <c r="R22" s="29"/>
      <c r="S22" s="29"/>
      <c r="T22" s="29"/>
      <c r="U22" s="25"/>
      <c r="W22" s="180" t="s">
        <v>84</v>
      </c>
      <c r="X22" s="239">
        <v>2.4395E-2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185</v>
      </c>
      <c r="X23" s="239">
        <v>2.3858000000000001E-2</v>
      </c>
    </row>
    <row r="24" spans="2:24" ht="15.75" x14ac:dyDescent="0.25">
      <c r="B24" s="64"/>
      <c r="C24" s="73" t="s">
        <v>55</v>
      </c>
      <c r="D24" s="74"/>
      <c r="E24" s="75">
        <f>SUM(E8:E22)</f>
        <v>0.24575500000000003</v>
      </c>
      <c r="F24" s="29"/>
      <c r="G24" s="29"/>
      <c r="H24" s="29"/>
      <c r="I24" s="29"/>
      <c r="J24" s="29"/>
      <c r="K24" s="29"/>
      <c r="L24" s="29"/>
      <c r="M24" s="29"/>
      <c r="N24" s="29"/>
      <c r="O24" s="29"/>
      <c r="P24" s="29"/>
      <c r="Q24" s="29"/>
      <c r="R24" s="29"/>
      <c r="S24" s="29"/>
      <c r="T24" s="29"/>
      <c r="U24" s="25"/>
      <c r="W24" s="180" t="s">
        <v>121</v>
      </c>
      <c r="X24" s="239">
        <v>2.0921999999999996E-2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86</v>
      </c>
      <c r="X25" s="239">
        <v>1.7570999999999996E-2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115</v>
      </c>
      <c r="X26" s="239">
        <v>1.7041000000000001E-2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1.5422999999999999E-2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25</v>
      </c>
      <c r="X28" s="62">
        <v>1.4586000000000002E-2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83</v>
      </c>
      <c r="X29" s="62">
        <v>1.4552000000000002E-2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v>
      </c>
      <c r="X30" s="62">
        <v>1.4076999999999999E-2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127</v>
      </c>
      <c r="X31" s="62">
        <v>1.2709000000000002E-2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124</v>
      </c>
      <c r="X32" s="62">
        <v>1.1945000000000001E-2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6</v>
      </c>
      <c r="X33" s="62">
        <v>1.1783E-2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23</v>
      </c>
      <c r="X34" s="62">
        <v>1.1116999999999998E-2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26</v>
      </c>
      <c r="X35" s="62">
        <v>1.1110999999999999E-2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130</v>
      </c>
      <c r="X36" s="62">
        <v>1.1037E-2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122</v>
      </c>
      <c r="X37" s="62">
        <v>1.0509000000000001E-2</v>
      </c>
    </row>
    <row r="38" spans="2:24" ht="15.75" thickBot="1" x14ac:dyDescent="0.3">
      <c r="W38" s="61" t="s">
        <v>137</v>
      </c>
      <c r="X38" s="62">
        <v>9.8779999999999996E-3</v>
      </c>
    </row>
    <row r="39" spans="2:24" x14ac:dyDescent="0.25">
      <c r="B39" s="268" t="s">
        <v>182</v>
      </c>
      <c r="C39" s="269"/>
      <c r="D39" s="269"/>
      <c r="E39" s="269"/>
      <c r="F39" s="269"/>
      <c r="G39" s="269"/>
      <c r="H39" s="269"/>
      <c r="I39" s="269"/>
      <c r="J39" s="269"/>
      <c r="K39" s="269"/>
      <c r="L39" s="269"/>
      <c r="M39" s="269"/>
      <c r="N39" s="269"/>
      <c r="O39" s="269"/>
      <c r="P39" s="269"/>
      <c r="Q39" s="269"/>
      <c r="R39" s="270"/>
      <c r="W39" s="61" t="s">
        <v>114</v>
      </c>
      <c r="X39" s="62">
        <v>7.7719999999999994E-3</v>
      </c>
    </row>
    <row r="40" spans="2:24" x14ac:dyDescent="0.25">
      <c r="B40" s="271"/>
      <c r="C40" s="272"/>
      <c r="D40" s="272"/>
      <c r="E40" s="272"/>
      <c r="F40" s="272"/>
      <c r="G40" s="272"/>
      <c r="H40" s="272"/>
      <c r="I40" s="272"/>
      <c r="J40" s="272"/>
      <c r="K40" s="272"/>
      <c r="L40" s="272"/>
      <c r="M40" s="272"/>
      <c r="N40" s="272"/>
      <c r="O40" s="272"/>
      <c r="P40" s="272"/>
      <c r="Q40" s="272"/>
      <c r="R40" s="273"/>
      <c r="W40" s="61" t="s">
        <v>13</v>
      </c>
      <c r="X40" s="62">
        <v>7.7149999999999996E-3</v>
      </c>
    </row>
    <row r="41" spans="2:24" x14ac:dyDescent="0.25">
      <c r="B41" s="271"/>
      <c r="C41" s="272"/>
      <c r="D41" s="272"/>
      <c r="E41" s="272"/>
      <c r="F41" s="272"/>
      <c r="G41" s="272"/>
      <c r="H41" s="272"/>
      <c r="I41" s="272"/>
      <c r="J41" s="272"/>
      <c r="K41" s="272"/>
      <c r="L41" s="272"/>
      <c r="M41" s="272"/>
      <c r="N41" s="272"/>
      <c r="O41" s="272"/>
      <c r="P41" s="272"/>
      <c r="Q41" s="272"/>
      <c r="R41" s="273"/>
      <c r="W41" s="61" t="s">
        <v>146</v>
      </c>
      <c r="X41" s="62">
        <v>7.6639999999999998E-3</v>
      </c>
    </row>
    <row r="42" spans="2:24" x14ac:dyDescent="0.25">
      <c r="B42" s="271"/>
      <c r="C42" s="272"/>
      <c r="D42" s="272"/>
      <c r="E42" s="272"/>
      <c r="F42" s="272"/>
      <c r="G42" s="272"/>
      <c r="H42" s="272"/>
      <c r="I42" s="272"/>
      <c r="J42" s="272"/>
      <c r="K42" s="272"/>
      <c r="L42" s="272"/>
      <c r="M42" s="272"/>
      <c r="N42" s="272"/>
      <c r="O42" s="272"/>
      <c r="P42" s="272"/>
      <c r="Q42" s="272"/>
      <c r="R42" s="273"/>
      <c r="W42" s="61" t="s">
        <v>123</v>
      </c>
      <c r="X42" s="62">
        <v>5.0939999999999996E-3</v>
      </c>
    </row>
    <row r="43" spans="2:24" x14ac:dyDescent="0.25">
      <c r="B43" s="271"/>
      <c r="C43" s="272"/>
      <c r="D43" s="272"/>
      <c r="E43" s="272"/>
      <c r="F43" s="272"/>
      <c r="G43" s="272"/>
      <c r="H43" s="272"/>
      <c r="I43" s="272"/>
      <c r="J43" s="272"/>
      <c r="K43" s="272"/>
      <c r="L43" s="272"/>
      <c r="M43" s="272"/>
      <c r="N43" s="272"/>
      <c r="O43" s="272"/>
      <c r="P43" s="272"/>
      <c r="Q43" s="272"/>
      <c r="R43" s="273"/>
      <c r="W43" s="61" t="s">
        <v>15</v>
      </c>
      <c r="X43" s="62">
        <v>4.9459999999999999E-3</v>
      </c>
    </row>
    <row r="44" spans="2:24" x14ac:dyDescent="0.25">
      <c r="B44" s="271"/>
      <c r="C44" s="272"/>
      <c r="D44" s="272"/>
      <c r="E44" s="272"/>
      <c r="F44" s="272"/>
      <c r="G44" s="272"/>
      <c r="H44" s="272"/>
      <c r="I44" s="272"/>
      <c r="J44" s="272"/>
      <c r="K44" s="272"/>
      <c r="L44" s="272"/>
      <c r="M44" s="272"/>
      <c r="N44" s="272"/>
      <c r="O44" s="272"/>
      <c r="P44" s="272"/>
      <c r="Q44" s="272"/>
      <c r="R44" s="273"/>
      <c r="W44" s="61" t="s">
        <v>106</v>
      </c>
      <c r="X44" s="62">
        <v>4.3410000000000002E-3</v>
      </c>
    </row>
    <row r="45" spans="2:24" ht="15.75" thickBot="1" x14ac:dyDescent="0.3">
      <c r="B45" s="274"/>
      <c r="C45" s="275"/>
      <c r="D45" s="275"/>
      <c r="E45" s="275"/>
      <c r="F45" s="275"/>
      <c r="G45" s="275"/>
      <c r="H45" s="275"/>
      <c r="I45" s="275"/>
      <c r="J45" s="275"/>
      <c r="K45" s="275"/>
      <c r="L45" s="275"/>
      <c r="M45" s="275"/>
      <c r="N45" s="275"/>
      <c r="O45" s="275"/>
      <c r="P45" s="275"/>
      <c r="Q45" s="275"/>
      <c r="R45" s="276"/>
      <c r="W45" s="61" t="s">
        <v>87</v>
      </c>
      <c r="X45" s="62">
        <v>2.9970000000000001E-3</v>
      </c>
    </row>
    <row r="46" spans="2:24" x14ac:dyDescent="0.25">
      <c r="W46" s="61" t="s">
        <v>95</v>
      </c>
      <c r="X46" s="62">
        <v>1.918E-3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343</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403</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79</v>
      </c>
      <c r="D8" s="194" t="s">
        <v>3</v>
      </c>
      <c r="E8" s="195">
        <v>5.2157000000000002E-2</v>
      </c>
      <c r="F8" s="29"/>
      <c r="G8" s="29"/>
      <c r="H8" s="29"/>
      <c r="I8" s="29"/>
      <c r="J8" s="29"/>
      <c r="K8" s="29"/>
      <c r="L8" s="29"/>
      <c r="M8" s="29"/>
      <c r="N8" s="29"/>
      <c r="O8" s="29"/>
      <c r="P8" s="29"/>
      <c r="Q8" s="29"/>
      <c r="R8" s="29"/>
      <c r="S8" s="29"/>
      <c r="T8" s="29"/>
      <c r="U8" s="25"/>
      <c r="W8" s="180" t="s">
        <v>3</v>
      </c>
      <c r="X8" s="239">
        <v>0.170651</v>
      </c>
    </row>
    <row r="9" spans="1:24" ht="15.75" x14ac:dyDescent="0.25">
      <c r="B9" s="64"/>
      <c r="C9" s="188" t="s">
        <v>262</v>
      </c>
      <c r="D9" s="196" t="s">
        <v>83</v>
      </c>
      <c r="E9" s="197">
        <v>5.0298000000000002E-2</v>
      </c>
      <c r="F9" s="29"/>
      <c r="G9" s="29"/>
      <c r="H9" s="29"/>
      <c r="I9" s="29"/>
      <c r="J9" s="29"/>
      <c r="K9" s="29"/>
      <c r="L9" s="29"/>
      <c r="M9" s="29"/>
      <c r="N9" s="29"/>
      <c r="O9" s="29"/>
      <c r="P9" s="29"/>
      <c r="Q9" s="29"/>
      <c r="R9" s="29"/>
      <c r="S9" s="29"/>
      <c r="T9" s="29"/>
      <c r="U9" s="25"/>
      <c r="W9" s="180" t="s">
        <v>10</v>
      </c>
      <c r="X9" s="239">
        <v>0.10865900000000001</v>
      </c>
    </row>
    <row r="10" spans="1:24" ht="15.75" x14ac:dyDescent="0.25">
      <c r="B10" s="64"/>
      <c r="C10" s="188" t="s">
        <v>359</v>
      </c>
      <c r="D10" s="196" t="s">
        <v>10</v>
      </c>
      <c r="E10" s="197">
        <v>4.9889999999999997E-2</v>
      </c>
      <c r="F10" s="29"/>
      <c r="G10" s="29"/>
      <c r="H10" s="29"/>
      <c r="I10" s="29"/>
      <c r="J10" s="29"/>
      <c r="K10" s="29"/>
      <c r="L10" s="29"/>
      <c r="M10" s="29"/>
      <c r="N10" s="29"/>
      <c r="O10" s="29"/>
      <c r="P10" s="29"/>
      <c r="Q10" s="29"/>
      <c r="R10" s="29"/>
      <c r="S10" s="29"/>
      <c r="T10" s="29"/>
      <c r="U10" s="25"/>
      <c r="W10" s="180" t="s">
        <v>6</v>
      </c>
      <c r="X10" s="239">
        <v>9.2704000000000009E-2</v>
      </c>
    </row>
    <row r="11" spans="1:24" ht="15.75" x14ac:dyDescent="0.25">
      <c r="B11" s="64"/>
      <c r="C11" s="188" t="s">
        <v>62</v>
      </c>
      <c r="D11" s="196" t="s">
        <v>10</v>
      </c>
      <c r="E11" s="197">
        <v>4.9604000000000002E-2</v>
      </c>
      <c r="F11" s="29"/>
      <c r="G11" s="29"/>
      <c r="H11" s="29"/>
      <c r="I11" s="29"/>
      <c r="J11" s="29"/>
      <c r="K11" s="29"/>
      <c r="L11" s="29"/>
      <c r="M11" s="29"/>
      <c r="N11" s="29"/>
      <c r="O11" s="29"/>
      <c r="P11" s="29"/>
      <c r="Q11" s="29"/>
      <c r="R11" s="29"/>
      <c r="S11" s="29"/>
      <c r="T11" s="29"/>
      <c r="U11" s="25"/>
      <c r="W11" s="180" t="s">
        <v>4</v>
      </c>
      <c r="X11" s="239">
        <v>8.6820000000000008E-2</v>
      </c>
    </row>
    <row r="12" spans="1:24" ht="15.75" x14ac:dyDescent="0.25">
      <c r="B12" s="64"/>
      <c r="C12" s="188" t="s">
        <v>360</v>
      </c>
      <c r="D12" s="196" t="s">
        <v>15</v>
      </c>
      <c r="E12" s="197">
        <v>4.8279000000000002E-2</v>
      </c>
      <c r="F12" s="29"/>
      <c r="G12" s="29"/>
      <c r="H12" s="29"/>
      <c r="I12" s="29"/>
      <c r="J12" s="29"/>
      <c r="K12" s="29"/>
      <c r="L12" s="29"/>
      <c r="M12" s="29"/>
      <c r="N12" s="29"/>
      <c r="O12" s="29"/>
      <c r="P12" s="29"/>
      <c r="Q12" s="29"/>
      <c r="R12" s="29"/>
      <c r="S12" s="29"/>
      <c r="T12" s="29"/>
      <c r="U12" s="25"/>
      <c r="W12" s="180" t="s">
        <v>15</v>
      </c>
      <c r="X12" s="239">
        <v>8.2386000000000001E-2</v>
      </c>
    </row>
    <row r="13" spans="1:24" ht="15.75" x14ac:dyDescent="0.25">
      <c r="B13" s="64"/>
      <c r="C13" s="188" t="s">
        <v>204</v>
      </c>
      <c r="D13" s="196" t="s">
        <v>131</v>
      </c>
      <c r="E13" s="197">
        <v>4.8044999999999997E-2</v>
      </c>
      <c r="F13" s="29"/>
      <c r="G13" s="29"/>
      <c r="H13" s="29"/>
      <c r="I13" s="29"/>
      <c r="J13" s="29"/>
      <c r="K13" s="29"/>
      <c r="L13" s="29"/>
      <c r="M13" s="29"/>
      <c r="N13" s="29"/>
      <c r="O13" s="29"/>
      <c r="P13" s="29"/>
      <c r="Q13" s="29"/>
      <c r="R13" s="29"/>
      <c r="S13" s="29"/>
      <c r="T13" s="29"/>
      <c r="U13" s="25"/>
      <c r="W13" s="180" t="s">
        <v>11</v>
      </c>
      <c r="X13" s="239">
        <v>6.5271999999999997E-2</v>
      </c>
    </row>
    <row r="14" spans="1:24" ht="15.75" x14ac:dyDescent="0.25">
      <c r="B14" s="64"/>
      <c r="C14" s="188" t="s">
        <v>310</v>
      </c>
      <c r="D14" s="196" t="s">
        <v>133</v>
      </c>
      <c r="E14" s="197">
        <v>4.7469999999999998E-2</v>
      </c>
      <c r="F14" s="29"/>
      <c r="G14" s="29"/>
      <c r="H14" s="29"/>
      <c r="I14" s="29"/>
      <c r="J14" s="29"/>
      <c r="K14" s="29"/>
      <c r="L14" s="29"/>
      <c r="M14" s="29"/>
      <c r="N14" s="29"/>
      <c r="O14" s="29"/>
      <c r="P14" s="29"/>
      <c r="Q14" s="29"/>
      <c r="R14" s="29"/>
      <c r="S14" s="29"/>
      <c r="T14" s="29"/>
      <c r="U14" s="25"/>
      <c r="W14" s="180" t="s">
        <v>13</v>
      </c>
      <c r="X14" s="239">
        <v>5.8637999999999996E-2</v>
      </c>
    </row>
    <row r="15" spans="1:24" ht="15.75" x14ac:dyDescent="0.25">
      <c r="B15" s="64"/>
      <c r="C15" s="188" t="s">
        <v>361</v>
      </c>
      <c r="D15" s="196" t="s">
        <v>13</v>
      </c>
      <c r="E15" s="197">
        <v>4.7080999999999998E-2</v>
      </c>
      <c r="F15" s="29"/>
      <c r="G15" s="29"/>
      <c r="H15" s="29"/>
      <c r="I15" s="29"/>
      <c r="J15" s="29"/>
      <c r="K15" s="29"/>
      <c r="L15" s="29"/>
      <c r="M15" s="29"/>
      <c r="N15" s="29"/>
      <c r="O15" s="29"/>
      <c r="P15" s="29"/>
      <c r="Q15" s="29"/>
      <c r="R15" s="29"/>
      <c r="S15" s="29"/>
      <c r="T15" s="29"/>
      <c r="U15" s="25"/>
      <c r="W15" s="180" t="s">
        <v>118</v>
      </c>
      <c r="X15" s="239">
        <v>5.5107999999999997E-2</v>
      </c>
    </row>
    <row r="16" spans="1:24" ht="15.75" x14ac:dyDescent="0.25">
      <c r="B16" s="64"/>
      <c r="C16" s="188" t="s">
        <v>362</v>
      </c>
      <c r="D16" s="196" t="s">
        <v>11</v>
      </c>
      <c r="E16" s="197">
        <v>4.6356000000000001E-2</v>
      </c>
      <c r="F16" s="29"/>
      <c r="G16" s="29"/>
      <c r="H16" s="29"/>
      <c r="I16" s="29"/>
      <c r="J16" s="29"/>
      <c r="K16" s="29"/>
      <c r="L16" s="29"/>
      <c r="M16" s="29"/>
      <c r="N16" s="29"/>
      <c r="O16" s="29"/>
      <c r="P16" s="29"/>
      <c r="Q16" s="29"/>
      <c r="R16" s="29"/>
      <c r="S16" s="29"/>
      <c r="T16" s="29"/>
      <c r="U16" s="25"/>
      <c r="W16" s="180" t="s">
        <v>83</v>
      </c>
      <c r="X16" s="239">
        <v>5.0298000000000002E-2</v>
      </c>
    </row>
    <row r="17" spans="2:24" ht="15.75" x14ac:dyDescent="0.25">
      <c r="B17" s="64"/>
      <c r="C17" s="188" t="s">
        <v>363</v>
      </c>
      <c r="D17" s="196" t="s">
        <v>6</v>
      </c>
      <c r="E17" s="197">
        <v>3.7779E-2</v>
      </c>
      <c r="F17" s="29"/>
      <c r="G17" s="29"/>
      <c r="H17" s="29"/>
      <c r="I17" s="29"/>
      <c r="J17" s="29"/>
      <c r="K17" s="29"/>
      <c r="L17" s="29"/>
      <c r="M17" s="29"/>
      <c r="N17" s="29"/>
      <c r="O17" s="29"/>
      <c r="P17" s="29"/>
      <c r="Q17" s="29"/>
      <c r="R17" s="29"/>
      <c r="S17" s="29"/>
      <c r="T17" s="29"/>
      <c r="U17" s="25"/>
      <c r="W17" s="180" t="s">
        <v>131</v>
      </c>
      <c r="X17" s="239">
        <v>4.8044999999999997E-2</v>
      </c>
    </row>
    <row r="18" spans="2:24" ht="15.75" x14ac:dyDescent="0.25">
      <c r="B18" s="64"/>
      <c r="C18" s="188" t="s">
        <v>364</v>
      </c>
      <c r="D18" s="196" t="s">
        <v>6</v>
      </c>
      <c r="E18" s="197">
        <v>3.2661000000000003E-2</v>
      </c>
      <c r="F18" s="29"/>
      <c r="G18" s="29"/>
      <c r="H18" s="29"/>
      <c r="I18" s="29"/>
      <c r="J18" s="29"/>
      <c r="K18" s="29"/>
      <c r="L18" s="29"/>
      <c r="M18" s="29"/>
      <c r="N18" s="29"/>
      <c r="O18" s="29"/>
      <c r="P18" s="29"/>
      <c r="Q18" s="29"/>
      <c r="R18" s="29"/>
      <c r="S18" s="29"/>
      <c r="T18" s="29"/>
      <c r="U18" s="25"/>
      <c r="W18" s="180" t="s">
        <v>133</v>
      </c>
      <c r="X18" s="239">
        <v>4.7469999999999998E-2</v>
      </c>
    </row>
    <row r="19" spans="2:24" ht="15.75" x14ac:dyDescent="0.25">
      <c r="B19" s="64"/>
      <c r="C19" s="188" t="s">
        <v>365</v>
      </c>
      <c r="D19" s="196" t="s">
        <v>118</v>
      </c>
      <c r="E19" s="197">
        <v>3.2634999999999997E-2</v>
      </c>
      <c r="F19" s="29"/>
      <c r="G19" s="29"/>
      <c r="H19" s="29"/>
      <c r="I19" s="29"/>
      <c r="J19" s="29"/>
      <c r="K19" s="29"/>
      <c r="L19" s="29"/>
      <c r="M19" s="29"/>
      <c r="N19" s="29"/>
      <c r="O19" s="29"/>
      <c r="P19" s="29"/>
      <c r="Q19" s="29"/>
      <c r="R19" s="29"/>
      <c r="S19" s="29"/>
      <c r="T19" s="29"/>
      <c r="U19" s="25"/>
      <c r="W19" s="180" t="s">
        <v>25</v>
      </c>
      <c r="X19" s="239">
        <v>3.7033999999999997E-2</v>
      </c>
    </row>
    <row r="20" spans="2:24" ht="15.75" x14ac:dyDescent="0.25">
      <c r="B20" s="64"/>
      <c r="C20" s="188" t="s">
        <v>76</v>
      </c>
      <c r="D20" s="196" t="s">
        <v>4</v>
      </c>
      <c r="E20" s="197">
        <v>3.1302000000000003E-2</v>
      </c>
      <c r="F20" s="29"/>
      <c r="G20" s="29"/>
      <c r="H20" s="29"/>
      <c r="I20" s="29"/>
      <c r="J20" s="29"/>
      <c r="K20" s="29"/>
      <c r="L20" s="29"/>
      <c r="M20" s="29"/>
      <c r="N20" s="29"/>
      <c r="O20" s="29"/>
      <c r="P20" s="29"/>
      <c r="Q20" s="29"/>
      <c r="R20" s="29"/>
      <c r="S20" s="29"/>
      <c r="T20" s="29"/>
      <c r="U20" s="25"/>
      <c r="W20" s="180" t="s">
        <v>116</v>
      </c>
      <c r="X20" s="239">
        <v>2.2498000000000001E-2</v>
      </c>
    </row>
    <row r="21" spans="2:24" ht="15.75" x14ac:dyDescent="0.25">
      <c r="B21" s="64"/>
      <c r="C21" s="188" t="s">
        <v>307</v>
      </c>
      <c r="D21" s="196" t="s">
        <v>3</v>
      </c>
      <c r="E21" s="197">
        <v>2.5398E-2</v>
      </c>
      <c r="F21" s="29"/>
      <c r="G21" s="29"/>
      <c r="H21" s="29"/>
      <c r="I21" s="29"/>
      <c r="J21" s="29"/>
      <c r="K21" s="29"/>
      <c r="L21" s="29"/>
      <c r="M21" s="29"/>
      <c r="N21" s="29"/>
      <c r="O21" s="29"/>
      <c r="P21" s="29"/>
      <c r="Q21" s="29"/>
      <c r="R21" s="29"/>
      <c r="S21" s="29"/>
      <c r="T21" s="29"/>
      <c r="U21" s="25"/>
      <c r="W21" s="180" t="s">
        <v>146</v>
      </c>
      <c r="X21" s="239">
        <v>1.6462000000000001E-2</v>
      </c>
    </row>
    <row r="22" spans="2:24" ht="15.75" x14ac:dyDescent="0.25">
      <c r="B22" s="64"/>
      <c r="C22" s="188" t="s">
        <v>69</v>
      </c>
      <c r="D22" s="196" t="s">
        <v>4</v>
      </c>
      <c r="E22" s="197">
        <v>2.2459E-2</v>
      </c>
      <c r="F22" s="29"/>
      <c r="G22" s="29"/>
      <c r="H22" s="29"/>
      <c r="I22" s="29"/>
      <c r="J22" s="29"/>
      <c r="K22" s="29"/>
      <c r="L22" s="29"/>
      <c r="M22" s="29"/>
      <c r="N22" s="29"/>
      <c r="O22" s="29"/>
      <c r="P22" s="29"/>
      <c r="Q22" s="29"/>
      <c r="R22" s="29"/>
      <c r="S22" s="29"/>
      <c r="T22" s="29"/>
      <c r="U22" s="25"/>
      <c r="W22" s="180" t="s">
        <v>126</v>
      </c>
      <c r="X22" s="239">
        <v>1.6109999999999999E-2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124</v>
      </c>
      <c r="X23" s="239">
        <v>1.3849E-2</v>
      </c>
    </row>
    <row r="24" spans="2:24" ht="15.75" x14ac:dyDescent="0.25">
      <c r="B24" s="64"/>
      <c r="C24" s="73" t="s">
        <v>55</v>
      </c>
      <c r="D24" s="74"/>
      <c r="E24" s="75">
        <f>SUM(E8:E22)</f>
        <v>0.62141400000000013</v>
      </c>
      <c r="F24" s="29"/>
      <c r="G24" s="29"/>
      <c r="H24" s="29"/>
      <c r="I24" s="29"/>
      <c r="J24" s="29"/>
      <c r="K24" s="29"/>
      <c r="L24" s="29"/>
      <c r="M24" s="29"/>
      <c r="N24" s="29"/>
      <c r="O24" s="29"/>
      <c r="P24" s="29"/>
      <c r="Q24" s="29"/>
      <c r="R24" s="29"/>
      <c r="S24" s="29"/>
      <c r="T24" s="29"/>
      <c r="U24" s="25"/>
      <c r="W24" s="180" t="s">
        <v>95</v>
      </c>
      <c r="X24" s="239">
        <v>9.698E-3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23</v>
      </c>
      <c r="X25" s="239">
        <v>8.9180000000000006E-3</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9"/>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c r="W43" s="61"/>
      <c r="X43" s="62"/>
    </row>
    <row r="44" spans="2:24" x14ac:dyDescent="0.25">
      <c r="B44" s="271"/>
      <c r="C44" s="272"/>
      <c r="D44" s="272"/>
      <c r="E44" s="272"/>
      <c r="F44" s="272"/>
      <c r="G44" s="272"/>
      <c r="H44" s="272"/>
      <c r="I44" s="272"/>
      <c r="J44" s="272"/>
      <c r="K44" s="272"/>
      <c r="L44" s="272"/>
      <c r="M44" s="272"/>
      <c r="N44" s="272"/>
      <c r="O44" s="272"/>
      <c r="P44" s="272"/>
      <c r="Q44" s="272"/>
      <c r="R44" s="273"/>
      <c r="W44" s="61"/>
      <c r="X44" s="62"/>
    </row>
    <row r="45" spans="2:24" ht="15.75" thickBot="1" x14ac:dyDescent="0.3">
      <c r="B45" s="274"/>
      <c r="C45" s="275"/>
      <c r="D45" s="275"/>
      <c r="E45" s="275"/>
      <c r="F45" s="275"/>
      <c r="G45" s="275"/>
      <c r="H45" s="275"/>
      <c r="I45" s="275"/>
      <c r="J45" s="275"/>
      <c r="K45" s="275"/>
      <c r="L45" s="275"/>
      <c r="M45" s="275"/>
      <c r="N45" s="275"/>
      <c r="O45" s="275"/>
      <c r="P45" s="275"/>
      <c r="Q45" s="275"/>
      <c r="R45" s="276"/>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7" t="s">
        <v>344</v>
      </c>
      <c r="D3" s="278"/>
      <c r="E3" s="278"/>
      <c r="F3" s="278"/>
      <c r="G3" s="278"/>
      <c r="H3" s="278"/>
      <c r="I3" s="278"/>
      <c r="J3" s="278"/>
      <c r="K3" s="278"/>
      <c r="L3" s="278"/>
      <c r="M3" s="278"/>
      <c r="N3" s="278"/>
      <c r="O3" s="278"/>
      <c r="P3" s="278"/>
      <c r="Q3" s="278"/>
      <c r="R3" s="278"/>
      <c r="S3" s="278"/>
      <c r="T3" s="65"/>
      <c r="U3" s="66"/>
    </row>
    <row r="4" spans="1:24" ht="15.75" x14ac:dyDescent="0.25">
      <c r="B4" s="64"/>
      <c r="C4" s="67" t="s">
        <v>405</v>
      </c>
      <c r="D4" s="29"/>
      <c r="E4" s="29"/>
      <c r="F4" s="29"/>
      <c r="G4" s="29"/>
      <c r="H4" s="29"/>
      <c r="I4" s="29"/>
      <c r="J4" s="29"/>
      <c r="K4" s="29"/>
      <c r="L4" s="29"/>
      <c r="M4" s="29"/>
      <c r="N4" s="29"/>
      <c r="O4" s="29"/>
      <c r="P4" s="29"/>
      <c r="Q4" s="29"/>
      <c r="R4" s="29"/>
      <c r="S4" s="29"/>
      <c r="T4" s="29"/>
      <c r="U4" s="25"/>
    </row>
    <row r="5" spans="1:24" ht="20.25" x14ac:dyDescent="0.25">
      <c r="B5" s="64"/>
      <c r="C5" s="221" t="s">
        <v>406</v>
      </c>
      <c r="D5" s="281" t="s">
        <v>404</v>
      </c>
      <c r="E5" s="281"/>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138</v>
      </c>
      <c r="D8" s="194" t="s">
        <v>26</v>
      </c>
      <c r="E8" s="195">
        <v>6.4616000000000007E-2</v>
      </c>
      <c r="F8" s="29"/>
      <c r="G8" s="29"/>
      <c r="H8" s="29"/>
      <c r="I8" s="29"/>
      <c r="J8" s="29"/>
      <c r="K8" s="29"/>
      <c r="L8" s="29"/>
      <c r="M8" s="29"/>
      <c r="N8" s="29"/>
      <c r="O8" s="29"/>
      <c r="P8" s="29"/>
      <c r="Q8" s="29"/>
      <c r="R8" s="29"/>
      <c r="S8" s="29"/>
      <c r="T8" s="29"/>
      <c r="U8" s="25"/>
      <c r="W8" s="180" t="s">
        <v>119</v>
      </c>
      <c r="X8" s="239">
        <v>0.143904</v>
      </c>
    </row>
    <row r="9" spans="1:24" ht="15.75" x14ac:dyDescent="0.25">
      <c r="B9" s="64"/>
      <c r="C9" s="188" t="s">
        <v>143</v>
      </c>
      <c r="D9" s="196" t="s">
        <v>112</v>
      </c>
      <c r="E9" s="197">
        <v>5.0535999999999998E-2</v>
      </c>
      <c r="F9" s="29"/>
      <c r="G9" s="29"/>
      <c r="H9" s="29"/>
      <c r="I9" s="29"/>
      <c r="J9" s="29"/>
      <c r="K9" s="29"/>
      <c r="L9" s="29"/>
      <c r="M9" s="29"/>
      <c r="N9" s="29"/>
      <c r="O9" s="29"/>
      <c r="P9" s="29"/>
      <c r="Q9" s="29"/>
      <c r="R9" s="29"/>
      <c r="S9" s="29"/>
      <c r="T9" s="29"/>
      <c r="U9" s="25"/>
      <c r="W9" s="180" t="s">
        <v>4</v>
      </c>
      <c r="X9" s="239">
        <v>9.9869000000000013E-2</v>
      </c>
    </row>
    <row r="10" spans="1:24" ht="15.75" x14ac:dyDescent="0.25">
      <c r="B10" s="64"/>
      <c r="C10" s="188" t="s">
        <v>120</v>
      </c>
      <c r="D10" s="196" t="s">
        <v>112</v>
      </c>
      <c r="E10" s="197">
        <v>4.614E-2</v>
      </c>
      <c r="F10" s="29"/>
      <c r="G10" s="29"/>
      <c r="H10" s="29"/>
      <c r="I10" s="29"/>
      <c r="J10" s="29"/>
      <c r="K10" s="29"/>
      <c r="L10" s="29"/>
      <c r="M10" s="29"/>
      <c r="N10" s="29"/>
      <c r="O10" s="29"/>
      <c r="P10" s="29"/>
      <c r="Q10" s="29"/>
      <c r="R10" s="29"/>
      <c r="S10" s="29"/>
      <c r="T10" s="29"/>
      <c r="U10" s="25"/>
      <c r="W10" s="180" t="s">
        <v>112</v>
      </c>
      <c r="X10" s="239">
        <v>9.6675999999999998E-2</v>
      </c>
    </row>
    <row r="11" spans="1:24" ht="15.75" x14ac:dyDescent="0.25">
      <c r="B11" s="64"/>
      <c r="C11" s="188" t="s">
        <v>258</v>
      </c>
      <c r="D11" s="196" t="s">
        <v>130</v>
      </c>
      <c r="E11" s="197">
        <v>4.5678000000000003E-2</v>
      </c>
      <c r="F11" s="29"/>
      <c r="G11" s="29"/>
      <c r="H11" s="29"/>
      <c r="I11" s="29"/>
      <c r="J11" s="29"/>
      <c r="K11" s="29"/>
      <c r="L11" s="29"/>
      <c r="M11" s="29"/>
      <c r="N11" s="29"/>
      <c r="O11" s="29"/>
      <c r="P11" s="29"/>
      <c r="Q11" s="29"/>
      <c r="R11" s="29"/>
      <c r="S11" s="29"/>
      <c r="T11" s="29"/>
      <c r="U11" s="25"/>
      <c r="W11" s="180" t="s">
        <v>10</v>
      </c>
      <c r="X11" s="239">
        <v>9.5555000000000001E-2</v>
      </c>
    </row>
    <row r="12" spans="1:24" ht="15.75" x14ac:dyDescent="0.25">
      <c r="B12" s="64"/>
      <c r="C12" s="188" t="s">
        <v>246</v>
      </c>
      <c r="D12" s="196" t="s">
        <v>119</v>
      </c>
      <c r="E12" s="197">
        <v>4.2882000000000003E-2</v>
      </c>
      <c r="F12" s="29"/>
      <c r="G12" s="29"/>
      <c r="H12" s="29"/>
      <c r="I12" s="29"/>
      <c r="J12" s="29"/>
      <c r="K12" s="29"/>
      <c r="L12" s="29"/>
      <c r="M12" s="29"/>
      <c r="N12" s="29"/>
      <c r="O12" s="29"/>
      <c r="P12" s="29"/>
      <c r="Q12" s="29"/>
      <c r="R12" s="29"/>
      <c r="S12" s="29"/>
      <c r="T12" s="29"/>
      <c r="U12" s="25"/>
      <c r="W12" s="180" t="s">
        <v>87</v>
      </c>
      <c r="X12" s="239">
        <v>8.7563000000000002E-2</v>
      </c>
    </row>
    <row r="13" spans="1:24" ht="15.75" x14ac:dyDescent="0.25">
      <c r="B13" s="64"/>
      <c r="C13" s="188" t="s">
        <v>129</v>
      </c>
      <c r="D13" s="196" t="s">
        <v>87</v>
      </c>
      <c r="E13" s="197">
        <v>4.2839000000000002E-2</v>
      </c>
      <c r="F13" s="29"/>
      <c r="G13" s="29"/>
      <c r="H13" s="29"/>
      <c r="I13" s="29"/>
      <c r="J13" s="29"/>
      <c r="K13" s="29"/>
      <c r="L13" s="29"/>
      <c r="M13" s="29"/>
      <c r="N13" s="29"/>
      <c r="O13" s="29"/>
      <c r="P13" s="29"/>
      <c r="Q13" s="29"/>
      <c r="R13" s="29"/>
      <c r="S13" s="29"/>
      <c r="T13" s="29"/>
      <c r="U13" s="25"/>
      <c r="W13" s="180" t="s">
        <v>26</v>
      </c>
      <c r="X13" s="239">
        <v>6.4616000000000007E-2</v>
      </c>
    </row>
    <row r="14" spans="1:24" ht="15.75" x14ac:dyDescent="0.25">
      <c r="B14" s="64"/>
      <c r="C14" s="188" t="s">
        <v>149</v>
      </c>
      <c r="D14" s="196" t="s">
        <v>87</v>
      </c>
      <c r="E14" s="197">
        <v>3.7422999999999998E-2</v>
      </c>
      <c r="F14" s="29"/>
      <c r="G14" s="29"/>
      <c r="H14" s="29"/>
      <c r="I14" s="29"/>
      <c r="J14" s="29"/>
      <c r="K14" s="29"/>
      <c r="L14" s="29"/>
      <c r="M14" s="29"/>
      <c r="N14" s="29"/>
      <c r="O14" s="29"/>
      <c r="P14" s="29"/>
      <c r="Q14" s="29"/>
      <c r="R14" s="29"/>
      <c r="S14" s="29"/>
      <c r="T14" s="29"/>
      <c r="U14" s="25"/>
      <c r="W14" s="180" t="s">
        <v>130</v>
      </c>
      <c r="X14" s="239">
        <v>4.5678000000000003E-2</v>
      </c>
    </row>
    <row r="15" spans="1:24" ht="15.75" x14ac:dyDescent="0.25">
      <c r="B15" s="64"/>
      <c r="C15" s="188" t="s">
        <v>276</v>
      </c>
      <c r="D15" s="196" t="s">
        <v>10</v>
      </c>
      <c r="E15" s="197">
        <v>3.6192000000000002E-2</v>
      </c>
      <c r="F15" s="29"/>
      <c r="G15" s="29"/>
      <c r="H15" s="29"/>
      <c r="I15" s="29"/>
      <c r="J15" s="29"/>
      <c r="K15" s="29"/>
      <c r="L15" s="29"/>
      <c r="M15" s="29"/>
      <c r="N15" s="29"/>
      <c r="O15" s="29"/>
      <c r="P15" s="29"/>
      <c r="Q15" s="29"/>
      <c r="R15" s="29"/>
      <c r="S15" s="29"/>
      <c r="T15" s="29"/>
      <c r="U15" s="25"/>
      <c r="W15" s="180" t="s">
        <v>85</v>
      </c>
      <c r="X15" s="239">
        <v>4.5343000000000001E-2</v>
      </c>
    </row>
    <row r="16" spans="1:24" ht="15.75" x14ac:dyDescent="0.25">
      <c r="B16" s="64"/>
      <c r="C16" s="188" t="s">
        <v>69</v>
      </c>
      <c r="D16" s="196" t="s">
        <v>4</v>
      </c>
      <c r="E16" s="197">
        <v>3.5560000000000001E-2</v>
      </c>
      <c r="F16" s="29"/>
      <c r="G16" s="29"/>
      <c r="H16" s="29"/>
      <c r="I16" s="29"/>
      <c r="J16" s="29"/>
      <c r="K16" s="29"/>
      <c r="L16" s="29"/>
      <c r="M16" s="29"/>
      <c r="N16" s="29"/>
      <c r="O16" s="29"/>
      <c r="P16" s="29"/>
      <c r="Q16" s="29"/>
      <c r="R16" s="29"/>
      <c r="S16" s="29"/>
      <c r="T16" s="29"/>
      <c r="U16" s="25"/>
      <c r="W16" s="180" t="s">
        <v>110</v>
      </c>
      <c r="X16" s="239">
        <v>3.9655999999999997E-2</v>
      </c>
    </row>
    <row r="17" spans="2:24" ht="15.75" x14ac:dyDescent="0.25">
      <c r="B17" s="64"/>
      <c r="C17" s="188" t="s">
        <v>76</v>
      </c>
      <c r="D17" s="196" t="s">
        <v>4</v>
      </c>
      <c r="E17" s="197">
        <v>3.2368000000000001E-2</v>
      </c>
      <c r="F17" s="29"/>
      <c r="G17" s="29"/>
      <c r="H17" s="29"/>
      <c r="I17" s="29"/>
      <c r="J17" s="29"/>
      <c r="K17" s="29"/>
      <c r="L17" s="29"/>
      <c r="M17" s="29"/>
      <c r="N17" s="29"/>
      <c r="O17" s="29"/>
      <c r="P17" s="29"/>
      <c r="Q17" s="29"/>
      <c r="R17" s="29"/>
      <c r="S17" s="29"/>
      <c r="T17" s="29"/>
      <c r="U17" s="25"/>
      <c r="W17" s="180" t="s">
        <v>16</v>
      </c>
      <c r="X17" s="239">
        <v>3.8669999999999996E-2</v>
      </c>
    </row>
    <row r="18" spans="2:24" ht="15.75" x14ac:dyDescent="0.25">
      <c r="B18" s="64"/>
      <c r="C18" s="188" t="s">
        <v>139</v>
      </c>
      <c r="D18" s="196" t="s">
        <v>24</v>
      </c>
      <c r="E18" s="197">
        <v>3.1496000000000003E-2</v>
      </c>
      <c r="F18" s="29"/>
      <c r="G18" s="29"/>
      <c r="H18" s="29"/>
      <c r="I18" s="29"/>
      <c r="J18" s="29"/>
      <c r="K18" s="29"/>
      <c r="L18" s="29"/>
      <c r="M18" s="29"/>
      <c r="N18" s="29"/>
      <c r="O18" s="29"/>
      <c r="P18" s="29"/>
      <c r="Q18" s="29"/>
      <c r="R18" s="29"/>
      <c r="S18" s="29"/>
      <c r="T18" s="29"/>
      <c r="U18" s="25"/>
      <c r="W18" s="180" t="s">
        <v>24</v>
      </c>
      <c r="X18" s="239">
        <v>3.3834000000000003E-2</v>
      </c>
    </row>
    <row r="19" spans="2:24" ht="15.75" x14ac:dyDescent="0.25">
      <c r="B19" s="64"/>
      <c r="C19" s="188" t="s">
        <v>252</v>
      </c>
      <c r="D19" s="196" t="s">
        <v>119</v>
      </c>
      <c r="E19" s="197">
        <v>3.1329999999999997E-2</v>
      </c>
      <c r="F19" s="29"/>
      <c r="G19" s="29"/>
      <c r="H19" s="29"/>
      <c r="I19" s="29"/>
      <c r="J19" s="29"/>
      <c r="K19" s="29"/>
      <c r="L19" s="29"/>
      <c r="M19" s="29"/>
      <c r="N19" s="29"/>
      <c r="O19" s="29"/>
      <c r="P19" s="29"/>
      <c r="Q19" s="29"/>
      <c r="R19" s="29"/>
      <c r="S19" s="29"/>
      <c r="T19" s="29"/>
      <c r="U19" s="25"/>
      <c r="W19" s="180" t="s">
        <v>137</v>
      </c>
      <c r="X19" s="239">
        <v>2.6718000000000002E-2</v>
      </c>
    </row>
    <row r="20" spans="2:24" ht="15.75" x14ac:dyDescent="0.25">
      <c r="B20" s="64"/>
      <c r="C20" s="188" t="s">
        <v>251</v>
      </c>
      <c r="D20" s="196" t="s">
        <v>85</v>
      </c>
      <c r="E20" s="197">
        <v>3.0941E-2</v>
      </c>
      <c r="F20" s="29"/>
      <c r="G20" s="29"/>
      <c r="H20" s="29"/>
      <c r="I20" s="29"/>
      <c r="J20" s="29"/>
      <c r="K20" s="29"/>
      <c r="L20" s="29"/>
      <c r="M20" s="29"/>
      <c r="N20" s="29"/>
      <c r="O20" s="29"/>
      <c r="P20" s="29"/>
      <c r="Q20" s="29"/>
      <c r="R20" s="29"/>
      <c r="S20" s="29"/>
      <c r="T20" s="29"/>
      <c r="U20" s="25"/>
      <c r="W20" s="180" t="s">
        <v>23</v>
      </c>
      <c r="X20" s="239">
        <v>2.5992000000000001E-2</v>
      </c>
    </row>
    <row r="21" spans="2:24" ht="15.75" x14ac:dyDescent="0.25">
      <c r="B21" s="64"/>
      <c r="C21" s="188" t="s">
        <v>243</v>
      </c>
      <c r="D21" s="196" t="s">
        <v>16</v>
      </c>
      <c r="E21" s="197">
        <v>2.9441999999999999E-2</v>
      </c>
      <c r="F21" s="29"/>
      <c r="G21" s="29"/>
      <c r="H21" s="29"/>
      <c r="I21" s="29"/>
      <c r="J21" s="29"/>
      <c r="K21" s="29"/>
      <c r="L21" s="29"/>
      <c r="M21" s="29"/>
      <c r="N21" s="29"/>
      <c r="O21" s="29"/>
      <c r="P21" s="29"/>
      <c r="Q21" s="29"/>
      <c r="R21" s="29"/>
      <c r="S21" s="29"/>
      <c r="T21" s="29"/>
      <c r="U21" s="25"/>
      <c r="W21" s="180" t="s">
        <v>13</v>
      </c>
      <c r="X21" s="239">
        <v>1.6149E-2</v>
      </c>
    </row>
    <row r="22" spans="2:24" ht="15.75" x14ac:dyDescent="0.25">
      <c r="B22" s="64"/>
      <c r="C22" s="188" t="s">
        <v>366</v>
      </c>
      <c r="D22" s="196" t="s">
        <v>10</v>
      </c>
      <c r="E22" s="197">
        <v>2.8681999999999999E-2</v>
      </c>
      <c r="F22" s="29"/>
      <c r="G22" s="29"/>
      <c r="H22" s="29"/>
      <c r="I22" s="29"/>
      <c r="J22" s="29"/>
      <c r="K22" s="29"/>
      <c r="L22" s="29"/>
      <c r="M22" s="29"/>
      <c r="N22" s="29"/>
      <c r="O22" s="29"/>
      <c r="P22" s="29"/>
      <c r="Q22" s="29"/>
      <c r="R22" s="29"/>
      <c r="S22" s="29"/>
      <c r="T22" s="29"/>
      <c r="U22" s="25"/>
      <c r="W22" s="180" t="s">
        <v>15</v>
      </c>
      <c r="X22" s="239">
        <v>1.6046999999999999E-2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113</v>
      </c>
      <c r="X23" s="239">
        <v>1.5553000000000001E-2</v>
      </c>
    </row>
    <row r="24" spans="2:24" ht="15.75" x14ac:dyDescent="0.25">
      <c r="B24" s="64"/>
      <c r="C24" s="73" t="s">
        <v>55</v>
      </c>
      <c r="D24" s="74"/>
      <c r="E24" s="75">
        <f>SUM(E8:E22)</f>
        <v>0.5861249999999999</v>
      </c>
      <c r="F24" s="29"/>
      <c r="G24" s="29"/>
      <c r="H24" s="29"/>
      <c r="I24" s="29"/>
      <c r="J24" s="29"/>
      <c r="K24" s="29"/>
      <c r="L24" s="29"/>
      <c r="M24" s="29"/>
      <c r="N24" s="29"/>
      <c r="O24" s="29"/>
      <c r="P24" s="29"/>
      <c r="Q24" s="29"/>
      <c r="R24" s="29"/>
      <c r="S24" s="29"/>
      <c r="T24" s="29"/>
      <c r="U24" s="25"/>
      <c r="W24" s="180" t="s">
        <v>3</v>
      </c>
      <c r="X24" s="239">
        <v>1.5128000000000001E-2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111</v>
      </c>
      <c r="X25" s="239">
        <v>1.3764999999999999E-2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116</v>
      </c>
      <c r="X26" s="239">
        <v>1.0839E-2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1.0244E-2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6</v>
      </c>
      <c r="X28" s="62">
        <v>1.049E-3</v>
      </c>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8" t="s">
        <v>182</v>
      </c>
      <c r="C39" s="269"/>
      <c r="D39" s="269"/>
      <c r="E39" s="269"/>
      <c r="F39" s="269"/>
      <c r="G39" s="269"/>
      <c r="H39" s="269"/>
      <c r="I39" s="269"/>
      <c r="J39" s="269"/>
      <c r="K39" s="269"/>
      <c r="L39" s="269"/>
      <c r="M39" s="269"/>
      <c r="N39" s="269"/>
      <c r="O39" s="269"/>
      <c r="P39" s="269"/>
      <c r="Q39" s="269"/>
      <c r="R39" s="270"/>
      <c r="W39" s="61"/>
      <c r="X39" s="62"/>
    </row>
    <row r="40" spans="2:24" x14ac:dyDescent="0.25">
      <c r="B40" s="271"/>
      <c r="C40" s="272"/>
      <c r="D40" s="272"/>
      <c r="E40" s="272"/>
      <c r="F40" s="272"/>
      <c r="G40" s="272"/>
      <c r="H40" s="272"/>
      <c r="I40" s="272"/>
      <c r="J40" s="272"/>
      <c r="K40" s="272"/>
      <c r="L40" s="272"/>
      <c r="M40" s="272"/>
      <c r="N40" s="272"/>
      <c r="O40" s="272"/>
      <c r="P40" s="272"/>
      <c r="Q40" s="272"/>
      <c r="R40" s="273"/>
      <c r="W40" s="61"/>
      <c r="X40" s="62"/>
    </row>
    <row r="41" spans="2:24" x14ac:dyDescent="0.25">
      <c r="B41" s="271"/>
      <c r="C41" s="272"/>
      <c r="D41" s="272"/>
      <c r="E41" s="272"/>
      <c r="F41" s="272"/>
      <c r="G41" s="272"/>
      <c r="H41" s="272"/>
      <c r="I41" s="272"/>
      <c r="J41" s="272"/>
      <c r="K41" s="272"/>
      <c r="L41" s="272"/>
      <c r="M41" s="272"/>
      <c r="N41" s="272"/>
      <c r="O41" s="272"/>
      <c r="P41" s="272"/>
      <c r="Q41" s="272"/>
      <c r="R41" s="273"/>
      <c r="W41" s="61"/>
      <c r="X41" s="62"/>
    </row>
    <row r="42" spans="2:24" x14ac:dyDescent="0.25">
      <c r="B42" s="271"/>
      <c r="C42" s="272"/>
      <c r="D42" s="272"/>
      <c r="E42" s="272"/>
      <c r="F42" s="272"/>
      <c r="G42" s="272"/>
      <c r="H42" s="272"/>
      <c r="I42" s="272"/>
      <c r="J42" s="272"/>
      <c r="K42" s="272"/>
      <c r="L42" s="272"/>
      <c r="M42" s="272"/>
      <c r="N42" s="272"/>
      <c r="O42" s="272"/>
      <c r="P42" s="272"/>
      <c r="Q42" s="272"/>
      <c r="R42" s="273"/>
      <c r="W42" s="61"/>
      <c r="X42" s="62"/>
    </row>
    <row r="43" spans="2:24" x14ac:dyDescent="0.25">
      <c r="B43" s="271"/>
      <c r="C43" s="272"/>
      <c r="D43" s="272"/>
      <c r="E43" s="272"/>
      <c r="F43" s="272"/>
      <c r="G43" s="272"/>
      <c r="H43" s="272"/>
      <c r="I43" s="272"/>
      <c r="J43" s="272"/>
      <c r="K43" s="272"/>
      <c r="L43" s="272"/>
      <c r="M43" s="272"/>
      <c r="N43" s="272"/>
      <c r="O43" s="272"/>
      <c r="P43" s="272"/>
      <c r="Q43" s="272"/>
      <c r="R43" s="273"/>
      <c r="W43" s="61"/>
      <c r="X43" s="62"/>
    </row>
    <row r="44" spans="2:24" x14ac:dyDescent="0.25">
      <c r="B44" s="271"/>
      <c r="C44" s="272"/>
      <c r="D44" s="272"/>
      <c r="E44" s="272"/>
      <c r="F44" s="272"/>
      <c r="G44" s="272"/>
      <c r="H44" s="272"/>
      <c r="I44" s="272"/>
      <c r="J44" s="272"/>
      <c r="K44" s="272"/>
      <c r="L44" s="272"/>
      <c r="M44" s="272"/>
      <c r="N44" s="272"/>
      <c r="O44" s="272"/>
      <c r="P44" s="272"/>
      <c r="Q44" s="272"/>
      <c r="R44" s="273"/>
      <c r="W44" s="61"/>
      <c r="X44" s="62"/>
    </row>
    <row r="45" spans="2:24" ht="15.75" thickBot="1" x14ac:dyDescent="0.3">
      <c r="B45" s="274"/>
      <c r="C45" s="275"/>
      <c r="D45" s="275"/>
      <c r="E45" s="275"/>
      <c r="F45" s="275"/>
      <c r="G45" s="275"/>
      <c r="H45" s="275"/>
      <c r="I45" s="275"/>
      <c r="J45" s="275"/>
      <c r="K45" s="275"/>
      <c r="L45" s="275"/>
      <c r="M45" s="275"/>
      <c r="N45" s="275"/>
      <c r="O45" s="275"/>
      <c r="P45" s="275"/>
      <c r="Q45" s="275"/>
      <c r="R45" s="276"/>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vt:i4>
      </vt:variant>
    </vt:vector>
  </HeadingPairs>
  <TitlesOfParts>
    <vt:vector size="41"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2024-11-05T08:25:22Z</dcterms:modified>
</cp:coreProperties>
</file>