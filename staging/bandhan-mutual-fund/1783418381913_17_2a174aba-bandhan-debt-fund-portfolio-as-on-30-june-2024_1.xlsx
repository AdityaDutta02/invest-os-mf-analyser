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July 2024\"/>
    </mc:Choice>
  </mc:AlternateContent>
  <xr:revisionPtr revIDLastSave="0" documentId="13_ncr:1_{BD80C87F-E112-4F3D-A8EA-7FF5E3DF085F}" xr6:coauthVersionLast="36" xr6:coauthVersionMax="36" xr10:uidLastSave="{00000000-0000-0000-0000-000000000000}"/>
  <bookViews>
    <workbookView xWindow="0" yWindow="0" windowWidth="19980" windowHeight="6795" xr2:uid="{DBC63D40-C982-480C-BE7B-0DFFFA6C9753}"/>
  </bookViews>
  <sheets>
    <sheet name="BANDHAN OF" sheetId="24" r:id="rId1"/>
    <sheet name="BANDHAN L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CRF" sheetId="8" r:id="rId12"/>
    <sheet name="BANDHAN FRF" sheetId="17" r:id="rId13"/>
    <sheet name="BANDHAN Long Dur"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K12" i="7" l="1"/>
</calcChain>
</file>

<file path=xl/sharedStrings.xml><?xml version="1.0" encoding="utf-8"?>
<sst xmlns="http://schemas.openxmlformats.org/spreadsheetml/2006/main" count="1352" uniqueCount="291">
  <si>
    <t>Bandhan All Seasons Bond Fund (30 June, 2024 )</t>
  </si>
  <si>
    <t>Net Assets as on 30 June, 2024</t>
  </si>
  <si>
    <t>112.71 crs</t>
  </si>
  <si>
    <t>Name</t>
  </si>
  <si>
    <t>Rating</t>
  </si>
  <si>
    <t>Total</t>
  </si>
  <si>
    <t>Bandhan Bond Fund -Short Term Pl Direct Pl-Growth</t>
  </si>
  <si>
    <t>Bandhan Floating Rate Fund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</si>
  <si>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</si>
  <si>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</si>
  <si>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</si>
  <si>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</si>
  <si>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</si>
  <si>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</si>
  <si>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</si>
  <si>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</si>
  <si>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</si>
  <si>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</si>
  <si>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</si>
  <si>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</si>
  <si>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June, 2024 )</t>
  </si>
  <si>
    <t>14109.10 crs</t>
  </si>
  <si>
    <t>ICICI Bank Limited</t>
  </si>
  <si>
    <t xml:space="preserve"> A1+</t>
  </si>
  <si>
    <t>Kotak Mahindra Bank Limited</t>
  </si>
  <si>
    <t>Bank of Baroda</t>
  </si>
  <si>
    <t>Small Industries Dev Bank of India</t>
  </si>
  <si>
    <t>Certificate of Deposit Total</t>
  </si>
  <si>
    <t>HDFC Bank Limited</t>
  </si>
  <si>
    <t xml:space="preserve"> AAA</t>
  </si>
  <si>
    <t>National Bank For Agriculture and Rural Development</t>
  </si>
  <si>
    <t>Indian Railway Finance Corporation Limited</t>
  </si>
  <si>
    <t>Power Finance Corporation Limited</t>
  </si>
  <si>
    <t>REC Limited</t>
  </si>
  <si>
    <t>Bajaj Housing Finance Limited</t>
  </si>
  <si>
    <t>Hindustan Petroleum Corporation Limited</t>
  </si>
  <si>
    <t>Nuclear Power Corporation Of India Limited</t>
  </si>
  <si>
    <t>NTPC Limited</t>
  </si>
  <si>
    <t>Indian Oil Corporation Limited</t>
  </si>
  <si>
    <t>National Housing Bank</t>
  </si>
  <si>
    <t>Power Grid Corporation of India Limited</t>
  </si>
  <si>
    <t>NHPC Limited</t>
  </si>
  <si>
    <t>Reliance Jio Infocomm Limited</t>
  </si>
  <si>
    <t>Axis Bank Limited</t>
  </si>
  <si>
    <t>Corporate Bond Total</t>
  </si>
  <si>
    <t>Corporate Debt Market Development Fund</t>
  </si>
  <si>
    <t>Corporate Debt Market Development Fund Total</t>
  </si>
  <si>
    <t>7.1% GOI (MD 18/04/2029)</t>
  </si>
  <si>
    <t>7.32% GOI (MD 13/11/2030)</t>
  </si>
  <si>
    <t>7.17% GOI (MD 17/04/2030)</t>
  </si>
  <si>
    <t>7.26% GOI (MD 22/08/2032)</t>
  </si>
  <si>
    <t>6.54% GOI (MD 17/01/2032)</t>
  </si>
  <si>
    <t>7.26% GOI (MD 06/02/2033)</t>
  </si>
  <si>
    <t>7.18% GOI (MD 14/08/2033)</t>
  </si>
  <si>
    <t>Government Bond Total</t>
  </si>
  <si>
    <t>State Government Bond Total</t>
  </si>
  <si>
    <t>Certificate of Deposit</t>
  </si>
  <si>
    <t>Corporate Bond</t>
  </si>
  <si>
    <t>Government Bond</t>
  </si>
  <si>
    <t>State Government Bond</t>
  </si>
  <si>
    <t>Bandhan Bond Fund - Income Plan (30 June, 2024 )</t>
  </si>
  <si>
    <t>489.60 crs</t>
  </si>
  <si>
    <t>7.18% GOI (MD 24/07/2037)</t>
  </si>
  <si>
    <t>7.3% GOI (MD 19/06/2053)</t>
  </si>
  <si>
    <t>6.79% GOI (MD 15/05/2027)</t>
  </si>
  <si>
    <t>7.73% GOI (MD 19/12/2034)</t>
  </si>
  <si>
    <t>Bandhan Bond Fund - Medium Term Plan (30 June, 2024 )</t>
  </si>
  <si>
    <t>1529.76 crs</t>
  </si>
  <si>
    <t>Tata Capital Housing Finance Limited</t>
  </si>
  <si>
    <t>8.24% GOI (MD 15/02/2027)</t>
  </si>
  <si>
    <t>Bandhan Bond Fund - Short Term Plan (30 June, 2024 )</t>
  </si>
  <si>
    <t>8618.01 crs</t>
  </si>
  <si>
    <t>Bajaj Finance Limited</t>
  </si>
  <si>
    <t>Kotak Mahindra Prime Limited</t>
  </si>
  <si>
    <t>Sundaram Finance Limited</t>
  </si>
  <si>
    <t>5.63% GOI (MD 12/04/2026)</t>
  </si>
  <si>
    <t>Bandhan Corporate Bond Fund (30 June, 2024 )</t>
  </si>
  <si>
    <t>13585.90 crs</t>
  </si>
  <si>
    <t>Export Import Bank of India</t>
  </si>
  <si>
    <t>National Highways Authority Of India</t>
  </si>
  <si>
    <t>Zero Coupon Bond Total</t>
  </si>
  <si>
    <t>Zero Coupon Bond</t>
  </si>
  <si>
    <t>Bandhan Credit Risk Fund (30 June, 2024 )</t>
  </si>
  <si>
    <t>343.50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</si>
  <si>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</si>
  <si>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</si>
  <si>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</si>
  <si>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</si>
  <si>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</si>
  <si>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</si>
  <si>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</si>
  <si>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</si>
  <si>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Aadhar Housing Finance Limited</t>
  </si>
  <si>
    <t>Nirma Limited</t>
  </si>
  <si>
    <t>Godrej Properties Limited</t>
  </si>
  <si>
    <t>Nuvoco Vistas Corporation Limited</t>
  </si>
  <si>
    <t>Godrej Housing Finance Limited</t>
  </si>
  <si>
    <t>AA</t>
  </si>
  <si>
    <t>AA+</t>
  </si>
  <si>
    <t>Bandhan CRISIL IBX 90:10 SDL+Gilt Apr32 Index Fund (30 June, 2024 )</t>
  </si>
  <si>
    <t>360.39 crs</t>
  </si>
  <si>
    <t>6.1% GOI (MD 12/07/2031)</t>
  </si>
  <si>
    <t>Bandhan CRISIL IBX 90:10 SDL+Gilt Nov26 Index Fund (30 June, 2024 )</t>
  </si>
  <si>
    <t>114.95 crs</t>
  </si>
  <si>
    <t>5.74% GOI (MD 15/11/2026)</t>
  </si>
  <si>
    <t>Bandhan CRISIL IBX 90:10 SDL+Gilt Sep27 Index Fund (30 June, 2024 )</t>
  </si>
  <si>
    <t>169.66 crs</t>
  </si>
  <si>
    <t>7.38% GOI (MD 20/06/2027)</t>
  </si>
  <si>
    <t>Bandhan CRISIL IBX Gilt April 2026 Index Fund (30 June, 2024 )</t>
  </si>
  <si>
    <t>483.26 crs</t>
  </si>
  <si>
    <t>6.99% GOI (MD 17/04/2026)</t>
  </si>
  <si>
    <t>7.59% GOI(MD 11/01/2026)</t>
  </si>
  <si>
    <t>5.15% GOI (MD 09/11/2025)</t>
  </si>
  <si>
    <t>7.27% GOI (MD 08/04/2026)</t>
  </si>
  <si>
    <t>Bandhan CRISIL IBX Gilt April 2028 Index Fund (30 June, 2024 )</t>
  </si>
  <si>
    <t>5012.89 crs</t>
  </si>
  <si>
    <t>7.17% GOI (MD 08/01/2028)</t>
  </si>
  <si>
    <t>8.28% GOI (M/D 21/09/2027)</t>
  </si>
  <si>
    <t>Bandhan CRISIL IBX GILT APRIL 2032 INDEX FUND (30 June, 2024 )</t>
  </si>
  <si>
    <t>389.79 crs</t>
  </si>
  <si>
    <t>Average Maturity in Days</t>
  </si>
  <si>
    <t>Bandhan CRISIL IBX Gilt June 2027 Index Fund (30 June, 2024 )</t>
  </si>
  <si>
    <t>8310.69 crs</t>
  </si>
  <si>
    <t>Bandhan Dynamic Bond Fund (30 June, 2024 )</t>
  </si>
  <si>
    <t>2367.78 crs</t>
  </si>
  <si>
    <t>8.20% GOI (MD 24/09/2025)</t>
  </si>
  <si>
    <t>Bandhan Floating Rate Fund (30 June, 2024 )</t>
  </si>
  <si>
    <t>260.44 crs</t>
  </si>
  <si>
    <t>Cholamandalam Investment and Finance Company Ltd</t>
  </si>
  <si>
    <t>7.37% GOI (MD 23/10/2028)</t>
  </si>
  <si>
    <t>Interest Rate Swaps</t>
  </si>
  <si>
    <t>Bandhan Government Sec Fund-Constant Maturity Plan (30 June, 2024 )</t>
  </si>
  <si>
    <t>330.96 crs</t>
  </si>
  <si>
    <t>Bandhan Government Securities Fund-Investment Plan (30 June, 2024 )</t>
  </si>
  <si>
    <t>2034.16 crs</t>
  </si>
  <si>
    <t>Bandhan Liquid Fund (30 June, 2024 )</t>
  </si>
  <si>
    <t>13477.83 crs</t>
  </si>
  <si>
    <t>Canara Bank</t>
  </si>
  <si>
    <t>Union Bank of India</t>
  </si>
  <si>
    <t>Reliance Retail Ventures Limited</t>
  </si>
  <si>
    <t>Bajaj Financial Securities Limited</t>
  </si>
  <si>
    <t>Kotak Securities Limited</t>
  </si>
  <si>
    <t>L&amp;T Finance Limited</t>
  </si>
  <si>
    <t>HDFC Securities Limited</t>
  </si>
  <si>
    <t>Godrej Consumer Products Limited</t>
  </si>
  <si>
    <t>Tata Capital Limited</t>
  </si>
  <si>
    <t>ICICI Securities Limited</t>
  </si>
  <si>
    <t>Commercial Paper Total</t>
  </si>
  <si>
    <t>Larsen &amp; Toubro Limited</t>
  </si>
  <si>
    <t>182 Days Tbill (MD 29/08/2024)</t>
  </si>
  <si>
    <t>91 Days Tbill (MD 05/09/2024)</t>
  </si>
  <si>
    <t>182 Days Tbill (MD 22/08/2024)</t>
  </si>
  <si>
    <t>182 Days Tbill (MD 26/09/2024)</t>
  </si>
  <si>
    <t>91 Days Tbill (MD 12/09/2024)</t>
  </si>
  <si>
    <t>364 Days Tbill (MD 27/09/2024)</t>
  </si>
  <si>
    <t>182 Days Tbill (MD 05/09/2024)</t>
  </si>
  <si>
    <t>182 Days Tbill (MD 19/09/2024)</t>
  </si>
  <si>
    <t>364 Days Tbill (MD 22/08/2024)</t>
  </si>
  <si>
    <t>364 Days Tbill (MD 16/08/2024)</t>
  </si>
  <si>
    <t>Treasury Bill Total</t>
  </si>
  <si>
    <t>Commercial Paper</t>
  </si>
  <si>
    <t>Treasury Bill</t>
  </si>
  <si>
    <t>Bandhan Long Duration Fund (30 June, 2024 )</t>
  </si>
  <si>
    <t>86.90 crs</t>
  </si>
  <si>
    <t>7.46% GOI (MD 06/11/2073)</t>
  </si>
  <si>
    <t>Bandhan Low Duration Fund (30 June, 2024 )</t>
  </si>
  <si>
    <t>5450.34 crs</t>
  </si>
  <si>
    <t>182 Days Tbill (MD 05/12/2024)</t>
  </si>
  <si>
    <t>364 Days Tbill (MD 21/11/2024)</t>
  </si>
  <si>
    <t>91 Days Tbill (MD 04/07/2024)</t>
  </si>
  <si>
    <t>182 Days Tbill (MD 25/07/2024)</t>
  </si>
  <si>
    <t>364 Days Tbill (MD 24/10/2024)</t>
  </si>
  <si>
    <t>182 Days Tbill (MD 08/08/2024)</t>
  </si>
  <si>
    <t>Bandhan Money Manager Fund (30 June, 2024 )</t>
  </si>
  <si>
    <t>5097.21 crs</t>
  </si>
  <si>
    <t>Punjab National Bank</t>
  </si>
  <si>
    <t>IndusInd Bank Limited</t>
  </si>
  <si>
    <t>Panatone Finvest Limited</t>
  </si>
  <si>
    <t>Mahindra &amp; Mahindra Financial Services Limited</t>
  </si>
  <si>
    <t>Government of India</t>
  </si>
  <si>
    <t>Government Bond Strips Total</t>
  </si>
  <si>
    <t>Government Bond Strips</t>
  </si>
  <si>
    <t>Bandhan Overnight Fund (30 June, 2024 )</t>
  </si>
  <si>
    <t>1196.63 crs</t>
  </si>
  <si>
    <t>REPO Total</t>
  </si>
  <si>
    <t>91 Days Tbill (MD 19/07/2024)</t>
  </si>
  <si>
    <t>364 Days Tbill (MD 04/07/2024)</t>
  </si>
  <si>
    <t>364 Days Tbill (MD 11/07/2024)</t>
  </si>
  <si>
    <t>REPO</t>
  </si>
  <si>
    <t>Bandhan Ultra Short Term Fund (30 June, 2024 )</t>
  </si>
  <si>
    <t>3935.92 crs</t>
  </si>
  <si>
    <t>Bandhan Banking &amp; PSU Debt Fund -Direct Gr</t>
  </si>
  <si>
    <t xml:space="preserve">SOV </t>
  </si>
  <si>
    <t>8.94% Rajasthan SDL (MD 23/07/2024)</t>
  </si>
  <si>
    <t>8.28% Maharashtra SDL (MD 29/07/2025)</t>
  </si>
  <si>
    <t>8.31% Andhra Pradesh SDL (MD 29/07/2025)</t>
  </si>
  <si>
    <t>8.27% Haryana SDL (MD 13/05/2025)</t>
  </si>
  <si>
    <t>7.41% Uttar Pradesh SDL (MD 09/11/2026)</t>
  </si>
  <si>
    <t>8.2% Uttar Pradesh SDL (MD 24/06/2025)</t>
  </si>
  <si>
    <t>8.07% Gujrat SDL (MD 11/02/2025)</t>
  </si>
  <si>
    <t>8.17% West Bengal SDL (MD 27/05/2025)</t>
  </si>
  <si>
    <t>8.72% Tamil Nadu SDL (MD 29/10/2024)</t>
  </si>
  <si>
    <t>8.06% Tamilnadu SDL (MD 29/04/2025)</t>
  </si>
  <si>
    <t>8.24% Tamilnadu SDL (MD 10/06/2025)</t>
  </si>
  <si>
    <t>8.24% Maharashtra SDL (MD 24/12/2024)</t>
  </si>
  <si>
    <t>5.95% Tamilnadu SDL (MD 13/05/2025)</t>
  </si>
  <si>
    <t>8.09% Andhra Pradesh SDL (MD 28/01/2025)</t>
  </si>
  <si>
    <t>5.75% Rajasthan SDL (MD 10/06/2025)</t>
  </si>
  <si>
    <t>5.8% Maharashtra SDL (MD 02/02/2025)</t>
  </si>
  <si>
    <t>5.88% Gujarat SDL (MD 31/03/2025)</t>
  </si>
  <si>
    <t>8.43% Maharashtra SDL (MD 12/11/2024)</t>
  </si>
  <si>
    <t>8.37% Tamil Nadu SDL (MD 05/12/2028)</t>
  </si>
  <si>
    <t>7.18% Tamilnadu SDL (MD 26/07/2027)</t>
  </si>
  <si>
    <t>Power Grid Corporation of India Limited*</t>
  </si>
  <si>
    <t>8.96% Maharashtra SDL  (MD 09/07/2024)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</si>
  <si>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</si>
  <si>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</si>
  <si>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</si>
  <si>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</si>
  <si>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</si>
  <si>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</si>
  <si>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</si>
  <si>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</si>
  <si>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</si>
  <si>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</si>
  <si>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</si>
  <si>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</si>
  <si>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</si>
  <si>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</si>
  <si>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</si>
  <si>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</si>
  <si>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</si>
  <si>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</si>
  <si>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</si>
  <si>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</si>
  <si>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</si>
  <si>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</si>
  <si>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</si>
  <si>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</si>
  <si>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</si>
  <si>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</si>
  <si>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</si>
  <si>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</si>
  <si>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</si>
  <si>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</si>
  <si>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</si>
  <si>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</si>
  <si>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</si>
  <si>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</si>
  <si>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</si>
  <si>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</si>
  <si>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</si>
  <si>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</si>
  <si>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</si>
  <si>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</si>
  <si>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</si>
  <si>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</si>
  <si>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</si>
  <si>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</si>
  <si>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</si>
  <si>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</si>
  <si>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</si>
  <si>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</si>
  <si>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</si>
  <si>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</si>
  <si>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</si>
  <si>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</si>
  <si>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</si>
  <si>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</si>
  <si>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</si>
  <si>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</si>
  <si>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</si>
  <si>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</si>
  <si>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</si>
  <si>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</si>
  <si>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</si>
  <si>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</si>
  <si>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</si>
  <si>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</si>
  <si>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</si>
  <si>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</si>
  <si>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</si>
  <si>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</si>
  <si>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</si>
  <si>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</si>
  <si>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</si>
  <si>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</si>
  <si>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</si>
  <si>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</si>
  <si>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BANDHAN US TREASURY BOND 0-1 YEAR FUND OF FUND (30 June, 2024 )</t>
  </si>
  <si>
    <t>162.38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</si>
</sst>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Black]\(0.00%\)"/>
    <numFmt numFmtId="165" formatCode="0.000%;[Black]\(0.000%\)"/>
    <numFmt numFmtId="166" formatCode="0.000%"/>
    <numFmt numFmtId="167" formatCode="#0.00%;\(#0.00%\)"/>
    <numFmt numFmtId="168"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3">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165" fontId="2" fillId="2" borderId="2" xfId="0" applyNumberFormat="1" applyFont="1" applyFill="1" applyBorder="1" applyAlignment="1">
      <alignment horizontal="right" vertical="center"/>
    </xf>
    <xf numFmtId="166" fontId="6" fillId="0" borderId="0" xfId="0" applyNumberFormat="1" applyFont="1" applyBorder="1"/>
    <xf numFmtId="1"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0" fontId="8" fillId="0" borderId="0" xfId="0" applyFont="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10" fillId="0" borderId="0" xfId="0" applyFont="1" applyBorder="1"/>
    <xf numFmtId="0" fontId="8" fillId="0" borderId="0" xfId="0" applyFont="1" applyBorder="1"/>
    <xf numFmtId="0" fontId="8" fillId="0" borderId="23" xfId="0" applyFont="1" applyBorder="1"/>
    <xf numFmtId="0" fontId="9" fillId="3" borderId="0" xfId="0" applyFont="1" applyFill="1" applyBorder="1" applyAlignment="1">
      <alignment vertical="center"/>
    </xf>
    <xf numFmtId="0" fontId="10" fillId="0" borderId="0" xfId="0" applyFont="1"/>
    <xf numFmtId="0" fontId="11" fillId="3" borderId="30"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8" fillId="0" borderId="32" xfId="0" applyFont="1" applyBorder="1" applyAlignment="1">
      <alignment horizontal="left" vertical="center" wrapText="1"/>
    </xf>
    <xf numFmtId="167"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1" fillId="3" borderId="32" xfId="0" applyFont="1" applyFill="1" applyBorder="1" applyAlignment="1">
      <alignment horizontal="left"/>
    </xf>
    <xf numFmtId="167" fontId="11" fillId="3" borderId="33" xfId="0" applyNumberFormat="1" applyFont="1" applyFill="1" applyBorder="1" applyAlignment="1">
      <alignment horizontal="right"/>
    </xf>
    <xf numFmtId="0" fontId="8" fillId="0" borderId="8" xfId="0" applyFont="1" applyBorder="1" applyAlignment="1">
      <alignment vertical="center"/>
    </xf>
    <xf numFmtId="167" fontId="8" fillId="0" borderId="33" xfId="0" applyNumberFormat="1" applyFont="1" applyBorder="1" applyAlignment="1">
      <alignment vertical="center"/>
    </xf>
    <xf numFmtId="0" fontId="11" fillId="2" borderId="8" xfId="0" applyFont="1" applyFill="1" applyBorder="1" applyAlignment="1">
      <alignment horizontal="left" vertical="center"/>
    </xf>
    <xf numFmtId="167" fontId="11"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1" fillId="2" borderId="9" xfId="0" applyFont="1" applyFill="1" applyBorder="1" applyAlignment="1">
      <alignment horizontal="left" vertical="center"/>
    </xf>
    <xf numFmtId="164" fontId="11" fillId="2" borderId="34" xfId="0" applyNumberFormat="1" applyFont="1" applyFill="1" applyBorder="1" applyAlignment="1">
      <alignment horizontal="right" vertical="center"/>
    </xf>
    <xf numFmtId="0" fontId="11" fillId="0" borderId="0" xfId="0" applyFont="1" applyFill="1" applyBorder="1" applyAlignment="1">
      <alignment horizontal="left"/>
    </xf>
    <xf numFmtId="168" fontId="11" fillId="0" borderId="0" xfId="0" applyNumberFormat="1" applyFont="1" applyFill="1" applyBorder="1" applyAlignment="1">
      <alignment horizontal="right"/>
    </xf>
    <xf numFmtId="0" fontId="8" fillId="0" borderId="0" xfId="0" applyFont="1" applyFill="1" applyBorder="1"/>
    <xf numFmtId="10" fontId="11" fillId="0" borderId="0" xfId="1" applyNumberFormat="1" applyFont="1" applyFill="1" applyBorder="1" applyAlignment="1">
      <alignment horizontal="right"/>
    </xf>
    <xf numFmtId="0" fontId="8" fillId="0" borderId="24" xfId="0" applyFont="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3" xfId="0" applyFont="1" applyFill="1" applyBorder="1" applyAlignment="1">
      <alignment vertical="center" wrapText="1"/>
    </xf>
    <xf numFmtId="0" fontId="11" fillId="0" borderId="25" xfId="0" applyFont="1" applyBorder="1" applyAlignment="1"/>
    <xf numFmtId="0" fontId="11" fillId="0" borderId="26" xfId="0" applyFont="1" applyBorder="1" applyAlignment="1"/>
    <xf numFmtId="0" fontId="10" fillId="0" borderId="19" xfId="0" applyFont="1" applyBorder="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0" fillId="0" borderId="22" xfId="0" applyFont="1" applyBorder="1" applyAlignment="1">
      <alignment horizontal="left" vertical="top" wrapText="1"/>
    </xf>
    <xf numFmtId="0" fontId="10" fillId="0" borderId="0" xfId="0" applyFont="1" applyBorder="1" applyAlignment="1">
      <alignment horizontal="left" vertical="top" wrapText="1"/>
    </xf>
    <xf numFmtId="0" fontId="10" fillId="0" borderId="23" xfId="0" applyFont="1" applyBorder="1" applyAlignment="1">
      <alignment horizontal="left" vertical="top" wrapText="1"/>
    </xf>
    <xf numFmtId="0" fontId="10" fillId="0" borderId="24" xfId="0" applyFont="1" applyBorder="1" applyAlignment="1">
      <alignment horizontal="left" vertical="top"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393013100436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98-4302-8489-C5CB5F758A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4998-4302-8489-C5CB5F758A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7B4-4490-8567-8D41A51FD36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7B4-4490-8567-8D41A51FD364}"/>
                </c:ext>
              </c:extLst>
            </c:dLbl>
            <c:dLbl>
              <c:idx val="2"/>
              <c:layout>
                <c:manualLayout>
                  <c:x val="-2.532634170193394E-2"/>
                  <c:y val="4.91912510936132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7B4-4490-8567-8D41A51FD36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7B4-4490-8567-8D41A51FD3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-2.5990000000000002E-3</c:v>
                </c:pt>
                <c:pt idx="1">
                  <c:v>0.22972600000000001</c:v>
                </c:pt>
                <c:pt idx="2">
                  <c:v>0.71032499999999998</c:v>
                </c:pt>
                <c:pt idx="3">
                  <c:v>6.2548000000000006E-2</c:v>
                </c:pt>
              </c:numCache>
            </c:numRef>
          </c:val>
          <c:extLst>
            <c:ext xmlns:c16="http://schemas.microsoft.com/office/drawing/2014/chart" uri="{C3380CC4-5D6E-409C-BE32-E72D297353CC}">
              <c16:uniqueId val="{0000000C-37B4-4490-8567-8D41A51FD3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86617545397834"/>
                  <c:y val="-4.3141592920353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622586791212126"/>
                      <c:h val="0.16592920353982302"/>
                    </c:manualLayout>
                  </c15:layout>
                </c:ext>
                <c:ext xmlns:c16="http://schemas.microsoft.com/office/drawing/2014/chart" uri="{C3380CC4-5D6E-409C-BE32-E72D297353CC}">
                  <c16:uniqueId val="{0000000D-766F-4B9F-B5BA-E0EE29E307D3}"/>
                </c:ext>
              </c:extLst>
            </c:dLbl>
            <c:dLbl>
              <c:idx val="1"/>
              <c:layout>
                <c:manualLayout>
                  <c:x val="-7.3307255222647486E-2"/>
                  <c:y val="-4.9692007525607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6F-4B9F-B5BA-E0EE29E307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LF'!$G$8:$G$9</c:f>
              <c:strCache>
                <c:ptCount val="2"/>
                <c:pt idx="0">
                  <c:v>AAA EQUIVALENT</c:v>
                </c:pt>
                <c:pt idx="1">
                  <c:v>AA+</c:v>
                </c:pt>
              </c:strCache>
            </c:strRef>
          </c:cat>
          <c:val>
            <c:numRef>
              <c:f>'BANDHAN LF'!$H$8:$H$9</c:f>
              <c:numCache>
                <c:formatCode>0.00%</c:formatCode>
                <c:ptCount val="2"/>
                <c:pt idx="0">
                  <c:v>0.99443999999999999</c:v>
                </c:pt>
                <c:pt idx="1">
                  <c:v>5.5599999999999998E-3</c:v>
                </c:pt>
              </c:numCache>
            </c:numRef>
          </c:val>
          <c:extLst>
            <c:ext xmlns:c16="http://schemas.microsoft.com/office/drawing/2014/chart" uri="{C3380CC4-5D6E-409C-BE32-E72D297353CC}">
              <c16:uniqueId val="{0000000C-766F-4B9F-B5BA-E0EE29E307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9E-4F9F-A431-D12D8E7F13A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9E-4F9F-A431-D12D8E7F13A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9E-4F9F-A431-D12D8E7F13A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9E-4F9F-A431-D12D8E7F13AC}"/>
                </c:ext>
              </c:extLst>
            </c:dLbl>
            <c:dLbl>
              <c:idx val="4"/>
              <c:layout>
                <c:manualLayout>
                  <c:x val="0.10959432801092583"/>
                  <c:y val="4.02335469293063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19E-4F9F-A431-D12D8E7F13A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19E-4F9F-A431-D12D8E7F13A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19E-4F9F-A431-D12D8E7F13A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19E-4F9F-A431-D12D8E7F13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LF'!$K$9:$K$16</c:f>
              <c:numCache>
                <c:formatCode>0.00%</c:formatCode>
                <c:ptCount val="8"/>
                <c:pt idx="0">
                  <c:v>-3.5400000000000001E-2</c:v>
                </c:pt>
                <c:pt idx="1">
                  <c:v>5.2982000000000001E-2</c:v>
                </c:pt>
                <c:pt idx="2">
                  <c:v>0.20511799999999999</c:v>
                </c:pt>
                <c:pt idx="3">
                  <c:v>3.6711000000000001E-2</c:v>
                </c:pt>
                <c:pt idx="4">
                  <c:v>0.53444400000000003</c:v>
                </c:pt>
                <c:pt idx="5">
                  <c:v>2.1299999999999999E-3</c:v>
                </c:pt>
                <c:pt idx="6">
                  <c:v>7.4299999999999995E-4</c:v>
                </c:pt>
                <c:pt idx="7">
                  <c:v>0.20327200000000001</c:v>
                </c:pt>
              </c:numCache>
            </c:numRef>
          </c:val>
          <c:extLst>
            <c:ext xmlns:c16="http://schemas.microsoft.com/office/drawing/2014/chart" uri="{C3380CC4-5D6E-409C-BE32-E72D297353CC}">
              <c16:uniqueId val="{0000000C-419E-4F9F-A431-D12D8E7F13A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5755880220539881"/>
                  <c:y val="-3.4140969162995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519823788546256"/>
                    </c:manualLayout>
                  </c15:layout>
                </c:ext>
                <c:ext xmlns:c16="http://schemas.microsoft.com/office/drawing/2014/chart" uri="{C3380CC4-5D6E-409C-BE32-E72D297353CC}">
                  <c16:uniqueId val="{0000000D-EB3F-4711-87AC-B06CE9AAB3CD}"/>
                </c:ext>
              </c:extLst>
            </c:dLbl>
            <c:dLbl>
              <c:idx val="1"/>
              <c:layout>
                <c:manualLayout>
                  <c:x val="-3.7777993221939338E-2"/>
                  <c:y val="-4.67147663810746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3F-4711-87AC-B06CE9AAB3C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0.96976099999999998</c:v>
                </c:pt>
                <c:pt idx="1">
                  <c:v>3.0238999999999999E-2</c:v>
                </c:pt>
              </c:numCache>
            </c:numRef>
          </c:val>
          <c:extLst>
            <c:ext xmlns:c16="http://schemas.microsoft.com/office/drawing/2014/chart" uri="{C3380CC4-5D6E-409C-BE32-E72D297353CC}">
              <c16:uniqueId val="{0000000C-EB3F-4711-87AC-B06CE9AAB3C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8.3224468461784815E-2"/>
                  <c:y val="-8.501876196773113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52-4C89-A287-E099B42EE15B}"/>
                </c:ext>
              </c:extLst>
            </c:dLbl>
            <c:dLbl>
              <c:idx val="1"/>
              <c:layout>
                <c:manualLayout>
                  <c:x val="0.24902881518825137"/>
                  <c:y val="-2.87871267999896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552-4C89-A287-E099B42EE15B}"/>
                </c:ext>
              </c:extLst>
            </c:dLbl>
            <c:dLbl>
              <c:idx val="2"/>
              <c:layout>
                <c:manualLayout>
                  <c:x val="3.2250080089025274E-2"/>
                  <c:y val="0.578106629801045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552-4C89-A287-E099B42EE15B}"/>
                </c:ext>
              </c:extLst>
            </c:dLbl>
            <c:dLbl>
              <c:idx val="3"/>
              <c:layout>
                <c:manualLayout>
                  <c:x val="4.9945370854339179E-2"/>
                  <c:y val="-7.678238693445762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552-4C89-A287-E099B42EE15B}"/>
                </c:ext>
              </c:extLst>
            </c:dLbl>
            <c:dLbl>
              <c:idx val="4"/>
              <c:layout>
                <c:manualLayout>
                  <c:x val="-6.5310492505353313E-2"/>
                  <c:y val="0.534672288101391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552-4C89-A287-E099B42EE15B}"/>
                </c:ext>
              </c:extLst>
            </c:dLbl>
            <c:dLbl>
              <c:idx val="5"/>
              <c:layout>
                <c:manualLayout>
                  <c:x val="-2.299490802407729E-2"/>
                  <c:y val="-4.40975794056277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552-4C89-A287-E099B42EE15B}"/>
                </c:ext>
              </c:extLst>
            </c:dLbl>
            <c:dLbl>
              <c:idx val="6"/>
              <c:layout>
                <c:manualLayout>
                  <c:x val="4.071860931730429E-2"/>
                  <c:y val="0.645584111146412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552-4C89-A287-E099B42EE15B}"/>
                </c:ext>
              </c:extLst>
            </c:dLbl>
            <c:dLbl>
              <c:idx val="7"/>
              <c:layout>
                <c:manualLayout>
                  <c:x val="-7.5465780910148545E-3"/>
                  <c:y val="-0.207388694733768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552-4C89-A287-E099B42EE15B}"/>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8552-4C89-A287-E099B42EE15B}"/>
                </c:ext>
              </c:extLst>
            </c:dLbl>
            <c:dLbl>
              <c:idx val="9"/>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8552-4C89-A287-E099B42EE15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LDF'!$K$9:$K$18</c:f>
              <c:numCache>
                <c:formatCode>0.00%</c:formatCode>
                <c:ptCount val="10"/>
                <c:pt idx="0">
                  <c:v>3.1071999999999999E-2</c:v>
                </c:pt>
                <c:pt idx="1">
                  <c:v>1.8166000000000002E-2</c:v>
                </c:pt>
                <c:pt idx="2">
                  <c:v>0.13896600000000001</c:v>
                </c:pt>
                <c:pt idx="3">
                  <c:v>0.66312000000000004</c:v>
                </c:pt>
                <c:pt idx="4">
                  <c:v>4.385E-3</c:v>
                </c:pt>
                <c:pt idx="5">
                  <c:v>2.8479999999999998E-3</c:v>
                </c:pt>
                <c:pt idx="6">
                  <c:v>1.2979999999999999E-3</c:v>
                </c:pt>
                <c:pt idx="7">
                  <c:v>1.6962999999999999E-2</c:v>
                </c:pt>
                <c:pt idx="8">
                  <c:v>0.10323300000000001</c:v>
                </c:pt>
                <c:pt idx="9">
                  <c:v>1.9949000000000001E-2</c:v>
                </c:pt>
              </c:numCache>
            </c:numRef>
          </c:val>
          <c:extLst>
            <c:ext xmlns:c16="http://schemas.microsoft.com/office/drawing/2014/chart" uri="{C3380CC4-5D6E-409C-BE32-E72D297353CC}">
              <c16:uniqueId val="{0000000C-8552-4C89-A287-E099B42EE15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60095432396433"/>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C8-41E3-B082-1AD1A07F47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D8C8-41E3-B082-1AD1A07F47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910-4F20-B5F5-E5689ED14C9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910-4F20-B5F5-E5689ED14C9A}"/>
                </c:ext>
              </c:extLst>
            </c:dLbl>
            <c:dLbl>
              <c:idx val="2"/>
              <c:layout>
                <c:manualLayout>
                  <c:x val="-0.10182282621524558"/>
                  <c:y val="0.156493873380331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910-4F20-B5F5-E5689ED14C9A}"/>
                </c:ext>
              </c:extLst>
            </c:dLbl>
            <c:dLbl>
              <c:idx val="3"/>
              <c:layout>
                <c:manualLayout>
                  <c:x val="0.25382496754286871"/>
                  <c:y val="0.541962750839351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910-4F20-B5F5-E5689ED14C9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910-4F20-B5F5-E5689ED14C9A}"/>
                </c:ext>
              </c:extLst>
            </c:dLbl>
            <c:dLbl>
              <c:idx val="5"/>
              <c:layout>
                <c:manualLayout>
                  <c:x val="-4.5623008312397781E-2"/>
                  <c:y val="0.583693488695592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910-4F20-B5F5-E5689ED14C9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910-4F20-B5F5-E5689ED14C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MMF'!$J$9:$J$15</c:f>
              <c:strCache>
                <c:ptCount val="7"/>
                <c:pt idx="0">
                  <c:v>Net Current Asset</c:v>
                </c:pt>
                <c:pt idx="1">
                  <c:v>TRI Party Repo</c:v>
                </c:pt>
                <c:pt idx="2">
                  <c:v>Certificate of Deposit</c:v>
                </c:pt>
                <c:pt idx="3">
                  <c:v>Commercial Paper</c:v>
                </c:pt>
                <c:pt idx="4">
                  <c:v>Corporate Debt Market Development Fund</c:v>
                </c:pt>
                <c:pt idx="5">
                  <c:v>Government Bond Strips</c:v>
                </c:pt>
                <c:pt idx="6">
                  <c:v>State Government Bond</c:v>
                </c:pt>
              </c:strCache>
            </c:strRef>
          </c:cat>
          <c:val>
            <c:numRef>
              <c:f>'BANDHAN MMF'!$K$9:$K$15</c:f>
              <c:numCache>
                <c:formatCode>0.00%</c:formatCode>
                <c:ptCount val="7"/>
                <c:pt idx="0">
                  <c:v>-4.0586999999999998E-2</c:v>
                </c:pt>
                <c:pt idx="1">
                  <c:v>2.605E-2</c:v>
                </c:pt>
                <c:pt idx="2">
                  <c:v>0.63173199999999996</c:v>
                </c:pt>
                <c:pt idx="3">
                  <c:v>0.243558</c:v>
                </c:pt>
                <c:pt idx="4">
                  <c:v>1.6199999999999999E-3</c:v>
                </c:pt>
                <c:pt idx="5">
                  <c:v>1.023E-3</c:v>
                </c:pt>
                <c:pt idx="6">
                  <c:v>0.136604</c:v>
                </c:pt>
              </c:numCache>
            </c:numRef>
          </c:val>
          <c:extLst>
            <c:ext xmlns:c16="http://schemas.microsoft.com/office/drawing/2014/chart" uri="{C3380CC4-5D6E-409C-BE32-E72D297353CC}">
              <c16:uniqueId val="{0000000C-7910-4F20-B5F5-E5689ED14C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8284198013792174"/>
                  <c:y val="-2.97356828193832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763914414338464"/>
                      <c:h val="0.16519823788546256"/>
                    </c:manualLayout>
                  </c15:layout>
                </c:ext>
                <c:ext xmlns:c16="http://schemas.microsoft.com/office/drawing/2014/chart" uri="{C3380CC4-5D6E-409C-BE32-E72D297353CC}">
                  <c16:uniqueId val="{0000000D-6644-45E7-9C36-991F88C29B18}"/>
                </c:ext>
              </c:extLst>
            </c:dLbl>
            <c:dLbl>
              <c:idx val="1"/>
              <c:layout>
                <c:manualLayout>
                  <c:x val="-2.2547842654571819E-2"/>
                  <c:y val="-3.34989073502376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44-45E7-9C36-991F88C29B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0.97213499999999997</c:v>
                </c:pt>
                <c:pt idx="1">
                  <c:v>2.7865000000000001E-2</c:v>
                </c:pt>
              </c:numCache>
            </c:numRef>
          </c:val>
          <c:extLst>
            <c:ext xmlns:c16="http://schemas.microsoft.com/office/drawing/2014/chart" uri="{C3380CC4-5D6E-409C-BE32-E72D297353CC}">
              <c16:uniqueId val="{0000000C-6644-45E7-9C36-991F88C29B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534834510782512"/>
                  <c:y val="-2.55114660503143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DF7-48BC-BCDF-14AC1D33D811}"/>
                </c:ext>
              </c:extLst>
            </c:dLbl>
            <c:dLbl>
              <c:idx val="1"/>
              <c:layout>
                <c:manualLayout>
                  <c:x val="0.15016169552681718"/>
                  <c:y val="-7.89216134401600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DF7-48BC-BCDF-14AC1D33D811}"/>
                </c:ext>
              </c:extLst>
            </c:dLbl>
            <c:dLbl>
              <c:idx val="2"/>
              <c:layout>
                <c:manualLayout>
                  <c:x val="-1.5698629213104252E-2"/>
                  <c:y val="0.550804046536899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DF7-48BC-BCDF-14AC1D33D811}"/>
                </c:ext>
              </c:extLst>
            </c:dLbl>
            <c:dLbl>
              <c:idx val="3"/>
              <c:layout>
                <c:manualLayout>
                  <c:x val="-7.0172317860695679E-2"/>
                  <c:y val="2.52610154289311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DF7-48BC-BCDF-14AC1D33D811}"/>
                </c:ext>
              </c:extLst>
            </c:dLbl>
            <c:dLbl>
              <c:idx val="4"/>
              <c:layout>
                <c:manualLayout>
                  <c:x val="4.107353015562562E-2"/>
                  <c:y val="0.633583496476960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DF7-48BC-BCDF-14AC1D33D811}"/>
                </c:ext>
              </c:extLst>
            </c:dLbl>
            <c:dLbl>
              <c:idx val="5"/>
              <c:layout>
                <c:manualLayout>
                  <c:x val="-0.15240081606501543"/>
                  <c:y val="-7.28656070236565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DF7-48BC-BCDF-14AC1D33D81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DF7-48BC-BCDF-14AC1D33D811}"/>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DF7-48BC-BCDF-14AC1D33D8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1.4735E-2</c:v>
                </c:pt>
                <c:pt idx="1">
                  <c:v>0.14127300000000001</c:v>
                </c:pt>
                <c:pt idx="2">
                  <c:v>9.7816E-2</c:v>
                </c:pt>
                <c:pt idx="3">
                  <c:v>0.63495299999999999</c:v>
                </c:pt>
                <c:pt idx="4">
                  <c:v>3.2495000000000003E-2</c:v>
                </c:pt>
                <c:pt idx="5">
                  <c:v>2.5709999999999999E-3</c:v>
                </c:pt>
                <c:pt idx="6">
                  <c:v>7.0069999999999993E-2</c:v>
                </c:pt>
                <c:pt idx="7">
                  <c:v>6.0870000000000004E-3</c:v>
                </c:pt>
              </c:numCache>
            </c:numRef>
          </c:val>
          <c:extLst>
            <c:ext xmlns:c16="http://schemas.microsoft.com/office/drawing/2014/chart" uri="{C3380CC4-5D6E-409C-BE32-E72D297353CC}">
              <c16:uniqueId val="{0000000C-2DF7-48BC-BCDF-14AC1D33D81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69-4D57-963F-85540359D5E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9069-4D57-963F-85540359D5E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6FC-43D1-9F19-14A844FD3AC7}"/>
                </c:ext>
              </c:extLst>
            </c:dLbl>
            <c:dLbl>
              <c:idx val="1"/>
              <c:layout>
                <c:manualLayout>
                  <c:x val="-0.28361142491021601"/>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6FC-43D1-9F19-14A844FD3AC7}"/>
                </c:ext>
              </c:extLst>
            </c:dLbl>
            <c:dLbl>
              <c:idx val="2"/>
              <c:layout>
                <c:manualLayout>
                  <c:x val="0.2270007081555919"/>
                  <c:y val="3.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6FC-43D1-9F19-14A844FD3AC7}"/>
                </c:ext>
              </c:extLst>
            </c:dLbl>
            <c:dLbl>
              <c:idx val="3"/>
              <c:layout>
                <c:manualLayout>
                  <c:x val="-0.33701217353184171"/>
                  <c:y val="-9.15240594925634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6FC-43D1-9F19-14A844FD3A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-1.0510000000000001E-3</c:v>
                </c:pt>
                <c:pt idx="1">
                  <c:v>3.189E-3</c:v>
                </c:pt>
                <c:pt idx="2">
                  <c:v>2.3999999999999998E-3</c:v>
                </c:pt>
                <c:pt idx="3">
                  <c:v>0.99546199999999996</c:v>
                </c:pt>
              </c:numCache>
            </c:numRef>
          </c:val>
          <c:extLst>
            <c:ext xmlns:c16="http://schemas.microsoft.com/office/drawing/2014/chart" uri="{C3380CC4-5D6E-409C-BE32-E72D297353CC}">
              <c16:uniqueId val="{0000000C-C6FC-43D1-9F19-14A844FD3A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583-40DE-97D6-BA8F68E3F0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0583-40DE-97D6-BA8F68E3F0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4.6462256993036473E-2"/>
                  <c:y val="-2.49701345471350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60-4219-8B3C-33ADE7DA6D64}"/>
                </c:ext>
              </c:extLst>
            </c:dLbl>
            <c:dLbl>
              <c:idx val="1"/>
              <c:layout>
                <c:manualLayout>
                  <c:x val="-0.24029590787232966"/>
                  <c:y val="-1.37253773510869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660-4219-8B3C-33ADE7DA6D6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660-4219-8B3C-33ADE7DA6D64}"/>
                </c:ext>
              </c:extLst>
            </c:dLbl>
            <c:dLbl>
              <c:idx val="3"/>
              <c:layout>
                <c:manualLayout>
                  <c:x val="-7.899627375271881E-2"/>
                  <c:y val="0.279817929735527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660-4219-8B3C-33ADE7DA6D64}"/>
                </c:ext>
              </c:extLst>
            </c:dLbl>
            <c:dLbl>
              <c:idx val="4"/>
              <c:layout>
                <c:manualLayout>
                  <c:x val="3.2818543559999323E-2"/>
                  <c:y val="0.170590420383498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660-4219-8B3C-33ADE7DA6D6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2.9037E-2</c:v>
                </c:pt>
                <c:pt idx="1">
                  <c:v>1.818E-3</c:v>
                </c:pt>
                <c:pt idx="2">
                  <c:v>0.249804</c:v>
                </c:pt>
                <c:pt idx="3">
                  <c:v>2.6350000000000002E-3</c:v>
                </c:pt>
                <c:pt idx="4">
                  <c:v>0.71670599999999995</c:v>
                </c:pt>
              </c:numCache>
            </c:numRef>
          </c:val>
          <c:extLst>
            <c:ext xmlns:c16="http://schemas.microsoft.com/office/drawing/2014/chart" uri="{C3380CC4-5D6E-409C-BE32-E72D297353CC}">
              <c16:uniqueId val="{0000000C-0660-4219-8B3C-33ADE7DA6D6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D7-415F-8767-D693AA4279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92D7-415F-8767-D693AA42792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15583444333912222"/>
                  <c:y val="-5.43410465376729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D5-40DF-8422-CEB2367334F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5D5-40DF-8422-CEB2367334FE}"/>
                </c:ext>
              </c:extLst>
            </c:dLbl>
            <c:dLbl>
              <c:idx val="2"/>
              <c:layout>
                <c:manualLayout>
                  <c:x val="-6.5741455765566781E-2"/>
                  <c:y val="0.322383914264546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5D5-40DF-8422-CEB2367334FE}"/>
                </c:ext>
              </c:extLst>
            </c:dLbl>
            <c:dLbl>
              <c:idx val="3"/>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10-65D5-40DF-8422-CEB2367334FE}"/>
                </c:ext>
              </c:extLst>
            </c:dLbl>
            <c:dLbl>
              <c:idx val="4"/>
              <c:layout>
                <c:manualLayout>
                  <c:x val="8.4609418469372265E-3"/>
                  <c:y val="0.344722341873567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5D5-40DF-8422-CEB2367334FE}"/>
                </c:ext>
              </c:extLst>
            </c:dLbl>
            <c:dLbl>
              <c:idx val="5"/>
              <c:layout>
                <c:manualLayout>
                  <c:x val="-0.28345900284948322"/>
                  <c:y val="-1.38596461000361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5D5-40DF-8422-CEB2367334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MT'!$J$9:$J$14</c:f>
              <c:strCache>
                <c:ptCount val="6"/>
                <c:pt idx="0">
                  <c:v>Net Current Asset</c:v>
                </c:pt>
                <c:pt idx="1">
                  <c:v>TRI Party Repo</c:v>
                </c:pt>
                <c:pt idx="2">
                  <c:v>Corporate Bond</c:v>
                </c:pt>
                <c:pt idx="3">
                  <c:v>Corporate Debt Market Development Fund</c:v>
                </c:pt>
                <c:pt idx="4">
                  <c:v>Government Bond</c:v>
                </c:pt>
                <c:pt idx="5">
                  <c:v>State Government Bond</c:v>
                </c:pt>
              </c:strCache>
            </c:strRef>
          </c:cat>
          <c:val>
            <c:numRef>
              <c:f>'BANDHAN BOND MT'!$K$9:$K$14</c:f>
              <c:numCache>
                <c:formatCode>0.00%</c:formatCode>
                <c:ptCount val="6"/>
                <c:pt idx="0">
                  <c:v>2.7009999999999999E-2</c:v>
                </c:pt>
                <c:pt idx="1">
                  <c:v>2.196E-3</c:v>
                </c:pt>
                <c:pt idx="2">
                  <c:v>0.46860299999999999</c:v>
                </c:pt>
                <c:pt idx="3">
                  <c:v>3.421E-3</c:v>
                </c:pt>
                <c:pt idx="4">
                  <c:v>0.497448</c:v>
                </c:pt>
                <c:pt idx="5">
                  <c:v>1.322E-3</c:v>
                </c:pt>
              </c:numCache>
            </c:numRef>
          </c:val>
          <c:extLst>
            <c:ext xmlns:c16="http://schemas.microsoft.com/office/drawing/2014/chart" uri="{C3380CC4-5D6E-409C-BE32-E72D297353CC}">
              <c16:uniqueId val="{0000000C-65D5-40DF-8422-CEB2367334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3B2-4684-A0E0-3291BFAA7C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23B2-4684-A0E0-3291BFAA7C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1390766999949418"/>
                  <c:y val="3.38099184970299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DB-48FD-94AE-FD11C6FA1F3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8DB-48FD-94AE-FD11C6FA1F3F}"/>
                </c:ext>
              </c:extLst>
            </c:dLbl>
            <c:dLbl>
              <c:idx val="2"/>
              <c:layout>
                <c:manualLayout>
                  <c:x val="-0.127304624930449"/>
                  <c:y val="0.20484977206796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8DB-48FD-94AE-FD11C6FA1F3F}"/>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8DB-48FD-94AE-FD11C6FA1F3F}"/>
                </c:ext>
              </c:extLst>
            </c:dLbl>
            <c:dLbl>
              <c:idx val="4"/>
              <c:layout>
                <c:manualLayout>
                  <c:x val="0.20947807246792224"/>
                  <c:y val="-0.151330294239535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8DB-48FD-94AE-FD11C6FA1F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ST'!$J$9:$J$13</c:f>
              <c:strCache>
                <c:ptCount val="5"/>
                <c:pt idx="0">
                  <c:v>Net Current Asset</c:v>
                </c:pt>
                <c:pt idx="1">
                  <c:v>TRI Party Repo</c:v>
                </c:pt>
                <c:pt idx="2">
                  <c:v>Corporate Bond</c:v>
                </c:pt>
                <c:pt idx="3">
                  <c:v>Corporate Debt Market Development Fund</c:v>
                </c:pt>
                <c:pt idx="4">
                  <c:v>Government Bond</c:v>
                </c:pt>
              </c:strCache>
            </c:strRef>
          </c:cat>
          <c:val>
            <c:numRef>
              <c:f>'BANDHAN BOND ST'!$K$9:$K$13</c:f>
              <c:numCache>
                <c:formatCode>0.00%</c:formatCode>
                <c:ptCount val="5"/>
                <c:pt idx="0">
                  <c:v>2.9555999999999999E-2</c:v>
                </c:pt>
                <c:pt idx="1">
                  <c:v>2.274E-3</c:v>
                </c:pt>
                <c:pt idx="2">
                  <c:v>0.574492</c:v>
                </c:pt>
                <c:pt idx="3">
                  <c:v>2.8410000000000002E-3</c:v>
                </c:pt>
                <c:pt idx="4">
                  <c:v>0.39083699999999999</c:v>
                </c:pt>
              </c:numCache>
            </c:numRef>
          </c:val>
          <c:extLst>
            <c:ext xmlns:c16="http://schemas.microsoft.com/office/drawing/2014/chart" uri="{C3380CC4-5D6E-409C-BE32-E72D297353CC}">
              <c16:uniqueId val="{0000000C-38DB-48FD-94AE-FD11C6FA1F3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26690721475664"/>
                  <c:y val="-2.43362831858407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88-4DDC-B040-B2C585C660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8088-4DDC-B040-B2C585C660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D9-4896-ACA1-0AD31F5EA4D8}"/>
                </c:ext>
              </c:extLst>
            </c:dLbl>
            <c:dLbl>
              <c:idx val="1"/>
              <c:layout>
                <c:manualLayout>
                  <c:x val="7.1775278625503716E-2"/>
                  <c:y val="-2.28836741941910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AD9-4896-ACA1-0AD31F5EA4D8}"/>
                </c:ext>
              </c:extLst>
            </c:dLbl>
            <c:dLbl>
              <c:idx val="2"/>
              <c:layout>
                <c:manualLayout>
                  <c:x val="0.18851978620445464"/>
                  <c:y val="-0.100628015557461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AD9-4896-ACA1-0AD31F5EA4D8}"/>
                </c:ext>
              </c:extLst>
            </c:dLbl>
            <c:dLbl>
              <c:idx val="3"/>
              <c:layout>
                <c:manualLayout>
                  <c:x val="3.0044091116019491E-2"/>
                  <c:y val="6.09966823453998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AD9-4896-ACA1-0AD31F5EA4D8}"/>
                </c:ext>
              </c:extLst>
            </c:dLbl>
            <c:dLbl>
              <c:idx val="4"/>
              <c:layout>
                <c:manualLayout>
                  <c:x val="8.3781550860746257E-4"/>
                  <c:y val="0.525774624706565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AD9-4896-ACA1-0AD31F5EA4D8}"/>
                </c:ext>
              </c:extLst>
            </c:dLbl>
            <c:dLbl>
              <c:idx val="5"/>
              <c:layout>
                <c:manualLayout>
                  <c:x val="-0.1139575781078757"/>
                  <c:y val="-0.19999341666450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AD9-4896-ACA1-0AD31F5EA4D8}"/>
                </c:ext>
              </c:extLst>
            </c:dLbl>
            <c:dLbl>
              <c:idx val="6"/>
              <c:layout>
                <c:manualLayout>
                  <c:x val="-0.19834122983021127"/>
                  <c:y val="-3.3874033072598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AD9-4896-ACA1-0AD31F5EA4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3.1612000000000001E-2</c:v>
                </c:pt>
                <c:pt idx="1">
                  <c:v>1.2160000000000001E-3</c:v>
                </c:pt>
                <c:pt idx="2">
                  <c:v>3.9600999999999997E-2</c:v>
                </c:pt>
                <c:pt idx="3">
                  <c:v>0.70682</c:v>
                </c:pt>
                <c:pt idx="4">
                  <c:v>2.6570000000000001E-3</c:v>
                </c:pt>
                <c:pt idx="5">
                  <c:v>0.21800900000000001</c:v>
                </c:pt>
                <c:pt idx="6">
                  <c:v>8.5000000000000006E-5</c:v>
                </c:pt>
              </c:numCache>
            </c:numRef>
          </c:val>
          <c:extLst>
            <c:ext xmlns:c16="http://schemas.microsoft.com/office/drawing/2014/chart" uri="{C3380CC4-5D6E-409C-BE32-E72D297353CC}">
              <c16:uniqueId val="{0000000C-3AD9-4896-ACA1-0AD31F5EA4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044892006272234"/>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A80-48A0-B5C8-39D0D46AB45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2A80-48A0-B5C8-39D0D46AB45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3145343876983257"/>
                  <c:y val="6.86834956145268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871-4496-98CF-73E6EA8FBD9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871-4496-98CF-73E6EA8FBD9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871-4496-98CF-73E6EA8FBD9A}"/>
                </c:ext>
              </c:extLst>
            </c:dLbl>
            <c:dLbl>
              <c:idx val="3"/>
              <c:layout>
                <c:manualLayout>
                  <c:x val="-0.11445665919169097"/>
                  <c:y val="0.1965702753749428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871-4496-98CF-73E6EA8FBD9A}"/>
                </c:ext>
              </c:extLst>
            </c:dLbl>
            <c:dLbl>
              <c:idx val="4"/>
              <c:layout>
                <c:manualLayout>
                  <c:x val="-1.3980171643426799E-2"/>
                  <c:y val="0.265155453596777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140788076008705"/>
                      <c:h val="0.21467688937568455"/>
                    </c:manualLayout>
                  </c15:layout>
                </c:ext>
                <c:ext xmlns:c16="http://schemas.microsoft.com/office/drawing/2014/chart" uri="{C3380CC4-5D6E-409C-BE32-E72D297353CC}">
                  <c16:uniqueId val="{00000011-4871-4496-98CF-73E6EA8FBD9A}"/>
                </c:ext>
              </c:extLst>
            </c:dLbl>
            <c:dLbl>
              <c:idx val="5"/>
              <c:layout>
                <c:manualLayout>
                  <c:x val="-5.7591596553642786E-2"/>
                  <c:y val="-0.100724271459495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871-4496-98CF-73E6EA8FBD9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871-4496-98CF-73E6EA8FBD9A}"/>
                </c:ext>
              </c:extLst>
            </c:dLbl>
            <c:dLbl>
              <c:idx val="7"/>
              <c:layout>
                <c:manualLayout>
                  <c:x val="-8.218668330270279E-2"/>
                  <c:y val="-3.75596588213986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871-4496-98CF-73E6EA8FBD9A}"/>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871-4496-98CF-73E6EA8FBD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Corporate Debt Market Development Fund</c:v>
                </c:pt>
                <c:pt idx="5">
                  <c:v>Government Bond</c:v>
                </c:pt>
                <c:pt idx="7">
                  <c:v>State Government Bond</c:v>
                </c:pt>
                <c:pt idx="8">
                  <c:v>Zero Coupon Bond</c:v>
                </c:pt>
              </c:strCache>
            </c:strRef>
          </c:cat>
          <c:val>
            <c:numRef>
              <c:f>'BANDHAN CBF'!$K$9:$K$17</c:f>
              <c:numCache>
                <c:formatCode>0.00%</c:formatCode>
                <c:ptCount val="9"/>
                <c:pt idx="0">
                  <c:v>2.3529999999999999E-2</c:v>
                </c:pt>
                <c:pt idx="1">
                  <c:v>1.0859999999999999E-3</c:v>
                </c:pt>
                <c:pt idx="2">
                  <c:v>3.5599999999999998E-4</c:v>
                </c:pt>
                <c:pt idx="3">
                  <c:v>0.68500800000000006</c:v>
                </c:pt>
                <c:pt idx="4">
                  <c:v>2.9160000000000002E-3</c:v>
                </c:pt>
                <c:pt idx="5">
                  <c:v>0.27703499999999998</c:v>
                </c:pt>
                <c:pt idx="7">
                  <c:v>9.1799999999999998E-4</c:v>
                </c:pt>
                <c:pt idx="8">
                  <c:v>9.1509999999999994E-3</c:v>
                </c:pt>
              </c:numCache>
            </c:numRef>
          </c:val>
          <c:extLst>
            <c:ext xmlns:c16="http://schemas.microsoft.com/office/drawing/2014/chart" uri="{C3380CC4-5D6E-409C-BE32-E72D297353CC}">
              <c16:uniqueId val="{0000000C-4871-4496-98CF-73E6EA8FBD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242239794972095"/>
                  <c:y val="-0.390451628568455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40D-4509-B3F8-C50289EE5F28}"/>
                </c:ext>
              </c:extLst>
            </c:dLbl>
            <c:dLbl>
              <c:idx val="1"/>
              <c:layout>
                <c:manualLayout>
                  <c:x val="1.3225395808393325E-2"/>
                  <c:y val="0.302576225328662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121516127400564"/>
                      <c:h val="0.16519823788546256"/>
                    </c:manualLayout>
                  </c15:layout>
                </c:ext>
                <c:ext xmlns:c16="http://schemas.microsoft.com/office/drawing/2014/chart" uri="{C3380CC4-5D6E-409C-BE32-E72D297353CC}">
                  <c16:uniqueId val="{0000000E-D40D-4509-B3F8-C50289EE5F28}"/>
                </c:ext>
              </c:extLst>
            </c:dLbl>
            <c:dLbl>
              <c:idx val="2"/>
              <c:layout>
                <c:manualLayout>
                  <c:x val="7.9132172182973925E-3"/>
                  <c:y val="-8.18373859655208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40D-4509-B3F8-C50289EE5F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0.61079600000000001</c:v>
                </c:pt>
                <c:pt idx="1">
                  <c:v>0.272783</c:v>
                </c:pt>
                <c:pt idx="2">
                  <c:v>0.116421</c:v>
                </c:pt>
              </c:numCache>
            </c:numRef>
          </c:val>
          <c:extLst>
            <c:ext xmlns:c16="http://schemas.microsoft.com/office/drawing/2014/chart" uri="{C3380CC4-5D6E-409C-BE32-E72D297353CC}">
              <c16:uniqueId val="{0000000C-D40D-4509-B3F8-C50289EE5F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939-45F7-B316-047C9EE00E8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939-45F7-B316-047C9EE00E82}"/>
                </c:ext>
              </c:extLst>
            </c:dLbl>
            <c:dLbl>
              <c:idx val="2"/>
              <c:layout>
                <c:manualLayout>
                  <c:x val="-0.1123094302719654"/>
                  <c:y val="0.121033432011737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939-45F7-B316-047C9EE00E8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939-45F7-B316-047C9EE00E8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939-45F7-B316-047C9EE00E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3.7266000000000001E-2</c:v>
                </c:pt>
                <c:pt idx="1">
                  <c:v>1.601E-3</c:v>
                </c:pt>
                <c:pt idx="2">
                  <c:v>0.727217</c:v>
                </c:pt>
                <c:pt idx="3">
                  <c:v>4.2310000000000004E-3</c:v>
                </c:pt>
                <c:pt idx="4">
                  <c:v>0.229685</c:v>
                </c:pt>
              </c:numCache>
            </c:numRef>
          </c:val>
          <c:extLst>
            <c:ext xmlns:c16="http://schemas.microsoft.com/office/drawing/2014/chart" uri="{C3380CC4-5D6E-409C-BE32-E72D297353CC}">
              <c16:uniqueId val="{0000000C-7939-45F7-B316-047C9EE00E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7.692989259640183E-2"/>
                  <c:y val="-0.4185722709771410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519823788546256"/>
                    </c:manualLayout>
                  </c15:layout>
                </c:ext>
                <c:ext xmlns:c16="http://schemas.microsoft.com/office/drawing/2014/chart" uri="{C3380CC4-5D6E-409C-BE32-E72D297353CC}">
                  <c16:uniqueId val="{0000000D-FBFF-427E-9D17-2F4248EE7FA7}"/>
                </c:ext>
              </c:extLst>
            </c:dLbl>
            <c:dLbl>
              <c:idx val="1"/>
              <c:layout>
                <c:manualLayout>
                  <c:x val="5.8257515722740225E-2"/>
                  <c:y val="0.23179159873738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BFF-427E-9D17-2F4248EE7FA7}"/>
                </c:ext>
              </c:extLst>
            </c:dLbl>
            <c:dLbl>
              <c:idx val="2"/>
              <c:layout>
                <c:manualLayout>
                  <c:x val="1.9316124028393666E-2"/>
                  <c:y val="-5.27340525165631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BFF-427E-9D17-2F4248EE7F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0.57807799999999998</c:v>
                </c:pt>
                <c:pt idx="1">
                  <c:v>0.230215</c:v>
                </c:pt>
                <c:pt idx="2">
                  <c:v>0.19170699999999999</c:v>
                </c:pt>
              </c:numCache>
            </c:numRef>
          </c:val>
          <c:extLst>
            <c:ext xmlns:c16="http://schemas.microsoft.com/office/drawing/2014/chart" uri="{C3380CC4-5D6E-409C-BE32-E72D297353CC}">
              <c16:uniqueId val="{0000000C-FBFF-427E-9D17-2F4248EE7F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865-40E1-BB2F-53958ACD279A}"/>
                </c:ext>
              </c:extLst>
            </c:dLbl>
            <c:dLbl>
              <c:idx val="1"/>
              <c:layout>
                <c:manualLayout>
                  <c:x val="0.20608845200559781"/>
                  <c:y val="5.15318227143004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865-40E1-BB2F-53958ACD279A}"/>
                </c:ext>
              </c:extLst>
            </c:dLbl>
            <c:dLbl>
              <c:idx val="2"/>
              <c:layout>
                <c:manualLayout>
                  <c:x val="-0.16477785833515993"/>
                  <c:y val="0.151168723996836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865-40E1-BB2F-53958ACD279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865-40E1-BB2F-53958ACD279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865-40E1-BB2F-53958ACD279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865-40E1-BB2F-53958ACD27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FRF'!$J$9:$J$14</c:f>
              <c:strCache>
                <c:ptCount val="5"/>
                <c:pt idx="0">
                  <c:v>Net Current Asset</c:v>
                </c:pt>
                <c:pt idx="1">
                  <c:v>TRI Party Repo</c:v>
                </c:pt>
                <c:pt idx="2">
                  <c:v>Corporate Bond</c:v>
                </c:pt>
                <c:pt idx="3">
                  <c:v>Corporate Debt Market Development Fund</c:v>
                </c:pt>
                <c:pt idx="4">
                  <c:v>Government Bond</c:v>
                </c:pt>
              </c:strCache>
            </c:strRef>
          </c:cat>
          <c:val>
            <c:numRef>
              <c:f>'BANDHAN FRF'!$K$9:$K$14</c:f>
              <c:numCache>
                <c:formatCode>0.00%</c:formatCode>
                <c:ptCount val="6"/>
                <c:pt idx="0">
                  <c:v>-3.4000000000000002E-4</c:v>
                </c:pt>
                <c:pt idx="1">
                  <c:v>5.3898000000000001E-2</c:v>
                </c:pt>
                <c:pt idx="2">
                  <c:v>0.63207599999999997</c:v>
                </c:pt>
                <c:pt idx="3">
                  <c:v>3.447E-3</c:v>
                </c:pt>
                <c:pt idx="4">
                  <c:v>0.31091600000000003</c:v>
                </c:pt>
              </c:numCache>
            </c:numRef>
          </c:val>
          <c:extLst>
            <c:ext xmlns:c16="http://schemas.microsoft.com/office/drawing/2014/chart" uri="{C3380CC4-5D6E-409C-BE32-E72D297353CC}">
              <c16:uniqueId val="{0000000C-8865-40E1-BB2F-53958ACD27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6F-4769-9843-955F7BD1B0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F16F-4769-9843-955F7BD1B0A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709-43F6-A329-B9585D7C10BB}"/>
                </c:ext>
              </c:extLst>
            </c:dLbl>
            <c:dLbl>
              <c:idx val="1"/>
              <c:layout>
                <c:manualLayout>
                  <c:x val="4.9607732384629573E-2"/>
                  <c:y val="-1.40927384076990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709-43F6-A329-B9585D7C10BB}"/>
                </c:ext>
              </c:extLst>
            </c:dLbl>
            <c:dLbl>
              <c:idx val="2"/>
              <c:layout>
                <c:manualLayout>
                  <c:x val="-0.17036857812473655"/>
                  <c:y val="-1.06974628171478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709-43F6-A329-B9585D7C10B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Dur'!$J$9:$J$11</c:f>
              <c:strCache>
                <c:ptCount val="3"/>
                <c:pt idx="0">
                  <c:v>Net Current Asset</c:v>
                </c:pt>
                <c:pt idx="1">
                  <c:v>TRI Party Repo</c:v>
                </c:pt>
                <c:pt idx="2">
                  <c:v>Government Bond</c:v>
                </c:pt>
              </c:strCache>
            </c:strRef>
          </c:cat>
          <c:val>
            <c:numRef>
              <c:f>'BANDHAN Long Dur'!$K$9:$K$11</c:f>
              <c:numCache>
                <c:formatCode>0.00%</c:formatCode>
                <c:ptCount val="3"/>
                <c:pt idx="0">
                  <c:v>-7.6140000000000001E-3</c:v>
                </c:pt>
                <c:pt idx="1">
                  <c:v>6.676E-2</c:v>
                </c:pt>
                <c:pt idx="2">
                  <c:v>0.94085399999999997</c:v>
                </c:pt>
              </c:numCache>
            </c:numRef>
          </c:val>
          <c:extLst>
            <c:ext xmlns:c16="http://schemas.microsoft.com/office/drawing/2014/chart" uri="{C3380CC4-5D6E-409C-BE32-E72D297353CC}">
              <c16:uniqueId val="{0000000C-2709-43F6-A329-B9585D7C10B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D4E-4573-92C8-2A1919D854E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3D4E-4573-92C8-2A1919D854E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E1-4F12-95A4-EEA778FAC20F}"/>
                </c:ext>
              </c:extLst>
            </c:dLbl>
            <c:dLbl>
              <c:idx val="1"/>
              <c:layout>
                <c:manualLayout>
                  <c:x val="0.13338102143013708"/>
                  <c:y val="-6.82558180227471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E1-4F12-95A4-EEA778FAC20F}"/>
                </c:ext>
              </c:extLst>
            </c:dLbl>
            <c:dLbl>
              <c:idx val="2"/>
              <c:layout>
                <c:manualLayout>
                  <c:x val="-0.2821796017467838"/>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E1-4F12-95A4-EEA778FAC2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-7.8840000000000004E-3</c:v>
                </c:pt>
                <c:pt idx="1">
                  <c:v>1.1702000000000001E-2</c:v>
                </c:pt>
                <c:pt idx="2">
                  <c:v>0.99618200000000001</c:v>
                </c:pt>
              </c:numCache>
            </c:numRef>
          </c:val>
          <c:extLst>
            <c:ext xmlns:c16="http://schemas.microsoft.com/office/drawing/2014/chart" uri="{C3380CC4-5D6E-409C-BE32-E72D297353CC}">
              <c16:uniqueId val="{0000000C-A2E1-4F12-95A4-EEA778FAC2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BF-43FC-8EFB-4993437147A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7ABF-43FC-8EFB-4993437147A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967-4ECF-A4EE-8435C255F9F2}"/>
                </c:ext>
              </c:extLst>
            </c:dLbl>
            <c:dLbl>
              <c:idx val="1"/>
              <c:layout>
                <c:manualLayout>
                  <c:x val="0.1842513783742771"/>
                  <c:y val="-2.0705161854768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967-4ECF-A4EE-8435C255F9F2}"/>
                </c:ext>
              </c:extLst>
            </c:dLbl>
            <c:dLbl>
              <c:idx val="2"/>
              <c:layout>
                <c:manualLayout>
                  <c:x val="-0.21019600735132948"/>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967-4ECF-A4EE-8435C255F9F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2.6190999999999999E-2</c:v>
                </c:pt>
                <c:pt idx="1">
                  <c:v>4.0969999999999999E-3</c:v>
                </c:pt>
                <c:pt idx="2">
                  <c:v>0.96971200000000002</c:v>
                </c:pt>
              </c:numCache>
            </c:numRef>
          </c:val>
          <c:extLst>
            <c:ext xmlns:c16="http://schemas.microsoft.com/office/drawing/2014/chart" uri="{C3380CC4-5D6E-409C-BE32-E72D297353CC}">
              <c16:uniqueId val="{0000000C-F967-4ECF-A4EE-8435C255F9F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093425955586"/>
                  <c:y val="6.547175024174609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8B-41E0-B39D-4B3C01176A1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F78B-41E0-B39D-4B3C01176A1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layout>
                <c:manualLayout>
                  <c:x val="0.14144311993120776"/>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DB5-4264-9338-16B43FEE8C4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DB5-4264-9338-16B43FEE8C4E}"/>
                </c:ext>
              </c:extLst>
            </c:dLbl>
            <c:dLbl>
              <c:idx val="2"/>
              <c:layout>
                <c:manualLayout>
                  <c:x val="-0.29368923772108785"/>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DB5-4264-9338-16B43FEE8C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1.6747000000000001E-2</c:v>
                </c:pt>
                <c:pt idx="1">
                  <c:v>2.6700000000000001E-3</c:v>
                </c:pt>
                <c:pt idx="2">
                  <c:v>0.98058299999999998</c:v>
                </c:pt>
              </c:numCache>
            </c:numRef>
          </c:val>
          <c:extLst>
            <c:ext xmlns:c16="http://schemas.microsoft.com/office/drawing/2014/chart" uri="{C3380CC4-5D6E-409C-BE32-E72D297353CC}">
              <c16:uniqueId val="{0000000C-9DB5-4264-9338-16B43FEE8C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47-4E13-B3F9-B9DC260445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B447-4E13-B3F9-B9DC260445F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88-4248-ACEA-3F77649BBEB8}"/>
                </c:ext>
              </c:extLst>
            </c:dLbl>
            <c:dLbl>
              <c:idx val="1"/>
              <c:layout>
                <c:manualLayout>
                  <c:x val="0.1729014989293362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C88-4248-ACEA-3F77649BBEB8}"/>
                </c:ext>
              </c:extLst>
            </c:dLbl>
            <c:dLbl>
              <c:idx val="2"/>
              <c:layout>
                <c:manualLayout>
                  <c:x val="-0.30803006289096091"/>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C88-4248-ACEA-3F77649BBEB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6.0600000000000003E-3</c:v>
                </c:pt>
                <c:pt idx="1">
                  <c:v>5.4669999999999996E-3</c:v>
                </c:pt>
                <c:pt idx="2">
                  <c:v>0.98847300000000005</c:v>
                </c:pt>
              </c:numCache>
            </c:numRef>
          </c:val>
          <c:extLst>
            <c:ext xmlns:c16="http://schemas.microsoft.com/office/drawing/2014/chart" uri="{C3380CC4-5D6E-409C-BE32-E72D297353CC}">
              <c16:uniqueId val="{0000000C-FC88-4248-ACEA-3F77649BBEB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BB-49FE-B797-1D21A374DC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ACBB-49FE-B797-1D21A374DC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E92-426F-B55A-B62BBE4F36DF}"/>
                </c:ext>
              </c:extLst>
            </c:dLbl>
            <c:dLbl>
              <c:idx val="1"/>
              <c:layout>
                <c:manualLayout>
                  <c:x val="0.11787022205736053"/>
                  <c:y val="-1.5149606299212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E92-426F-B55A-B62BBE4F36DF}"/>
                </c:ext>
              </c:extLst>
            </c:dLbl>
            <c:dLbl>
              <c:idx val="2"/>
              <c:layout>
                <c:manualLayout>
                  <c:x val="-0.2093930094926571"/>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E92-426F-B55A-B62BBE4F36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2.6540999999999999E-2</c:v>
                </c:pt>
                <c:pt idx="1">
                  <c:v>3.47E-3</c:v>
                </c:pt>
                <c:pt idx="2">
                  <c:v>0.96998899999999999</c:v>
                </c:pt>
              </c:numCache>
            </c:numRef>
          </c:val>
          <c:extLst>
            <c:ext xmlns:c16="http://schemas.microsoft.com/office/drawing/2014/chart" uri="{C3380CC4-5D6E-409C-BE32-E72D297353CC}">
              <c16:uniqueId val="{0000000C-6E92-426F-B55A-B62BBE4F36D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37C-47A7-97EC-FBEA223135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A37C-47A7-97EC-FBEA2231352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30-4A19-997C-8B88F02C8D85}"/>
                </c:ext>
              </c:extLst>
            </c:dLbl>
            <c:dLbl>
              <c:idx val="1"/>
              <c:layout>
                <c:manualLayout>
                  <c:x val="0.12594732671264058"/>
                  <c:y val="-2.585861767279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930-4A19-997C-8B88F02C8D85}"/>
                </c:ext>
              </c:extLst>
            </c:dLbl>
            <c:dLbl>
              <c:idx val="2"/>
              <c:layout>
                <c:manualLayout>
                  <c:x val="-0.19654504375389908"/>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930-4A19-997C-8B88F02C8D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0.000%</c:formatCode>
                <c:ptCount val="3"/>
                <c:pt idx="0" formatCode="0.00%">
                  <c:v>3.0029E-2</c:v>
                </c:pt>
                <c:pt idx="1">
                  <c:v>2.4000000000000001E-5</c:v>
                </c:pt>
                <c:pt idx="2" formatCode="0.00%">
                  <c:v>0.969947</c:v>
                </c:pt>
              </c:numCache>
            </c:numRef>
          </c:val>
          <c:extLst>
            <c:ext xmlns:c16="http://schemas.microsoft.com/office/drawing/2014/chart" uri="{C3380CC4-5D6E-409C-BE32-E72D297353CC}">
              <c16:uniqueId val="{0000000C-8930-4A19-997C-8B88F02C8D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C4-4E37-8663-FDABACDD4FB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BFC4-4E37-8663-FDABACDD4FB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5229358107538485"/>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1B-4824-B859-43975E019FE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1B-4824-B859-43975E019FE1}"/>
                </c:ext>
              </c:extLst>
            </c:dLbl>
            <c:dLbl>
              <c:idx val="2"/>
              <c:layout>
                <c:manualLayout>
                  <c:x val="1.0762531824849517E-2"/>
                  <c:y val="-5.0950831146106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1B-4824-B859-43975E019FE1}"/>
                </c:ext>
              </c:extLst>
            </c:dLbl>
            <c:dLbl>
              <c:idx val="3"/>
              <c:layout>
                <c:manualLayout>
                  <c:x val="1.8148173127181373E-2"/>
                  <c:y val="7.6985126859142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41B-4824-B859-43975E019F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1.6752E-2</c:v>
                </c:pt>
                <c:pt idx="1">
                  <c:v>2.7764E-2</c:v>
                </c:pt>
                <c:pt idx="2">
                  <c:v>0.127078</c:v>
                </c:pt>
                <c:pt idx="3">
                  <c:v>0.82840599999999998</c:v>
                </c:pt>
              </c:numCache>
            </c:numRef>
          </c:val>
          <c:extLst>
            <c:ext xmlns:c16="http://schemas.microsoft.com/office/drawing/2014/chart" uri="{C3380CC4-5D6E-409C-BE32-E72D297353CC}">
              <c16:uniqueId val="{0000000C-A41B-4824-B859-43975E019F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31684061440928"/>
                  <c:y val="-2.29257641921397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740359810484074"/>
                      <c:h val="0.16375545851528386"/>
                    </c:manualLayout>
                  </c15:layout>
                </c:ext>
                <c:ext xmlns:c16="http://schemas.microsoft.com/office/drawing/2014/chart" uri="{C3380CC4-5D6E-409C-BE32-E72D297353CC}">
                  <c16:uniqueId val="{0000000D-06B3-47B8-B08E-99EDC46DD49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06B3-47B8-B08E-99EDC46DD49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1D-4E00-B49B-912DD5E1C75D}"/>
                </c:ext>
              </c:extLst>
            </c:dLbl>
            <c:dLbl>
              <c:idx val="1"/>
              <c:layout>
                <c:manualLayout>
                  <c:x val="-0.29433534539445955"/>
                  <c:y val="1.59615048118985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1D-4E00-B49B-912DD5E1C75D}"/>
                </c:ext>
              </c:extLst>
            </c:dLbl>
            <c:dLbl>
              <c:idx val="2"/>
              <c:layout>
                <c:manualLayout>
                  <c:x val="-3.8223203898227844E-2"/>
                  <c:y val="-5.50488188976377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61D-4E00-B49B-912DD5E1C75D}"/>
                </c:ext>
              </c:extLst>
            </c:dLbl>
            <c:dLbl>
              <c:idx val="3"/>
              <c:layout>
                <c:manualLayout>
                  <c:x val="1.1019828356573202E-2"/>
                  <c:y val="7.98894138232720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61D-4E00-B49B-912DD5E1C7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2.1815999999999999E-2</c:v>
                </c:pt>
                <c:pt idx="1">
                  <c:v>1.1086E-2</c:v>
                </c:pt>
                <c:pt idx="2">
                  <c:v>0.18057899999999999</c:v>
                </c:pt>
                <c:pt idx="3">
                  <c:v>0.78651899999999997</c:v>
                </c:pt>
              </c:numCache>
            </c:numRef>
          </c:val>
          <c:extLst>
            <c:ext xmlns:c16="http://schemas.microsoft.com/office/drawing/2014/chart" uri="{C3380CC4-5D6E-409C-BE32-E72D297353CC}">
              <c16:uniqueId val="{0000000C-661D-4E00-B49B-912DD5E1C75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F5-4A98-A566-1348CC01BB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ACF5-4A98-A566-1348CC01BB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99-4D3B-9730-3A768947811D}"/>
                </c:ext>
              </c:extLst>
            </c:dLbl>
            <c:dLbl>
              <c:idx val="1"/>
              <c:layout>
                <c:manualLayout>
                  <c:x val="1.1872902932101368E-2"/>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A99-4D3B-9730-3A768947811D}"/>
                </c:ext>
              </c:extLst>
            </c:dLbl>
            <c:dLbl>
              <c:idx val="2"/>
              <c:layout>
                <c:manualLayout>
                  <c:x val="0.10331880490313443"/>
                  <c:y val="-5.03426071741032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A99-4D3B-9730-3A768947811D}"/>
                </c:ext>
              </c:extLst>
            </c:dLbl>
            <c:dLbl>
              <c:idx val="3"/>
              <c:layout>
                <c:manualLayout>
                  <c:x val="4.0823483788295202E-3"/>
                  <c:y val="1.68150481189851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A99-4D3B-9730-3A76894781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2.0694000000000001E-2</c:v>
                </c:pt>
                <c:pt idx="1">
                  <c:v>5.9540000000000001E-3</c:v>
                </c:pt>
                <c:pt idx="2">
                  <c:v>0.13287499999999999</c:v>
                </c:pt>
                <c:pt idx="3">
                  <c:v>0.84047700000000003</c:v>
                </c:pt>
              </c:numCache>
            </c:numRef>
          </c:val>
          <c:extLst>
            <c:ext xmlns:c16="http://schemas.microsoft.com/office/drawing/2014/chart" uri="{C3380CC4-5D6E-409C-BE32-E72D297353CC}">
              <c16:uniqueId val="{0000000C-DA99-4D3B-9730-3A76894781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A58-4490-ADF1-7150D3B6ED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2A58-4490-ADF1-7150D3B6ED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4E-4C1F-BC1C-CC654CD6A74A}"/>
                </c:ext>
              </c:extLst>
            </c:dLbl>
            <c:dLbl>
              <c:idx val="1"/>
              <c:layout>
                <c:manualLayout>
                  <c:x val="0.20728793269149701"/>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4E-4C1F-BC1C-CC654CD6A74A}"/>
                </c:ext>
              </c:extLst>
            </c:dLbl>
            <c:dLbl>
              <c:idx val="2"/>
              <c:layout>
                <c:manualLayout>
                  <c:x val="-0.2902012342140316"/>
                  <c:y val="-3.13746281714785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E4E-4C1F-BC1C-CC654CD6A7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-3.6699999999999998E-4</c:v>
                </c:pt>
                <c:pt idx="1">
                  <c:v>4.7190000000000001E-3</c:v>
                </c:pt>
                <c:pt idx="2">
                  <c:v>0.99564799999999998</c:v>
                </c:pt>
              </c:numCache>
            </c:numRef>
          </c:val>
          <c:extLst>
            <c:ext xmlns:c16="http://schemas.microsoft.com/office/drawing/2014/chart" uri="{C3380CC4-5D6E-409C-BE32-E72D297353CC}">
              <c16:uniqueId val="{0000000C-FE4E-4C1F-BC1C-CC654CD6A7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92C-4F72-9274-17DA12D36C34}"/>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92C-4F72-9274-17DA12D36C34}"/>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92C-4F72-9274-17DA12D36C34}"/>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92C-4F72-9274-17DA12D36C34}"/>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0.99192400000000003</c:v>
                </c:pt>
                <c:pt idx="1">
                  <c:v>-7.5380000000000004E-3</c:v>
                </c:pt>
                <c:pt idx="2">
                  <c:v>1.5613999999999999E-2</c:v>
                </c:pt>
              </c:numCache>
            </c:numRef>
          </c:val>
          <c:extLst>
            <c:ext xmlns:c16="http://schemas.microsoft.com/office/drawing/2014/chart" uri="{C3380CC4-5D6E-409C-BE32-E72D297353CC}">
              <c16:uniqueId val="{00000004-592C-4F72-9274-17DA12D36C34}"/>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A918995-7BB8-44A4-A7AE-EA0414C8B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350CF64-C4CE-4E2F-A857-E0407A995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21C96B2-244E-45D9-ABE7-4439974E3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2B720318-ADB9-4FB7-A65F-7A0A70377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89E63FF-B9AE-4B68-BDBD-5B97F2B4E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4ECFBF51-BD86-4562-87CF-0A3D52FB6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2E8E7D1-F866-4EDE-9B23-A38D0A5B4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23B6DA7D-9FA8-42A0-87F8-F75CD37B7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3F41C9E-E64E-47D1-B022-F7CDA0C1C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4EA448F-84EC-4819-AE0F-6E2C864F0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DF44B79-EA61-4E3A-80B3-A2F402045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25941C1-6070-494C-AD32-06F387006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691180F-9B9F-4B2E-B833-B3F3F05DF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8A33743-770A-4074-84DE-E7AF60930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1353678-AE6C-44AD-A1E9-EF347AAD8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4FC139A6-0DF5-4FAF-A2AF-2B07FB423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F958DE3-031A-4D3C-B5F9-3F735C3C0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23030BC6-635D-49B1-9971-E7BCBEC53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3DD2EE6-E8C0-4E9A-B822-78A88F6E6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F22326A5-731A-4415-9CDD-AFCC6D206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12700</xdr:colOff>
      <xdr:row>7</xdr:row>
      <xdr:rowOff>50801</xdr:rowOff>
    </xdr:from>
    <xdr:to>
      <xdr:col>13</xdr:col>
      <xdr:colOff>558800</xdr:colOff>
      <xdr:row>22</xdr:row>
      <xdr:rowOff>50801</xdr:rowOff>
    </xdr:to>
    <xdr:graphicFrame macro="">
      <xdr:nvGraphicFramePr>
        <xdr:cNvPr id="2" name="Chart 1">
          <a:extLst>
            <a:ext uri="{FF2B5EF4-FFF2-40B4-BE49-F238E27FC236}">
              <a16:creationId xmlns:a16="http://schemas.microsoft.com/office/drawing/2014/main" id="{59E62A88-2B5C-45DB-B5B4-D7F31B62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0A2F52E-91CF-4A5A-87B2-977F1AA8E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522AA84-FD33-437F-8E70-F7764C1BE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144BDBAC-1515-4FDF-9F22-0F7D660A7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12700</xdr:rowOff>
    </xdr:from>
    <xdr:to>
      <xdr:col>13</xdr:col>
      <xdr:colOff>546100</xdr:colOff>
      <xdr:row>22</xdr:row>
      <xdr:rowOff>12700</xdr:rowOff>
    </xdr:to>
    <xdr:graphicFrame macro="">
      <xdr:nvGraphicFramePr>
        <xdr:cNvPr id="2" name="Chart 1">
          <a:extLst>
            <a:ext uri="{FF2B5EF4-FFF2-40B4-BE49-F238E27FC236}">
              <a16:creationId xmlns:a16="http://schemas.microsoft.com/office/drawing/2014/main" id="{75785032-6136-4D39-B495-8BDA941EA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9A5E418-D3D6-463B-B1DD-035849478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2C7A9F1-BBE3-4C9D-88AC-9A641E499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60F850B-94CE-4627-BA2E-DCDB8DDBD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B313732-D3F0-4B1F-8330-1478678CC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A641E32-DA05-411B-B18D-439B14801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50800</xdr:colOff>
      <xdr:row>7</xdr:row>
      <xdr:rowOff>50801</xdr:rowOff>
    </xdr:from>
    <xdr:to>
      <xdr:col>13</xdr:col>
      <xdr:colOff>596900</xdr:colOff>
      <xdr:row>22</xdr:row>
      <xdr:rowOff>50801</xdr:rowOff>
    </xdr:to>
    <xdr:graphicFrame macro="">
      <xdr:nvGraphicFramePr>
        <xdr:cNvPr id="2" name="Chart 1">
          <a:extLst>
            <a:ext uri="{FF2B5EF4-FFF2-40B4-BE49-F238E27FC236}">
              <a16:creationId xmlns:a16="http://schemas.microsoft.com/office/drawing/2014/main" id="{00324D33-7112-48A5-A06F-CDAD0B112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A1BBB84-78E4-410D-ACC4-7FDF44879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596900</xdr:colOff>
      <xdr:row>7</xdr:row>
      <xdr:rowOff>12701</xdr:rowOff>
    </xdr:from>
    <xdr:to>
      <xdr:col>13</xdr:col>
      <xdr:colOff>533400</xdr:colOff>
      <xdr:row>22</xdr:row>
      <xdr:rowOff>12701</xdr:rowOff>
    </xdr:to>
    <xdr:graphicFrame macro="">
      <xdr:nvGraphicFramePr>
        <xdr:cNvPr id="2" name="Chart 1">
          <a:extLst>
            <a:ext uri="{FF2B5EF4-FFF2-40B4-BE49-F238E27FC236}">
              <a16:creationId xmlns:a16="http://schemas.microsoft.com/office/drawing/2014/main" id="{F66AA323-1732-4658-AEFF-F8020C5E2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A9B393C-22D6-46E9-B48D-8A1814C76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48B28A2-88A7-4F52-A2BA-AFC7A2268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08F5368-08FA-4030-B0A1-FF47EE74E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60F7291-19DD-4FB4-88EC-346F05247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A6ECEFE-5E18-4508-A330-8D7C56423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571500</xdr:colOff>
      <xdr:row>7</xdr:row>
      <xdr:rowOff>25401</xdr:rowOff>
    </xdr:from>
    <xdr:to>
      <xdr:col>13</xdr:col>
      <xdr:colOff>508000</xdr:colOff>
      <xdr:row>22</xdr:row>
      <xdr:rowOff>25401</xdr:rowOff>
    </xdr:to>
    <xdr:graphicFrame macro="">
      <xdr:nvGraphicFramePr>
        <xdr:cNvPr id="2" name="Chart 1">
          <a:extLst>
            <a:ext uri="{FF2B5EF4-FFF2-40B4-BE49-F238E27FC236}">
              <a16:creationId xmlns:a16="http://schemas.microsoft.com/office/drawing/2014/main" id="{61E9018A-25E3-4E9E-9483-BB7CE446C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178970A-08C6-466E-8ED1-C7C6C4EA9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6C72E18-A118-43FF-A2DE-01DA2D4BE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E30E471-62C2-40B7-BC9F-7B72FDA31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F3DCEDE-42AF-4F5A-B71C-84DC66B7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DC37450-2047-45EC-811B-037AF4200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391A9F5-A238-493A-97C8-79E2E1BF0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C84644D-E045-40BA-82B8-8B7DE0911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31B11D7-1E0B-4163-91A6-D667BEDB7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688D5CF-E581-4D6E-8E58-341C3DDFD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86DF772E-7E81-4236-AC11-45A05E0A0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ADBD-9116-4050-A738-C3F43F1258B1}">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182</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183</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9</v>
      </c>
      <c r="D8" s="6"/>
      <c r="E8" s="11">
        <v>0.71032499999999998</v>
      </c>
      <c r="F8" s="1"/>
      <c r="G8" s="24" t="s">
        <v>16</v>
      </c>
      <c r="H8" s="25">
        <v>1</v>
      </c>
      <c r="I8" s="1"/>
      <c r="J8" s="24" t="s">
        <v>13</v>
      </c>
      <c r="K8" s="24" t="s">
        <v>5</v>
      </c>
      <c r="L8" s="1"/>
      <c r="M8" s="1"/>
      <c r="N8" s="18"/>
    </row>
    <row r="9" spans="2:14" ht="15.75" customHeight="1" x14ac:dyDescent="0.25">
      <c r="B9" s="20"/>
      <c r="C9" s="7" t="s">
        <v>184</v>
      </c>
      <c r="D9" s="8"/>
      <c r="E9" s="12">
        <v>0.71032499999999998</v>
      </c>
      <c r="F9" s="1"/>
      <c r="G9" s="1"/>
      <c r="H9" s="1"/>
      <c r="I9" s="1"/>
      <c r="J9" s="24" t="s">
        <v>11</v>
      </c>
      <c r="K9" s="29">
        <v>-2.5990000000000002E-3</v>
      </c>
      <c r="L9" s="1"/>
      <c r="M9" s="1"/>
      <c r="N9" s="18"/>
    </row>
    <row r="10" spans="2:14" ht="15" customHeight="1" x14ac:dyDescent="0.25">
      <c r="B10" s="20"/>
      <c r="C10" s="5" t="s">
        <v>185</v>
      </c>
      <c r="D10" s="6" t="s">
        <v>192</v>
      </c>
      <c r="E10" s="11">
        <v>2.9153999999999999E-2</v>
      </c>
      <c r="F10" s="1"/>
      <c r="G10" s="1"/>
      <c r="H10" s="1"/>
      <c r="I10" s="1"/>
      <c r="J10" s="24" t="s">
        <v>14</v>
      </c>
      <c r="K10" s="29">
        <v>0.22972600000000001</v>
      </c>
      <c r="L10" s="1"/>
      <c r="M10" s="1"/>
      <c r="N10" s="18"/>
    </row>
    <row r="11" spans="2:14" ht="15" customHeight="1" x14ac:dyDescent="0.25">
      <c r="B11" s="20"/>
      <c r="C11" s="5" t="s">
        <v>186</v>
      </c>
      <c r="D11" s="6" t="s">
        <v>192</v>
      </c>
      <c r="E11" s="11">
        <v>2.0881E-2</v>
      </c>
      <c r="F11" s="1"/>
      <c r="G11" s="1"/>
      <c r="H11" s="1"/>
      <c r="I11" s="1"/>
      <c r="J11" s="24" t="s">
        <v>188</v>
      </c>
      <c r="K11" s="29">
        <v>0.71032499999999998</v>
      </c>
      <c r="L11" s="1"/>
      <c r="M11" s="1"/>
      <c r="N11" s="18"/>
    </row>
    <row r="12" spans="2:14" ht="15" customHeight="1" x14ac:dyDescent="0.25">
      <c r="B12" s="20"/>
      <c r="C12" s="5" t="s">
        <v>187</v>
      </c>
      <c r="D12" s="6" t="s">
        <v>192</v>
      </c>
      <c r="E12" s="11">
        <v>1.2513E-2</v>
      </c>
      <c r="F12" s="1"/>
      <c r="G12" s="1"/>
      <c r="H12" s="1"/>
      <c r="I12" s="1"/>
      <c r="J12" s="24" t="s">
        <v>161</v>
      </c>
      <c r="K12" s="29">
        <v>6.2548000000000006E-2</v>
      </c>
      <c r="L12" s="1"/>
      <c r="M12" s="1"/>
      <c r="N12" s="18"/>
    </row>
    <row r="13" spans="2:14" ht="15.75" customHeight="1" x14ac:dyDescent="0.25">
      <c r="B13" s="20"/>
      <c r="C13" s="7" t="s">
        <v>159</v>
      </c>
      <c r="D13" s="8"/>
      <c r="E13" s="12">
        <v>6.2548000000000006E-2</v>
      </c>
      <c r="F13" s="1"/>
      <c r="G13" s="1"/>
      <c r="H13" s="1"/>
      <c r="I13" s="1"/>
      <c r="J13" s="1"/>
      <c r="K13" s="1"/>
      <c r="L13" s="1"/>
      <c r="M13" s="1"/>
      <c r="N13" s="18"/>
    </row>
    <row r="14" spans="2:14" ht="15" customHeight="1" x14ac:dyDescent="0.25">
      <c r="B14" s="20"/>
      <c r="C14" s="5" t="s">
        <v>9</v>
      </c>
      <c r="D14" s="6"/>
      <c r="E14" s="11">
        <v>0.22972600000000001</v>
      </c>
      <c r="F14" s="1"/>
      <c r="G14" s="1"/>
      <c r="H14" s="1"/>
      <c r="I14" s="1"/>
      <c r="J14" s="1"/>
      <c r="K14" s="1"/>
      <c r="L14" s="1"/>
      <c r="M14" s="1"/>
      <c r="N14" s="18"/>
    </row>
    <row r="15" spans="2:14" ht="15.75" customHeight="1" x14ac:dyDescent="0.25">
      <c r="B15" s="20"/>
      <c r="C15" s="7" t="s">
        <v>10</v>
      </c>
      <c r="D15" s="8"/>
      <c r="E15" s="12">
        <v>0.22972600000000001</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-2.5990000000000002E-3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120</v>
      </c>
      <c r="H24" s="86"/>
      <c r="I24" s="86"/>
      <c r="J24" s="86"/>
      <c r="K24" s="86"/>
      <c r="L24" s="35">
        <v>1.7155247550107122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267</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ht="15.75" thickBot="1" x14ac:dyDescent="0.3">
      <c r="B47" s="74"/>
      <c r="C47" s="75"/>
      <c r="D47" s="75"/>
      <c r="E47" s="75"/>
      <c r="F47" s="75"/>
      <c r="G47" s="75"/>
      <c r="H47" s="75"/>
      <c r="I47" s="75"/>
      <c r="J47" s="75"/>
      <c r="K47" s="75"/>
      <c r="L47" s="75"/>
      <c r="M47" s="75"/>
      <c r="N47" s="76"/>
    </row>
    <row r="48" spans="2:14" ht="15.75" thickBot="1" x14ac:dyDescent="0.3"/>
    <row r="49" spans="2:14" ht="125.25" customHeight="1" thickBot="1" x14ac:dyDescent="0.3">
      <c r="B49" s="77" t="s">
        <v>269</v>
      </c>
      <c r="C49" s="78"/>
      <c r="D49" s="78"/>
      <c r="E49" s="78"/>
      <c r="F49" s="78"/>
      <c r="G49" s="78"/>
      <c r="H49" s="78"/>
      <c r="I49" s="78"/>
      <c r="J49" s="78"/>
      <c r="K49" s="78"/>
      <c r="L49" s="78"/>
      <c r="M49" s="78"/>
      <c r="N49" s="79"/>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5DB4-7164-4CFC-B504-717AD97320B7}">
  <dimension ref="B1:N7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136</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28</v>
      </c>
      <c r="D8" s="6" t="s">
        <v>23</v>
      </c>
      <c r="E8" s="11">
        <v>6.9649000000000003E-2</v>
      </c>
      <c r="F8" s="1"/>
      <c r="G8" s="24" t="s">
        <v>16</v>
      </c>
      <c r="H8" s="29">
        <v>0.99443999999999999</v>
      </c>
      <c r="I8" s="1"/>
      <c r="J8" s="24" t="s">
        <v>13</v>
      </c>
      <c r="K8" s="24" t="s">
        <v>5</v>
      </c>
      <c r="L8" s="1"/>
      <c r="M8" s="1"/>
      <c r="N8" s="18"/>
    </row>
    <row r="9" spans="2:14" ht="15" customHeight="1" x14ac:dyDescent="0.25">
      <c r="B9" s="20"/>
      <c r="C9" s="5" t="s">
        <v>137</v>
      </c>
      <c r="D9" s="6" t="s">
        <v>23</v>
      </c>
      <c r="E9" s="11">
        <v>5.4851999999999998E-2</v>
      </c>
      <c r="F9" s="1"/>
      <c r="G9" s="24" t="s">
        <v>98</v>
      </c>
      <c r="H9" s="29">
        <v>5.5599999999999998E-3</v>
      </c>
      <c r="I9" s="1"/>
      <c r="J9" s="24" t="s">
        <v>11</v>
      </c>
      <c r="K9" s="29">
        <v>-3.5400000000000001E-2</v>
      </c>
      <c r="L9" s="1"/>
      <c r="M9" s="1"/>
      <c r="N9" s="18"/>
    </row>
    <row r="10" spans="2:14" ht="15" customHeight="1" x14ac:dyDescent="0.25">
      <c r="B10" s="20"/>
      <c r="C10" s="5" t="s">
        <v>25</v>
      </c>
      <c r="D10" s="6" t="s">
        <v>23</v>
      </c>
      <c r="E10" s="11">
        <v>3.6680999999999998E-2</v>
      </c>
      <c r="F10" s="1"/>
      <c r="G10" s="1"/>
      <c r="H10" s="1"/>
      <c r="I10" s="1"/>
      <c r="J10" s="24" t="s">
        <v>14</v>
      </c>
      <c r="K10" s="29">
        <v>5.2982000000000001E-2</v>
      </c>
      <c r="L10" s="1"/>
      <c r="M10" s="1"/>
      <c r="N10" s="18"/>
    </row>
    <row r="11" spans="2:14" ht="15" customHeight="1" x14ac:dyDescent="0.25">
      <c r="B11" s="20"/>
      <c r="C11" s="5" t="s">
        <v>138</v>
      </c>
      <c r="D11" s="6" t="s">
        <v>23</v>
      </c>
      <c r="E11" s="11">
        <v>2.9197000000000001E-2</v>
      </c>
      <c r="F11" s="1"/>
      <c r="G11" s="1"/>
      <c r="H11" s="1"/>
      <c r="I11" s="1"/>
      <c r="J11" s="24" t="s">
        <v>56</v>
      </c>
      <c r="K11" s="29">
        <v>0.20511799999999999</v>
      </c>
      <c r="L11" s="1"/>
      <c r="M11" s="1"/>
      <c r="N11" s="18"/>
    </row>
    <row r="12" spans="2:14" ht="15" customHeight="1" x14ac:dyDescent="0.25">
      <c r="B12" s="20"/>
      <c r="C12" s="5" t="s">
        <v>43</v>
      </c>
      <c r="D12" s="6" t="s">
        <v>23</v>
      </c>
      <c r="E12" s="11">
        <v>1.2912E-2</v>
      </c>
      <c r="F12" s="1"/>
      <c r="G12" s="1"/>
      <c r="H12" s="1"/>
      <c r="I12" s="1"/>
      <c r="J12" s="24" t="s">
        <v>57</v>
      </c>
      <c r="K12" s="29">
        <v>3.6711000000000001E-2</v>
      </c>
      <c r="L12" s="1"/>
      <c r="M12" s="1"/>
      <c r="N12" s="18"/>
    </row>
    <row r="13" spans="2:14" ht="15" customHeight="1" x14ac:dyDescent="0.25">
      <c r="B13" s="20"/>
      <c r="C13" s="5" t="s">
        <v>22</v>
      </c>
      <c r="D13" s="6" t="s">
        <v>23</v>
      </c>
      <c r="E13" s="11">
        <v>1.8270000000000001E-3</v>
      </c>
      <c r="F13" s="1"/>
      <c r="G13" s="1"/>
      <c r="H13" s="1"/>
      <c r="I13" s="1"/>
      <c r="J13" s="24" t="s">
        <v>160</v>
      </c>
      <c r="K13" s="29">
        <v>0.53444400000000003</v>
      </c>
      <c r="L13" s="1"/>
      <c r="M13" s="1"/>
      <c r="N13" s="18"/>
    </row>
    <row r="14" spans="2:14" ht="15.75" customHeight="1" x14ac:dyDescent="0.25">
      <c r="B14" s="20"/>
      <c r="C14" s="7" t="s">
        <v>27</v>
      </c>
      <c r="D14" s="8"/>
      <c r="E14" s="12">
        <v>0.20511799999999999</v>
      </c>
      <c r="F14" s="1"/>
      <c r="G14" s="1"/>
      <c r="H14" s="1"/>
      <c r="I14" s="1"/>
      <c r="J14" s="24" t="s">
        <v>45</v>
      </c>
      <c r="K14" s="29">
        <v>2.1299999999999999E-3</v>
      </c>
      <c r="L14" s="1"/>
      <c r="M14" s="1"/>
      <c r="N14" s="18"/>
    </row>
    <row r="15" spans="2:14" ht="15" customHeight="1" x14ac:dyDescent="0.25">
      <c r="B15" s="20"/>
      <c r="C15" s="5" t="s">
        <v>30</v>
      </c>
      <c r="D15" s="6" t="s">
        <v>23</v>
      </c>
      <c r="E15" s="11">
        <v>0.112052</v>
      </c>
      <c r="F15" s="1"/>
      <c r="G15" s="1"/>
      <c r="H15" s="1"/>
      <c r="I15" s="1"/>
      <c r="J15" s="24" t="s">
        <v>59</v>
      </c>
      <c r="K15" s="29">
        <v>7.4299999999999995E-4</v>
      </c>
      <c r="L15" s="1"/>
      <c r="M15" s="1"/>
      <c r="N15" s="18"/>
    </row>
    <row r="16" spans="2:14" ht="15" customHeight="1" x14ac:dyDescent="0.25">
      <c r="B16" s="20"/>
      <c r="C16" s="5" t="s">
        <v>139</v>
      </c>
      <c r="D16" s="6" t="s">
        <v>23</v>
      </c>
      <c r="E16" s="11">
        <v>9.1753000000000001E-2</v>
      </c>
      <c r="F16" s="1"/>
      <c r="G16" s="1"/>
      <c r="H16" s="1"/>
      <c r="I16" s="1"/>
      <c r="J16" s="24" t="s">
        <v>161</v>
      </c>
      <c r="K16" s="29">
        <v>0.20327200000000001</v>
      </c>
      <c r="L16" s="1"/>
      <c r="M16" s="1"/>
      <c r="N16" s="18"/>
    </row>
    <row r="17" spans="2:14" ht="15" customHeight="1" x14ac:dyDescent="0.25">
      <c r="B17" s="20"/>
      <c r="C17" s="5" t="s">
        <v>72</v>
      </c>
      <c r="D17" s="6" t="s">
        <v>23</v>
      </c>
      <c r="E17" s="11">
        <v>8.9982999999999994E-2</v>
      </c>
      <c r="F17" s="1"/>
      <c r="G17" s="1"/>
      <c r="H17" s="1"/>
      <c r="I17" s="1"/>
      <c r="J17" s="1"/>
      <c r="K17" s="1"/>
      <c r="L17" s="1"/>
      <c r="M17" s="1"/>
      <c r="N17" s="18"/>
    </row>
    <row r="18" spans="2:14" ht="15" customHeight="1" x14ac:dyDescent="0.25">
      <c r="B18" s="20"/>
      <c r="C18" s="5" t="s">
        <v>26</v>
      </c>
      <c r="D18" s="6" t="s">
        <v>23</v>
      </c>
      <c r="E18" s="11">
        <v>7.7157000000000003E-2</v>
      </c>
      <c r="F18" s="1"/>
      <c r="G18" s="1"/>
      <c r="H18" s="1"/>
      <c r="I18" s="1"/>
      <c r="J18" s="1"/>
      <c r="K18" s="1"/>
      <c r="L18" s="1"/>
      <c r="M18" s="1"/>
      <c r="N18" s="18"/>
    </row>
    <row r="19" spans="2:14" ht="15" customHeight="1" x14ac:dyDescent="0.25">
      <c r="B19" s="20"/>
      <c r="C19" s="5" t="s">
        <v>39</v>
      </c>
      <c r="D19" s="6" t="s">
        <v>23</v>
      </c>
      <c r="E19" s="11">
        <v>3.1178999999999998E-2</v>
      </c>
      <c r="F19" s="1"/>
      <c r="G19" s="1"/>
      <c r="H19" s="1"/>
      <c r="I19" s="1"/>
      <c r="J19" s="1"/>
      <c r="K19" s="1"/>
      <c r="L19" s="1"/>
      <c r="M19" s="1"/>
      <c r="N19" s="18"/>
    </row>
    <row r="20" spans="2:14" ht="15" customHeight="1" x14ac:dyDescent="0.25">
      <c r="B20" s="20"/>
      <c r="C20" s="5" t="s">
        <v>140</v>
      </c>
      <c r="D20" s="6" t="s">
        <v>23</v>
      </c>
      <c r="E20" s="11">
        <v>2.5839999999999998E-2</v>
      </c>
      <c r="F20" s="1"/>
      <c r="G20" s="1"/>
      <c r="H20" s="1"/>
      <c r="I20" s="1"/>
      <c r="J20" s="1"/>
      <c r="K20" s="1"/>
      <c r="L20" s="1"/>
      <c r="M20" s="1"/>
      <c r="N20" s="18"/>
    </row>
    <row r="21" spans="2:14" ht="15" customHeight="1" x14ac:dyDescent="0.25">
      <c r="B21" s="20"/>
      <c r="C21" s="5" t="s">
        <v>141</v>
      </c>
      <c r="D21" s="6" t="s">
        <v>23</v>
      </c>
      <c r="E21" s="11">
        <v>2.5777000000000001E-2</v>
      </c>
      <c r="F21" s="1"/>
      <c r="G21" s="1"/>
      <c r="H21" s="1"/>
      <c r="I21" s="1"/>
      <c r="J21" s="1"/>
      <c r="K21" s="1"/>
      <c r="L21" s="1"/>
      <c r="M21" s="1"/>
      <c r="N21" s="18"/>
    </row>
    <row r="22" spans="2:14" ht="15" customHeight="1" x14ac:dyDescent="0.25">
      <c r="B22" s="20"/>
      <c r="C22" s="5" t="s">
        <v>142</v>
      </c>
      <c r="D22" s="6" t="s">
        <v>23</v>
      </c>
      <c r="E22" s="11">
        <v>2.0219000000000001E-2</v>
      </c>
      <c r="F22" s="1"/>
      <c r="G22" s="1"/>
      <c r="H22" s="1"/>
      <c r="I22" s="1"/>
      <c r="J22" s="1"/>
      <c r="K22" s="1"/>
      <c r="L22" s="1"/>
      <c r="M22" s="1"/>
      <c r="N22" s="18"/>
    </row>
    <row r="23" spans="2:14" ht="15" customHeight="1" x14ac:dyDescent="0.25">
      <c r="B23" s="20"/>
      <c r="C23" s="5" t="s">
        <v>143</v>
      </c>
      <c r="D23" s="6" t="s">
        <v>23</v>
      </c>
      <c r="E23" s="11">
        <v>1.8379E-2</v>
      </c>
      <c r="F23" s="1"/>
      <c r="G23" s="1"/>
      <c r="H23" s="1"/>
      <c r="I23" s="1"/>
      <c r="J23" s="1"/>
      <c r="K23" s="1"/>
      <c r="L23" s="1"/>
      <c r="M23" s="1"/>
      <c r="N23" s="18"/>
    </row>
    <row r="24" spans="2:14" ht="15" customHeight="1" x14ac:dyDescent="0.25">
      <c r="B24" s="20"/>
      <c r="C24" s="5" t="s">
        <v>144</v>
      </c>
      <c r="D24" s="6" t="s">
        <v>23</v>
      </c>
      <c r="E24" s="11">
        <v>1.2784999999999999E-2</v>
      </c>
      <c r="F24" s="1"/>
      <c r="G24" s="85" t="s">
        <v>120</v>
      </c>
      <c r="H24" s="86"/>
      <c r="I24" s="86"/>
      <c r="J24" s="86"/>
      <c r="K24" s="86"/>
      <c r="L24" s="35">
        <v>55.673507855800921</v>
      </c>
      <c r="M24" s="27"/>
      <c r="N24" s="28"/>
    </row>
    <row r="25" spans="2:14" ht="15" customHeight="1" x14ac:dyDescent="0.25">
      <c r="B25" s="20"/>
      <c r="C25" s="5" t="s">
        <v>145</v>
      </c>
      <c r="D25" s="6" t="s">
        <v>23</v>
      </c>
      <c r="E25" s="11">
        <v>1.0973E-2</v>
      </c>
      <c r="F25" s="1"/>
      <c r="G25" s="1"/>
      <c r="H25" s="1"/>
      <c r="I25" s="1"/>
      <c r="J25" s="1"/>
      <c r="K25" s="1"/>
      <c r="L25" s="1"/>
      <c r="M25" s="1"/>
      <c r="N25" s="18"/>
    </row>
    <row r="26" spans="2:14" ht="15" customHeight="1" x14ac:dyDescent="0.25">
      <c r="B26" s="20"/>
      <c r="C26" s="5" t="s">
        <v>128</v>
      </c>
      <c r="D26" s="6" t="s">
        <v>23</v>
      </c>
      <c r="E26" s="11">
        <v>9.1479999999999999E-3</v>
      </c>
      <c r="F26" s="1"/>
      <c r="G26" s="85" t="s">
        <v>19</v>
      </c>
      <c r="H26" s="86"/>
      <c r="I26" s="86"/>
      <c r="J26" s="86"/>
      <c r="K26" s="86"/>
      <c r="L26" s="86"/>
      <c r="M26" s="86"/>
      <c r="N26" s="87"/>
    </row>
    <row r="27" spans="2:14" ht="15" customHeight="1" x14ac:dyDescent="0.25">
      <c r="B27" s="20"/>
      <c r="C27" s="5" t="s">
        <v>146</v>
      </c>
      <c r="D27" s="6" t="s">
        <v>23</v>
      </c>
      <c r="E27" s="11">
        <v>7.3509999999999999E-3</v>
      </c>
      <c r="F27" s="1"/>
      <c r="G27" s="1"/>
      <c r="H27" s="1"/>
      <c r="I27" s="1"/>
      <c r="J27" s="1"/>
      <c r="K27" s="1"/>
      <c r="L27" s="1"/>
      <c r="M27" s="1"/>
      <c r="N27" s="18"/>
    </row>
    <row r="28" spans="2:14" ht="15" customHeight="1" x14ac:dyDescent="0.25">
      <c r="B28" s="20"/>
      <c r="C28" s="5" t="s">
        <v>34</v>
      </c>
      <c r="D28" s="6" t="s">
        <v>23</v>
      </c>
      <c r="E28" s="11">
        <v>1.848E-3</v>
      </c>
      <c r="F28" s="1"/>
      <c r="G28" s="1"/>
      <c r="H28" s="1"/>
      <c r="I28" s="1"/>
      <c r="J28" s="1"/>
      <c r="K28" s="1"/>
      <c r="L28" s="1"/>
      <c r="M28" s="1"/>
      <c r="N28" s="18"/>
    </row>
    <row r="29" spans="2:14" ht="15.75" customHeight="1" x14ac:dyDescent="0.25">
      <c r="B29" s="20"/>
      <c r="C29" s="7" t="s">
        <v>147</v>
      </c>
      <c r="D29" s="8"/>
      <c r="E29" s="12">
        <v>0.53444400000000003</v>
      </c>
      <c r="F29" s="1"/>
      <c r="G29" s="1"/>
      <c r="H29" s="1"/>
      <c r="I29" s="1"/>
      <c r="J29" s="1"/>
      <c r="K29" s="1"/>
      <c r="L29" s="1"/>
      <c r="M29" s="1"/>
      <c r="N29" s="18"/>
    </row>
    <row r="30" spans="2:14" ht="15" customHeight="1" x14ac:dyDescent="0.25">
      <c r="B30" s="20"/>
      <c r="C30" s="5" t="s">
        <v>40</v>
      </c>
      <c r="D30" s="6" t="s">
        <v>29</v>
      </c>
      <c r="E30" s="11">
        <v>1.2617E-2</v>
      </c>
      <c r="F30" s="1"/>
      <c r="G30" s="1"/>
      <c r="H30" s="1"/>
      <c r="I30" s="1"/>
      <c r="J30" s="1"/>
      <c r="K30" s="1"/>
      <c r="L30" s="1"/>
      <c r="M30" s="1"/>
      <c r="N30" s="18"/>
    </row>
    <row r="31" spans="2:14" ht="15" customHeight="1" x14ac:dyDescent="0.25">
      <c r="B31" s="20"/>
      <c r="C31" s="5" t="s">
        <v>35</v>
      </c>
      <c r="D31" s="6" t="s">
        <v>29</v>
      </c>
      <c r="E31" s="11">
        <v>7.4139999999999996E-3</v>
      </c>
      <c r="F31" s="1"/>
      <c r="G31" s="1"/>
      <c r="H31" s="1"/>
      <c r="I31" s="1"/>
      <c r="J31" s="1"/>
      <c r="K31" s="1"/>
      <c r="L31" s="1"/>
      <c r="M31" s="1"/>
      <c r="N31" s="18"/>
    </row>
    <row r="32" spans="2:14" ht="15" customHeight="1" x14ac:dyDescent="0.25">
      <c r="B32" s="20"/>
      <c r="C32" s="5" t="s">
        <v>128</v>
      </c>
      <c r="D32" s="6" t="s">
        <v>89</v>
      </c>
      <c r="E32" s="11">
        <v>5.5599999999999998E-3</v>
      </c>
      <c r="F32" s="1"/>
      <c r="G32" s="1"/>
      <c r="H32" s="1"/>
      <c r="I32" s="1"/>
      <c r="J32" s="1"/>
      <c r="K32" s="1"/>
      <c r="L32" s="1"/>
      <c r="M32" s="1"/>
      <c r="N32" s="18"/>
    </row>
    <row r="33" spans="2:14" ht="15" customHeight="1" x14ac:dyDescent="0.25">
      <c r="B33" s="20"/>
      <c r="C33" s="5" t="s">
        <v>30</v>
      </c>
      <c r="D33" s="6" t="s">
        <v>29</v>
      </c>
      <c r="E33" s="11">
        <v>5.5570000000000003E-3</v>
      </c>
      <c r="F33" s="1"/>
      <c r="G33" s="1"/>
      <c r="H33" s="1"/>
      <c r="I33" s="1"/>
      <c r="J33" s="1"/>
      <c r="K33" s="1"/>
      <c r="L33" s="1"/>
      <c r="M33" s="1"/>
      <c r="N33" s="18"/>
    </row>
    <row r="34" spans="2:14" ht="15" customHeight="1" x14ac:dyDescent="0.25">
      <c r="B34" s="20"/>
      <c r="C34" s="5" t="s">
        <v>148</v>
      </c>
      <c r="D34" s="6" t="s">
        <v>29</v>
      </c>
      <c r="E34" s="11">
        <v>3.7069999999999998E-3</v>
      </c>
      <c r="F34" s="1"/>
      <c r="G34" s="1"/>
      <c r="H34" s="1"/>
      <c r="I34" s="1"/>
      <c r="J34" s="1"/>
      <c r="K34" s="1"/>
      <c r="L34" s="1"/>
      <c r="M34" s="1"/>
      <c r="N34" s="18"/>
    </row>
    <row r="35" spans="2:14" ht="15" customHeight="1" x14ac:dyDescent="0.25">
      <c r="B35" s="20"/>
      <c r="C35" s="5" t="s">
        <v>32</v>
      </c>
      <c r="D35" s="6" t="s">
        <v>29</v>
      </c>
      <c r="E35" s="11">
        <v>1.856E-3</v>
      </c>
      <c r="F35" s="1"/>
      <c r="G35" s="1"/>
      <c r="H35" s="1"/>
      <c r="I35" s="1"/>
      <c r="J35" s="1"/>
      <c r="K35" s="1"/>
      <c r="L35" s="1"/>
      <c r="M35" s="1"/>
      <c r="N35" s="18"/>
    </row>
    <row r="36" spans="2:14" ht="15.75" customHeight="1" x14ac:dyDescent="0.25">
      <c r="B36" s="20"/>
      <c r="C36" s="7" t="s">
        <v>44</v>
      </c>
      <c r="D36" s="8"/>
      <c r="E36" s="12">
        <v>3.6711000000000001E-2</v>
      </c>
      <c r="F36" s="1"/>
      <c r="G36" s="1"/>
      <c r="H36" s="1"/>
      <c r="I36" s="1"/>
      <c r="J36" s="1"/>
      <c r="K36" s="1"/>
      <c r="L36" s="1"/>
      <c r="M36" s="1"/>
      <c r="N36" s="18"/>
    </row>
    <row r="37" spans="2:14" ht="15" customHeight="1" x14ac:dyDescent="0.25">
      <c r="B37" s="20"/>
      <c r="C37" s="5" t="s">
        <v>45</v>
      </c>
      <c r="D37" s="6"/>
      <c r="E37" s="11">
        <v>2.1299999999999999E-3</v>
      </c>
      <c r="F37" s="1"/>
      <c r="G37" s="1"/>
      <c r="H37" s="1"/>
      <c r="I37" s="1"/>
      <c r="J37" s="1"/>
      <c r="K37" s="1"/>
      <c r="L37" s="1"/>
      <c r="M37" s="1"/>
      <c r="N37" s="18"/>
    </row>
    <row r="38" spans="2:14" ht="15.75" customHeight="1" x14ac:dyDescent="0.25">
      <c r="B38" s="20"/>
      <c r="C38" s="7" t="s">
        <v>46</v>
      </c>
      <c r="D38" s="8"/>
      <c r="E38" s="12">
        <v>2.1299999999999999E-3</v>
      </c>
      <c r="F38" s="1"/>
      <c r="G38" s="1"/>
      <c r="H38" s="1"/>
      <c r="I38" s="1"/>
      <c r="J38" s="1"/>
      <c r="K38" s="1"/>
      <c r="L38" s="1"/>
      <c r="M38" s="1"/>
      <c r="N38" s="18"/>
    </row>
    <row r="39" spans="2:14" ht="15" customHeight="1" x14ac:dyDescent="0.25">
      <c r="B39" s="20"/>
      <c r="C39" s="5" t="s">
        <v>193</v>
      </c>
      <c r="D39" s="6" t="s">
        <v>192</v>
      </c>
      <c r="E39" s="11">
        <v>7.4299999999999995E-4</v>
      </c>
      <c r="F39" s="1"/>
      <c r="G39" s="1"/>
      <c r="H39" s="1"/>
      <c r="I39" s="1"/>
      <c r="J39" s="1"/>
      <c r="K39" s="1"/>
      <c r="L39" s="1"/>
      <c r="M39" s="1"/>
      <c r="N39" s="18"/>
    </row>
    <row r="40" spans="2:14" ht="15.75" customHeight="1" x14ac:dyDescent="0.25">
      <c r="B40" s="20"/>
      <c r="C40" s="7" t="s">
        <v>55</v>
      </c>
      <c r="D40" s="8"/>
      <c r="E40" s="12">
        <v>7.4299999999999995E-4</v>
      </c>
      <c r="F40" s="1"/>
      <c r="G40" s="1"/>
      <c r="H40" s="1"/>
      <c r="I40" s="1"/>
      <c r="J40" s="1"/>
      <c r="K40" s="1"/>
      <c r="L40" s="1"/>
      <c r="M40" s="1"/>
      <c r="N40" s="18"/>
    </row>
    <row r="41" spans="2:14" ht="15" customHeight="1" x14ac:dyDescent="0.25">
      <c r="B41" s="20"/>
      <c r="C41" s="5" t="s">
        <v>149</v>
      </c>
      <c r="D41" s="6" t="s">
        <v>192</v>
      </c>
      <c r="E41" s="11">
        <v>4.4034999999999998E-2</v>
      </c>
      <c r="F41" s="1"/>
      <c r="G41" s="1"/>
      <c r="H41" s="1"/>
      <c r="I41" s="1"/>
      <c r="J41" s="1"/>
      <c r="K41" s="1"/>
      <c r="L41" s="1"/>
      <c r="M41" s="1"/>
      <c r="N41" s="18"/>
    </row>
    <row r="42" spans="2:14" ht="15" customHeight="1" x14ac:dyDescent="0.25">
      <c r="B42" s="20"/>
      <c r="C42" s="5" t="s">
        <v>150</v>
      </c>
      <c r="D42" s="6" t="s">
        <v>192</v>
      </c>
      <c r="E42" s="11">
        <v>4.3978999999999997E-2</v>
      </c>
      <c r="F42" s="1"/>
      <c r="G42" s="1"/>
      <c r="H42" s="1"/>
      <c r="I42" s="1"/>
      <c r="J42" s="1"/>
      <c r="K42" s="1"/>
      <c r="L42" s="1"/>
      <c r="M42" s="1"/>
      <c r="N42" s="18"/>
    </row>
    <row r="43" spans="2:14" ht="15" customHeight="1" x14ac:dyDescent="0.25">
      <c r="B43" s="20"/>
      <c r="C43" s="5" t="s">
        <v>151</v>
      </c>
      <c r="D43" s="6" t="s">
        <v>192</v>
      </c>
      <c r="E43" s="11">
        <v>3.8580000000000003E-2</v>
      </c>
      <c r="F43" s="1"/>
      <c r="G43" s="1"/>
      <c r="H43" s="1"/>
      <c r="I43" s="1"/>
      <c r="J43" s="1"/>
      <c r="K43" s="1"/>
      <c r="L43" s="1"/>
      <c r="M43" s="1"/>
      <c r="N43" s="18"/>
    </row>
    <row r="44" spans="2:14" ht="15" customHeight="1" x14ac:dyDescent="0.25">
      <c r="B44" s="20"/>
      <c r="C44" s="5" t="s">
        <v>152</v>
      </c>
      <c r="D44" s="6" t="s">
        <v>192</v>
      </c>
      <c r="E44" s="11">
        <v>2.4825E-2</v>
      </c>
      <c r="F44" s="1"/>
      <c r="G44" s="1"/>
      <c r="H44" s="1"/>
      <c r="I44" s="1"/>
      <c r="J44" s="1"/>
      <c r="K44" s="1"/>
      <c r="L44" s="1"/>
      <c r="M44" s="1"/>
      <c r="N44" s="18"/>
    </row>
    <row r="45" spans="2:14" ht="15" customHeight="1" x14ac:dyDescent="0.25">
      <c r="B45" s="20"/>
      <c r="C45" s="5" t="s">
        <v>153</v>
      </c>
      <c r="D45" s="6" t="s">
        <v>192</v>
      </c>
      <c r="E45" s="11">
        <v>1.4641E-2</v>
      </c>
      <c r="F45" s="1"/>
      <c r="G45" s="1"/>
      <c r="H45" s="1"/>
      <c r="I45" s="1"/>
      <c r="J45" s="1"/>
      <c r="K45" s="1"/>
      <c r="L45" s="1"/>
      <c r="M45" s="1"/>
      <c r="N45" s="18"/>
    </row>
    <row r="46" spans="2:14" ht="15" customHeight="1" x14ac:dyDescent="0.25">
      <c r="B46" s="20"/>
      <c r="C46" s="5" t="s">
        <v>154</v>
      </c>
      <c r="D46" s="6" t="s">
        <v>192</v>
      </c>
      <c r="E46" s="11">
        <v>1.2775E-2</v>
      </c>
      <c r="F46" s="1"/>
      <c r="G46" s="1"/>
      <c r="H46" s="1"/>
      <c r="I46" s="1"/>
      <c r="J46" s="1"/>
      <c r="K46" s="1"/>
      <c r="L46" s="1"/>
      <c r="M46" s="1"/>
      <c r="N46" s="18"/>
    </row>
    <row r="47" spans="2:14" ht="15" customHeight="1" x14ac:dyDescent="0.25">
      <c r="B47" s="20"/>
      <c r="C47" s="5" t="s">
        <v>155</v>
      </c>
      <c r="D47" s="6" t="s">
        <v>192</v>
      </c>
      <c r="E47" s="11">
        <v>1.0995E-2</v>
      </c>
      <c r="F47" s="1"/>
      <c r="G47" s="1"/>
      <c r="H47" s="1"/>
      <c r="I47" s="1"/>
      <c r="J47" s="1"/>
      <c r="K47" s="1"/>
      <c r="L47" s="1"/>
      <c r="M47" s="1"/>
      <c r="N47" s="18"/>
    </row>
    <row r="48" spans="2:14" ht="15" customHeight="1" x14ac:dyDescent="0.25">
      <c r="B48" s="20"/>
      <c r="C48" s="5" t="s">
        <v>156</v>
      </c>
      <c r="D48" s="6" t="s">
        <v>192</v>
      </c>
      <c r="E48" s="11">
        <v>5.483E-3</v>
      </c>
      <c r="F48" s="1"/>
      <c r="G48" s="1"/>
      <c r="H48" s="1"/>
      <c r="I48" s="1"/>
      <c r="J48" s="1"/>
      <c r="K48" s="1"/>
      <c r="L48" s="1"/>
      <c r="M48" s="1"/>
      <c r="N48" s="18"/>
    </row>
    <row r="49" spans="2:14" ht="15" customHeight="1" x14ac:dyDescent="0.25">
      <c r="B49" s="20"/>
      <c r="C49" s="5" t="s">
        <v>157</v>
      </c>
      <c r="D49" s="6" t="s">
        <v>192</v>
      </c>
      <c r="E49" s="11">
        <v>4.0419999999999996E-3</v>
      </c>
      <c r="F49" s="1"/>
      <c r="G49" s="1"/>
      <c r="H49" s="1"/>
      <c r="I49" s="1"/>
      <c r="J49" s="1"/>
      <c r="K49" s="1"/>
      <c r="L49" s="1"/>
      <c r="M49" s="1"/>
      <c r="N49" s="18"/>
    </row>
    <row r="50" spans="2:14" ht="15" customHeight="1" x14ac:dyDescent="0.25">
      <c r="B50" s="20"/>
      <c r="C50" s="5" t="s">
        <v>158</v>
      </c>
      <c r="D50" s="6" t="s">
        <v>192</v>
      </c>
      <c r="E50" s="11">
        <v>3.9170000000000003E-3</v>
      </c>
      <c r="F50" s="1"/>
      <c r="G50" s="1"/>
      <c r="H50" s="1"/>
      <c r="I50" s="1"/>
      <c r="J50" s="1"/>
      <c r="K50" s="1"/>
      <c r="L50" s="1"/>
      <c r="M50" s="1"/>
      <c r="N50" s="18"/>
    </row>
    <row r="51" spans="2:14" ht="15.75" customHeight="1" x14ac:dyDescent="0.25">
      <c r="B51" s="20"/>
      <c r="C51" s="7" t="s">
        <v>159</v>
      </c>
      <c r="D51" s="8"/>
      <c r="E51" s="12">
        <v>0.20327200000000001</v>
      </c>
      <c r="F51" s="1"/>
      <c r="G51" s="1"/>
      <c r="H51" s="1"/>
      <c r="I51" s="1"/>
      <c r="J51" s="1"/>
      <c r="K51" s="1"/>
      <c r="L51" s="1"/>
      <c r="M51" s="1"/>
      <c r="N51" s="18"/>
    </row>
    <row r="52" spans="2:14" ht="15" customHeight="1" x14ac:dyDescent="0.25">
      <c r="B52" s="20"/>
      <c r="C52" s="5" t="s">
        <v>9</v>
      </c>
      <c r="D52" s="6"/>
      <c r="E52" s="11">
        <v>5.2982000000000001E-2</v>
      </c>
      <c r="F52" s="1"/>
      <c r="G52" s="1"/>
      <c r="H52" s="1"/>
      <c r="I52" s="1"/>
      <c r="J52" s="1"/>
      <c r="K52" s="1"/>
      <c r="L52" s="1"/>
      <c r="M52" s="1"/>
      <c r="N52" s="18"/>
    </row>
    <row r="53" spans="2:14" ht="15.75" customHeight="1" x14ac:dyDescent="0.25">
      <c r="B53" s="20"/>
      <c r="C53" s="7" t="s">
        <v>10</v>
      </c>
      <c r="D53" s="8"/>
      <c r="E53" s="12">
        <v>5.2982000000000001E-2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75" customHeight="1" x14ac:dyDescent="0.25">
      <c r="B55" s="20"/>
      <c r="C55" s="7" t="s">
        <v>11</v>
      </c>
      <c r="D55" s="8"/>
      <c r="E55" s="12">
        <v>-3.5400000000000001E-2</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9" t="s">
        <v>12</v>
      </c>
      <c r="D57" s="10"/>
      <c r="E57" s="13">
        <v>1</v>
      </c>
      <c r="F57" s="1"/>
      <c r="G57" s="1"/>
      <c r="H57" s="1"/>
      <c r="I57" s="1"/>
      <c r="J57" s="1"/>
      <c r="K57" s="1"/>
      <c r="L57" s="1"/>
      <c r="M57" s="1"/>
      <c r="N57" s="18"/>
    </row>
    <row r="58" spans="2:14" ht="15" customHeight="1" x14ac:dyDescent="0.25">
      <c r="B58" s="20"/>
      <c r="C58" s="1"/>
      <c r="D58" s="1"/>
      <c r="E58" s="1"/>
      <c r="F58" s="1"/>
      <c r="G58" s="1"/>
      <c r="H58" s="1"/>
      <c r="I58" s="1"/>
      <c r="J58" s="1"/>
      <c r="K58" s="1"/>
      <c r="L58" s="1"/>
      <c r="M58" s="1"/>
      <c r="N58" s="18"/>
    </row>
    <row r="59" spans="2:14" ht="15" customHeight="1" thickBot="1" x14ac:dyDescent="0.3">
      <c r="B59" s="21"/>
      <c r="C59" s="22"/>
      <c r="D59" s="22"/>
      <c r="E59" s="22"/>
      <c r="F59" s="22"/>
      <c r="G59" s="22"/>
      <c r="H59" s="22"/>
      <c r="I59" s="22"/>
      <c r="J59" s="22"/>
      <c r="K59" s="22"/>
      <c r="L59" s="22"/>
      <c r="M59" s="22"/>
      <c r="N59" s="23"/>
    </row>
    <row r="60" spans="2:14" ht="15" customHeight="1" thickBot="1" x14ac:dyDescent="0.3"/>
    <row r="61" spans="2:14" ht="15" customHeight="1" x14ac:dyDescent="0.25">
      <c r="B61" s="68" t="s">
        <v>268</v>
      </c>
      <c r="C61" s="69"/>
      <c r="D61" s="69"/>
      <c r="E61" s="69"/>
      <c r="F61" s="69"/>
      <c r="G61" s="69"/>
      <c r="H61" s="69"/>
      <c r="I61" s="69"/>
      <c r="J61" s="69"/>
      <c r="K61" s="69"/>
      <c r="L61" s="69"/>
      <c r="M61" s="69"/>
      <c r="N61" s="70"/>
    </row>
    <row r="62" spans="2:14" ht="15" customHeight="1" x14ac:dyDescent="0.25">
      <c r="B62" s="71"/>
      <c r="C62" s="72"/>
      <c r="D62" s="72"/>
      <c r="E62" s="72"/>
      <c r="F62" s="72"/>
      <c r="G62" s="72"/>
      <c r="H62" s="72"/>
      <c r="I62" s="72"/>
      <c r="J62" s="72"/>
      <c r="K62" s="72"/>
      <c r="L62" s="72"/>
      <c r="M62" s="72"/>
      <c r="N62" s="73"/>
    </row>
    <row r="63" spans="2:14" ht="15" customHeight="1" x14ac:dyDescent="0.25">
      <c r="B63" s="71"/>
      <c r="C63" s="72"/>
      <c r="D63" s="72"/>
      <c r="E63" s="72"/>
      <c r="F63" s="72"/>
      <c r="G63" s="72"/>
      <c r="H63" s="72"/>
      <c r="I63" s="72"/>
      <c r="J63" s="72"/>
      <c r="K63" s="72"/>
      <c r="L63" s="72"/>
      <c r="M63" s="72"/>
      <c r="N63" s="73"/>
    </row>
    <row r="64" spans="2:14" ht="15" customHeight="1" thickBot="1" x14ac:dyDescent="0.3">
      <c r="B64" s="74"/>
      <c r="C64" s="75"/>
      <c r="D64" s="75"/>
      <c r="E64" s="75"/>
      <c r="F64" s="75"/>
      <c r="G64" s="75"/>
      <c r="H64" s="75"/>
      <c r="I64" s="75"/>
      <c r="J64" s="75"/>
      <c r="K64" s="75"/>
      <c r="L64" s="75"/>
      <c r="M64" s="75"/>
      <c r="N64" s="76"/>
    </row>
    <row r="65" spans="2:14" ht="15" customHeight="1" thickBot="1" x14ac:dyDescent="0.3"/>
    <row r="66" spans="2:14" ht="133.5" customHeight="1" thickBot="1" x14ac:dyDescent="0.3">
      <c r="B66" s="77" t="s">
        <v>269</v>
      </c>
      <c r="C66" s="78"/>
      <c r="D66" s="78"/>
      <c r="E66" s="78"/>
      <c r="F66" s="78"/>
      <c r="G66" s="78"/>
      <c r="H66" s="78"/>
      <c r="I66" s="78"/>
      <c r="J66" s="78"/>
      <c r="K66" s="78"/>
      <c r="L66" s="78"/>
      <c r="M66" s="78"/>
      <c r="N66" s="79"/>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sheetData>
  <mergeCells count="7">
    <mergeCell ref="B61:N64"/>
    <mergeCell ref="B66:N66"/>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F484-C868-4A39-A090-2CA8B2084C59}">
  <dimension ref="B1:N76"/>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165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166</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43</v>
      </c>
      <c r="D8" s="6" t="s">
        <v>23</v>
      </c>
      <c r="E8" s="11">
        <v>6.4883999999999997E-2</v>
      </c>
      <c r="F8" s="1"/>
      <c r="G8" s="24" t="s">
        <v>16</v>
      </c>
      <c r="H8" s="29">
        <v>0.96976099999999998</v>
      </c>
      <c r="I8" s="1"/>
      <c r="J8" s="24" t="s">
        <v>13</v>
      </c>
      <c r="K8" s="24" t="s">
        <v>5</v>
      </c>
      <c r="L8" s="1"/>
      <c r="M8" s="1"/>
      <c r="N8" s="18"/>
    </row>
    <row r="9" spans="2:14" ht="15" customHeight="1" x14ac:dyDescent="0.25">
      <c r="B9" s="20"/>
      <c r="C9" s="5" t="s">
        <v>138</v>
      </c>
      <c r="D9" s="6" t="s">
        <v>23</v>
      </c>
      <c r="E9" s="11">
        <v>4.3531E-2</v>
      </c>
      <c r="F9" s="1"/>
      <c r="G9" s="24" t="s">
        <v>98</v>
      </c>
      <c r="H9" s="29">
        <v>3.0238999999999999E-2</v>
      </c>
      <c r="I9" s="1"/>
      <c r="J9" s="24" t="s">
        <v>11</v>
      </c>
      <c r="K9" s="29">
        <v>3.1071999999999999E-2</v>
      </c>
      <c r="L9" s="1"/>
      <c r="M9" s="1"/>
      <c r="N9" s="18"/>
    </row>
    <row r="10" spans="2:14" ht="15" customHeight="1" x14ac:dyDescent="0.25">
      <c r="B10" s="20"/>
      <c r="C10" s="5" t="s">
        <v>137</v>
      </c>
      <c r="D10" s="6" t="s">
        <v>23</v>
      </c>
      <c r="E10" s="11">
        <v>3.0550999999999998E-2</v>
      </c>
      <c r="F10" s="1"/>
      <c r="G10" s="1"/>
      <c r="H10" s="1"/>
      <c r="I10" s="1"/>
      <c r="J10" s="24" t="s">
        <v>14</v>
      </c>
      <c r="K10" s="29">
        <v>1.8166000000000002E-2</v>
      </c>
      <c r="L10" s="1"/>
      <c r="M10" s="1"/>
      <c r="N10" s="18"/>
    </row>
    <row r="11" spans="2:14" ht="15.75" customHeight="1" x14ac:dyDescent="0.25">
      <c r="B11" s="20"/>
      <c r="C11" s="7" t="s">
        <v>27</v>
      </c>
      <c r="D11" s="8"/>
      <c r="E11" s="12">
        <v>0.13896600000000001</v>
      </c>
      <c r="F11" s="1"/>
      <c r="G11" s="1"/>
      <c r="H11" s="1"/>
      <c r="I11" s="1"/>
      <c r="J11" s="24" t="s">
        <v>56</v>
      </c>
      <c r="K11" s="29">
        <v>0.13896600000000001</v>
      </c>
      <c r="L11" s="1"/>
      <c r="M11" s="1"/>
      <c r="N11" s="18"/>
    </row>
    <row r="12" spans="2:14" ht="15" customHeight="1" x14ac:dyDescent="0.25">
      <c r="B12" s="20"/>
      <c r="C12" s="5" t="s">
        <v>74</v>
      </c>
      <c r="D12" s="6" t="s">
        <v>23</v>
      </c>
      <c r="E12" s="11">
        <v>4.385E-3</v>
      </c>
      <c r="F12" s="1"/>
      <c r="G12" s="1"/>
      <c r="H12" s="1"/>
      <c r="I12" s="1"/>
      <c r="J12" s="24" t="s">
        <v>57</v>
      </c>
      <c r="K12" s="29">
        <v>0.66312000000000004</v>
      </c>
      <c r="L12" s="1"/>
      <c r="M12" s="1"/>
      <c r="N12" s="18"/>
    </row>
    <row r="13" spans="2:14" ht="15.75" customHeight="1" x14ac:dyDescent="0.25">
      <c r="B13" s="20"/>
      <c r="C13" s="7" t="s">
        <v>147</v>
      </c>
      <c r="D13" s="8"/>
      <c r="E13" s="12">
        <v>4.385E-3</v>
      </c>
      <c r="F13" s="1"/>
      <c r="G13" s="1"/>
      <c r="H13" s="1"/>
      <c r="I13" s="1"/>
      <c r="J13" s="24" t="s">
        <v>160</v>
      </c>
      <c r="K13" s="29">
        <v>4.385E-3</v>
      </c>
      <c r="L13" s="1"/>
      <c r="M13" s="1"/>
      <c r="N13" s="18"/>
    </row>
    <row r="14" spans="2:14" ht="15" customHeight="1" x14ac:dyDescent="0.25">
      <c r="B14" s="20"/>
      <c r="C14" s="5" t="s">
        <v>30</v>
      </c>
      <c r="D14" s="6" t="s">
        <v>29</v>
      </c>
      <c r="E14" s="11">
        <v>0.11279500000000001</v>
      </c>
      <c r="F14" s="1"/>
      <c r="G14" s="1"/>
      <c r="H14" s="1"/>
      <c r="I14" s="1"/>
      <c r="J14" s="24" t="s">
        <v>45</v>
      </c>
      <c r="K14" s="29">
        <v>2.8479999999999998E-3</v>
      </c>
      <c r="L14" s="1"/>
      <c r="M14" s="1"/>
      <c r="N14" s="18"/>
    </row>
    <row r="15" spans="2:14" ht="15" customHeight="1" x14ac:dyDescent="0.25">
      <c r="B15" s="20"/>
      <c r="C15" s="5" t="s">
        <v>26</v>
      </c>
      <c r="D15" s="6" t="s">
        <v>29</v>
      </c>
      <c r="E15" s="11">
        <v>0.10846799999999999</v>
      </c>
      <c r="F15" s="1"/>
      <c r="G15" s="1"/>
      <c r="H15" s="1"/>
      <c r="I15" s="1"/>
      <c r="J15" s="24" t="s">
        <v>58</v>
      </c>
      <c r="K15" s="29">
        <v>1.2979999999999999E-3</v>
      </c>
      <c r="L15" s="1"/>
      <c r="M15" s="1"/>
      <c r="N15" s="18"/>
    </row>
    <row r="16" spans="2:14" ht="15" customHeight="1" x14ac:dyDescent="0.25">
      <c r="B16" s="20"/>
      <c r="C16" s="5" t="s">
        <v>32</v>
      </c>
      <c r="D16" s="6" t="s">
        <v>29</v>
      </c>
      <c r="E16" s="11">
        <v>0.101869</v>
      </c>
      <c r="F16" s="1"/>
      <c r="G16" s="1"/>
      <c r="H16" s="1"/>
      <c r="I16" s="1"/>
      <c r="J16" s="24" t="s">
        <v>59</v>
      </c>
      <c r="K16" s="29">
        <v>1.6962999999999999E-2</v>
      </c>
      <c r="L16" s="1"/>
      <c r="M16" s="1"/>
      <c r="N16" s="18"/>
    </row>
    <row r="17" spans="2:14" ht="15" customHeight="1" x14ac:dyDescent="0.25">
      <c r="B17" s="20"/>
      <c r="C17" s="5" t="s">
        <v>34</v>
      </c>
      <c r="D17" s="6" t="s">
        <v>29</v>
      </c>
      <c r="E17" s="11">
        <v>9.4046000000000005E-2</v>
      </c>
      <c r="F17" s="1"/>
      <c r="G17" s="1"/>
      <c r="H17" s="1"/>
      <c r="I17" s="1"/>
      <c r="J17" s="24" t="s">
        <v>161</v>
      </c>
      <c r="K17" s="29">
        <v>0.10323300000000001</v>
      </c>
      <c r="L17" s="1"/>
      <c r="M17" s="1"/>
      <c r="N17" s="18"/>
    </row>
    <row r="18" spans="2:14" ht="15" customHeight="1" x14ac:dyDescent="0.25">
      <c r="B18" s="20"/>
      <c r="C18" s="5" t="s">
        <v>33</v>
      </c>
      <c r="D18" s="6" t="s">
        <v>29</v>
      </c>
      <c r="E18" s="11">
        <v>8.6208000000000007E-2</v>
      </c>
      <c r="F18" s="1"/>
      <c r="G18" s="1"/>
      <c r="H18" s="1"/>
      <c r="I18" s="1"/>
      <c r="J18" s="24" t="s">
        <v>81</v>
      </c>
      <c r="K18" s="29">
        <v>1.9949000000000001E-2</v>
      </c>
      <c r="L18" s="1"/>
      <c r="M18" s="1"/>
      <c r="N18" s="18"/>
    </row>
    <row r="19" spans="2:14" ht="15" customHeight="1" x14ac:dyDescent="0.25">
      <c r="B19" s="20"/>
      <c r="C19" s="5" t="s">
        <v>72</v>
      </c>
      <c r="D19" s="6" t="s">
        <v>29</v>
      </c>
      <c r="E19" s="11">
        <v>6.4907000000000006E-2</v>
      </c>
      <c r="F19" s="1"/>
      <c r="G19" s="1"/>
      <c r="H19" s="1"/>
      <c r="I19" s="1"/>
      <c r="J19" s="1"/>
      <c r="K19" s="1"/>
      <c r="L19" s="1"/>
      <c r="M19" s="1"/>
      <c r="N19" s="18"/>
    </row>
    <row r="20" spans="2:14" ht="15" customHeight="1" x14ac:dyDescent="0.25">
      <c r="B20" s="20"/>
      <c r="C20" s="5" t="s">
        <v>28</v>
      </c>
      <c r="D20" s="6" t="s">
        <v>29</v>
      </c>
      <c r="E20" s="11">
        <v>3.6477999999999997E-2</v>
      </c>
      <c r="F20" s="1"/>
      <c r="G20" s="1"/>
      <c r="H20" s="1"/>
      <c r="I20" s="1"/>
      <c r="J20" s="1"/>
      <c r="K20" s="1"/>
      <c r="L20" s="1"/>
      <c r="M20" s="1"/>
      <c r="N20" s="18"/>
    </row>
    <row r="21" spans="2:14" ht="15" customHeight="1" x14ac:dyDescent="0.25">
      <c r="B21" s="20"/>
      <c r="C21" s="5" t="s">
        <v>88</v>
      </c>
      <c r="D21" s="6" t="s">
        <v>89</v>
      </c>
      <c r="E21" s="11">
        <v>2.1113E-2</v>
      </c>
      <c r="F21" s="1"/>
      <c r="G21" s="1"/>
      <c r="H21" s="1"/>
      <c r="I21" s="1"/>
      <c r="J21" s="1"/>
      <c r="K21" s="1"/>
      <c r="L21" s="1"/>
      <c r="M21" s="1"/>
      <c r="N21" s="18"/>
    </row>
    <row r="22" spans="2:14" ht="15" customHeight="1" x14ac:dyDescent="0.25">
      <c r="B22" s="20"/>
      <c r="C22" s="5" t="s">
        <v>148</v>
      </c>
      <c r="D22" s="6" t="s">
        <v>29</v>
      </c>
      <c r="E22" s="11">
        <v>1.3731999999999999E-2</v>
      </c>
      <c r="F22" s="1"/>
      <c r="G22" s="1"/>
      <c r="H22" s="1"/>
      <c r="I22" s="1"/>
      <c r="J22" s="1"/>
      <c r="K22" s="1"/>
      <c r="L22" s="1"/>
      <c r="M22" s="1"/>
      <c r="N22" s="18"/>
    </row>
    <row r="23" spans="2:14" ht="15" customHeight="1" x14ac:dyDescent="0.25">
      <c r="B23" s="20"/>
      <c r="C23" s="5" t="s">
        <v>128</v>
      </c>
      <c r="D23" s="6" t="s">
        <v>89</v>
      </c>
      <c r="E23" s="11">
        <v>9.1260000000000004E-3</v>
      </c>
      <c r="F23" s="1"/>
      <c r="G23" s="1"/>
      <c r="H23" s="1"/>
      <c r="I23" s="1"/>
      <c r="J23" s="1"/>
      <c r="K23" s="1"/>
      <c r="L23" s="1"/>
      <c r="M23" s="1"/>
      <c r="N23" s="18"/>
    </row>
    <row r="24" spans="2:14" ht="15" customHeight="1" x14ac:dyDescent="0.25">
      <c r="B24" s="20"/>
      <c r="C24" s="5" t="s">
        <v>68</v>
      </c>
      <c r="D24" s="6" t="s">
        <v>29</v>
      </c>
      <c r="E24" s="11">
        <v>8.9130000000000008E-3</v>
      </c>
      <c r="F24" s="1"/>
      <c r="G24" s="85" t="s">
        <v>120</v>
      </c>
      <c r="H24" s="86"/>
      <c r="I24" s="86"/>
      <c r="J24" s="86"/>
      <c r="K24" s="86"/>
      <c r="L24" s="35">
        <v>353.14762601827516</v>
      </c>
      <c r="M24" s="27"/>
      <c r="N24" s="28"/>
    </row>
    <row r="25" spans="2:14" ht="15" customHeight="1" x14ac:dyDescent="0.25">
      <c r="B25" s="20"/>
      <c r="C25" s="5" t="s">
        <v>73</v>
      </c>
      <c r="D25" s="6" t="s">
        <v>29</v>
      </c>
      <c r="E25" s="11">
        <v>5.4650000000000002E-3</v>
      </c>
      <c r="F25" s="1"/>
      <c r="G25" s="1"/>
      <c r="H25" s="1"/>
      <c r="I25" s="1"/>
      <c r="J25" s="1"/>
      <c r="K25" s="1"/>
      <c r="L25" s="1"/>
      <c r="M25" s="1"/>
      <c r="N25" s="18"/>
    </row>
    <row r="26" spans="2:14" ht="15.75" customHeight="1" x14ac:dyDescent="0.25">
      <c r="B26" s="20"/>
      <c r="C26" s="7" t="s">
        <v>44</v>
      </c>
      <c r="D26" s="8"/>
      <c r="E26" s="12">
        <v>0.66312000000000004</v>
      </c>
      <c r="F26" s="1"/>
      <c r="G26" s="85" t="s">
        <v>19</v>
      </c>
      <c r="H26" s="86"/>
      <c r="I26" s="86"/>
      <c r="J26" s="86"/>
      <c r="K26" s="86"/>
      <c r="L26" s="86"/>
      <c r="M26" s="86"/>
      <c r="N26" s="87"/>
    </row>
    <row r="27" spans="2:14" ht="15" customHeight="1" x14ac:dyDescent="0.25">
      <c r="B27" s="20"/>
      <c r="C27" s="5" t="s">
        <v>45</v>
      </c>
      <c r="D27" s="6"/>
      <c r="E27" s="11">
        <v>2.8479999999999998E-3</v>
      </c>
      <c r="F27" s="1"/>
      <c r="G27" s="1"/>
      <c r="H27" s="1"/>
      <c r="I27" s="1"/>
      <c r="J27" s="1"/>
      <c r="K27" s="1"/>
      <c r="L27" s="1"/>
      <c r="M27" s="1"/>
      <c r="N27" s="18"/>
    </row>
    <row r="28" spans="2:14" ht="15.75" customHeight="1" x14ac:dyDescent="0.25">
      <c r="B28" s="20"/>
      <c r="C28" s="7" t="s">
        <v>46</v>
      </c>
      <c r="D28" s="8"/>
      <c r="E28" s="12">
        <v>2.8479999999999998E-3</v>
      </c>
      <c r="F28" s="1"/>
      <c r="G28" s="1"/>
      <c r="H28" s="1"/>
      <c r="I28" s="1"/>
      <c r="J28" s="1"/>
      <c r="K28" s="1"/>
      <c r="L28" s="1"/>
      <c r="M28" s="1"/>
      <c r="N28" s="18"/>
    </row>
    <row r="29" spans="2:14" ht="15" customHeight="1" x14ac:dyDescent="0.25">
      <c r="B29" s="20"/>
      <c r="C29" s="5" t="s">
        <v>107</v>
      </c>
      <c r="D29" s="6" t="s">
        <v>192</v>
      </c>
      <c r="E29" s="11">
        <v>1.2979999999999999E-3</v>
      </c>
      <c r="F29" s="1"/>
      <c r="G29" s="1"/>
      <c r="H29" s="1"/>
      <c r="I29" s="1"/>
      <c r="J29" s="1"/>
      <c r="K29" s="1"/>
      <c r="L29" s="1"/>
      <c r="M29" s="1"/>
      <c r="N29" s="18"/>
    </row>
    <row r="30" spans="2:14" ht="15.75" customHeight="1" x14ac:dyDescent="0.25">
      <c r="B30" s="20"/>
      <c r="C30" s="7" t="s">
        <v>54</v>
      </c>
      <c r="D30" s="8"/>
      <c r="E30" s="12">
        <v>1.2979999999999999E-3</v>
      </c>
      <c r="F30" s="1"/>
      <c r="G30" s="1"/>
      <c r="H30" s="1"/>
      <c r="I30" s="1"/>
      <c r="J30" s="1"/>
      <c r="K30" s="1"/>
      <c r="L30" s="1"/>
      <c r="M30" s="1"/>
      <c r="N30" s="18"/>
    </row>
    <row r="31" spans="2:14" ht="15" customHeight="1" x14ac:dyDescent="0.25">
      <c r="B31" s="20"/>
      <c r="C31" s="5" t="s">
        <v>195</v>
      </c>
      <c r="D31" s="6" t="s">
        <v>192</v>
      </c>
      <c r="E31" s="11">
        <v>1.0203E-2</v>
      </c>
      <c r="F31" s="1"/>
      <c r="G31" s="1"/>
      <c r="H31" s="1"/>
      <c r="I31" s="1"/>
      <c r="J31" s="1"/>
      <c r="K31" s="1"/>
      <c r="L31" s="1"/>
      <c r="M31" s="1"/>
      <c r="N31" s="18"/>
    </row>
    <row r="32" spans="2:14" ht="15.75" customHeight="1" x14ac:dyDescent="0.25">
      <c r="B32" s="20"/>
      <c r="C32" s="5" t="s">
        <v>198</v>
      </c>
      <c r="D32" s="6" t="s">
        <v>192</v>
      </c>
      <c r="E32" s="11">
        <v>4.6309999999999997E-3</v>
      </c>
      <c r="F32" s="1"/>
      <c r="G32" s="1"/>
      <c r="H32" s="1"/>
      <c r="I32" s="1"/>
      <c r="J32" s="1"/>
      <c r="K32" s="1"/>
      <c r="L32" s="1"/>
      <c r="M32" s="1"/>
      <c r="N32" s="18"/>
    </row>
    <row r="33" spans="2:14" ht="15" customHeight="1" x14ac:dyDescent="0.25">
      <c r="B33" s="20"/>
      <c r="C33" s="5" t="s">
        <v>194</v>
      </c>
      <c r="D33" s="6" t="s">
        <v>192</v>
      </c>
      <c r="E33" s="11">
        <v>9.2699999999999998E-4</v>
      </c>
      <c r="F33" s="1"/>
      <c r="G33" s="1"/>
      <c r="H33" s="1"/>
      <c r="I33" s="1"/>
      <c r="J33" s="1"/>
      <c r="K33" s="1"/>
      <c r="L33" s="1"/>
      <c r="M33" s="1"/>
      <c r="N33" s="18"/>
    </row>
    <row r="34" spans="2:14" ht="15" customHeight="1" x14ac:dyDescent="0.25">
      <c r="B34" s="20"/>
      <c r="C34" s="5" t="s">
        <v>196</v>
      </c>
      <c r="D34" s="6" t="s">
        <v>192</v>
      </c>
      <c r="E34" s="11">
        <v>9.2599999999999996E-4</v>
      </c>
      <c r="F34" s="1"/>
      <c r="G34" s="1"/>
      <c r="H34" s="1"/>
      <c r="I34" s="1"/>
      <c r="J34" s="1"/>
      <c r="K34" s="1"/>
      <c r="L34" s="1"/>
      <c r="M34" s="1"/>
      <c r="N34" s="18"/>
    </row>
    <row r="35" spans="2:14" ht="15" customHeight="1" x14ac:dyDescent="0.25">
      <c r="B35" s="20"/>
      <c r="C35" s="5" t="s">
        <v>197</v>
      </c>
      <c r="D35" s="6" t="s">
        <v>192</v>
      </c>
      <c r="E35" s="11">
        <v>2.7599999999999999E-4</v>
      </c>
      <c r="F35" s="1"/>
      <c r="G35" s="1"/>
      <c r="H35" s="1"/>
      <c r="I35" s="1"/>
      <c r="J35" s="1"/>
      <c r="K35" s="1"/>
      <c r="L35" s="1"/>
      <c r="M35" s="1"/>
      <c r="N35" s="18"/>
    </row>
    <row r="36" spans="2:14" ht="15" customHeight="1" x14ac:dyDescent="0.25">
      <c r="B36" s="20"/>
      <c r="C36" s="7" t="s">
        <v>55</v>
      </c>
      <c r="D36" s="8"/>
      <c r="E36" s="12">
        <v>1.6962999999999999E-2</v>
      </c>
      <c r="F36" s="1"/>
      <c r="G36" s="1"/>
      <c r="H36" s="1"/>
      <c r="I36" s="1"/>
      <c r="J36" s="1"/>
      <c r="K36" s="1"/>
      <c r="L36" s="1"/>
      <c r="M36" s="1"/>
      <c r="N36" s="18"/>
    </row>
    <row r="37" spans="2:14" ht="15" customHeight="1" x14ac:dyDescent="0.25">
      <c r="B37" s="20"/>
      <c r="C37" s="5" t="s">
        <v>167</v>
      </c>
      <c r="D37" s="6" t="s">
        <v>192</v>
      </c>
      <c r="E37" s="11">
        <v>4.4545000000000001E-2</v>
      </c>
      <c r="F37" s="1"/>
      <c r="G37" s="1"/>
      <c r="H37" s="1"/>
      <c r="I37" s="1"/>
      <c r="J37" s="1"/>
      <c r="K37" s="1"/>
      <c r="L37" s="1"/>
      <c r="M37" s="1"/>
      <c r="N37" s="18"/>
    </row>
    <row r="38" spans="2:14" ht="15" customHeight="1" x14ac:dyDescent="0.25">
      <c r="B38" s="20"/>
      <c r="C38" s="5" t="s">
        <v>168</v>
      </c>
      <c r="D38" s="6" t="s">
        <v>192</v>
      </c>
      <c r="E38" s="11">
        <v>3.1264E-2</v>
      </c>
      <c r="F38" s="1"/>
      <c r="G38" s="1"/>
      <c r="H38" s="1"/>
      <c r="I38" s="1"/>
      <c r="J38" s="1"/>
      <c r="K38" s="1"/>
      <c r="L38" s="1"/>
      <c r="M38" s="1"/>
      <c r="N38" s="18"/>
    </row>
    <row r="39" spans="2:14" ht="15.75" customHeight="1" x14ac:dyDescent="0.25">
      <c r="B39" s="20"/>
      <c r="C39" s="5" t="s">
        <v>169</v>
      </c>
      <c r="D39" s="6" t="s">
        <v>192</v>
      </c>
      <c r="E39" s="11">
        <v>9.1690000000000001E-3</v>
      </c>
      <c r="F39" s="1"/>
      <c r="G39" s="1"/>
      <c r="H39" s="1"/>
      <c r="I39" s="1"/>
      <c r="J39" s="1"/>
      <c r="K39" s="1"/>
      <c r="L39" s="1"/>
      <c r="M39" s="1"/>
      <c r="N39" s="18"/>
    </row>
    <row r="40" spans="2:14" ht="15" customHeight="1" x14ac:dyDescent="0.25">
      <c r="B40" s="20"/>
      <c r="C40" s="5" t="s">
        <v>170</v>
      </c>
      <c r="D40" s="6" t="s">
        <v>192</v>
      </c>
      <c r="E40" s="11">
        <v>9.1339999999999998E-3</v>
      </c>
      <c r="F40" s="1"/>
      <c r="G40" s="1"/>
      <c r="H40" s="1"/>
      <c r="I40" s="1"/>
      <c r="J40" s="1"/>
      <c r="K40" s="1"/>
      <c r="L40" s="1"/>
      <c r="M40" s="1"/>
      <c r="N40" s="18"/>
    </row>
    <row r="41" spans="2:14" ht="15.75" customHeight="1" x14ac:dyDescent="0.25">
      <c r="B41" s="20"/>
      <c r="C41" s="5" t="s">
        <v>171</v>
      </c>
      <c r="D41" s="6" t="s">
        <v>192</v>
      </c>
      <c r="E41" s="11">
        <v>8.9789999999999991E-3</v>
      </c>
      <c r="F41" s="1"/>
      <c r="G41" s="1"/>
      <c r="H41" s="1"/>
      <c r="I41" s="1"/>
      <c r="J41" s="1"/>
      <c r="K41" s="1"/>
      <c r="L41" s="1"/>
      <c r="M41" s="1"/>
      <c r="N41" s="18"/>
    </row>
    <row r="42" spans="2:14" ht="15" customHeight="1" x14ac:dyDescent="0.25">
      <c r="B42" s="20"/>
      <c r="C42" s="5" t="s">
        <v>172</v>
      </c>
      <c r="D42" s="6" t="s">
        <v>192</v>
      </c>
      <c r="E42" s="11">
        <v>1.4200000000000001E-4</v>
      </c>
      <c r="F42" s="1"/>
      <c r="G42" s="1"/>
      <c r="H42" s="1"/>
      <c r="I42" s="1"/>
      <c r="J42" s="1"/>
      <c r="K42" s="1"/>
      <c r="L42" s="1"/>
      <c r="M42" s="1"/>
      <c r="N42" s="18"/>
    </row>
    <row r="43" spans="2:14" ht="15" customHeight="1" x14ac:dyDescent="0.25">
      <c r="B43" s="20"/>
      <c r="C43" s="7" t="s">
        <v>159</v>
      </c>
      <c r="D43" s="8"/>
      <c r="E43" s="12">
        <v>0.10323300000000001</v>
      </c>
      <c r="F43" s="1"/>
      <c r="G43" s="1"/>
      <c r="H43" s="1"/>
      <c r="I43" s="1"/>
      <c r="J43" s="1"/>
      <c r="K43" s="1"/>
      <c r="L43" s="1"/>
      <c r="M43" s="1"/>
      <c r="N43" s="18"/>
    </row>
    <row r="44" spans="2:14" ht="15.75" customHeight="1" x14ac:dyDescent="0.25">
      <c r="B44" s="20"/>
      <c r="C44" s="5" t="s">
        <v>9</v>
      </c>
      <c r="D44" s="6"/>
      <c r="E44" s="11">
        <v>1.8166000000000002E-2</v>
      </c>
      <c r="F44" s="1"/>
      <c r="G44" s="1"/>
      <c r="H44" s="1"/>
      <c r="I44" s="1"/>
      <c r="J44" s="1"/>
      <c r="K44" s="1"/>
      <c r="L44" s="1"/>
      <c r="M44" s="1"/>
      <c r="N44" s="18"/>
    </row>
    <row r="45" spans="2:14" ht="15" customHeight="1" x14ac:dyDescent="0.25">
      <c r="B45" s="20"/>
      <c r="C45" s="7" t="s">
        <v>10</v>
      </c>
      <c r="D45" s="8"/>
      <c r="E45" s="12">
        <v>1.8166000000000002E-2</v>
      </c>
      <c r="F45" s="1"/>
      <c r="G45" s="1"/>
      <c r="H45" s="1"/>
      <c r="I45" s="1"/>
      <c r="J45" s="1"/>
      <c r="K45" s="1"/>
      <c r="L45" s="1"/>
      <c r="M45" s="1"/>
      <c r="N45" s="18"/>
    </row>
    <row r="46" spans="2:14" ht="15.75" customHeight="1" x14ac:dyDescent="0.25">
      <c r="B46" s="20"/>
      <c r="C46" s="5" t="s">
        <v>72</v>
      </c>
      <c r="D46" s="6" t="s">
        <v>29</v>
      </c>
      <c r="E46" s="11">
        <v>1.5553000000000001E-2</v>
      </c>
      <c r="F46" s="1"/>
      <c r="G46" s="1"/>
      <c r="H46" s="1"/>
      <c r="I46" s="1"/>
      <c r="J46" s="1"/>
      <c r="K46" s="1"/>
      <c r="L46" s="1"/>
      <c r="M46" s="1"/>
      <c r="N46" s="18"/>
    </row>
    <row r="47" spans="2:14" ht="15" customHeight="1" x14ac:dyDescent="0.25">
      <c r="B47" s="20"/>
      <c r="C47" s="5" t="s">
        <v>73</v>
      </c>
      <c r="D47" s="6" t="s">
        <v>29</v>
      </c>
      <c r="E47" s="11">
        <v>4.3959999999999997E-3</v>
      </c>
      <c r="F47" s="1"/>
      <c r="G47" s="1"/>
      <c r="H47" s="1"/>
      <c r="I47" s="1"/>
      <c r="J47" s="1"/>
      <c r="K47" s="1"/>
      <c r="L47" s="1"/>
      <c r="M47" s="1"/>
      <c r="N47" s="18"/>
    </row>
    <row r="48" spans="2:14" ht="15" customHeight="1" x14ac:dyDescent="0.25">
      <c r="B48" s="20"/>
      <c r="C48" s="7" t="s">
        <v>80</v>
      </c>
      <c r="D48" s="8"/>
      <c r="E48" s="12">
        <v>1.9949000000000001E-2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7" t="s">
        <v>11</v>
      </c>
      <c r="D50" s="8"/>
      <c r="E50" s="12">
        <v>3.1071999999999999E-2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12</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thickBot="1" x14ac:dyDescent="0.3"/>
    <row r="56" spans="2:14" ht="15" customHeight="1" x14ac:dyDescent="0.25">
      <c r="B56" s="68" t="s">
        <v>268</v>
      </c>
      <c r="C56" s="69"/>
      <c r="D56" s="69"/>
      <c r="E56" s="69"/>
      <c r="F56" s="69"/>
      <c r="G56" s="69"/>
      <c r="H56" s="69"/>
      <c r="I56" s="69"/>
      <c r="J56" s="69"/>
      <c r="K56" s="69"/>
      <c r="L56" s="69"/>
      <c r="M56" s="69"/>
      <c r="N56" s="70"/>
    </row>
    <row r="57" spans="2:14" ht="15" customHeight="1" x14ac:dyDescent="0.25">
      <c r="B57" s="71"/>
      <c r="C57" s="72"/>
      <c r="D57" s="72"/>
      <c r="E57" s="72"/>
      <c r="F57" s="72"/>
      <c r="G57" s="72"/>
      <c r="H57" s="72"/>
      <c r="I57" s="72"/>
      <c r="J57" s="72"/>
      <c r="K57" s="72"/>
      <c r="L57" s="72"/>
      <c r="M57" s="72"/>
      <c r="N57" s="73"/>
    </row>
    <row r="58" spans="2:14" ht="15" customHeight="1" x14ac:dyDescent="0.25">
      <c r="B58" s="71"/>
      <c r="C58" s="72"/>
      <c r="D58" s="72"/>
      <c r="E58" s="72"/>
      <c r="F58" s="72"/>
      <c r="G58" s="72"/>
      <c r="H58" s="72"/>
      <c r="I58" s="72"/>
      <c r="J58" s="72"/>
      <c r="K58" s="72"/>
      <c r="L58" s="72"/>
      <c r="M58" s="72"/>
      <c r="N58" s="73"/>
    </row>
    <row r="59" spans="2:14" ht="15" customHeight="1" thickBot="1" x14ac:dyDescent="0.3">
      <c r="B59" s="74"/>
      <c r="C59" s="75"/>
      <c r="D59" s="75"/>
      <c r="E59" s="75"/>
      <c r="F59" s="75"/>
      <c r="G59" s="75"/>
      <c r="H59" s="75"/>
      <c r="I59" s="75"/>
      <c r="J59" s="75"/>
      <c r="K59" s="75"/>
      <c r="L59" s="75"/>
      <c r="M59" s="75"/>
      <c r="N59" s="76"/>
    </row>
    <row r="60" spans="2:14" ht="15" customHeight="1" thickBot="1" x14ac:dyDescent="0.3"/>
    <row r="61" spans="2:14" ht="123" customHeight="1" thickBot="1" x14ac:dyDescent="0.3">
      <c r="B61" s="77" t="s">
        <v>269</v>
      </c>
      <c r="C61" s="78"/>
      <c r="D61" s="78"/>
      <c r="E61" s="78"/>
      <c r="F61" s="78"/>
      <c r="G61" s="78"/>
      <c r="H61" s="78"/>
      <c r="I61" s="78"/>
      <c r="J61" s="78"/>
      <c r="K61" s="78"/>
      <c r="L61" s="78"/>
      <c r="M61" s="78"/>
      <c r="N61" s="79"/>
    </row>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C37:E42">
    <sortCondition descending="1" ref="E37"/>
  </sortState>
  <mergeCells count="7">
    <mergeCell ref="B56:N59"/>
    <mergeCell ref="B61:N61"/>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11ED-DDB0-4A15-84F4-7D831A2D771C}">
  <dimension ref="B1:N78"/>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173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174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43</v>
      </c>
      <c r="D8" s="6" t="s">
        <v>23</v>
      </c>
      <c r="E8" s="11">
        <v>0.121867</v>
      </c>
      <c r="F8" s="1"/>
      <c r="G8" s="24" t="s">
        <v>16</v>
      </c>
      <c r="H8" s="25">
        <v>1</v>
      </c>
      <c r="I8" s="1"/>
      <c r="J8" s="24" t="s">
        <v>13</v>
      </c>
      <c r="K8" s="24" t="s">
        <v>5</v>
      </c>
      <c r="L8" s="1"/>
      <c r="M8" s="1"/>
      <c r="N8" s="18"/>
    </row>
    <row r="9" spans="2:14" ht="15" customHeight="1" x14ac:dyDescent="0.25">
      <c r="B9" s="20"/>
      <c r="C9" s="5" t="s">
        <v>30</v>
      </c>
      <c r="D9" s="6" t="s">
        <v>23</v>
      </c>
      <c r="E9" s="11">
        <v>0.117127</v>
      </c>
      <c r="F9" s="1"/>
      <c r="G9" s="1"/>
      <c r="H9" s="1"/>
      <c r="I9" s="1"/>
      <c r="J9" s="24" t="s">
        <v>11</v>
      </c>
      <c r="K9" s="29">
        <v>-4.0586999999999998E-2</v>
      </c>
      <c r="L9" s="1"/>
      <c r="M9" s="1"/>
      <c r="N9" s="18"/>
    </row>
    <row r="10" spans="2:14" ht="15" customHeight="1" x14ac:dyDescent="0.25">
      <c r="B10" s="20"/>
      <c r="C10" s="5" t="s">
        <v>26</v>
      </c>
      <c r="D10" s="6" t="s">
        <v>23</v>
      </c>
      <c r="E10" s="11">
        <v>0.106535</v>
      </c>
      <c r="F10" s="1"/>
      <c r="G10" s="1"/>
      <c r="H10" s="1"/>
      <c r="I10" s="1"/>
      <c r="J10" s="24" t="s">
        <v>14</v>
      </c>
      <c r="K10" s="29">
        <v>2.605E-2</v>
      </c>
      <c r="L10" s="1"/>
      <c r="M10" s="1"/>
      <c r="N10" s="18"/>
    </row>
    <row r="11" spans="2:14" ht="15" customHeight="1" x14ac:dyDescent="0.25">
      <c r="B11" s="20"/>
      <c r="C11" s="5" t="s">
        <v>28</v>
      </c>
      <c r="D11" s="6" t="s">
        <v>23</v>
      </c>
      <c r="E11" s="11">
        <v>8.4323999999999996E-2</v>
      </c>
      <c r="F11" s="1"/>
      <c r="G11" s="1"/>
      <c r="H11" s="1"/>
      <c r="I11" s="1"/>
      <c r="J11" s="24" t="s">
        <v>56</v>
      </c>
      <c r="K11" s="29">
        <v>0.63173199999999996</v>
      </c>
      <c r="L11" s="1"/>
      <c r="M11" s="1"/>
      <c r="N11" s="18"/>
    </row>
    <row r="12" spans="2:14" ht="15" customHeight="1" x14ac:dyDescent="0.25">
      <c r="B12" s="20"/>
      <c r="C12" s="5" t="s">
        <v>22</v>
      </c>
      <c r="D12" s="6" t="s">
        <v>23</v>
      </c>
      <c r="E12" s="11">
        <v>6.1154E-2</v>
      </c>
      <c r="F12" s="1"/>
      <c r="G12" s="1"/>
      <c r="H12" s="1"/>
      <c r="I12" s="1"/>
      <c r="J12" s="24" t="s">
        <v>160</v>
      </c>
      <c r="K12" s="29">
        <v>0.243558</v>
      </c>
      <c r="L12" s="1"/>
      <c r="M12" s="1"/>
      <c r="N12" s="18"/>
    </row>
    <row r="13" spans="2:14" ht="15" customHeight="1" x14ac:dyDescent="0.25">
      <c r="B13" s="20"/>
      <c r="C13" s="5" t="s">
        <v>175</v>
      </c>
      <c r="D13" s="6" t="s">
        <v>23</v>
      </c>
      <c r="E13" s="11">
        <v>5.6333000000000001E-2</v>
      </c>
      <c r="F13" s="1"/>
      <c r="G13" s="1"/>
      <c r="H13" s="1"/>
      <c r="I13" s="1"/>
      <c r="J13" s="24" t="s">
        <v>45</v>
      </c>
      <c r="K13" s="29">
        <v>1.6199999999999999E-3</v>
      </c>
      <c r="L13" s="1"/>
      <c r="M13" s="1"/>
      <c r="N13" s="18"/>
    </row>
    <row r="14" spans="2:14" ht="15" customHeight="1" x14ac:dyDescent="0.25">
      <c r="B14" s="20"/>
      <c r="C14" s="5" t="s">
        <v>24</v>
      </c>
      <c r="D14" s="6" t="s">
        <v>23</v>
      </c>
      <c r="E14" s="11">
        <v>5.1341999999999999E-2</v>
      </c>
      <c r="F14" s="1"/>
      <c r="G14" s="1"/>
      <c r="H14" s="1"/>
      <c r="I14" s="1"/>
      <c r="J14" s="24" t="s">
        <v>181</v>
      </c>
      <c r="K14" s="29">
        <v>1.023E-3</v>
      </c>
      <c r="L14" s="1"/>
      <c r="M14" s="1"/>
      <c r="N14" s="18"/>
    </row>
    <row r="15" spans="2:14" ht="15" customHeight="1" x14ac:dyDescent="0.25">
      <c r="B15" s="20"/>
      <c r="C15" s="5" t="s">
        <v>176</v>
      </c>
      <c r="D15" s="6" t="s">
        <v>23</v>
      </c>
      <c r="E15" s="11">
        <v>1.8869E-2</v>
      </c>
      <c r="F15" s="1"/>
      <c r="G15" s="1"/>
      <c r="H15" s="1"/>
      <c r="I15" s="1"/>
      <c r="J15" s="24" t="s">
        <v>59</v>
      </c>
      <c r="K15" s="29">
        <v>0.136604</v>
      </c>
      <c r="L15" s="1"/>
      <c r="M15" s="1"/>
      <c r="N15" s="18"/>
    </row>
    <row r="16" spans="2:14" ht="15" customHeight="1" x14ac:dyDescent="0.25">
      <c r="B16" s="20"/>
      <c r="C16" s="5" t="s">
        <v>25</v>
      </c>
      <c r="D16" s="6" t="s">
        <v>23</v>
      </c>
      <c r="E16" s="11">
        <v>9.4699999999999993E-3</v>
      </c>
      <c r="F16" s="1"/>
      <c r="G16" s="1"/>
      <c r="H16" s="1"/>
      <c r="I16" s="1"/>
      <c r="J16" s="1"/>
      <c r="K16" s="1"/>
      <c r="L16" s="1"/>
      <c r="M16" s="1"/>
      <c r="N16" s="18"/>
    </row>
    <row r="17" spans="2:14" ht="15" customHeight="1" x14ac:dyDescent="0.25">
      <c r="B17" s="20"/>
      <c r="C17" s="5" t="s">
        <v>137</v>
      </c>
      <c r="D17" s="6" t="s">
        <v>23</v>
      </c>
      <c r="E17" s="11">
        <v>4.7109999999999999E-3</v>
      </c>
      <c r="F17" s="1"/>
      <c r="G17" s="1"/>
      <c r="H17" s="1"/>
      <c r="I17" s="1"/>
      <c r="J17" s="1"/>
      <c r="K17" s="1"/>
      <c r="L17" s="1"/>
      <c r="M17" s="1"/>
      <c r="N17" s="18"/>
    </row>
    <row r="18" spans="2:14" ht="15.75" customHeight="1" x14ac:dyDescent="0.25">
      <c r="B18" s="20"/>
      <c r="C18" s="7" t="s">
        <v>27</v>
      </c>
      <c r="D18" s="8"/>
      <c r="E18" s="12">
        <v>0.63173199999999996</v>
      </c>
      <c r="F18" s="1"/>
      <c r="G18" s="1"/>
      <c r="H18" s="1"/>
      <c r="I18" s="1"/>
      <c r="J18" s="1"/>
      <c r="K18" s="1"/>
      <c r="L18" s="1"/>
      <c r="M18" s="1"/>
      <c r="N18" s="18"/>
    </row>
    <row r="19" spans="2:14" ht="15" customHeight="1" x14ac:dyDescent="0.25">
      <c r="B19" s="20"/>
      <c r="C19" s="5" t="s">
        <v>73</v>
      </c>
      <c r="D19" s="6" t="s">
        <v>23</v>
      </c>
      <c r="E19" s="11">
        <v>3.7741999999999998E-2</v>
      </c>
      <c r="F19" s="1"/>
      <c r="G19" s="1"/>
      <c r="H19" s="1"/>
      <c r="I19" s="1"/>
      <c r="J19" s="1"/>
      <c r="K19" s="1"/>
      <c r="L19" s="1"/>
      <c r="M19" s="1"/>
      <c r="N19" s="18"/>
    </row>
    <row r="20" spans="2:14" ht="15" customHeight="1" x14ac:dyDescent="0.25">
      <c r="B20" s="20"/>
      <c r="C20" s="5" t="s">
        <v>78</v>
      </c>
      <c r="D20" s="6" t="s">
        <v>23</v>
      </c>
      <c r="E20" s="11">
        <v>3.2645E-2</v>
      </c>
      <c r="F20" s="1"/>
      <c r="G20" s="1"/>
      <c r="H20" s="1"/>
      <c r="I20" s="1"/>
      <c r="J20" s="1"/>
      <c r="K20" s="1"/>
      <c r="L20" s="1"/>
      <c r="M20" s="1"/>
      <c r="N20" s="18"/>
    </row>
    <row r="21" spans="2:14" ht="15" customHeight="1" x14ac:dyDescent="0.25">
      <c r="B21" s="20"/>
      <c r="C21" s="5" t="s">
        <v>142</v>
      </c>
      <c r="D21" s="6" t="s">
        <v>23</v>
      </c>
      <c r="E21" s="11">
        <v>2.8021000000000001E-2</v>
      </c>
      <c r="F21" s="1"/>
      <c r="G21" s="1"/>
      <c r="H21" s="1"/>
      <c r="I21" s="1"/>
      <c r="J21" s="1"/>
      <c r="K21" s="1"/>
      <c r="L21" s="1"/>
      <c r="M21" s="1"/>
      <c r="N21" s="18"/>
    </row>
    <row r="22" spans="2:14" ht="15" customHeight="1" x14ac:dyDescent="0.25">
      <c r="B22" s="20"/>
      <c r="C22" s="5" t="s">
        <v>146</v>
      </c>
      <c r="D22" s="6" t="s">
        <v>23</v>
      </c>
      <c r="E22" s="11">
        <v>2.7900000000000001E-2</v>
      </c>
      <c r="F22" s="1"/>
      <c r="G22" s="1"/>
      <c r="H22" s="1"/>
      <c r="I22" s="1"/>
      <c r="J22" s="1"/>
      <c r="K22" s="1"/>
      <c r="L22" s="1"/>
      <c r="M22" s="1"/>
      <c r="N22" s="18"/>
    </row>
    <row r="23" spans="2:14" ht="15" customHeight="1" x14ac:dyDescent="0.25">
      <c r="B23" s="20"/>
      <c r="C23" s="5" t="s">
        <v>141</v>
      </c>
      <c r="D23" s="6" t="s">
        <v>23</v>
      </c>
      <c r="E23" s="11">
        <v>1.9044999999999999E-2</v>
      </c>
      <c r="F23" s="1"/>
      <c r="G23" s="1"/>
      <c r="H23" s="1"/>
      <c r="I23" s="1"/>
      <c r="J23" s="1"/>
      <c r="K23" s="1"/>
      <c r="L23" s="1"/>
      <c r="M23" s="1"/>
      <c r="N23" s="18"/>
    </row>
    <row r="24" spans="2:14" ht="15" customHeight="1" x14ac:dyDescent="0.25">
      <c r="B24" s="20"/>
      <c r="C24" s="5" t="s">
        <v>177</v>
      </c>
      <c r="D24" s="6" t="s">
        <v>23</v>
      </c>
      <c r="E24" s="11">
        <v>1.8794000000000002E-2</v>
      </c>
      <c r="F24" s="1"/>
      <c r="G24" s="85" t="s">
        <v>120</v>
      </c>
      <c r="H24" s="86"/>
      <c r="I24" s="86"/>
      <c r="J24" s="86"/>
      <c r="K24" s="86"/>
      <c r="L24" s="35">
        <v>223.25378206347256</v>
      </c>
      <c r="M24" s="27"/>
      <c r="N24" s="28"/>
    </row>
    <row r="25" spans="2:14" ht="15" customHeight="1" x14ac:dyDescent="0.25">
      <c r="B25" s="20"/>
      <c r="C25" s="5" t="s">
        <v>74</v>
      </c>
      <c r="D25" s="6" t="s">
        <v>23</v>
      </c>
      <c r="E25" s="11">
        <v>1.8755000000000001E-2</v>
      </c>
      <c r="F25" s="1"/>
      <c r="G25" s="1"/>
      <c r="H25" s="1"/>
      <c r="I25" s="1"/>
      <c r="J25" s="1"/>
      <c r="K25" s="1"/>
      <c r="L25" s="1"/>
      <c r="M25" s="1"/>
      <c r="N25" s="18"/>
    </row>
    <row r="26" spans="2:14" ht="15" customHeight="1" x14ac:dyDescent="0.25">
      <c r="B26" s="20"/>
      <c r="C26" s="5" t="s">
        <v>128</v>
      </c>
      <c r="D26" s="6" t="s">
        <v>23</v>
      </c>
      <c r="E26" s="11">
        <v>1.864E-2</v>
      </c>
      <c r="F26" s="1"/>
      <c r="G26" s="85" t="s">
        <v>19</v>
      </c>
      <c r="H26" s="86"/>
      <c r="I26" s="86"/>
      <c r="J26" s="86"/>
      <c r="K26" s="86"/>
      <c r="L26" s="86"/>
      <c r="M26" s="86"/>
      <c r="N26" s="87"/>
    </row>
    <row r="27" spans="2:14" ht="15" customHeight="1" x14ac:dyDescent="0.25">
      <c r="B27" s="20"/>
      <c r="C27" s="5" t="s">
        <v>68</v>
      </c>
      <c r="D27" s="6" t="s">
        <v>23</v>
      </c>
      <c r="E27" s="11">
        <v>9.3900000000000008E-3</v>
      </c>
      <c r="F27" s="1"/>
      <c r="G27" s="1"/>
      <c r="H27" s="1"/>
      <c r="I27" s="1"/>
      <c r="J27" s="1"/>
      <c r="K27" s="1"/>
      <c r="L27" s="1"/>
      <c r="M27" s="1"/>
      <c r="N27" s="18"/>
    </row>
    <row r="28" spans="2:14" ht="15" customHeight="1" x14ac:dyDescent="0.25">
      <c r="B28" s="20"/>
      <c r="C28" s="5" t="s">
        <v>143</v>
      </c>
      <c r="D28" s="6" t="s">
        <v>23</v>
      </c>
      <c r="E28" s="11">
        <v>9.3790000000000002E-3</v>
      </c>
      <c r="F28" s="1"/>
      <c r="G28" s="1"/>
      <c r="H28" s="1"/>
      <c r="I28" s="1"/>
      <c r="J28" s="1"/>
      <c r="K28" s="1"/>
      <c r="L28" s="1"/>
      <c r="M28" s="1"/>
      <c r="N28" s="18"/>
    </row>
    <row r="29" spans="2:14" ht="15" customHeight="1" x14ac:dyDescent="0.25">
      <c r="B29" s="20"/>
      <c r="C29" s="5" t="s">
        <v>88</v>
      </c>
      <c r="D29" s="6" t="s">
        <v>23</v>
      </c>
      <c r="E29" s="11">
        <v>9.2999999999999992E-3</v>
      </c>
      <c r="F29" s="1"/>
      <c r="G29" s="1"/>
      <c r="H29" s="1"/>
      <c r="I29" s="1"/>
      <c r="J29" s="1"/>
      <c r="K29" s="1"/>
      <c r="L29" s="1"/>
      <c r="M29" s="1"/>
      <c r="N29" s="18"/>
    </row>
    <row r="30" spans="2:14" ht="15" customHeight="1" x14ac:dyDescent="0.25">
      <c r="B30" s="20"/>
      <c r="C30" s="5" t="s">
        <v>178</v>
      </c>
      <c r="D30" s="6" t="s">
        <v>23</v>
      </c>
      <c r="E30" s="11">
        <v>9.2969999999999997E-3</v>
      </c>
      <c r="F30" s="1"/>
      <c r="G30" s="1"/>
      <c r="H30" s="1"/>
      <c r="I30" s="1"/>
      <c r="J30" s="1"/>
      <c r="K30" s="1"/>
      <c r="L30" s="1"/>
      <c r="M30" s="1"/>
      <c r="N30" s="18"/>
    </row>
    <row r="31" spans="2:14" ht="15" customHeight="1" x14ac:dyDescent="0.25">
      <c r="B31" s="20"/>
      <c r="C31" s="5" t="s">
        <v>72</v>
      </c>
      <c r="D31" s="6" t="s">
        <v>23</v>
      </c>
      <c r="E31" s="11">
        <v>4.6499999999999996E-3</v>
      </c>
      <c r="F31" s="1"/>
      <c r="G31" s="1"/>
      <c r="H31" s="1"/>
      <c r="I31" s="1"/>
      <c r="J31" s="1"/>
      <c r="K31" s="1"/>
      <c r="L31" s="1"/>
      <c r="M31" s="1"/>
      <c r="N31" s="18"/>
    </row>
    <row r="32" spans="2:14" ht="15.75" customHeight="1" x14ac:dyDescent="0.25">
      <c r="B32" s="20"/>
      <c r="C32" s="7" t="s">
        <v>147</v>
      </c>
      <c r="D32" s="8"/>
      <c r="E32" s="12">
        <v>0.243558</v>
      </c>
      <c r="F32" s="1"/>
      <c r="G32" s="1"/>
      <c r="H32" s="1"/>
      <c r="I32" s="1"/>
      <c r="J32" s="1"/>
      <c r="K32" s="1"/>
      <c r="L32" s="1"/>
      <c r="M32" s="1"/>
      <c r="N32" s="18"/>
    </row>
    <row r="33" spans="2:14" ht="15" customHeight="1" x14ac:dyDescent="0.25">
      <c r="B33" s="20"/>
      <c r="C33" s="5" t="s">
        <v>45</v>
      </c>
      <c r="D33" s="6"/>
      <c r="E33" s="11">
        <v>1.6199999999999999E-3</v>
      </c>
      <c r="F33" s="1"/>
      <c r="G33" s="1"/>
      <c r="H33" s="1"/>
      <c r="I33" s="1"/>
      <c r="J33" s="1"/>
      <c r="K33" s="1"/>
      <c r="L33" s="1"/>
      <c r="M33" s="1"/>
      <c r="N33" s="18"/>
    </row>
    <row r="34" spans="2:14" ht="15.75" customHeight="1" x14ac:dyDescent="0.25">
      <c r="B34" s="20"/>
      <c r="C34" s="7" t="s">
        <v>46</v>
      </c>
      <c r="D34" s="8"/>
      <c r="E34" s="12">
        <v>1.6199999999999999E-3</v>
      </c>
      <c r="F34" s="1"/>
      <c r="G34" s="1"/>
      <c r="H34" s="1"/>
      <c r="I34" s="1"/>
      <c r="J34" s="1"/>
      <c r="K34" s="1"/>
      <c r="L34" s="1"/>
      <c r="M34" s="1"/>
      <c r="N34" s="18"/>
    </row>
    <row r="35" spans="2:14" ht="15" customHeight="1" x14ac:dyDescent="0.25">
      <c r="B35" s="20"/>
      <c r="C35" s="5" t="s">
        <v>179</v>
      </c>
      <c r="D35" s="6" t="s">
        <v>192</v>
      </c>
      <c r="E35" s="11">
        <v>1.023E-3</v>
      </c>
      <c r="F35" s="1"/>
      <c r="G35" s="1"/>
      <c r="H35" s="1"/>
      <c r="I35" s="1"/>
      <c r="J35" s="1"/>
      <c r="K35" s="1"/>
      <c r="L35" s="1"/>
      <c r="M35" s="1"/>
      <c r="N35" s="18"/>
    </row>
    <row r="36" spans="2:14" ht="15.75" customHeight="1" x14ac:dyDescent="0.25">
      <c r="B36" s="20"/>
      <c r="C36" s="7" t="s">
        <v>180</v>
      </c>
      <c r="D36" s="8"/>
      <c r="E36" s="12">
        <v>1.023E-3</v>
      </c>
      <c r="F36" s="1"/>
      <c r="G36" s="1"/>
      <c r="H36" s="1"/>
      <c r="I36" s="1"/>
      <c r="J36" s="1"/>
      <c r="K36" s="1"/>
      <c r="L36" s="1"/>
      <c r="M36" s="1"/>
      <c r="N36" s="18"/>
    </row>
    <row r="37" spans="2:14" ht="15" customHeight="1" x14ac:dyDescent="0.25">
      <c r="B37" s="20"/>
      <c r="C37" s="5" t="s">
        <v>209</v>
      </c>
      <c r="D37" s="6" t="s">
        <v>192</v>
      </c>
      <c r="E37" s="11">
        <v>3.3833000000000002E-2</v>
      </c>
      <c r="F37" s="1"/>
      <c r="G37" s="1"/>
      <c r="H37" s="1"/>
      <c r="I37" s="1"/>
      <c r="J37" s="1"/>
      <c r="K37" s="1"/>
      <c r="L37" s="1"/>
      <c r="M37" s="1"/>
      <c r="N37" s="18"/>
    </row>
    <row r="38" spans="2:14" ht="15.75" customHeight="1" x14ac:dyDescent="0.25">
      <c r="B38" s="20"/>
      <c r="C38" s="5" t="s">
        <v>208</v>
      </c>
      <c r="D38" s="6" t="s">
        <v>192</v>
      </c>
      <c r="E38" s="11">
        <v>3.2138E-2</v>
      </c>
      <c r="F38" s="1"/>
      <c r="G38" s="1"/>
      <c r="H38" s="1"/>
      <c r="I38" s="1"/>
      <c r="J38" s="1"/>
      <c r="K38" s="1"/>
      <c r="L38" s="1"/>
      <c r="M38" s="1"/>
      <c r="N38" s="18"/>
    </row>
    <row r="39" spans="2:14" ht="15" customHeight="1" x14ac:dyDescent="0.25">
      <c r="B39" s="20"/>
      <c r="C39" s="5" t="s">
        <v>199</v>
      </c>
      <c r="D39" s="6" t="s">
        <v>192</v>
      </c>
      <c r="E39" s="11">
        <v>1.7753999999999999E-2</v>
      </c>
      <c r="F39" s="1"/>
      <c r="G39" s="1"/>
      <c r="H39" s="1"/>
      <c r="I39" s="1"/>
      <c r="J39" s="1"/>
      <c r="K39" s="1"/>
      <c r="L39" s="1"/>
      <c r="M39" s="1"/>
      <c r="N39" s="18"/>
    </row>
    <row r="40" spans="2:14" ht="15.75" customHeight="1" x14ac:dyDescent="0.25">
      <c r="B40" s="20"/>
      <c r="C40" s="5" t="s">
        <v>203</v>
      </c>
      <c r="D40" s="6" t="s">
        <v>192</v>
      </c>
      <c r="E40" s="11">
        <v>1.3868E-2</v>
      </c>
      <c r="F40" s="1"/>
      <c r="G40" s="1"/>
      <c r="H40" s="1"/>
      <c r="I40" s="1"/>
      <c r="J40" s="1"/>
      <c r="K40" s="1"/>
      <c r="L40" s="1"/>
      <c r="M40" s="1"/>
      <c r="N40" s="18"/>
    </row>
    <row r="41" spans="2:14" ht="15" customHeight="1" x14ac:dyDescent="0.25">
      <c r="B41" s="20"/>
      <c r="C41" s="5" t="s">
        <v>205</v>
      </c>
      <c r="D41" s="6" t="s">
        <v>192</v>
      </c>
      <c r="E41" s="11">
        <v>9.7129999999999994E-3</v>
      </c>
      <c r="F41" s="1"/>
      <c r="G41" s="1"/>
      <c r="H41" s="1"/>
      <c r="I41" s="1"/>
      <c r="J41" s="1"/>
      <c r="K41" s="1"/>
      <c r="L41" s="1"/>
      <c r="M41" s="1"/>
      <c r="N41" s="18"/>
    </row>
    <row r="42" spans="2:14" ht="15.75" customHeight="1" x14ac:dyDescent="0.25">
      <c r="B42" s="20"/>
      <c r="C42" s="5" t="s">
        <v>206</v>
      </c>
      <c r="D42" s="6" t="s">
        <v>192</v>
      </c>
      <c r="E42" s="11">
        <v>9.6329999999999992E-3</v>
      </c>
      <c r="F42" s="1"/>
      <c r="G42" s="1"/>
      <c r="H42" s="1"/>
      <c r="I42" s="1"/>
      <c r="J42" s="1"/>
      <c r="K42" s="1"/>
      <c r="L42" s="1"/>
      <c r="M42" s="1"/>
      <c r="N42" s="18"/>
    </row>
    <row r="43" spans="2:14" ht="15" customHeight="1" x14ac:dyDescent="0.25">
      <c r="B43" s="20"/>
      <c r="C43" s="5" t="s">
        <v>201</v>
      </c>
      <c r="D43" s="6" t="s">
        <v>192</v>
      </c>
      <c r="E43" s="11">
        <v>4.9300000000000004E-3</v>
      </c>
      <c r="F43" s="1"/>
      <c r="G43" s="1"/>
      <c r="H43" s="1"/>
      <c r="I43" s="1"/>
      <c r="J43" s="1"/>
      <c r="K43" s="1"/>
      <c r="L43" s="1"/>
      <c r="M43" s="1"/>
      <c r="N43" s="18"/>
    </row>
    <row r="44" spans="2:14" ht="15" customHeight="1" x14ac:dyDescent="0.25">
      <c r="B44" s="20"/>
      <c r="C44" s="5" t="s">
        <v>202</v>
      </c>
      <c r="D44" s="6" t="s">
        <v>192</v>
      </c>
      <c r="E44" s="11">
        <v>3.9519999999999998E-3</v>
      </c>
      <c r="F44" s="1"/>
      <c r="G44" s="1"/>
      <c r="H44" s="1"/>
      <c r="I44" s="1"/>
      <c r="J44" s="1"/>
      <c r="K44" s="1"/>
      <c r="L44" s="1"/>
      <c r="M44" s="1"/>
      <c r="N44" s="18"/>
    </row>
    <row r="45" spans="2:14" ht="15" customHeight="1" x14ac:dyDescent="0.25">
      <c r="B45" s="20"/>
      <c r="C45" s="5" t="s">
        <v>207</v>
      </c>
      <c r="D45" s="6" t="s">
        <v>192</v>
      </c>
      <c r="E45" s="11">
        <v>3.875E-3</v>
      </c>
      <c r="F45" s="1"/>
      <c r="G45" s="1"/>
      <c r="H45" s="1"/>
      <c r="I45" s="1"/>
      <c r="J45" s="1"/>
      <c r="K45" s="1"/>
      <c r="L45" s="1"/>
      <c r="M45" s="1"/>
      <c r="N45" s="18"/>
    </row>
    <row r="46" spans="2:14" ht="15" customHeight="1" x14ac:dyDescent="0.25">
      <c r="B46" s="20"/>
      <c r="C46" s="5" t="s">
        <v>204</v>
      </c>
      <c r="D46" s="6" t="s">
        <v>192</v>
      </c>
      <c r="E46" s="11">
        <v>2.9589999999999998E-3</v>
      </c>
      <c r="F46" s="1"/>
      <c r="G46" s="1"/>
      <c r="H46" s="1"/>
      <c r="I46" s="1"/>
      <c r="J46" s="1"/>
      <c r="K46" s="1"/>
      <c r="L46" s="1"/>
      <c r="M46" s="1"/>
      <c r="N46" s="18"/>
    </row>
    <row r="47" spans="2:14" ht="15" customHeight="1" x14ac:dyDescent="0.25">
      <c r="B47" s="20"/>
      <c r="C47" s="5" t="s">
        <v>200</v>
      </c>
      <c r="D47" s="6" t="s">
        <v>192</v>
      </c>
      <c r="E47" s="11">
        <v>1.9780000000000002E-3</v>
      </c>
      <c r="F47" s="1"/>
      <c r="G47" s="1"/>
      <c r="H47" s="1"/>
      <c r="I47" s="1"/>
      <c r="J47" s="1"/>
      <c r="K47" s="1"/>
      <c r="L47" s="1"/>
      <c r="M47" s="1"/>
      <c r="N47" s="18"/>
    </row>
    <row r="48" spans="2:14" ht="15" customHeight="1" x14ac:dyDescent="0.25">
      <c r="B48" s="20"/>
      <c r="C48" s="5" t="s">
        <v>210</v>
      </c>
      <c r="D48" s="6" t="s">
        <v>192</v>
      </c>
      <c r="E48" s="11">
        <v>1.9710000000000001E-3</v>
      </c>
      <c r="F48" s="1"/>
      <c r="G48" s="1"/>
      <c r="H48" s="1"/>
      <c r="I48" s="1"/>
      <c r="J48" s="1"/>
      <c r="K48" s="1"/>
      <c r="L48" s="1"/>
      <c r="M48" s="1"/>
      <c r="N48" s="18"/>
    </row>
    <row r="49" spans="2:14" ht="15" customHeight="1" x14ac:dyDescent="0.25">
      <c r="B49" s="20"/>
      <c r="C49" s="7" t="s">
        <v>55</v>
      </c>
      <c r="D49" s="8"/>
      <c r="E49" s="12">
        <v>0.136604</v>
      </c>
      <c r="F49" s="1"/>
      <c r="G49" s="1"/>
      <c r="H49" s="1"/>
      <c r="I49" s="1"/>
      <c r="J49" s="1"/>
      <c r="K49" s="1"/>
      <c r="L49" s="1"/>
      <c r="M49" s="1"/>
      <c r="N49" s="18"/>
    </row>
    <row r="50" spans="2:14" ht="15" customHeight="1" x14ac:dyDescent="0.25">
      <c r="B50" s="20"/>
      <c r="C50" s="5" t="s">
        <v>9</v>
      </c>
      <c r="D50" s="6"/>
      <c r="E50" s="11">
        <v>2.605E-2</v>
      </c>
      <c r="F50" s="1"/>
      <c r="G50" s="1"/>
      <c r="H50" s="1"/>
      <c r="I50" s="1"/>
      <c r="J50" s="1"/>
      <c r="K50" s="1"/>
      <c r="L50" s="1"/>
      <c r="M50" s="1"/>
      <c r="N50" s="18"/>
    </row>
    <row r="51" spans="2:14" ht="15" customHeight="1" x14ac:dyDescent="0.25">
      <c r="B51" s="20"/>
      <c r="C51" s="7" t="s">
        <v>10</v>
      </c>
      <c r="D51" s="8"/>
      <c r="E51" s="12">
        <v>2.605E-2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7" t="s">
        <v>11</v>
      </c>
      <c r="D53" s="8"/>
      <c r="E53" s="12">
        <v>-4.0586999999999998E-2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12</v>
      </c>
      <c r="D55" s="10"/>
      <c r="E55" s="13">
        <v>1</v>
      </c>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thickBot="1" x14ac:dyDescent="0.3">
      <c r="B57" s="21"/>
      <c r="C57" s="22"/>
      <c r="D57" s="22"/>
      <c r="E57" s="22"/>
      <c r="F57" s="22"/>
      <c r="G57" s="22"/>
      <c r="H57" s="22"/>
      <c r="I57" s="22"/>
      <c r="J57" s="22"/>
      <c r="K57" s="22"/>
      <c r="L57" s="22"/>
      <c r="M57" s="22"/>
      <c r="N57" s="23"/>
    </row>
    <row r="58" spans="2:14" ht="15" customHeight="1" thickBot="1" x14ac:dyDescent="0.3"/>
    <row r="59" spans="2:14" ht="15" customHeight="1" x14ac:dyDescent="0.25">
      <c r="B59" s="68" t="s">
        <v>268</v>
      </c>
      <c r="C59" s="69"/>
      <c r="D59" s="69"/>
      <c r="E59" s="69"/>
      <c r="F59" s="69"/>
      <c r="G59" s="69"/>
      <c r="H59" s="69"/>
      <c r="I59" s="69"/>
      <c r="J59" s="69"/>
      <c r="K59" s="69"/>
      <c r="L59" s="69"/>
      <c r="M59" s="69"/>
      <c r="N59" s="70"/>
    </row>
    <row r="60" spans="2:14" ht="15" customHeight="1" x14ac:dyDescent="0.25">
      <c r="B60" s="71"/>
      <c r="C60" s="72"/>
      <c r="D60" s="72"/>
      <c r="E60" s="72"/>
      <c r="F60" s="72"/>
      <c r="G60" s="72"/>
      <c r="H60" s="72"/>
      <c r="I60" s="72"/>
      <c r="J60" s="72"/>
      <c r="K60" s="72"/>
      <c r="L60" s="72"/>
      <c r="M60" s="72"/>
      <c r="N60" s="73"/>
    </row>
    <row r="61" spans="2:14" ht="15" customHeight="1" x14ac:dyDescent="0.25">
      <c r="B61" s="71"/>
      <c r="C61" s="72"/>
      <c r="D61" s="72"/>
      <c r="E61" s="72"/>
      <c r="F61" s="72"/>
      <c r="G61" s="72"/>
      <c r="H61" s="72"/>
      <c r="I61" s="72"/>
      <c r="J61" s="72"/>
      <c r="K61" s="72"/>
      <c r="L61" s="72"/>
      <c r="M61" s="72"/>
      <c r="N61" s="73"/>
    </row>
    <row r="62" spans="2:14" ht="15" customHeight="1" thickBot="1" x14ac:dyDescent="0.3">
      <c r="B62" s="74"/>
      <c r="C62" s="75"/>
      <c r="D62" s="75"/>
      <c r="E62" s="75"/>
      <c r="F62" s="75"/>
      <c r="G62" s="75"/>
      <c r="H62" s="75"/>
      <c r="I62" s="75"/>
      <c r="J62" s="75"/>
      <c r="K62" s="75"/>
      <c r="L62" s="75"/>
      <c r="M62" s="75"/>
      <c r="N62" s="76"/>
    </row>
    <row r="63" spans="2:14" ht="15" customHeight="1" thickBot="1" x14ac:dyDescent="0.3"/>
    <row r="64" spans="2:14" ht="124.5" customHeight="1" thickBot="1" x14ac:dyDescent="0.3">
      <c r="B64" s="77" t="s">
        <v>269</v>
      </c>
      <c r="C64" s="78"/>
      <c r="D64" s="78"/>
      <c r="E64" s="78"/>
      <c r="F64" s="78"/>
      <c r="G64" s="78"/>
      <c r="H64" s="78"/>
      <c r="I64" s="78"/>
      <c r="J64" s="78"/>
      <c r="K64" s="78"/>
      <c r="L64" s="78"/>
      <c r="M64" s="78"/>
      <c r="N64" s="79"/>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sheetData>
  <sortState ref="C37:E48">
    <sortCondition descending="1" ref="E37"/>
  </sortState>
  <mergeCells count="7">
    <mergeCell ref="B59:N62"/>
    <mergeCell ref="B64:N64"/>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AB7A-AB7B-4801-BA2E-C13E573B7E2F}">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189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190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43</v>
      </c>
      <c r="D8" s="6" t="s">
        <v>23</v>
      </c>
      <c r="E8" s="11">
        <v>4.4524000000000001E-2</v>
      </c>
      <c r="F8" s="1"/>
      <c r="G8" s="24" t="s">
        <v>16</v>
      </c>
      <c r="H8" s="29">
        <v>0.97213499999999997</v>
      </c>
      <c r="I8" s="1"/>
      <c r="J8" s="24" t="s">
        <v>13</v>
      </c>
      <c r="K8" s="24" t="s">
        <v>5</v>
      </c>
      <c r="L8" s="1"/>
      <c r="M8" s="1"/>
      <c r="N8" s="18"/>
    </row>
    <row r="9" spans="2:14" ht="15" customHeight="1" x14ac:dyDescent="0.25">
      <c r="B9" s="20"/>
      <c r="C9" s="5" t="s">
        <v>25</v>
      </c>
      <c r="D9" s="6" t="s">
        <v>23</v>
      </c>
      <c r="E9" s="11">
        <v>4.3485999999999997E-2</v>
      </c>
      <c r="F9" s="1"/>
      <c r="G9" s="24" t="s">
        <v>98</v>
      </c>
      <c r="H9" s="29">
        <v>2.7865000000000001E-2</v>
      </c>
      <c r="I9" s="1"/>
      <c r="J9" s="24" t="s">
        <v>11</v>
      </c>
      <c r="K9" s="29">
        <v>1.4735E-2</v>
      </c>
      <c r="L9" s="1"/>
      <c r="M9" s="1"/>
      <c r="N9" s="18"/>
    </row>
    <row r="10" spans="2:14" ht="15" customHeight="1" x14ac:dyDescent="0.25">
      <c r="B10" s="20"/>
      <c r="C10" s="5" t="s">
        <v>175</v>
      </c>
      <c r="D10" s="6" t="s">
        <v>23</v>
      </c>
      <c r="E10" s="11">
        <v>6.0850000000000001E-3</v>
      </c>
      <c r="F10" s="1"/>
      <c r="G10" s="1"/>
      <c r="H10" s="1"/>
      <c r="I10" s="1"/>
      <c r="J10" s="24" t="s">
        <v>14</v>
      </c>
      <c r="K10" s="29">
        <v>0.14127300000000001</v>
      </c>
      <c r="L10" s="1"/>
      <c r="M10" s="1"/>
      <c r="N10" s="18"/>
    </row>
    <row r="11" spans="2:14" ht="15" customHeight="1" x14ac:dyDescent="0.25">
      <c r="B11" s="20"/>
      <c r="C11" s="5" t="s">
        <v>22</v>
      </c>
      <c r="D11" s="6" t="s">
        <v>23</v>
      </c>
      <c r="E11" s="11">
        <v>3.7209999999999999E-3</v>
      </c>
      <c r="F11" s="1"/>
      <c r="G11" s="1"/>
      <c r="H11" s="1"/>
      <c r="I11" s="1"/>
      <c r="J11" s="24" t="s">
        <v>56</v>
      </c>
      <c r="K11" s="29">
        <v>9.7816E-2</v>
      </c>
      <c r="L11" s="1"/>
      <c r="M11" s="1"/>
      <c r="N11" s="18"/>
    </row>
    <row r="12" spans="2:14" ht="15.75" customHeight="1" x14ac:dyDescent="0.25">
      <c r="B12" s="20"/>
      <c r="C12" s="7" t="s">
        <v>27</v>
      </c>
      <c r="D12" s="8"/>
      <c r="E12" s="12">
        <v>9.7816E-2</v>
      </c>
      <c r="F12" s="1"/>
      <c r="G12" s="1"/>
      <c r="H12" s="1"/>
      <c r="I12" s="1"/>
      <c r="J12" s="24" t="s">
        <v>57</v>
      </c>
      <c r="K12" s="29">
        <v>0.63495299999999999</v>
      </c>
      <c r="L12" s="1"/>
      <c r="M12" s="1"/>
      <c r="N12" s="18"/>
    </row>
    <row r="13" spans="2:14" ht="15" customHeight="1" x14ac:dyDescent="0.25">
      <c r="B13" s="20"/>
      <c r="C13" s="5" t="s">
        <v>34</v>
      </c>
      <c r="D13" s="6" t="s">
        <v>23</v>
      </c>
      <c r="E13" s="11">
        <v>1.8988000000000001E-2</v>
      </c>
      <c r="F13" s="1"/>
      <c r="G13" s="1"/>
      <c r="H13" s="1"/>
      <c r="I13" s="1"/>
      <c r="J13" s="24" t="s">
        <v>160</v>
      </c>
      <c r="K13" s="29">
        <v>3.2495000000000003E-2</v>
      </c>
      <c r="L13" s="1"/>
      <c r="M13" s="1"/>
      <c r="N13" s="18"/>
    </row>
    <row r="14" spans="2:14" ht="15" customHeight="1" x14ac:dyDescent="0.25">
      <c r="B14" s="20"/>
      <c r="C14" s="5" t="s">
        <v>73</v>
      </c>
      <c r="D14" s="6" t="s">
        <v>23</v>
      </c>
      <c r="E14" s="11">
        <v>9.894E-3</v>
      </c>
      <c r="F14" s="1"/>
      <c r="G14" s="1"/>
      <c r="H14" s="1"/>
      <c r="I14" s="1"/>
      <c r="J14" s="24" t="s">
        <v>45</v>
      </c>
      <c r="K14" s="29">
        <v>2.5709999999999999E-3</v>
      </c>
      <c r="L14" s="1"/>
      <c r="M14" s="1"/>
      <c r="N14" s="18"/>
    </row>
    <row r="15" spans="2:14" ht="15" customHeight="1" x14ac:dyDescent="0.25">
      <c r="B15" s="20"/>
      <c r="C15" s="5" t="s">
        <v>146</v>
      </c>
      <c r="D15" s="6" t="s">
        <v>23</v>
      </c>
      <c r="E15" s="11">
        <v>3.6129999999999999E-3</v>
      </c>
      <c r="F15" s="1"/>
      <c r="G15" s="1"/>
      <c r="H15" s="1"/>
      <c r="I15" s="1"/>
      <c r="J15" s="24" t="s">
        <v>161</v>
      </c>
      <c r="K15" s="29">
        <v>7.0069999999999993E-2</v>
      </c>
      <c r="L15" s="1"/>
      <c r="M15" s="1"/>
      <c r="N15" s="18"/>
    </row>
    <row r="16" spans="2:14" ht="15.75" customHeight="1" x14ac:dyDescent="0.25">
      <c r="B16" s="20"/>
      <c r="C16" s="7" t="s">
        <v>147</v>
      </c>
      <c r="D16" s="8"/>
      <c r="E16" s="12">
        <v>3.2495000000000003E-2</v>
      </c>
      <c r="F16" s="1"/>
      <c r="G16" s="1"/>
      <c r="H16" s="1"/>
      <c r="I16" s="1"/>
      <c r="J16" s="24" t="s">
        <v>81</v>
      </c>
      <c r="K16" s="29">
        <v>6.0870000000000004E-3</v>
      </c>
      <c r="L16" s="1"/>
      <c r="M16" s="1"/>
      <c r="N16" s="18"/>
    </row>
    <row r="17" spans="2:14" ht="15" customHeight="1" x14ac:dyDescent="0.25">
      <c r="B17" s="20"/>
      <c r="C17" s="5" t="s">
        <v>32</v>
      </c>
      <c r="D17" s="6" t="s">
        <v>29</v>
      </c>
      <c r="E17" s="11">
        <v>0.110429</v>
      </c>
      <c r="F17" s="1"/>
      <c r="G17" s="1"/>
      <c r="H17" s="1"/>
      <c r="I17" s="1"/>
      <c r="J17" s="1"/>
      <c r="K17" s="1"/>
      <c r="L17" s="1"/>
      <c r="M17" s="1"/>
      <c r="N17" s="18"/>
    </row>
    <row r="18" spans="2:14" ht="15" customHeight="1" x14ac:dyDescent="0.25">
      <c r="B18" s="20"/>
      <c r="C18" s="5" t="s">
        <v>30</v>
      </c>
      <c r="D18" s="6" t="s">
        <v>29</v>
      </c>
      <c r="E18" s="11">
        <v>0.102716</v>
      </c>
      <c r="F18" s="1"/>
      <c r="G18" s="1"/>
      <c r="H18" s="1"/>
      <c r="I18" s="1"/>
      <c r="J18" s="1"/>
      <c r="K18" s="1"/>
      <c r="L18" s="1"/>
      <c r="M18" s="1"/>
      <c r="N18" s="18"/>
    </row>
    <row r="19" spans="2:14" ht="15" customHeight="1" x14ac:dyDescent="0.25">
      <c r="B19" s="20"/>
      <c r="C19" s="5" t="s">
        <v>26</v>
      </c>
      <c r="D19" s="6" t="s">
        <v>29</v>
      </c>
      <c r="E19" s="11">
        <v>0.10080500000000001</v>
      </c>
      <c r="F19" s="1"/>
      <c r="G19" s="1"/>
      <c r="H19" s="1"/>
      <c r="I19" s="1"/>
      <c r="J19" s="1"/>
      <c r="K19" s="1"/>
      <c r="L19" s="1"/>
      <c r="M19" s="1"/>
      <c r="N19" s="18"/>
    </row>
    <row r="20" spans="2:14" ht="15" customHeight="1" x14ac:dyDescent="0.25">
      <c r="B20" s="20"/>
      <c r="C20" s="5" t="s">
        <v>33</v>
      </c>
      <c r="D20" s="6" t="s">
        <v>29</v>
      </c>
      <c r="E20" s="11">
        <v>8.9320999999999998E-2</v>
      </c>
      <c r="F20" s="1"/>
      <c r="G20" s="1"/>
      <c r="H20" s="1"/>
      <c r="I20" s="1"/>
      <c r="J20" s="1"/>
      <c r="K20" s="1"/>
      <c r="L20" s="1"/>
      <c r="M20" s="1"/>
      <c r="N20" s="18"/>
    </row>
    <row r="21" spans="2:14" ht="15" customHeight="1" x14ac:dyDescent="0.25">
      <c r="B21" s="20"/>
      <c r="C21" s="5" t="s">
        <v>28</v>
      </c>
      <c r="D21" s="6" t="s">
        <v>29</v>
      </c>
      <c r="E21" s="11">
        <v>7.4812000000000003E-2</v>
      </c>
      <c r="F21" s="1"/>
      <c r="G21" s="1"/>
      <c r="H21" s="1"/>
      <c r="I21" s="1"/>
      <c r="J21" s="1"/>
      <c r="K21" s="1"/>
      <c r="L21" s="1"/>
      <c r="M21" s="1"/>
      <c r="N21" s="18"/>
    </row>
    <row r="22" spans="2:14" ht="15" customHeight="1" x14ac:dyDescent="0.25">
      <c r="B22" s="20"/>
      <c r="C22" s="5" t="s">
        <v>73</v>
      </c>
      <c r="D22" s="6" t="s">
        <v>29</v>
      </c>
      <c r="E22" s="11">
        <v>3.7843000000000002E-2</v>
      </c>
      <c r="F22" s="1"/>
      <c r="G22" s="1"/>
      <c r="H22" s="1"/>
      <c r="I22" s="1"/>
      <c r="J22" s="1"/>
      <c r="K22" s="1"/>
      <c r="L22" s="1"/>
      <c r="M22" s="1"/>
      <c r="N22" s="18"/>
    </row>
    <row r="23" spans="2:14" ht="15" customHeight="1" x14ac:dyDescent="0.25">
      <c r="B23" s="20"/>
      <c r="C23" s="5" t="s">
        <v>128</v>
      </c>
      <c r="D23" s="6" t="s">
        <v>89</v>
      </c>
      <c r="E23" s="11">
        <v>2.7865000000000001E-2</v>
      </c>
      <c r="F23" s="1"/>
      <c r="G23" s="1"/>
      <c r="H23" s="1"/>
      <c r="I23" s="1"/>
      <c r="J23" s="1"/>
      <c r="K23" s="1"/>
      <c r="L23" s="1"/>
      <c r="M23" s="1"/>
      <c r="N23" s="18"/>
    </row>
    <row r="24" spans="2:14" ht="15" customHeight="1" x14ac:dyDescent="0.25">
      <c r="B24" s="20"/>
      <c r="C24" s="5" t="s">
        <v>34</v>
      </c>
      <c r="D24" s="6" t="s">
        <v>29</v>
      </c>
      <c r="E24" s="11">
        <v>2.7795E-2</v>
      </c>
      <c r="F24" s="1"/>
      <c r="G24" s="85" t="s">
        <v>120</v>
      </c>
      <c r="H24" s="86"/>
      <c r="I24" s="86"/>
      <c r="J24" s="86"/>
      <c r="K24" s="86"/>
      <c r="L24" s="35">
        <v>171.57881835586957</v>
      </c>
      <c r="M24" s="27"/>
      <c r="N24" s="28"/>
    </row>
    <row r="25" spans="2:14" ht="15" customHeight="1" x14ac:dyDescent="0.25">
      <c r="B25" s="20"/>
      <c r="C25" s="5" t="s">
        <v>72</v>
      </c>
      <c r="D25" s="6" t="s">
        <v>29</v>
      </c>
      <c r="E25" s="11">
        <v>2.1568E-2</v>
      </c>
      <c r="F25" s="1"/>
      <c r="G25" s="1"/>
      <c r="H25" s="1"/>
      <c r="I25" s="1"/>
      <c r="J25" s="1"/>
      <c r="K25" s="1"/>
      <c r="L25" s="1"/>
      <c r="M25" s="1"/>
      <c r="N25" s="18"/>
    </row>
    <row r="26" spans="2:14" ht="15" customHeight="1" x14ac:dyDescent="0.25">
      <c r="B26" s="20"/>
      <c r="C26" s="5" t="s">
        <v>39</v>
      </c>
      <c r="D26" s="6" t="s">
        <v>29</v>
      </c>
      <c r="E26" s="11">
        <v>1.5191E-2</v>
      </c>
      <c r="F26" s="1"/>
      <c r="G26" s="85" t="s">
        <v>19</v>
      </c>
      <c r="H26" s="86"/>
      <c r="I26" s="86"/>
      <c r="J26" s="86"/>
      <c r="K26" s="86"/>
      <c r="L26" s="86"/>
      <c r="M26" s="86"/>
      <c r="N26" s="87"/>
    </row>
    <row r="27" spans="2:14" ht="15" customHeight="1" x14ac:dyDescent="0.25">
      <c r="B27" s="20"/>
      <c r="C27" s="5" t="s">
        <v>40</v>
      </c>
      <c r="D27" s="6" t="s">
        <v>29</v>
      </c>
      <c r="E27" s="11">
        <v>6.3670000000000003E-3</v>
      </c>
      <c r="F27" s="1"/>
      <c r="G27" s="1"/>
      <c r="H27" s="1"/>
      <c r="I27" s="1"/>
      <c r="J27" s="1"/>
      <c r="K27" s="1"/>
      <c r="L27" s="1"/>
      <c r="M27" s="1"/>
      <c r="N27" s="18"/>
    </row>
    <row r="28" spans="2:14" ht="15" customHeight="1" x14ac:dyDescent="0.25">
      <c r="B28" s="20"/>
      <c r="C28" s="5" t="s">
        <v>68</v>
      </c>
      <c r="D28" s="6" t="s">
        <v>29</v>
      </c>
      <c r="E28" s="11">
        <v>6.3369999999999998E-3</v>
      </c>
      <c r="F28" s="1"/>
      <c r="G28" s="1"/>
      <c r="H28" s="1"/>
      <c r="I28" s="1"/>
      <c r="J28" s="1"/>
      <c r="K28" s="1"/>
      <c r="L28" s="1"/>
      <c r="M28" s="1"/>
      <c r="N28" s="18"/>
    </row>
    <row r="29" spans="2:14" ht="15" customHeight="1" x14ac:dyDescent="0.25">
      <c r="B29" s="20"/>
      <c r="C29" s="5" t="s">
        <v>31</v>
      </c>
      <c r="D29" s="6" t="s">
        <v>29</v>
      </c>
      <c r="E29" s="11">
        <v>6.3330000000000001E-3</v>
      </c>
      <c r="F29" s="1"/>
      <c r="G29" s="1"/>
      <c r="H29" s="1"/>
      <c r="I29" s="1"/>
      <c r="J29" s="1"/>
      <c r="K29" s="1"/>
      <c r="L29" s="1"/>
      <c r="M29" s="1"/>
      <c r="N29" s="18"/>
    </row>
    <row r="30" spans="2:14" ht="15" customHeight="1" x14ac:dyDescent="0.25">
      <c r="B30" s="20"/>
      <c r="C30" s="5" t="s">
        <v>142</v>
      </c>
      <c r="D30" s="6" t="s">
        <v>29</v>
      </c>
      <c r="E30" s="11">
        <v>6.3150000000000003E-3</v>
      </c>
      <c r="F30" s="1"/>
      <c r="G30" s="1"/>
      <c r="H30" s="1"/>
      <c r="I30" s="1"/>
      <c r="J30" s="1"/>
      <c r="K30" s="1"/>
      <c r="L30" s="1"/>
      <c r="M30" s="1"/>
      <c r="N30" s="18"/>
    </row>
    <row r="31" spans="2:14" ht="15" customHeight="1" x14ac:dyDescent="0.25">
      <c r="B31" s="20"/>
      <c r="C31" s="5" t="s">
        <v>145</v>
      </c>
      <c r="D31" s="6" t="s">
        <v>29</v>
      </c>
      <c r="E31" s="11">
        <v>1.256E-3</v>
      </c>
      <c r="F31" s="1"/>
      <c r="G31" s="1"/>
      <c r="H31" s="1"/>
      <c r="I31" s="1"/>
      <c r="J31" s="1"/>
      <c r="K31" s="1"/>
      <c r="L31" s="1"/>
      <c r="M31" s="1"/>
      <c r="N31" s="18"/>
    </row>
    <row r="32" spans="2:14" ht="15.75" customHeight="1" x14ac:dyDescent="0.25">
      <c r="B32" s="20"/>
      <c r="C32" s="7" t="s">
        <v>44</v>
      </c>
      <c r="D32" s="8"/>
      <c r="E32" s="12">
        <v>0.63495299999999999</v>
      </c>
      <c r="F32" s="1"/>
      <c r="G32" s="1"/>
      <c r="H32" s="1"/>
      <c r="I32" s="1"/>
      <c r="J32" s="1"/>
      <c r="K32" s="1"/>
      <c r="L32" s="1"/>
      <c r="M32" s="1"/>
      <c r="N32" s="18"/>
    </row>
    <row r="33" spans="2:14" ht="15" customHeight="1" x14ac:dyDescent="0.25">
      <c r="B33" s="20"/>
      <c r="C33" s="5" t="s">
        <v>45</v>
      </c>
      <c r="D33" s="6"/>
      <c r="E33" s="11">
        <v>2.5709999999999999E-3</v>
      </c>
      <c r="F33" s="1"/>
      <c r="G33" s="1"/>
      <c r="H33" s="1"/>
      <c r="I33" s="1"/>
      <c r="J33" s="1"/>
      <c r="K33" s="1"/>
      <c r="L33" s="1"/>
      <c r="M33" s="1"/>
      <c r="N33" s="18"/>
    </row>
    <row r="34" spans="2:14" ht="15.75" customHeight="1" x14ac:dyDescent="0.25">
      <c r="B34" s="20"/>
      <c r="C34" s="7" t="s">
        <v>46</v>
      </c>
      <c r="D34" s="8"/>
      <c r="E34" s="12">
        <v>2.5709999999999999E-3</v>
      </c>
      <c r="F34" s="1"/>
      <c r="G34" s="1"/>
      <c r="H34" s="1"/>
      <c r="I34" s="1"/>
      <c r="J34" s="1"/>
      <c r="K34" s="1"/>
      <c r="L34" s="1"/>
      <c r="M34" s="1"/>
      <c r="N34" s="18"/>
    </row>
    <row r="35" spans="2:14" ht="15" customHeight="1" x14ac:dyDescent="0.25">
      <c r="B35" s="20"/>
      <c r="C35" s="5" t="s">
        <v>170</v>
      </c>
      <c r="D35" s="6" t="s">
        <v>192</v>
      </c>
      <c r="E35" s="11">
        <v>3.7946000000000001E-2</v>
      </c>
      <c r="F35" s="1"/>
      <c r="G35" s="1"/>
      <c r="H35" s="1"/>
      <c r="I35" s="1"/>
      <c r="J35" s="1"/>
      <c r="K35" s="1"/>
      <c r="L35" s="1"/>
      <c r="M35" s="1"/>
      <c r="N35" s="18"/>
    </row>
    <row r="36" spans="2:14" ht="15" customHeight="1" x14ac:dyDescent="0.25">
      <c r="B36" s="20"/>
      <c r="C36" s="5" t="s">
        <v>169</v>
      </c>
      <c r="D36" s="6" t="s">
        <v>192</v>
      </c>
      <c r="E36" s="11">
        <v>3.1741999999999999E-2</v>
      </c>
      <c r="F36" s="1"/>
      <c r="G36" s="1"/>
      <c r="H36" s="1"/>
      <c r="I36" s="1"/>
      <c r="J36" s="1"/>
      <c r="K36" s="1"/>
      <c r="L36" s="1"/>
      <c r="M36" s="1"/>
      <c r="N36" s="18"/>
    </row>
    <row r="37" spans="2:14" ht="15" customHeight="1" x14ac:dyDescent="0.25">
      <c r="B37" s="20"/>
      <c r="C37" s="5" t="s">
        <v>172</v>
      </c>
      <c r="D37" s="6" t="s">
        <v>192</v>
      </c>
      <c r="E37" s="11">
        <v>3.8200000000000002E-4</v>
      </c>
      <c r="F37" s="1"/>
      <c r="G37" s="1"/>
      <c r="H37" s="1"/>
      <c r="I37" s="1"/>
      <c r="J37" s="1"/>
      <c r="K37" s="1"/>
      <c r="L37" s="1"/>
      <c r="M37" s="1"/>
      <c r="N37" s="18"/>
    </row>
    <row r="38" spans="2:14" ht="15.75" customHeight="1" x14ac:dyDescent="0.25">
      <c r="B38" s="20"/>
      <c r="C38" s="7" t="s">
        <v>159</v>
      </c>
      <c r="D38" s="8"/>
      <c r="E38" s="12">
        <v>7.0069999999999993E-2</v>
      </c>
      <c r="F38" s="1"/>
      <c r="G38" s="1"/>
      <c r="H38" s="1"/>
      <c r="I38" s="1"/>
      <c r="J38" s="1"/>
      <c r="K38" s="1"/>
      <c r="L38" s="1"/>
      <c r="M38" s="1"/>
      <c r="N38" s="18"/>
    </row>
    <row r="39" spans="2:14" ht="15" customHeight="1" x14ac:dyDescent="0.25">
      <c r="B39" s="20"/>
      <c r="C39" s="5" t="s">
        <v>9</v>
      </c>
      <c r="D39" s="6"/>
      <c r="E39" s="11">
        <v>0.14127300000000001</v>
      </c>
      <c r="F39" s="1"/>
      <c r="G39" s="1"/>
      <c r="H39" s="1"/>
      <c r="I39" s="1"/>
      <c r="J39" s="1"/>
      <c r="K39" s="1"/>
      <c r="L39" s="1"/>
      <c r="M39" s="1"/>
      <c r="N39" s="18"/>
    </row>
    <row r="40" spans="2:14" ht="15.75" customHeight="1" x14ac:dyDescent="0.25">
      <c r="B40" s="20"/>
      <c r="C40" s="7" t="s">
        <v>10</v>
      </c>
      <c r="D40" s="8"/>
      <c r="E40" s="12">
        <v>0.14127300000000001</v>
      </c>
      <c r="F40" s="1"/>
      <c r="G40" s="1"/>
      <c r="H40" s="1"/>
      <c r="I40" s="1"/>
      <c r="J40" s="1"/>
      <c r="K40" s="1"/>
      <c r="L40" s="1"/>
      <c r="M40" s="1"/>
      <c r="N40" s="18"/>
    </row>
    <row r="41" spans="2:14" ht="15" customHeight="1" x14ac:dyDescent="0.25">
      <c r="B41" s="20"/>
      <c r="C41" s="5" t="s">
        <v>73</v>
      </c>
      <c r="D41" s="6" t="s">
        <v>29</v>
      </c>
      <c r="E41" s="11">
        <v>6.0870000000000004E-3</v>
      </c>
      <c r="F41" s="1"/>
      <c r="G41" s="1"/>
      <c r="H41" s="1"/>
      <c r="I41" s="1"/>
      <c r="J41" s="1"/>
      <c r="K41" s="1"/>
      <c r="L41" s="1"/>
      <c r="M41" s="1"/>
      <c r="N41" s="18"/>
    </row>
    <row r="42" spans="2:14" ht="15.75" customHeight="1" x14ac:dyDescent="0.25">
      <c r="B42" s="20"/>
      <c r="C42" s="7" t="s">
        <v>80</v>
      </c>
      <c r="D42" s="8"/>
      <c r="E42" s="12">
        <v>6.0870000000000004E-3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11</v>
      </c>
      <c r="D44" s="8"/>
      <c r="E44" s="12">
        <v>1.4735E-2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12</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68" t="s">
        <v>268</v>
      </c>
      <c r="C50" s="69"/>
      <c r="D50" s="69"/>
      <c r="E50" s="69"/>
      <c r="F50" s="69"/>
      <c r="G50" s="69"/>
      <c r="H50" s="69"/>
      <c r="I50" s="69"/>
      <c r="J50" s="69"/>
      <c r="K50" s="69"/>
      <c r="L50" s="69"/>
      <c r="M50" s="69"/>
      <c r="N50" s="70"/>
    </row>
    <row r="51" spans="2:14" ht="15" customHeight="1" x14ac:dyDescent="0.25">
      <c r="B51" s="71"/>
      <c r="C51" s="72"/>
      <c r="D51" s="72"/>
      <c r="E51" s="72"/>
      <c r="F51" s="72"/>
      <c r="G51" s="72"/>
      <c r="H51" s="72"/>
      <c r="I51" s="72"/>
      <c r="J51" s="72"/>
      <c r="K51" s="72"/>
      <c r="L51" s="72"/>
      <c r="M51" s="72"/>
      <c r="N51" s="73"/>
    </row>
    <row r="52" spans="2:14" ht="15" customHeight="1" x14ac:dyDescent="0.25">
      <c r="B52" s="71"/>
      <c r="C52" s="72"/>
      <c r="D52" s="72"/>
      <c r="E52" s="72"/>
      <c r="F52" s="72"/>
      <c r="G52" s="72"/>
      <c r="H52" s="72"/>
      <c r="I52" s="72"/>
      <c r="J52" s="72"/>
      <c r="K52" s="72"/>
      <c r="L52" s="72"/>
      <c r="M52" s="72"/>
      <c r="N52" s="73"/>
    </row>
    <row r="53" spans="2:14" ht="15" customHeight="1" thickBot="1" x14ac:dyDescent="0.3">
      <c r="B53" s="74"/>
      <c r="C53" s="75"/>
      <c r="D53" s="75"/>
      <c r="E53" s="75"/>
      <c r="F53" s="75"/>
      <c r="G53" s="75"/>
      <c r="H53" s="75"/>
      <c r="I53" s="75"/>
      <c r="J53" s="75"/>
      <c r="K53" s="75"/>
      <c r="L53" s="75"/>
      <c r="M53" s="75"/>
      <c r="N53" s="76"/>
    </row>
    <row r="54" spans="2:14" ht="15" customHeight="1" thickBot="1" x14ac:dyDescent="0.3"/>
    <row r="55" spans="2:14" ht="121.5" customHeight="1" thickBot="1" x14ac:dyDescent="0.3">
      <c r="B55" s="77" t="s">
        <v>269</v>
      </c>
      <c r="C55" s="78"/>
      <c r="D55" s="78"/>
      <c r="E55" s="78"/>
      <c r="F55" s="78"/>
      <c r="G55" s="78"/>
      <c r="H55" s="78"/>
      <c r="I55" s="78"/>
      <c r="J55" s="78"/>
      <c r="K55" s="78"/>
      <c r="L55" s="78"/>
      <c r="M55" s="78"/>
      <c r="N55" s="79"/>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BCBCF-4D23-4B05-BBD6-AC94C2527C99}">
  <dimension ref="B1:N45"/>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45</v>
      </c>
      <c r="D8" s="6"/>
      <c r="E8" s="11">
        <v>2.3999999999999998E-3</v>
      </c>
      <c r="F8" s="1"/>
      <c r="G8" s="24" t="s">
        <v>16</v>
      </c>
      <c r="H8" s="25">
        <v>1</v>
      </c>
      <c r="I8" s="1"/>
      <c r="J8" s="24" t="s">
        <v>13</v>
      </c>
      <c r="K8" s="24" t="s">
        <v>5</v>
      </c>
      <c r="L8" s="1"/>
      <c r="M8" s="1"/>
      <c r="N8" s="18"/>
    </row>
    <row r="9" spans="2:14" ht="15.75" customHeight="1" x14ac:dyDescent="0.25">
      <c r="B9" s="20"/>
      <c r="C9" s="7" t="s">
        <v>46</v>
      </c>
      <c r="D9" s="8"/>
      <c r="E9" s="12">
        <v>2.3999999999999998E-3</v>
      </c>
      <c r="F9" s="1"/>
      <c r="G9" s="1"/>
      <c r="H9" s="1"/>
      <c r="I9" s="1"/>
      <c r="J9" s="24" t="s">
        <v>11</v>
      </c>
      <c r="K9" s="29">
        <v>-1.0510000000000001E-3</v>
      </c>
      <c r="L9" s="1"/>
      <c r="M9" s="1"/>
      <c r="N9" s="18"/>
    </row>
    <row r="10" spans="2:14" ht="15" customHeight="1" x14ac:dyDescent="0.25">
      <c r="B10" s="20"/>
      <c r="C10" s="5" t="s">
        <v>63</v>
      </c>
      <c r="D10" s="6" t="s">
        <v>192</v>
      </c>
      <c r="E10" s="11">
        <v>0.99110500000000001</v>
      </c>
      <c r="F10" s="1"/>
      <c r="G10" s="1"/>
      <c r="H10" s="1"/>
      <c r="I10" s="1"/>
      <c r="J10" s="24" t="s">
        <v>14</v>
      </c>
      <c r="K10" s="29">
        <v>3.189E-3</v>
      </c>
      <c r="L10" s="1"/>
      <c r="M10" s="1"/>
      <c r="N10" s="18"/>
    </row>
    <row r="11" spans="2:14" ht="15" customHeight="1" x14ac:dyDescent="0.25">
      <c r="B11" s="20"/>
      <c r="C11" s="5" t="s">
        <v>62</v>
      </c>
      <c r="D11" s="6" t="s">
        <v>192</v>
      </c>
      <c r="E11" s="11">
        <v>4.2719999999999998E-3</v>
      </c>
      <c r="F11" s="1"/>
      <c r="G11" s="1"/>
      <c r="H11" s="1"/>
      <c r="I11" s="1"/>
      <c r="J11" s="24" t="s">
        <v>45</v>
      </c>
      <c r="K11" s="29">
        <v>2.3999999999999998E-3</v>
      </c>
      <c r="L11" s="1"/>
      <c r="M11" s="1"/>
      <c r="N11" s="18"/>
    </row>
    <row r="12" spans="2:14" ht="15" customHeight="1" x14ac:dyDescent="0.25">
      <c r="B12" s="20"/>
      <c r="C12" s="5" t="s">
        <v>125</v>
      </c>
      <c r="D12" s="6" t="s">
        <v>192</v>
      </c>
      <c r="E12" s="30">
        <v>4.3000000000000002E-5</v>
      </c>
      <c r="F12" s="1"/>
      <c r="G12" s="1"/>
      <c r="H12" s="1"/>
      <c r="I12" s="1"/>
      <c r="J12" s="24" t="s">
        <v>58</v>
      </c>
      <c r="K12" s="29">
        <v>0.99546199999999996</v>
      </c>
      <c r="L12" s="1"/>
      <c r="M12" s="1"/>
      <c r="N12" s="18"/>
    </row>
    <row r="13" spans="2:14" ht="15" customHeight="1" x14ac:dyDescent="0.25">
      <c r="B13" s="20"/>
      <c r="C13" s="5" t="s">
        <v>116</v>
      </c>
      <c r="D13" s="6" t="s">
        <v>192</v>
      </c>
      <c r="E13" s="30">
        <v>4.1999999999999998E-5</v>
      </c>
      <c r="F13" s="1"/>
      <c r="G13" s="1"/>
      <c r="H13" s="1"/>
      <c r="I13" s="1"/>
      <c r="J13" s="1"/>
      <c r="K13" s="1"/>
      <c r="L13" s="1"/>
      <c r="M13" s="1"/>
      <c r="N13" s="18"/>
    </row>
    <row r="14" spans="2:14" ht="15.75" customHeight="1" x14ac:dyDescent="0.25">
      <c r="B14" s="20"/>
      <c r="C14" s="7" t="s">
        <v>54</v>
      </c>
      <c r="D14" s="8"/>
      <c r="E14" s="12">
        <v>0.99546199999999996</v>
      </c>
      <c r="F14" s="1"/>
      <c r="G14" s="1"/>
      <c r="H14" s="1"/>
      <c r="I14" s="1"/>
      <c r="J14" s="1"/>
      <c r="K14" s="1"/>
      <c r="L14" s="1"/>
      <c r="M14" s="1"/>
      <c r="N14" s="18"/>
    </row>
    <row r="15" spans="2:14" ht="15" customHeight="1" x14ac:dyDescent="0.25">
      <c r="B15" s="20"/>
      <c r="C15" s="5" t="s">
        <v>9</v>
      </c>
      <c r="D15" s="6"/>
      <c r="E15" s="11">
        <v>3.189E-3</v>
      </c>
      <c r="F15" s="1"/>
      <c r="G15" s="1"/>
      <c r="H15" s="1"/>
      <c r="I15" s="1"/>
      <c r="J15" s="1"/>
      <c r="K15" s="1"/>
      <c r="L15" s="1"/>
      <c r="M15" s="1"/>
      <c r="N15" s="18"/>
    </row>
    <row r="16" spans="2:14" ht="15.75" customHeight="1" x14ac:dyDescent="0.25">
      <c r="B16" s="20"/>
      <c r="C16" s="7" t="s">
        <v>10</v>
      </c>
      <c r="D16" s="8"/>
      <c r="E16" s="12">
        <v>3.189E-3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-1.0510000000000001E-3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28.92630329144794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EE3A-2918-43B3-BC9D-9A6F10A750BD}">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60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61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30</v>
      </c>
      <c r="D8" s="6" t="s">
        <v>29</v>
      </c>
      <c r="E8" s="11">
        <v>0.10165200000000001</v>
      </c>
      <c r="F8" s="1"/>
      <c r="G8" s="24" t="s">
        <v>16</v>
      </c>
      <c r="H8" s="25">
        <v>1</v>
      </c>
      <c r="I8" s="1"/>
      <c r="J8" s="24" t="s">
        <v>13</v>
      </c>
      <c r="K8" s="24" t="s">
        <v>5</v>
      </c>
      <c r="L8" s="1"/>
      <c r="M8" s="1"/>
      <c r="N8" s="18"/>
    </row>
    <row r="9" spans="2:14" ht="15" customHeight="1" x14ac:dyDescent="0.25">
      <c r="B9" s="20"/>
      <c r="C9" s="5" t="s">
        <v>26</v>
      </c>
      <c r="D9" s="6" t="s">
        <v>29</v>
      </c>
      <c r="E9" s="11">
        <v>9.3128000000000002E-2</v>
      </c>
      <c r="F9" s="1"/>
      <c r="G9" s="1"/>
      <c r="H9" s="1"/>
      <c r="I9" s="1"/>
      <c r="J9" s="24" t="s">
        <v>11</v>
      </c>
      <c r="K9" s="29">
        <v>2.9037E-2</v>
      </c>
      <c r="L9" s="1"/>
      <c r="M9" s="1"/>
      <c r="N9" s="18"/>
    </row>
    <row r="10" spans="2:14" ht="15" customHeight="1" x14ac:dyDescent="0.25">
      <c r="B10" s="20"/>
      <c r="C10" s="5" t="s">
        <v>34</v>
      </c>
      <c r="D10" s="6" t="s">
        <v>29</v>
      </c>
      <c r="E10" s="11">
        <v>5.1046000000000001E-2</v>
      </c>
      <c r="F10" s="1"/>
      <c r="G10" s="1"/>
      <c r="H10" s="1"/>
      <c r="I10" s="1"/>
      <c r="J10" s="24" t="s">
        <v>14</v>
      </c>
      <c r="K10" s="29">
        <v>1.818E-3</v>
      </c>
      <c r="L10" s="1"/>
      <c r="M10" s="1"/>
      <c r="N10" s="18"/>
    </row>
    <row r="11" spans="2:14" ht="15" customHeight="1" x14ac:dyDescent="0.25">
      <c r="B11" s="20"/>
      <c r="C11" s="5" t="s">
        <v>33</v>
      </c>
      <c r="D11" s="6" t="s">
        <v>29</v>
      </c>
      <c r="E11" s="11">
        <v>3.9779999999999998E-3</v>
      </c>
      <c r="F11" s="1"/>
      <c r="G11" s="1"/>
      <c r="H11" s="1"/>
      <c r="I11" s="1"/>
      <c r="J11" s="24" t="s">
        <v>57</v>
      </c>
      <c r="K11" s="29">
        <v>0.249804</v>
      </c>
      <c r="L11" s="1"/>
      <c r="M11" s="1"/>
      <c r="N11" s="18"/>
    </row>
    <row r="12" spans="2:14" ht="15.75" customHeight="1" x14ac:dyDescent="0.25">
      <c r="B12" s="20"/>
      <c r="C12" s="7" t="s">
        <v>44</v>
      </c>
      <c r="D12" s="8"/>
      <c r="E12" s="12">
        <v>0.249804</v>
      </c>
      <c r="F12" s="1"/>
      <c r="G12" s="1"/>
      <c r="H12" s="1"/>
      <c r="I12" s="1"/>
      <c r="J12" s="24" t="s">
        <v>45</v>
      </c>
      <c r="K12" s="29">
        <v>2.6350000000000002E-3</v>
      </c>
      <c r="L12" s="1"/>
      <c r="M12" s="1"/>
      <c r="N12" s="18"/>
    </row>
    <row r="13" spans="2:14" ht="15" customHeight="1" x14ac:dyDescent="0.25">
      <c r="B13" s="20"/>
      <c r="C13" s="5" t="s">
        <v>45</v>
      </c>
      <c r="D13" s="6"/>
      <c r="E13" s="11">
        <v>2.6350000000000002E-3</v>
      </c>
      <c r="F13" s="1"/>
      <c r="G13" s="1"/>
      <c r="H13" s="1"/>
      <c r="I13" s="1"/>
      <c r="J13" s="24" t="s">
        <v>58</v>
      </c>
      <c r="K13" s="29">
        <v>0.71670599999999995</v>
      </c>
      <c r="L13" s="1"/>
      <c r="M13" s="1"/>
      <c r="N13" s="18"/>
    </row>
    <row r="14" spans="2:14" ht="15.75" customHeight="1" x14ac:dyDescent="0.25">
      <c r="B14" s="20"/>
      <c r="C14" s="7" t="s">
        <v>46</v>
      </c>
      <c r="D14" s="8"/>
      <c r="E14" s="12">
        <v>2.6350000000000002E-3</v>
      </c>
      <c r="F14" s="1"/>
      <c r="G14" s="1"/>
      <c r="H14" s="1"/>
      <c r="I14" s="1"/>
      <c r="J14" s="1"/>
      <c r="K14" s="1"/>
      <c r="L14" s="1"/>
      <c r="M14" s="1"/>
      <c r="N14" s="18"/>
    </row>
    <row r="15" spans="2:14" ht="15" customHeight="1" x14ac:dyDescent="0.25">
      <c r="B15" s="20"/>
      <c r="C15" s="5" t="s">
        <v>62</v>
      </c>
      <c r="D15" s="6" t="s">
        <v>192</v>
      </c>
      <c r="E15" s="11">
        <v>0.48964200000000002</v>
      </c>
      <c r="F15" s="1"/>
      <c r="G15" s="1"/>
      <c r="H15" s="1"/>
      <c r="I15" s="1"/>
      <c r="J15" s="1"/>
      <c r="K15" s="1"/>
      <c r="L15" s="1"/>
      <c r="M15" s="1"/>
      <c r="N15" s="18"/>
    </row>
    <row r="16" spans="2:14" ht="15" customHeight="1" x14ac:dyDescent="0.25">
      <c r="B16" s="20"/>
      <c r="C16" s="5" t="s">
        <v>63</v>
      </c>
      <c r="D16" s="6" t="s">
        <v>192</v>
      </c>
      <c r="E16" s="11">
        <v>0.13880999999999999</v>
      </c>
      <c r="F16" s="1"/>
      <c r="G16" s="1"/>
      <c r="H16" s="1"/>
      <c r="I16" s="1"/>
      <c r="J16" s="1"/>
      <c r="K16" s="1"/>
      <c r="L16" s="1"/>
      <c r="M16" s="1"/>
      <c r="N16" s="18"/>
    </row>
    <row r="17" spans="2:14" ht="15" customHeight="1" x14ac:dyDescent="0.25">
      <c r="B17" s="20"/>
      <c r="C17" s="5" t="s">
        <v>51</v>
      </c>
      <c r="D17" s="6" t="s">
        <v>192</v>
      </c>
      <c r="E17" s="11">
        <v>7.9208000000000001E-2</v>
      </c>
      <c r="F17" s="1"/>
      <c r="G17" s="1"/>
      <c r="H17" s="1"/>
      <c r="I17" s="1"/>
      <c r="J17" s="1"/>
      <c r="K17" s="1"/>
      <c r="L17" s="1"/>
      <c r="M17" s="1"/>
      <c r="N17" s="18"/>
    </row>
    <row r="18" spans="2:14" ht="15" customHeight="1" x14ac:dyDescent="0.25">
      <c r="B18" s="20"/>
      <c r="C18" s="5" t="s">
        <v>48</v>
      </c>
      <c r="D18" s="6" t="s">
        <v>192</v>
      </c>
      <c r="E18" s="11">
        <v>6.2129999999999998E-3</v>
      </c>
      <c r="F18" s="1"/>
      <c r="G18" s="1"/>
      <c r="H18" s="1"/>
      <c r="I18" s="1"/>
      <c r="J18" s="1"/>
      <c r="K18" s="1"/>
      <c r="L18" s="1"/>
      <c r="M18" s="1"/>
      <c r="N18" s="18"/>
    </row>
    <row r="19" spans="2:14" ht="15" customHeight="1" x14ac:dyDescent="0.25">
      <c r="B19" s="20"/>
      <c r="C19" s="5" t="s">
        <v>64</v>
      </c>
      <c r="D19" s="6" t="s">
        <v>192</v>
      </c>
      <c r="E19" s="11">
        <v>2.0309999999999998E-3</v>
      </c>
      <c r="F19" s="1"/>
      <c r="G19" s="1"/>
      <c r="H19" s="1"/>
      <c r="I19" s="1"/>
      <c r="J19" s="1"/>
      <c r="K19" s="1"/>
      <c r="L19" s="1"/>
      <c r="M19" s="1"/>
      <c r="N19" s="18"/>
    </row>
    <row r="20" spans="2:14" ht="15" customHeight="1" x14ac:dyDescent="0.25">
      <c r="B20" s="20"/>
      <c r="C20" s="5" t="s">
        <v>65</v>
      </c>
      <c r="D20" s="6" t="s">
        <v>192</v>
      </c>
      <c r="E20" s="11">
        <v>8.0199999999999998E-4</v>
      </c>
      <c r="F20" s="1"/>
      <c r="G20" s="1"/>
      <c r="H20" s="1"/>
      <c r="I20" s="1"/>
      <c r="J20" s="1"/>
      <c r="K20" s="1"/>
      <c r="L20" s="1"/>
      <c r="M20" s="1"/>
      <c r="N20" s="18"/>
    </row>
    <row r="21" spans="2:14" ht="15.75" customHeight="1" x14ac:dyDescent="0.25">
      <c r="B21" s="20"/>
      <c r="C21" s="7" t="s">
        <v>54</v>
      </c>
      <c r="D21" s="8"/>
      <c r="E21" s="12">
        <v>0.71670599999999995</v>
      </c>
      <c r="F21" s="1"/>
      <c r="G21" s="1"/>
      <c r="H21" s="1"/>
      <c r="I21" s="1"/>
      <c r="J21" s="1"/>
      <c r="K21" s="1"/>
      <c r="L21" s="1"/>
      <c r="M21" s="1"/>
      <c r="N21" s="18"/>
    </row>
    <row r="22" spans="2:14" ht="15" customHeight="1" x14ac:dyDescent="0.25">
      <c r="B22" s="20"/>
      <c r="C22" s="5" t="s">
        <v>9</v>
      </c>
      <c r="D22" s="6"/>
      <c r="E22" s="11">
        <v>1.818E-3</v>
      </c>
      <c r="F22" s="1"/>
      <c r="G22" s="1"/>
      <c r="H22" s="1"/>
      <c r="I22" s="1"/>
      <c r="J22" s="1"/>
      <c r="K22" s="1"/>
      <c r="L22" s="1"/>
      <c r="M22" s="1"/>
      <c r="N22" s="18"/>
    </row>
    <row r="23" spans="2:14" ht="15.75" customHeight="1" x14ac:dyDescent="0.25">
      <c r="B23" s="20"/>
      <c r="C23" s="7" t="s">
        <v>10</v>
      </c>
      <c r="D23" s="8"/>
      <c r="E23" s="12">
        <v>1.818E-3</v>
      </c>
      <c r="F23" s="1"/>
      <c r="G23" s="1"/>
      <c r="H23" s="1"/>
      <c r="I23" s="1"/>
      <c r="J23" s="1"/>
      <c r="K23" s="1"/>
      <c r="L23" s="1"/>
      <c r="M23" s="1"/>
      <c r="N23" s="18"/>
    </row>
    <row r="24" spans="2:14" ht="15" customHeight="1" x14ac:dyDescent="0.25">
      <c r="B24" s="20"/>
      <c r="C24" s="5"/>
      <c r="D24" s="6"/>
      <c r="E24" s="11"/>
      <c r="F24" s="1"/>
      <c r="G24" s="85" t="s">
        <v>18</v>
      </c>
      <c r="H24" s="86"/>
      <c r="I24" s="86"/>
      <c r="J24" s="86"/>
      <c r="K24" s="86"/>
      <c r="L24" s="36">
        <v>11.847649803146783</v>
      </c>
      <c r="M24" s="27"/>
      <c r="N24" s="28"/>
    </row>
    <row r="25" spans="2:14" ht="15.75" customHeight="1" x14ac:dyDescent="0.25">
      <c r="B25" s="20"/>
      <c r="C25" s="7" t="s">
        <v>11</v>
      </c>
      <c r="D25" s="8"/>
      <c r="E25" s="12">
        <v>2.9037E-2</v>
      </c>
      <c r="F25" s="1"/>
      <c r="G25" s="1"/>
      <c r="H25" s="1"/>
      <c r="I25" s="1"/>
      <c r="J25" s="1"/>
      <c r="K25" s="1"/>
      <c r="L25" s="1"/>
      <c r="M25" s="1"/>
      <c r="N25" s="18"/>
    </row>
    <row r="26" spans="2:14" ht="15" customHeight="1" x14ac:dyDescent="0.25">
      <c r="B26" s="20"/>
      <c r="C26" s="5"/>
      <c r="D26" s="6"/>
      <c r="E26" s="11"/>
      <c r="F26" s="1"/>
      <c r="G26" s="85" t="s">
        <v>19</v>
      </c>
      <c r="H26" s="86"/>
      <c r="I26" s="86"/>
      <c r="J26" s="86"/>
      <c r="K26" s="86"/>
      <c r="L26" s="86"/>
      <c r="M26" s="86"/>
      <c r="N26" s="87"/>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268</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25.25" customHeight="1" thickBot="1" x14ac:dyDescent="0.3">
      <c r="B50" s="77" t="s">
        <v>269</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159B-5950-4BCB-AA8D-E76FB82FDAE0}">
  <dimension ref="B1:N5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66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67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30</v>
      </c>
      <c r="D8" s="6" t="s">
        <v>29</v>
      </c>
      <c r="E8" s="11">
        <v>0.11457100000000001</v>
      </c>
      <c r="F8" s="1"/>
      <c r="G8" s="24" t="s">
        <v>16</v>
      </c>
      <c r="H8" s="25">
        <v>1</v>
      </c>
      <c r="I8" s="1"/>
      <c r="J8" s="24" t="s">
        <v>13</v>
      </c>
      <c r="K8" s="24" t="s">
        <v>5</v>
      </c>
      <c r="L8" s="1"/>
      <c r="M8" s="1"/>
      <c r="N8" s="18"/>
    </row>
    <row r="9" spans="2:14" ht="15" customHeight="1" x14ac:dyDescent="0.25">
      <c r="B9" s="20"/>
      <c r="C9" s="5" t="s">
        <v>26</v>
      </c>
      <c r="D9" s="6" t="s">
        <v>29</v>
      </c>
      <c r="E9" s="11">
        <v>0.10406700000000001</v>
      </c>
      <c r="F9" s="1"/>
      <c r="G9" s="1"/>
      <c r="H9" s="1"/>
      <c r="I9" s="1"/>
      <c r="J9" s="24" t="s">
        <v>11</v>
      </c>
      <c r="K9" s="29">
        <v>2.7009999999999999E-2</v>
      </c>
      <c r="L9" s="1"/>
      <c r="M9" s="1"/>
      <c r="N9" s="18"/>
    </row>
    <row r="10" spans="2:14" ht="15" customHeight="1" x14ac:dyDescent="0.25">
      <c r="B10" s="20"/>
      <c r="C10" s="5" t="s">
        <v>68</v>
      </c>
      <c r="D10" s="6" t="s">
        <v>29</v>
      </c>
      <c r="E10" s="11">
        <v>6.8020999999999998E-2</v>
      </c>
      <c r="F10" s="1"/>
      <c r="G10" s="1"/>
      <c r="H10" s="1"/>
      <c r="I10" s="1"/>
      <c r="J10" s="24" t="s">
        <v>14</v>
      </c>
      <c r="K10" s="29">
        <v>2.196E-3</v>
      </c>
      <c r="L10" s="1"/>
      <c r="M10" s="1"/>
      <c r="N10" s="18"/>
    </row>
    <row r="11" spans="2:14" ht="15" customHeight="1" x14ac:dyDescent="0.25">
      <c r="B11" s="20"/>
      <c r="C11" s="5" t="s">
        <v>31</v>
      </c>
      <c r="D11" s="6" t="s">
        <v>29</v>
      </c>
      <c r="E11" s="11">
        <v>6.5451999999999996E-2</v>
      </c>
      <c r="F11" s="1"/>
      <c r="G11" s="1"/>
      <c r="H11" s="1"/>
      <c r="I11" s="1"/>
      <c r="J11" s="24" t="s">
        <v>57</v>
      </c>
      <c r="K11" s="29">
        <v>0.46860299999999999</v>
      </c>
      <c r="L11" s="1"/>
      <c r="M11" s="1"/>
      <c r="N11" s="18"/>
    </row>
    <row r="12" spans="2:14" ht="15" customHeight="1" x14ac:dyDescent="0.25">
      <c r="B12" s="20"/>
      <c r="C12" s="5" t="s">
        <v>34</v>
      </c>
      <c r="D12" s="6" t="s">
        <v>29</v>
      </c>
      <c r="E12" s="11">
        <v>6.5349000000000004E-2</v>
      </c>
      <c r="F12" s="1"/>
      <c r="G12" s="1"/>
      <c r="H12" s="1"/>
      <c r="I12" s="1"/>
      <c r="J12" s="24" t="s">
        <v>45</v>
      </c>
      <c r="K12" s="29">
        <v>3.421E-3</v>
      </c>
      <c r="L12" s="1"/>
      <c r="M12" s="1"/>
      <c r="N12" s="18"/>
    </row>
    <row r="13" spans="2:14" ht="15" customHeight="1" x14ac:dyDescent="0.25">
      <c r="B13" s="20"/>
      <c r="C13" s="5" t="s">
        <v>28</v>
      </c>
      <c r="D13" s="6" t="s">
        <v>29</v>
      </c>
      <c r="E13" s="11">
        <v>3.1538999999999998E-2</v>
      </c>
      <c r="F13" s="1"/>
      <c r="G13" s="1"/>
      <c r="H13" s="1"/>
      <c r="I13" s="1"/>
      <c r="J13" s="24" t="s">
        <v>58</v>
      </c>
      <c r="K13" s="29">
        <v>0.497448</v>
      </c>
      <c r="L13" s="1"/>
      <c r="M13" s="1"/>
      <c r="N13" s="18"/>
    </row>
    <row r="14" spans="2:14" ht="15" customHeight="1" x14ac:dyDescent="0.25">
      <c r="B14" s="20"/>
      <c r="C14" s="5" t="s">
        <v>33</v>
      </c>
      <c r="D14" s="6" t="s">
        <v>29</v>
      </c>
      <c r="E14" s="11">
        <v>1.9604E-2</v>
      </c>
      <c r="F14" s="1"/>
      <c r="G14" s="1"/>
      <c r="H14" s="1"/>
      <c r="I14" s="1"/>
      <c r="J14" s="24" t="s">
        <v>59</v>
      </c>
      <c r="K14" s="29">
        <v>1.322E-3</v>
      </c>
      <c r="L14" s="1"/>
      <c r="M14" s="1"/>
      <c r="N14" s="18"/>
    </row>
    <row r="15" spans="2:14" ht="15.75" customHeight="1" x14ac:dyDescent="0.25">
      <c r="B15" s="20"/>
      <c r="C15" s="7" t="s">
        <v>44</v>
      </c>
      <c r="D15" s="8"/>
      <c r="E15" s="12">
        <v>0.46860299999999999</v>
      </c>
      <c r="F15" s="1"/>
      <c r="G15" s="1"/>
      <c r="H15" s="1"/>
      <c r="I15" s="1"/>
      <c r="J15" s="1"/>
      <c r="K15" s="1"/>
      <c r="L15" s="1"/>
      <c r="M15" s="1"/>
      <c r="N15" s="18"/>
    </row>
    <row r="16" spans="2:14" ht="15" customHeight="1" x14ac:dyDescent="0.25">
      <c r="B16" s="20"/>
      <c r="C16" s="5" t="s">
        <v>45</v>
      </c>
      <c r="D16" s="6"/>
      <c r="E16" s="11">
        <v>3.421E-3</v>
      </c>
      <c r="F16" s="1"/>
      <c r="G16" s="1"/>
      <c r="H16" s="1"/>
      <c r="I16" s="1"/>
      <c r="J16" s="1"/>
      <c r="K16" s="1"/>
      <c r="L16" s="1"/>
      <c r="M16" s="1"/>
      <c r="N16" s="18"/>
    </row>
    <row r="17" spans="2:14" ht="15.75" customHeight="1" x14ac:dyDescent="0.25">
      <c r="B17" s="20"/>
      <c r="C17" s="7" t="s">
        <v>46</v>
      </c>
      <c r="D17" s="8"/>
      <c r="E17" s="12">
        <v>3.421E-3</v>
      </c>
      <c r="F17" s="1"/>
      <c r="G17" s="1"/>
      <c r="H17" s="1"/>
      <c r="I17" s="1"/>
      <c r="J17" s="1"/>
      <c r="K17" s="1"/>
      <c r="L17" s="1"/>
      <c r="M17" s="1"/>
      <c r="N17" s="18"/>
    </row>
    <row r="18" spans="2:14" ht="15" customHeight="1" x14ac:dyDescent="0.25">
      <c r="B18" s="20"/>
      <c r="C18" s="5" t="s">
        <v>51</v>
      </c>
      <c r="D18" s="6" t="s">
        <v>192</v>
      </c>
      <c r="E18" s="11">
        <v>0.35490500000000003</v>
      </c>
      <c r="F18" s="1"/>
      <c r="G18" s="1"/>
      <c r="H18" s="1"/>
      <c r="I18" s="1"/>
      <c r="J18" s="1"/>
      <c r="K18" s="1"/>
      <c r="L18" s="1"/>
      <c r="M18" s="1"/>
      <c r="N18" s="18"/>
    </row>
    <row r="19" spans="2:14" ht="15" customHeight="1" x14ac:dyDescent="0.25">
      <c r="B19" s="20"/>
      <c r="C19" s="5" t="s">
        <v>48</v>
      </c>
      <c r="D19" s="6" t="s">
        <v>192</v>
      </c>
      <c r="E19" s="11">
        <v>0.115991</v>
      </c>
      <c r="F19" s="1"/>
      <c r="G19" s="1"/>
      <c r="H19" s="1"/>
      <c r="I19" s="1"/>
      <c r="J19" s="1"/>
      <c r="K19" s="1"/>
      <c r="L19" s="1"/>
      <c r="M19" s="1"/>
      <c r="N19" s="18"/>
    </row>
    <row r="20" spans="2:14" ht="15" customHeight="1" x14ac:dyDescent="0.25">
      <c r="B20" s="20"/>
      <c r="C20" s="5" t="s">
        <v>49</v>
      </c>
      <c r="D20" s="6" t="s">
        <v>192</v>
      </c>
      <c r="E20" s="11">
        <v>1.9730000000000001E-2</v>
      </c>
      <c r="F20" s="1"/>
      <c r="G20" s="1"/>
      <c r="H20" s="1"/>
      <c r="I20" s="1"/>
      <c r="J20" s="1"/>
      <c r="K20" s="1"/>
      <c r="L20" s="1"/>
      <c r="M20" s="1"/>
      <c r="N20" s="18"/>
    </row>
    <row r="21" spans="2:14" ht="15" customHeight="1" x14ac:dyDescent="0.25">
      <c r="B21" s="20"/>
      <c r="C21" s="5" t="s">
        <v>52</v>
      </c>
      <c r="D21" s="6" t="s">
        <v>192</v>
      </c>
      <c r="E21" s="11">
        <v>6.6179999999999998E-3</v>
      </c>
      <c r="F21" s="1"/>
      <c r="G21" s="1"/>
      <c r="H21" s="1"/>
      <c r="I21" s="1"/>
      <c r="J21" s="1"/>
      <c r="K21" s="1"/>
      <c r="L21" s="1"/>
      <c r="M21" s="1"/>
      <c r="N21" s="18"/>
    </row>
    <row r="22" spans="2:14" ht="15" customHeight="1" x14ac:dyDescent="0.25">
      <c r="B22" s="20"/>
      <c r="C22" s="5" t="s">
        <v>64</v>
      </c>
      <c r="D22" s="6" t="s">
        <v>192</v>
      </c>
      <c r="E22" s="11">
        <v>1.2999999999999999E-4</v>
      </c>
      <c r="F22" s="1"/>
      <c r="G22" s="1"/>
      <c r="H22" s="1"/>
      <c r="I22" s="1"/>
      <c r="J22" s="1"/>
      <c r="K22" s="1"/>
      <c r="L22" s="1"/>
      <c r="M22" s="1"/>
      <c r="N22" s="18"/>
    </row>
    <row r="23" spans="2:14" ht="15" customHeight="1" x14ac:dyDescent="0.25">
      <c r="B23" s="20"/>
      <c r="C23" s="5" t="s">
        <v>69</v>
      </c>
      <c r="D23" s="6" t="s">
        <v>192</v>
      </c>
      <c r="E23" s="11">
        <v>7.3999999999999996E-5</v>
      </c>
      <c r="F23" s="1"/>
      <c r="G23" s="1"/>
      <c r="H23" s="1"/>
      <c r="I23" s="1"/>
      <c r="J23" s="1"/>
      <c r="K23" s="1"/>
      <c r="L23" s="1"/>
      <c r="M23" s="1"/>
      <c r="N23" s="18"/>
    </row>
    <row r="24" spans="2:14" ht="15.75" customHeight="1" x14ac:dyDescent="0.25">
      <c r="B24" s="20"/>
      <c r="C24" s="7" t="s">
        <v>54</v>
      </c>
      <c r="D24" s="8"/>
      <c r="E24" s="12">
        <v>0.497448</v>
      </c>
      <c r="F24" s="1"/>
      <c r="G24" s="85" t="s">
        <v>18</v>
      </c>
      <c r="H24" s="86"/>
      <c r="I24" s="86"/>
      <c r="J24" s="86"/>
      <c r="K24" s="86"/>
      <c r="L24" s="36">
        <v>4.9045738215153589</v>
      </c>
      <c r="M24" s="27"/>
      <c r="N24" s="28"/>
    </row>
    <row r="25" spans="2:14" ht="15" customHeight="1" x14ac:dyDescent="0.25">
      <c r="B25" s="20"/>
      <c r="C25" s="5" t="s">
        <v>211</v>
      </c>
      <c r="D25" s="6" t="s">
        <v>192</v>
      </c>
      <c r="E25" s="11">
        <v>1.322E-3</v>
      </c>
      <c r="F25" s="1"/>
      <c r="G25" s="1"/>
      <c r="H25" s="1"/>
      <c r="I25" s="1"/>
      <c r="J25" s="1"/>
      <c r="K25" s="1"/>
      <c r="L25" s="1"/>
      <c r="M25" s="1"/>
      <c r="N25" s="18"/>
    </row>
    <row r="26" spans="2:14" ht="15.75" customHeight="1" x14ac:dyDescent="0.25">
      <c r="B26" s="20"/>
      <c r="C26" s="7" t="s">
        <v>55</v>
      </c>
      <c r="D26" s="8"/>
      <c r="E26" s="12">
        <v>1.322E-3</v>
      </c>
      <c r="F26" s="1"/>
      <c r="G26" s="85" t="s">
        <v>19</v>
      </c>
      <c r="H26" s="86"/>
      <c r="I26" s="86"/>
      <c r="J26" s="86"/>
      <c r="K26" s="86"/>
      <c r="L26" s="86"/>
      <c r="M26" s="86"/>
      <c r="N26" s="87"/>
    </row>
    <row r="27" spans="2:14" ht="15" customHeight="1" x14ac:dyDescent="0.25">
      <c r="B27" s="20"/>
      <c r="C27" s="5" t="s">
        <v>9</v>
      </c>
      <c r="D27" s="6"/>
      <c r="E27" s="11">
        <v>2.196E-3</v>
      </c>
      <c r="F27" s="1"/>
      <c r="G27" s="1"/>
      <c r="H27" s="1"/>
      <c r="I27" s="1"/>
      <c r="J27" s="1"/>
      <c r="K27" s="1"/>
      <c r="L27" s="1"/>
      <c r="M27" s="1"/>
      <c r="N27" s="18"/>
    </row>
    <row r="28" spans="2:14" ht="15.75" customHeight="1" x14ac:dyDescent="0.25">
      <c r="B28" s="20"/>
      <c r="C28" s="7" t="s">
        <v>10</v>
      </c>
      <c r="D28" s="8"/>
      <c r="E28" s="12">
        <v>2.196E-3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2.7009999999999999E-2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268</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7.5" customHeight="1" thickBot="1" x14ac:dyDescent="0.3">
      <c r="B50" s="77" t="s">
        <v>269</v>
      </c>
      <c r="C50" s="78"/>
      <c r="D50" s="78"/>
      <c r="E50" s="78"/>
      <c r="F50" s="78"/>
      <c r="G50" s="78"/>
      <c r="H50" s="78"/>
      <c r="I50" s="78"/>
      <c r="J50" s="78"/>
      <c r="K50" s="78"/>
      <c r="L50" s="78"/>
      <c r="M50" s="78"/>
      <c r="N50" s="79"/>
    </row>
    <row r="51" spans="2:14" ht="15" customHeight="1" x14ac:dyDescent="0.25"/>
    <row r="52"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44C3-77BD-4386-AFDE-96A5306963C7}">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70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71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30</v>
      </c>
      <c r="D8" s="6" t="s">
        <v>29</v>
      </c>
      <c r="E8" s="11">
        <v>0.11491700000000001</v>
      </c>
      <c r="F8" s="1"/>
      <c r="G8" s="24" t="s">
        <v>16</v>
      </c>
      <c r="H8" s="25">
        <v>1</v>
      </c>
      <c r="I8" s="1"/>
      <c r="J8" s="24" t="s">
        <v>13</v>
      </c>
      <c r="K8" s="24" t="s">
        <v>5</v>
      </c>
      <c r="L8" s="1"/>
      <c r="M8" s="1"/>
      <c r="N8" s="18"/>
    </row>
    <row r="9" spans="2:14" ht="15" customHeight="1" x14ac:dyDescent="0.25">
      <c r="B9" s="20"/>
      <c r="C9" s="5" t="s">
        <v>26</v>
      </c>
      <c r="D9" s="6" t="s">
        <v>29</v>
      </c>
      <c r="E9" s="11">
        <v>0.11330800000000001</v>
      </c>
      <c r="F9" s="1"/>
      <c r="G9" s="1"/>
      <c r="H9" s="1"/>
      <c r="I9" s="1"/>
      <c r="J9" s="24" t="s">
        <v>11</v>
      </c>
      <c r="K9" s="29">
        <v>2.9555999999999999E-2</v>
      </c>
      <c r="L9" s="1"/>
      <c r="M9" s="1"/>
      <c r="N9" s="18"/>
    </row>
    <row r="10" spans="2:14" ht="15" customHeight="1" x14ac:dyDescent="0.25">
      <c r="B10" s="20"/>
      <c r="C10" s="5" t="s">
        <v>34</v>
      </c>
      <c r="D10" s="6" t="s">
        <v>29</v>
      </c>
      <c r="E10" s="11">
        <v>8.4069000000000005E-2</v>
      </c>
      <c r="F10" s="1"/>
      <c r="G10" s="1"/>
      <c r="H10" s="1"/>
      <c r="I10" s="1"/>
      <c r="J10" s="24" t="s">
        <v>14</v>
      </c>
      <c r="K10" s="29">
        <v>2.274E-3</v>
      </c>
      <c r="L10" s="1"/>
      <c r="M10" s="1"/>
      <c r="N10" s="18"/>
    </row>
    <row r="11" spans="2:14" ht="15" customHeight="1" x14ac:dyDescent="0.25">
      <c r="B11" s="20"/>
      <c r="C11" s="5" t="s">
        <v>28</v>
      </c>
      <c r="D11" s="6" t="s">
        <v>29</v>
      </c>
      <c r="E11" s="11">
        <v>8.1194000000000002E-2</v>
      </c>
      <c r="F11" s="1"/>
      <c r="G11" s="1"/>
      <c r="H11" s="1"/>
      <c r="I11" s="1"/>
      <c r="J11" s="24" t="s">
        <v>57</v>
      </c>
      <c r="K11" s="29">
        <v>0.574492</v>
      </c>
      <c r="L11" s="1"/>
      <c r="M11" s="1"/>
      <c r="N11" s="18"/>
    </row>
    <row r="12" spans="2:14" ht="15" customHeight="1" x14ac:dyDescent="0.25">
      <c r="B12" s="20"/>
      <c r="C12" s="5" t="s">
        <v>68</v>
      </c>
      <c r="D12" s="6" t="s">
        <v>29</v>
      </c>
      <c r="E12" s="11">
        <v>4.6101000000000003E-2</v>
      </c>
      <c r="F12" s="1"/>
      <c r="G12" s="1"/>
      <c r="H12" s="1"/>
      <c r="I12" s="1"/>
      <c r="J12" s="24" t="s">
        <v>45</v>
      </c>
      <c r="K12" s="29">
        <v>2.8410000000000002E-3</v>
      </c>
      <c r="L12" s="1"/>
      <c r="M12" s="1"/>
      <c r="N12" s="18"/>
    </row>
    <row r="13" spans="2:14" ht="15" customHeight="1" x14ac:dyDescent="0.25">
      <c r="B13" s="20"/>
      <c r="C13" s="5" t="s">
        <v>33</v>
      </c>
      <c r="D13" s="6" t="s">
        <v>29</v>
      </c>
      <c r="E13" s="11">
        <v>3.5289000000000001E-2</v>
      </c>
      <c r="F13" s="1"/>
      <c r="G13" s="1"/>
      <c r="H13" s="1"/>
      <c r="I13" s="1"/>
      <c r="J13" s="24" t="s">
        <v>58</v>
      </c>
      <c r="K13" s="29">
        <v>0.39083699999999999</v>
      </c>
      <c r="L13" s="1"/>
      <c r="M13" s="1"/>
      <c r="N13" s="18"/>
    </row>
    <row r="14" spans="2:14" ht="15" customHeight="1" x14ac:dyDescent="0.25">
      <c r="B14" s="20"/>
      <c r="C14" s="5" t="s">
        <v>72</v>
      </c>
      <c r="D14" s="6" t="s">
        <v>29</v>
      </c>
      <c r="E14" s="11">
        <v>3.4833999999999997E-2</v>
      </c>
      <c r="F14" s="1"/>
      <c r="G14" s="1"/>
      <c r="H14" s="1"/>
      <c r="I14" s="1"/>
      <c r="J14" s="1"/>
      <c r="K14" s="1"/>
      <c r="L14" s="1"/>
      <c r="M14" s="1"/>
      <c r="N14" s="18"/>
    </row>
    <row r="15" spans="2:14" ht="15" customHeight="1" x14ac:dyDescent="0.25">
      <c r="B15" s="20"/>
      <c r="C15" s="5" t="s">
        <v>73</v>
      </c>
      <c r="D15" s="6" t="s">
        <v>29</v>
      </c>
      <c r="E15" s="11">
        <v>3.0062999999999999E-2</v>
      </c>
      <c r="F15" s="1"/>
      <c r="G15" s="1"/>
      <c r="H15" s="1"/>
      <c r="I15" s="1"/>
      <c r="J15" s="1"/>
      <c r="K15" s="1"/>
      <c r="L15" s="1"/>
      <c r="M15" s="1"/>
      <c r="N15" s="18"/>
    </row>
    <row r="16" spans="2:14" ht="15" customHeight="1" x14ac:dyDescent="0.25">
      <c r="B16" s="20"/>
      <c r="C16" s="5" t="s">
        <v>74</v>
      </c>
      <c r="D16" s="6" t="s">
        <v>29</v>
      </c>
      <c r="E16" s="11">
        <v>1.7412E-2</v>
      </c>
      <c r="F16" s="1"/>
      <c r="G16" s="1"/>
      <c r="H16" s="1"/>
      <c r="I16" s="1"/>
      <c r="J16" s="1"/>
      <c r="K16" s="1"/>
      <c r="L16" s="1"/>
      <c r="M16" s="1"/>
      <c r="N16" s="18"/>
    </row>
    <row r="17" spans="2:14" ht="15" customHeight="1" x14ac:dyDescent="0.25">
      <c r="B17" s="20"/>
      <c r="C17" s="5" t="s">
        <v>32</v>
      </c>
      <c r="D17" s="6" t="s">
        <v>29</v>
      </c>
      <c r="E17" s="11">
        <v>1.7305000000000001E-2</v>
      </c>
      <c r="F17" s="1"/>
      <c r="G17" s="1"/>
      <c r="H17" s="1"/>
      <c r="I17" s="1"/>
      <c r="J17" s="1"/>
      <c r="K17" s="1"/>
      <c r="L17" s="1"/>
      <c r="M17" s="1"/>
      <c r="N17" s="18"/>
    </row>
    <row r="18" spans="2:14" ht="15.75" customHeight="1" x14ac:dyDescent="0.25">
      <c r="B18" s="20"/>
      <c r="C18" s="7" t="s">
        <v>44</v>
      </c>
      <c r="D18" s="8"/>
      <c r="E18" s="12">
        <v>0.574492</v>
      </c>
      <c r="F18" s="1"/>
      <c r="G18" s="1"/>
      <c r="H18" s="1"/>
      <c r="I18" s="1"/>
      <c r="J18" s="1"/>
      <c r="K18" s="1"/>
      <c r="L18" s="1"/>
      <c r="M18" s="1"/>
      <c r="N18" s="18"/>
    </row>
    <row r="19" spans="2:14" ht="15" customHeight="1" x14ac:dyDescent="0.25">
      <c r="B19" s="20"/>
      <c r="C19" s="5" t="s">
        <v>45</v>
      </c>
      <c r="D19" s="6"/>
      <c r="E19" s="11">
        <v>2.8410000000000002E-3</v>
      </c>
      <c r="F19" s="1"/>
      <c r="G19" s="1"/>
      <c r="H19" s="1"/>
      <c r="I19" s="1"/>
      <c r="J19" s="1"/>
      <c r="K19" s="1"/>
      <c r="L19" s="1"/>
      <c r="M19" s="1"/>
      <c r="N19" s="18"/>
    </row>
    <row r="20" spans="2:14" ht="15.75" customHeight="1" x14ac:dyDescent="0.25">
      <c r="B20" s="20"/>
      <c r="C20" s="7" t="s">
        <v>46</v>
      </c>
      <c r="D20" s="8"/>
      <c r="E20" s="12">
        <v>2.8410000000000002E-3</v>
      </c>
      <c r="F20" s="1"/>
      <c r="G20" s="1"/>
      <c r="H20" s="1"/>
      <c r="I20" s="1"/>
      <c r="J20" s="1"/>
      <c r="K20" s="1"/>
      <c r="L20" s="1"/>
      <c r="M20" s="1"/>
      <c r="N20" s="18"/>
    </row>
    <row r="21" spans="2:14" ht="15" customHeight="1" x14ac:dyDescent="0.25">
      <c r="B21" s="20"/>
      <c r="C21" s="5" t="s">
        <v>48</v>
      </c>
      <c r="D21" s="6" t="s">
        <v>192</v>
      </c>
      <c r="E21" s="11">
        <v>0.24612999999999999</v>
      </c>
      <c r="F21" s="1"/>
      <c r="G21" s="1"/>
      <c r="H21" s="1"/>
      <c r="I21" s="1"/>
      <c r="J21" s="1"/>
      <c r="K21" s="1"/>
      <c r="L21" s="1"/>
      <c r="M21" s="1"/>
      <c r="N21" s="18"/>
    </row>
    <row r="22" spans="2:14" ht="15" customHeight="1" x14ac:dyDescent="0.25">
      <c r="B22" s="20"/>
      <c r="C22" s="5" t="s">
        <v>47</v>
      </c>
      <c r="D22" s="6" t="s">
        <v>192</v>
      </c>
      <c r="E22" s="11">
        <v>0.123947</v>
      </c>
      <c r="F22" s="1"/>
      <c r="G22" s="1"/>
      <c r="H22" s="1"/>
      <c r="I22" s="1"/>
      <c r="J22" s="1"/>
      <c r="K22" s="1"/>
      <c r="L22" s="1"/>
      <c r="M22" s="1"/>
      <c r="N22" s="18"/>
    </row>
    <row r="23" spans="2:14" ht="15" customHeight="1" x14ac:dyDescent="0.25">
      <c r="B23" s="20"/>
      <c r="C23" s="5" t="s">
        <v>49</v>
      </c>
      <c r="D23" s="6" t="s">
        <v>192</v>
      </c>
      <c r="E23" s="11">
        <v>2.043E-2</v>
      </c>
      <c r="F23" s="1"/>
      <c r="G23" s="1"/>
      <c r="H23" s="1"/>
      <c r="I23" s="1"/>
      <c r="J23" s="1"/>
      <c r="K23" s="1"/>
      <c r="L23" s="1"/>
      <c r="M23" s="1"/>
      <c r="N23" s="18"/>
    </row>
    <row r="24" spans="2:14" ht="15" customHeight="1" x14ac:dyDescent="0.25">
      <c r="B24" s="20"/>
      <c r="C24" s="5" t="s">
        <v>69</v>
      </c>
      <c r="D24" s="6" t="s">
        <v>192</v>
      </c>
      <c r="E24" s="11">
        <v>1.1900000000000001E-4</v>
      </c>
      <c r="F24" s="1"/>
      <c r="G24" s="85" t="s">
        <v>18</v>
      </c>
      <c r="H24" s="86"/>
      <c r="I24" s="86"/>
      <c r="J24" s="86"/>
      <c r="K24" s="86"/>
      <c r="L24" s="36">
        <v>3.4991643593390926</v>
      </c>
      <c r="M24" s="27"/>
      <c r="N24" s="28"/>
    </row>
    <row r="25" spans="2:14" ht="15" customHeight="1" x14ac:dyDescent="0.25">
      <c r="B25" s="20"/>
      <c r="C25" s="5" t="s">
        <v>75</v>
      </c>
      <c r="D25" s="6" t="s">
        <v>192</v>
      </c>
      <c r="E25" s="11">
        <v>1.13E-4</v>
      </c>
      <c r="F25" s="1"/>
      <c r="G25" s="1"/>
      <c r="H25" s="1"/>
      <c r="I25" s="1"/>
      <c r="J25" s="1"/>
      <c r="K25" s="1"/>
      <c r="L25" s="1"/>
      <c r="M25" s="1"/>
      <c r="N25" s="18"/>
    </row>
    <row r="26" spans="2:14" ht="15" customHeight="1" x14ac:dyDescent="0.25">
      <c r="B26" s="20"/>
      <c r="C26" s="5" t="s">
        <v>64</v>
      </c>
      <c r="D26" s="6" t="s">
        <v>192</v>
      </c>
      <c r="E26" s="11">
        <v>9.7999999999999997E-5</v>
      </c>
      <c r="F26" s="1"/>
      <c r="G26" s="85" t="s">
        <v>19</v>
      </c>
      <c r="H26" s="86"/>
      <c r="I26" s="86"/>
      <c r="J26" s="86"/>
      <c r="K26" s="86"/>
      <c r="L26" s="86"/>
      <c r="M26" s="86"/>
      <c r="N26" s="87"/>
    </row>
    <row r="27" spans="2:14" ht="15.75" customHeight="1" x14ac:dyDescent="0.25">
      <c r="B27" s="20"/>
      <c r="C27" s="7" t="s">
        <v>54</v>
      </c>
      <c r="D27" s="8"/>
      <c r="E27" s="12">
        <v>0.39083699999999999</v>
      </c>
      <c r="F27" s="1"/>
      <c r="G27" s="1"/>
      <c r="H27" s="1"/>
      <c r="I27" s="1"/>
      <c r="J27" s="1"/>
      <c r="K27" s="1"/>
      <c r="L27" s="1"/>
      <c r="M27" s="1"/>
      <c r="N27" s="18"/>
    </row>
    <row r="28" spans="2:14" ht="15" customHeight="1" x14ac:dyDescent="0.25">
      <c r="B28" s="20"/>
      <c r="C28" s="5" t="s">
        <v>9</v>
      </c>
      <c r="D28" s="6"/>
      <c r="E28" s="11">
        <v>2.274E-3</v>
      </c>
      <c r="F28" s="1"/>
      <c r="G28" s="1"/>
      <c r="H28" s="1"/>
      <c r="I28" s="1"/>
      <c r="J28" s="1"/>
      <c r="K28" s="1"/>
      <c r="L28" s="1"/>
      <c r="M28" s="1"/>
      <c r="N28" s="18"/>
    </row>
    <row r="29" spans="2:14" ht="15.75" customHeight="1" x14ac:dyDescent="0.25">
      <c r="B29" s="20"/>
      <c r="C29" s="7" t="s">
        <v>10</v>
      </c>
      <c r="D29" s="8"/>
      <c r="E29" s="12">
        <v>2.274E-3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11</v>
      </c>
      <c r="D31" s="8"/>
      <c r="E31" s="12">
        <v>2.9555999999999999E-2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12</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268</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8.25" customHeight="1" thickBot="1" x14ac:dyDescent="0.3">
      <c r="B50" s="77" t="s">
        <v>269</v>
      </c>
      <c r="C50" s="78"/>
      <c r="D50" s="78"/>
      <c r="E50" s="78"/>
      <c r="F50" s="78"/>
      <c r="G50" s="78"/>
      <c r="H50" s="78"/>
      <c r="I50" s="78"/>
      <c r="J50" s="78"/>
      <c r="K50" s="78"/>
      <c r="L50" s="78"/>
      <c r="M50" s="78"/>
      <c r="N50" s="79"/>
    </row>
    <row r="51" spans="2:14" ht="15" customHeight="1" x14ac:dyDescent="0.25"/>
    <row r="52" spans="2:14" ht="15" customHeight="1" x14ac:dyDescent="0.25"/>
    <row r="53"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3F37-8BB2-40C3-8F48-767FF985D382}">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20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21</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22</v>
      </c>
      <c r="D8" s="6" t="s">
        <v>23</v>
      </c>
      <c r="E8" s="11">
        <v>1.8575000000000001E-2</v>
      </c>
      <c r="F8" s="1"/>
      <c r="G8" s="24" t="s">
        <v>16</v>
      </c>
      <c r="H8" s="25">
        <v>1</v>
      </c>
      <c r="I8" s="1"/>
      <c r="J8" s="24" t="s">
        <v>13</v>
      </c>
      <c r="K8" s="24" t="s">
        <v>5</v>
      </c>
      <c r="L8" s="1"/>
      <c r="M8" s="1"/>
      <c r="N8" s="18"/>
    </row>
    <row r="9" spans="2:14" ht="15" customHeight="1" x14ac:dyDescent="0.25">
      <c r="B9" s="20"/>
      <c r="C9" s="5" t="s">
        <v>24</v>
      </c>
      <c r="D9" s="6" t="s">
        <v>23</v>
      </c>
      <c r="E9" s="11">
        <v>1.6879999999999999E-2</v>
      </c>
      <c r="F9" s="1"/>
      <c r="G9" s="1"/>
      <c r="H9" s="1"/>
      <c r="I9" s="1"/>
      <c r="J9" s="24" t="s">
        <v>11</v>
      </c>
      <c r="K9" s="29">
        <v>3.1612000000000001E-2</v>
      </c>
      <c r="L9" s="1"/>
      <c r="M9" s="1"/>
      <c r="N9" s="18"/>
    </row>
    <row r="10" spans="2:14" ht="15" customHeight="1" x14ac:dyDescent="0.25">
      <c r="B10" s="20"/>
      <c r="C10" s="5" t="s">
        <v>25</v>
      </c>
      <c r="D10" s="6" t="s">
        <v>23</v>
      </c>
      <c r="E10" s="11">
        <v>3.4629999999999999E-3</v>
      </c>
      <c r="F10" s="1"/>
      <c r="G10" s="1"/>
      <c r="H10" s="1"/>
      <c r="I10" s="1"/>
      <c r="J10" s="24" t="s">
        <v>14</v>
      </c>
      <c r="K10" s="29">
        <v>1.2160000000000001E-3</v>
      </c>
      <c r="L10" s="1"/>
      <c r="M10" s="1"/>
      <c r="N10" s="18"/>
    </row>
    <row r="11" spans="2:14" ht="15" customHeight="1" x14ac:dyDescent="0.25">
      <c r="B11" s="20"/>
      <c r="C11" s="5" t="s">
        <v>26</v>
      </c>
      <c r="D11" s="6" t="s">
        <v>23</v>
      </c>
      <c r="E11" s="11">
        <v>6.8300000000000001E-4</v>
      </c>
      <c r="F11" s="1"/>
      <c r="G11" s="1"/>
      <c r="H11" s="1"/>
      <c r="I11" s="1"/>
      <c r="J11" s="24" t="s">
        <v>56</v>
      </c>
      <c r="K11" s="29">
        <v>3.9600999999999997E-2</v>
      </c>
      <c r="L11" s="1"/>
      <c r="M11" s="1"/>
      <c r="N11" s="18"/>
    </row>
    <row r="12" spans="2:14" ht="15.75" customHeight="1" x14ac:dyDescent="0.25">
      <c r="B12" s="20"/>
      <c r="C12" s="7" t="s">
        <v>27</v>
      </c>
      <c r="D12" s="8"/>
      <c r="E12" s="12">
        <v>3.9600999999999997E-2</v>
      </c>
      <c r="F12" s="1"/>
      <c r="G12" s="1"/>
      <c r="H12" s="1"/>
      <c r="I12" s="1"/>
      <c r="J12" s="24" t="s">
        <v>57</v>
      </c>
      <c r="K12" s="29">
        <v>0.70682</v>
      </c>
      <c r="L12" s="1"/>
      <c r="M12" s="1"/>
      <c r="N12" s="18"/>
    </row>
    <row r="13" spans="2:14" ht="15" customHeight="1" x14ac:dyDescent="0.25">
      <c r="B13" s="20"/>
      <c r="C13" s="5" t="s">
        <v>28</v>
      </c>
      <c r="D13" s="6" t="s">
        <v>29</v>
      </c>
      <c r="E13" s="11">
        <v>0.113348</v>
      </c>
      <c r="F13" s="1"/>
      <c r="G13" s="1"/>
      <c r="H13" s="1"/>
      <c r="I13" s="1"/>
      <c r="J13" s="24" t="s">
        <v>45</v>
      </c>
      <c r="K13" s="29">
        <v>2.6570000000000001E-3</v>
      </c>
      <c r="L13" s="1"/>
      <c r="M13" s="1"/>
      <c r="N13" s="18"/>
    </row>
    <row r="14" spans="2:14" ht="15" customHeight="1" x14ac:dyDescent="0.25">
      <c r="B14" s="20"/>
      <c r="C14" s="5" t="s">
        <v>26</v>
      </c>
      <c r="D14" s="6" t="s">
        <v>29</v>
      </c>
      <c r="E14" s="11">
        <v>0.10531699999999999</v>
      </c>
      <c r="F14" s="1"/>
      <c r="G14" s="1"/>
      <c r="H14" s="1"/>
      <c r="I14" s="1"/>
      <c r="J14" s="24" t="s">
        <v>58</v>
      </c>
      <c r="K14" s="29">
        <v>0.21800900000000001</v>
      </c>
      <c r="L14" s="1"/>
      <c r="M14" s="1"/>
      <c r="N14" s="18"/>
    </row>
    <row r="15" spans="2:14" ht="15" customHeight="1" x14ac:dyDescent="0.25">
      <c r="B15" s="20"/>
      <c r="C15" s="5" t="s">
        <v>30</v>
      </c>
      <c r="D15" s="6" t="s">
        <v>29</v>
      </c>
      <c r="E15" s="11">
        <v>9.8544999999999994E-2</v>
      </c>
      <c r="F15" s="1"/>
      <c r="G15" s="1"/>
      <c r="H15" s="1"/>
      <c r="I15" s="1"/>
      <c r="J15" s="24" t="s">
        <v>59</v>
      </c>
      <c r="K15" s="29">
        <v>8.5000000000000006E-5</v>
      </c>
      <c r="L15" s="1"/>
      <c r="M15" s="1"/>
      <c r="N15" s="18"/>
    </row>
    <row r="16" spans="2:14" ht="15" customHeight="1" x14ac:dyDescent="0.25">
      <c r="B16" s="20"/>
      <c r="C16" s="5" t="s">
        <v>31</v>
      </c>
      <c r="D16" s="6" t="s">
        <v>29</v>
      </c>
      <c r="E16" s="11">
        <v>9.3050999999999995E-2</v>
      </c>
      <c r="F16" s="1"/>
      <c r="G16" s="1"/>
      <c r="H16" s="1"/>
      <c r="I16" s="1"/>
      <c r="J16" s="1"/>
      <c r="K16" s="1"/>
      <c r="L16" s="1"/>
      <c r="M16" s="1"/>
      <c r="N16" s="18"/>
    </row>
    <row r="17" spans="2:14" ht="15" customHeight="1" x14ac:dyDescent="0.25">
      <c r="B17" s="20"/>
      <c r="C17" s="5" t="s">
        <v>32</v>
      </c>
      <c r="D17" s="6" t="s">
        <v>29</v>
      </c>
      <c r="E17" s="11">
        <v>6.5556000000000003E-2</v>
      </c>
      <c r="F17" s="1"/>
      <c r="G17" s="1"/>
      <c r="H17" s="1"/>
      <c r="I17" s="1"/>
      <c r="J17" s="1"/>
      <c r="K17" s="1"/>
      <c r="L17" s="1"/>
      <c r="M17" s="1"/>
      <c r="N17" s="18"/>
    </row>
    <row r="18" spans="2:14" ht="15" customHeight="1" x14ac:dyDescent="0.25">
      <c r="B18" s="20"/>
      <c r="C18" s="5" t="s">
        <v>33</v>
      </c>
      <c r="D18" s="6" t="s">
        <v>29</v>
      </c>
      <c r="E18" s="11">
        <v>4.9320000000000003E-2</v>
      </c>
      <c r="F18" s="1"/>
      <c r="G18" s="1"/>
      <c r="H18" s="1"/>
      <c r="I18" s="1"/>
      <c r="J18" s="1"/>
      <c r="K18" s="1"/>
      <c r="L18" s="1"/>
      <c r="M18" s="1"/>
      <c r="N18" s="18"/>
    </row>
    <row r="19" spans="2:14" ht="15" customHeight="1" x14ac:dyDescent="0.25">
      <c r="B19" s="20"/>
      <c r="C19" s="5" t="s">
        <v>34</v>
      </c>
      <c r="D19" s="6" t="s">
        <v>29</v>
      </c>
      <c r="E19" s="11">
        <v>4.6005999999999998E-2</v>
      </c>
      <c r="F19" s="1"/>
      <c r="G19" s="1"/>
      <c r="H19" s="1"/>
      <c r="I19" s="1"/>
      <c r="J19" s="1"/>
      <c r="K19" s="1"/>
      <c r="L19" s="1"/>
      <c r="M19" s="1"/>
      <c r="N19" s="18"/>
    </row>
    <row r="20" spans="2:14" ht="15" customHeight="1" x14ac:dyDescent="0.25">
      <c r="B20" s="20"/>
      <c r="C20" s="5" t="s">
        <v>35</v>
      </c>
      <c r="D20" s="6" t="s">
        <v>29</v>
      </c>
      <c r="E20" s="11">
        <v>3.7762999999999998E-2</v>
      </c>
      <c r="F20" s="1"/>
      <c r="G20" s="1"/>
      <c r="H20" s="1"/>
      <c r="I20" s="1"/>
      <c r="J20" s="1"/>
      <c r="K20" s="1"/>
      <c r="L20" s="1"/>
      <c r="M20" s="1"/>
      <c r="N20" s="18"/>
    </row>
    <row r="21" spans="2:14" ht="15" customHeight="1" x14ac:dyDescent="0.25">
      <c r="B21" s="20"/>
      <c r="C21" s="5" t="s">
        <v>36</v>
      </c>
      <c r="D21" s="6" t="s">
        <v>29</v>
      </c>
      <c r="E21" s="11">
        <v>2.4164000000000001E-2</v>
      </c>
      <c r="F21" s="1"/>
      <c r="G21" s="1"/>
      <c r="H21" s="1"/>
      <c r="I21" s="1"/>
      <c r="J21" s="1"/>
      <c r="K21" s="1"/>
      <c r="L21" s="1"/>
      <c r="M21" s="1"/>
      <c r="N21" s="18"/>
    </row>
    <row r="22" spans="2:14" ht="15" customHeight="1" x14ac:dyDescent="0.25">
      <c r="B22" s="20"/>
      <c r="C22" s="5" t="s">
        <v>37</v>
      </c>
      <c r="D22" s="6" t="s">
        <v>29</v>
      </c>
      <c r="E22" s="11">
        <v>2.2974000000000001E-2</v>
      </c>
      <c r="F22" s="1"/>
      <c r="G22" s="1"/>
      <c r="H22" s="1"/>
      <c r="I22" s="1"/>
      <c r="J22" s="1"/>
      <c r="K22" s="1"/>
      <c r="L22" s="1"/>
      <c r="M22" s="1"/>
      <c r="N22" s="18"/>
    </row>
    <row r="23" spans="2:14" ht="15" customHeight="1" x14ac:dyDescent="0.25">
      <c r="B23" s="20"/>
      <c r="C23" s="5" t="s">
        <v>38</v>
      </c>
      <c r="D23" s="6" t="s">
        <v>29</v>
      </c>
      <c r="E23" s="11">
        <v>2.1845E-2</v>
      </c>
      <c r="F23" s="1"/>
      <c r="G23" s="1"/>
      <c r="H23" s="1"/>
      <c r="I23" s="1"/>
      <c r="J23" s="1"/>
      <c r="K23" s="1"/>
      <c r="L23" s="1"/>
      <c r="M23" s="1"/>
      <c r="N23" s="18"/>
    </row>
    <row r="24" spans="2:14" ht="15" customHeight="1" x14ac:dyDescent="0.25">
      <c r="B24" s="20"/>
      <c r="C24" s="5" t="s">
        <v>39</v>
      </c>
      <c r="D24" s="6" t="s">
        <v>29</v>
      </c>
      <c r="E24" s="11">
        <v>1.4803E-2</v>
      </c>
      <c r="F24" s="1"/>
      <c r="G24" s="85" t="s">
        <v>18</v>
      </c>
      <c r="H24" s="86"/>
      <c r="I24" s="86"/>
      <c r="J24" s="86"/>
      <c r="K24" s="86"/>
      <c r="L24" s="36">
        <v>2.9948951972454236</v>
      </c>
      <c r="M24" s="27"/>
      <c r="N24" s="28"/>
    </row>
    <row r="25" spans="2:14" ht="15" customHeight="1" x14ac:dyDescent="0.25">
      <c r="B25" s="20"/>
      <c r="C25" s="5" t="s">
        <v>22</v>
      </c>
      <c r="D25" s="6" t="s">
        <v>29</v>
      </c>
      <c r="E25" s="11">
        <v>7.8370000000000002E-3</v>
      </c>
      <c r="F25" s="1"/>
      <c r="G25" s="1"/>
      <c r="H25" s="1"/>
      <c r="I25" s="1"/>
      <c r="J25" s="1"/>
      <c r="K25" s="1"/>
      <c r="L25" s="1"/>
      <c r="M25" s="1"/>
      <c r="N25" s="18"/>
    </row>
    <row r="26" spans="2:14" ht="15" customHeight="1" x14ac:dyDescent="0.25">
      <c r="B26" s="20"/>
      <c r="C26" s="5" t="s">
        <v>40</v>
      </c>
      <c r="D26" s="6" t="s">
        <v>29</v>
      </c>
      <c r="E26" s="11">
        <v>3.388E-3</v>
      </c>
      <c r="F26" s="1"/>
      <c r="G26" s="85" t="s">
        <v>19</v>
      </c>
      <c r="H26" s="86"/>
      <c r="I26" s="86"/>
      <c r="J26" s="86"/>
      <c r="K26" s="86"/>
      <c r="L26" s="86"/>
      <c r="M26" s="86"/>
      <c r="N26" s="87"/>
    </row>
    <row r="27" spans="2:14" ht="15" customHeight="1" x14ac:dyDescent="0.25">
      <c r="B27" s="20"/>
      <c r="C27" s="5" t="s">
        <v>41</v>
      </c>
      <c r="D27" s="6" t="s">
        <v>29</v>
      </c>
      <c r="E27" s="11">
        <v>1.769E-3</v>
      </c>
      <c r="F27" s="1"/>
      <c r="G27" s="1"/>
      <c r="H27" s="1"/>
      <c r="I27" s="1"/>
      <c r="J27" s="1"/>
      <c r="K27" s="1"/>
      <c r="L27" s="1"/>
      <c r="M27" s="1"/>
      <c r="N27" s="18"/>
    </row>
    <row r="28" spans="2:14" ht="15" customHeight="1" x14ac:dyDescent="0.25">
      <c r="B28" s="20"/>
      <c r="C28" s="5" t="s">
        <v>42</v>
      </c>
      <c r="D28" s="6" t="s">
        <v>29</v>
      </c>
      <c r="E28" s="11">
        <v>1.0269999999999999E-3</v>
      </c>
      <c r="F28" s="1"/>
      <c r="G28" s="1"/>
      <c r="H28" s="1"/>
      <c r="I28" s="1"/>
      <c r="J28" s="1"/>
      <c r="K28" s="1"/>
      <c r="L28" s="1"/>
      <c r="M28" s="1"/>
      <c r="N28" s="18"/>
    </row>
    <row r="29" spans="2:14" ht="15" customHeight="1" x14ac:dyDescent="0.25">
      <c r="B29" s="20"/>
      <c r="C29" s="5" t="s">
        <v>43</v>
      </c>
      <c r="D29" s="6" t="s">
        <v>29</v>
      </c>
      <c r="E29" s="11">
        <v>1.07E-4</v>
      </c>
      <c r="F29" s="1"/>
      <c r="G29" s="1"/>
      <c r="H29" s="1"/>
      <c r="I29" s="1"/>
      <c r="J29" s="1"/>
      <c r="K29" s="1"/>
      <c r="L29" s="1"/>
      <c r="M29" s="1"/>
      <c r="N29" s="18"/>
    </row>
    <row r="30" spans="2:14" ht="15.75" customHeight="1" x14ac:dyDescent="0.25">
      <c r="B30" s="20"/>
      <c r="C30" s="7" t="s">
        <v>44</v>
      </c>
      <c r="D30" s="8"/>
      <c r="E30" s="12">
        <v>0.70682</v>
      </c>
      <c r="F30" s="1"/>
      <c r="G30" s="1"/>
      <c r="H30" s="1"/>
      <c r="I30" s="1"/>
      <c r="J30" s="1"/>
      <c r="K30" s="1"/>
      <c r="L30" s="1"/>
      <c r="M30" s="1"/>
      <c r="N30" s="18"/>
    </row>
    <row r="31" spans="2:14" ht="15" customHeight="1" x14ac:dyDescent="0.25">
      <c r="B31" s="20"/>
      <c r="C31" s="5" t="s">
        <v>45</v>
      </c>
      <c r="D31" s="6"/>
      <c r="E31" s="11">
        <v>2.6570000000000001E-3</v>
      </c>
      <c r="F31" s="1"/>
      <c r="G31" s="1"/>
      <c r="H31" s="1"/>
      <c r="I31" s="1"/>
      <c r="J31" s="1"/>
      <c r="K31" s="1"/>
      <c r="L31" s="1"/>
      <c r="M31" s="1"/>
      <c r="N31" s="18"/>
    </row>
    <row r="32" spans="2:14" ht="15.75" customHeight="1" x14ac:dyDescent="0.25">
      <c r="B32" s="20"/>
      <c r="C32" s="7" t="s">
        <v>46</v>
      </c>
      <c r="D32" s="8"/>
      <c r="E32" s="12">
        <v>2.6570000000000001E-3</v>
      </c>
      <c r="F32" s="1"/>
      <c r="G32" s="1"/>
      <c r="H32" s="1"/>
      <c r="I32" s="1"/>
      <c r="J32" s="1"/>
      <c r="K32" s="1"/>
      <c r="L32" s="1"/>
      <c r="M32" s="1"/>
      <c r="N32" s="18"/>
    </row>
    <row r="33" spans="2:14" ht="15" customHeight="1" x14ac:dyDescent="0.25">
      <c r="B33" s="20"/>
      <c r="C33" s="5" t="s">
        <v>47</v>
      </c>
      <c r="D33" s="6" t="s">
        <v>192</v>
      </c>
      <c r="E33" s="11">
        <v>4.9761E-2</v>
      </c>
      <c r="F33" s="1"/>
      <c r="G33" s="1"/>
      <c r="H33" s="1"/>
      <c r="I33" s="1"/>
      <c r="J33" s="1"/>
      <c r="K33" s="1"/>
      <c r="L33" s="1"/>
      <c r="M33" s="1"/>
      <c r="N33" s="18"/>
    </row>
    <row r="34" spans="2:14" ht="15" customHeight="1" x14ac:dyDescent="0.25">
      <c r="B34" s="20"/>
      <c r="C34" s="5" t="s">
        <v>48</v>
      </c>
      <c r="D34" s="6" t="s">
        <v>192</v>
      </c>
      <c r="E34" s="11">
        <v>4.4195999999999999E-2</v>
      </c>
      <c r="F34" s="1"/>
      <c r="G34" s="1"/>
      <c r="H34" s="1"/>
      <c r="I34" s="1"/>
      <c r="J34" s="1"/>
      <c r="K34" s="1"/>
      <c r="L34" s="1"/>
      <c r="M34" s="1"/>
      <c r="N34" s="18"/>
    </row>
    <row r="35" spans="2:14" ht="15" customHeight="1" x14ac:dyDescent="0.25">
      <c r="B35" s="20"/>
      <c r="C35" s="5" t="s">
        <v>49</v>
      </c>
      <c r="D35" s="6" t="s">
        <v>192</v>
      </c>
      <c r="E35" s="11">
        <v>4.1001999999999997E-2</v>
      </c>
      <c r="F35" s="1"/>
      <c r="G35" s="1"/>
      <c r="H35" s="1"/>
      <c r="I35" s="1"/>
      <c r="J35" s="1"/>
      <c r="K35" s="1"/>
      <c r="L35" s="1"/>
      <c r="M35" s="1"/>
      <c r="N35" s="18"/>
    </row>
    <row r="36" spans="2:14" ht="15" customHeight="1" x14ac:dyDescent="0.25">
      <c r="B36" s="20"/>
      <c r="C36" s="5" t="s">
        <v>50</v>
      </c>
      <c r="D36" s="6" t="s">
        <v>192</v>
      </c>
      <c r="E36" s="11">
        <v>3.5504000000000001E-2</v>
      </c>
      <c r="F36" s="1"/>
      <c r="G36" s="1"/>
      <c r="H36" s="1"/>
      <c r="I36" s="1"/>
      <c r="J36" s="1"/>
      <c r="K36" s="1"/>
      <c r="L36" s="1"/>
      <c r="M36" s="1"/>
      <c r="N36" s="18"/>
    </row>
    <row r="37" spans="2:14" ht="15" customHeight="1" x14ac:dyDescent="0.25">
      <c r="B37" s="20"/>
      <c r="C37" s="5" t="s">
        <v>51</v>
      </c>
      <c r="D37" s="6" t="s">
        <v>192</v>
      </c>
      <c r="E37" s="11">
        <v>2.7486E-2</v>
      </c>
      <c r="F37" s="1"/>
      <c r="G37" s="1"/>
      <c r="H37" s="1"/>
      <c r="I37" s="1"/>
      <c r="J37" s="1"/>
      <c r="K37" s="1"/>
      <c r="L37" s="1"/>
      <c r="M37" s="1"/>
      <c r="N37" s="18"/>
    </row>
    <row r="38" spans="2:14" ht="15" customHeight="1" x14ac:dyDescent="0.25">
      <c r="B38" s="20"/>
      <c r="C38" s="5" t="s">
        <v>52</v>
      </c>
      <c r="D38" s="6" t="s">
        <v>192</v>
      </c>
      <c r="E38" s="11">
        <v>1.2197E-2</v>
      </c>
      <c r="F38" s="1"/>
      <c r="G38" s="1"/>
      <c r="H38" s="1"/>
      <c r="I38" s="1"/>
      <c r="J38" s="1"/>
      <c r="K38" s="1"/>
      <c r="L38" s="1"/>
      <c r="M38" s="1"/>
      <c r="N38" s="18"/>
    </row>
    <row r="39" spans="2:14" ht="15" customHeight="1" x14ac:dyDescent="0.25">
      <c r="B39" s="20"/>
      <c r="C39" s="5" t="s">
        <v>53</v>
      </c>
      <c r="D39" s="6" t="s">
        <v>192</v>
      </c>
      <c r="E39" s="11">
        <v>7.8630000000000002E-3</v>
      </c>
      <c r="F39" s="1"/>
      <c r="G39" s="1"/>
      <c r="H39" s="1"/>
      <c r="I39" s="1"/>
      <c r="J39" s="1"/>
      <c r="K39" s="1"/>
      <c r="L39" s="1"/>
      <c r="M39" s="1"/>
      <c r="N39" s="18"/>
    </row>
    <row r="40" spans="2:14" ht="15.75" customHeight="1" x14ac:dyDescent="0.25">
      <c r="B40" s="20"/>
      <c r="C40" s="7" t="s">
        <v>54</v>
      </c>
      <c r="D40" s="8"/>
      <c r="E40" s="12">
        <v>0.21800900000000001</v>
      </c>
      <c r="F40" s="1"/>
      <c r="G40" s="1"/>
      <c r="H40" s="1"/>
      <c r="I40" s="1"/>
      <c r="J40" s="1"/>
      <c r="K40" s="1"/>
      <c r="L40" s="1"/>
      <c r="M40" s="1"/>
      <c r="N40" s="18"/>
    </row>
    <row r="41" spans="2:14" ht="15" customHeight="1" x14ac:dyDescent="0.25">
      <c r="B41" s="20"/>
      <c r="C41" s="5" t="s">
        <v>212</v>
      </c>
      <c r="D41" s="6" t="s">
        <v>192</v>
      </c>
      <c r="E41" s="11">
        <v>8.5000000000000006E-5</v>
      </c>
      <c r="F41" s="1"/>
      <c r="G41" s="1"/>
      <c r="H41" s="1"/>
      <c r="I41" s="1"/>
      <c r="J41" s="1"/>
      <c r="K41" s="1"/>
      <c r="L41" s="1"/>
      <c r="M41" s="1"/>
      <c r="N41" s="18"/>
    </row>
    <row r="42" spans="2:14" ht="15.75" customHeight="1" x14ac:dyDescent="0.25">
      <c r="B42" s="20"/>
      <c r="C42" s="7" t="s">
        <v>55</v>
      </c>
      <c r="D42" s="8"/>
      <c r="E42" s="12">
        <v>8.5000000000000006E-5</v>
      </c>
      <c r="F42" s="1"/>
      <c r="G42" s="1"/>
      <c r="H42" s="1"/>
      <c r="I42" s="1"/>
      <c r="J42" s="1"/>
      <c r="K42" s="1"/>
      <c r="L42" s="1"/>
      <c r="M42" s="1"/>
      <c r="N42" s="18"/>
    </row>
    <row r="43" spans="2:14" ht="15" customHeight="1" x14ac:dyDescent="0.25">
      <c r="B43" s="20"/>
      <c r="C43" s="5" t="s">
        <v>9</v>
      </c>
      <c r="D43" s="6"/>
      <c r="E43" s="11">
        <v>1.2160000000000001E-3</v>
      </c>
      <c r="F43" s="1"/>
      <c r="G43" s="1"/>
      <c r="H43" s="1"/>
      <c r="I43" s="1"/>
      <c r="J43" s="1"/>
      <c r="K43" s="1"/>
      <c r="L43" s="1"/>
      <c r="M43" s="1"/>
      <c r="N43" s="18"/>
    </row>
    <row r="44" spans="2:14" ht="15.75" customHeight="1" x14ac:dyDescent="0.25">
      <c r="B44" s="20"/>
      <c r="C44" s="7" t="s">
        <v>10</v>
      </c>
      <c r="D44" s="8"/>
      <c r="E44" s="12">
        <v>1.2160000000000001E-3</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75" customHeight="1" x14ac:dyDescent="0.25">
      <c r="B46" s="20"/>
      <c r="C46" s="7" t="s">
        <v>11</v>
      </c>
      <c r="D46" s="8"/>
      <c r="E46" s="12">
        <v>3.1612000000000001E-2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C49" s="1"/>
      <c r="D49" s="1"/>
      <c r="E49" s="1"/>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8" t="s">
        <v>268</v>
      </c>
      <c r="C52" s="69"/>
      <c r="D52" s="69"/>
      <c r="E52" s="69"/>
      <c r="F52" s="69"/>
      <c r="G52" s="69"/>
      <c r="H52" s="69"/>
      <c r="I52" s="69"/>
      <c r="J52" s="69"/>
      <c r="K52" s="69"/>
      <c r="L52" s="69"/>
      <c r="M52" s="69"/>
      <c r="N52" s="70"/>
    </row>
    <row r="53" spans="2:14" ht="15" customHeight="1" x14ac:dyDescent="0.25">
      <c r="B53" s="71"/>
      <c r="C53" s="72"/>
      <c r="D53" s="72"/>
      <c r="E53" s="72"/>
      <c r="F53" s="72"/>
      <c r="G53" s="72"/>
      <c r="H53" s="72"/>
      <c r="I53" s="72"/>
      <c r="J53" s="72"/>
      <c r="K53" s="72"/>
      <c r="L53" s="72"/>
      <c r="M53" s="72"/>
      <c r="N53" s="73"/>
    </row>
    <row r="54" spans="2:14" ht="15" customHeight="1" x14ac:dyDescent="0.25">
      <c r="B54" s="71"/>
      <c r="C54" s="72"/>
      <c r="D54" s="72"/>
      <c r="E54" s="72"/>
      <c r="F54" s="72"/>
      <c r="G54" s="72"/>
      <c r="H54" s="72"/>
      <c r="I54" s="72"/>
      <c r="J54" s="72"/>
      <c r="K54" s="72"/>
      <c r="L54" s="72"/>
      <c r="M54" s="72"/>
      <c r="N54" s="73"/>
    </row>
    <row r="55" spans="2:14" ht="15" customHeight="1" thickBot="1" x14ac:dyDescent="0.3">
      <c r="B55" s="74"/>
      <c r="C55" s="75"/>
      <c r="D55" s="75"/>
      <c r="E55" s="75"/>
      <c r="F55" s="75"/>
      <c r="G55" s="75"/>
      <c r="H55" s="75"/>
      <c r="I55" s="75"/>
      <c r="J55" s="75"/>
      <c r="K55" s="75"/>
      <c r="L55" s="75"/>
      <c r="M55" s="75"/>
      <c r="N55" s="76"/>
    </row>
    <row r="56" spans="2:14" ht="15" customHeight="1" thickBot="1" x14ac:dyDescent="0.3"/>
    <row r="57" spans="2:14" ht="126.75" customHeight="1" thickBot="1" x14ac:dyDescent="0.3">
      <c r="B57" s="77" t="s">
        <v>269</v>
      </c>
      <c r="C57" s="78"/>
      <c r="D57" s="78"/>
      <c r="E57" s="78"/>
      <c r="F57" s="78"/>
      <c r="G57" s="78"/>
      <c r="H57" s="78"/>
      <c r="I57" s="78"/>
      <c r="J57" s="78"/>
      <c r="K57" s="78"/>
      <c r="L57" s="78"/>
      <c r="M57" s="78"/>
      <c r="N57" s="79"/>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F056-D823-4E93-8AF0-41C6D392AE16}">
  <dimension ref="B1:N74"/>
  <sheetViews>
    <sheetView showGridLines="0" topLeftCell="A25" zoomScale="75" zoomScaleNormal="75" workbookViewId="0">
      <selection activeCell="E10" sqref="E10:E29"/>
    </sheetView>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76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77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26</v>
      </c>
      <c r="D8" s="6" t="s">
        <v>23</v>
      </c>
      <c r="E8" s="11">
        <v>3.5599999999999998E-4</v>
      </c>
      <c r="F8" s="1"/>
      <c r="G8" s="24" t="s">
        <v>16</v>
      </c>
      <c r="H8" s="25">
        <v>1</v>
      </c>
      <c r="I8" s="1"/>
      <c r="J8" s="24" t="s">
        <v>13</v>
      </c>
      <c r="K8" s="24" t="s">
        <v>5</v>
      </c>
      <c r="L8" s="1"/>
      <c r="M8" s="1"/>
      <c r="N8" s="18"/>
    </row>
    <row r="9" spans="2:14" ht="15.75" customHeight="1" x14ac:dyDescent="0.25">
      <c r="B9" s="20"/>
      <c r="C9" s="7" t="s">
        <v>27</v>
      </c>
      <c r="D9" s="8"/>
      <c r="E9" s="12">
        <v>3.5599999999999998E-4</v>
      </c>
      <c r="F9" s="1"/>
      <c r="G9" s="1"/>
      <c r="H9" s="1"/>
      <c r="I9" s="1"/>
      <c r="J9" s="24" t="s">
        <v>11</v>
      </c>
      <c r="K9" s="29">
        <v>2.3529999999999999E-2</v>
      </c>
      <c r="L9" s="1"/>
      <c r="M9" s="1"/>
      <c r="N9" s="18"/>
    </row>
    <row r="10" spans="2:14" ht="15" customHeight="1" x14ac:dyDescent="0.25">
      <c r="B10" s="20"/>
      <c r="C10" s="5" t="s">
        <v>26</v>
      </c>
      <c r="D10" s="6" t="s">
        <v>29</v>
      </c>
      <c r="E10" s="11">
        <v>0.10219499999999999</v>
      </c>
      <c r="F10" s="1"/>
      <c r="G10" s="1"/>
      <c r="H10" s="1"/>
      <c r="I10" s="1"/>
      <c r="J10" s="24" t="s">
        <v>14</v>
      </c>
      <c r="K10" s="29">
        <v>1.0859999999999999E-3</v>
      </c>
      <c r="L10" s="1"/>
      <c r="M10" s="1"/>
      <c r="N10" s="18"/>
    </row>
    <row r="11" spans="2:14" ht="15" customHeight="1" x14ac:dyDescent="0.25">
      <c r="B11" s="20"/>
      <c r="C11" s="5" t="s">
        <v>34</v>
      </c>
      <c r="D11" s="6" t="s">
        <v>29</v>
      </c>
      <c r="E11" s="11">
        <v>8.6210999999999996E-2</v>
      </c>
      <c r="F11" s="1"/>
      <c r="G11" s="1"/>
      <c r="H11" s="1"/>
      <c r="I11" s="1"/>
      <c r="J11" s="24" t="s">
        <v>56</v>
      </c>
      <c r="K11" s="29">
        <v>3.5599999999999998E-4</v>
      </c>
      <c r="L11" s="1"/>
      <c r="M11" s="1"/>
      <c r="N11" s="18"/>
    </row>
    <row r="12" spans="2:14" ht="15" customHeight="1" x14ac:dyDescent="0.25">
      <c r="B12" s="20"/>
      <c r="C12" s="5" t="s">
        <v>28</v>
      </c>
      <c r="D12" s="6" t="s">
        <v>29</v>
      </c>
      <c r="E12" s="11">
        <v>8.4600999999999996E-2</v>
      </c>
      <c r="F12" s="1"/>
      <c r="G12" s="1"/>
      <c r="H12" s="1"/>
      <c r="I12" s="1"/>
      <c r="J12" s="24" t="s">
        <v>57</v>
      </c>
      <c r="K12" s="29">
        <f>E30</f>
        <v>0.68500800000000006</v>
      </c>
      <c r="L12" s="1"/>
      <c r="M12" s="1"/>
      <c r="N12" s="18"/>
    </row>
    <row r="13" spans="2:14" ht="15" customHeight="1" x14ac:dyDescent="0.25">
      <c r="B13" s="20"/>
      <c r="C13" s="5" t="s">
        <v>78</v>
      </c>
      <c r="D13" s="6" t="s">
        <v>29</v>
      </c>
      <c r="E13" s="11">
        <v>8.1194000000000002E-2</v>
      </c>
      <c r="F13" s="1"/>
      <c r="G13" s="1"/>
      <c r="H13" s="1"/>
      <c r="I13" s="1"/>
      <c r="J13" s="24" t="s">
        <v>45</v>
      </c>
      <c r="K13" s="29">
        <v>2.9160000000000002E-3</v>
      </c>
      <c r="L13" s="1"/>
      <c r="M13" s="1"/>
      <c r="N13" s="18"/>
    </row>
    <row r="14" spans="2:14" ht="15" customHeight="1" x14ac:dyDescent="0.25">
      <c r="B14" s="20"/>
      <c r="C14" s="5" t="s">
        <v>39</v>
      </c>
      <c r="D14" s="6" t="s">
        <v>29</v>
      </c>
      <c r="E14" s="11">
        <v>7.1086999999999997E-2</v>
      </c>
      <c r="F14" s="1"/>
      <c r="G14" s="1"/>
      <c r="H14" s="1"/>
      <c r="I14" s="1"/>
      <c r="J14" s="24" t="s">
        <v>58</v>
      </c>
      <c r="K14" s="29">
        <v>0.27703499999999998</v>
      </c>
      <c r="L14" s="1"/>
      <c r="M14" s="1"/>
      <c r="N14" s="18"/>
    </row>
    <row r="15" spans="2:14" ht="15" customHeight="1" x14ac:dyDescent="0.25">
      <c r="B15" s="20"/>
      <c r="C15" s="5" t="s">
        <v>30</v>
      </c>
      <c r="D15" s="6" t="s">
        <v>29</v>
      </c>
      <c r="E15" s="11">
        <v>6.2358999999999998E-2</v>
      </c>
      <c r="F15" s="1"/>
      <c r="G15" s="1"/>
      <c r="H15" s="1"/>
      <c r="I15" s="1"/>
      <c r="J15" s="24"/>
      <c r="K15" s="29"/>
      <c r="L15" s="1"/>
      <c r="M15" s="1"/>
      <c r="N15" s="18"/>
    </row>
    <row r="16" spans="2:14" ht="15" customHeight="1" x14ac:dyDescent="0.25">
      <c r="B16" s="20"/>
      <c r="C16" s="5" t="s">
        <v>73</v>
      </c>
      <c r="D16" s="6" t="s">
        <v>29</v>
      </c>
      <c r="E16" s="11">
        <v>5.7672000000000001E-2</v>
      </c>
      <c r="F16" s="1"/>
      <c r="G16" s="1"/>
      <c r="H16" s="1"/>
      <c r="I16" s="1"/>
      <c r="J16" s="24" t="s">
        <v>59</v>
      </c>
      <c r="K16" s="29">
        <v>9.1799999999999998E-4</v>
      </c>
      <c r="L16" s="1"/>
      <c r="M16" s="1"/>
      <c r="N16" s="18"/>
    </row>
    <row r="17" spans="2:14" ht="15" customHeight="1" x14ac:dyDescent="0.25">
      <c r="B17" s="20"/>
      <c r="C17" s="5" t="s">
        <v>32</v>
      </c>
      <c r="D17" s="6" t="s">
        <v>29</v>
      </c>
      <c r="E17" s="11">
        <v>3.7885000000000002E-2</v>
      </c>
      <c r="F17" s="1"/>
      <c r="G17" s="1"/>
      <c r="H17" s="1"/>
      <c r="I17" s="1"/>
      <c r="J17" s="24" t="s">
        <v>81</v>
      </c>
      <c r="K17" s="29">
        <v>9.1509999999999994E-3</v>
      </c>
      <c r="L17" s="1"/>
      <c r="M17" s="1"/>
      <c r="N17" s="18"/>
    </row>
    <row r="18" spans="2:14" ht="15" customHeight="1" x14ac:dyDescent="0.25">
      <c r="B18" s="20"/>
      <c r="C18" s="5" t="s">
        <v>33</v>
      </c>
      <c r="D18" s="6" t="s">
        <v>29</v>
      </c>
      <c r="E18" s="11">
        <v>3.3571999999999998E-2</v>
      </c>
      <c r="F18" s="1"/>
      <c r="G18" s="1"/>
      <c r="H18" s="1"/>
      <c r="I18" s="1"/>
      <c r="J18" s="1"/>
      <c r="K18" s="1"/>
      <c r="L18" s="1"/>
      <c r="M18" s="1"/>
      <c r="N18" s="18"/>
    </row>
    <row r="19" spans="2:14" ht="15" customHeight="1" x14ac:dyDescent="0.25">
      <c r="B19" s="20"/>
      <c r="C19" s="5" t="s">
        <v>72</v>
      </c>
      <c r="D19" s="6" t="s">
        <v>29</v>
      </c>
      <c r="E19" s="11">
        <v>2.2064E-2</v>
      </c>
      <c r="F19" s="1"/>
      <c r="G19" s="1"/>
      <c r="H19" s="1"/>
      <c r="I19" s="1"/>
      <c r="J19" s="1"/>
      <c r="K19" s="1"/>
      <c r="L19" s="1"/>
      <c r="M19" s="1"/>
      <c r="N19" s="18"/>
    </row>
    <row r="20" spans="2:14" ht="15" customHeight="1" x14ac:dyDescent="0.25">
      <c r="B20" s="20"/>
      <c r="C20" s="5" t="s">
        <v>31</v>
      </c>
      <c r="D20" s="6" t="s">
        <v>29</v>
      </c>
      <c r="E20" s="11">
        <v>1.4756E-2</v>
      </c>
      <c r="F20" s="1"/>
      <c r="G20" s="1"/>
      <c r="H20" s="1"/>
      <c r="I20" s="1"/>
      <c r="J20" s="1"/>
      <c r="K20" s="1"/>
      <c r="L20" s="1"/>
      <c r="M20" s="1"/>
      <c r="N20" s="18"/>
    </row>
    <row r="21" spans="2:14" ht="15" customHeight="1" x14ac:dyDescent="0.25">
      <c r="B21" s="20"/>
      <c r="C21" s="5" t="s">
        <v>68</v>
      </c>
      <c r="D21" s="6" t="s">
        <v>29</v>
      </c>
      <c r="E21" s="11">
        <v>1.46E-2</v>
      </c>
      <c r="F21" s="1"/>
      <c r="G21" s="1"/>
      <c r="H21" s="1"/>
      <c r="I21" s="1"/>
      <c r="J21" s="1"/>
      <c r="K21" s="1"/>
      <c r="L21" s="1"/>
      <c r="M21" s="1"/>
      <c r="N21" s="18"/>
    </row>
    <row r="22" spans="2:14" ht="15" customHeight="1" x14ac:dyDescent="0.25">
      <c r="B22" s="20"/>
      <c r="C22" s="5" t="s">
        <v>40</v>
      </c>
      <c r="D22" s="6" t="s">
        <v>29</v>
      </c>
      <c r="E22" s="11">
        <v>5.0769999999999999E-3</v>
      </c>
      <c r="F22" s="1"/>
      <c r="G22" s="1"/>
      <c r="H22" s="1"/>
      <c r="I22" s="1"/>
      <c r="J22" s="1"/>
      <c r="K22" s="1"/>
      <c r="L22" s="1"/>
      <c r="M22" s="1"/>
      <c r="N22" s="18"/>
    </row>
    <row r="23" spans="2:14" ht="15" customHeight="1" x14ac:dyDescent="0.25">
      <c r="B23" s="20"/>
      <c r="C23" s="5" t="s">
        <v>37</v>
      </c>
      <c r="D23" s="6" t="s">
        <v>29</v>
      </c>
      <c r="E23" s="11">
        <v>2.8679999999999999E-3</v>
      </c>
      <c r="F23" s="1"/>
      <c r="G23" s="1"/>
      <c r="H23" s="1"/>
      <c r="I23" s="1"/>
      <c r="J23" s="1"/>
      <c r="K23" s="1"/>
      <c r="L23" s="1"/>
      <c r="M23" s="1"/>
      <c r="N23" s="18"/>
    </row>
    <row r="24" spans="2:14" ht="15" customHeight="1" x14ac:dyDescent="0.25">
      <c r="B24" s="20"/>
      <c r="C24" s="5" t="s">
        <v>213</v>
      </c>
      <c r="D24" s="6" t="s">
        <v>29</v>
      </c>
      <c r="E24" s="11">
        <v>1.8730000000000001E-3</v>
      </c>
      <c r="F24" s="1"/>
      <c r="G24" s="85" t="s">
        <v>18</v>
      </c>
      <c r="H24" s="86"/>
      <c r="I24" s="86"/>
      <c r="J24" s="86"/>
      <c r="K24" s="86"/>
      <c r="L24" s="36">
        <v>3.9866513521587481</v>
      </c>
      <c r="M24" s="27"/>
      <c r="N24" s="28"/>
    </row>
    <row r="25" spans="2:14" ht="15" customHeight="1" x14ac:dyDescent="0.25">
      <c r="B25" s="20"/>
      <c r="C25" s="5" t="s">
        <v>79</v>
      </c>
      <c r="D25" s="6" t="s">
        <v>29</v>
      </c>
      <c r="E25" s="11">
        <v>1.841E-3</v>
      </c>
      <c r="F25" s="1"/>
      <c r="G25" s="1"/>
      <c r="H25" s="1"/>
      <c r="I25" s="1"/>
      <c r="J25" s="1"/>
      <c r="K25" s="1"/>
      <c r="L25" s="1"/>
      <c r="M25" s="1"/>
      <c r="N25" s="18"/>
    </row>
    <row r="26" spans="2:14" ht="15" customHeight="1" x14ac:dyDescent="0.25">
      <c r="B26" s="20"/>
      <c r="C26" s="5" t="s">
        <v>74</v>
      </c>
      <c r="D26" s="6" t="s">
        <v>29</v>
      </c>
      <c r="E26" s="11">
        <v>1.8370000000000001E-3</v>
      </c>
      <c r="F26" s="1"/>
      <c r="G26" s="85" t="s">
        <v>19</v>
      </c>
      <c r="H26" s="86"/>
      <c r="I26" s="86"/>
      <c r="J26" s="86"/>
      <c r="K26" s="86"/>
      <c r="L26" s="86"/>
      <c r="M26" s="86"/>
      <c r="N26" s="87"/>
    </row>
    <row r="27" spans="2:14" ht="15" customHeight="1" x14ac:dyDescent="0.25">
      <c r="B27" s="20"/>
      <c r="C27" s="5" t="s">
        <v>22</v>
      </c>
      <c r="D27" s="6" t="s">
        <v>29</v>
      </c>
      <c r="E27" s="11">
        <v>1.4760000000000001E-3</v>
      </c>
      <c r="F27" s="1"/>
      <c r="G27" s="1"/>
      <c r="H27" s="1"/>
      <c r="I27" s="1"/>
      <c r="J27" s="1"/>
      <c r="K27" s="1"/>
      <c r="L27" s="1"/>
      <c r="M27" s="1"/>
      <c r="N27" s="18"/>
    </row>
    <row r="28" spans="2:14" ht="15" customHeight="1" x14ac:dyDescent="0.25">
      <c r="B28" s="20"/>
      <c r="C28" s="5" t="s">
        <v>36</v>
      </c>
      <c r="D28" s="6" t="s">
        <v>29</v>
      </c>
      <c r="E28" s="11">
        <v>1.098E-3</v>
      </c>
      <c r="F28" s="1"/>
      <c r="G28" s="1"/>
      <c r="H28" s="1"/>
      <c r="I28" s="1"/>
      <c r="J28" s="1"/>
      <c r="K28" s="1"/>
      <c r="L28" s="1"/>
      <c r="M28" s="1"/>
      <c r="N28" s="18"/>
    </row>
    <row r="29" spans="2:14" ht="15.75" customHeight="1" x14ac:dyDescent="0.25">
      <c r="B29" s="20"/>
      <c r="C29" s="5" t="s">
        <v>35</v>
      </c>
      <c r="D29" s="6" t="s">
        <v>29</v>
      </c>
      <c r="E29" s="11">
        <v>7.4200000000000004E-4</v>
      </c>
      <c r="F29" s="1"/>
      <c r="G29" s="1"/>
      <c r="H29" s="1"/>
      <c r="I29" s="1"/>
      <c r="J29" s="1"/>
      <c r="K29" s="1"/>
      <c r="L29" s="1"/>
      <c r="M29" s="1"/>
      <c r="N29" s="18"/>
    </row>
    <row r="30" spans="2:14" ht="15" customHeight="1" x14ac:dyDescent="0.25">
      <c r="B30" s="20"/>
      <c r="C30" s="7" t="s">
        <v>44</v>
      </c>
      <c r="D30" s="8"/>
      <c r="E30" s="12">
        <v>0.68500800000000006</v>
      </c>
      <c r="F30" s="1"/>
      <c r="G30" s="1"/>
      <c r="H30" s="1"/>
      <c r="I30" s="1"/>
      <c r="J30" s="1"/>
      <c r="K30" s="1"/>
      <c r="L30" s="1"/>
      <c r="M30" s="1"/>
      <c r="N30" s="18"/>
    </row>
    <row r="31" spans="2:14" ht="15.75" customHeight="1" x14ac:dyDescent="0.25">
      <c r="B31" s="20"/>
      <c r="C31" s="5" t="s">
        <v>45</v>
      </c>
      <c r="D31" s="6"/>
      <c r="E31" s="11">
        <v>2.9160000000000002E-3</v>
      </c>
      <c r="F31" s="1"/>
      <c r="G31" s="1"/>
      <c r="H31" s="1"/>
      <c r="I31" s="1"/>
      <c r="J31" s="1"/>
      <c r="K31" s="1"/>
      <c r="L31" s="1"/>
      <c r="M31" s="1"/>
      <c r="N31" s="18"/>
    </row>
    <row r="32" spans="2:14" ht="15" customHeight="1" x14ac:dyDescent="0.25">
      <c r="B32" s="20"/>
      <c r="C32" s="7" t="s">
        <v>46</v>
      </c>
      <c r="D32" s="8"/>
      <c r="E32" s="12">
        <v>2.9160000000000002E-3</v>
      </c>
      <c r="F32" s="1"/>
      <c r="G32" s="1"/>
      <c r="H32" s="1"/>
      <c r="I32" s="1"/>
      <c r="J32" s="1"/>
      <c r="K32" s="1"/>
      <c r="L32" s="1"/>
      <c r="M32" s="1"/>
      <c r="N32" s="18"/>
    </row>
    <row r="33" spans="2:14" ht="15" customHeight="1" x14ac:dyDescent="0.25">
      <c r="B33" s="20"/>
      <c r="C33" s="5" t="s">
        <v>51</v>
      </c>
      <c r="D33" s="6" t="s">
        <v>192</v>
      </c>
      <c r="E33" s="11">
        <v>0.124168</v>
      </c>
      <c r="F33" s="1"/>
      <c r="G33" s="1"/>
      <c r="H33" s="1"/>
      <c r="I33" s="1"/>
      <c r="J33" s="1"/>
      <c r="K33" s="1"/>
      <c r="L33" s="1"/>
      <c r="M33" s="1"/>
      <c r="N33" s="18"/>
    </row>
    <row r="34" spans="2:14" ht="15" customHeight="1" x14ac:dyDescent="0.25">
      <c r="B34" s="20"/>
      <c r="C34" s="5" t="s">
        <v>52</v>
      </c>
      <c r="D34" s="6" t="s">
        <v>192</v>
      </c>
      <c r="E34" s="11">
        <v>7.3768E-2</v>
      </c>
      <c r="F34" s="1"/>
      <c r="G34" s="1"/>
      <c r="H34" s="1"/>
      <c r="I34" s="1"/>
      <c r="J34" s="1"/>
      <c r="K34" s="1"/>
      <c r="L34" s="1"/>
      <c r="M34" s="1"/>
      <c r="N34" s="18"/>
    </row>
    <row r="35" spans="2:14" ht="15" customHeight="1" x14ac:dyDescent="0.25">
      <c r="B35" s="20"/>
      <c r="C35" s="5" t="s">
        <v>53</v>
      </c>
      <c r="D35" s="6" t="s">
        <v>192</v>
      </c>
      <c r="E35" s="11">
        <v>3.5258999999999999E-2</v>
      </c>
      <c r="F35" s="1"/>
      <c r="G35" s="1"/>
      <c r="H35" s="1"/>
      <c r="I35" s="1"/>
      <c r="J35" s="1"/>
      <c r="K35" s="1"/>
      <c r="L35" s="1"/>
      <c r="M35" s="1"/>
      <c r="N35" s="18"/>
    </row>
    <row r="36" spans="2:14" ht="15" customHeight="1" x14ac:dyDescent="0.25">
      <c r="B36" s="20"/>
      <c r="C36" s="5" t="s">
        <v>50</v>
      </c>
      <c r="D36" s="6" t="s">
        <v>192</v>
      </c>
      <c r="E36" s="11">
        <v>2.2719E-2</v>
      </c>
      <c r="F36" s="1"/>
      <c r="G36" s="1"/>
      <c r="H36" s="1"/>
      <c r="I36" s="1"/>
      <c r="J36" s="1"/>
      <c r="K36" s="1"/>
      <c r="L36" s="1"/>
      <c r="M36" s="1"/>
      <c r="N36" s="18"/>
    </row>
    <row r="37" spans="2:14" ht="15" customHeight="1" x14ac:dyDescent="0.25">
      <c r="B37" s="20"/>
      <c r="C37" s="5" t="s">
        <v>47</v>
      </c>
      <c r="D37" s="6" t="s">
        <v>192</v>
      </c>
      <c r="E37" s="11">
        <v>1.3658E-2</v>
      </c>
      <c r="F37" s="1"/>
      <c r="G37" s="1"/>
      <c r="H37" s="1"/>
      <c r="I37" s="1"/>
      <c r="J37" s="1"/>
      <c r="K37" s="1"/>
      <c r="L37" s="1"/>
      <c r="M37" s="1"/>
      <c r="N37" s="18"/>
    </row>
    <row r="38" spans="2:14" ht="15.75" customHeight="1" x14ac:dyDescent="0.25">
      <c r="B38" s="20"/>
      <c r="C38" s="5" t="s">
        <v>48</v>
      </c>
      <c r="D38" s="6" t="s">
        <v>192</v>
      </c>
      <c r="E38" s="11">
        <v>7.463E-3</v>
      </c>
      <c r="F38" s="1"/>
      <c r="G38" s="1"/>
      <c r="H38" s="1"/>
      <c r="I38" s="1"/>
      <c r="J38" s="1"/>
      <c r="K38" s="1"/>
      <c r="L38" s="1"/>
      <c r="M38" s="1"/>
      <c r="N38" s="18"/>
    </row>
    <row r="39" spans="2:14" ht="15" customHeight="1" x14ac:dyDescent="0.25">
      <c r="B39" s="20"/>
      <c r="C39" s="7" t="s">
        <v>54</v>
      </c>
      <c r="D39" s="8"/>
      <c r="E39" s="12">
        <v>0.27703499999999998</v>
      </c>
      <c r="F39" s="1"/>
      <c r="G39" s="1"/>
      <c r="H39" s="1"/>
      <c r="I39" s="1"/>
      <c r="J39" s="1"/>
      <c r="K39" s="1"/>
      <c r="L39" s="1"/>
      <c r="M39" s="1"/>
      <c r="N39" s="18"/>
    </row>
    <row r="40" spans="2:14" ht="15.75" customHeight="1" x14ac:dyDescent="0.25">
      <c r="B40" s="20"/>
      <c r="C40" s="5" t="s">
        <v>214</v>
      </c>
      <c r="D40" s="6" t="s">
        <v>192</v>
      </c>
      <c r="E40" s="11">
        <v>7.36E-4</v>
      </c>
      <c r="F40" s="1"/>
      <c r="G40" s="1"/>
      <c r="H40" s="1"/>
      <c r="I40" s="1"/>
      <c r="J40" s="1"/>
      <c r="K40" s="1"/>
      <c r="L40" s="1"/>
      <c r="M40" s="1"/>
      <c r="N40" s="18"/>
    </row>
    <row r="41" spans="2:14" ht="15" customHeight="1" x14ac:dyDescent="0.25">
      <c r="B41" s="20"/>
      <c r="C41" s="5" t="s">
        <v>215</v>
      </c>
      <c r="D41" s="6" t="s">
        <v>192</v>
      </c>
      <c r="E41" s="11">
        <v>1.8200000000000001E-4</v>
      </c>
      <c r="F41" s="1"/>
      <c r="G41" s="1"/>
      <c r="H41" s="1"/>
      <c r="I41" s="1"/>
      <c r="J41" s="1"/>
      <c r="K41" s="1"/>
      <c r="L41" s="1"/>
      <c r="M41" s="1"/>
      <c r="N41" s="18"/>
    </row>
    <row r="42" spans="2:14" ht="15.75" customHeight="1" x14ac:dyDescent="0.25">
      <c r="B42" s="20"/>
      <c r="C42" s="7" t="s">
        <v>55</v>
      </c>
      <c r="D42" s="8"/>
      <c r="E42" s="12">
        <v>9.1799999999999998E-4</v>
      </c>
      <c r="F42" s="1"/>
      <c r="G42" s="1"/>
      <c r="H42" s="1"/>
      <c r="I42" s="1"/>
      <c r="J42" s="1"/>
      <c r="K42" s="1"/>
      <c r="L42" s="1"/>
      <c r="M42" s="1"/>
      <c r="N42" s="18"/>
    </row>
    <row r="43" spans="2:14" ht="15" customHeight="1" x14ac:dyDescent="0.25">
      <c r="B43" s="20"/>
      <c r="C43" s="5" t="s">
        <v>9</v>
      </c>
      <c r="D43" s="6"/>
      <c r="E43" s="11">
        <v>1.0859999999999999E-3</v>
      </c>
      <c r="F43" s="1"/>
      <c r="G43" s="1"/>
      <c r="H43" s="1"/>
      <c r="I43" s="1"/>
      <c r="J43" s="1"/>
      <c r="K43" s="1"/>
      <c r="L43" s="1"/>
      <c r="M43" s="1"/>
      <c r="N43" s="18"/>
    </row>
    <row r="44" spans="2:14" ht="15.75" customHeight="1" x14ac:dyDescent="0.25">
      <c r="B44" s="20"/>
      <c r="C44" s="7" t="s">
        <v>10</v>
      </c>
      <c r="D44" s="8"/>
      <c r="E44" s="12">
        <v>1.0859999999999999E-3</v>
      </c>
      <c r="F44" s="1"/>
      <c r="G44" s="1"/>
      <c r="H44" s="1"/>
      <c r="I44" s="1"/>
      <c r="J44" s="1"/>
      <c r="K44" s="1"/>
      <c r="L44" s="1"/>
      <c r="M44" s="1"/>
      <c r="N44" s="18"/>
    </row>
    <row r="45" spans="2:14" ht="15" customHeight="1" x14ac:dyDescent="0.25">
      <c r="B45" s="20"/>
      <c r="C45" s="5" t="s">
        <v>72</v>
      </c>
      <c r="D45" s="6" t="s">
        <v>29</v>
      </c>
      <c r="E45" s="11">
        <v>9.1509999999999994E-3</v>
      </c>
      <c r="F45" s="1"/>
      <c r="G45" s="1"/>
      <c r="H45" s="1"/>
      <c r="I45" s="1"/>
      <c r="J45" s="1"/>
      <c r="K45" s="1"/>
      <c r="L45" s="1"/>
      <c r="M45" s="1"/>
      <c r="N45" s="18"/>
    </row>
    <row r="46" spans="2:14" ht="15.75" customHeight="1" x14ac:dyDescent="0.25">
      <c r="B46" s="20"/>
      <c r="C46" s="7" t="s">
        <v>80</v>
      </c>
      <c r="D46" s="8"/>
      <c r="E46" s="12">
        <v>9.1509999999999994E-3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11</v>
      </c>
      <c r="D48" s="8"/>
      <c r="E48" s="12">
        <v>2.3529999999999999E-2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12</v>
      </c>
      <c r="D50" s="10"/>
      <c r="E50" s="13">
        <v>1</v>
      </c>
      <c r="F50" s="1"/>
      <c r="G50" s="1"/>
      <c r="H50" s="1"/>
      <c r="I50" s="1"/>
      <c r="J50" s="1"/>
      <c r="K50" s="1"/>
      <c r="L50" s="1"/>
      <c r="M50" s="1"/>
      <c r="N50" s="18"/>
    </row>
    <row r="51" spans="2:14" ht="15" customHeight="1" x14ac:dyDescent="0.25">
      <c r="B51" s="20"/>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8" t="s">
        <v>268</v>
      </c>
      <c r="C54" s="69"/>
      <c r="D54" s="69"/>
      <c r="E54" s="69"/>
      <c r="F54" s="69"/>
      <c r="G54" s="69"/>
      <c r="H54" s="69"/>
      <c r="I54" s="69"/>
      <c r="J54" s="69"/>
      <c r="K54" s="69"/>
      <c r="L54" s="69"/>
      <c r="M54" s="69"/>
      <c r="N54" s="70"/>
    </row>
    <row r="55" spans="2:14" ht="15" customHeight="1" x14ac:dyDescent="0.25">
      <c r="B55" s="71"/>
      <c r="C55" s="72"/>
      <c r="D55" s="72"/>
      <c r="E55" s="72"/>
      <c r="F55" s="72"/>
      <c r="G55" s="72"/>
      <c r="H55" s="72"/>
      <c r="I55" s="72"/>
      <c r="J55" s="72"/>
      <c r="K55" s="72"/>
      <c r="L55" s="72"/>
      <c r="M55" s="72"/>
      <c r="N55" s="73"/>
    </row>
    <row r="56" spans="2:14" ht="15" customHeight="1" x14ac:dyDescent="0.25">
      <c r="B56" s="71"/>
      <c r="C56" s="72"/>
      <c r="D56" s="72"/>
      <c r="E56" s="72"/>
      <c r="F56" s="72"/>
      <c r="G56" s="72"/>
      <c r="H56" s="72"/>
      <c r="I56" s="72"/>
      <c r="J56" s="72"/>
      <c r="K56" s="72"/>
      <c r="L56" s="72"/>
      <c r="M56" s="72"/>
      <c r="N56" s="73"/>
    </row>
    <row r="57" spans="2:14" ht="15" customHeight="1" thickBot="1" x14ac:dyDescent="0.3">
      <c r="B57" s="74"/>
      <c r="C57" s="75"/>
      <c r="D57" s="75"/>
      <c r="E57" s="75"/>
      <c r="F57" s="75"/>
      <c r="G57" s="75"/>
      <c r="H57" s="75"/>
      <c r="I57" s="75"/>
      <c r="J57" s="75"/>
      <c r="K57" s="75"/>
      <c r="L57" s="75"/>
      <c r="M57" s="75"/>
      <c r="N57" s="76"/>
    </row>
    <row r="58" spans="2:14" ht="15" customHeight="1" thickBot="1" x14ac:dyDescent="0.3"/>
    <row r="59" spans="2:14" ht="123" customHeight="1" thickBot="1" x14ac:dyDescent="0.3">
      <c r="B59" s="77" t="s">
        <v>269</v>
      </c>
      <c r="C59" s="78"/>
      <c r="D59" s="78"/>
      <c r="E59" s="78"/>
      <c r="F59" s="78"/>
      <c r="G59" s="78"/>
      <c r="H59" s="78"/>
      <c r="I59" s="78"/>
      <c r="J59" s="78"/>
      <c r="K59" s="78"/>
      <c r="L59" s="78"/>
      <c r="M59" s="78"/>
      <c r="N59" s="79"/>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C10:E29">
    <sortCondition descending="1" ref="E10"/>
  </sortState>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CADE-3AFE-40FC-82EA-FDD5E5648D65}">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82</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83</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84</v>
      </c>
      <c r="D8" s="6" t="s">
        <v>85</v>
      </c>
      <c r="E8" s="11">
        <v>0.11633400000000001</v>
      </c>
      <c r="F8" s="1"/>
      <c r="G8" s="24" t="s">
        <v>97</v>
      </c>
      <c r="H8" s="29">
        <v>0.61079600000000001</v>
      </c>
      <c r="I8" s="1"/>
      <c r="J8" s="24" t="s">
        <v>13</v>
      </c>
      <c r="K8" s="24" t="s">
        <v>5</v>
      </c>
      <c r="L8" s="1"/>
      <c r="M8" s="1"/>
      <c r="N8" s="18"/>
    </row>
    <row r="9" spans="2:14" ht="15" customHeight="1" x14ac:dyDescent="0.25">
      <c r="B9" s="20"/>
      <c r="C9" s="5" t="s">
        <v>86</v>
      </c>
      <c r="D9" s="6" t="s">
        <v>85</v>
      </c>
      <c r="E9" s="11">
        <v>0.115333</v>
      </c>
      <c r="F9" s="1"/>
      <c r="G9" s="24" t="s">
        <v>16</v>
      </c>
      <c r="H9" s="29">
        <v>0.272783</v>
      </c>
      <c r="I9" s="1"/>
      <c r="J9" s="24" t="s">
        <v>11</v>
      </c>
      <c r="K9" s="29">
        <v>3.7266000000000001E-2</v>
      </c>
      <c r="L9" s="1"/>
      <c r="M9" s="1"/>
      <c r="N9" s="18"/>
    </row>
    <row r="10" spans="2:14" ht="15" customHeight="1" x14ac:dyDescent="0.25">
      <c r="B10" s="20"/>
      <c r="C10" s="5" t="s">
        <v>87</v>
      </c>
      <c r="D10" s="6" t="s">
        <v>85</v>
      </c>
      <c r="E10" s="11">
        <v>8.7511000000000005E-2</v>
      </c>
      <c r="F10" s="1"/>
      <c r="G10" s="24" t="s">
        <v>98</v>
      </c>
      <c r="H10" s="29">
        <v>0.116421</v>
      </c>
      <c r="I10" s="1"/>
      <c r="J10" s="24" t="s">
        <v>14</v>
      </c>
      <c r="K10" s="29">
        <v>1.601E-3</v>
      </c>
      <c r="L10" s="1"/>
      <c r="M10" s="1"/>
      <c r="N10" s="18"/>
    </row>
    <row r="11" spans="2:14" ht="15" customHeight="1" x14ac:dyDescent="0.25">
      <c r="B11" s="20"/>
      <c r="C11" s="5" t="s">
        <v>88</v>
      </c>
      <c r="D11" s="6" t="s">
        <v>89</v>
      </c>
      <c r="E11" s="11">
        <v>7.2922000000000001E-2</v>
      </c>
      <c r="F11" s="1"/>
      <c r="G11" s="1"/>
      <c r="H11" s="1"/>
      <c r="I11" s="1"/>
      <c r="J11" s="24" t="s">
        <v>57</v>
      </c>
      <c r="K11" s="29">
        <v>0.727217</v>
      </c>
      <c r="L11" s="1"/>
      <c r="M11" s="1"/>
      <c r="N11" s="18"/>
    </row>
    <row r="12" spans="2:14" ht="15" customHeight="1" x14ac:dyDescent="0.25">
      <c r="B12" s="20"/>
      <c r="C12" s="5" t="s">
        <v>90</v>
      </c>
      <c r="D12" s="6" t="s">
        <v>85</v>
      </c>
      <c r="E12" s="11">
        <v>7.2494000000000003E-2</v>
      </c>
      <c r="F12" s="1"/>
      <c r="G12" s="1"/>
      <c r="H12" s="1"/>
      <c r="I12" s="1"/>
      <c r="J12" s="24" t="s">
        <v>45</v>
      </c>
      <c r="K12" s="29">
        <v>4.2310000000000004E-3</v>
      </c>
      <c r="L12" s="1"/>
      <c r="M12" s="1"/>
      <c r="N12" s="18"/>
    </row>
    <row r="13" spans="2:14" ht="15" customHeight="1" x14ac:dyDescent="0.25">
      <c r="B13" s="20"/>
      <c r="C13" s="5" t="s">
        <v>91</v>
      </c>
      <c r="D13" s="6" t="s">
        <v>85</v>
      </c>
      <c r="E13" s="11">
        <v>5.9150000000000001E-2</v>
      </c>
      <c r="F13" s="1"/>
      <c r="G13" s="1"/>
      <c r="H13" s="1"/>
      <c r="I13" s="1"/>
      <c r="J13" s="24" t="s">
        <v>58</v>
      </c>
      <c r="K13" s="29">
        <v>0.229685</v>
      </c>
      <c r="L13" s="1"/>
      <c r="M13" s="1"/>
      <c r="N13" s="18"/>
    </row>
    <row r="14" spans="2:14" ht="15" customHeight="1" x14ac:dyDescent="0.25">
      <c r="B14" s="20"/>
      <c r="C14" s="5" t="s">
        <v>92</v>
      </c>
      <c r="D14" s="6" t="s">
        <v>85</v>
      </c>
      <c r="E14" s="11">
        <v>5.8389999999999997E-2</v>
      </c>
      <c r="F14" s="1"/>
      <c r="G14" s="1"/>
      <c r="H14" s="1"/>
      <c r="I14" s="1"/>
      <c r="J14" s="1"/>
      <c r="K14" s="1"/>
      <c r="L14" s="1"/>
      <c r="M14" s="1"/>
      <c r="N14" s="18"/>
    </row>
    <row r="15" spans="2:14" ht="15" customHeight="1" x14ac:dyDescent="0.25">
      <c r="B15" s="20"/>
      <c r="C15" s="5" t="s">
        <v>93</v>
      </c>
      <c r="D15" s="6" t="s">
        <v>85</v>
      </c>
      <c r="E15" s="11">
        <v>5.8139000000000003E-2</v>
      </c>
      <c r="F15" s="1"/>
      <c r="G15" s="1"/>
      <c r="H15" s="1"/>
      <c r="I15" s="1"/>
      <c r="J15" s="1"/>
      <c r="K15" s="1"/>
      <c r="L15" s="1"/>
      <c r="M15" s="1"/>
      <c r="N15" s="18"/>
    </row>
    <row r="16" spans="2:14" ht="15" customHeight="1" x14ac:dyDescent="0.25">
      <c r="B16" s="20"/>
      <c r="C16" s="5" t="s">
        <v>94</v>
      </c>
      <c r="D16" s="6" t="s">
        <v>89</v>
      </c>
      <c r="E16" s="11">
        <v>4.3499000000000003E-2</v>
      </c>
      <c r="F16" s="1"/>
      <c r="G16" s="1"/>
      <c r="H16" s="1"/>
      <c r="I16" s="1"/>
      <c r="J16" s="1"/>
      <c r="K16" s="1"/>
      <c r="L16" s="1"/>
      <c r="M16" s="1"/>
      <c r="N16" s="18"/>
    </row>
    <row r="17" spans="2:14" ht="15" customHeight="1" x14ac:dyDescent="0.25">
      <c r="B17" s="20"/>
      <c r="C17" s="5" t="s">
        <v>95</v>
      </c>
      <c r="D17" s="6" t="s">
        <v>85</v>
      </c>
      <c r="E17" s="11">
        <v>2.8913000000000001E-2</v>
      </c>
      <c r="F17" s="1"/>
      <c r="G17" s="1"/>
      <c r="H17" s="1"/>
      <c r="I17" s="1"/>
      <c r="J17" s="1"/>
      <c r="K17" s="1"/>
      <c r="L17" s="1"/>
      <c r="M17" s="1"/>
      <c r="N17" s="18"/>
    </row>
    <row r="18" spans="2:14" ht="15" customHeight="1" x14ac:dyDescent="0.25">
      <c r="B18" s="20"/>
      <c r="C18" s="5" t="s">
        <v>96</v>
      </c>
      <c r="D18" s="6" t="s">
        <v>85</v>
      </c>
      <c r="E18" s="11">
        <v>1.4532E-2</v>
      </c>
      <c r="F18" s="1"/>
      <c r="G18" s="1"/>
      <c r="H18" s="1"/>
      <c r="I18" s="1"/>
      <c r="J18" s="1"/>
      <c r="K18" s="1"/>
      <c r="L18" s="1"/>
      <c r="M18" s="1"/>
      <c r="N18" s="18"/>
    </row>
    <row r="19" spans="2:14" ht="15.75" customHeight="1" x14ac:dyDescent="0.25">
      <c r="B19" s="20"/>
      <c r="C19" s="7" t="s">
        <v>44</v>
      </c>
      <c r="D19" s="8"/>
      <c r="E19" s="12">
        <v>0.727217</v>
      </c>
      <c r="F19" s="1"/>
      <c r="G19" s="1"/>
      <c r="H19" s="1"/>
      <c r="I19" s="1"/>
      <c r="J19" s="1"/>
      <c r="K19" s="1"/>
      <c r="L19" s="1"/>
      <c r="M19" s="1"/>
      <c r="N19" s="18"/>
    </row>
    <row r="20" spans="2:14" ht="15" customHeight="1" x14ac:dyDescent="0.25">
      <c r="B20" s="20"/>
      <c r="C20" s="5" t="s">
        <v>45</v>
      </c>
      <c r="D20" s="6"/>
      <c r="E20" s="11">
        <v>4.2310000000000004E-3</v>
      </c>
      <c r="F20" s="1"/>
      <c r="G20" s="1"/>
      <c r="H20" s="1"/>
      <c r="I20" s="1"/>
      <c r="J20" s="1"/>
      <c r="K20" s="1"/>
      <c r="L20" s="1"/>
      <c r="M20" s="1"/>
      <c r="N20" s="18"/>
    </row>
    <row r="21" spans="2:14" ht="15.75" customHeight="1" x14ac:dyDescent="0.25">
      <c r="B21" s="20"/>
      <c r="C21" s="7" t="s">
        <v>46</v>
      </c>
      <c r="D21" s="8"/>
      <c r="E21" s="12">
        <v>4.2310000000000004E-3</v>
      </c>
      <c r="F21" s="1"/>
      <c r="G21" s="1"/>
      <c r="H21" s="1"/>
      <c r="I21" s="1"/>
      <c r="J21" s="1"/>
      <c r="K21" s="1"/>
      <c r="L21" s="1"/>
      <c r="M21" s="1"/>
      <c r="N21" s="18"/>
    </row>
    <row r="22" spans="2:14" ht="15" customHeight="1" x14ac:dyDescent="0.25">
      <c r="B22" s="20"/>
      <c r="C22" s="5" t="s">
        <v>62</v>
      </c>
      <c r="D22" s="6" t="s">
        <v>192</v>
      </c>
      <c r="E22" s="11">
        <v>0.229685</v>
      </c>
      <c r="F22" s="1"/>
      <c r="G22" s="1"/>
      <c r="H22" s="1"/>
      <c r="I22" s="1"/>
      <c r="J22" s="1"/>
      <c r="K22" s="1"/>
      <c r="L22" s="1"/>
      <c r="M22" s="1"/>
      <c r="N22" s="18"/>
    </row>
    <row r="23" spans="2:14" ht="15.75" customHeight="1" x14ac:dyDescent="0.25">
      <c r="B23" s="20"/>
      <c r="C23" s="7" t="s">
        <v>54</v>
      </c>
      <c r="D23" s="8"/>
      <c r="E23" s="12">
        <v>0.229685</v>
      </c>
      <c r="F23" s="1"/>
      <c r="G23" s="1"/>
      <c r="H23" s="1"/>
      <c r="I23" s="1"/>
      <c r="J23" s="1"/>
      <c r="K23" s="1"/>
      <c r="L23" s="1"/>
      <c r="M23" s="1"/>
      <c r="N23" s="18"/>
    </row>
    <row r="24" spans="2:14" ht="15" customHeight="1" x14ac:dyDescent="0.25">
      <c r="B24" s="20"/>
      <c r="C24" s="5" t="s">
        <v>9</v>
      </c>
      <c r="D24" s="6"/>
      <c r="E24" s="11">
        <v>1.601E-3</v>
      </c>
      <c r="F24" s="1"/>
      <c r="G24" s="85" t="s">
        <v>18</v>
      </c>
      <c r="H24" s="86"/>
      <c r="I24" s="86"/>
      <c r="J24" s="86"/>
      <c r="K24" s="86"/>
      <c r="L24" s="36">
        <v>4.1676638652677509</v>
      </c>
      <c r="M24" s="27"/>
      <c r="N24" s="28"/>
    </row>
    <row r="25" spans="2:14" ht="15.75" customHeight="1" x14ac:dyDescent="0.25">
      <c r="B25" s="20"/>
      <c r="C25" s="7" t="s">
        <v>10</v>
      </c>
      <c r="D25" s="8"/>
      <c r="E25" s="12">
        <v>1.601E-3</v>
      </c>
      <c r="F25" s="1"/>
      <c r="G25" s="1"/>
      <c r="H25" s="1"/>
      <c r="I25" s="1"/>
      <c r="J25" s="1"/>
      <c r="K25" s="1"/>
      <c r="L25" s="1"/>
      <c r="M25" s="1"/>
      <c r="N25" s="18"/>
    </row>
    <row r="26" spans="2:14" ht="15" customHeight="1" x14ac:dyDescent="0.25">
      <c r="B26" s="20"/>
      <c r="C26" s="5"/>
      <c r="D26" s="6"/>
      <c r="E26" s="11"/>
      <c r="F26" s="1"/>
      <c r="G26" s="85" t="s">
        <v>19</v>
      </c>
      <c r="H26" s="86"/>
      <c r="I26" s="86"/>
      <c r="J26" s="86"/>
      <c r="K26" s="86"/>
      <c r="L26" s="86"/>
      <c r="M26" s="86"/>
      <c r="N26" s="87"/>
    </row>
    <row r="27" spans="2:14" ht="15.75" customHeight="1" x14ac:dyDescent="0.25">
      <c r="B27" s="20"/>
      <c r="C27" s="7" t="s">
        <v>11</v>
      </c>
      <c r="D27" s="8"/>
      <c r="E27" s="12">
        <v>3.7266000000000001E-2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12</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268</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1.5" customHeight="1" thickBot="1" x14ac:dyDescent="0.3">
      <c r="B50" s="77" t="s">
        <v>269</v>
      </c>
      <c r="C50" s="78"/>
      <c r="D50" s="78"/>
      <c r="E50" s="78"/>
      <c r="F50" s="78"/>
      <c r="G50" s="78"/>
      <c r="H50" s="78"/>
      <c r="I50" s="78"/>
      <c r="J50" s="78"/>
      <c r="K50" s="78"/>
      <c r="L50" s="78"/>
      <c r="M50" s="78"/>
      <c r="N50" s="79"/>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436A-872A-44DC-A19F-F8515530213F}">
  <dimension ref="B1:N57"/>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126</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127</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88</v>
      </c>
      <c r="D8" s="6" t="s">
        <v>89</v>
      </c>
      <c r="E8" s="11">
        <v>7.6945E-2</v>
      </c>
      <c r="F8" s="1"/>
      <c r="G8" s="24" t="s">
        <v>16</v>
      </c>
      <c r="H8" s="29">
        <v>0.57807799999999998</v>
      </c>
      <c r="I8" s="1"/>
      <c r="J8" s="24" t="s">
        <v>13</v>
      </c>
      <c r="K8" s="24" t="s">
        <v>5</v>
      </c>
      <c r="L8" s="1"/>
      <c r="M8" s="1"/>
      <c r="N8" s="18"/>
    </row>
    <row r="9" spans="2:14" ht="15" customHeight="1" x14ac:dyDescent="0.25">
      <c r="B9" s="20"/>
      <c r="C9" s="5" t="s">
        <v>30</v>
      </c>
      <c r="D9" s="6" t="s">
        <v>29</v>
      </c>
      <c r="E9" s="11">
        <v>7.6910999999999993E-2</v>
      </c>
      <c r="F9" s="1"/>
      <c r="G9" s="24" t="s">
        <v>97</v>
      </c>
      <c r="H9" s="29">
        <v>0.230215</v>
      </c>
      <c r="I9" s="1"/>
      <c r="J9" s="24" t="s">
        <v>11</v>
      </c>
      <c r="K9" s="29">
        <v>-3.4000000000000002E-4</v>
      </c>
      <c r="L9" s="1"/>
      <c r="M9" s="1"/>
      <c r="N9" s="18"/>
    </row>
    <row r="10" spans="2:14" ht="15" customHeight="1" x14ac:dyDescent="0.25">
      <c r="B10" s="20"/>
      <c r="C10" s="5" t="s">
        <v>87</v>
      </c>
      <c r="D10" s="6" t="s">
        <v>85</v>
      </c>
      <c r="E10" s="11">
        <v>5.774E-2</v>
      </c>
      <c r="F10" s="1"/>
      <c r="G10" s="24" t="s">
        <v>98</v>
      </c>
      <c r="H10" s="29">
        <v>0.19170699999999999</v>
      </c>
      <c r="I10" s="1"/>
      <c r="J10" s="24" t="s">
        <v>14</v>
      </c>
      <c r="K10" s="29">
        <v>5.3898000000000001E-2</v>
      </c>
      <c r="L10" s="1"/>
      <c r="M10" s="1"/>
      <c r="N10" s="18"/>
    </row>
    <row r="11" spans="2:14" ht="15" customHeight="1" x14ac:dyDescent="0.25">
      <c r="B11" s="20"/>
      <c r="C11" s="5" t="s">
        <v>93</v>
      </c>
      <c r="D11" s="6" t="s">
        <v>85</v>
      </c>
      <c r="E11" s="11">
        <v>5.7702000000000003E-2</v>
      </c>
      <c r="F11" s="1"/>
      <c r="G11" s="1"/>
      <c r="H11" s="1"/>
      <c r="I11" s="1"/>
      <c r="J11" s="24" t="s">
        <v>57</v>
      </c>
      <c r="K11" s="29">
        <v>0.63207599999999997</v>
      </c>
      <c r="L11" s="1"/>
      <c r="M11" s="1"/>
      <c r="N11" s="18"/>
    </row>
    <row r="12" spans="2:14" ht="15" customHeight="1" x14ac:dyDescent="0.25">
      <c r="B12" s="20"/>
      <c r="C12" s="5" t="s">
        <v>32</v>
      </c>
      <c r="D12" s="6" t="s">
        <v>29</v>
      </c>
      <c r="E12" s="11">
        <v>5.7509999999999999E-2</v>
      </c>
      <c r="F12" s="1"/>
      <c r="G12" s="1"/>
      <c r="H12" s="1"/>
      <c r="I12" s="1"/>
      <c r="J12" s="24" t="s">
        <v>45</v>
      </c>
      <c r="K12" s="29">
        <v>3.447E-3</v>
      </c>
      <c r="L12" s="1"/>
      <c r="M12" s="1"/>
      <c r="N12" s="18"/>
    </row>
    <row r="13" spans="2:14" ht="15" customHeight="1" x14ac:dyDescent="0.25">
      <c r="B13" s="20"/>
      <c r="C13" s="5" t="s">
        <v>128</v>
      </c>
      <c r="D13" s="6" t="s">
        <v>89</v>
      </c>
      <c r="E13" s="11">
        <v>5.7388000000000002E-2</v>
      </c>
      <c r="F13" s="1"/>
      <c r="G13" s="1"/>
      <c r="H13" s="1"/>
      <c r="I13" s="1"/>
      <c r="J13" s="24" t="s">
        <v>58</v>
      </c>
      <c r="K13" s="29">
        <v>0.31091600000000003</v>
      </c>
      <c r="L13" s="1"/>
      <c r="M13" s="1"/>
      <c r="N13" s="18"/>
    </row>
    <row r="14" spans="2:14" ht="15" customHeight="1" x14ac:dyDescent="0.25">
      <c r="B14" s="20"/>
      <c r="C14" s="5" t="s">
        <v>94</v>
      </c>
      <c r="D14" s="6" t="s">
        <v>89</v>
      </c>
      <c r="E14" s="11">
        <v>5.7374000000000001E-2</v>
      </c>
      <c r="F14" s="1"/>
      <c r="G14" s="1"/>
      <c r="H14" s="1"/>
      <c r="I14" s="1"/>
      <c r="J14" s="24"/>
      <c r="K14" s="29"/>
      <c r="L14" s="1"/>
      <c r="M14" s="1"/>
      <c r="N14" s="18"/>
    </row>
    <row r="15" spans="2:14" ht="15" customHeight="1" x14ac:dyDescent="0.25">
      <c r="B15" s="20"/>
      <c r="C15" s="5" t="s">
        <v>92</v>
      </c>
      <c r="D15" s="6" t="s">
        <v>85</v>
      </c>
      <c r="E15" s="11">
        <v>3.8497000000000003E-2</v>
      </c>
      <c r="F15" s="1"/>
      <c r="G15" s="1"/>
      <c r="H15" s="1"/>
      <c r="I15" s="1"/>
      <c r="J15" s="1"/>
      <c r="K15" s="1"/>
      <c r="L15" s="1"/>
      <c r="M15" s="1"/>
      <c r="N15" s="18"/>
    </row>
    <row r="16" spans="2:14" ht="15" customHeight="1" x14ac:dyDescent="0.25">
      <c r="B16" s="20"/>
      <c r="C16" s="5" t="s">
        <v>33</v>
      </c>
      <c r="D16" s="6" t="s">
        <v>29</v>
      </c>
      <c r="E16" s="11">
        <v>3.8427999999999997E-2</v>
      </c>
      <c r="F16" s="1"/>
      <c r="G16" s="1"/>
      <c r="H16" s="1"/>
      <c r="I16" s="1"/>
      <c r="J16" s="1"/>
      <c r="K16" s="1"/>
      <c r="L16" s="1"/>
      <c r="M16" s="1"/>
      <c r="N16" s="18"/>
    </row>
    <row r="17" spans="2:14" ht="15" customHeight="1" x14ac:dyDescent="0.25">
      <c r="B17" s="20"/>
      <c r="C17" s="5" t="s">
        <v>90</v>
      </c>
      <c r="D17" s="6" t="s">
        <v>85</v>
      </c>
      <c r="E17" s="11">
        <v>3.8246000000000002E-2</v>
      </c>
      <c r="F17" s="1"/>
      <c r="G17" s="1"/>
      <c r="H17" s="1"/>
      <c r="I17" s="1"/>
      <c r="J17" s="1"/>
      <c r="K17" s="1"/>
      <c r="L17" s="1"/>
      <c r="M17" s="1"/>
      <c r="N17" s="18"/>
    </row>
    <row r="18" spans="2:14" ht="15" customHeight="1" x14ac:dyDescent="0.25">
      <c r="B18" s="20"/>
      <c r="C18" s="5" t="s">
        <v>86</v>
      </c>
      <c r="D18" s="6" t="s">
        <v>85</v>
      </c>
      <c r="E18" s="11">
        <v>3.8030000000000001E-2</v>
      </c>
      <c r="F18" s="1"/>
      <c r="G18" s="1"/>
      <c r="H18" s="1"/>
      <c r="I18" s="1"/>
      <c r="J18" s="1"/>
      <c r="K18" s="1"/>
      <c r="L18" s="1"/>
      <c r="M18" s="1"/>
      <c r="N18" s="18"/>
    </row>
    <row r="19" spans="2:14" ht="15" customHeight="1" x14ac:dyDescent="0.25">
      <c r="B19" s="20"/>
      <c r="C19" s="5" t="s">
        <v>68</v>
      </c>
      <c r="D19" s="6" t="s">
        <v>29</v>
      </c>
      <c r="E19" s="11">
        <v>3.7304999999999998E-2</v>
      </c>
      <c r="F19" s="1"/>
      <c r="G19" s="1"/>
      <c r="H19" s="1"/>
      <c r="I19" s="1"/>
      <c r="J19" s="1"/>
      <c r="K19" s="1"/>
      <c r="L19" s="1"/>
      <c r="M19" s="1"/>
      <c r="N19" s="18"/>
    </row>
    <row r="20" spans="2:14" ht="15.75" customHeight="1" x14ac:dyDescent="0.25">
      <c r="B20" s="20"/>
      <c r="C20" s="7" t="s">
        <v>44</v>
      </c>
      <c r="D20" s="8"/>
      <c r="E20" s="12">
        <v>0.63207599999999997</v>
      </c>
      <c r="F20" s="1"/>
      <c r="G20" s="1"/>
      <c r="H20" s="1"/>
      <c r="I20" s="1"/>
      <c r="J20" s="1"/>
      <c r="K20" s="1"/>
      <c r="L20" s="1"/>
      <c r="M20" s="1"/>
      <c r="N20" s="18"/>
    </row>
    <row r="21" spans="2:14" ht="15" customHeight="1" x14ac:dyDescent="0.25">
      <c r="B21" s="20"/>
      <c r="C21" s="5" t="s">
        <v>45</v>
      </c>
      <c r="D21" s="6"/>
      <c r="E21" s="11">
        <v>3.447E-3</v>
      </c>
      <c r="F21" s="1"/>
      <c r="G21" s="1"/>
      <c r="H21" s="1"/>
      <c r="I21" s="1"/>
      <c r="J21" s="1"/>
      <c r="K21" s="1"/>
      <c r="L21" s="1"/>
      <c r="M21" s="1"/>
      <c r="N21" s="18"/>
    </row>
    <row r="22" spans="2:14" ht="15.75" customHeight="1" x14ac:dyDescent="0.25">
      <c r="B22" s="20"/>
      <c r="C22" s="7" t="s">
        <v>46</v>
      </c>
      <c r="D22" s="8"/>
      <c r="E22" s="12">
        <v>3.447E-3</v>
      </c>
      <c r="F22" s="1"/>
      <c r="G22" s="1"/>
      <c r="H22" s="1"/>
      <c r="I22" s="1"/>
      <c r="J22" s="1"/>
      <c r="K22" s="1"/>
      <c r="L22" s="1"/>
      <c r="M22" s="1"/>
      <c r="N22" s="18"/>
    </row>
    <row r="23" spans="2:14" ht="15" customHeight="1" x14ac:dyDescent="0.25">
      <c r="B23" s="20"/>
      <c r="C23" s="5" t="s">
        <v>51</v>
      </c>
      <c r="D23" s="6" t="s">
        <v>192</v>
      </c>
      <c r="E23" s="11">
        <v>0.163795</v>
      </c>
      <c r="F23" s="1"/>
      <c r="G23" s="1"/>
      <c r="H23" s="1"/>
      <c r="I23" s="1"/>
      <c r="J23" s="1"/>
      <c r="K23" s="1"/>
      <c r="L23" s="1"/>
      <c r="M23" s="1"/>
      <c r="N23" s="18"/>
    </row>
    <row r="24" spans="2:14" ht="15" customHeight="1" x14ac:dyDescent="0.25">
      <c r="B24" s="20"/>
      <c r="C24" s="5" t="s">
        <v>53</v>
      </c>
      <c r="D24" s="6" t="s">
        <v>192</v>
      </c>
      <c r="E24" s="11">
        <v>6.9700999999999999E-2</v>
      </c>
      <c r="F24" s="1"/>
      <c r="G24" s="85" t="s">
        <v>18</v>
      </c>
      <c r="H24" s="86"/>
      <c r="I24" s="86"/>
      <c r="J24" s="86"/>
      <c r="K24" s="86"/>
      <c r="L24" s="36">
        <v>3.6412471097645343</v>
      </c>
      <c r="M24" s="27"/>
      <c r="N24" s="28"/>
    </row>
    <row r="25" spans="2:14" ht="15" customHeight="1" x14ac:dyDescent="0.25">
      <c r="B25" s="20"/>
      <c r="C25" s="5" t="s">
        <v>129</v>
      </c>
      <c r="D25" s="6" t="s">
        <v>192</v>
      </c>
      <c r="E25" s="11">
        <v>3.8907999999999998E-2</v>
      </c>
      <c r="F25" s="1"/>
      <c r="G25" s="1"/>
      <c r="H25" s="1"/>
      <c r="I25" s="1"/>
      <c r="J25" s="1"/>
      <c r="K25" s="1"/>
      <c r="L25" s="1"/>
      <c r="M25" s="1"/>
      <c r="N25" s="18"/>
    </row>
    <row r="26" spans="2:14" ht="15" customHeight="1" x14ac:dyDescent="0.25">
      <c r="B26" s="20"/>
      <c r="C26" s="5" t="s">
        <v>47</v>
      </c>
      <c r="D26" s="6" t="s">
        <v>192</v>
      </c>
      <c r="E26" s="11">
        <v>3.8511999999999998E-2</v>
      </c>
      <c r="F26" s="1"/>
      <c r="G26" s="85" t="s">
        <v>19</v>
      </c>
      <c r="H26" s="86"/>
      <c r="I26" s="86"/>
      <c r="J26" s="86"/>
      <c r="K26" s="86"/>
      <c r="L26" s="86"/>
      <c r="M26" s="86"/>
      <c r="N26" s="87"/>
    </row>
    <row r="27" spans="2:14" ht="15.75" customHeight="1" x14ac:dyDescent="0.25">
      <c r="B27" s="20"/>
      <c r="C27" s="7" t="s">
        <v>54</v>
      </c>
      <c r="D27" s="8"/>
      <c r="E27" s="12">
        <v>0.31091600000000003</v>
      </c>
      <c r="F27" s="1"/>
      <c r="G27" s="1"/>
      <c r="H27" s="1"/>
      <c r="I27" s="1"/>
      <c r="J27" s="1"/>
      <c r="K27" s="1"/>
      <c r="L27" s="1"/>
      <c r="M27" s="1"/>
      <c r="N27" s="18"/>
    </row>
    <row r="28" spans="2:14" ht="15" customHeight="1" x14ac:dyDescent="0.25">
      <c r="B28" s="20"/>
      <c r="C28" s="5" t="s">
        <v>9</v>
      </c>
      <c r="D28" s="6"/>
      <c r="E28" s="11">
        <v>5.3898000000000001E-2</v>
      </c>
      <c r="F28" s="1"/>
      <c r="G28" s="1"/>
      <c r="H28" s="1"/>
      <c r="I28" s="1"/>
      <c r="J28" s="1"/>
      <c r="K28" s="1"/>
      <c r="L28" s="1"/>
      <c r="M28" s="1"/>
      <c r="N28" s="18"/>
    </row>
    <row r="29" spans="2:14" ht="15.75" customHeight="1" x14ac:dyDescent="0.25">
      <c r="B29" s="20"/>
      <c r="C29" s="7" t="s">
        <v>10</v>
      </c>
      <c r="D29" s="8"/>
      <c r="E29" s="12">
        <v>5.3898000000000001E-2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11</v>
      </c>
      <c r="D31" s="8"/>
      <c r="E31" s="12">
        <v>-3.4000000000000002E-4</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12</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1" t="s">
        <v>130</v>
      </c>
      <c r="D35" s="31"/>
      <c r="E35" s="32">
        <v>0.5951550000000001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268</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72" customHeight="1" thickBot="1" x14ac:dyDescent="0.3">
      <c r="B50" s="77" t="s">
        <v>270</v>
      </c>
      <c r="C50" s="78"/>
      <c r="D50" s="78"/>
      <c r="E50" s="78"/>
      <c r="F50" s="78"/>
      <c r="G50" s="78"/>
      <c r="H50" s="78"/>
      <c r="I50" s="78"/>
      <c r="J50" s="78"/>
      <c r="K50" s="78"/>
      <c r="L50" s="78"/>
      <c r="M50" s="78"/>
      <c r="N50" s="79"/>
    </row>
    <row r="51" spans="2:14" ht="15" customHeight="1" thickBot="1" x14ac:dyDescent="0.3"/>
    <row r="52" spans="2:14" ht="124.5" customHeight="1" thickBot="1" x14ac:dyDescent="0.3">
      <c r="B52" s="77" t="s">
        <v>269</v>
      </c>
      <c r="C52" s="78"/>
      <c r="D52" s="78"/>
      <c r="E52" s="78"/>
      <c r="F52" s="78"/>
      <c r="G52" s="78"/>
      <c r="H52" s="78"/>
      <c r="I52" s="78"/>
      <c r="J52" s="78"/>
      <c r="K52" s="78"/>
      <c r="L52" s="78"/>
      <c r="M52" s="78"/>
      <c r="N52" s="79"/>
    </row>
    <row r="53" spans="2:14" ht="15" customHeight="1" x14ac:dyDescent="0.25"/>
    <row r="54" spans="2:14" ht="15" customHeight="1" x14ac:dyDescent="0.25"/>
    <row r="55" spans="2:14" ht="15" customHeight="1" x14ac:dyDescent="0.25"/>
    <row r="57" spans="2:14" ht="15.7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585F-0D36-40C7-8174-6D1B0C9B3AD1}">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162</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163</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63</v>
      </c>
      <c r="D8" s="6" t="s">
        <v>192</v>
      </c>
      <c r="E8" s="11">
        <v>0.69911500000000004</v>
      </c>
      <c r="F8" s="1"/>
      <c r="G8" s="24" t="s">
        <v>16</v>
      </c>
      <c r="H8" s="25">
        <v>1</v>
      </c>
      <c r="I8" s="1"/>
      <c r="J8" s="24" t="s">
        <v>13</v>
      </c>
      <c r="K8" s="24" t="s">
        <v>5</v>
      </c>
      <c r="L8" s="1"/>
      <c r="M8" s="1"/>
      <c r="N8" s="18"/>
    </row>
    <row r="9" spans="2:14" ht="15" customHeight="1" x14ac:dyDescent="0.25">
      <c r="B9" s="20"/>
      <c r="C9" s="5" t="s">
        <v>164</v>
      </c>
      <c r="D9" s="6" t="s">
        <v>192</v>
      </c>
      <c r="E9" s="11">
        <v>0.24173900000000001</v>
      </c>
      <c r="F9" s="1"/>
      <c r="G9" s="1"/>
      <c r="H9" s="1"/>
      <c r="I9" s="1"/>
      <c r="J9" s="24" t="s">
        <v>11</v>
      </c>
      <c r="K9" s="29">
        <v>-7.6140000000000001E-3</v>
      </c>
      <c r="L9" s="1"/>
      <c r="M9" s="1"/>
      <c r="N9" s="18"/>
    </row>
    <row r="10" spans="2:14" ht="15.75" customHeight="1" x14ac:dyDescent="0.25">
      <c r="B10" s="20"/>
      <c r="C10" s="7" t="s">
        <v>54</v>
      </c>
      <c r="D10" s="8"/>
      <c r="E10" s="12">
        <v>0.94085399999999997</v>
      </c>
      <c r="F10" s="1"/>
      <c r="G10" s="1"/>
      <c r="H10" s="1"/>
      <c r="I10" s="1"/>
      <c r="J10" s="24" t="s">
        <v>14</v>
      </c>
      <c r="K10" s="29">
        <v>6.676E-2</v>
      </c>
      <c r="L10" s="1"/>
      <c r="M10" s="1"/>
      <c r="N10" s="18"/>
    </row>
    <row r="11" spans="2:14" ht="15" customHeight="1" x14ac:dyDescent="0.25">
      <c r="B11" s="20"/>
      <c r="C11" s="5" t="s">
        <v>9</v>
      </c>
      <c r="D11" s="6"/>
      <c r="E11" s="11">
        <v>6.676E-2</v>
      </c>
      <c r="F11" s="1"/>
      <c r="G11" s="1"/>
      <c r="H11" s="1"/>
      <c r="I11" s="1"/>
      <c r="J11" s="24" t="s">
        <v>58</v>
      </c>
      <c r="K11" s="29">
        <v>0.94085399999999997</v>
      </c>
      <c r="L11" s="1"/>
      <c r="M11" s="1"/>
      <c r="N11" s="18"/>
    </row>
    <row r="12" spans="2:14" ht="15.75" customHeight="1" x14ac:dyDescent="0.25">
      <c r="B12" s="20"/>
      <c r="C12" s="7" t="s">
        <v>10</v>
      </c>
      <c r="D12" s="8"/>
      <c r="E12" s="12">
        <v>6.676E-2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-7.6140000000000001E-3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32.382882801340216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1A9B4-7400-4A6F-B34B-B631E4BB4F95}">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133</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134</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63</v>
      </c>
      <c r="D8" s="6" t="s">
        <v>192</v>
      </c>
      <c r="E8" s="11">
        <v>0.99217299999999997</v>
      </c>
      <c r="F8" s="1"/>
      <c r="G8" s="24" t="s">
        <v>16</v>
      </c>
      <c r="H8" s="25">
        <v>1</v>
      </c>
      <c r="I8" s="1"/>
      <c r="J8" s="24" t="s">
        <v>13</v>
      </c>
      <c r="K8" s="24" t="s">
        <v>5</v>
      </c>
      <c r="L8" s="1"/>
      <c r="M8" s="1"/>
      <c r="N8" s="18"/>
    </row>
    <row r="9" spans="2:14" ht="15" customHeight="1" x14ac:dyDescent="0.25">
      <c r="B9" s="20"/>
      <c r="C9" s="5" t="s">
        <v>62</v>
      </c>
      <c r="D9" s="6" t="s">
        <v>192</v>
      </c>
      <c r="E9" s="11">
        <v>3.9779999999999998E-3</v>
      </c>
      <c r="F9" s="1"/>
      <c r="G9" s="1"/>
      <c r="H9" s="1"/>
      <c r="I9" s="1"/>
      <c r="J9" s="24" t="s">
        <v>11</v>
      </c>
      <c r="K9" s="29">
        <v>-7.8840000000000004E-3</v>
      </c>
      <c r="L9" s="1"/>
      <c r="M9" s="1"/>
      <c r="N9" s="18"/>
    </row>
    <row r="10" spans="2:14" ht="15" customHeight="1" x14ac:dyDescent="0.25">
      <c r="B10" s="20"/>
      <c r="C10" s="5" t="s">
        <v>116</v>
      </c>
      <c r="D10" s="6" t="s">
        <v>192</v>
      </c>
      <c r="E10" s="30">
        <v>3.1000000000000001E-5</v>
      </c>
      <c r="F10" s="1"/>
      <c r="G10" s="1"/>
      <c r="H10" s="1"/>
      <c r="I10" s="1"/>
      <c r="J10" s="24" t="s">
        <v>14</v>
      </c>
      <c r="K10" s="29">
        <v>1.1702000000000001E-2</v>
      </c>
      <c r="L10" s="1"/>
      <c r="M10" s="1"/>
      <c r="N10" s="18"/>
    </row>
    <row r="11" spans="2:14" ht="15.75" customHeight="1" x14ac:dyDescent="0.25">
      <c r="B11" s="20"/>
      <c r="C11" s="7" t="s">
        <v>54</v>
      </c>
      <c r="D11" s="8"/>
      <c r="E11" s="12">
        <v>0.99618200000000001</v>
      </c>
      <c r="F11" s="1"/>
      <c r="G11" s="1"/>
      <c r="H11" s="1"/>
      <c r="I11" s="1"/>
      <c r="J11" s="24" t="s">
        <v>58</v>
      </c>
      <c r="K11" s="29">
        <v>0.99618200000000001</v>
      </c>
      <c r="L11" s="1"/>
      <c r="M11" s="1"/>
      <c r="N11" s="18"/>
    </row>
    <row r="12" spans="2:14" ht="15" customHeight="1" x14ac:dyDescent="0.25">
      <c r="B12" s="20"/>
      <c r="C12" s="5" t="s">
        <v>9</v>
      </c>
      <c r="D12" s="6"/>
      <c r="E12" s="11">
        <v>1.1702000000000001E-2</v>
      </c>
      <c r="F12" s="1"/>
      <c r="G12" s="1"/>
      <c r="H12" s="1"/>
      <c r="I12" s="1"/>
      <c r="J12" s="1"/>
      <c r="K12" s="1"/>
      <c r="L12" s="1"/>
      <c r="M12" s="1"/>
      <c r="N12" s="18"/>
    </row>
    <row r="13" spans="2:14" ht="15.75" customHeight="1" x14ac:dyDescent="0.25">
      <c r="B13" s="20"/>
      <c r="C13" s="7" t="s">
        <v>10</v>
      </c>
      <c r="D13" s="8"/>
      <c r="E13" s="12">
        <v>1.1702000000000001E-2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-7.8840000000000004E-3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28.883881110019054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A343-88E9-4766-83A8-2A698D4C70EA}">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131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132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62</v>
      </c>
      <c r="D8" s="6" t="s">
        <v>192</v>
      </c>
      <c r="E8" s="11">
        <v>0.36064600000000002</v>
      </c>
      <c r="F8" s="1"/>
      <c r="G8" s="24" t="s">
        <v>16</v>
      </c>
      <c r="H8" s="25">
        <v>1</v>
      </c>
      <c r="I8" s="1"/>
      <c r="J8" s="24" t="s">
        <v>13</v>
      </c>
      <c r="K8" s="24" t="s">
        <v>5</v>
      </c>
      <c r="L8" s="1"/>
      <c r="M8" s="1"/>
      <c r="N8" s="18"/>
    </row>
    <row r="9" spans="2:14" ht="15" customHeight="1" x14ac:dyDescent="0.25">
      <c r="B9" s="20"/>
      <c r="C9" s="5" t="s">
        <v>53</v>
      </c>
      <c r="D9" s="6" t="s">
        <v>192</v>
      </c>
      <c r="E9" s="11">
        <v>0.30471900000000002</v>
      </c>
      <c r="F9" s="1"/>
      <c r="G9" s="1"/>
      <c r="H9" s="1"/>
      <c r="I9" s="1"/>
      <c r="J9" s="24" t="s">
        <v>11</v>
      </c>
      <c r="K9" s="29">
        <v>2.6190999999999999E-2</v>
      </c>
      <c r="L9" s="1"/>
      <c r="M9" s="1"/>
      <c r="N9" s="18"/>
    </row>
    <row r="10" spans="2:14" ht="15" customHeight="1" x14ac:dyDescent="0.25">
      <c r="B10" s="20"/>
      <c r="C10" s="5" t="s">
        <v>50</v>
      </c>
      <c r="D10" s="6" t="s">
        <v>192</v>
      </c>
      <c r="E10" s="11">
        <v>0.152887</v>
      </c>
      <c r="F10" s="1"/>
      <c r="G10" s="1"/>
      <c r="H10" s="1"/>
      <c r="I10" s="1"/>
      <c r="J10" s="24" t="s">
        <v>14</v>
      </c>
      <c r="K10" s="29">
        <v>4.0969999999999999E-3</v>
      </c>
      <c r="L10" s="1"/>
      <c r="M10" s="1"/>
      <c r="N10" s="18"/>
    </row>
    <row r="11" spans="2:14" ht="15" customHeight="1" x14ac:dyDescent="0.25">
      <c r="B11" s="20"/>
      <c r="C11" s="5" t="s">
        <v>51</v>
      </c>
      <c r="D11" s="6" t="s">
        <v>192</v>
      </c>
      <c r="E11" s="11">
        <v>0.14793500000000001</v>
      </c>
      <c r="F11" s="1"/>
      <c r="G11" s="1"/>
      <c r="H11" s="1"/>
      <c r="I11" s="1"/>
      <c r="J11" s="24" t="s">
        <v>58</v>
      </c>
      <c r="K11" s="29">
        <v>0.96971200000000002</v>
      </c>
      <c r="L11" s="1"/>
      <c r="M11" s="1"/>
      <c r="N11" s="18"/>
    </row>
    <row r="12" spans="2:14" ht="15" customHeight="1" x14ac:dyDescent="0.25">
      <c r="B12" s="20"/>
      <c r="C12" s="5" t="s">
        <v>116</v>
      </c>
      <c r="D12" s="6" t="s">
        <v>192</v>
      </c>
      <c r="E12" s="11">
        <v>2.1559999999999999E-3</v>
      </c>
      <c r="F12" s="1"/>
      <c r="G12" s="1"/>
      <c r="H12" s="1"/>
      <c r="I12" s="1"/>
      <c r="J12" s="1"/>
      <c r="K12" s="1"/>
      <c r="L12" s="1"/>
      <c r="M12" s="1"/>
      <c r="N12" s="18"/>
    </row>
    <row r="13" spans="2:14" ht="15" customHeight="1" x14ac:dyDescent="0.25">
      <c r="B13" s="20"/>
      <c r="C13" s="5" t="s">
        <v>69</v>
      </c>
      <c r="D13" s="6" t="s">
        <v>192</v>
      </c>
      <c r="E13" s="11">
        <v>1.369E-3</v>
      </c>
      <c r="F13" s="1"/>
      <c r="G13" s="1"/>
      <c r="H13" s="1"/>
      <c r="I13" s="1"/>
      <c r="J13" s="1"/>
      <c r="K13" s="1"/>
      <c r="L13" s="1"/>
      <c r="M13" s="1"/>
      <c r="N13" s="18"/>
    </row>
    <row r="14" spans="2:14" ht="15.75" customHeight="1" x14ac:dyDescent="0.25">
      <c r="B14" s="20"/>
      <c r="C14" s="7" t="s">
        <v>54</v>
      </c>
      <c r="D14" s="8"/>
      <c r="E14" s="12">
        <v>0.96971200000000002</v>
      </c>
      <c r="F14" s="1"/>
      <c r="G14" s="1"/>
      <c r="H14" s="1"/>
      <c r="I14" s="1"/>
      <c r="J14" s="1"/>
      <c r="K14" s="1"/>
      <c r="L14" s="1"/>
      <c r="M14" s="1"/>
      <c r="N14" s="18"/>
    </row>
    <row r="15" spans="2:14" ht="15" customHeight="1" x14ac:dyDescent="0.25">
      <c r="B15" s="20"/>
      <c r="C15" s="5" t="s">
        <v>9</v>
      </c>
      <c r="D15" s="6"/>
      <c r="E15" s="11">
        <v>4.0969999999999999E-3</v>
      </c>
      <c r="F15" s="1"/>
      <c r="G15" s="1"/>
      <c r="H15" s="1"/>
      <c r="I15" s="1"/>
      <c r="J15" s="1"/>
      <c r="K15" s="1"/>
      <c r="L15" s="1"/>
      <c r="M15" s="1"/>
      <c r="N15" s="18"/>
    </row>
    <row r="16" spans="2:14" ht="15.75" customHeight="1" x14ac:dyDescent="0.25">
      <c r="B16" s="20"/>
      <c r="C16" s="7" t="s">
        <v>10</v>
      </c>
      <c r="D16" s="8"/>
      <c r="E16" s="12">
        <v>4.0969999999999999E-3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2.6190999999999999E-2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10.159607012105168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1798-9A51-4CA6-A513-4106958B0177}">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108</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109</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110</v>
      </c>
      <c r="D8" s="6" t="s">
        <v>192</v>
      </c>
      <c r="E8" s="11">
        <v>0.32073600000000002</v>
      </c>
      <c r="F8" s="1"/>
      <c r="G8" s="24" t="s">
        <v>16</v>
      </c>
      <c r="H8" s="25">
        <v>1</v>
      </c>
      <c r="I8" s="1"/>
      <c r="J8" s="24" t="s">
        <v>13</v>
      </c>
      <c r="K8" s="24" t="s">
        <v>5</v>
      </c>
      <c r="L8" s="1"/>
      <c r="M8" s="1"/>
      <c r="N8" s="18"/>
    </row>
    <row r="9" spans="2:14" ht="15" customHeight="1" x14ac:dyDescent="0.25">
      <c r="B9" s="20"/>
      <c r="C9" s="5" t="s">
        <v>75</v>
      </c>
      <c r="D9" s="6" t="s">
        <v>192</v>
      </c>
      <c r="E9" s="11">
        <v>0.31169599999999997</v>
      </c>
      <c r="F9" s="1"/>
      <c r="G9" s="1"/>
      <c r="H9" s="1"/>
      <c r="I9" s="1"/>
      <c r="J9" s="24" t="s">
        <v>11</v>
      </c>
      <c r="K9" s="29">
        <v>1.6747000000000001E-2</v>
      </c>
      <c r="L9" s="1"/>
      <c r="M9" s="1"/>
      <c r="N9" s="18"/>
    </row>
    <row r="10" spans="2:14" ht="15" customHeight="1" x14ac:dyDescent="0.25">
      <c r="B10" s="20"/>
      <c r="C10" s="5" t="s">
        <v>111</v>
      </c>
      <c r="D10" s="6" t="s">
        <v>192</v>
      </c>
      <c r="E10" s="11">
        <v>0.18474199999999999</v>
      </c>
      <c r="F10" s="1"/>
      <c r="G10" s="1"/>
      <c r="H10" s="1"/>
      <c r="I10" s="1"/>
      <c r="J10" s="24" t="s">
        <v>14</v>
      </c>
      <c r="K10" s="29">
        <v>2.6700000000000001E-3</v>
      </c>
      <c r="L10" s="1"/>
      <c r="M10" s="1"/>
      <c r="N10" s="18"/>
    </row>
    <row r="11" spans="2:14" ht="15" customHeight="1" x14ac:dyDescent="0.25">
      <c r="B11" s="20"/>
      <c r="C11" s="5" t="s">
        <v>112</v>
      </c>
      <c r="D11" s="6" t="s">
        <v>192</v>
      </c>
      <c r="E11" s="11">
        <v>0.10104200000000001</v>
      </c>
      <c r="F11" s="1"/>
      <c r="G11" s="1"/>
      <c r="H11" s="1"/>
      <c r="I11" s="1"/>
      <c r="J11" s="24" t="s">
        <v>58</v>
      </c>
      <c r="K11" s="29">
        <v>0.98058299999999998</v>
      </c>
      <c r="L11" s="1"/>
      <c r="M11" s="1"/>
      <c r="N11" s="18"/>
    </row>
    <row r="12" spans="2:14" ht="15" customHeight="1" x14ac:dyDescent="0.25">
      <c r="B12" s="20"/>
      <c r="C12" s="5" t="s">
        <v>113</v>
      </c>
      <c r="D12" s="6" t="s">
        <v>192</v>
      </c>
      <c r="E12" s="11">
        <v>6.2366999999999999E-2</v>
      </c>
      <c r="F12" s="1"/>
      <c r="G12" s="1"/>
      <c r="H12" s="1"/>
      <c r="I12" s="1"/>
      <c r="J12" s="1"/>
      <c r="K12" s="1"/>
      <c r="L12" s="1"/>
      <c r="M12" s="1"/>
      <c r="N12" s="18"/>
    </row>
    <row r="13" spans="2:14" ht="15.75" customHeight="1" x14ac:dyDescent="0.25">
      <c r="B13" s="20"/>
      <c r="C13" s="7" t="s">
        <v>54</v>
      </c>
      <c r="D13" s="8"/>
      <c r="E13" s="12">
        <v>0.98058299999999998</v>
      </c>
      <c r="F13" s="1"/>
      <c r="G13" s="1"/>
      <c r="H13" s="1"/>
      <c r="I13" s="1"/>
      <c r="J13" s="1"/>
      <c r="K13" s="1"/>
      <c r="L13" s="1"/>
      <c r="M13" s="1"/>
      <c r="N13" s="18"/>
    </row>
    <row r="14" spans="2:14" ht="15" customHeight="1" x14ac:dyDescent="0.25">
      <c r="B14" s="20"/>
      <c r="C14" s="5" t="s">
        <v>9</v>
      </c>
      <c r="D14" s="6"/>
      <c r="E14" s="11">
        <v>2.6700000000000001E-3</v>
      </c>
      <c r="F14" s="1"/>
      <c r="G14" s="1"/>
      <c r="H14" s="1"/>
      <c r="I14" s="1"/>
      <c r="J14" s="1"/>
      <c r="K14" s="1"/>
      <c r="L14" s="1"/>
      <c r="M14" s="1"/>
      <c r="N14" s="18"/>
    </row>
    <row r="15" spans="2:14" ht="15.75" customHeight="1" x14ac:dyDescent="0.25">
      <c r="B15" s="20"/>
      <c r="C15" s="7" t="s">
        <v>10</v>
      </c>
      <c r="D15" s="8"/>
      <c r="E15" s="12">
        <v>2.6700000000000001E-3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1.6747000000000001E-2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1.6922233440902235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1.7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35E73-88B7-4F9A-8A34-7F0067DD13A1}">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121</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122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107</v>
      </c>
      <c r="D8" s="6" t="s">
        <v>192</v>
      </c>
      <c r="E8" s="11">
        <v>0.76793500000000003</v>
      </c>
      <c r="F8" s="1"/>
      <c r="G8" s="24" t="s">
        <v>16</v>
      </c>
      <c r="H8" s="25">
        <v>1</v>
      </c>
      <c r="I8" s="1"/>
      <c r="J8" s="24" t="s">
        <v>13</v>
      </c>
      <c r="K8" s="24" t="s">
        <v>5</v>
      </c>
      <c r="L8" s="1"/>
      <c r="M8" s="1"/>
      <c r="N8" s="18"/>
    </row>
    <row r="9" spans="2:14" ht="15" customHeight="1" x14ac:dyDescent="0.25">
      <c r="B9" s="20"/>
      <c r="C9" s="5" t="s">
        <v>69</v>
      </c>
      <c r="D9" s="6" t="s">
        <v>192</v>
      </c>
      <c r="E9" s="11">
        <v>0.119308</v>
      </c>
      <c r="F9" s="1"/>
      <c r="G9" s="1"/>
      <c r="H9" s="1"/>
      <c r="I9" s="1"/>
      <c r="J9" s="24" t="s">
        <v>11</v>
      </c>
      <c r="K9" s="29">
        <v>6.0600000000000003E-3</v>
      </c>
      <c r="L9" s="1"/>
      <c r="M9" s="1"/>
      <c r="N9" s="18"/>
    </row>
    <row r="10" spans="2:14" ht="15" customHeight="1" x14ac:dyDescent="0.25">
      <c r="B10" s="20"/>
      <c r="C10" s="5" t="s">
        <v>64</v>
      </c>
      <c r="D10" s="6" t="s">
        <v>192</v>
      </c>
      <c r="E10" s="11">
        <v>0.10123</v>
      </c>
      <c r="F10" s="1"/>
      <c r="G10" s="1"/>
      <c r="H10" s="1"/>
      <c r="I10" s="1"/>
      <c r="J10" s="24" t="s">
        <v>14</v>
      </c>
      <c r="K10" s="29">
        <v>5.4669999999999996E-3</v>
      </c>
      <c r="L10" s="1"/>
      <c r="M10" s="1"/>
      <c r="N10" s="18"/>
    </row>
    <row r="11" spans="2:14" ht="15.75" customHeight="1" x14ac:dyDescent="0.25">
      <c r="B11" s="20"/>
      <c r="C11" s="7" t="s">
        <v>54</v>
      </c>
      <c r="D11" s="8"/>
      <c r="E11" s="12">
        <v>0.98847300000000005</v>
      </c>
      <c r="F11" s="1"/>
      <c r="G11" s="1"/>
      <c r="H11" s="1"/>
      <c r="I11" s="1"/>
      <c r="J11" s="24" t="s">
        <v>58</v>
      </c>
      <c r="K11" s="29">
        <v>0.98847300000000005</v>
      </c>
      <c r="L11" s="1"/>
      <c r="M11" s="1"/>
      <c r="N11" s="18"/>
    </row>
    <row r="12" spans="2:14" ht="15" customHeight="1" x14ac:dyDescent="0.25">
      <c r="B12" s="20"/>
      <c r="C12" s="5" t="s">
        <v>9</v>
      </c>
      <c r="D12" s="6"/>
      <c r="E12" s="11">
        <v>5.4669999999999996E-3</v>
      </c>
      <c r="F12" s="1"/>
      <c r="G12" s="1"/>
      <c r="H12" s="1"/>
      <c r="I12" s="1"/>
      <c r="J12" s="1"/>
      <c r="K12" s="1"/>
      <c r="L12" s="1"/>
      <c r="M12" s="1"/>
      <c r="N12" s="18"/>
    </row>
    <row r="13" spans="2:14" ht="15.75" customHeight="1" x14ac:dyDescent="0.25">
      <c r="B13" s="20"/>
      <c r="C13" s="7" t="s">
        <v>10</v>
      </c>
      <c r="D13" s="8"/>
      <c r="E13" s="12">
        <v>5.4669999999999996E-3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6.0600000000000003E-3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2.9046307100269879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A6D0-508F-40E6-BA73-7E319FBD1CFA}">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114</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115</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116</v>
      </c>
      <c r="D8" s="6" t="s">
        <v>192</v>
      </c>
      <c r="E8" s="11">
        <v>0.57906800000000003</v>
      </c>
      <c r="F8" s="1"/>
      <c r="G8" s="24" t="s">
        <v>16</v>
      </c>
      <c r="H8" s="25">
        <v>1</v>
      </c>
      <c r="I8" s="1"/>
      <c r="J8" s="24" t="s">
        <v>13</v>
      </c>
      <c r="K8" s="24" t="s">
        <v>5</v>
      </c>
      <c r="L8" s="1"/>
      <c r="M8" s="1"/>
      <c r="N8" s="18"/>
    </row>
    <row r="9" spans="2:14" ht="15" customHeight="1" x14ac:dyDescent="0.25">
      <c r="B9" s="20"/>
      <c r="C9" s="5" t="s">
        <v>117</v>
      </c>
      <c r="D9" s="6" t="s">
        <v>192</v>
      </c>
      <c r="E9" s="11">
        <v>0.300844</v>
      </c>
      <c r="F9" s="1"/>
      <c r="G9" s="1"/>
      <c r="H9" s="1"/>
      <c r="I9" s="1"/>
      <c r="J9" s="24" t="s">
        <v>11</v>
      </c>
      <c r="K9" s="29">
        <v>2.6540999999999999E-2</v>
      </c>
      <c r="L9" s="1"/>
      <c r="M9" s="1"/>
      <c r="N9" s="18"/>
    </row>
    <row r="10" spans="2:14" ht="15" customHeight="1" x14ac:dyDescent="0.25">
      <c r="B10" s="20"/>
      <c r="C10" s="5" t="s">
        <v>107</v>
      </c>
      <c r="D10" s="6" t="s">
        <v>192</v>
      </c>
      <c r="E10" s="11">
        <v>9.0077000000000004E-2</v>
      </c>
      <c r="F10" s="1"/>
      <c r="G10" s="1"/>
      <c r="H10" s="1"/>
      <c r="I10" s="1"/>
      <c r="J10" s="24" t="s">
        <v>14</v>
      </c>
      <c r="K10" s="29">
        <v>3.47E-3</v>
      </c>
      <c r="L10" s="1"/>
      <c r="M10" s="1"/>
      <c r="N10" s="18"/>
    </row>
    <row r="11" spans="2:14" ht="15.75" customHeight="1" x14ac:dyDescent="0.25">
      <c r="B11" s="20"/>
      <c r="C11" s="7" t="s">
        <v>54</v>
      </c>
      <c r="D11" s="8"/>
      <c r="E11" s="12">
        <v>0.96998899999999999</v>
      </c>
      <c r="F11" s="1"/>
      <c r="G11" s="1"/>
      <c r="H11" s="1"/>
      <c r="I11" s="1"/>
      <c r="J11" s="24" t="s">
        <v>58</v>
      </c>
      <c r="K11" s="29">
        <v>0.96998899999999999</v>
      </c>
      <c r="L11" s="1"/>
      <c r="M11" s="1"/>
      <c r="N11" s="18"/>
    </row>
    <row r="12" spans="2:14" ht="15" customHeight="1" x14ac:dyDescent="0.25">
      <c r="B12" s="20"/>
      <c r="C12" s="5" t="s">
        <v>9</v>
      </c>
      <c r="D12" s="6"/>
      <c r="E12" s="11">
        <v>3.47E-3</v>
      </c>
      <c r="F12" s="1"/>
      <c r="G12" s="1"/>
      <c r="H12" s="1"/>
      <c r="I12" s="1"/>
      <c r="J12" s="1"/>
      <c r="K12" s="1"/>
      <c r="L12" s="1"/>
      <c r="M12" s="1"/>
      <c r="N12" s="18"/>
    </row>
    <row r="13" spans="2:14" ht="15.75" customHeight="1" x14ac:dyDescent="0.25">
      <c r="B13" s="20"/>
      <c r="C13" s="7" t="s">
        <v>10</v>
      </c>
      <c r="D13" s="8"/>
      <c r="E13" s="12">
        <v>3.47E-3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2.6540999999999999E-2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3.3726539070300303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7563-CE9A-40F4-A141-C9CEECA63DEE}">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118</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119</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51</v>
      </c>
      <c r="D8" s="6" t="s">
        <v>192</v>
      </c>
      <c r="E8" s="11">
        <v>0.76246700000000001</v>
      </c>
      <c r="F8" s="1"/>
      <c r="G8" s="24" t="s">
        <v>16</v>
      </c>
      <c r="H8" s="25">
        <v>1</v>
      </c>
      <c r="I8" s="1"/>
      <c r="J8" s="24" t="s">
        <v>13</v>
      </c>
      <c r="K8" s="24" t="s">
        <v>5</v>
      </c>
      <c r="L8" s="1"/>
      <c r="M8" s="1"/>
      <c r="N8" s="18"/>
    </row>
    <row r="9" spans="2:14" ht="15" customHeight="1" x14ac:dyDescent="0.25">
      <c r="B9" s="20"/>
      <c r="C9" s="5" t="s">
        <v>101</v>
      </c>
      <c r="D9" s="6" t="s">
        <v>192</v>
      </c>
      <c r="E9" s="11">
        <v>0.20748</v>
      </c>
      <c r="F9" s="1"/>
      <c r="G9" s="1"/>
      <c r="H9" s="1"/>
      <c r="I9" s="1"/>
      <c r="J9" s="24" t="s">
        <v>11</v>
      </c>
      <c r="K9" s="29">
        <v>3.0029E-2</v>
      </c>
      <c r="L9" s="1"/>
      <c r="M9" s="1"/>
      <c r="N9" s="18"/>
    </row>
    <row r="10" spans="2:14" ht="15.75" customHeight="1" x14ac:dyDescent="0.25">
      <c r="B10" s="20"/>
      <c r="C10" s="7" t="s">
        <v>54</v>
      </c>
      <c r="D10" s="8"/>
      <c r="E10" s="12">
        <v>0.969947</v>
      </c>
      <c r="F10" s="1"/>
      <c r="G10" s="1"/>
      <c r="H10" s="1"/>
      <c r="I10" s="1"/>
      <c r="J10" s="24" t="s">
        <v>14</v>
      </c>
      <c r="K10" s="34">
        <v>2.4000000000000001E-5</v>
      </c>
      <c r="L10" s="1"/>
      <c r="M10" s="1"/>
      <c r="N10" s="18"/>
    </row>
    <row r="11" spans="2:14" ht="15" customHeight="1" x14ac:dyDescent="0.25">
      <c r="B11" s="20"/>
      <c r="C11" s="5" t="s">
        <v>9</v>
      </c>
      <c r="D11" s="6"/>
      <c r="E11" s="30">
        <v>2.4000000000000001E-5</v>
      </c>
      <c r="F11" s="1"/>
      <c r="G11" s="1"/>
      <c r="H11" s="1"/>
      <c r="I11" s="1"/>
      <c r="J11" s="24" t="s">
        <v>58</v>
      </c>
      <c r="K11" s="29">
        <v>0.969947</v>
      </c>
      <c r="L11" s="1"/>
      <c r="M11" s="1"/>
      <c r="N11" s="18"/>
    </row>
    <row r="12" spans="2:14" ht="15.75" customHeight="1" x14ac:dyDescent="0.25">
      <c r="B12" s="20"/>
      <c r="C12" s="7" t="s">
        <v>10</v>
      </c>
      <c r="D12" s="8"/>
      <c r="E12" s="33">
        <v>2.4000000000000001E-5</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3.0029E-2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26">
        <v>7.4400315419584846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3.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01043-ABDB-4807-B1DA-9D3CD23860CA}">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102</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103</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104</v>
      </c>
      <c r="D8" s="6" t="s">
        <v>192</v>
      </c>
      <c r="E8" s="11">
        <v>0.127078</v>
      </c>
      <c r="F8" s="1"/>
      <c r="G8" s="24" t="s">
        <v>16</v>
      </c>
      <c r="H8" s="25">
        <v>1</v>
      </c>
      <c r="I8" s="1"/>
      <c r="J8" s="24" t="s">
        <v>13</v>
      </c>
      <c r="K8" s="24" t="s">
        <v>5</v>
      </c>
      <c r="L8" s="1"/>
      <c r="M8" s="1"/>
      <c r="N8" s="18"/>
    </row>
    <row r="9" spans="2:14" ht="15.75" customHeight="1" x14ac:dyDescent="0.25">
      <c r="B9" s="20"/>
      <c r="C9" s="7" t="s">
        <v>54</v>
      </c>
      <c r="D9" s="8"/>
      <c r="E9" s="12">
        <v>0.127078</v>
      </c>
      <c r="F9" s="1"/>
      <c r="G9" s="1"/>
      <c r="H9" s="1"/>
      <c r="I9" s="1"/>
      <c r="J9" s="24" t="s">
        <v>11</v>
      </c>
      <c r="K9" s="29">
        <v>1.6752E-2</v>
      </c>
      <c r="L9" s="1"/>
      <c r="M9" s="1"/>
      <c r="N9" s="18"/>
    </row>
    <row r="10" spans="2:14" ht="15" customHeight="1" x14ac:dyDescent="0.25">
      <c r="B10" s="20"/>
      <c r="C10" s="5" t="s">
        <v>225</v>
      </c>
      <c r="D10" s="6" t="s">
        <v>192</v>
      </c>
      <c r="E10" s="11">
        <v>0.15337999999999999</v>
      </c>
      <c r="F10" s="1"/>
      <c r="G10" s="1"/>
      <c r="H10" s="1"/>
      <c r="I10" s="1"/>
      <c r="J10" s="24" t="s">
        <v>14</v>
      </c>
      <c r="K10" s="29">
        <v>2.7764E-2</v>
      </c>
      <c r="L10" s="1"/>
      <c r="M10" s="1"/>
      <c r="N10" s="18"/>
    </row>
    <row r="11" spans="2:14" ht="15.75" customHeight="1" x14ac:dyDescent="0.25">
      <c r="B11" s="20"/>
      <c r="C11" s="5" t="s">
        <v>220</v>
      </c>
      <c r="D11" s="6" t="s">
        <v>192</v>
      </c>
      <c r="E11" s="11">
        <v>0.128076</v>
      </c>
      <c r="F11" s="1"/>
      <c r="G11" s="1"/>
      <c r="H11" s="1"/>
      <c r="I11" s="1"/>
      <c r="J11" s="24" t="s">
        <v>58</v>
      </c>
      <c r="K11" s="29">
        <v>0.127078</v>
      </c>
      <c r="L11" s="1"/>
      <c r="M11" s="1"/>
      <c r="N11" s="18"/>
    </row>
    <row r="12" spans="2:14" ht="15" customHeight="1" x14ac:dyDescent="0.25">
      <c r="B12" s="20"/>
      <c r="C12" s="5" t="s">
        <v>222</v>
      </c>
      <c r="D12" s="6" t="s">
        <v>192</v>
      </c>
      <c r="E12" s="11">
        <v>8.7328000000000003E-2</v>
      </c>
      <c r="F12" s="1"/>
      <c r="G12" s="1"/>
      <c r="H12" s="1"/>
      <c r="I12" s="1"/>
      <c r="J12" s="24" t="s">
        <v>59</v>
      </c>
      <c r="K12" s="29">
        <v>0.82840599999999998</v>
      </c>
      <c r="L12" s="1"/>
      <c r="M12" s="1"/>
      <c r="N12" s="18"/>
    </row>
    <row r="13" spans="2:14" ht="15.75" customHeight="1" x14ac:dyDescent="0.25">
      <c r="B13" s="20"/>
      <c r="C13" s="5" t="s">
        <v>228</v>
      </c>
      <c r="D13" s="6" t="s">
        <v>192</v>
      </c>
      <c r="E13" s="11">
        <v>5.3558000000000001E-2</v>
      </c>
      <c r="F13" s="1"/>
      <c r="G13" s="1"/>
      <c r="H13" s="1"/>
      <c r="I13" s="1"/>
      <c r="J13" s="1"/>
      <c r="K13" s="1"/>
      <c r="L13" s="1"/>
      <c r="M13" s="1"/>
      <c r="N13" s="18"/>
    </row>
    <row r="14" spans="2:14" ht="15" customHeight="1" x14ac:dyDescent="0.25">
      <c r="B14" s="20"/>
      <c r="C14" s="5" t="s">
        <v>233</v>
      </c>
      <c r="D14" s="6" t="s">
        <v>192</v>
      </c>
      <c r="E14" s="11">
        <v>4.3810000000000002E-2</v>
      </c>
      <c r="F14" s="1"/>
      <c r="G14" s="1"/>
      <c r="H14" s="1"/>
      <c r="I14" s="1"/>
      <c r="J14" s="1"/>
      <c r="K14" s="1"/>
      <c r="L14" s="1"/>
      <c r="M14" s="1"/>
      <c r="N14" s="18"/>
    </row>
    <row r="15" spans="2:14" ht="15.75" customHeight="1" x14ac:dyDescent="0.25">
      <c r="B15" s="20"/>
      <c r="C15" s="5" t="s">
        <v>218</v>
      </c>
      <c r="D15" s="6" t="s">
        <v>192</v>
      </c>
      <c r="E15" s="11">
        <v>4.3507999999999998E-2</v>
      </c>
      <c r="F15" s="1"/>
      <c r="G15" s="1"/>
      <c r="H15" s="1"/>
      <c r="I15" s="1"/>
      <c r="J15" s="1"/>
      <c r="K15" s="1"/>
      <c r="L15" s="1"/>
      <c r="M15" s="1"/>
      <c r="N15" s="18"/>
    </row>
    <row r="16" spans="2:14" ht="15" customHeight="1" x14ac:dyDescent="0.25">
      <c r="B16" s="20"/>
      <c r="C16" s="5" t="s">
        <v>223</v>
      </c>
      <c r="D16" s="6" t="s">
        <v>192</v>
      </c>
      <c r="E16" s="11">
        <v>4.3465999999999998E-2</v>
      </c>
      <c r="F16" s="1"/>
      <c r="G16" s="1"/>
      <c r="H16" s="1"/>
      <c r="I16" s="1"/>
      <c r="J16" s="1"/>
      <c r="K16" s="1"/>
      <c r="L16" s="1"/>
      <c r="M16" s="1"/>
      <c r="N16" s="18"/>
    </row>
    <row r="17" spans="2:14" ht="15" customHeight="1" x14ac:dyDescent="0.25">
      <c r="B17" s="20"/>
      <c r="C17" s="5" t="s">
        <v>217</v>
      </c>
      <c r="D17" s="6" t="s">
        <v>192</v>
      </c>
      <c r="E17" s="11">
        <v>4.3361999999999998E-2</v>
      </c>
      <c r="F17" s="1"/>
      <c r="G17" s="1"/>
      <c r="H17" s="1"/>
      <c r="I17" s="1"/>
      <c r="J17" s="1"/>
      <c r="K17" s="1"/>
      <c r="L17" s="1"/>
      <c r="M17" s="1"/>
      <c r="N17" s="18"/>
    </row>
    <row r="18" spans="2:14" ht="15" customHeight="1" x14ac:dyDescent="0.25">
      <c r="B18" s="20"/>
      <c r="C18" s="5" t="s">
        <v>224</v>
      </c>
      <c r="D18" s="6" t="s">
        <v>192</v>
      </c>
      <c r="E18" s="11">
        <v>3.5547000000000002E-2</v>
      </c>
      <c r="F18" s="1"/>
      <c r="G18" s="1"/>
      <c r="H18" s="1"/>
      <c r="I18" s="1"/>
      <c r="J18" s="1"/>
      <c r="K18" s="1"/>
      <c r="L18" s="1"/>
      <c r="M18" s="1"/>
      <c r="N18" s="18"/>
    </row>
    <row r="19" spans="2:14" ht="15" customHeight="1" x14ac:dyDescent="0.25">
      <c r="B19" s="20"/>
      <c r="C19" s="5" t="s">
        <v>229</v>
      </c>
      <c r="D19" s="6" t="s">
        <v>192</v>
      </c>
      <c r="E19" s="11">
        <v>3.5263999999999997E-2</v>
      </c>
      <c r="F19" s="1"/>
      <c r="G19" s="1"/>
      <c r="H19" s="1"/>
      <c r="I19" s="1"/>
      <c r="J19" s="1"/>
      <c r="K19" s="1"/>
      <c r="L19" s="1"/>
      <c r="M19" s="1"/>
      <c r="N19" s="18"/>
    </row>
    <row r="20" spans="2:14" ht="15" customHeight="1" x14ac:dyDescent="0.25">
      <c r="B20" s="20"/>
      <c r="C20" s="5" t="s">
        <v>226</v>
      </c>
      <c r="D20" s="6" t="s">
        <v>192</v>
      </c>
      <c r="E20" s="11">
        <v>3.5035999999999998E-2</v>
      </c>
      <c r="F20" s="1"/>
      <c r="G20" s="1"/>
      <c r="H20" s="1"/>
      <c r="I20" s="1"/>
      <c r="J20" s="1"/>
      <c r="K20" s="1"/>
      <c r="L20" s="1"/>
      <c r="M20" s="1"/>
      <c r="N20" s="18"/>
    </row>
    <row r="21" spans="2:14" ht="15" customHeight="1" x14ac:dyDescent="0.25">
      <c r="B21" s="20"/>
      <c r="C21" s="5" t="s">
        <v>197</v>
      </c>
      <c r="D21" s="6" t="s">
        <v>192</v>
      </c>
      <c r="E21" s="11">
        <v>3.058E-2</v>
      </c>
      <c r="F21" s="1"/>
      <c r="G21" s="1"/>
      <c r="H21" s="1"/>
      <c r="I21" s="1"/>
      <c r="J21" s="1"/>
      <c r="K21" s="1"/>
      <c r="L21" s="1"/>
      <c r="M21" s="1"/>
      <c r="N21" s="18"/>
    </row>
    <row r="22" spans="2:14" ht="15" customHeight="1" x14ac:dyDescent="0.25">
      <c r="B22" s="20"/>
      <c r="C22" s="5" t="s">
        <v>227</v>
      </c>
      <c r="D22" s="6" t="s">
        <v>192</v>
      </c>
      <c r="E22" s="11">
        <v>2.9853999999999999E-2</v>
      </c>
      <c r="F22" s="1"/>
      <c r="G22" s="1"/>
      <c r="H22" s="1"/>
      <c r="I22" s="1"/>
      <c r="J22" s="1"/>
      <c r="K22" s="1"/>
      <c r="L22" s="1"/>
      <c r="M22" s="1"/>
      <c r="N22" s="18"/>
    </row>
    <row r="23" spans="2:14" ht="15" customHeight="1" x14ac:dyDescent="0.25">
      <c r="B23" s="20"/>
      <c r="C23" s="5" t="s">
        <v>216</v>
      </c>
      <c r="D23" s="6" t="s">
        <v>192</v>
      </c>
      <c r="E23" s="11">
        <v>2.1507999999999999E-2</v>
      </c>
      <c r="F23" s="1"/>
      <c r="G23" s="1"/>
      <c r="H23" s="1"/>
      <c r="I23" s="1"/>
      <c r="J23" s="1"/>
      <c r="K23" s="1"/>
      <c r="L23" s="1"/>
      <c r="M23" s="1"/>
      <c r="N23" s="18"/>
    </row>
    <row r="24" spans="2:14" ht="15" customHeight="1" x14ac:dyDescent="0.25">
      <c r="B24" s="20"/>
      <c r="C24" s="5" t="s">
        <v>231</v>
      </c>
      <c r="D24" s="6" t="s">
        <v>192</v>
      </c>
      <c r="E24" s="11">
        <v>1.7378000000000001E-2</v>
      </c>
      <c r="F24" s="1"/>
      <c r="G24" s="85" t="s">
        <v>18</v>
      </c>
      <c r="H24" s="86"/>
      <c r="I24" s="86"/>
      <c r="J24" s="86"/>
      <c r="K24" s="86"/>
      <c r="L24" s="36">
        <v>2.1926870443944226</v>
      </c>
      <c r="M24" s="27"/>
      <c r="N24" s="28"/>
    </row>
    <row r="25" spans="2:14" ht="15" customHeight="1" x14ac:dyDescent="0.25">
      <c r="B25" s="20"/>
      <c r="C25" s="5" t="s">
        <v>230</v>
      </c>
      <c r="D25" s="6" t="s">
        <v>192</v>
      </c>
      <c r="E25" s="11">
        <v>8.6949999999999996E-3</v>
      </c>
      <c r="F25" s="1"/>
      <c r="G25" s="1"/>
      <c r="H25" s="1"/>
      <c r="I25" s="1"/>
      <c r="J25" s="1"/>
      <c r="K25" s="1"/>
      <c r="L25" s="1"/>
      <c r="M25" s="1"/>
      <c r="N25" s="18"/>
    </row>
    <row r="26" spans="2:14" ht="15" customHeight="1" x14ac:dyDescent="0.25">
      <c r="B26" s="20"/>
      <c r="C26" s="5" t="s">
        <v>232</v>
      </c>
      <c r="D26" s="6" t="s">
        <v>192</v>
      </c>
      <c r="E26" s="11">
        <v>8.6870000000000003E-3</v>
      </c>
      <c r="F26" s="1"/>
      <c r="G26" s="85" t="s">
        <v>19</v>
      </c>
      <c r="H26" s="86"/>
      <c r="I26" s="86"/>
      <c r="J26" s="86"/>
      <c r="K26" s="86"/>
      <c r="L26" s="86"/>
      <c r="M26" s="86"/>
      <c r="N26" s="87"/>
    </row>
    <row r="27" spans="2:14" ht="15" customHeight="1" x14ac:dyDescent="0.25">
      <c r="B27" s="20"/>
      <c r="C27" s="5" t="s">
        <v>221</v>
      </c>
      <c r="D27" s="6" t="s">
        <v>192</v>
      </c>
      <c r="E27" s="11">
        <v>5.0549999999999996E-3</v>
      </c>
      <c r="F27" s="1"/>
      <c r="G27" s="1"/>
      <c r="H27" s="1"/>
      <c r="I27" s="1"/>
      <c r="J27" s="1"/>
      <c r="K27" s="1"/>
      <c r="L27" s="1"/>
      <c r="M27" s="1"/>
      <c r="N27" s="18"/>
    </row>
    <row r="28" spans="2:14" ht="15" customHeight="1" x14ac:dyDescent="0.25">
      <c r="B28" s="20"/>
      <c r="C28" s="5" t="s">
        <v>219</v>
      </c>
      <c r="D28" s="6" t="s">
        <v>192</v>
      </c>
      <c r="E28" s="11">
        <v>4.3140000000000001E-3</v>
      </c>
      <c r="F28" s="1"/>
      <c r="G28" s="1"/>
      <c r="H28" s="1"/>
      <c r="I28" s="1"/>
      <c r="J28" s="1"/>
      <c r="K28" s="1"/>
      <c r="L28" s="1"/>
      <c r="M28" s="1"/>
      <c r="N28" s="18"/>
    </row>
    <row r="29" spans="2:14" ht="15" customHeight="1" x14ac:dyDescent="0.25">
      <c r="B29" s="20"/>
      <c r="C29" s="7" t="s">
        <v>55</v>
      </c>
      <c r="D29" s="8"/>
      <c r="E29" s="12">
        <v>0.82840599999999998</v>
      </c>
      <c r="F29" s="1"/>
      <c r="G29" s="1"/>
      <c r="H29" s="1"/>
      <c r="I29" s="1"/>
      <c r="J29" s="1"/>
      <c r="K29" s="1"/>
      <c r="L29" s="1"/>
      <c r="M29" s="1"/>
      <c r="N29" s="18"/>
    </row>
    <row r="30" spans="2:14" ht="15" customHeight="1" x14ac:dyDescent="0.25">
      <c r="B30" s="20"/>
      <c r="C30" s="5" t="s">
        <v>9</v>
      </c>
      <c r="D30" s="6"/>
      <c r="E30" s="11">
        <v>2.7764E-2</v>
      </c>
      <c r="F30" s="1"/>
      <c r="G30" s="1"/>
      <c r="H30" s="1"/>
      <c r="I30" s="1"/>
      <c r="J30" s="1"/>
      <c r="K30" s="1"/>
      <c r="L30" s="1"/>
      <c r="M30" s="1"/>
      <c r="N30" s="18"/>
    </row>
    <row r="31" spans="2:14" ht="15" customHeight="1" x14ac:dyDescent="0.25">
      <c r="B31" s="20"/>
      <c r="C31" s="7" t="s">
        <v>10</v>
      </c>
      <c r="D31" s="8"/>
      <c r="E31" s="12">
        <v>2.7764E-2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11</v>
      </c>
      <c r="D33" s="8"/>
      <c r="E33" s="12">
        <v>1.6752E-2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75" customHeight="1" thickBot="1" x14ac:dyDescent="0.3">
      <c r="B45" s="77" t="s">
        <v>269</v>
      </c>
      <c r="C45" s="78"/>
      <c r="D45" s="78"/>
      <c r="E45" s="78"/>
      <c r="F45" s="78"/>
      <c r="G45" s="78"/>
      <c r="H45" s="78"/>
      <c r="I45" s="78"/>
      <c r="J45" s="78"/>
      <c r="K45" s="78"/>
      <c r="L45" s="78"/>
      <c r="M45" s="78"/>
      <c r="N45" s="79"/>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6F0D-6F02-45DE-BE89-54A8E9B5FE24}">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105</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106</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107</v>
      </c>
      <c r="D8" s="6" t="s">
        <v>192</v>
      </c>
      <c r="E8" s="11">
        <v>0.18057899999999999</v>
      </c>
      <c r="F8" s="1"/>
      <c r="G8" s="24" t="s">
        <v>16</v>
      </c>
      <c r="H8" s="25">
        <v>1</v>
      </c>
      <c r="I8" s="1"/>
      <c r="J8" s="24" t="s">
        <v>13</v>
      </c>
      <c r="K8" s="24" t="s">
        <v>5</v>
      </c>
      <c r="L8" s="1"/>
      <c r="M8" s="1"/>
      <c r="N8" s="18"/>
    </row>
    <row r="9" spans="2:14" ht="15.75" customHeight="1" x14ac:dyDescent="0.25">
      <c r="B9" s="20"/>
      <c r="C9" s="7" t="s">
        <v>54</v>
      </c>
      <c r="D9" s="8"/>
      <c r="E9" s="12">
        <v>0.18057899999999999</v>
      </c>
      <c r="F9" s="1"/>
      <c r="G9" s="1"/>
      <c r="H9" s="1"/>
      <c r="I9" s="1"/>
      <c r="J9" s="24" t="s">
        <v>11</v>
      </c>
      <c r="K9" s="29">
        <v>2.1815999999999999E-2</v>
      </c>
      <c r="L9" s="1"/>
      <c r="M9" s="1"/>
      <c r="N9" s="18"/>
    </row>
    <row r="10" spans="2:14" ht="15" customHeight="1" x14ac:dyDescent="0.25">
      <c r="B10" s="20"/>
      <c r="C10" s="5" t="s">
        <v>237</v>
      </c>
      <c r="D10" s="6" t="s">
        <v>192</v>
      </c>
      <c r="E10" s="11">
        <v>0.17152200000000001</v>
      </c>
      <c r="F10" s="1"/>
      <c r="G10" s="1"/>
      <c r="H10" s="1"/>
      <c r="I10" s="1"/>
      <c r="J10" s="24" t="s">
        <v>14</v>
      </c>
      <c r="K10" s="29">
        <v>1.1086E-2</v>
      </c>
      <c r="L10" s="1"/>
      <c r="M10" s="1"/>
      <c r="N10" s="18"/>
    </row>
    <row r="11" spans="2:14" ht="15.75" customHeight="1" x14ac:dyDescent="0.25">
      <c r="B11" s="20"/>
      <c r="C11" s="5" t="s">
        <v>212</v>
      </c>
      <c r="D11" s="6" t="s">
        <v>192</v>
      </c>
      <c r="E11" s="11">
        <v>0.14991399999999999</v>
      </c>
      <c r="F11" s="1"/>
      <c r="G11" s="1"/>
      <c r="H11" s="1"/>
      <c r="I11" s="1"/>
      <c r="J11" s="24" t="s">
        <v>58</v>
      </c>
      <c r="K11" s="29">
        <v>0.18057899999999999</v>
      </c>
      <c r="L11" s="1"/>
      <c r="M11" s="1"/>
      <c r="N11" s="18"/>
    </row>
    <row r="12" spans="2:14" ht="15" customHeight="1" x14ac:dyDescent="0.25">
      <c r="B12" s="20"/>
      <c r="C12" s="5" t="s">
        <v>235</v>
      </c>
      <c r="D12" s="6" t="s">
        <v>192</v>
      </c>
      <c r="E12" s="11">
        <v>0.12965199999999999</v>
      </c>
      <c r="F12" s="1"/>
      <c r="G12" s="1"/>
      <c r="H12" s="1"/>
      <c r="I12" s="1"/>
      <c r="J12" s="24" t="s">
        <v>59</v>
      </c>
      <c r="K12" s="29">
        <v>0.78651899999999997</v>
      </c>
      <c r="L12" s="1"/>
      <c r="M12" s="1"/>
      <c r="N12" s="18"/>
    </row>
    <row r="13" spans="2:14" ht="15.75" customHeight="1" x14ac:dyDescent="0.25">
      <c r="B13" s="20"/>
      <c r="C13" s="5" t="s">
        <v>243</v>
      </c>
      <c r="D13" s="6" t="s">
        <v>192</v>
      </c>
      <c r="E13" s="11">
        <v>0.118086</v>
      </c>
      <c r="F13" s="1"/>
      <c r="G13" s="1"/>
      <c r="H13" s="1"/>
      <c r="I13" s="1"/>
      <c r="J13" s="1"/>
      <c r="K13" s="1"/>
      <c r="L13" s="1"/>
      <c r="M13" s="1"/>
      <c r="N13" s="18"/>
    </row>
    <row r="14" spans="2:14" ht="15" customHeight="1" x14ac:dyDescent="0.25">
      <c r="B14" s="20"/>
      <c r="C14" s="5" t="s">
        <v>240</v>
      </c>
      <c r="D14" s="6" t="s">
        <v>192</v>
      </c>
      <c r="E14" s="11">
        <v>5.9015999999999999E-2</v>
      </c>
      <c r="F14" s="1"/>
      <c r="G14" s="1"/>
      <c r="H14" s="1"/>
      <c r="I14" s="1"/>
      <c r="J14" s="1"/>
      <c r="K14" s="1"/>
      <c r="L14" s="1"/>
      <c r="M14" s="1"/>
      <c r="N14" s="18"/>
    </row>
    <row r="15" spans="2:14" ht="15.75" customHeight="1" x14ac:dyDescent="0.25">
      <c r="B15" s="20"/>
      <c r="C15" s="5" t="s">
        <v>238</v>
      </c>
      <c r="D15" s="6" t="s">
        <v>192</v>
      </c>
      <c r="E15" s="11">
        <v>5.7327999999999997E-2</v>
      </c>
      <c r="F15" s="1"/>
      <c r="G15" s="1"/>
      <c r="H15" s="1"/>
      <c r="I15" s="1"/>
      <c r="J15" s="1"/>
      <c r="K15" s="1"/>
      <c r="L15" s="1"/>
      <c r="M15" s="1"/>
      <c r="N15" s="18"/>
    </row>
    <row r="16" spans="2:14" ht="15" customHeight="1" x14ac:dyDescent="0.25">
      <c r="B16" s="20"/>
      <c r="C16" s="5" t="s">
        <v>239</v>
      </c>
      <c r="D16" s="6" t="s">
        <v>192</v>
      </c>
      <c r="E16" s="11">
        <v>3.5422000000000002E-2</v>
      </c>
      <c r="F16" s="1"/>
      <c r="G16" s="1"/>
      <c r="H16" s="1"/>
      <c r="I16" s="1"/>
      <c r="J16" s="1"/>
      <c r="K16" s="1"/>
      <c r="L16" s="1"/>
      <c r="M16" s="1"/>
      <c r="N16" s="18"/>
    </row>
    <row r="17" spans="2:14" ht="15" customHeight="1" x14ac:dyDescent="0.25">
      <c r="B17" s="20"/>
      <c r="C17" s="5" t="s">
        <v>242</v>
      </c>
      <c r="D17" s="6" t="s">
        <v>192</v>
      </c>
      <c r="E17" s="11">
        <v>2.9468999999999999E-2</v>
      </c>
      <c r="F17" s="1"/>
      <c r="G17" s="1"/>
      <c r="H17" s="1"/>
      <c r="I17" s="1"/>
      <c r="J17" s="1"/>
      <c r="K17" s="1"/>
      <c r="L17" s="1"/>
      <c r="M17" s="1"/>
      <c r="N17" s="18"/>
    </row>
    <row r="18" spans="2:14" ht="15" customHeight="1" x14ac:dyDescent="0.25">
      <c r="B18" s="20"/>
      <c r="C18" s="5" t="s">
        <v>241</v>
      </c>
      <c r="D18" s="6" t="s">
        <v>192</v>
      </c>
      <c r="E18" s="11">
        <v>2.6587E-2</v>
      </c>
      <c r="F18" s="1"/>
      <c r="G18" s="1"/>
      <c r="H18" s="1"/>
      <c r="I18" s="1"/>
      <c r="J18" s="1"/>
      <c r="K18" s="1"/>
      <c r="L18" s="1"/>
      <c r="M18" s="1"/>
      <c r="N18" s="18"/>
    </row>
    <row r="19" spans="2:14" ht="15" customHeight="1" x14ac:dyDescent="0.25">
      <c r="B19" s="20"/>
      <c r="C19" s="5" t="s">
        <v>234</v>
      </c>
      <c r="D19" s="6" t="s">
        <v>192</v>
      </c>
      <c r="E19" s="11">
        <v>5.9369999999999996E-3</v>
      </c>
      <c r="F19" s="1"/>
      <c r="G19" s="1"/>
      <c r="H19" s="1"/>
      <c r="I19" s="1"/>
      <c r="J19" s="1"/>
      <c r="K19" s="1"/>
      <c r="L19" s="1"/>
      <c r="M19" s="1"/>
      <c r="N19" s="18"/>
    </row>
    <row r="20" spans="2:14" ht="15" customHeight="1" x14ac:dyDescent="0.25">
      <c r="B20" s="20"/>
      <c r="C20" s="5" t="s">
        <v>236</v>
      </c>
      <c r="D20" s="6" t="s">
        <v>192</v>
      </c>
      <c r="E20" s="11">
        <v>3.5860000000000002E-3</v>
      </c>
      <c r="F20" s="1"/>
      <c r="G20" s="1"/>
      <c r="H20" s="1"/>
      <c r="I20" s="1"/>
      <c r="J20" s="1"/>
      <c r="K20" s="1"/>
      <c r="L20" s="1"/>
      <c r="M20" s="1"/>
      <c r="N20" s="18"/>
    </row>
    <row r="21" spans="2:14" ht="15" customHeight="1" x14ac:dyDescent="0.25">
      <c r="B21" s="20"/>
      <c r="C21" s="7" t="s">
        <v>55</v>
      </c>
      <c r="D21" s="8"/>
      <c r="E21" s="12">
        <v>0.78651899999999997</v>
      </c>
      <c r="F21" s="1"/>
      <c r="G21" s="1"/>
      <c r="H21" s="1"/>
      <c r="I21" s="1"/>
      <c r="J21" s="1"/>
      <c r="K21" s="1"/>
      <c r="L21" s="1"/>
      <c r="M21" s="1"/>
      <c r="N21" s="18"/>
    </row>
    <row r="22" spans="2:14" ht="15" customHeight="1" x14ac:dyDescent="0.25">
      <c r="B22" s="20"/>
      <c r="C22" s="5" t="s">
        <v>9</v>
      </c>
      <c r="D22" s="6"/>
      <c r="E22" s="11">
        <v>1.1086E-2</v>
      </c>
      <c r="F22" s="1"/>
      <c r="G22" s="1"/>
      <c r="H22" s="1"/>
      <c r="I22" s="1"/>
      <c r="J22" s="1"/>
      <c r="K22" s="1"/>
      <c r="L22" s="1"/>
      <c r="M22" s="1"/>
      <c r="N22" s="18"/>
    </row>
    <row r="23" spans="2:14" ht="15" customHeight="1" x14ac:dyDescent="0.25">
      <c r="B23" s="20"/>
      <c r="C23" s="7" t="s">
        <v>10</v>
      </c>
      <c r="D23" s="8"/>
      <c r="E23" s="12">
        <v>1.1086E-2</v>
      </c>
      <c r="F23" s="1"/>
      <c r="G23" s="1"/>
      <c r="H23" s="1"/>
      <c r="I23" s="1"/>
      <c r="J23" s="1"/>
      <c r="K23" s="1"/>
      <c r="L23" s="1"/>
      <c r="M23" s="1"/>
      <c r="N23" s="18"/>
    </row>
    <row r="24" spans="2:14" ht="15" customHeight="1" x14ac:dyDescent="0.25">
      <c r="B24" s="20"/>
      <c r="C24" s="5"/>
      <c r="D24" s="6"/>
      <c r="E24" s="11"/>
      <c r="F24" s="1"/>
      <c r="G24" s="85" t="s">
        <v>18</v>
      </c>
      <c r="H24" s="86"/>
      <c r="I24" s="86"/>
      <c r="J24" s="86"/>
      <c r="K24" s="86"/>
      <c r="L24" s="36">
        <v>3.0574165591061675</v>
      </c>
      <c r="M24" s="27"/>
      <c r="N24" s="28"/>
    </row>
    <row r="25" spans="2:14" ht="15" customHeight="1" x14ac:dyDescent="0.25">
      <c r="B25" s="20"/>
      <c r="C25" s="7" t="s">
        <v>11</v>
      </c>
      <c r="D25" s="8"/>
      <c r="E25" s="12">
        <v>2.1815999999999999E-2</v>
      </c>
      <c r="F25" s="1"/>
      <c r="G25" s="1"/>
      <c r="H25" s="1"/>
      <c r="I25" s="1"/>
      <c r="J25" s="1"/>
      <c r="K25" s="1"/>
      <c r="L25" s="1"/>
      <c r="M25" s="1"/>
      <c r="N25" s="18"/>
    </row>
    <row r="26" spans="2:14" ht="15" customHeight="1" x14ac:dyDescent="0.25">
      <c r="B26" s="20"/>
      <c r="C26" s="5"/>
      <c r="D26" s="6"/>
      <c r="E26" s="11"/>
      <c r="F26" s="1"/>
      <c r="G26" s="85" t="s">
        <v>19</v>
      </c>
      <c r="H26" s="86"/>
      <c r="I26" s="86"/>
      <c r="J26" s="86"/>
      <c r="K26" s="86"/>
      <c r="L26" s="86"/>
      <c r="M26" s="86"/>
      <c r="N26" s="87"/>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8" customHeight="1" thickBot="1" x14ac:dyDescent="0.3">
      <c r="B45" s="77" t="s">
        <v>269</v>
      </c>
      <c r="C45" s="78"/>
      <c r="D45" s="78"/>
      <c r="E45" s="78"/>
      <c r="F45" s="78"/>
      <c r="G45" s="78"/>
      <c r="H45" s="78"/>
      <c r="I45" s="78"/>
      <c r="J45" s="78"/>
      <c r="K45" s="78"/>
      <c r="L45" s="78"/>
      <c r="M45" s="78"/>
      <c r="N45" s="79"/>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EBA5-02FD-464F-B2B7-C89774F91C76}">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99</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100</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51</v>
      </c>
      <c r="D8" s="6" t="s">
        <v>192</v>
      </c>
      <c r="E8" s="11">
        <v>0.119713</v>
      </c>
      <c r="F8" s="1"/>
      <c r="G8" s="24" t="s">
        <v>16</v>
      </c>
      <c r="H8" s="25">
        <v>1</v>
      </c>
      <c r="I8" s="1"/>
      <c r="J8" s="24" t="s">
        <v>13</v>
      </c>
      <c r="K8" s="24" t="s">
        <v>5</v>
      </c>
      <c r="L8" s="1"/>
      <c r="M8" s="1"/>
      <c r="N8" s="18"/>
    </row>
    <row r="9" spans="2:14" ht="15" customHeight="1" x14ac:dyDescent="0.25">
      <c r="B9" s="20"/>
      <c r="C9" s="5" t="s">
        <v>101</v>
      </c>
      <c r="D9" s="6" t="s">
        <v>192</v>
      </c>
      <c r="E9" s="11">
        <v>1.3162E-2</v>
      </c>
      <c r="F9" s="1"/>
      <c r="G9" s="1"/>
      <c r="H9" s="1"/>
      <c r="I9" s="1"/>
      <c r="J9" s="24" t="s">
        <v>11</v>
      </c>
      <c r="K9" s="29">
        <v>2.0694000000000001E-2</v>
      </c>
      <c r="L9" s="1"/>
      <c r="M9" s="1"/>
      <c r="N9" s="18"/>
    </row>
    <row r="10" spans="2:14" ht="15.75" customHeight="1" x14ac:dyDescent="0.25">
      <c r="B10" s="20"/>
      <c r="C10" s="7" t="s">
        <v>54</v>
      </c>
      <c r="D10" s="8"/>
      <c r="E10" s="12">
        <v>0.13287499999999999</v>
      </c>
      <c r="F10" s="1"/>
      <c r="G10" s="1"/>
      <c r="H10" s="1"/>
      <c r="I10" s="1"/>
      <c r="J10" s="24" t="s">
        <v>14</v>
      </c>
      <c r="K10" s="29">
        <v>5.9540000000000001E-3</v>
      </c>
      <c r="L10" s="1"/>
      <c r="M10" s="1"/>
      <c r="N10" s="18"/>
    </row>
    <row r="11" spans="2:14" ht="15" customHeight="1" x14ac:dyDescent="0.25">
      <c r="B11" s="20"/>
      <c r="C11" s="5" t="s">
        <v>265</v>
      </c>
      <c r="D11" s="6" t="s">
        <v>192</v>
      </c>
      <c r="E11" s="11">
        <v>0.14166100000000001</v>
      </c>
      <c r="F11" s="1"/>
      <c r="G11" s="1"/>
      <c r="H11" s="1"/>
      <c r="I11" s="1"/>
      <c r="J11" s="24" t="s">
        <v>58</v>
      </c>
      <c r="K11" s="29">
        <v>0.13287499999999999</v>
      </c>
      <c r="L11" s="1"/>
      <c r="M11" s="1"/>
      <c r="N11" s="18"/>
    </row>
    <row r="12" spans="2:14" ht="15.75" customHeight="1" x14ac:dyDescent="0.25">
      <c r="B12" s="20"/>
      <c r="C12" s="5" t="s">
        <v>266</v>
      </c>
      <c r="D12" s="6" t="s">
        <v>192</v>
      </c>
      <c r="E12" s="11">
        <v>0.14159099999999999</v>
      </c>
      <c r="F12" s="1"/>
      <c r="G12" s="1"/>
      <c r="H12" s="1"/>
      <c r="I12" s="1"/>
      <c r="J12" s="24" t="s">
        <v>59</v>
      </c>
      <c r="K12" s="29">
        <v>0.84047700000000003</v>
      </c>
      <c r="L12" s="1"/>
      <c r="M12" s="1"/>
      <c r="N12" s="18"/>
    </row>
    <row r="13" spans="2:14" ht="15" customHeight="1" x14ac:dyDescent="0.25">
      <c r="B13" s="20"/>
      <c r="C13" s="5" t="s">
        <v>263</v>
      </c>
      <c r="D13" s="6" t="s">
        <v>192</v>
      </c>
      <c r="E13" s="11">
        <v>0.118948</v>
      </c>
      <c r="F13" s="1"/>
      <c r="G13" s="1"/>
      <c r="H13" s="1"/>
      <c r="I13" s="1"/>
      <c r="J13" s="1"/>
      <c r="K13" s="1"/>
      <c r="L13" s="1"/>
      <c r="M13" s="1"/>
      <c r="N13" s="18"/>
    </row>
    <row r="14" spans="2:14" ht="15.75" customHeight="1" x14ac:dyDescent="0.25">
      <c r="B14" s="20"/>
      <c r="C14" s="5" t="s">
        <v>264</v>
      </c>
      <c r="D14" s="6" t="s">
        <v>192</v>
      </c>
      <c r="E14" s="11">
        <v>7.9347000000000001E-2</v>
      </c>
      <c r="F14" s="1"/>
      <c r="G14" s="1"/>
      <c r="H14" s="1"/>
      <c r="I14" s="1"/>
      <c r="J14" s="1"/>
      <c r="K14" s="1"/>
      <c r="L14" s="1"/>
      <c r="M14" s="1"/>
      <c r="N14" s="18"/>
    </row>
    <row r="15" spans="2:14" ht="15" customHeight="1" x14ac:dyDescent="0.25">
      <c r="B15" s="20"/>
      <c r="C15" s="5" t="s">
        <v>261</v>
      </c>
      <c r="D15" s="6" t="s">
        <v>192</v>
      </c>
      <c r="E15" s="11">
        <v>6.4786999999999997E-2</v>
      </c>
      <c r="F15" s="1"/>
      <c r="G15" s="1"/>
      <c r="H15" s="1"/>
      <c r="I15" s="1"/>
      <c r="J15" s="1"/>
      <c r="K15" s="1"/>
      <c r="L15" s="1"/>
      <c r="M15" s="1"/>
      <c r="N15" s="18"/>
    </row>
    <row r="16" spans="2:14" ht="15.75" customHeight="1" x14ac:dyDescent="0.25">
      <c r="B16" s="20"/>
      <c r="C16" s="5" t="s">
        <v>254</v>
      </c>
      <c r="D16" s="6" t="s">
        <v>192</v>
      </c>
      <c r="E16" s="11">
        <v>4.1500000000000002E-2</v>
      </c>
      <c r="F16" s="1"/>
      <c r="G16" s="1"/>
      <c r="H16" s="1"/>
      <c r="I16" s="1"/>
      <c r="J16" s="1"/>
      <c r="K16" s="1"/>
      <c r="L16" s="1"/>
      <c r="M16" s="1"/>
      <c r="N16" s="18"/>
    </row>
    <row r="17" spans="2:14" ht="15" customHeight="1" x14ac:dyDescent="0.25">
      <c r="B17" s="20"/>
      <c r="C17" s="5" t="s">
        <v>256</v>
      </c>
      <c r="D17" s="6" t="s">
        <v>192</v>
      </c>
      <c r="E17" s="11">
        <v>3.1993000000000001E-2</v>
      </c>
      <c r="F17" s="1"/>
      <c r="G17" s="1"/>
      <c r="H17" s="1"/>
      <c r="I17" s="1"/>
      <c r="J17" s="1"/>
      <c r="K17" s="1"/>
      <c r="L17" s="1"/>
      <c r="M17" s="1"/>
      <c r="N17" s="18"/>
    </row>
    <row r="18" spans="2:14" ht="15" customHeight="1" x14ac:dyDescent="0.25">
      <c r="B18" s="20"/>
      <c r="C18" s="5" t="s">
        <v>257</v>
      </c>
      <c r="D18" s="6" t="s">
        <v>192</v>
      </c>
      <c r="E18" s="11">
        <v>2.8232E-2</v>
      </c>
      <c r="F18" s="1"/>
      <c r="G18" s="1"/>
      <c r="H18" s="1"/>
      <c r="I18" s="1"/>
      <c r="J18" s="1"/>
      <c r="K18" s="1"/>
      <c r="L18" s="1"/>
      <c r="M18" s="1"/>
      <c r="N18" s="18"/>
    </row>
    <row r="19" spans="2:14" ht="15" customHeight="1" x14ac:dyDescent="0.25">
      <c r="B19" s="20"/>
      <c r="C19" s="5" t="s">
        <v>250</v>
      </c>
      <c r="D19" s="6" t="s">
        <v>192</v>
      </c>
      <c r="E19" s="11">
        <v>2.7316E-2</v>
      </c>
      <c r="F19" s="1"/>
      <c r="G19" s="1"/>
      <c r="H19" s="1"/>
      <c r="I19" s="1"/>
      <c r="J19" s="1"/>
      <c r="K19" s="1"/>
      <c r="L19" s="1"/>
      <c r="M19" s="1"/>
      <c r="N19" s="18"/>
    </row>
    <row r="20" spans="2:14" ht="15" customHeight="1" x14ac:dyDescent="0.25">
      <c r="B20" s="20"/>
      <c r="C20" s="5" t="s">
        <v>247</v>
      </c>
      <c r="D20" s="6" t="s">
        <v>192</v>
      </c>
      <c r="E20" s="11">
        <v>2.5597000000000002E-2</v>
      </c>
      <c r="F20" s="1"/>
      <c r="G20" s="1"/>
      <c r="H20" s="1"/>
      <c r="I20" s="1"/>
      <c r="J20" s="1"/>
      <c r="K20" s="1"/>
      <c r="L20" s="1"/>
      <c r="M20" s="1"/>
      <c r="N20" s="18"/>
    </row>
    <row r="21" spans="2:14" ht="15" customHeight="1" x14ac:dyDescent="0.25">
      <c r="B21" s="20"/>
      <c r="C21" s="5" t="s">
        <v>252</v>
      </c>
      <c r="D21" s="6" t="s">
        <v>192</v>
      </c>
      <c r="E21" s="11">
        <v>1.5155E-2</v>
      </c>
      <c r="F21" s="1"/>
      <c r="G21" s="1"/>
      <c r="H21" s="1"/>
      <c r="I21" s="1"/>
      <c r="J21" s="1"/>
      <c r="K21" s="1"/>
      <c r="L21" s="1"/>
      <c r="M21" s="1"/>
      <c r="N21" s="18"/>
    </row>
    <row r="22" spans="2:14" ht="15" customHeight="1" x14ac:dyDescent="0.25">
      <c r="B22" s="20"/>
      <c r="C22" s="5" t="s">
        <v>244</v>
      </c>
      <c r="D22" s="6" t="s">
        <v>192</v>
      </c>
      <c r="E22" s="11">
        <v>1.4288E-2</v>
      </c>
      <c r="F22" s="1"/>
      <c r="G22" s="1"/>
      <c r="H22" s="1"/>
      <c r="I22" s="1"/>
      <c r="J22" s="1"/>
      <c r="K22" s="1"/>
      <c r="L22" s="1"/>
      <c r="M22" s="1"/>
      <c r="N22" s="18"/>
    </row>
    <row r="23" spans="2:14" ht="15" customHeight="1" x14ac:dyDescent="0.25">
      <c r="B23" s="20"/>
      <c r="C23" s="5" t="s">
        <v>255</v>
      </c>
      <c r="D23" s="6" t="s">
        <v>192</v>
      </c>
      <c r="E23" s="11">
        <v>1.4182999999999999E-2</v>
      </c>
      <c r="F23" s="1"/>
      <c r="G23" s="1"/>
      <c r="H23" s="1"/>
      <c r="I23" s="1"/>
      <c r="J23" s="1"/>
      <c r="K23" s="1"/>
      <c r="L23" s="1"/>
      <c r="M23" s="1"/>
      <c r="N23" s="18"/>
    </row>
    <row r="24" spans="2:14" ht="15" customHeight="1" x14ac:dyDescent="0.25">
      <c r="B24" s="20"/>
      <c r="C24" s="5" t="s">
        <v>262</v>
      </c>
      <c r="D24" s="6" t="s">
        <v>192</v>
      </c>
      <c r="E24" s="11">
        <v>1.4173E-2</v>
      </c>
      <c r="F24" s="1"/>
      <c r="G24" s="85" t="s">
        <v>18</v>
      </c>
      <c r="H24" s="86"/>
      <c r="I24" s="86"/>
      <c r="J24" s="86"/>
      <c r="K24" s="86"/>
      <c r="L24" s="36">
        <v>7.5779285476365024</v>
      </c>
      <c r="M24" s="27"/>
      <c r="N24" s="28"/>
    </row>
    <row r="25" spans="2:14" ht="15" customHeight="1" x14ac:dyDescent="0.25">
      <c r="B25" s="20"/>
      <c r="C25" s="5" t="s">
        <v>253</v>
      </c>
      <c r="D25" s="6" t="s">
        <v>192</v>
      </c>
      <c r="E25" s="11">
        <v>1.3823999999999999E-2</v>
      </c>
      <c r="F25" s="1"/>
      <c r="G25" s="1"/>
      <c r="H25" s="1"/>
      <c r="I25" s="1"/>
      <c r="J25" s="1"/>
      <c r="K25" s="1"/>
      <c r="L25" s="1"/>
      <c r="M25" s="1"/>
      <c r="N25" s="18"/>
    </row>
    <row r="26" spans="2:14" ht="15" customHeight="1" x14ac:dyDescent="0.25">
      <c r="B26" s="20"/>
      <c r="C26" s="5" t="s">
        <v>249</v>
      </c>
      <c r="D26" s="6" t="s">
        <v>192</v>
      </c>
      <c r="E26" s="11">
        <v>1.3709000000000001E-2</v>
      </c>
      <c r="F26" s="1"/>
      <c r="G26" s="85" t="s">
        <v>19</v>
      </c>
      <c r="H26" s="86"/>
      <c r="I26" s="86"/>
      <c r="J26" s="86"/>
      <c r="K26" s="86"/>
      <c r="L26" s="86"/>
      <c r="M26" s="86"/>
      <c r="N26" s="87"/>
    </row>
    <row r="27" spans="2:14" ht="15" customHeight="1" x14ac:dyDescent="0.25">
      <c r="B27" s="20"/>
      <c r="C27" s="5" t="s">
        <v>248</v>
      </c>
      <c r="D27" s="6" t="s">
        <v>192</v>
      </c>
      <c r="E27" s="11">
        <v>1.3688000000000001E-2</v>
      </c>
      <c r="F27" s="1"/>
      <c r="G27" s="1"/>
      <c r="H27" s="1"/>
      <c r="I27" s="1"/>
      <c r="J27" s="1"/>
      <c r="K27" s="1"/>
      <c r="L27" s="1"/>
      <c r="M27" s="1"/>
      <c r="N27" s="18"/>
    </row>
    <row r="28" spans="2:14" ht="15" customHeight="1" x14ac:dyDescent="0.25">
      <c r="B28" s="20"/>
      <c r="C28" s="5" t="s">
        <v>246</v>
      </c>
      <c r="D28" s="6" t="s">
        <v>192</v>
      </c>
      <c r="E28" s="11">
        <v>1.35E-2</v>
      </c>
      <c r="F28" s="1"/>
      <c r="G28" s="1"/>
      <c r="H28" s="1"/>
      <c r="I28" s="1"/>
      <c r="J28" s="1"/>
      <c r="K28" s="1"/>
      <c r="L28" s="1"/>
      <c r="M28" s="1"/>
      <c r="N28" s="18"/>
    </row>
    <row r="29" spans="2:14" ht="15" customHeight="1" x14ac:dyDescent="0.25">
      <c r="B29" s="20"/>
      <c r="C29" s="5" t="s">
        <v>260</v>
      </c>
      <c r="D29" s="6" t="s">
        <v>192</v>
      </c>
      <c r="E29" s="11">
        <v>8.4220000000000007E-3</v>
      </c>
      <c r="F29" s="1"/>
      <c r="G29" s="1"/>
      <c r="H29" s="1"/>
      <c r="I29" s="1"/>
      <c r="J29" s="1"/>
      <c r="K29" s="1"/>
      <c r="L29" s="1"/>
      <c r="M29" s="1"/>
      <c r="N29" s="18"/>
    </row>
    <row r="30" spans="2:14" ht="15" customHeight="1" x14ac:dyDescent="0.25">
      <c r="B30" s="20"/>
      <c r="C30" s="5" t="s">
        <v>259</v>
      </c>
      <c r="D30" s="6" t="s">
        <v>192</v>
      </c>
      <c r="E30" s="11">
        <v>6.8710000000000004E-3</v>
      </c>
      <c r="F30" s="1"/>
      <c r="G30" s="1"/>
      <c r="H30" s="1"/>
      <c r="I30" s="1"/>
      <c r="J30" s="1"/>
      <c r="K30" s="1"/>
      <c r="L30" s="1"/>
      <c r="M30" s="1"/>
      <c r="N30" s="18"/>
    </row>
    <row r="31" spans="2:14" ht="15" customHeight="1" x14ac:dyDescent="0.25">
      <c r="B31" s="20"/>
      <c r="C31" s="5" t="s">
        <v>258</v>
      </c>
      <c r="D31" s="6" t="s">
        <v>192</v>
      </c>
      <c r="E31" s="11">
        <v>5.4070000000000003E-3</v>
      </c>
      <c r="F31" s="1"/>
      <c r="G31" s="1"/>
      <c r="H31" s="1"/>
      <c r="I31" s="1"/>
      <c r="J31" s="1"/>
      <c r="K31" s="1"/>
      <c r="L31" s="1"/>
      <c r="M31" s="1"/>
      <c r="N31" s="18"/>
    </row>
    <row r="32" spans="2:14" ht="15" customHeight="1" x14ac:dyDescent="0.25">
      <c r="B32" s="20"/>
      <c r="C32" s="5" t="s">
        <v>251</v>
      </c>
      <c r="D32" s="6" t="s">
        <v>192</v>
      </c>
      <c r="E32" s="11">
        <v>3.8530000000000001E-3</v>
      </c>
      <c r="F32" s="1"/>
      <c r="G32" s="1"/>
      <c r="H32" s="1"/>
      <c r="I32" s="1"/>
      <c r="J32" s="1"/>
      <c r="K32" s="1"/>
      <c r="L32" s="1"/>
      <c r="M32" s="1"/>
      <c r="N32" s="18"/>
    </row>
    <row r="33" spans="2:14" ht="15" customHeight="1" x14ac:dyDescent="0.25">
      <c r="B33" s="20"/>
      <c r="C33" s="5" t="s">
        <v>245</v>
      </c>
      <c r="D33" s="6" t="s">
        <v>192</v>
      </c>
      <c r="E33" s="11">
        <v>2.4320000000000001E-3</v>
      </c>
      <c r="F33" s="1"/>
      <c r="G33" s="1"/>
      <c r="H33" s="1"/>
      <c r="I33" s="1"/>
      <c r="J33" s="1"/>
      <c r="K33" s="1"/>
      <c r="L33" s="1"/>
      <c r="M33" s="1"/>
      <c r="N33" s="18"/>
    </row>
    <row r="34" spans="2:14" ht="15" customHeight="1" x14ac:dyDescent="0.25">
      <c r="B34" s="20"/>
      <c r="C34" s="7" t="s">
        <v>55</v>
      </c>
      <c r="D34" s="8"/>
      <c r="E34" s="12">
        <v>0.84047700000000003</v>
      </c>
      <c r="F34" s="1"/>
      <c r="G34" s="1"/>
      <c r="H34" s="1"/>
      <c r="I34" s="1"/>
      <c r="J34" s="1"/>
      <c r="K34" s="1"/>
      <c r="L34" s="1"/>
      <c r="M34" s="1"/>
      <c r="N34" s="18"/>
    </row>
    <row r="35" spans="2:14" ht="15" customHeight="1" x14ac:dyDescent="0.25">
      <c r="B35" s="20"/>
      <c r="C35" s="5" t="s">
        <v>9</v>
      </c>
      <c r="D35" s="6"/>
      <c r="E35" s="11">
        <v>5.9540000000000001E-3</v>
      </c>
      <c r="F35" s="1"/>
      <c r="G35" s="1"/>
      <c r="H35" s="1"/>
      <c r="I35" s="1"/>
      <c r="J35" s="1"/>
      <c r="K35" s="1"/>
      <c r="L35" s="1"/>
      <c r="M35" s="1"/>
      <c r="N35" s="18"/>
    </row>
    <row r="36" spans="2:14" ht="15" customHeight="1" x14ac:dyDescent="0.25">
      <c r="B36" s="20"/>
      <c r="C36" s="7" t="s">
        <v>10</v>
      </c>
      <c r="D36" s="8"/>
      <c r="E36" s="12">
        <v>5.9540000000000001E-3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2.0694000000000001E-2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7" t="s">
        <v>269</v>
      </c>
      <c r="C45" s="78"/>
      <c r="D45" s="78"/>
      <c r="E45" s="78"/>
      <c r="F45" s="78"/>
      <c r="G45" s="78"/>
      <c r="H45" s="78"/>
      <c r="I45" s="78"/>
      <c r="J45" s="78"/>
      <c r="K45" s="78"/>
      <c r="L45" s="78"/>
      <c r="M45" s="78"/>
      <c r="N45" s="79"/>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04AB-CCFD-4CAF-8279-63BB9C08910B}">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0" t="s">
        <v>0</v>
      </c>
      <c r="D3" s="81"/>
      <c r="E3" s="81"/>
      <c r="F3" s="81"/>
      <c r="G3" s="81"/>
      <c r="H3" s="81"/>
      <c r="I3" s="81"/>
      <c r="J3" s="81"/>
      <c r="K3" s="81"/>
      <c r="L3" s="81"/>
      <c r="M3" s="81"/>
      <c r="N3" s="82"/>
    </row>
    <row r="4" spans="2:14" ht="15.75" customHeight="1" x14ac:dyDescent="0.25">
      <c r="B4" s="20"/>
      <c r="C4" s="14"/>
      <c r="D4" s="1"/>
      <c r="E4" s="1"/>
      <c r="F4" s="1"/>
      <c r="G4" s="1"/>
      <c r="H4" s="1"/>
      <c r="I4" s="1"/>
      <c r="J4" s="1"/>
      <c r="K4" s="1"/>
      <c r="L4" s="1"/>
      <c r="M4" s="1"/>
      <c r="N4" s="18"/>
    </row>
    <row r="5" spans="2:14" ht="18" customHeight="1" x14ac:dyDescent="0.25">
      <c r="B5" s="20"/>
      <c r="C5" s="15" t="s">
        <v>1</v>
      </c>
      <c r="D5" s="83" t="s">
        <v>2</v>
      </c>
      <c r="E5" s="84"/>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5" t="s">
        <v>17</v>
      </c>
      <c r="H7" s="86"/>
      <c r="I7" s="86"/>
      <c r="J7" s="86"/>
      <c r="K7" s="86"/>
      <c r="L7" s="86"/>
      <c r="M7" s="86"/>
      <c r="N7" s="87"/>
    </row>
    <row r="8" spans="2:14" ht="15" customHeight="1" x14ac:dyDescent="0.25">
      <c r="B8" s="20"/>
      <c r="C8" s="5" t="s">
        <v>6</v>
      </c>
      <c r="D8" s="6"/>
      <c r="E8" s="11">
        <v>0.624502</v>
      </c>
      <c r="F8" s="1"/>
      <c r="G8" s="24" t="s">
        <v>16</v>
      </c>
      <c r="H8" s="25">
        <v>1</v>
      </c>
      <c r="I8" s="1"/>
      <c r="J8" s="24" t="s">
        <v>13</v>
      </c>
      <c r="K8" s="24" t="s">
        <v>5</v>
      </c>
      <c r="L8" s="1"/>
      <c r="M8" s="1"/>
      <c r="N8" s="18"/>
    </row>
    <row r="9" spans="2:14" ht="15" customHeight="1" x14ac:dyDescent="0.25">
      <c r="B9" s="20"/>
      <c r="C9" s="5" t="s">
        <v>7</v>
      </c>
      <c r="D9" s="6"/>
      <c r="E9" s="11">
        <v>0.37109199999999998</v>
      </c>
      <c r="F9" s="1"/>
      <c r="G9" s="1"/>
      <c r="H9" s="1"/>
      <c r="I9" s="1"/>
      <c r="J9" s="24" t="s">
        <v>11</v>
      </c>
      <c r="K9" s="29">
        <v>-3.6699999999999998E-4</v>
      </c>
      <c r="L9" s="1"/>
      <c r="M9" s="1"/>
      <c r="N9" s="18"/>
    </row>
    <row r="10" spans="2:14" ht="15" customHeight="1" x14ac:dyDescent="0.25">
      <c r="B10" s="20"/>
      <c r="C10" s="5" t="s">
        <v>191</v>
      </c>
      <c r="D10" s="6"/>
      <c r="E10" s="11">
        <v>5.3999999999999998E-5</v>
      </c>
      <c r="F10" s="1"/>
      <c r="G10" s="1"/>
      <c r="H10" s="1"/>
      <c r="I10" s="1"/>
      <c r="J10" s="24" t="s">
        <v>14</v>
      </c>
      <c r="K10" s="29">
        <v>4.7190000000000001E-3</v>
      </c>
      <c r="L10" s="1"/>
      <c r="M10" s="1"/>
      <c r="N10" s="18"/>
    </row>
    <row r="11" spans="2:14" ht="15.75" customHeight="1" x14ac:dyDescent="0.25">
      <c r="B11" s="20"/>
      <c r="C11" s="7" t="s">
        <v>8</v>
      </c>
      <c r="D11" s="8"/>
      <c r="E11" s="12">
        <v>0.99564799999999998</v>
      </c>
      <c r="F11" s="1"/>
      <c r="G11" s="1"/>
      <c r="H11" s="1"/>
      <c r="I11" s="1"/>
      <c r="J11" s="24" t="s">
        <v>15</v>
      </c>
      <c r="K11" s="29">
        <v>0.99564799999999998</v>
      </c>
      <c r="L11" s="1"/>
      <c r="M11" s="1"/>
      <c r="N11" s="18"/>
    </row>
    <row r="12" spans="2:14" ht="15" customHeight="1" x14ac:dyDescent="0.25">
      <c r="B12" s="20"/>
      <c r="C12" s="5" t="s">
        <v>9</v>
      </c>
      <c r="D12" s="6"/>
      <c r="E12" s="11">
        <v>4.7190000000000001E-3</v>
      </c>
      <c r="F12" s="1"/>
      <c r="G12" s="1"/>
      <c r="H12" s="1"/>
      <c r="I12" s="1"/>
      <c r="J12" s="1"/>
      <c r="K12" s="1"/>
      <c r="L12" s="1"/>
      <c r="M12" s="1"/>
      <c r="N12" s="18"/>
    </row>
    <row r="13" spans="2:14" ht="15.75" customHeight="1" x14ac:dyDescent="0.25">
      <c r="B13" s="20"/>
      <c r="C13" s="7" t="s">
        <v>10</v>
      </c>
      <c r="D13" s="8"/>
      <c r="E13" s="12">
        <v>4.7190000000000001E-3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-3.6699999999999998E-4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5" t="s">
        <v>18</v>
      </c>
      <c r="H24" s="86"/>
      <c r="I24" s="86"/>
      <c r="J24" s="86"/>
      <c r="K24" s="86"/>
      <c r="L24" s="36">
        <v>3.5366505856488777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5" t="s">
        <v>19</v>
      </c>
      <c r="H26" s="86"/>
      <c r="I26" s="86"/>
      <c r="J26" s="86"/>
      <c r="K26" s="86"/>
      <c r="L26" s="86"/>
      <c r="M26" s="86"/>
      <c r="N26" s="87"/>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77" t="s">
        <v>269</v>
      </c>
      <c r="C45" s="78"/>
      <c r="D45" s="78"/>
      <c r="E45" s="78"/>
      <c r="F45" s="78"/>
      <c r="G45" s="78"/>
      <c r="H45" s="78"/>
      <c r="I45" s="78"/>
      <c r="J45" s="78"/>
      <c r="K45" s="78"/>
      <c r="L45" s="78"/>
      <c r="M45" s="78"/>
      <c r="N45" s="79"/>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DE37-174B-4376-AC60-5507B8DD5284}">
  <sheetPr>
    <tabColor rgb="FFE5E3E3"/>
    <pageSetUpPr fitToPage="1"/>
  </sheetPr>
  <dimension ref="B1:X691"/>
  <sheetViews>
    <sheetView showGridLines="0" zoomScale="75" zoomScaleNormal="75" workbookViewId="0"/>
  </sheetViews>
  <sheetFormatPr defaultRowHeight="15" x14ac:dyDescent="0.2"/>
  <cols>
    <col min="1" max="1" width="2.85546875" style="37" customWidth="1"/>
    <col min="2" max="2" width="3.85546875" style="37" customWidth="1"/>
    <col min="3" max="3" width="60.5703125" style="37" customWidth="1"/>
    <col min="4" max="4" width="15.42578125" style="37" bestFit="1" customWidth="1"/>
    <col min="5" max="5" width="9.140625" style="37"/>
    <col min="6" max="6" width="10.7109375" style="37" customWidth="1"/>
    <col min="7" max="7" width="10.5703125" style="37" bestFit="1" customWidth="1"/>
    <col min="8" max="9" width="9.140625" style="37"/>
    <col min="10" max="11" width="16.42578125" style="37" customWidth="1"/>
    <col min="12" max="18" width="9.140625" style="37"/>
    <col min="19" max="19" width="9.85546875" style="37" customWidth="1"/>
    <col min="20" max="21" width="9.28515625" style="37" bestFit="1" customWidth="1"/>
    <col min="22" max="16384" width="9.140625" style="37"/>
  </cols>
  <sheetData>
    <row r="1" spans="2:24" ht="15.75" thickBot="1" x14ac:dyDescent="0.25"/>
    <row r="2" spans="2:24" x14ac:dyDescent="0.2">
      <c r="B2" s="38"/>
      <c r="C2" s="39"/>
      <c r="D2" s="39"/>
      <c r="E2" s="39"/>
      <c r="F2" s="39"/>
      <c r="G2" s="39"/>
      <c r="H2" s="39"/>
      <c r="I2" s="39"/>
      <c r="J2" s="39"/>
      <c r="K2" s="39"/>
      <c r="L2" s="39"/>
      <c r="M2" s="40"/>
    </row>
    <row r="3" spans="2:24" ht="20.25" customHeight="1" x14ac:dyDescent="0.2">
      <c r="B3" s="41"/>
      <c r="C3" s="88" t="s">
        <v>289</v>
      </c>
      <c r="D3" s="88"/>
      <c r="E3" s="88"/>
      <c r="F3" s="88"/>
      <c r="G3" s="88"/>
      <c r="H3" s="88"/>
      <c r="I3" s="88"/>
      <c r="J3" s="88"/>
      <c r="K3" s="88"/>
      <c r="L3" s="88"/>
      <c r="M3" s="89"/>
    </row>
    <row r="4" spans="2:24" ht="15.75" x14ac:dyDescent="0.25">
      <c r="B4" s="41"/>
      <c r="C4" s="14"/>
      <c r="D4" s="42"/>
      <c r="E4" s="42"/>
      <c r="F4" s="43"/>
      <c r="G4" s="43"/>
      <c r="H4" s="43"/>
      <c r="I4" s="43"/>
      <c r="J4" s="43"/>
      <c r="K4" s="43"/>
      <c r="L4" s="43"/>
      <c r="M4" s="44"/>
    </row>
    <row r="5" spans="2:24" ht="20.25" customHeight="1" x14ac:dyDescent="0.25">
      <c r="B5" s="41"/>
      <c r="C5" s="15" t="s">
        <v>1</v>
      </c>
      <c r="D5" s="45" t="s">
        <v>290</v>
      </c>
      <c r="E5" s="46"/>
      <c r="F5" s="43"/>
      <c r="G5" s="43"/>
      <c r="H5" s="43"/>
      <c r="I5" s="43"/>
      <c r="J5" s="43"/>
      <c r="K5" s="43"/>
      <c r="L5" s="43"/>
      <c r="M5" s="44"/>
    </row>
    <row r="6" spans="2:24" x14ac:dyDescent="0.2">
      <c r="B6" s="41"/>
      <c r="C6" s="43"/>
      <c r="D6" s="43"/>
      <c r="E6" s="43"/>
      <c r="F6" s="43"/>
      <c r="G6" s="43"/>
      <c r="H6" s="43"/>
      <c r="I6" s="43"/>
      <c r="J6" s="43"/>
      <c r="K6" s="43"/>
      <c r="L6" s="43"/>
      <c r="M6" s="44"/>
    </row>
    <row r="7" spans="2:24" ht="15.75" x14ac:dyDescent="0.2">
      <c r="B7" s="41"/>
      <c r="C7" s="47" t="s">
        <v>3</v>
      </c>
      <c r="D7" s="48" t="s">
        <v>5</v>
      </c>
      <c r="E7" s="43"/>
      <c r="F7" s="90" t="s">
        <v>19</v>
      </c>
      <c r="G7" s="90"/>
      <c r="H7" s="90"/>
      <c r="I7" s="90"/>
      <c r="J7" s="90"/>
      <c r="K7" s="90"/>
      <c r="L7" s="90"/>
      <c r="M7" s="91"/>
    </row>
    <row r="8" spans="2:24" x14ac:dyDescent="0.2">
      <c r="B8" s="41"/>
      <c r="C8" s="49" t="s">
        <v>271</v>
      </c>
      <c r="D8" s="50">
        <v>0.99192400000000003</v>
      </c>
      <c r="E8" s="43"/>
      <c r="F8" s="43"/>
      <c r="G8" s="51"/>
      <c r="H8" s="43"/>
      <c r="I8" s="43" t="s">
        <v>272</v>
      </c>
      <c r="J8" s="52">
        <f>D9</f>
        <v>0.99192400000000003</v>
      </c>
      <c r="K8" s="43"/>
      <c r="L8" s="43"/>
      <c r="M8" s="44"/>
      <c r="S8" s="53"/>
      <c r="W8" s="37" t="s">
        <v>273</v>
      </c>
      <c r="X8" s="37">
        <v>0.25058799999999998</v>
      </c>
    </row>
    <row r="9" spans="2:24" ht="15.75" x14ac:dyDescent="0.25">
      <c r="B9" s="41"/>
      <c r="C9" s="54" t="s">
        <v>272</v>
      </c>
      <c r="D9" s="55">
        <v>0.99192400000000003</v>
      </c>
      <c r="E9" s="43"/>
      <c r="F9" s="43"/>
      <c r="G9" s="43"/>
      <c r="H9" s="43"/>
      <c r="I9" s="43" t="s">
        <v>11</v>
      </c>
      <c r="J9" s="52">
        <f>D13</f>
        <v>-7.5380000000000004E-3</v>
      </c>
      <c r="K9" s="43"/>
      <c r="L9" s="43"/>
      <c r="M9" s="44"/>
      <c r="S9" s="53"/>
      <c r="W9" s="37" t="s">
        <v>274</v>
      </c>
      <c r="X9" s="37">
        <v>6.1296999999999997E-2</v>
      </c>
    </row>
    <row r="10" spans="2:24" x14ac:dyDescent="0.2">
      <c r="B10" s="41"/>
      <c r="C10" s="56" t="s">
        <v>9</v>
      </c>
      <c r="D10" s="57">
        <v>1.5613999999999999E-2</v>
      </c>
      <c r="E10" s="43"/>
      <c r="F10" s="43"/>
      <c r="G10" s="43"/>
      <c r="I10" s="37" t="s">
        <v>10</v>
      </c>
      <c r="J10" s="52">
        <f>D11</f>
        <v>1.5613999999999999E-2</v>
      </c>
      <c r="K10" s="43"/>
      <c r="L10" s="43"/>
      <c r="M10" s="44"/>
      <c r="S10" s="53"/>
      <c r="W10" s="37" t="s">
        <v>275</v>
      </c>
      <c r="X10" s="37">
        <v>3.0130999999999998E-2</v>
      </c>
    </row>
    <row r="11" spans="2:24" ht="15.75" x14ac:dyDescent="0.2">
      <c r="B11" s="41"/>
      <c r="C11" s="58" t="s">
        <v>10</v>
      </c>
      <c r="D11" s="59">
        <v>1.5613999999999999E-2</v>
      </c>
      <c r="E11" s="43"/>
      <c r="F11" s="43"/>
      <c r="G11" s="43"/>
      <c r="J11" s="43"/>
      <c r="K11" s="43"/>
      <c r="L11" s="43"/>
      <c r="M11" s="44"/>
      <c r="S11" s="53"/>
      <c r="W11" s="37" t="s">
        <v>276</v>
      </c>
      <c r="X11" s="37">
        <v>2.7299E-2</v>
      </c>
    </row>
    <row r="12" spans="2:24" x14ac:dyDescent="0.2">
      <c r="B12" s="41"/>
      <c r="C12" s="56"/>
      <c r="D12" s="60"/>
      <c r="E12" s="43"/>
      <c r="F12" s="43"/>
      <c r="G12" s="43"/>
      <c r="J12" s="43"/>
      <c r="K12" s="43"/>
      <c r="L12" s="43"/>
      <c r="M12" s="44"/>
      <c r="S12" s="53"/>
      <c r="W12" s="37" t="s">
        <v>277</v>
      </c>
      <c r="X12" s="37">
        <v>2.5925E-2</v>
      </c>
    </row>
    <row r="13" spans="2:24" ht="15.75" x14ac:dyDescent="0.2">
      <c r="B13" s="41"/>
      <c r="C13" s="58" t="s">
        <v>11</v>
      </c>
      <c r="D13" s="59">
        <v>-7.5380000000000004E-3</v>
      </c>
      <c r="E13" s="43"/>
      <c r="F13" s="43"/>
      <c r="G13" s="43"/>
      <c r="J13" s="43"/>
      <c r="K13" s="43"/>
      <c r="L13" s="43"/>
      <c r="M13" s="44"/>
      <c r="S13" s="53"/>
      <c r="W13" s="37" t="s">
        <v>278</v>
      </c>
      <c r="X13" s="37">
        <v>2.3822000000000003E-2</v>
      </c>
    </row>
    <row r="14" spans="2:24" x14ac:dyDescent="0.2">
      <c r="B14" s="41"/>
      <c r="C14" s="56"/>
      <c r="D14" s="60"/>
      <c r="E14" s="43"/>
      <c r="F14" s="43"/>
      <c r="G14" s="43"/>
      <c r="H14" s="43"/>
      <c r="I14" s="43"/>
      <c r="J14" s="43"/>
      <c r="K14" s="43"/>
      <c r="L14" s="43"/>
      <c r="M14" s="44"/>
      <c r="S14" s="53"/>
      <c r="W14" s="37" t="s">
        <v>279</v>
      </c>
      <c r="X14" s="37">
        <v>2.3753E-2</v>
      </c>
    </row>
    <row r="15" spans="2:24" ht="15.75" x14ac:dyDescent="0.2">
      <c r="B15" s="41"/>
      <c r="C15" s="61" t="s">
        <v>12</v>
      </c>
      <c r="D15" s="62">
        <f>D13+D11+D9</f>
        <v>1</v>
      </c>
      <c r="E15" s="43"/>
      <c r="F15" s="43"/>
      <c r="G15" s="43"/>
      <c r="H15" s="43"/>
      <c r="I15" s="43"/>
      <c r="J15" s="43"/>
      <c r="K15" s="43"/>
      <c r="L15" s="43"/>
      <c r="M15" s="44"/>
      <c r="S15" s="53"/>
      <c r="W15" s="37" t="s">
        <v>280</v>
      </c>
      <c r="X15" s="37">
        <v>1.8620999999999999E-2</v>
      </c>
    </row>
    <row r="16" spans="2:24" x14ac:dyDescent="0.2">
      <c r="B16" s="41"/>
      <c r="E16" s="43"/>
      <c r="F16" s="43"/>
      <c r="G16" s="43"/>
      <c r="H16" s="43"/>
      <c r="I16" s="43"/>
      <c r="J16" s="43"/>
      <c r="K16" s="43"/>
      <c r="L16" s="43"/>
      <c r="M16" s="44"/>
      <c r="S16" s="53"/>
      <c r="W16" s="37" t="s">
        <v>281</v>
      </c>
      <c r="X16" s="37">
        <v>1.7219000000000002E-2</v>
      </c>
    </row>
    <row r="17" spans="2:24" ht="15.75" x14ac:dyDescent="0.25">
      <c r="B17" s="41"/>
      <c r="C17" s="63"/>
      <c r="D17" s="64"/>
      <c r="E17" s="43"/>
      <c r="F17" s="43"/>
      <c r="G17" s="43"/>
      <c r="H17" s="43"/>
      <c r="I17" s="43"/>
      <c r="J17" s="43"/>
      <c r="K17" s="43"/>
      <c r="L17" s="43"/>
      <c r="M17" s="44"/>
      <c r="S17" s="53"/>
      <c r="W17" s="37" t="s">
        <v>282</v>
      </c>
      <c r="X17" s="37">
        <v>1.6056000000000001E-2</v>
      </c>
    </row>
    <row r="18" spans="2:24" x14ac:dyDescent="0.2">
      <c r="B18" s="41"/>
      <c r="C18" s="65"/>
      <c r="D18" s="65"/>
      <c r="E18" s="43"/>
      <c r="F18" s="43"/>
      <c r="G18" s="43"/>
      <c r="H18" s="43"/>
      <c r="I18" s="43"/>
      <c r="J18" s="43"/>
      <c r="K18" s="43"/>
      <c r="L18" s="43"/>
      <c r="M18" s="44"/>
      <c r="S18" s="53"/>
      <c r="W18" s="37" t="s">
        <v>283</v>
      </c>
      <c r="X18" s="37">
        <v>1.41E-2</v>
      </c>
    </row>
    <row r="19" spans="2:24" ht="15.75" x14ac:dyDescent="0.25">
      <c r="B19" s="41"/>
      <c r="C19" s="63"/>
      <c r="D19" s="66"/>
      <c r="E19" s="43"/>
      <c r="F19" s="43"/>
      <c r="G19" s="43"/>
      <c r="H19" s="43"/>
      <c r="I19" s="43"/>
      <c r="J19" s="43"/>
      <c r="K19" s="43"/>
      <c r="L19" s="43"/>
      <c r="M19" s="44"/>
      <c r="S19" s="53"/>
      <c r="W19" s="37" t="s">
        <v>284</v>
      </c>
      <c r="X19" s="37">
        <v>1.1167E-2</v>
      </c>
    </row>
    <row r="20" spans="2:24" x14ac:dyDescent="0.2">
      <c r="B20" s="41"/>
      <c r="E20" s="43"/>
      <c r="F20" s="43"/>
      <c r="G20" s="43"/>
      <c r="H20" s="43"/>
      <c r="I20" s="43"/>
      <c r="J20" s="43"/>
      <c r="K20" s="43"/>
      <c r="L20" s="43"/>
      <c r="M20" s="44"/>
      <c r="S20" s="53"/>
      <c r="W20" s="37" t="s">
        <v>285</v>
      </c>
      <c r="X20" s="37">
        <v>1.1159000000000001E-2</v>
      </c>
    </row>
    <row r="21" spans="2:24" x14ac:dyDescent="0.2">
      <c r="B21" s="41"/>
      <c r="E21" s="43"/>
      <c r="F21" s="43"/>
      <c r="G21" s="43"/>
      <c r="H21" s="43"/>
      <c r="I21" s="43"/>
      <c r="J21" s="43"/>
      <c r="K21" s="43"/>
      <c r="L21" s="43"/>
      <c r="M21" s="44"/>
      <c r="S21" s="53"/>
      <c r="W21" s="37" t="s">
        <v>286</v>
      </c>
      <c r="X21" s="37">
        <v>1.0543E-2</v>
      </c>
    </row>
    <row r="22" spans="2:24" ht="16.5" thickBot="1" x14ac:dyDescent="0.3">
      <c r="B22" s="67"/>
      <c r="C22" s="92"/>
      <c r="D22" s="92"/>
      <c r="E22" s="92"/>
      <c r="F22" s="92"/>
      <c r="G22" s="92"/>
      <c r="H22" s="92"/>
      <c r="I22" s="92"/>
      <c r="J22" s="92"/>
      <c r="K22" s="92"/>
      <c r="L22" s="92"/>
      <c r="M22" s="93"/>
      <c r="S22" s="53"/>
    </row>
    <row r="23" spans="2:24" ht="15.75" thickBot="1" x14ac:dyDescent="0.25">
      <c r="S23" s="53"/>
    </row>
    <row r="24" spans="2:24" ht="15" customHeight="1" x14ac:dyDescent="0.2">
      <c r="B24" s="94" t="s">
        <v>287</v>
      </c>
      <c r="C24" s="95"/>
      <c r="D24" s="95"/>
      <c r="E24" s="95"/>
      <c r="F24" s="95"/>
      <c r="G24" s="95"/>
      <c r="H24" s="95"/>
      <c r="I24" s="95"/>
      <c r="J24" s="95"/>
      <c r="K24" s="95"/>
      <c r="L24" s="95"/>
      <c r="M24" s="95"/>
      <c r="N24" s="96"/>
      <c r="S24" s="53"/>
    </row>
    <row r="25" spans="2:24" ht="15.75" customHeight="1" x14ac:dyDescent="0.2">
      <c r="B25" s="97"/>
      <c r="C25" s="98"/>
      <c r="D25" s="98"/>
      <c r="E25" s="98"/>
      <c r="F25" s="98"/>
      <c r="G25" s="98"/>
      <c r="H25" s="98"/>
      <c r="I25" s="98"/>
      <c r="J25" s="98"/>
      <c r="K25" s="98"/>
      <c r="L25" s="98"/>
      <c r="M25" s="98"/>
      <c r="N25" s="99"/>
      <c r="S25" s="53"/>
    </row>
    <row r="26" spans="2:24" ht="15.75" customHeight="1" x14ac:dyDescent="0.2">
      <c r="B26" s="97"/>
      <c r="C26" s="98"/>
      <c r="D26" s="98"/>
      <c r="E26" s="98"/>
      <c r="F26" s="98"/>
      <c r="G26" s="98"/>
      <c r="H26" s="98"/>
      <c r="I26" s="98"/>
      <c r="J26" s="98"/>
      <c r="K26" s="98"/>
      <c r="L26" s="98"/>
      <c r="M26" s="98"/>
      <c r="N26" s="99"/>
      <c r="S26" s="53"/>
    </row>
    <row r="27" spans="2:24" ht="15.75" customHeight="1" x14ac:dyDescent="0.2">
      <c r="B27" s="97"/>
      <c r="C27" s="98"/>
      <c r="D27" s="98"/>
      <c r="E27" s="98"/>
      <c r="F27" s="98"/>
      <c r="G27" s="98"/>
      <c r="H27" s="98"/>
      <c r="I27" s="98"/>
      <c r="J27" s="98"/>
      <c r="K27" s="98"/>
      <c r="L27" s="98"/>
      <c r="M27" s="98"/>
      <c r="N27" s="99"/>
      <c r="S27" s="53"/>
    </row>
    <row r="28" spans="2:24" ht="15.75" customHeight="1" x14ac:dyDescent="0.2">
      <c r="B28" s="97"/>
      <c r="C28" s="98"/>
      <c r="D28" s="98"/>
      <c r="E28" s="98"/>
      <c r="F28" s="98"/>
      <c r="G28" s="98"/>
      <c r="H28" s="98"/>
      <c r="I28" s="98"/>
      <c r="J28" s="98"/>
      <c r="K28" s="98"/>
      <c r="L28" s="98"/>
      <c r="M28" s="98"/>
      <c r="N28" s="99"/>
      <c r="S28" s="53"/>
    </row>
    <row r="29" spans="2:24" ht="15.75" customHeight="1" x14ac:dyDescent="0.2">
      <c r="B29" s="97"/>
      <c r="C29" s="98"/>
      <c r="D29" s="98"/>
      <c r="E29" s="98"/>
      <c r="F29" s="98"/>
      <c r="G29" s="98"/>
      <c r="H29" s="98"/>
      <c r="I29" s="98"/>
      <c r="J29" s="98"/>
      <c r="K29" s="98"/>
      <c r="L29" s="98"/>
      <c r="M29" s="98"/>
      <c r="N29" s="99"/>
      <c r="S29" s="53"/>
    </row>
    <row r="30" spans="2:24" ht="28.5" customHeight="1" thickBot="1" x14ac:dyDescent="0.25">
      <c r="B30" s="100"/>
      <c r="C30" s="101"/>
      <c r="D30" s="101"/>
      <c r="E30" s="101"/>
      <c r="F30" s="101"/>
      <c r="G30" s="101"/>
      <c r="H30" s="101"/>
      <c r="I30" s="101"/>
      <c r="J30" s="101"/>
      <c r="K30" s="101"/>
      <c r="L30" s="101"/>
      <c r="M30" s="101"/>
      <c r="N30" s="102"/>
      <c r="S30" s="53"/>
    </row>
    <row r="31" spans="2:24" ht="15.75" thickBot="1" x14ac:dyDescent="0.25">
      <c r="S31" s="53"/>
    </row>
    <row r="32" spans="2:24" x14ac:dyDescent="0.2">
      <c r="B32" s="94" t="s">
        <v>288</v>
      </c>
      <c r="C32" s="95"/>
      <c r="D32" s="95"/>
      <c r="E32" s="95"/>
      <c r="F32" s="95"/>
      <c r="G32" s="95"/>
      <c r="H32" s="95"/>
      <c r="I32" s="95"/>
      <c r="J32" s="95"/>
      <c r="K32" s="95"/>
      <c r="L32" s="95"/>
      <c r="M32" s="95"/>
      <c r="N32" s="96"/>
      <c r="S32" s="53"/>
    </row>
    <row r="33" spans="2:19" x14ac:dyDescent="0.2">
      <c r="B33" s="97"/>
      <c r="C33" s="98"/>
      <c r="D33" s="98"/>
      <c r="E33" s="98"/>
      <c r="F33" s="98"/>
      <c r="G33" s="98"/>
      <c r="H33" s="98"/>
      <c r="I33" s="98"/>
      <c r="J33" s="98"/>
      <c r="K33" s="98"/>
      <c r="L33" s="98"/>
      <c r="M33" s="98"/>
      <c r="N33" s="99"/>
      <c r="S33" s="53"/>
    </row>
    <row r="34" spans="2:19" x14ac:dyDescent="0.2">
      <c r="B34" s="97"/>
      <c r="C34" s="98"/>
      <c r="D34" s="98"/>
      <c r="E34" s="98"/>
      <c r="F34" s="98"/>
      <c r="G34" s="98"/>
      <c r="H34" s="98"/>
      <c r="I34" s="98"/>
      <c r="J34" s="98"/>
      <c r="K34" s="98"/>
      <c r="L34" s="98"/>
      <c r="M34" s="98"/>
      <c r="N34" s="99"/>
      <c r="S34" s="53"/>
    </row>
    <row r="35" spans="2:19" x14ac:dyDescent="0.2">
      <c r="B35" s="97"/>
      <c r="C35" s="98"/>
      <c r="D35" s="98"/>
      <c r="E35" s="98"/>
      <c r="F35" s="98"/>
      <c r="G35" s="98"/>
      <c r="H35" s="98"/>
      <c r="I35" s="98"/>
      <c r="J35" s="98"/>
      <c r="K35" s="98"/>
      <c r="L35" s="98"/>
      <c r="M35" s="98"/>
      <c r="N35" s="99"/>
      <c r="S35" s="53"/>
    </row>
    <row r="36" spans="2:19" x14ac:dyDescent="0.2">
      <c r="B36" s="97"/>
      <c r="C36" s="98"/>
      <c r="D36" s="98"/>
      <c r="E36" s="98"/>
      <c r="F36" s="98"/>
      <c r="G36" s="98"/>
      <c r="H36" s="98"/>
      <c r="I36" s="98"/>
      <c r="J36" s="98"/>
      <c r="K36" s="98"/>
      <c r="L36" s="98"/>
      <c r="M36" s="98"/>
      <c r="N36" s="99"/>
      <c r="S36" s="53"/>
    </row>
    <row r="37" spans="2:19" x14ac:dyDescent="0.2">
      <c r="B37" s="97"/>
      <c r="C37" s="98"/>
      <c r="D37" s="98"/>
      <c r="E37" s="98"/>
      <c r="F37" s="98"/>
      <c r="G37" s="98"/>
      <c r="H37" s="98"/>
      <c r="I37" s="98"/>
      <c r="J37" s="98"/>
      <c r="K37" s="98"/>
      <c r="L37" s="98"/>
      <c r="M37" s="98"/>
      <c r="N37" s="99"/>
      <c r="S37" s="53"/>
    </row>
    <row r="38" spans="2:19" ht="15.75" thickBot="1" x14ac:dyDescent="0.25">
      <c r="B38" s="100"/>
      <c r="C38" s="101"/>
      <c r="D38" s="101"/>
      <c r="E38" s="101"/>
      <c r="F38" s="101"/>
      <c r="G38" s="101"/>
      <c r="H38" s="101"/>
      <c r="I38" s="101"/>
      <c r="J38" s="101"/>
      <c r="K38" s="101"/>
      <c r="L38" s="101"/>
      <c r="M38" s="101"/>
      <c r="N38" s="102"/>
      <c r="S38" s="53"/>
    </row>
    <row r="39" spans="2:19" x14ac:dyDescent="0.2">
      <c r="S39" s="53"/>
    </row>
    <row r="40" spans="2:19" x14ac:dyDescent="0.2">
      <c r="S40" s="53"/>
    </row>
    <row r="41" spans="2:19" x14ac:dyDescent="0.2">
      <c r="S41" s="53"/>
    </row>
    <row r="42" spans="2:19" x14ac:dyDescent="0.2">
      <c r="S42" s="53"/>
    </row>
    <row r="43" spans="2:19" x14ac:dyDescent="0.2">
      <c r="S43" s="53"/>
    </row>
    <row r="44" spans="2:19" x14ac:dyDescent="0.2">
      <c r="S44" s="53"/>
    </row>
    <row r="45" spans="2:19" x14ac:dyDescent="0.2">
      <c r="S45" s="53"/>
    </row>
    <row r="46" spans="2:19" x14ac:dyDescent="0.2">
      <c r="S46" s="53"/>
    </row>
    <row r="47" spans="2:19" x14ac:dyDescent="0.2">
      <c r="S47" s="53"/>
    </row>
    <row r="48" spans="2:19" x14ac:dyDescent="0.2">
      <c r="S48" s="53"/>
    </row>
    <row r="49" spans="19:19" x14ac:dyDescent="0.2">
      <c r="S49" s="53"/>
    </row>
    <row r="50" spans="19:19" x14ac:dyDescent="0.2">
      <c r="S50" s="53"/>
    </row>
    <row r="51" spans="19:19" x14ac:dyDescent="0.2">
      <c r="S51" s="53"/>
    </row>
    <row r="52" spans="19:19" x14ac:dyDescent="0.2">
      <c r="S52" s="53"/>
    </row>
    <row r="53" spans="19:19" x14ac:dyDescent="0.2">
      <c r="S53" s="53"/>
    </row>
    <row r="54" spans="19:19" x14ac:dyDescent="0.2">
      <c r="S54" s="53"/>
    </row>
    <row r="55" spans="19:19" x14ac:dyDescent="0.2">
      <c r="S55" s="53"/>
    </row>
    <row r="56" spans="19:19" x14ac:dyDescent="0.2">
      <c r="S56" s="53"/>
    </row>
    <row r="57" spans="19:19" x14ac:dyDescent="0.2">
      <c r="S57" s="53"/>
    </row>
    <row r="58" spans="19:19" x14ac:dyDescent="0.2">
      <c r="S58" s="53"/>
    </row>
    <row r="59" spans="19:19" x14ac:dyDescent="0.2">
      <c r="S59" s="53"/>
    </row>
    <row r="60" spans="19:19" x14ac:dyDescent="0.2">
      <c r="S60" s="53"/>
    </row>
    <row r="61" spans="19:19" x14ac:dyDescent="0.2">
      <c r="S61" s="53"/>
    </row>
    <row r="62" spans="19:19" x14ac:dyDescent="0.2">
      <c r="S62" s="53"/>
    </row>
    <row r="63" spans="19:19" x14ac:dyDescent="0.2">
      <c r="S63" s="53"/>
    </row>
    <row r="64" spans="19:19" x14ac:dyDescent="0.2">
      <c r="S64" s="53"/>
    </row>
    <row r="65" spans="19:19" x14ac:dyDescent="0.2">
      <c r="S65" s="53"/>
    </row>
    <row r="66" spans="19:19" x14ac:dyDescent="0.2">
      <c r="S66" s="53"/>
    </row>
    <row r="67" spans="19:19" x14ac:dyDescent="0.2">
      <c r="S67" s="53"/>
    </row>
    <row r="68" spans="19:19" x14ac:dyDescent="0.2">
      <c r="S68" s="53"/>
    </row>
    <row r="69" spans="19:19" x14ac:dyDescent="0.2">
      <c r="S69" s="53"/>
    </row>
    <row r="70" spans="19:19" x14ac:dyDescent="0.2">
      <c r="S70" s="53"/>
    </row>
    <row r="71" spans="19:19" x14ac:dyDescent="0.2">
      <c r="S71" s="53"/>
    </row>
    <row r="72" spans="19:19" x14ac:dyDescent="0.2">
      <c r="S72" s="53"/>
    </row>
    <row r="73" spans="19:19" x14ac:dyDescent="0.2">
      <c r="S73" s="53"/>
    </row>
    <row r="74" spans="19:19" x14ac:dyDescent="0.2">
      <c r="S74" s="53"/>
    </row>
    <row r="75" spans="19:19" x14ac:dyDescent="0.2">
      <c r="S75" s="53"/>
    </row>
    <row r="76" spans="19:19" x14ac:dyDescent="0.2">
      <c r="S76" s="53"/>
    </row>
    <row r="77" spans="19:19" x14ac:dyDescent="0.2">
      <c r="S77" s="53"/>
    </row>
    <row r="78" spans="19:19" x14ac:dyDescent="0.2">
      <c r="S78" s="53"/>
    </row>
    <row r="79" spans="19:19" x14ac:dyDescent="0.2">
      <c r="S79" s="53"/>
    </row>
    <row r="80" spans="19:19" x14ac:dyDescent="0.2">
      <c r="S80" s="53"/>
    </row>
    <row r="81" spans="19:19" x14ac:dyDescent="0.2">
      <c r="S81" s="53"/>
    </row>
    <row r="82" spans="19:19" x14ac:dyDescent="0.2">
      <c r="S82" s="53"/>
    </row>
    <row r="83" spans="19:19" x14ac:dyDescent="0.2">
      <c r="S83" s="53"/>
    </row>
    <row r="84" spans="19:19" x14ac:dyDescent="0.2">
      <c r="S84" s="53"/>
    </row>
    <row r="85" spans="19:19" x14ac:dyDescent="0.2">
      <c r="S85" s="53"/>
    </row>
    <row r="86" spans="19:19" x14ac:dyDescent="0.2">
      <c r="S86" s="53"/>
    </row>
    <row r="87" spans="19:19" x14ac:dyDescent="0.2">
      <c r="S87" s="53"/>
    </row>
    <row r="88" spans="19:19" x14ac:dyDescent="0.2">
      <c r="S88" s="53"/>
    </row>
    <row r="89" spans="19:19" x14ac:dyDescent="0.2">
      <c r="S89" s="53"/>
    </row>
    <row r="90" spans="19:19" x14ac:dyDescent="0.2">
      <c r="S90" s="53"/>
    </row>
    <row r="91" spans="19:19" x14ac:dyDescent="0.2">
      <c r="S91" s="53"/>
    </row>
    <row r="92" spans="19:19" x14ac:dyDescent="0.2">
      <c r="S92" s="53"/>
    </row>
    <row r="93" spans="19:19" x14ac:dyDescent="0.2">
      <c r="S93" s="53"/>
    </row>
    <row r="94" spans="19:19" x14ac:dyDescent="0.2">
      <c r="S94" s="53"/>
    </row>
    <row r="95" spans="19:19" x14ac:dyDescent="0.2">
      <c r="S95" s="53"/>
    </row>
    <row r="96" spans="19:19" x14ac:dyDescent="0.2">
      <c r="S96" s="53"/>
    </row>
    <row r="97" spans="19:19" x14ac:dyDescent="0.2">
      <c r="S97" s="53"/>
    </row>
    <row r="98" spans="19:19" x14ac:dyDescent="0.2">
      <c r="S98" s="53"/>
    </row>
    <row r="99" spans="19:19" x14ac:dyDescent="0.2">
      <c r="S99" s="53"/>
    </row>
    <row r="100" spans="19:19" x14ac:dyDescent="0.2">
      <c r="S100" s="53"/>
    </row>
    <row r="101" spans="19:19" x14ac:dyDescent="0.2">
      <c r="S101" s="53"/>
    </row>
    <row r="102" spans="19:19" x14ac:dyDescent="0.2">
      <c r="S102" s="53"/>
    </row>
    <row r="103" spans="19:19" x14ac:dyDescent="0.2">
      <c r="S103" s="53"/>
    </row>
    <row r="104" spans="19:19" x14ac:dyDescent="0.2">
      <c r="S104" s="53"/>
    </row>
    <row r="105" spans="19:19" x14ac:dyDescent="0.2">
      <c r="S105" s="53"/>
    </row>
    <row r="106" spans="19:19" x14ac:dyDescent="0.2">
      <c r="S106" s="53"/>
    </row>
    <row r="107" spans="19:19" x14ac:dyDescent="0.2">
      <c r="S107" s="53"/>
    </row>
    <row r="108" spans="19:19" x14ac:dyDescent="0.2">
      <c r="S108" s="53"/>
    </row>
    <row r="109" spans="19:19" x14ac:dyDescent="0.2">
      <c r="S109" s="53"/>
    </row>
    <row r="110" spans="19:19" x14ac:dyDescent="0.2">
      <c r="S110" s="53"/>
    </row>
    <row r="111" spans="19:19" x14ac:dyDescent="0.2">
      <c r="S111" s="53"/>
    </row>
    <row r="112" spans="19:19" x14ac:dyDescent="0.2">
      <c r="S112" s="53"/>
    </row>
    <row r="113" spans="19:19" x14ac:dyDescent="0.2">
      <c r="S113" s="53"/>
    </row>
    <row r="114" spans="19:19" x14ac:dyDescent="0.2">
      <c r="S114" s="53"/>
    </row>
    <row r="115" spans="19:19" x14ac:dyDescent="0.2">
      <c r="S115" s="53"/>
    </row>
    <row r="116" spans="19:19" x14ac:dyDescent="0.2">
      <c r="S116" s="53"/>
    </row>
    <row r="117" spans="19:19" x14ac:dyDescent="0.2">
      <c r="S117" s="53"/>
    </row>
    <row r="118" spans="19:19" x14ac:dyDescent="0.2">
      <c r="S118" s="53"/>
    </row>
    <row r="119" spans="19:19" x14ac:dyDescent="0.2">
      <c r="S119" s="53"/>
    </row>
    <row r="120" spans="19:19" x14ac:dyDescent="0.2">
      <c r="S120" s="53"/>
    </row>
    <row r="121" spans="19:19" x14ac:dyDescent="0.2">
      <c r="S121" s="53"/>
    </row>
    <row r="122" spans="19:19" x14ac:dyDescent="0.2">
      <c r="S122" s="53"/>
    </row>
    <row r="123" spans="19:19" x14ac:dyDescent="0.2">
      <c r="S123" s="53"/>
    </row>
    <row r="124" spans="19:19" x14ac:dyDescent="0.2">
      <c r="S124" s="53"/>
    </row>
    <row r="125" spans="19:19" x14ac:dyDescent="0.2">
      <c r="S125" s="53"/>
    </row>
    <row r="126" spans="19:19" x14ac:dyDescent="0.2">
      <c r="S126" s="53"/>
    </row>
    <row r="127" spans="19:19" x14ac:dyDescent="0.2">
      <c r="S127" s="53"/>
    </row>
    <row r="128" spans="19:19" x14ac:dyDescent="0.2">
      <c r="S128" s="53"/>
    </row>
    <row r="129" spans="19:19" x14ac:dyDescent="0.2">
      <c r="S129" s="53"/>
    </row>
    <row r="130" spans="19:19" x14ac:dyDescent="0.2">
      <c r="S130" s="53"/>
    </row>
    <row r="131" spans="19:19" x14ac:dyDescent="0.2">
      <c r="S131" s="53"/>
    </row>
    <row r="132" spans="19:19" x14ac:dyDescent="0.2">
      <c r="S132" s="53"/>
    </row>
    <row r="133" spans="19:19" x14ac:dyDescent="0.2">
      <c r="S133" s="53"/>
    </row>
    <row r="134" spans="19:19" x14ac:dyDescent="0.2">
      <c r="S134" s="53"/>
    </row>
    <row r="135" spans="19:19" x14ac:dyDescent="0.2">
      <c r="S135" s="53"/>
    </row>
    <row r="136" spans="19:19" x14ac:dyDescent="0.2">
      <c r="S136" s="53"/>
    </row>
    <row r="137" spans="19:19" x14ac:dyDescent="0.2">
      <c r="S137" s="53"/>
    </row>
    <row r="138" spans="19:19" x14ac:dyDescent="0.2">
      <c r="S138" s="53"/>
    </row>
    <row r="139" spans="19:19" x14ac:dyDescent="0.2">
      <c r="S139" s="53"/>
    </row>
    <row r="140" spans="19:19" x14ac:dyDescent="0.2">
      <c r="S140" s="53"/>
    </row>
    <row r="141" spans="19:19" x14ac:dyDescent="0.2">
      <c r="S141" s="53"/>
    </row>
    <row r="142" spans="19:19" x14ac:dyDescent="0.2">
      <c r="S142" s="53"/>
    </row>
    <row r="143" spans="19:19" x14ac:dyDescent="0.2">
      <c r="S143" s="53"/>
    </row>
    <row r="144" spans="19:19" x14ac:dyDescent="0.2">
      <c r="S144" s="53"/>
    </row>
    <row r="145" spans="19:19" x14ac:dyDescent="0.2">
      <c r="S145" s="53"/>
    </row>
    <row r="146" spans="19:19" x14ac:dyDescent="0.2">
      <c r="S146" s="53"/>
    </row>
    <row r="147" spans="19:19" x14ac:dyDescent="0.2">
      <c r="S147" s="53"/>
    </row>
    <row r="148" spans="19:19" x14ac:dyDescent="0.2">
      <c r="S148" s="53"/>
    </row>
    <row r="149" spans="19:19" x14ac:dyDescent="0.2">
      <c r="S149" s="53"/>
    </row>
    <row r="150" spans="19:19" x14ac:dyDescent="0.2">
      <c r="S150" s="53"/>
    </row>
    <row r="151" spans="19:19" x14ac:dyDescent="0.2">
      <c r="S151" s="53"/>
    </row>
    <row r="152" spans="19:19" x14ac:dyDescent="0.2">
      <c r="S152" s="53"/>
    </row>
    <row r="153" spans="19:19" x14ac:dyDescent="0.2">
      <c r="S153" s="53"/>
    </row>
    <row r="154" spans="19:19" x14ac:dyDescent="0.2">
      <c r="S154" s="53"/>
    </row>
    <row r="155" spans="19:19" x14ac:dyDescent="0.2">
      <c r="S155" s="53"/>
    </row>
    <row r="156" spans="19:19" x14ac:dyDescent="0.2">
      <c r="S156" s="53"/>
    </row>
    <row r="157" spans="19:19" x14ac:dyDescent="0.2">
      <c r="S157" s="53"/>
    </row>
    <row r="158" spans="19:19" x14ac:dyDescent="0.2">
      <c r="S158" s="53"/>
    </row>
    <row r="159" spans="19:19" x14ac:dyDescent="0.2">
      <c r="S159" s="53"/>
    </row>
    <row r="160" spans="19:19" x14ac:dyDescent="0.2">
      <c r="S160" s="53"/>
    </row>
    <row r="161" spans="19:19" x14ac:dyDescent="0.2">
      <c r="S161" s="53"/>
    </row>
    <row r="162" spans="19:19" x14ac:dyDescent="0.2">
      <c r="S162" s="53"/>
    </row>
    <row r="163" spans="19:19" x14ac:dyDescent="0.2">
      <c r="S163" s="53"/>
    </row>
    <row r="164" spans="19:19" x14ac:dyDescent="0.2">
      <c r="S164" s="53"/>
    </row>
    <row r="165" spans="19:19" x14ac:dyDescent="0.2">
      <c r="S165" s="53"/>
    </row>
    <row r="166" spans="19:19" x14ac:dyDescent="0.2">
      <c r="S166" s="53"/>
    </row>
    <row r="167" spans="19:19" x14ac:dyDescent="0.2">
      <c r="S167" s="53"/>
    </row>
    <row r="168" spans="19:19" x14ac:dyDescent="0.2">
      <c r="S168" s="53"/>
    </row>
    <row r="169" spans="19:19" x14ac:dyDescent="0.2">
      <c r="S169" s="53"/>
    </row>
    <row r="170" spans="19:19" x14ac:dyDescent="0.2">
      <c r="S170" s="53"/>
    </row>
    <row r="171" spans="19:19" x14ac:dyDescent="0.2">
      <c r="S171" s="53"/>
    </row>
    <row r="172" spans="19:19" x14ac:dyDescent="0.2">
      <c r="S172" s="53"/>
    </row>
    <row r="173" spans="19:19" x14ac:dyDescent="0.2">
      <c r="S173" s="53"/>
    </row>
    <row r="174" spans="19:19" x14ac:dyDescent="0.2">
      <c r="S174" s="53"/>
    </row>
    <row r="175" spans="19:19" x14ac:dyDescent="0.2">
      <c r="S175" s="53"/>
    </row>
    <row r="176" spans="19:19" x14ac:dyDescent="0.2">
      <c r="S176" s="53"/>
    </row>
    <row r="177" spans="19:19" x14ac:dyDescent="0.2">
      <c r="S177" s="53"/>
    </row>
    <row r="178" spans="19:19" x14ac:dyDescent="0.2">
      <c r="S178" s="53"/>
    </row>
    <row r="179" spans="19:19" x14ac:dyDescent="0.2">
      <c r="S179" s="53"/>
    </row>
    <row r="180" spans="19:19" x14ac:dyDescent="0.2">
      <c r="S180" s="53"/>
    </row>
    <row r="181" spans="19:19" x14ac:dyDescent="0.2">
      <c r="S181" s="53"/>
    </row>
    <row r="182" spans="19:19" x14ac:dyDescent="0.2">
      <c r="S182" s="53"/>
    </row>
    <row r="183" spans="19:19" x14ac:dyDescent="0.2">
      <c r="S183" s="53"/>
    </row>
    <row r="184" spans="19:19" x14ac:dyDescent="0.2">
      <c r="S184" s="53"/>
    </row>
    <row r="185" spans="19:19" x14ac:dyDescent="0.2">
      <c r="S185" s="53"/>
    </row>
    <row r="186" spans="19:19" x14ac:dyDescent="0.2">
      <c r="S186" s="53"/>
    </row>
    <row r="187" spans="19:19" x14ac:dyDescent="0.2">
      <c r="S187" s="53"/>
    </row>
    <row r="188" spans="19:19" x14ac:dyDescent="0.2">
      <c r="S188" s="53"/>
    </row>
    <row r="189" spans="19:19" x14ac:dyDescent="0.2">
      <c r="S189" s="53"/>
    </row>
    <row r="190" spans="19:19" x14ac:dyDescent="0.2">
      <c r="S190" s="53"/>
    </row>
    <row r="191" spans="19:19" x14ac:dyDescent="0.2">
      <c r="S191" s="53"/>
    </row>
    <row r="192" spans="19:19" x14ac:dyDescent="0.2">
      <c r="S192" s="53"/>
    </row>
    <row r="193" spans="19:19" x14ac:dyDescent="0.2">
      <c r="S193" s="53"/>
    </row>
    <row r="194" spans="19:19" x14ac:dyDescent="0.2">
      <c r="S194" s="53"/>
    </row>
    <row r="195" spans="19:19" x14ac:dyDescent="0.2">
      <c r="S195" s="53"/>
    </row>
    <row r="196" spans="19:19" x14ac:dyDescent="0.2">
      <c r="S196" s="53"/>
    </row>
    <row r="197" spans="19:19" x14ac:dyDescent="0.2">
      <c r="S197" s="53"/>
    </row>
    <row r="198" spans="19:19" x14ac:dyDescent="0.2">
      <c r="S198" s="53"/>
    </row>
    <row r="199" spans="19:19" x14ac:dyDescent="0.2">
      <c r="S199" s="53"/>
    </row>
    <row r="200" spans="19:19" x14ac:dyDescent="0.2">
      <c r="S200" s="53"/>
    </row>
    <row r="201" spans="19:19" x14ac:dyDescent="0.2">
      <c r="S201" s="53"/>
    </row>
    <row r="202" spans="19:19" x14ac:dyDescent="0.2">
      <c r="S202" s="53"/>
    </row>
    <row r="203" spans="19:19" x14ac:dyDescent="0.2">
      <c r="S203" s="53"/>
    </row>
    <row r="204" spans="19:19" x14ac:dyDescent="0.2">
      <c r="S204" s="53"/>
    </row>
    <row r="205" spans="19:19" x14ac:dyDescent="0.2">
      <c r="S205" s="53"/>
    </row>
    <row r="206" spans="19:19" x14ac:dyDescent="0.2">
      <c r="S206" s="53"/>
    </row>
    <row r="207" spans="19:19" x14ac:dyDescent="0.2">
      <c r="S207" s="53"/>
    </row>
    <row r="208" spans="19:19" x14ac:dyDescent="0.2">
      <c r="S208" s="53"/>
    </row>
    <row r="209" spans="19:19" x14ac:dyDescent="0.2">
      <c r="S209" s="53"/>
    </row>
    <row r="210" spans="19:19" x14ac:dyDescent="0.2">
      <c r="S210" s="53"/>
    </row>
    <row r="211" spans="19:19" x14ac:dyDescent="0.2">
      <c r="S211" s="53"/>
    </row>
    <row r="212" spans="19:19" x14ac:dyDescent="0.2">
      <c r="S212" s="53"/>
    </row>
    <row r="213" spans="19:19" x14ac:dyDescent="0.2">
      <c r="S213" s="53"/>
    </row>
    <row r="214" spans="19:19" x14ac:dyDescent="0.2">
      <c r="S214" s="53"/>
    </row>
    <row r="215" spans="19:19" x14ac:dyDescent="0.2">
      <c r="S215" s="53"/>
    </row>
    <row r="216" spans="19:19" x14ac:dyDescent="0.2">
      <c r="S216" s="53"/>
    </row>
    <row r="217" spans="19:19" x14ac:dyDescent="0.2">
      <c r="S217" s="53"/>
    </row>
    <row r="218" spans="19:19" x14ac:dyDescent="0.2">
      <c r="S218" s="53"/>
    </row>
    <row r="219" spans="19:19" x14ac:dyDescent="0.2">
      <c r="S219" s="53"/>
    </row>
    <row r="220" spans="19:19" x14ac:dyDescent="0.2">
      <c r="S220" s="53"/>
    </row>
    <row r="221" spans="19:19" x14ac:dyDescent="0.2">
      <c r="S221" s="53"/>
    </row>
    <row r="222" spans="19:19" x14ac:dyDescent="0.2">
      <c r="S222" s="53"/>
    </row>
    <row r="223" spans="19:19" x14ac:dyDescent="0.2">
      <c r="S223" s="53"/>
    </row>
    <row r="224" spans="19:19" x14ac:dyDescent="0.2">
      <c r="S224" s="53"/>
    </row>
    <row r="225" spans="19:19" x14ac:dyDescent="0.2">
      <c r="S225" s="53"/>
    </row>
    <row r="226" spans="19:19" x14ac:dyDescent="0.2">
      <c r="S226" s="53"/>
    </row>
    <row r="227" spans="19:19" x14ac:dyDescent="0.2">
      <c r="S227" s="53"/>
    </row>
    <row r="228" spans="19:19" x14ac:dyDescent="0.2">
      <c r="S228" s="53"/>
    </row>
    <row r="229" spans="19:19" x14ac:dyDescent="0.2">
      <c r="S229" s="53"/>
    </row>
    <row r="230" spans="19:19" x14ac:dyDescent="0.2">
      <c r="S230" s="53"/>
    </row>
    <row r="231" spans="19:19" x14ac:dyDescent="0.2">
      <c r="S231" s="53"/>
    </row>
    <row r="232" spans="19:19" x14ac:dyDescent="0.2">
      <c r="S232" s="53"/>
    </row>
    <row r="233" spans="19:19" x14ac:dyDescent="0.2">
      <c r="S233" s="53"/>
    </row>
    <row r="234" spans="19:19" x14ac:dyDescent="0.2">
      <c r="S234" s="53"/>
    </row>
    <row r="235" spans="19:19" x14ac:dyDescent="0.2">
      <c r="S235" s="53"/>
    </row>
    <row r="236" spans="19:19" x14ac:dyDescent="0.2">
      <c r="S236" s="53"/>
    </row>
    <row r="237" spans="19:19" x14ac:dyDescent="0.2">
      <c r="S237" s="53"/>
    </row>
    <row r="238" spans="19:19" x14ac:dyDescent="0.2">
      <c r="S238" s="53"/>
    </row>
    <row r="239" spans="19:19" x14ac:dyDescent="0.2">
      <c r="S239" s="53"/>
    </row>
    <row r="240" spans="19:19" x14ac:dyDescent="0.2">
      <c r="S240" s="53"/>
    </row>
    <row r="241" spans="19:19" x14ac:dyDescent="0.2">
      <c r="S241" s="53"/>
    </row>
    <row r="242" spans="19:19" x14ac:dyDescent="0.2">
      <c r="S242" s="53"/>
    </row>
    <row r="243" spans="19:19" x14ac:dyDescent="0.2">
      <c r="S243" s="53"/>
    </row>
    <row r="244" spans="19:19" x14ac:dyDescent="0.2">
      <c r="S244" s="53"/>
    </row>
    <row r="245" spans="19:19" x14ac:dyDescent="0.2">
      <c r="S245" s="53"/>
    </row>
    <row r="246" spans="19:19" x14ac:dyDescent="0.2">
      <c r="S246" s="53"/>
    </row>
    <row r="247" spans="19:19" x14ac:dyDescent="0.2">
      <c r="S247" s="53"/>
    </row>
    <row r="248" spans="19:19" x14ac:dyDescent="0.2">
      <c r="S248" s="53"/>
    </row>
    <row r="249" spans="19:19" x14ac:dyDescent="0.2">
      <c r="S249" s="53"/>
    </row>
    <row r="250" spans="19:19" x14ac:dyDescent="0.2">
      <c r="S250" s="53"/>
    </row>
    <row r="251" spans="19:19" x14ac:dyDescent="0.2">
      <c r="S251" s="53"/>
    </row>
    <row r="252" spans="19:19" x14ac:dyDescent="0.2">
      <c r="S252" s="53"/>
    </row>
    <row r="253" spans="19:19" x14ac:dyDescent="0.2">
      <c r="S253" s="53"/>
    </row>
    <row r="254" spans="19:19" x14ac:dyDescent="0.2">
      <c r="S254" s="53"/>
    </row>
    <row r="255" spans="19:19" x14ac:dyDescent="0.2">
      <c r="S255" s="53"/>
    </row>
    <row r="256" spans="19:19" x14ac:dyDescent="0.2">
      <c r="S256" s="53"/>
    </row>
    <row r="257" spans="19:19" x14ac:dyDescent="0.2">
      <c r="S257" s="53"/>
    </row>
    <row r="258" spans="19:19" x14ac:dyDescent="0.2">
      <c r="S258" s="53"/>
    </row>
    <row r="259" spans="19:19" x14ac:dyDescent="0.2">
      <c r="S259" s="53"/>
    </row>
    <row r="260" spans="19:19" x14ac:dyDescent="0.2">
      <c r="S260" s="53"/>
    </row>
    <row r="261" spans="19:19" x14ac:dyDescent="0.2">
      <c r="S261" s="53"/>
    </row>
    <row r="262" spans="19:19" x14ac:dyDescent="0.2">
      <c r="S262" s="53"/>
    </row>
    <row r="263" spans="19:19" x14ac:dyDescent="0.2">
      <c r="S263" s="53"/>
    </row>
    <row r="264" spans="19:19" x14ac:dyDescent="0.2">
      <c r="S264" s="53"/>
    </row>
    <row r="265" spans="19:19" x14ac:dyDescent="0.2">
      <c r="S265" s="53"/>
    </row>
    <row r="266" spans="19:19" x14ac:dyDescent="0.2">
      <c r="S266" s="53"/>
    </row>
    <row r="267" spans="19:19" x14ac:dyDescent="0.2">
      <c r="S267" s="53"/>
    </row>
    <row r="268" spans="19:19" x14ac:dyDescent="0.2">
      <c r="S268" s="53"/>
    </row>
    <row r="269" spans="19:19" x14ac:dyDescent="0.2">
      <c r="S269" s="53"/>
    </row>
    <row r="270" spans="19:19" x14ac:dyDescent="0.2">
      <c r="S270" s="53"/>
    </row>
    <row r="271" spans="19:19" x14ac:dyDescent="0.2">
      <c r="S271" s="53"/>
    </row>
    <row r="272" spans="19:19" x14ac:dyDescent="0.2">
      <c r="S272" s="53"/>
    </row>
    <row r="273" spans="19:19" x14ac:dyDescent="0.2">
      <c r="S273" s="53"/>
    </row>
    <row r="274" spans="19:19" x14ac:dyDescent="0.2">
      <c r="S274" s="53"/>
    </row>
    <row r="275" spans="19:19" x14ac:dyDescent="0.2">
      <c r="S275" s="53"/>
    </row>
    <row r="276" spans="19:19" x14ac:dyDescent="0.2">
      <c r="S276" s="53"/>
    </row>
    <row r="277" spans="19:19" x14ac:dyDescent="0.2">
      <c r="S277" s="53"/>
    </row>
    <row r="278" spans="19:19" x14ac:dyDescent="0.2">
      <c r="S278" s="53"/>
    </row>
    <row r="279" spans="19:19" x14ac:dyDescent="0.2">
      <c r="S279" s="53"/>
    </row>
    <row r="280" spans="19:19" x14ac:dyDescent="0.2">
      <c r="S280" s="53"/>
    </row>
    <row r="281" spans="19:19" x14ac:dyDescent="0.2">
      <c r="S281" s="53"/>
    </row>
    <row r="282" spans="19:19" x14ac:dyDescent="0.2">
      <c r="S282" s="53"/>
    </row>
    <row r="283" spans="19:19" x14ac:dyDescent="0.2">
      <c r="S283" s="53"/>
    </row>
    <row r="284" spans="19:19" x14ac:dyDescent="0.2">
      <c r="S284" s="53"/>
    </row>
    <row r="285" spans="19:19" x14ac:dyDescent="0.2">
      <c r="S285" s="53"/>
    </row>
    <row r="286" spans="19:19" x14ac:dyDescent="0.2">
      <c r="S286" s="53"/>
    </row>
    <row r="287" spans="19:19" x14ac:dyDescent="0.2">
      <c r="S287" s="53"/>
    </row>
    <row r="288" spans="19:19" x14ac:dyDescent="0.2">
      <c r="S288" s="53"/>
    </row>
    <row r="289" spans="19:19" x14ac:dyDescent="0.2">
      <c r="S289" s="53"/>
    </row>
    <row r="290" spans="19:19" x14ac:dyDescent="0.2">
      <c r="S290" s="53"/>
    </row>
    <row r="291" spans="19:19" x14ac:dyDescent="0.2">
      <c r="S291" s="53"/>
    </row>
    <row r="292" spans="19:19" x14ac:dyDescent="0.2">
      <c r="S292" s="53"/>
    </row>
    <row r="293" spans="19:19" x14ac:dyDescent="0.2">
      <c r="S293" s="53"/>
    </row>
    <row r="294" spans="19:19" x14ac:dyDescent="0.2">
      <c r="S294" s="53"/>
    </row>
    <row r="295" spans="19:19" x14ac:dyDescent="0.2">
      <c r="S295" s="53"/>
    </row>
    <row r="296" spans="19:19" x14ac:dyDescent="0.2">
      <c r="S296" s="53"/>
    </row>
    <row r="297" spans="19:19" x14ac:dyDescent="0.2">
      <c r="S297" s="53"/>
    </row>
    <row r="298" spans="19:19" x14ac:dyDescent="0.2">
      <c r="S298" s="53"/>
    </row>
    <row r="299" spans="19:19" x14ac:dyDescent="0.2">
      <c r="S299" s="53"/>
    </row>
    <row r="300" spans="19:19" x14ac:dyDescent="0.2">
      <c r="S300" s="53"/>
    </row>
    <row r="301" spans="19:19" x14ac:dyDescent="0.2">
      <c r="S301" s="53"/>
    </row>
    <row r="302" spans="19:19" x14ac:dyDescent="0.2">
      <c r="S302" s="53"/>
    </row>
    <row r="303" spans="19:19" x14ac:dyDescent="0.2">
      <c r="S303" s="53"/>
    </row>
    <row r="304" spans="19:19" x14ac:dyDescent="0.2">
      <c r="S304" s="53"/>
    </row>
    <row r="305" spans="19:19" x14ac:dyDescent="0.2">
      <c r="S305" s="53"/>
    </row>
    <row r="306" spans="19:19" x14ac:dyDescent="0.2">
      <c r="S306" s="53"/>
    </row>
    <row r="307" spans="19:19" x14ac:dyDescent="0.2">
      <c r="S307" s="53"/>
    </row>
    <row r="308" spans="19:19" x14ac:dyDescent="0.2">
      <c r="S308" s="53"/>
    </row>
    <row r="309" spans="19:19" x14ac:dyDescent="0.2">
      <c r="S309" s="53"/>
    </row>
    <row r="310" spans="19:19" x14ac:dyDescent="0.2">
      <c r="S310" s="53"/>
    </row>
    <row r="311" spans="19:19" x14ac:dyDescent="0.2">
      <c r="S311" s="53"/>
    </row>
    <row r="312" spans="19:19" x14ac:dyDescent="0.2">
      <c r="S312" s="53"/>
    </row>
    <row r="313" spans="19:19" x14ac:dyDescent="0.2">
      <c r="S313" s="53"/>
    </row>
    <row r="314" spans="19:19" x14ac:dyDescent="0.2">
      <c r="S314" s="53"/>
    </row>
    <row r="315" spans="19:19" x14ac:dyDescent="0.2">
      <c r="S315" s="53"/>
    </row>
    <row r="316" spans="19:19" x14ac:dyDescent="0.2">
      <c r="S316" s="53"/>
    </row>
    <row r="317" spans="19:19" x14ac:dyDescent="0.2">
      <c r="S317" s="53"/>
    </row>
    <row r="318" spans="19:19" x14ac:dyDescent="0.2">
      <c r="S318" s="53"/>
    </row>
    <row r="319" spans="19:19" x14ac:dyDescent="0.2">
      <c r="S319" s="53"/>
    </row>
    <row r="320" spans="19:19" x14ac:dyDescent="0.2">
      <c r="S320" s="53"/>
    </row>
    <row r="321" spans="19:19" x14ac:dyDescent="0.2">
      <c r="S321" s="53"/>
    </row>
    <row r="322" spans="19:19" x14ac:dyDescent="0.2">
      <c r="S322" s="53"/>
    </row>
    <row r="323" spans="19:19" x14ac:dyDescent="0.2">
      <c r="S323" s="53"/>
    </row>
    <row r="324" spans="19:19" x14ac:dyDescent="0.2">
      <c r="S324" s="53"/>
    </row>
    <row r="325" spans="19:19" x14ac:dyDescent="0.2">
      <c r="S325" s="53"/>
    </row>
    <row r="326" spans="19:19" x14ac:dyDescent="0.2">
      <c r="S326" s="53"/>
    </row>
    <row r="327" spans="19:19" x14ac:dyDescent="0.2">
      <c r="S327" s="53"/>
    </row>
    <row r="328" spans="19:19" x14ac:dyDescent="0.2">
      <c r="S328" s="53"/>
    </row>
    <row r="329" spans="19:19" x14ac:dyDescent="0.2">
      <c r="S329" s="53"/>
    </row>
    <row r="330" spans="19:19" x14ac:dyDescent="0.2">
      <c r="S330" s="53"/>
    </row>
    <row r="331" spans="19:19" x14ac:dyDescent="0.2">
      <c r="S331" s="53"/>
    </row>
    <row r="332" spans="19:19" x14ac:dyDescent="0.2">
      <c r="S332" s="53"/>
    </row>
    <row r="333" spans="19:19" x14ac:dyDescent="0.2">
      <c r="S333" s="53"/>
    </row>
    <row r="334" spans="19:19" x14ac:dyDescent="0.2">
      <c r="S334" s="53"/>
    </row>
    <row r="335" spans="19:19" x14ac:dyDescent="0.2">
      <c r="S335" s="53"/>
    </row>
    <row r="336" spans="19:19" x14ac:dyDescent="0.2">
      <c r="S336" s="53"/>
    </row>
    <row r="337" spans="19:19" x14ac:dyDescent="0.2">
      <c r="S337" s="53"/>
    </row>
    <row r="338" spans="19:19" x14ac:dyDescent="0.2">
      <c r="S338" s="53"/>
    </row>
    <row r="339" spans="19:19" x14ac:dyDescent="0.2">
      <c r="S339" s="53"/>
    </row>
    <row r="340" spans="19:19" x14ac:dyDescent="0.2">
      <c r="S340" s="53"/>
    </row>
    <row r="341" spans="19:19" x14ac:dyDescent="0.2">
      <c r="S341" s="53"/>
    </row>
    <row r="342" spans="19:19" x14ac:dyDescent="0.2">
      <c r="S342" s="53"/>
    </row>
    <row r="343" spans="19:19" x14ac:dyDescent="0.2">
      <c r="S343" s="53"/>
    </row>
    <row r="344" spans="19:19" x14ac:dyDescent="0.2">
      <c r="S344" s="53"/>
    </row>
    <row r="345" spans="19:19" x14ac:dyDescent="0.2">
      <c r="S345" s="53"/>
    </row>
    <row r="346" spans="19:19" x14ac:dyDescent="0.2">
      <c r="S346" s="53"/>
    </row>
    <row r="347" spans="19:19" x14ac:dyDescent="0.2">
      <c r="S347" s="53"/>
    </row>
    <row r="348" spans="19:19" x14ac:dyDescent="0.2">
      <c r="S348" s="53"/>
    </row>
    <row r="349" spans="19:19" x14ac:dyDescent="0.2">
      <c r="S349" s="53"/>
    </row>
    <row r="350" spans="19:19" x14ac:dyDescent="0.2">
      <c r="S350" s="53"/>
    </row>
    <row r="351" spans="19:19" x14ac:dyDescent="0.2">
      <c r="S351" s="53"/>
    </row>
    <row r="352" spans="19:19" x14ac:dyDescent="0.2">
      <c r="S352" s="53"/>
    </row>
    <row r="353" spans="19:19" x14ac:dyDescent="0.2">
      <c r="S353" s="53"/>
    </row>
    <row r="354" spans="19:19" x14ac:dyDescent="0.2">
      <c r="S354" s="53"/>
    </row>
    <row r="355" spans="19:19" x14ac:dyDescent="0.2">
      <c r="S355" s="53"/>
    </row>
    <row r="356" spans="19:19" x14ac:dyDescent="0.2">
      <c r="S356" s="53"/>
    </row>
    <row r="357" spans="19:19" x14ac:dyDescent="0.2">
      <c r="S357" s="53"/>
    </row>
    <row r="358" spans="19:19" x14ac:dyDescent="0.2">
      <c r="S358" s="53"/>
    </row>
    <row r="359" spans="19:19" x14ac:dyDescent="0.2">
      <c r="S359" s="53"/>
    </row>
    <row r="360" spans="19:19" x14ac:dyDescent="0.2">
      <c r="S360" s="53"/>
    </row>
    <row r="361" spans="19:19" x14ac:dyDescent="0.2">
      <c r="S361" s="53"/>
    </row>
    <row r="362" spans="19:19" x14ac:dyDescent="0.2">
      <c r="S362" s="53"/>
    </row>
    <row r="363" spans="19:19" x14ac:dyDescent="0.2">
      <c r="S363" s="53"/>
    </row>
    <row r="364" spans="19:19" x14ac:dyDescent="0.2">
      <c r="S364" s="53"/>
    </row>
    <row r="365" spans="19:19" x14ac:dyDescent="0.2">
      <c r="S365" s="53"/>
    </row>
    <row r="366" spans="19:19" x14ac:dyDescent="0.2">
      <c r="S366" s="53"/>
    </row>
    <row r="367" spans="19:19" x14ac:dyDescent="0.2">
      <c r="S367" s="53"/>
    </row>
    <row r="368" spans="19:19" x14ac:dyDescent="0.2">
      <c r="S368" s="53"/>
    </row>
    <row r="369" spans="19:19" x14ac:dyDescent="0.2">
      <c r="S369" s="53"/>
    </row>
    <row r="370" spans="19:19" x14ac:dyDescent="0.2">
      <c r="S370" s="53"/>
    </row>
    <row r="371" spans="19:19" x14ac:dyDescent="0.2">
      <c r="S371" s="53"/>
    </row>
    <row r="372" spans="19:19" x14ac:dyDescent="0.2">
      <c r="S372" s="53"/>
    </row>
    <row r="373" spans="19:19" x14ac:dyDescent="0.2">
      <c r="S373" s="53"/>
    </row>
    <row r="374" spans="19:19" x14ac:dyDescent="0.2">
      <c r="S374" s="53"/>
    </row>
    <row r="375" spans="19:19" x14ac:dyDescent="0.2">
      <c r="S375" s="53"/>
    </row>
    <row r="376" spans="19:19" x14ac:dyDescent="0.2">
      <c r="S376" s="53"/>
    </row>
    <row r="377" spans="19:19" x14ac:dyDescent="0.2">
      <c r="S377" s="53"/>
    </row>
    <row r="378" spans="19:19" x14ac:dyDescent="0.2">
      <c r="S378" s="53"/>
    </row>
    <row r="379" spans="19:19" x14ac:dyDescent="0.2">
      <c r="S379" s="53"/>
    </row>
    <row r="380" spans="19:19" x14ac:dyDescent="0.2">
      <c r="S380" s="53"/>
    </row>
    <row r="381" spans="19:19" x14ac:dyDescent="0.2">
      <c r="S381" s="53"/>
    </row>
    <row r="382" spans="19:19" x14ac:dyDescent="0.2">
      <c r="S382" s="53"/>
    </row>
    <row r="383" spans="19:19" x14ac:dyDescent="0.2">
      <c r="S383" s="53"/>
    </row>
    <row r="384" spans="19:19" x14ac:dyDescent="0.2">
      <c r="S384" s="53"/>
    </row>
    <row r="385" spans="19:19" x14ac:dyDescent="0.2">
      <c r="S385" s="53"/>
    </row>
    <row r="386" spans="19:19" x14ac:dyDescent="0.2">
      <c r="S386" s="53"/>
    </row>
    <row r="387" spans="19:19" x14ac:dyDescent="0.2">
      <c r="S387" s="53"/>
    </row>
    <row r="388" spans="19:19" x14ac:dyDescent="0.2">
      <c r="S388" s="53"/>
    </row>
    <row r="389" spans="19:19" x14ac:dyDescent="0.2">
      <c r="S389" s="53"/>
    </row>
    <row r="390" spans="19:19" x14ac:dyDescent="0.2">
      <c r="S390" s="53"/>
    </row>
    <row r="391" spans="19:19" x14ac:dyDescent="0.2">
      <c r="S391" s="53"/>
    </row>
    <row r="392" spans="19:19" x14ac:dyDescent="0.2">
      <c r="S392" s="53"/>
    </row>
    <row r="393" spans="19:19" x14ac:dyDescent="0.2">
      <c r="S393" s="53"/>
    </row>
    <row r="394" spans="19:19" x14ac:dyDescent="0.2">
      <c r="S394" s="53"/>
    </row>
    <row r="395" spans="19:19" x14ac:dyDescent="0.2">
      <c r="S395" s="53"/>
    </row>
    <row r="396" spans="19:19" x14ac:dyDescent="0.2">
      <c r="S396" s="53"/>
    </row>
    <row r="397" spans="19:19" x14ac:dyDescent="0.2">
      <c r="S397" s="53"/>
    </row>
    <row r="398" spans="19:19" x14ac:dyDescent="0.2">
      <c r="S398" s="53"/>
    </row>
    <row r="399" spans="19:19" x14ac:dyDescent="0.2">
      <c r="S399" s="53"/>
    </row>
    <row r="400" spans="19:19" x14ac:dyDescent="0.2">
      <c r="S400" s="53"/>
    </row>
    <row r="401" spans="19:19" x14ac:dyDescent="0.2">
      <c r="S401" s="53"/>
    </row>
    <row r="402" spans="19:19" x14ac:dyDescent="0.2">
      <c r="S402" s="53"/>
    </row>
    <row r="403" spans="19:19" x14ac:dyDescent="0.2">
      <c r="S403" s="53"/>
    </row>
    <row r="404" spans="19:19" x14ac:dyDescent="0.2">
      <c r="S404" s="53"/>
    </row>
    <row r="405" spans="19:19" x14ac:dyDescent="0.2">
      <c r="S405" s="53"/>
    </row>
    <row r="406" spans="19:19" x14ac:dyDescent="0.2">
      <c r="S406" s="53"/>
    </row>
    <row r="407" spans="19:19" x14ac:dyDescent="0.2">
      <c r="S407" s="53"/>
    </row>
    <row r="408" spans="19:19" x14ac:dyDescent="0.2">
      <c r="S408" s="53"/>
    </row>
    <row r="409" spans="19:19" x14ac:dyDescent="0.2">
      <c r="S409" s="53"/>
    </row>
    <row r="410" spans="19:19" x14ac:dyDescent="0.2">
      <c r="S410" s="53"/>
    </row>
    <row r="411" spans="19:19" x14ac:dyDescent="0.2">
      <c r="S411" s="53"/>
    </row>
    <row r="412" spans="19:19" x14ac:dyDescent="0.2">
      <c r="S412" s="53"/>
    </row>
    <row r="413" spans="19:19" x14ac:dyDescent="0.2">
      <c r="S413" s="53"/>
    </row>
    <row r="414" spans="19:19" x14ac:dyDescent="0.2">
      <c r="S414" s="53"/>
    </row>
    <row r="415" spans="19:19" x14ac:dyDescent="0.2">
      <c r="S415" s="53"/>
    </row>
    <row r="416" spans="19:19" x14ac:dyDescent="0.2">
      <c r="S416" s="53"/>
    </row>
    <row r="417" spans="19:19" x14ac:dyDescent="0.2">
      <c r="S417" s="53"/>
    </row>
    <row r="418" spans="19:19" x14ac:dyDescent="0.2">
      <c r="S418" s="53"/>
    </row>
    <row r="419" spans="19:19" x14ac:dyDescent="0.2">
      <c r="S419" s="53"/>
    </row>
    <row r="420" spans="19:19" x14ac:dyDescent="0.2">
      <c r="S420" s="53"/>
    </row>
    <row r="421" spans="19:19" x14ac:dyDescent="0.2">
      <c r="S421" s="53"/>
    </row>
    <row r="422" spans="19:19" x14ac:dyDescent="0.2">
      <c r="S422" s="53"/>
    </row>
    <row r="423" spans="19:19" x14ac:dyDescent="0.2">
      <c r="S423" s="53"/>
    </row>
    <row r="424" spans="19:19" x14ac:dyDescent="0.2">
      <c r="S424" s="53"/>
    </row>
    <row r="425" spans="19:19" x14ac:dyDescent="0.2">
      <c r="S425" s="53"/>
    </row>
    <row r="426" spans="19:19" x14ac:dyDescent="0.2">
      <c r="S426" s="53"/>
    </row>
    <row r="427" spans="19:19" x14ac:dyDescent="0.2">
      <c r="S427" s="53"/>
    </row>
    <row r="428" spans="19:19" x14ac:dyDescent="0.2">
      <c r="S428" s="53"/>
    </row>
    <row r="429" spans="19:19" x14ac:dyDescent="0.2">
      <c r="S429" s="53"/>
    </row>
    <row r="430" spans="19:19" x14ac:dyDescent="0.2">
      <c r="S430" s="53"/>
    </row>
    <row r="431" spans="19:19" x14ac:dyDescent="0.2">
      <c r="S431" s="53"/>
    </row>
    <row r="432" spans="19:19" x14ac:dyDescent="0.2">
      <c r="S432" s="53"/>
    </row>
    <row r="433" spans="19:19" x14ac:dyDescent="0.2">
      <c r="S433" s="53"/>
    </row>
    <row r="434" spans="19:19" x14ac:dyDescent="0.2">
      <c r="S434" s="53"/>
    </row>
    <row r="435" spans="19:19" x14ac:dyDescent="0.2">
      <c r="S435" s="53"/>
    </row>
    <row r="436" spans="19:19" x14ac:dyDescent="0.2">
      <c r="S436" s="53"/>
    </row>
    <row r="437" spans="19:19" x14ac:dyDescent="0.2">
      <c r="S437" s="53"/>
    </row>
    <row r="438" spans="19:19" x14ac:dyDescent="0.2">
      <c r="S438" s="53"/>
    </row>
    <row r="439" spans="19:19" x14ac:dyDescent="0.2">
      <c r="S439" s="53"/>
    </row>
    <row r="440" spans="19:19" x14ac:dyDescent="0.2">
      <c r="S440" s="53"/>
    </row>
    <row r="441" spans="19:19" x14ac:dyDescent="0.2">
      <c r="S441" s="53"/>
    </row>
    <row r="442" spans="19:19" x14ac:dyDescent="0.2">
      <c r="S442" s="53"/>
    </row>
    <row r="443" spans="19:19" x14ac:dyDescent="0.2">
      <c r="S443" s="53"/>
    </row>
    <row r="444" spans="19:19" x14ac:dyDescent="0.2">
      <c r="S444" s="53"/>
    </row>
    <row r="445" spans="19:19" x14ac:dyDescent="0.2">
      <c r="S445" s="53"/>
    </row>
    <row r="446" spans="19:19" x14ac:dyDescent="0.2">
      <c r="S446" s="53"/>
    </row>
    <row r="447" spans="19:19" x14ac:dyDescent="0.2">
      <c r="S447" s="53"/>
    </row>
    <row r="448" spans="19:19" x14ac:dyDescent="0.2">
      <c r="S448" s="53"/>
    </row>
    <row r="449" spans="19:19" x14ac:dyDescent="0.2">
      <c r="S449" s="53"/>
    </row>
    <row r="450" spans="19:19" x14ac:dyDescent="0.2">
      <c r="S450" s="53"/>
    </row>
    <row r="451" spans="19:19" x14ac:dyDescent="0.2">
      <c r="S451" s="53"/>
    </row>
    <row r="452" spans="19:19" x14ac:dyDescent="0.2">
      <c r="S452" s="53"/>
    </row>
    <row r="453" spans="19:19" x14ac:dyDescent="0.2">
      <c r="S453" s="53"/>
    </row>
    <row r="454" spans="19:19" x14ac:dyDescent="0.2">
      <c r="S454" s="53"/>
    </row>
    <row r="455" spans="19:19" x14ac:dyDescent="0.2">
      <c r="S455" s="53"/>
    </row>
    <row r="456" spans="19:19" x14ac:dyDescent="0.2">
      <c r="S456" s="53"/>
    </row>
    <row r="457" spans="19:19" x14ac:dyDescent="0.2">
      <c r="S457" s="53"/>
    </row>
    <row r="458" spans="19:19" x14ac:dyDescent="0.2">
      <c r="S458" s="53"/>
    </row>
    <row r="459" spans="19:19" x14ac:dyDescent="0.2">
      <c r="S459" s="53"/>
    </row>
    <row r="460" spans="19:19" x14ac:dyDescent="0.2">
      <c r="S460" s="53"/>
    </row>
    <row r="461" spans="19:19" x14ac:dyDescent="0.2">
      <c r="S461" s="53"/>
    </row>
    <row r="462" spans="19:19" x14ac:dyDescent="0.2">
      <c r="S462" s="53"/>
    </row>
    <row r="463" spans="19:19" x14ac:dyDescent="0.2">
      <c r="S463" s="53"/>
    </row>
    <row r="464" spans="19:19" x14ac:dyDescent="0.2">
      <c r="S464" s="53"/>
    </row>
    <row r="465" spans="19:19" x14ac:dyDescent="0.2">
      <c r="S465" s="53"/>
    </row>
    <row r="466" spans="19:19" x14ac:dyDescent="0.2">
      <c r="S466" s="53"/>
    </row>
    <row r="467" spans="19:19" x14ac:dyDescent="0.2">
      <c r="S467" s="53"/>
    </row>
    <row r="468" spans="19:19" x14ac:dyDescent="0.2">
      <c r="S468" s="53"/>
    </row>
    <row r="469" spans="19:19" x14ac:dyDescent="0.2">
      <c r="S469" s="53"/>
    </row>
    <row r="470" spans="19:19" x14ac:dyDescent="0.2">
      <c r="S470" s="53"/>
    </row>
    <row r="471" spans="19:19" x14ac:dyDescent="0.2">
      <c r="S471" s="53"/>
    </row>
    <row r="472" spans="19:19" x14ac:dyDescent="0.2">
      <c r="S472" s="53"/>
    </row>
    <row r="473" spans="19:19" x14ac:dyDescent="0.2">
      <c r="S473" s="53"/>
    </row>
    <row r="474" spans="19:19" x14ac:dyDescent="0.2">
      <c r="S474" s="53"/>
    </row>
    <row r="475" spans="19:19" x14ac:dyDescent="0.2">
      <c r="S475" s="53"/>
    </row>
    <row r="476" spans="19:19" x14ac:dyDescent="0.2">
      <c r="S476" s="53"/>
    </row>
    <row r="477" spans="19:19" x14ac:dyDescent="0.2">
      <c r="S477" s="53"/>
    </row>
    <row r="478" spans="19:19" x14ac:dyDescent="0.2">
      <c r="S478" s="53"/>
    </row>
    <row r="479" spans="19:19" x14ac:dyDescent="0.2">
      <c r="S479" s="53"/>
    </row>
    <row r="480" spans="19:19" x14ac:dyDescent="0.2">
      <c r="S480" s="53"/>
    </row>
    <row r="481" spans="19:19" x14ac:dyDescent="0.2">
      <c r="S481" s="53"/>
    </row>
    <row r="482" spans="19:19" x14ac:dyDescent="0.2">
      <c r="S482" s="53"/>
    </row>
    <row r="483" spans="19:19" x14ac:dyDescent="0.2">
      <c r="S483" s="53"/>
    </row>
    <row r="484" spans="19:19" x14ac:dyDescent="0.2">
      <c r="S484" s="53"/>
    </row>
    <row r="485" spans="19:19" x14ac:dyDescent="0.2">
      <c r="S485" s="53"/>
    </row>
    <row r="486" spans="19:19" x14ac:dyDescent="0.2">
      <c r="S486" s="53"/>
    </row>
    <row r="487" spans="19:19" x14ac:dyDescent="0.2">
      <c r="S487" s="53"/>
    </row>
    <row r="488" spans="19:19" x14ac:dyDescent="0.2">
      <c r="S488" s="53"/>
    </row>
    <row r="489" spans="19:19" x14ac:dyDescent="0.2">
      <c r="S489" s="53"/>
    </row>
    <row r="490" spans="19:19" x14ac:dyDescent="0.2">
      <c r="S490" s="53"/>
    </row>
    <row r="491" spans="19:19" x14ac:dyDescent="0.2">
      <c r="S491" s="53"/>
    </row>
    <row r="492" spans="19:19" x14ac:dyDescent="0.2">
      <c r="S492" s="53"/>
    </row>
    <row r="493" spans="19:19" x14ac:dyDescent="0.2">
      <c r="S493" s="53"/>
    </row>
    <row r="494" spans="19:19" x14ac:dyDescent="0.2">
      <c r="S494" s="53"/>
    </row>
    <row r="495" spans="19:19" x14ac:dyDescent="0.2">
      <c r="S495" s="53"/>
    </row>
    <row r="496" spans="19:19" x14ac:dyDescent="0.2">
      <c r="S496" s="53"/>
    </row>
    <row r="497" spans="19:19" x14ac:dyDescent="0.2">
      <c r="S497" s="53"/>
    </row>
    <row r="498" spans="19:19" x14ac:dyDescent="0.2">
      <c r="S498" s="53"/>
    </row>
    <row r="499" spans="19:19" x14ac:dyDescent="0.2">
      <c r="S499" s="53"/>
    </row>
    <row r="500" spans="19:19" x14ac:dyDescent="0.2">
      <c r="S500" s="53"/>
    </row>
    <row r="501" spans="19:19" x14ac:dyDescent="0.2">
      <c r="S501" s="53"/>
    </row>
    <row r="502" spans="19:19" x14ac:dyDescent="0.2">
      <c r="S502" s="53"/>
    </row>
    <row r="503" spans="19:19" x14ac:dyDescent="0.2">
      <c r="S503" s="53"/>
    </row>
    <row r="504" spans="19:19" x14ac:dyDescent="0.2">
      <c r="S504" s="53"/>
    </row>
    <row r="505" spans="19:19" x14ac:dyDescent="0.2">
      <c r="S505" s="53"/>
    </row>
    <row r="506" spans="19:19" x14ac:dyDescent="0.2">
      <c r="S506" s="53"/>
    </row>
    <row r="507" spans="19:19" x14ac:dyDescent="0.2">
      <c r="S507" s="53"/>
    </row>
    <row r="508" spans="19:19" x14ac:dyDescent="0.2">
      <c r="S508" s="53"/>
    </row>
    <row r="509" spans="19:19" x14ac:dyDescent="0.2">
      <c r="S509" s="53"/>
    </row>
    <row r="510" spans="19:19" x14ac:dyDescent="0.2">
      <c r="S510" s="53"/>
    </row>
    <row r="511" spans="19:19" x14ac:dyDescent="0.2">
      <c r="S511" s="53"/>
    </row>
    <row r="512" spans="19:19" x14ac:dyDescent="0.2">
      <c r="S512" s="53"/>
    </row>
    <row r="513" spans="19:19" x14ac:dyDescent="0.2">
      <c r="S513" s="53"/>
    </row>
    <row r="514" spans="19:19" x14ac:dyDescent="0.2">
      <c r="S514" s="53"/>
    </row>
    <row r="515" spans="19:19" x14ac:dyDescent="0.2">
      <c r="S515" s="53"/>
    </row>
    <row r="516" spans="19:19" x14ac:dyDescent="0.2">
      <c r="S516" s="53"/>
    </row>
    <row r="517" spans="19:19" x14ac:dyDescent="0.2">
      <c r="S517" s="53"/>
    </row>
    <row r="518" spans="19:19" x14ac:dyDescent="0.2">
      <c r="S518" s="53"/>
    </row>
    <row r="519" spans="19:19" x14ac:dyDescent="0.2">
      <c r="S519" s="53"/>
    </row>
    <row r="520" spans="19:19" x14ac:dyDescent="0.2">
      <c r="S520" s="53"/>
    </row>
    <row r="521" spans="19:19" x14ac:dyDescent="0.2">
      <c r="S521" s="53"/>
    </row>
    <row r="522" spans="19:19" x14ac:dyDescent="0.2">
      <c r="S522" s="53"/>
    </row>
    <row r="523" spans="19:19" x14ac:dyDescent="0.2">
      <c r="S523" s="53"/>
    </row>
    <row r="524" spans="19:19" x14ac:dyDescent="0.2">
      <c r="S524" s="53"/>
    </row>
    <row r="525" spans="19:19" x14ac:dyDescent="0.2">
      <c r="S525" s="53"/>
    </row>
    <row r="526" spans="19:19" x14ac:dyDescent="0.2">
      <c r="S526" s="53"/>
    </row>
    <row r="527" spans="19:19" x14ac:dyDescent="0.2">
      <c r="S527" s="53"/>
    </row>
    <row r="528" spans="19:19" x14ac:dyDescent="0.2">
      <c r="S528" s="53"/>
    </row>
    <row r="529" spans="19:19" x14ac:dyDescent="0.2">
      <c r="S529" s="53"/>
    </row>
    <row r="530" spans="19:19" x14ac:dyDescent="0.2">
      <c r="S530" s="53"/>
    </row>
    <row r="531" spans="19:19" x14ac:dyDescent="0.2">
      <c r="S531" s="53"/>
    </row>
    <row r="532" spans="19:19" x14ac:dyDescent="0.2">
      <c r="S532" s="53"/>
    </row>
    <row r="533" spans="19:19" x14ac:dyDescent="0.2">
      <c r="S533" s="53"/>
    </row>
    <row r="534" spans="19:19" x14ac:dyDescent="0.2">
      <c r="S534" s="53"/>
    </row>
    <row r="535" spans="19:19" x14ac:dyDescent="0.2">
      <c r="S535" s="53"/>
    </row>
    <row r="536" spans="19:19" x14ac:dyDescent="0.2">
      <c r="S536" s="53"/>
    </row>
    <row r="537" spans="19:19" x14ac:dyDescent="0.2">
      <c r="S537" s="53"/>
    </row>
    <row r="538" spans="19:19" x14ac:dyDescent="0.2">
      <c r="S538" s="53"/>
    </row>
    <row r="539" spans="19:19" x14ac:dyDescent="0.2">
      <c r="S539" s="53"/>
    </row>
    <row r="540" spans="19:19" x14ac:dyDescent="0.2">
      <c r="S540" s="53"/>
    </row>
    <row r="541" spans="19:19" x14ac:dyDescent="0.2">
      <c r="S541" s="53"/>
    </row>
    <row r="542" spans="19:19" x14ac:dyDescent="0.2">
      <c r="S542" s="53"/>
    </row>
    <row r="543" spans="19:19" x14ac:dyDescent="0.2">
      <c r="S543" s="53"/>
    </row>
    <row r="544" spans="19:19" x14ac:dyDescent="0.2">
      <c r="S544" s="53"/>
    </row>
    <row r="545" spans="19:19" x14ac:dyDescent="0.2">
      <c r="S545" s="53"/>
    </row>
    <row r="546" spans="19:19" x14ac:dyDescent="0.2">
      <c r="S546" s="53"/>
    </row>
    <row r="547" spans="19:19" x14ac:dyDescent="0.2">
      <c r="S547" s="53"/>
    </row>
    <row r="548" spans="19:19" x14ac:dyDescent="0.2">
      <c r="S548" s="53"/>
    </row>
    <row r="549" spans="19:19" x14ac:dyDescent="0.2">
      <c r="S549" s="53"/>
    </row>
    <row r="550" spans="19:19" x14ac:dyDescent="0.2">
      <c r="S550" s="53"/>
    </row>
    <row r="551" spans="19:19" x14ac:dyDescent="0.2">
      <c r="S551" s="53"/>
    </row>
    <row r="552" spans="19:19" x14ac:dyDescent="0.2">
      <c r="S552" s="53"/>
    </row>
    <row r="553" spans="19:19" x14ac:dyDescent="0.2">
      <c r="S553" s="53"/>
    </row>
    <row r="554" spans="19:19" x14ac:dyDescent="0.2">
      <c r="S554" s="53"/>
    </row>
    <row r="555" spans="19:19" x14ac:dyDescent="0.2">
      <c r="S555" s="53"/>
    </row>
    <row r="556" spans="19:19" x14ac:dyDescent="0.2">
      <c r="S556" s="53"/>
    </row>
    <row r="557" spans="19:19" x14ac:dyDescent="0.2">
      <c r="S557" s="53"/>
    </row>
    <row r="558" spans="19:19" x14ac:dyDescent="0.2">
      <c r="S558" s="53"/>
    </row>
    <row r="559" spans="19:19" x14ac:dyDescent="0.2">
      <c r="S559" s="53"/>
    </row>
    <row r="560" spans="19:19" x14ac:dyDescent="0.2">
      <c r="S560" s="53"/>
    </row>
    <row r="561" spans="19:19" x14ac:dyDescent="0.2">
      <c r="S561" s="53"/>
    </row>
    <row r="562" spans="19:19" x14ac:dyDescent="0.2">
      <c r="S562" s="53"/>
    </row>
    <row r="563" spans="19:19" x14ac:dyDescent="0.2">
      <c r="S563" s="53"/>
    </row>
    <row r="564" spans="19:19" x14ac:dyDescent="0.2">
      <c r="S564" s="53"/>
    </row>
    <row r="565" spans="19:19" x14ac:dyDescent="0.2">
      <c r="S565" s="53"/>
    </row>
    <row r="566" spans="19:19" x14ac:dyDescent="0.2">
      <c r="S566" s="53"/>
    </row>
    <row r="567" spans="19:19" x14ac:dyDescent="0.2">
      <c r="S567" s="53"/>
    </row>
    <row r="568" spans="19:19" x14ac:dyDescent="0.2">
      <c r="S568" s="53"/>
    </row>
    <row r="569" spans="19:19" x14ac:dyDescent="0.2">
      <c r="S569" s="53"/>
    </row>
    <row r="570" spans="19:19" x14ac:dyDescent="0.2">
      <c r="S570" s="53"/>
    </row>
    <row r="571" spans="19:19" x14ac:dyDescent="0.2">
      <c r="S571" s="53"/>
    </row>
    <row r="572" spans="19:19" x14ac:dyDescent="0.2">
      <c r="S572" s="53"/>
    </row>
    <row r="573" spans="19:19" x14ac:dyDescent="0.2">
      <c r="S573" s="53"/>
    </row>
    <row r="574" spans="19:19" x14ac:dyDescent="0.2">
      <c r="S574" s="53"/>
    </row>
    <row r="575" spans="19:19" x14ac:dyDescent="0.2">
      <c r="S575" s="53"/>
    </row>
    <row r="576" spans="19:19" x14ac:dyDescent="0.2">
      <c r="S576" s="53"/>
    </row>
    <row r="577" spans="19:19" x14ac:dyDescent="0.2">
      <c r="S577" s="53"/>
    </row>
    <row r="578" spans="19:19" x14ac:dyDescent="0.2">
      <c r="S578" s="53"/>
    </row>
    <row r="579" spans="19:19" x14ac:dyDescent="0.2">
      <c r="S579" s="53"/>
    </row>
    <row r="580" spans="19:19" x14ac:dyDescent="0.2">
      <c r="S580" s="53"/>
    </row>
    <row r="581" spans="19:19" x14ac:dyDescent="0.2">
      <c r="S581" s="53"/>
    </row>
    <row r="582" spans="19:19" x14ac:dyDescent="0.2">
      <c r="S582" s="53"/>
    </row>
    <row r="583" spans="19:19" x14ac:dyDescent="0.2">
      <c r="S583" s="53"/>
    </row>
    <row r="584" spans="19:19" x14ac:dyDescent="0.2">
      <c r="S584" s="53"/>
    </row>
    <row r="585" spans="19:19" x14ac:dyDescent="0.2">
      <c r="S585" s="53"/>
    </row>
    <row r="586" spans="19:19" x14ac:dyDescent="0.2">
      <c r="S586" s="53"/>
    </row>
    <row r="587" spans="19:19" x14ac:dyDescent="0.2">
      <c r="S587" s="53"/>
    </row>
    <row r="588" spans="19:19" x14ac:dyDescent="0.2">
      <c r="S588" s="53"/>
    </row>
    <row r="589" spans="19:19" x14ac:dyDescent="0.2">
      <c r="S589" s="53"/>
    </row>
    <row r="590" spans="19:19" x14ac:dyDescent="0.2">
      <c r="S590" s="53"/>
    </row>
    <row r="591" spans="19:19" x14ac:dyDescent="0.2">
      <c r="S591" s="53"/>
    </row>
    <row r="592" spans="19:19" x14ac:dyDescent="0.2">
      <c r="S592" s="53"/>
    </row>
    <row r="593" spans="19:19" x14ac:dyDescent="0.2">
      <c r="S593" s="53"/>
    </row>
    <row r="594" spans="19:19" x14ac:dyDescent="0.2">
      <c r="S594" s="53"/>
    </row>
    <row r="595" spans="19:19" x14ac:dyDescent="0.2">
      <c r="S595" s="53"/>
    </row>
    <row r="596" spans="19:19" x14ac:dyDescent="0.2">
      <c r="S596" s="53"/>
    </row>
    <row r="597" spans="19:19" x14ac:dyDescent="0.2">
      <c r="S597" s="53"/>
    </row>
    <row r="598" spans="19:19" x14ac:dyDescent="0.2">
      <c r="S598" s="53"/>
    </row>
    <row r="599" spans="19:19" x14ac:dyDescent="0.2">
      <c r="S599" s="53"/>
    </row>
    <row r="600" spans="19:19" x14ac:dyDescent="0.2">
      <c r="S600" s="53"/>
    </row>
    <row r="601" spans="19:19" x14ac:dyDescent="0.2">
      <c r="S601" s="53"/>
    </row>
    <row r="602" spans="19:19" x14ac:dyDescent="0.2">
      <c r="S602" s="53"/>
    </row>
    <row r="603" spans="19:19" x14ac:dyDescent="0.2">
      <c r="S603" s="53"/>
    </row>
    <row r="604" spans="19:19" x14ac:dyDescent="0.2">
      <c r="S604" s="53"/>
    </row>
    <row r="605" spans="19:19" x14ac:dyDescent="0.2">
      <c r="S605" s="53"/>
    </row>
    <row r="606" spans="19:19" x14ac:dyDescent="0.2">
      <c r="S606" s="53"/>
    </row>
    <row r="607" spans="19:19" x14ac:dyDescent="0.2">
      <c r="S607" s="53"/>
    </row>
    <row r="608" spans="19:19" x14ac:dyDescent="0.2">
      <c r="S608" s="53"/>
    </row>
    <row r="609" spans="19:19" x14ac:dyDescent="0.2">
      <c r="S609" s="53"/>
    </row>
    <row r="610" spans="19:19" x14ac:dyDescent="0.2">
      <c r="S610" s="53"/>
    </row>
    <row r="611" spans="19:19" x14ac:dyDescent="0.2">
      <c r="S611" s="53"/>
    </row>
    <row r="612" spans="19:19" x14ac:dyDescent="0.2">
      <c r="S612" s="53"/>
    </row>
    <row r="613" spans="19:19" x14ac:dyDescent="0.2">
      <c r="S613" s="53"/>
    </row>
    <row r="614" spans="19:19" x14ac:dyDescent="0.2">
      <c r="S614" s="53"/>
    </row>
    <row r="615" spans="19:19" x14ac:dyDescent="0.2">
      <c r="S615" s="53"/>
    </row>
    <row r="616" spans="19:19" x14ac:dyDescent="0.2">
      <c r="S616" s="53"/>
    </row>
    <row r="617" spans="19:19" x14ac:dyDescent="0.2">
      <c r="S617" s="53"/>
    </row>
    <row r="618" spans="19:19" x14ac:dyDescent="0.2">
      <c r="S618" s="53"/>
    </row>
    <row r="619" spans="19:19" x14ac:dyDescent="0.2">
      <c r="S619" s="53"/>
    </row>
    <row r="620" spans="19:19" x14ac:dyDescent="0.2">
      <c r="S620" s="53"/>
    </row>
    <row r="621" spans="19:19" x14ac:dyDescent="0.2">
      <c r="S621" s="53"/>
    </row>
    <row r="622" spans="19:19" x14ac:dyDescent="0.2">
      <c r="S622" s="53"/>
    </row>
    <row r="623" spans="19:19" x14ac:dyDescent="0.2">
      <c r="S623" s="53"/>
    </row>
    <row r="624" spans="19:19" x14ac:dyDescent="0.2">
      <c r="S624" s="53"/>
    </row>
    <row r="625" spans="19:19" x14ac:dyDescent="0.2">
      <c r="S625" s="53"/>
    </row>
    <row r="626" spans="19:19" x14ac:dyDescent="0.2">
      <c r="S626" s="53"/>
    </row>
    <row r="627" spans="19:19" x14ac:dyDescent="0.2">
      <c r="S627" s="53"/>
    </row>
    <row r="628" spans="19:19" x14ac:dyDescent="0.2">
      <c r="S628" s="53"/>
    </row>
    <row r="629" spans="19:19" x14ac:dyDescent="0.2">
      <c r="S629" s="53"/>
    </row>
    <row r="630" spans="19:19" x14ac:dyDescent="0.2">
      <c r="S630" s="53"/>
    </row>
    <row r="631" spans="19:19" x14ac:dyDescent="0.2">
      <c r="S631" s="53"/>
    </row>
    <row r="632" spans="19:19" x14ac:dyDescent="0.2">
      <c r="S632" s="53"/>
    </row>
    <row r="633" spans="19:19" x14ac:dyDescent="0.2">
      <c r="S633" s="53"/>
    </row>
    <row r="634" spans="19:19" x14ac:dyDescent="0.2">
      <c r="S634" s="53"/>
    </row>
    <row r="635" spans="19:19" x14ac:dyDescent="0.2">
      <c r="S635" s="53"/>
    </row>
    <row r="636" spans="19:19" x14ac:dyDescent="0.2">
      <c r="S636" s="53"/>
    </row>
    <row r="637" spans="19:19" x14ac:dyDescent="0.2">
      <c r="S637" s="53"/>
    </row>
    <row r="638" spans="19:19" x14ac:dyDescent="0.2">
      <c r="S638" s="53"/>
    </row>
    <row r="639" spans="19:19" x14ac:dyDescent="0.2">
      <c r="S639" s="53"/>
    </row>
    <row r="640" spans="19:19" x14ac:dyDescent="0.2">
      <c r="S640" s="53"/>
    </row>
    <row r="641" spans="19:19" x14ac:dyDescent="0.2">
      <c r="S641" s="53"/>
    </row>
    <row r="642" spans="19:19" x14ac:dyDescent="0.2">
      <c r="S642" s="53"/>
    </row>
    <row r="643" spans="19:19" x14ac:dyDescent="0.2">
      <c r="S643" s="53"/>
    </row>
    <row r="644" spans="19:19" x14ac:dyDescent="0.2">
      <c r="S644" s="53"/>
    </row>
    <row r="645" spans="19:19" x14ac:dyDescent="0.2">
      <c r="S645" s="53"/>
    </row>
    <row r="646" spans="19:19" x14ac:dyDescent="0.2">
      <c r="S646" s="53"/>
    </row>
    <row r="647" spans="19:19" x14ac:dyDescent="0.2">
      <c r="S647" s="53"/>
    </row>
    <row r="648" spans="19:19" x14ac:dyDescent="0.2">
      <c r="S648" s="53"/>
    </row>
    <row r="649" spans="19:19" x14ac:dyDescent="0.2">
      <c r="S649" s="53"/>
    </row>
    <row r="650" spans="19:19" x14ac:dyDescent="0.2">
      <c r="S650" s="53"/>
    </row>
    <row r="651" spans="19:19" x14ac:dyDescent="0.2">
      <c r="S651" s="53"/>
    </row>
    <row r="652" spans="19:19" x14ac:dyDescent="0.2">
      <c r="S652" s="53"/>
    </row>
    <row r="653" spans="19:19" x14ac:dyDescent="0.2">
      <c r="S653" s="53"/>
    </row>
    <row r="654" spans="19:19" x14ac:dyDescent="0.2">
      <c r="S654" s="53"/>
    </row>
    <row r="655" spans="19:19" x14ac:dyDescent="0.2">
      <c r="S655" s="53"/>
    </row>
    <row r="656" spans="19:19" x14ac:dyDescent="0.2">
      <c r="S656" s="53"/>
    </row>
    <row r="657" spans="19:19" x14ac:dyDescent="0.2">
      <c r="S657" s="53"/>
    </row>
    <row r="658" spans="19:19" x14ac:dyDescent="0.2">
      <c r="S658" s="53"/>
    </row>
    <row r="659" spans="19:19" x14ac:dyDescent="0.2">
      <c r="S659" s="53"/>
    </row>
    <row r="660" spans="19:19" x14ac:dyDescent="0.2">
      <c r="S660" s="53"/>
    </row>
    <row r="661" spans="19:19" x14ac:dyDescent="0.2">
      <c r="S661" s="53"/>
    </row>
    <row r="662" spans="19:19" x14ac:dyDescent="0.2">
      <c r="S662" s="53"/>
    </row>
    <row r="663" spans="19:19" x14ac:dyDescent="0.2">
      <c r="S663" s="53"/>
    </row>
    <row r="664" spans="19:19" x14ac:dyDescent="0.2">
      <c r="S664" s="53"/>
    </row>
    <row r="665" spans="19:19" x14ac:dyDescent="0.2">
      <c r="S665" s="53"/>
    </row>
    <row r="666" spans="19:19" x14ac:dyDescent="0.2">
      <c r="S666" s="53"/>
    </row>
    <row r="667" spans="19:19" x14ac:dyDescent="0.2">
      <c r="S667" s="53"/>
    </row>
    <row r="668" spans="19:19" x14ac:dyDescent="0.2">
      <c r="S668" s="53"/>
    </row>
    <row r="669" spans="19:19" x14ac:dyDescent="0.2">
      <c r="S669" s="53"/>
    </row>
    <row r="670" spans="19:19" x14ac:dyDescent="0.2">
      <c r="S670" s="53"/>
    </row>
    <row r="671" spans="19:19" x14ac:dyDescent="0.2">
      <c r="S671" s="53"/>
    </row>
    <row r="672" spans="19:19" x14ac:dyDescent="0.2">
      <c r="S672" s="53"/>
    </row>
    <row r="673" spans="19:19" x14ac:dyDescent="0.2">
      <c r="S673" s="53"/>
    </row>
    <row r="674" spans="19:19" x14ac:dyDescent="0.2">
      <c r="S674" s="53"/>
    </row>
    <row r="675" spans="19:19" x14ac:dyDescent="0.2">
      <c r="S675" s="53"/>
    </row>
    <row r="676" spans="19:19" x14ac:dyDescent="0.2">
      <c r="S676" s="53"/>
    </row>
    <row r="677" spans="19:19" x14ac:dyDescent="0.2">
      <c r="S677" s="53"/>
    </row>
    <row r="678" spans="19:19" x14ac:dyDescent="0.2">
      <c r="S678" s="53"/>
    </row>
    <row r="679" spans="19:19" x14ac:dyDescent="0.2">
      <c r="S679" s="53"/>
    </row>
    <row r="680" spans="19:19" x14ac:dyDescent="0.2">
      <c r="S680" s="53"/>
    </row>
    <row r="681" spans="19:19" x14ac:dyDescent="0.2">
      <c r="S681" s="53"/>
    </row>
    <row r="682" spans="19:19" x14ac:dyDescent="0.2">
      <c r="S682" s="53"/>
    </row>
    <row r="683" spans="19:19" x14ac:dyDescent="0.2">
      <c r="S683" s="53"/>
    </row>
    <row r="684" spans="19:19" x14ac:dyDescent="0.2">
      <c r="S684" s="53"/>
    </row>
    <row r="685" spans="19:19" x14ac:dyDescent="0.2">
      <c r="S685" s="53"/>
    </row>
    <row r="686" spans="19:19" x14ac:dyDescent="0.2">
      <c r="S686" s="53"/>
    </row>
    <row r="687" spans="19:19" x14ac:dyDescent="0.2">
      <c r="S687" s="53"/>
    </row>
    <row r="688" spans="19:19" x14ac:dyDescent="0.2">
      <c r="S688" s="53"/>
    </row>
    <row r="689" spans="19:19" x14ac:dyDescent="0.2">
      <c r="S689" s="53"/>
    </row>
    <row r="690" spans="19:19" x14ac:dyDescent="0.2">
      <c r="S690" s="53"/>
    </row>
    <row r="691" spans="19:19" x14ac:dyDescent="0.2">
      <c r="S691" s="53"/>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 CBF</vt:lpstr>
      <vt:lpstr>BANDHAN CRF</vt:lpstr>
      <vt:lpstr>BANDHAN FRF</vt:lpstr>
      <vt:lpstr>BANDHAN Long Dur</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2024-07-01T04:24:18Z</dcterms:created>
  <dcterms:modified xsi:type="dcterms:W3CDTF">2024-07-03T05:59:36Z</dcterms:modified>
</cp:coreProperties>
</file>