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20.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1.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23.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drawings/drawing24.xml" ContentType="application/vnd.openxmlformats-officedocument.drawing+xml"/>
  <Override PartName="/xl/charts/chart4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defaultThemeVersion="166925"/>
  <mc:AlternateContent xmlns:mc="http://schemas.openxmlformats.org/markup-compatibility/2006">
    <mc:Choice Requires="x15">
      <x15ac:absPath xmlns:x15ac="http://schemas.microsoft.com/office/spreadsheetml/2010/11/ac" url="Z:\MONTH END DELIVERABLES-1\Portfolios_All\2023\Nov 2023\"/>
    </mc:Choice>
  </mc:AlternateContent>
  <xr:revisionPtr revIDLastSave="0" documentId="13_ncr:1_{A4288948-1FB3-4890-8FE7-4A43EC32C93C}" xr6:coauthVersionLast="36" xr6:coauthVersionMax="36" xr10:uidLastSave="{00000000-0000-0000-0000-000000000000}"/>
  <bookViews>
    <workbookView xWindow="0" yWindow="0" windowWidth="20490" windowHeight="7245" xr2:uid="{B08290EB-5CC0-4EBD-9EE0-E44E0C704182}"/>
  </bookViews>
  <sheets>
    <sheet name="BANDHAN OF" sheetId="23" r:id="rId1"/>
    <sheet name="BANDHAN CF" sheetId="20" r:id="rId2"/>
    <sheet name="BANDHAN LDF" sheetId="21" r:id="rId3"/>
    <sheet name="BANDHAN MMF" sheetId="22" r:id="rId4"/>
    <sheet name="BANDHAN USTF" sheetId="24" r:id="rId5"/>
    <sheet name="BANDHAN DBF" sheetId="16" r:id="rId6"/>
    <sheet name="BANDHAN BOND IP" sheetId="4" r:id="rId7"/>
    <sheet name="BANDHAN BOND MT" sheetId="5" r:id="rId8"/>
    <sheet name="BANDHAN BOND ST" sheetId="6" r:id="rId9"/>
    <sheet name="BANDHAN BPDF" sheetId="3" r:id="rId10"/>
    <sheet name="BANDHAN CBF" sheetId="7" r:id="rId11"/>
    <sheet name="BANDHAN FRF" sheetId="17" r:id="rId12"/>
    <sheet name="BANDHAN CRF" sheetId="8" r:id="rId13"/>
    <sheet name="BANDHAN GSF-IP" sheetId="19" r:id="rId14"/>
    <sheet name="BANDHAN GSF - CMP" sheetId="18" r:id="rId15"/>
    <sheet name="BANDHAN GIF26" sheetId="12" r:id="rId16"/>
    <sheet name="BANDHAN GIF2027" sheetId="15" r:id="rId17"/>
    <sheet name="BANDHAN GIF2028" sheetId="13" r:id="rId18"/>
    <sheet name="BANDHAN GIF32" sheetId="14" r:id="rId19"/>
    <sheet name="BANDHAN SDLGIF26" sheetId="10" r:id="rId20"/>
    <sheet name="BANDHAN SDLGIF27" sheetId="11" r:id="rId21"/>
    <sheet name="BANDHAN SDLGIF32" sheetId="9" r:id="rId22"/>
    <sheet name="BANDHAN ASBF" sheetId="2" r:id="rId23"/>
    <sheet name="BANDHAN US TB 0-1yr FOF" sheetId="25" r:id="rId2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 i="25" l="1"/>
  <c r="J10" i="25"/>
  <c r="J9" i="25"/>
  <c r="J8" i="25"/>
</calcChain>
</file>

<file path=xl/sharedStrings.xml><?xml version="1.0" encoding="utf-8"?>
<sst xmlns="http://schemas.openxmlformats.org/spreadsheetml/2006/main" count="1384" uniqueCount="324">
  <si>
    <t>Bandhan All Seasons Bond Fund (31 October, 2023 )</t>
  </si>
  <si>
    <t>Net Assets as on 31 October, 2023</t>
  </si>
  <si>
    <t>119.46 crs</t>
  </si>
  <si>
    <t>Name</t>
  </si>
  <si>
    <t>Rating</t>
  </si>
  <si>
    <t>Total</t>
  </si>
  <si>
    <t>Bandhan Bond Fund -Short Term Pl Direct Pl-Growth</t>
  </si>
  <si>
    <t>Bandhan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</si>
  <si>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</si>
  <si>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</si>
  <si>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</si>
  <si>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</si>
  <si>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</si>
  <si>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</si>
  <si>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</si>
  <si>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</si>
  <si>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</si>
  <si>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</si>
  <si>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Average Maturity Years</t>
  </si>
  <si>
    <t>Asset Allocation</t>
  </si>
  <si>
    <t>Bandhan Banking &amp; PSU Debt Fund (31 October, 2023 )</t>
  </si>
  <si>
    <t>14779.63 crs</t>
  </si>
  <si>
    <t>State Bank of India</t>
  </si>
  <si>
    <t xml:space="preserve"> A1+</t>
  </si>
  <si>
    <t>Export Import Bank of India</t>
  </si>
  <si>
    <t>Certificate of Deposit Total</t>
  </si>
  <si>
    <t>Commercial Paper Total</t>
  </si>
  <si>
    <t>HDFC Bank Limited</t>
  </si>
  <si>
    <t xml:space="preserve"> AAA</t>
  </si>
  <si>
    <t>National Bank For Agriculture and Rural Development</t>
  </si>
  <si>
    <t>Indian Railway Finance Corporation Limited</t>
  </si>
  <si>
    <t>Small Industries Dev Bank of India</t>
  </si>
  <si>
    <t>Power Finance Corporation Limited</t>
  </si>
  <si>
    <t>REC Limited</t>
  </si>
  <si>
    <t>Bajaj Housing Finance Limited</t>
  </si>
  <si>
    <t>Hindustan Petroleum Corporation Limited</t>
  </si>
  <si>
    <t>NTPC Limited</t>
  </si>
  <si>
    <t>Indian Oil Corporation Limited</t>
  </si>
  <si>
    <t>Nuclear Power Corporation Of India Limited</t>
  </si>
  <si>
    <t>National Housing Bank</t>
  </si>
  <si>
    <t>ICICI Bank Limited</t>
  </si>
  <si>
    <t>Power Grid Corporation of India Limited</t>
  </si>
  <si>
    <t>NHPC Limited</t>
  </si>
  <si>
    <t>Axis Bank Limited</t>
  </si>
  <si>
    <t>Corporate Bond Total</t>
  </si>
  <si>
    <t>SBI Funds Management Limited</t>
  </si>
  <si>
    <t>Corporate Debt Market Development Fund Total</t>
  </si>
  <si>
    <t>7.38% GOI (MD 20/06/2027)</t>
  </si>
  <si>
    <t>SOV</t>
  </si>
  <si>
    <t>7.27% GOI (MD 08/04/2026)</t>
  </si>
  <si>
    <t>5.63% GOI (MD 12/04/2026)</t>
  </si>
  <si>
    <t>Government Bond Total</t>
  </si>
  <si>
    <t>State Government Bond Total</t>
  </si>
  <si>
    <t>Certificate of Deposit</t>
  </si>
  <si>
    <t>Corporate Bond</t>
  </si>
  <si>
    <t>Commercial Paper</t>
  </si>
  <si>
    <t>Corporate Debt Market Development Fund</t>
  </si>
  <si>
    <t>Government Bond</t>
  </si>
  <si>
    <t>State Government Bond</t>
  </si>
  <si>
    <t>Bandhan Bond Fund - Income Plan (31 October, 2023 )</t>
  </si>
  <si>
    <t>486.95 crs</t>
  </si>
  <si>
    <t>7.18% GOI (MD 14/08/2033)</t>
  </si>
  <si>
    <t>7.18% GOI (MD 24/07/2037)</t>
  </si>
  <si>
    <t>7.1% GOI (MD 18/04/2029)</t>
  </si>
  <si>
    <t>6.1% GOI (MD 12/07/2031)</t>
  </si>
  <si>
    <t>6.79% GOI (MD 15/05/2027)</t>
  </si>
  <si>
    <t>7.73% GOI (MD 19/12/2034)</t>
  </si>
  <si>
    <t>Bandhan Bond Fund - Medium Term Plan (31 October, 2023 )</t>
  </si>
  <si>
    <t>1702.09 crs</t>
  </si>
  <si>
    <t>7.06% GOI (MD 10/04/2028)</t>
  </si>
  <si>
    <t>8.24% GOI (MD 15/02/2027)</t>
  </si>
  <si>
    <t xml:space="preserve"> AAA(SO)</t>
  </si>
  <si>
    <t>PTC Total</t>
  </si>
  <si>
    <t>PTC</t>
  </si>
  <si>
    <t>Bandhan Bond Fund - Short Term Plan (31 October, 2023 )</t>
  </si>
  <si>
    <t>8651.00 crs</t>
  </si>
  <si>
    <t>Bajaj Finance Limited</t>
  </si>
  <si>
    <t>Kotak Mahindra Prime Limited</t>
  </si>
  <si>
    <t>Sundaram Finance Limited</t>
  </si>
  <si>
    <t>7.17% GOI (MD 17/04/2030)</t>
  </si>
  <si>
    <t>Bandhan Corporate Bond Fund (31 October, 2023 )</t>
  </si>
  <si>
    <t>14140.26 crs</t>
  </si>
  <si>
    <t>UltraTech Cement Limited</t>
  </si>
  <si>
    <t>Larsen &amp; Toubro Limited</t>
  </si>
  <si>
    <t>Grasim Industries Limited</t>
  </si>
  <si>
    <t>Oil &amp; Natural Gas Corporation Limited</t>
  </si>
  <si>
    <t>Tata Capital Financial Services Limited</t>
  </si>
  <si>
    <t>Reliance Industries Limited</t>
  </si>
  <si>
    <t>7.68% GOI (MD 15/12/2023)</t>
  </si>
  <si>
    <t>364 Days Tbill (MD 14/03/2024)</t>
  </si>
  <si>
    <t>364 Days Tbill (MD 22/03/2024)</t>
  </si>
  <si>
    <t>364 Days Tbill (MD 07/03/2024)</t>
  </si>
  <si>
    <t>Treasury Bill Total</t>
  </si>
  <si>
    <t>Zero Coupon Bond Total</t>
  </si>
  <si>
    <t>Treasury Bill</t>
  </si>
  <si>
    <t>Zero Coupon Bond</t>
  </si>
  <si>
    <t>Bandhan Credit Risk Fund (31 October, 2023 )</t>
  </si>
  <si>
    <t>395.22 crs</t>
  </si>
  <si>
    <t>Century Textiles &amp; Industries Limited</t>
  </si>
  <si>
    <t xml:space="preserve"> AA</t>
  </si>
  <si>
    <t>Godrej Industries Limited</t>
  </si>
  <si>
    <t>Tata Projects Limited</t>
  </si>
  <si>
    <t>Tata Power Company Limited</t>
  </si>
  <si>
    <t>Union Bank of India</t>
  </si>
  <si>
    <t>AU Small Finance Bank Limited</t>
  </si>
  <si>
    <t>Punjab National Bank</t>
  </si>
  <si>
    <t>Aadhar Housing Finance Limited</t>
  </si>
  <si>
    <t>Godrej Housing Finance Limited</t>
  </si>
  <si>
    <t>TVS Credit Services Limited</t>
  </si>
  <si>
    <t>AA</t>
  </si>
  <si>
    <t>Bandhan CRISIL IBX 90:10 SDL+Gilt Apr32 Index Fund (31 October, 2023 )</t>
  </si>
  <si>
    <t>323.02 crs</t>
  </si>
  <si>
    <t>6.54% GOI (MD 17/01/2032)</t>
  </si>
  <si>
    <t>Bandhan CRISIL IBX 90:10 SDL+Gilt Nov26 Index Fund (31 October, 2023 )</t>
  </si>
  <si>
    <t>107.71 crs</t>
  </si>
  <si>
    <t>5.74% GOI (MD 15/11/2026)</t>
  </si>
  <si>
    <t>Bandhan CRISIL IBX 90:10 SDL+Gilt Sep27 Index Fund (31 October, 2023 )</t>
  </si>
  <si>
    <t>162.04 crs</t>
  </si>
  <si>
    <t>Bandhan CRISIL IBX Gilt April 2026 Index Fund (31 October, 2023 )</t>
  </si>
  <si>
    <t>483.78 crs</t>
  </si>
  <si>
    <t>6.99% GOI (MD 17/04/2026)</t>
  </si>
  <si>
    <t>7.59% GOI(MD 11/01/2026)</t>
  </si>
  <si>
    <t>5.15% GOI (MD 09/11/2025)</t>
  </si>
  <si>
    <t>Bandhan CRISIL IBX Gilt April 2028 Index Fund (31 October, 2023 )</t>
  </si>
  <si>
    <t>4764.96 crs</t>
  </si>
  <si>
    <t>7.17% GOI (MD 08/01/2028)</t>
  </si>
  <si>
    <t>8.28% GOI (M/D 21/09/2027)</t>
  </si>
  <si>
    <t>182 Days Tbill (MD 09/11/2023)</t>
  </si>
  <si>
    <t>Bandhan CRISIL IBX GILT APRIL 2032 INDEX FUND (31 October, 2023 )</t>
  </si>
  <si>
    <t>320.96 crs</t>
  </si>
  <si>
    <t>Average Maturity in Days</t>
  </si>
  <si>
    <t>Bandhan CRISIL IBX Gilt June 2027 Index Fund (31 October, 2023 )</t>
  </si>
  <si>
    <t>8237.67 crs</t>
  </si>
  <si>
    <t>Bandhan Dynamic Bond Fund (31 October, 2023 )</t>
  </si>
  <si>
    <t>2185.12 crs</t>
  </si>
  <si>
    <t>8.20% GOI (MD 24/09/2025)</t>
  </si>
  <si>
    <t>Bandhan Floating Rate Fund (31 October, 2023 )</t>
  </si>
  <si>
    <t>205.62 crs</t>
  </si>
  <si>
    <t>Bharti Telecom Limited</t>
  </si>
  <si>
    <t xml:space="preserve"> AA+</t>
  </si>
  <si>
    <t>AA+</t>
  </si>
  <si>
    <t>Bandhan Government Sec Fund-Constant Maturity Plan (31 October, 2023 )</t>
  </si>
  <si>
    <t>299.09 crs</t>
  </si>
  <si>
    <t>Bandhan Government Securities Fund-Investment Plan (31 October, 2023 )</t>
  </si>
  <si>
    <t>1407.34 crs</t>
  </si>
  <si>
    <t>Bandhan Liquid Fund (31 October, 2023 )</t>
  </si>
  <si>
    <t>14110.82 crs</t>
  </si>
  <si>
    <t>Canara Bank</t>
  </si>
  <si>
    <t>Bank of Baroda</t>
  </si>
  <si>
    <t>Kotak Mahindra Bank Limited</t>
  </si>
  <si>
    <t>Reliance Retail Ventures Limited</t>
  </si>
  <si>
    <t>Kotak Securities Limited</t>
  </si>
  <si>
    <t>Tata Steel Limited</t>
  </si>
  <si>
    <t>HDFC Securities Limited</t>
  </si>
  <si>
    <t>L&amp;T Finance Limited</t>
  </si>
  <si>
    <t>ICICI Securities Limited</t>
  </si>
  <si>
    <t>Mahindra &amp; Mahindra Financial Services Limited</t>
  </si>
  <si>
    <t>91 Days Tbill (MD 25/01/2024)</t>
  </si>
  <si>
    <t>182 Days Tbill (MD 29/12/2023)</t>
  </si>
  <si>
    <t>91 Days Tbill (MD 23/11/2023)</t>
  </si>
  <si>
    <t>91 Days Tbill (MD 18/01/2024)</t>
  </si>
  <si>
    <t>91 Days Tbill (MD 09/11/2023)</t>
  </si>
  <si>
    <t>364 Days Tbill (MD 11/01/2024)</t>
  </si>
  <si>
    <t>182 Days Tbill (MD 07/12/2023)</t>
  </si>
  <si>
    <t>182 Days Tbill (MD 21/12/2023)</t>
  </si>
  <si>
    <t>91 Days Tbill (MD 07/12/2023)</t>
  </si>
  <si>
    <t>91 Days Tbill (MD 11/01/2024)</t>
  </si>
  <si>
    <t>91 Days Tbill (MD 17/11/2023)</t>
  </si>
  <si>
    <t>Bandhan Low Duration Fund (31 October, 2023 )</t>
  </si>
  <si>
    <t>5313.76 crs</t>
  </si>
  <si>
    <t>182 Days Tbill (MD 29/02/2024)</t>
  </si>
  <si>
    <t>Bandhan Money Manager Fund (31 October, 2023 )</t>
  </si>
  <si>
    <t>3460.95 crs</t>
  </si>
  <si>
    <t>IndusInd Bank Limited</t>
  </si>
  <si>
    <t>Indian Bank</t>
  </si>
  <si>
    <t>Kotak Mahindra Investments Limited</t>
  </si>
  <si>
    <t>182 Days Tbill (MD 16/02/2024)</t>
  </si>
  <si>
    <t>364 Days Tbill (MD 15/02/2024)</t>
  </si>
  <si>
    <t>182 Days Tbill (MD 22/02/2024)</t>
  </si>
  <si>
    <t>Bandhan Overnight Fund (31 October, 2023 )</t>
  </si>
  <si>
    <t>1587.00 crs</t>
  </si>
  <si>
    <t>364 Days Tbill (MD 02/11/2023)</t>
  </si>
  <si>
    <t>364 Days Tbill (MD 23/11/2023)</t>
  </si>
  <si>
    <t>Bandhan Ultra Short Term Fund (31 October, 2023 )</t>
  </si>
  <si>
    <t>3355.42 crs</t>
  </si>
  <si>
    <t>Tata Capital Housing Finance Limited</t>
  </si>
  <si>
    <t>8.07% Gujrat SDL (MD 11/02/2025)</t>
  </si>
  <si>
    <t>8.05% Karnataka SDL (MD 25/02/2025)</t>
  </si>
  <si>
    <t>8.25% Gujarat SDL  ( MD 24/12/2024)</t>
  </si>
  <si>
    <t>8.29%  Rajasthan SDL (MD 13/05/2025)</t>
  </si>
  <si>
    <t>8.23% Gujarat SDL  (09/09/2025)</t>
  </si>
  <si>
    <t>8.05% Maharashtra SDL (MD 28/01/2025)</t>
  </si>
  <si>
    <t>8.13% Maharashtra SDL(MD 14/01/2025)</t>
  </si>
  <si>
    <t>8.15% Gujarat SDL (MD 23/09/2025)</t>
  </si>
  <si>
    <t>8.24% Maharashtra SDL (MD 24/12/2024)</t>
  </si>
  <si>
    <t>8.27% Haryana SDL (MD 13/05/2025)</t>
  </si>
  <si>
    <t>8.08% Haryana SDL (MD 28/01/2025)</t>
  </si>
  <si>
    <t>8.05% Haryana SDL (MD 25/02/2025)</t>
  </si>
  <si>
    <t>8.08% Uttar Pradesh SDL (MD 25/02/2025)</t>
  </si>
  <si>
    <t>8.1% Uttar Pradesh SDL (MD 28/01/2025)</t>
  </si>
  <si>
    <t>8.09% Andhra Pradesh SDL (MD 28/01/2025)</t>
  </si>
  <si>
    <t>5.8% Maharashtra SDL (MD 02/02/2025)</t>
  </si>
  <si>
    <t>7.41% Uttar Pradesh SDL (MD 09/11/2026)</t>
  </si>
  <si>
    <t>8.05% Gujarat SDL (MD 28/01/2025)</t>
  </si>
  <si>
    <t>8.08% Madhya Pradesh SDL (MD 11/02/2025)</t>
  </si>
  <si>
    <t>8.96% Maharashtra SDL  (MD 09/07/2024)</t>
  </si>
  <si>
    <t>5.77% Gujarat SDL (MD 12/01/2025)</t>
  </si>
  <si>
    <t>5.77% Gujarat SDL (MD 02/02/2025)</t>
  </si>
  <si>
    <t>8.25% Maharastra SDL  ( MD 13/05/2025)</t>
  </si>
  <si>
    <t>8.2% Gujarat SDL (MD 24/06/2025)</t>
  </si>
  <si>
    <t>8.37% Tamil Nadu SDL (MD 05/12/2028)</t>
  </si>
  <si>
    <t>8.26% Maharashtra SDL (MD 12/08/2025)</t>
  </si>
  <si>
    <t>7.96% Gujarat SDL (14/10/2025)</t>
  </si>
  <si>
    <t>8.12% Maharashtra SDL (MD 13/11/2025)</t>
  </si>
  <si>
    <t>8.27% Karnataka SDL(MD 23/12/2025)</t>
  </si>
  <si>
    <t>8.27% Tamilnadu SDL (MD 13/01/2026)</t>
  </si>
  <si>
    <t>8.27% Gujarat SDL (MD 13/01/2026)</t>
  </si>
  <si>
    <t>8.36% Maharashtra SDL (MD 27/01/2026)</t>
  </si>
  <si>
    <t>8.51% Maharashtra SDL (MD 09/03/2026)</t>
  </si>
  <si>
    <t>8.53% Tamil Nadu SDL (MD 09/03/2026)</t>
  </si>
  <si>
    <t>8.3% Madhya Pradesh SDL (MD  13/01/2026)</t>
  </si>
  <si>
    <t>8.20% GUJARAT SDL (MD 09/12/2025)</t>
  </si>
  <si>
    <t>7.99% Karnatak SDL (MD 28/10/2025)</t>
  </si>
  <si>
    <t>7.18% Tamilnadu SDL (MD 26/07/2027)</t>
  </si>
  <si>
    <t>7.93% Chattisgarh SDL (MD 13/02/2024)</t>
  </si>
  <si>
    <t>8.03% Gujarat SDL (MD 16/04/2025)</t>
  </si>
  <si>
    <t>8.27% Haryana SDL (MD 09/12/2025)</t>
  </si>
  <si>
    <t>8.27% Haryana SDL (MD 23/12/2025)</t>
  </si>
  <si>
    <t>6.18% Gujarat SDL (MD 25/01/2026)</t>
  </si>
  <si>
    <t>7.47% Gujarat SDL (MD 27/10/2025)</t>
  </si>
  <si>
    <t>9.37% Gujarat SDL (MD 30/01/2024)</t>
  </si>
  <si>
    <t>9.55% Karnataka SDL (MD 12/02/2024)</t>
  </si>
  <si>
    <t>9.63% Andhra Pradesh SDL (MD 12/02/2024)</t>
  </si>
  <si>
    <t>9.80% Haryana SDL (MD 26/02/2024)</t>
  </si>
  <si>
    <t>9.71% Haryana SDL (MD 12/03/2024)</t>
  </si>
  <si>
    <t>9.47% Tamilnadu SDL (MD 26/03/2024)</t>
  </si>
  <si>
    <t>9.45% Rahasthan SDL (MD 26/03/2024)</t>
  </si>
  <si>
    <t>9.47% Haryana SDL (MD 26/03/2024)</t>
  </si>
  <si>
    <t>9.11% Maharashtra SDL (MD 28/05/2024)</t>
  </si>
  <si>
    <t>9.24% Haryana SDL (MD 16/01/2024)</t>
  </si>
  <si>
    <t>8.83% Tamilnadu SDL (MD 11/06/2024)</t>
  </si>
  <si>
    <t>8.83% Maharashtra SDL (MD 11/06/2024)</t>
  </si>
  <si>
    <t>9.48% Andhra Pradesh SDL (MD 26/03/2024)</t>
  </si>
  <si>
    <t>5.6% Haryana SDL (MD 20/05/2024)</t>
  </si>
  <si>
    <t>5.75% Tamilnadu SDL (MD 27/05/2025)</t>
  </si>
  <si>
    <t>8.72% Tamilnadu SDL (MD 19/09/2026)</t>
  </si>
  <si>
    <t>7.04% Gujarat SDL (MD 07/08/2026)</t>
  </si>
  <si>
    <t>7.22% Maharashtra SDL (MD 26/10/2026)</t>
  </si>
  <si>
    <t>6.82% Maharashtra SDL (MD 23/11/2026)</t>
  </si>
  <si>
    <t>6.24% Maharashtra SDL (MD 11/08/2026)</t>
  </si>
  <si>
    <t>7.38% Rajasthan SDL (MD 14/09/2026)</t>
  </si>
  <si>
    <t>7.4% Madhya Pradesh SDL (MD 09/11/2026)</t>
  </si>
  <si>
    <t>7.17% Rajasthan SDL (MD 28/09/2026)</t>
  </si>
  <si>
    <t>7.69% Uttar Pradesh SDL (MD 27/07/2026)</t>
  </si>
  <si>
    <t>7.57% Gujarat SDL (MD 09/11/2026)</t>
  </si>
  <si>
    <t>7.59% Kerala SDL (MD 24/08/2026)</t>
  </si>
  <si>
    <t>7.16% Madhya Pradesh SDL (MD 28/09/2026)</t>
  </si>
  <si>
    <t>7.49% Gujarat SDL (MD 28/09/2026)</t>
  </si>
  <si>
    <t>7.69% Tamilnadu SDL (MD 27/07/2026)</t>
  </si>
  <si>
    <t>7.18% Haryana SDL (MD 28/09/2026)</t>
  </si>
  <si>
    <t>7.19% West Bangal SDL (MD 28/09/2026)</t>
  </si>
  <si>
    <t>7.15% Madhya Pradesh SDL (MD 13/10/2026)</t>
  </si>
  <si>
    <t>7.2% Maharashtra SDL (MD 09/08/2027)</t>
  </si>
  <si>
    <t>7.47% Chhattisgarh SDL (MD 27/09/2027)</t>
  </si>
  <si>
    <t>7.33% Maharashtra SDL (MD 13/09/2027)</t>
  </si>
  <si>
    <t>6.2% Rajasthan SDL (MD 29/07/2027)</t>
  </si>
  <si>
    <t>7.27% Tamilnadu SDL (MD 12/07/2027)</t>
  </si>
  <si>
    <t>7.25% Gujarat SDL (MD 12/07/2027)</t>
  </si>
  <si>
    <t>8.49% Andhra Pradesh SDL (MD 21/08/2027)</t>
  </si>
  <si>
    <t>7.21% Tamilnadu SDL (MD 09/08/2027)</t>
  </si>
  <si>
    <t>7.28% Madhya Pradesh SDL (MD 23/08/2027)</t>
  </si>
  <si>
    <t>7.93% Karnataka SDL (MD 08/04/2031)</t>
  </si>
  <si>
    <t>6.84% Gujarat SDL (MD 24/03/2031)</t>
  </si>
  <si>
    <t>6.85% Madhya Pradesh SDL (MD 15/09/2031)</t>
  </si>
  <si>
    <t>6.83% Tamilnadu SDL (MD 15/12/2031)</t>
  </si>
  <si>
    <t>7.12% Gujarat SDL (MD 02/03/2032)</t>
  </si>
  <si>
    <t>7.17% Kerala SDL (MD 02/03/2032)</t>
  </si>
  <si>
    <t>7.09% Rajasthan SDL (MD 16/02/2032)</t>
  </si>
  <si>
    <t>7.22% Rajasthan SDL (MD 16/03/2032)</t>
  </si>
  <si>
    <t>7.23% Tamilnadu SDL (MD 23/03/2032)</t>
  </si>
  <si>
    <t>7.29% Gujarat SDL (MD 30/03/2032)</t>
  </si>
  <si>
    <t>7.3% Tamilnadu SDL (MD 30/03/2032)</t>
  </si>
  <si>
    <t>7.8% Andhra Pradesh SDL (MD 22/06/2031)</t>
  </si>
  <si>
    <t>7.68% Karnataka SDL (MD 16/11/2031)</t>
  </si>
  <si>
    <t>7.68% Haryana SDL (MD 23/11/2031)</t>
  </si>
  <si>
    <t>6.9% Andhra Pradesh SDL (MD 03/02/2032)</t>
  </si>
  <si>
    <t>7.57% Gujarat SDL (MD 28/12/2031)</t>
  </si>
  <si>
    <t>7.57% Gujarat SDL (MD 18/01/2032)</t>
  </si>
  <si>
    <t>7.63% Gujarat SDL (MD 25/01/2032)</t>
  </si>
  <si>
    <t>7.74% Andhra Pradesh SDL (MD 01/03/2032)</t>
  </si>
  <si>
    <t>7.72% Maharashtra SDL (MD 23/03/2032)</t>
  </si>
  <si>
    <t>7.73% Maharashtra SDL (MD 29/03/2032)</t>
  </si>
  <si>
    <t>7.73% Andhra Pradesh SDL (MD 23/03/2032)</t>
  </si>
  <si>
    <t>7.72% Haryana SDL (MD 23/03/2032)</t>
  </si>
  <si>
    <t>Bandhan Banking &amp; PSU Debt Fund -Direct Gr</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</si>
  <si>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</si>
  <si>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</si>
  <si>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First Business Receivables Trust^</t>
  </si>
  <si>
    <t>^PTC originated by Reliance Industries Limited</t>
  </si>
  <si>
    <t>^^AT1 Bonds under Basel III</t>
  </si>
  <si>
    <t>Union Bank of India^^</t>
  </si>
  <si>
    <t>Punjab National Bank^^</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</si>
  <si>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</si>
  <si>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The Scheme may or may not have any present or future positions in the above securities. Investors are advised to consult their own investment advisor before making any investment decision in light of their risk appetite, investment goals and horizon.”</t>
  </si>
  <si>
    <t>BANDHAN US TREASURY BOND 0-1 YEAR FUND OF FUND</t>
  </si>
  <si>
    <t>JPMorgan ETFs BetaBuilders US Tre Bond0-1 yr UCITS</t>
  </si>
  <si>
    <t>International Mutual Fund Units</t>
  </si>
  <si>
    <t>Banks</t>
  </si>
  <si>
    <t>Software</t>
  </si>
  <si>
    <t>Power</t>
  </si>
  <si>
    <t>Consumer Non Durables</t>
  </si>
  <si>
    <t>Retailing</t>
  </si>
  <si>
    <t>Construction Project</t>
  </si>
  <si>
    <t>Gas</t>
  </si>
  <si>
    <t>Chemicals</t>
  </si>
  <si>
    <t>Hotels, Resorts And Other Recreational Activities</t>
  </si>
  <si>
    <t>Telecom - Services</t>
  </si>
  <si>
    <t>Petroleum Products</t>
  </si>
  <si>
    <t>Auto</t>
  </si>
  <si>
    <t>Ferrous Metals</t>
  </si>
  <si>
    <t>Industrial Capital Goods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</si>
  <si>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</si>
  <si>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141.76 crs</t>
  </si>
  <si>
    <t>Average Maturity in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</si>
</sst>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Black]\(0.00%\)"/>
    <numFmt numFmtId="165" formatCode="0.000%;[Black]\(0.000%\)"/>
    <numFmt numFmtId="166" formatCode="#0.00%;\(#0.00%\)"/>
    <numFmt numFmtId="167" formatCode="#,##0.00%_);\(#,##0.00%\)"/>
  </numFmts>
  <fonts count="13"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sz val="11"/>
      <color theme="1"/>
      <name val="Calibri"/>
      <family val="2"/>
      <scheme val="minor"/>
    </font>
    <font>
      <sz val="12"/>
      <name val="Arial"/>
      <family val="2"/>
    </font>
    <font>
      <b/>
      <sz val="16"/>
      <name val="Arial"/>
      <family val="2"/>
    </font>
    <font>
      <b/>
      <sz val="12"/>
      <name val="Arial"/>
      <family val="2"/>
    </font>
    <font>
      <sz val="11"/>
      <name val="Calibri"/>
      <family val="2"/>
      <scheme val="minor"/>
    </font>
    <font>
      <b/>
      <sz val="11"/>
      <name val="Arial"/>
      <family val="2"/>
    </font>
  </fonts>
  <fills count="4">
    <fill>
      <patternFill patternType="none"/>
    </fill>
    <fill>
      <patternFill patternType="gray125"/>
    </fill>
    <fill>
      <patternFill patternType="solid">
        <fgColor rgb="FFD8D8D8"/>
        <bgColor indexed="64"/>
      </patternFill>
    </fill>
    <fill>
      <patternFill patternType="solid">
        <fgColor theme="0" tint="-0.14999847407452621"/>
        <bgColor indexed="64"/>
      </patternFill>
    </fill>
  </fills>
  <borders count="34">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7" fillId="0" borderId="0" applyFont="0" applyFill="0" applyBorder="0" applyAlignment="0" applyProtection="0"/>
  </cellStyleXfs>
  <cellXfs count="102">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0" fontId="0" fillId="2" borderId="0" xfId="0" applyFill="1" applyBorder="1"/>
    <xf numFmtId="0" fontId="0" fillId="2" borderId="12" xfId="0" applyFill="1" applyBorder="1"/>
    <xf numFmtId="10" fontId="6" fillId="0" borderId="0" xfId="0" applyNumberFormat="1" applyFont="1" applyBorder="1"/>
    <xf numFmtId="165" fontId="1" fillId="0" borderId="2" xfId="0" applyNumberFormat="1" applyFont="1" applyBorder="1" applyAlignment="1">
      <alignment vertical="center"/>
    </xf>
    <xf numFmtId="0" fontId="8" fillId="0" borderId="0" xfId="0" applyFont="1"/>
    <xf numFmtId="0" fontId="8" fillId="0" borderId="18" xfId="0" applyFont="1" applyBorder="1"/>
    <xf numFmtId="0" fontId="8" fillId="0" borderId="19" xfId="0" applyFont="1" applyBorder="1"/>
    <xf numFmtId="0" fontId="8" fillId="0" borderId="20" xfId="0" applyFont="1" applyBorder="1"/>
    <xf numFmtId="0" fontId="8" fillId="0" borderId="21" xfId="0" applyFont="1" applyBorder="1"/>
    <xf numFmtId="0" fontId="10" fillId="0" borderId="0" xfId="0" applyFont="1" applyBorder="1" applyAlignment="1">
      <alignment horizontal="left"/>
    </xf>
    <xf numFmtId="0" fontId="11" fillId="0" borderId="0" xfId="0" applyFont="1" applyBorder="1"/>
    <xf numFmtId="0" fontId="8" fillId="0" borderId="0" xfId="0" applyFont="1" applyBorder="1"/>
    <xf numFmtId="0" fontId="8" fillId="0" borderId="22" xfId="0" applyFont="1" applyBorder="1"/>
    <xf numFmtId="0" fontId="9" fillId="2" borderId="0" xfId="0" applyFont="1" applyFill="1" applyBorder="1" applyAlignment="1">
      <alignment horizontal="left" vertical="center"/>
    </xf>
    <xf numFmtId="0" fontId="9" fillId="3" borderId="0" xfId="0" applyFont="1" applyFill="1" applyBorder="1" applyAlignment="1">
      <alignment vertical="center"/>
    </xf>
    <xf numFmtId="0" fontId="11" fillId="0" borderId="0" xfId="0" applyFont="1"/>
    <xf numFmtId="0" fontId="10" fillId="3" borderId="29" xfId="0" applyFont="1" applyFill="1" applyBorder="1" applyAlignment="1">
      <alignment horizontal="center" vertical="center" wrapText="1"/>
    </xf>
    <xf numFmtId="0" fontId="10" fillId="3" borderId="30" xfId="0" applyFont="1" applyFill="1" applyBorder="1" applyAlignment="1">
      <alignment horizontal="center" vertical="center" wrapText="1"/>
    </xf>
    <xf numFmtId="0" fontId="8" fillId="0" borderId="31" xfId="0" applyFont="1" applyBorder="1" applyAlignment="1">
      <alignment horizontal="left" vertical="center" wrapText="1"/>
    </xf>
    <xf numFmtId="166" fontId="8" fillId="0" borderId="32" xfId="1" applyNumberFormat="1" applyFont="1" applyBorder="1" applyAlignment="1">
      <alignment horizontal="right"/>
    </xf>
    <xf numFmtId="10" fontId="8" fillId="0" borderId="0" xfId="0" applyNumberFormat="1" applyFont="1" applyBorder="1"/>
    <xf numFmtId="10" fontId="8" fillId="0" borderId="0" xfId="1" applyNumberFormat="1" applyFont="1" applyBorder="1"/>
    <xf numFmtId="14" fontId="8" fillId="0" borderId="0" xfId="0" applyNumberFormat="1" applyFont="1"/>
    <xf numFmtId="0" fontId="10" fillId="3" borderId="31" xfId="0" applyFont="1" applyFill="1" applyBorder="1" applyAlignment="1">
      <alignment horizontal="left"/>
    </xf>
    <xf numFmtId="166" fontId="10" fillId="3" borderId="32" xfId="0" applyNumberFormat="1" applyFont="1" applyFill="1" applyBorder="1" applyAlignment="1">
      <alignment horizontal="right"/>
    </xf>
    <xf numFmtId="0" fontId="8" fillId="0" borderId="8" xfId="0" applyFont="1" applyBorder="1" applyAlignment="1">
      <alignment vertical="center"/>
    </xf>
    <xf numFmtId="166" fontId="8" fillId="0" borderId="32" xfId="0" applyNumberFormat="1" applyFont="1" applyBorder="1" applyAlignment="1">
      <alignment vertical="center"/>
    </xf>
    <xf numFmtId="0" fontId="10" fillId="2" borderId="8" xfId="0" applyFont="1" applyFill="1" applyBorder="1" applyAlignment="1">
      <alignment horizontal="left" vertical="center"/>
    </xf>
    <xf numFmtId="166" fontId="10" fillId="2" borderId="32" xfId="0" applyNumberFormat="1" applyFont="1" applyFill="1" applyBorder="1" applyAlignment="1">
      <alignment horizontal="right" vertical="center"/>
    </xf>
    <xf numFmtId="164" fontId="8" fillId="0" borderId="32" xfId="0" applyNumberFormat="1" applyFont="1" applyBorder="1" applyAlignment="1">
      <alignment vertical="center"/>
    </xf>
    <xf numFmtId="0" fontId="10" fillId="2" borderId="9" xfId="0" applyFont="1" applyFill="1" applyBorder="1" applyAlignment="1">
      <alignment horizontal="left" vertical="center"/>
    </xf>
    <xf numFmtId="164" fontId="10" fillId="2" borderId="33" xfId="0" applyNumberFormat="1" applyFont="1" applyFill="1" applyBorder="1" applyAlignment="1">
      <alignment horizontal="right" vertical="center"/>
    </xf>
    <xf numFmtId="0" fontId="10" fillId="0" borderId="0" xfId="0" applyFont="1" applyFill="1" applyBorder="1" applyAlignment="1">
      <alignment horizontal="left"/>
    </xf>
    <xf numFmtId="167" fontId="10" fillId="0" borderId="0" xfId="0" applyNumberFormat="1" applyFont="1" applyFill="1" applyBorder="1" applyAlignment="1">
      <alignment horizontal="right"/>
    </xf>
    <xf numFmtId="0" fontId="8" fillId="0" borderId="0" xfId="0" applyFont="1" applyFill="1" applyBorder="1"/>
    <xf numFmtId="10" fontId="10" fillId="0" borderId="0" xfId="1" applyNumberFormat="1" applyFont="1" applyFill="1" applyBorder="1" applyAlignment="1">
      <alignment horizontal="right"/>
    </xf>
    <xf numFmtId="0" fontId="8" fillId="0" borderId="23" xfId="0" applyFont="1" applyBorder="1"/>
    <xf numFmtId="1" fontId="5" fillId="2" borderId="0" xfId="0" applyNumberFormat="1" applyFont="1" applyFill="1" applyBorder="1" applyAlignment="1">
      <alignment vertical="center"/>
    </xf>
    <xf numFmtId="3" fontId="5" fillId="2" borderId="0" xfId="0" applyNumberFormat="1" applyFont="1" applyFill="1" applyBorder="1" applyAlignment="1">
      <alignment vertical="center"/>
    </xf>
    <xf numFmtId="3" fontId="5" fillId="2" borderId="0" xfId="0" applyNumberFormat="1" applyFont="1" applyFill="1" applyBorder="1" applyAlignment="1">
      <alignment horizontal="center" vertical="center"/>
    </xf>
    <xf numFmtId="4" fontId="5" fillId="2" borderId="0" xfId="0" applyNumberFormat="1" applyFont="1" applyFill="1" applyBorder="1" applyAlignment="1">
      <alignment horizontal="center" vertical="center"/>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0"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9" fillId="3" borderId="0" xfId="0" applyFont="1" applyFill="1" applyBorder="1" applyAlignment="1">
      <alignment horizontal="center" vertical="center" wrapText="1"/>
    </xf>
    <xf numFmtId="0" fontId="9" fillId="3" borderId="22" xfId="0" applyFont="1" applyFill="1" applyBorder="1" applyAlignment="1">
      <alignment horizontal="center" vertical="center" wrapText="1"/>
    </xf>
    <xf numFmtId="0" fontId="12" fillId="3" borderId="0" xfId="0" applyFont="1" applyFill="1" applyBorder="1" applyAlignment="1">
      <alignment vertical="center" wrapText="1"/>
    </xf>
    <xf numFmtId="0" fontId="12" fillId="3" borderId="22" xfId="0" applyFont="1" applyFill="1" applyBorder="1" applyAlignment="1">
      <alignment vertical="center" wrapText="1"/>
    </xf>
    <xf numFmtId="0" fontId="10" fillId="0" borderId="24" xfId="0" applyFont="1" applyBorder="1" applyAlignment="1"/>
    <xf numFmtId="0" fontId="10" fillId="0" borderId="25" xfId="0" applyFont="1" applyBorder="1" applyAlignment="1"/>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21" xfId="0" applyFont="1" applyBorder="1" applyAlignment="1">
      <alignment horizontal="left" vertical="top" wrapText="1"/>
    </xf>
    <xf numFmtId="0" fontId="11" fillId="0" borderId="0" xfId="0" applyFont="1" applyBorder="1" applyAlignment="1">
      <alignment horizontal="left" vertical="top" wrapText="1"/>
    </xf>
    <xf numFmtId="0" fontId="11" fillId="0" borderId="22" xfId="0" applyFont="1" applyBorder="1" applyAlignment="1">
      <alignment horizontal="left" vertical="top" wrapText="1"/>
    </xf>
    <xf numFmtId="0" fontId="11" fillId="0" borderId="23" xfId="0" applyFont="1" applyBorder="1" applyAlignment="1">
      <alignment horizontal="left" vertical="top" wrapText="1"/>
    </xf>
    <xf numFmtId="0" fontId="11" fillId="0" borderId="24" xfId="0" applyFont="1" applyBorder="1" applyAlignment="1">
      <alignment horizontal="left" vertical="top" wrapText="1"/>
    </xf>
    <xf numFmtId="0" fontId="11" fillId="0" borderId="25" xfId="0" applyFont="1" applyBorder="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4.93421052631578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984-47EF-9223-86E56EB9B7E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OF'!$G$8</c:f>
              <c:strCache>
                <c:ptCount val="1"/>
                <c:pt idx="0">
                  <c:v>AAA EQUIVALENT</c:v>
                </c:pt>
              </c:strCache>
            </c:strRef>
          </c:cat>
          <c:val>
            <c:numRef>
              <c:f>'BANDHAN OF'!$H$8</c:f>
              <c:numCache>
                <c:formatCode>0%</c:formatCode>
                <c:ptCount val="1"/>
                <c:pt idx="0">
                  <c:v>1</c:v>
                </c:pt>
              </c:numCache>
            </c:numRef>
          </c:val>
          <c:extLst>
            <c:ext xmlns:c16="http://schemas.microsoft.com/office/drawing/2014/chart" uri="{C3380CC4-5D6E-409C-BE32-E72D297353CC}">
              <c16:uniqueId val="{0000000C-5984-47EF-9223-86E56EB9B7E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OF'!$K$8</c:f>
              <c:strCache>
                <c:ptCount val="1"/>
                <c:pt idx="0">
                  <c:v>Total</c:v>
                </c:pt>
              </c:strCache>
            </c:strRef>
          </c:tx>
          <c:dLbls>
            <c:dLbl>
              <c:idx val="0"/>
              <c:layout>
                <c:manualLayout>
                  <c:x val="4.0684381797029122E-2"/>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F5C-47EA-A347-1B336E4D992B}"/>
                </c:ext>
              </c:extLst>
            </c:dLbl>
            <c:dLbl>
              <c:idx val="1"/>
              <c:layout>
                <c:manualLayout>
                  <c:x val="8.1784046266165422E-2"/>
                  <c:y val="-2.25746281714785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F5C-47EA-A347-1B336E4D992B}"/>
                </c:ext>
              </c:extLst>
            </c:dLbl>
            <c:dLbl>
              <c:idx val="2"/>
              <c:layout>
                <c:manualLayout>
                  <c:x val="-4.8230538366858318E-2"/>
                  <c:y val="-3.58586176727909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F5C-47EA-A347-1B336E4D992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OF'!$J$9:$J$11</c:f>
              <c:strCache>
                <c:ptCount val="3"/>
                <c:pt idx="0">
                  <c:v>Net Current Asset</c:v>
                </c:pt>
                <c:pt idx="1">
                  <c:v>TRI Party Repo</c:v>
                </c:pt>
                <c:pt idx="2">
                  <c:v>Treasury Bill</c:v>
                </c:pt>
              </c:strCache>
            </c:strRef>
          </c:cat>
          <c:val>
            <c:numRef>
              <c:f>'BANDHAN OF'!$K$9:$K$11</c:f>
              <c:numCache>
                <c:formatCode>0.00%</c:formatCode>
                <c:ptCount val="3"/>
                <c:pt idx="0">
                  <c:v>-7.4999999999999993E-5</c:v>
                </c:pt>
                <c:pt idx="1">
                  <c:v>0.95289800000000002</c:v>
                </c:pt>
                <c:pt idx="2">
                  <c:v>4.7176999999999997E-2</c:v>
                </c:pt>
              </c:numCache>
            </c:numRef>
          </c:val>
          <c:extLst>
            <c:ext xmlns:c16="http://schemas.microsoft.com/office/drawing/2014/chart" uri="{C3380CC4-5D6E-409C-BE32-E72D297353CC}">
              <c16:uniqueId val="{0000000C-7F5C-47EA-A347-1B336E4D992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044892006272234"/>
                  <c:y val="-4.646017699115044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C42-4B9D-AF70-56594766A66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CF'!$G$8</c:f>
              <c:strCache>
                <c:ptCount val="1"/>
                <c:pt idx="0">
                  <c:v>AAA EQUIVALENT</c:v>
                </c:pt>
              </c:strCache>
            </c:strRef>
          </c:cat>
          <c:val>
            <c:numRef>
              <c:f>'BANDHAN CF'!$H$8</c:f>
              <c:numCache>
                <c:formatCode>0%</c:formatCode>
                <c:ptCount val="1"/>
                <c:pt idx="0">
                  <c:v>1</c:v>
                </c:pt>
              </c:numCache>
            </c:numRef>
          </c:val>
          <c:extLst>
            <c:ext xmlns:c16="http://schemas.microsoft.com/office/drawing/2014/chart" uri="{C3380CC4-5D6E-409C-BE32-E72D297353CC}">
              <c16:uniqueId val="{0000000C-CC42-4B9D-AF70-56594766A66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9D9-4EF5-BC23-1A133E4BD674}"/>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9D9-4EF5-BC23-1A133E4BD674}"/>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9D9-4EF5-BC23-1A133E4BD674}"/>
                </c:ext>
              </c:extLst>
            </c:dLbl>
            <c:dLbl>
              <c:idx val="3"/>
              <c:layout>
                <c:manualLayout>
                  <c:x val="-9.6319614223810884E-2"/>
                  <c:y val="0.2035498037992775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9D9-4EF5-BC23-1A133E4BD674}"/>
                </c:ext>
              </c:extLst>
            </c:dLbl>
            <c:dLbl>
              <c:idx val="4"/>
              <c:layout>
                <c:manualLayout>
                  <c:x val="-3.3216122342308925E-2"/>
                  <c:y val="8.88577046681046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39D9-4EF5-BC23-1A133E4BD674}"/>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39D9-4EF5-BC23-1A133E4BD674}"/>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39D9-4EF5-BC23-1A133E4BD67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CF'!$J$9:$J$15</c:f>
              <c:strCache>
                <c:ptCount val="7"/>
                <c:pt idx="0">
                  <c:v>Net Current Asset</c:v>
                </c:pt>
                <c:pt idx="1">
                  <c:v>TRI Party Repo</c:v>
                </c:pt>
                <c:pt idx="2">
                  <c:v>Certificate of Deposit</c:v>
                </c:pt>
                <c:pt idx="3">
                  <c:v>Corporate Bond</c:v>
                </c:pt>
                <c:pt idx="4">
                  <c:v>Commercial Paper</c:v>
                </c:pt>
                <c:pt idx="5">
                  <c:v>Corporate Debt Market Development Fund</c:v>
                </c:pt>
                <c:pt idx="6">
                  <c:v>Treasury Bill</c:v>
                </c:pt>
              </c:strCache>
            </c:strRef>
          </c:cat>
          <c:val>
            <c:numRef>
              <c:f>'BANDHAN CF'!$K$9:$K$15</c:f>
              <c:numCache>
                <c:formatCode>0.00%</c:formatCode>
                <c:ptCount val="7"/>
                <c:pt idx="0">
                  <c:v>2.0200000000000001E-3</c:v>
                </c:pt>
                <c:pt idx="1">
                  <c:v>7.4051000000000006E-2</c:v>
                </c:pt>
                <c:pt idx="2">
                  <c:v>0.248</c:v>
                </c:pt>
                <c:pt idx="3">
                  <c:v>2.7976000000000001E-2</c:v>
                </c:pt>
                <c:pt idx="4">
                  <c:v>0.45395099999999999</c:v>
                </c:pt>
                <c:pt idx="5">
                  <c:v>1.9789999999999999E-3</c:v>
                </c:pt>
                <c:pt idx="6">
                  <c:v>0.192023</c:v>
                </c:pt>
              </c:numCache>
            </c:numRef>
          </c:val>
          <c:extLst>
            <c:ext xmlns:c16="http://schemas.microsoft.com/office/drawing/2014/chart" uri="{C3380CC4-5D6E-409C-BE32-E72D297353CC}">
              <c16:uniqueId val="{0000000C-39D9-4EF5-BC23-1A133E4BD67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922836331754035"/>
                  <c:y val="-4.4052863436123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7F6-49AE-B229-5A7426D8D21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LDF'!$G$8</c:f>
              <c:strCache>
                <c:ptCount val="1"/>
                <c:pt idx="0">
                  <c:v>AAA EQUIVALENT</c:v>
                </c:pt>
              </c:strCache>
            </c:strRef>
          </c:cat>
          <c:val>
            <c:numRef>
              <c:f>'BANDHAN LDF'!$H$8</c:f>
              <c:numCache>
                <c:formatCode>0%</c:formatCode>
                <c:ptCount val="1"/>
                <c:pt idx="0">
                  <c:v>1</c:v>
                </c:pt>
              </c:numCache>
            </c:numRef>
          </c:val>
          <c:extLst>
            <c:ext xmlns:c16="http://schemas.microsoft.com/office/drawing/2014/chart" uri="{C3380CC4-5D6E-409C-BE32-E72D297353CC}">
              <c16:uniqueId val="{0000000C-87F6-49AE-B229-5A7426D8D21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21D-49CF-922A-28514ABD5E7C}"/>
                </c:ext>
              </c:extLst>
            </c:dLbl>
            <c:dLbl>
              <c:idx val="1"/>
              <c:layout>
                <c:manualLayout>
                  <c:x val="9.4769090694498306E-2"/>
                  <c:y val="-2.03430517131304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21D-49CF-922A-28514ABD5E7C}"/>
                </c:ext>
              </c:extLst>
            </c:dLbl>
            <c:dLbl>
              <c:idx val="2"/>
              <c:layout>
                <c:manualLayout>
                  <c:x val="2.488913992817279E-2"/>
                  <c:y val="-6.371670568206003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21D-49CF-922A-28514ABD5E7C}"/>
                </c:ext>
              </c:extLst>
            </c:dLbl>
            <c:dLbl>
              <c:idx val="3"/>
              <c:layout>
                <c:manualLayout>
                  <c:x val="-2.0397915999258123E-2"/>
                  <c:y val="-9.6701425835284105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21D-49CF-922A-28514ABD5E7C}"/>
                </c:ext>
              </c:extLst>
            </c:dLbl>
            <c:dLbl>
              <c:idx val="4"/>
              <c:layout>
                <c:manualLayout>
                  <c:x val="0.17519541722166956"/>
                  <c:y val="0.226726026814215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621D-49CF-922A-28514ABD5E7C}"/>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621D-49CF-922A-28514ABD5E7C}"/>
                </c:ext>
              </c:extLst>
            </c:dLbl>
            <c:dLbl>
              <c:idx val="6"/>
              <c:layout>
                <c:manualLayout>
                  <c:x val="4.1137601375845156E-2"/>
                  <c:y val="-0.4481545860821451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621D-49CF-922A-28514ABD5E7C}"/>
                </c:ext>
              </c:extLst>
            </c:dLbl>
            <c:dLbl>
              <c:idx val="7"/>
              <c:layout>
                <c:manualLayout>
                  <c:x val="-5.0286297189296732E-2"/>
                  <c:y val="-3.76784847839965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621D-49CF-922A-28514ABD5E7C}"/>
                </c:ext>
              </c:extLst>
            </c:dLbl>
            <c:dLbl>
              <c:idx val="8"/>
              <c:layout>
                <c:manualLayout>
                  <c:x val="-0.14614636901650677"/>
                  <c:y val="-5.60187273888061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621D-49CF-922A-28514ABD5E7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LDF'!$J$9:$J$17</c:f>
              <c:strCache>
                <c:ptCount val="9"/>
                <c:pt idx="0">
                  <c:v>Net Current Asset</c:v>
                </c:pt>
                <c:pt idx="1">
                  <c:v>TRI Party Repo</c:v>
                </c:pt>
                <c:pt idx="2">
                  <c:v>Certificate of Deposit</c:v>
                </c:pt>
                <c:pt idx="3">
                  <c:v>Corporate Bond</c:v>
                </c:pt>
                <c:pt idx="4">
                  <c:v>Commercial Paper</c:v>
                </c:pt>
                <c:pt idx="5">
                  <c:v>Corporate Debt Market Development Fund</c:v>
                </c:pt>
                <c:pt idx="6">
                  <c:v>Government Bond</c:v>
                </c:pt>
                <c:pt idx="7">
                  <c:v>State Government Bond</c:v>
                </c:pt>
                <c:pt idx="8">
                  <c:v>Treasury Bill</c:v>
                </c:pt>
              </c:strCache>
            </c:strRef>
          </c:cat>
          <c:val>
            <c:numRef>
              <c:f>'BANDHAN LDF'!$K$9:$K$17</c:f>
              <c:numCache>
                <c:formatCode>0.00%</c:formatCode>
                <c:ptCount val="9"/>
                <c:pt idx="0">
                  <c:v>1.1485E-2</c:v>
                </c:pt>
                <c:pt idx="1">
                  <c:v>1.7697999999999998E-2</c:v>
                </c:pt>
                <c:pt idx="2">
                  <c:v>0.239811</c:v>
                </c:pt>
                <c:pt idx="3">
                  <c:v>0.380106</c:v>
                </c:pt>
                <c:pt idx="4">
                  <c:v>6.4466999999999997E-2</c:v>
                </c:pt>
                <c:pt idx="5">
                  <c:v>2.8410000000000002E-3</c:v>
                </c:pt>
                <c:pt idx="6">
                  <c:v>5.1798999999999998E-2</c:v>
                </c:pt>
                <c:pt idx="7">
                  <c:v>0.23161999999999999</c:v>
                </c:pt>
                <c:pt idx="8">
                  <c:v>1.73E-4</c:v>
                </c:pt>
              </c:numCache>
            </c:numRef>
          </c:val>
          <c:extLst>
            <c:ext xmlns:c16="http://schemas.microsoft.com/office/drawing/2014/chart" uri="{C3380CC4-5D6E-409C-BE32-E72D297353CC}">
              <c16:uniqueId val="{0000000C-621D-49CF-922A-28514ABD5E7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456026909912492"/>
                  <c:y val="-5.08849557522123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137-417D-A11E-FA4BD410FD7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MMF'!$G$8</c:f>
              <c:strCache>
                <c:ptCount val="1"/>
                <c:pt idx="0">
                  <c:v>AAA EQUIVALENT</c:v>
                </c:pt>
              </c:strCache>
            </c:strRef>
          </c:cat>
          <c:val>
            <c:numRef>
              <c:f>'BANDHAN MMF'!$H$8</c:f>
              <c:numCache>
                <c:formatCode>0%</c:formatCode>
                <c:ptCount val="1"/>
                <c:pt idx="0">
                  <c:v>1</c:v>
                </c:pt>
              </c:numCache>
            </c:numRef>
          </c:val>
          <c:extLst>
            <c:ext xmlns:c16="http://schemas.microsoft.com/office/drawing/2014/chart" uri="{C3380CC4-5D6E-409C-BE32-E72D297353CC}">
              <c16:uniqueId val="{0000000C-9137-417D-A11E-FA4BD410FD7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MMF'!$K$8</c:f>
              <c:strCache>
                <c:ptCount val="1"/>
                <c:pt idx="0">
                  <c:v>Total</c:v>
                </c:pt>
              </c:strCache>
            </c:strRef>
          </c:tx>
          <c:dLbls>
            <c:dLbl>
              <c:idx val="0"/>
              <c:layout>
                <c:manualLayout>
                  <c:x val="1.3564045928948389E-2"/>
                  <c:y val="-1.127269277539650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0DA-4E32-8E06-2B29E79B5A2F}"/>
                </c:ext>
              </c:extLst>
            </c:dLbl>
            <c:dLbl>
              <c:idx val="1"/>
              <c:layout>
                <c:manualLayout>
                  <c:x val="0.18676878719924464"/>
                  <c:y val="9.537822011021877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0DA-4E32-8E06-2B29E79B5A2F}"/>
                </c:ext>
              </c:extLst>
            </c:dLbl>
            <c:dLbl>
              <c:idx val="2"/>
              <c:layout>
                <c:manualLayout>
                  <c:x val="-8.201554570132695E-2"/>
                  <c:y val="0.2213338392941846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0DA-4E32-8E06-2B29E79B5A2F}"/>
                </c:ext>
              </c:extLst>
            </c:dLbl>
            <c:dLbl>
              <c:idx val="3"/>
              <c:layout>
                <c:manualLayout>
                  <c:x val="5.8161155979699543E-2"/>
                  <c:y val="0.2994081982906572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0DA-4E32-8E06-2B29E79B5A2F}"/>
                </c:ext>
              </c:extLst>
            </c:dLbl>
            <c:dLbl>
              <c:idx val="4"/>
              <c:layout>
                <c:manualLayout>
                  <c:x val="-2.0372624728118835E-2"/>
                  <c:y val="-8.64727341721934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E0DA-4E32-8E06-2B29E79B5A2F}"/>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E0DA-4E32-8E06-2B29E79B5A2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MMF'!$J$9:$J$14</c:f>
              <c:strCache>
                <c:ptCount val="6"/>
                <c:pt idx="0">
                  <c:v>Net Current Asset</c:v>
                </c:pt>
                <c:pt idx="1">
                  <c:v>TRI Party Repo</c:v>
                </c:pt>
                <c:pt idx="2">
                  <c:v>Certificate of Deposit</c:v>
                </c:pt>
                <c:pt idx="3">
                  <c:v>Commercial Paper</c:v>
                </c:pt>
                <c:pt idx="4">
                  <c:v>Corporate Debt Market Development Fund</c:v>
                </c:pt>
                <c:pt idx="5">
                  <c:v>Treasury Bill</c:v>
                </c:pt>
              </c:strCache>
            </c:strRef>
          </c:cat>
          <c:val>
            <c:numRef>
              <c:f>'BANDHAN MMF'!$K$9:$K$14</c:f>
              <c:numCache>
                <c:formatCode>0.00%</c:formatCode>
                <c:ptCount val="6"/>
                <c:pt idx="0">
                  <c:v>-3.4009999999999999E-3</c:v>
                </c:pt>
                <c:pt idx="1">
                  <c:v>2.0088000000000002E-2</c:v>
                </c:pt>
                <c:pt idx="2">
                  <c:v>0.60245899999999997</c:v>
                </c:pt>
                <c:pt idx="3">
                  <c:v>0.25309100000000001</c:v>
                </c:pt>
                <c:pt idx="4">
                  <c:v>1.928E-3</c:v>
                </c:pt>
                <c:pt idx="5">
                  <c:v>0.125835</c:v>
                </c:pt>
              </c:numCache>
            </c:numRef>
          </c:val>
          <c:extLst>
            <c:ext xmlns:c16="http://schemas.microsoft.com/office/drawing/2014/chart" uri="{C3380CC4-5D6E-409C-BE32-E72D297353CC}">
              <c16:uniqueId val="{0000000C-E0DA-4E32-8E06-2B29E79B5A2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2.2026431718061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39C-44B8-BE1C-3006D3C5354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USTF'!$G$8</c:f>
              <c:strCache>
                <c:ptCount val="1"/>
                <c:pt idx="0">
                  <c:v>AAA EQUIVALENT</c:v>
                </c:pt>
              </c:strCache>
            </c:strRef>
          </c:cat>
          <c:val>
            <c:numRef>
              <c:f>'BANDHAN USTF'!$H$8</c:f>
              <c:numCache>
                <c:formatCode>0%</c:formatCode>
                <c:ptCount val="1"/>
                <c:pt idx="0">
                  <c:v>1</c:v>
                </c:pt>
              </c:numCache>
            </c:numRef>
          </c:val>
          <c:extLst>
            <c:ext xmlns:c16="http://schemas.microsoft.com/office/drawing/2014/chart" uri="{C3380CC4-5D6E-409C-BE32-E72D297353CC}">
              <c16:uniqueId val="{0000000C-739C-44B8-BE1C-3006D3C5354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USTF'!$K$8</c:f>
              <c:strCache>
                <c:ptCount val="1"/>
                <c:pt idx="0">
                  <c:v>Total</c:v>
                </c:pt>
              </c:strCache>
            </c:strRef>
          </c:tx>
          <c:dLbls>
            <c:dLbl>
              <c:idx val="0"/>
              <c:layout>
                <c:manualLayout>
                  <c:x val="0.1507444907181035"/>
                  <c:y val="-2.2817413262128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E20-416B-99B5-C9C86BE6DB4C}"/>
                </c:ext>
              </c:extLst>
            </c:dLbl>
            <c:dLbl>
              <c:idx val="1"/>
              <c:layout>
                <c:manualLayout>
                  <c:x val="0.10361378542885566"/>
                  <c:y val="-5.45069569445747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E20-416B-99B5-C9C86BE6DB4C}"/>
                </c:ext>
              </c:extLst>
            </c:dLbl>
            <c:dLbl>
              <c:idx val="2"/>
              <c:layout>
                <c:manualLayout>
                  <c:x val="-0.133407408656359"/>
                  <c:y val="0.213101406744525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E20-416B-99B5-C9C86BE6DB4C}"/>
                </c:ext>
              </c:extLst>
            </c:dLbl>
            <c:dLbl>
              <c:idx val="3"/>
              <c:layout>
                <c:manualLayout>
                  <c:x val="2.0773575679913673E-2"/>
                  <c:y val="0.1574789500174883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E20-416B-99B5-C9C86BE6DB4C}"/>
                </c:ext>
              </c:extLst>
            </c:dLbl>
            <c:dLbl>
              <c:idx val="4"/>
              <c:layout>
                <c:manualLayout>
                  <c:x val="-9.4090441585594098E-2"/>
                  <c:y val="8.995316538845428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4E20-416B-99B5-C9C86BE6DB4C}"/>
                </c:ext>
              </c:extLst>
            </c:dLbl>
            <c:dLbl>
              <c:idx val="5"/>
              <c:layout>
                <c:manualLayout>
                  <c:x val="1.4714124331888921E-2"/>
                  <c:y val="-7.29111677941665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4E20-416B-99B5-C9C86BE6DB4C}"/>
                </c:ext>
              </c:extLst>
            </c:dLbl>
            <c:dLbl>
              <c:idx val="6"/>
              <c:layout>
                <c:manualLayout>
                  <c:x val="-0.20362036115935186"/>
                  <c:y val="-7.82651572670425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4E20-416B-99B5-C9C86BE6DB4C}"/>
                </c:ext>
              </c:extLst>
            </c:dLbl>
            <c:dLbl>
              <c:idx val="7"/>
              <c:layout>
                <c:manualLayout>
                  <c:x val="4.986098231297105E-2"/>
                  <c:y val="-7.04880524820637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4E20-416B-99B5-C9C86BE6DB4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USTF'!$J$9:$J$16</c:f>
              <c:strCache>
                <c:ptCount val="8"/>
                <c:pt idx="0">
                  <c:v>Net Current Asset</c:v>
                </c:pt>
                <c:pt idx="1">
                  <c:v>TRI Party Repo</c:v>
                </c:pt>
                <c:pt idx="2">
                  <c:v>Certificate of Deposit</c:v>
                </c:pt>
                <c:pt idx="3">
                  <c:v>Corporate Bond</c:v>
                </c:pt>
                <c:pt idx="4">
                  <c:v>Commercial Paper</c:v>
                </c:pt>
                <c:pt idx="5">
                  <c:v>Corporate Debt Market Development Fund</c:v>
                </c:pt>
                <c:pt idx="6">
                  <c:v>State Government Bond</c:v>
                </c:pt>
                <c:pt idx="7">
                  <c:v>Treasury Bill</c:v>
                </c:pt>
              </c:strCache>
            </c:strRef>
          </c:cat>
          <c:val>
            <c:numRef>
              <c:f>'BANDHAN USTF'!$K$9:$K$16</c:f>
              <c:numCache>
                <c:formatCode>0.00%</c:formatCode>
                <c:ptCount val="8"/>
                <c:pt idx="0">
                  <c:v>1.4736000000000001E-2</c:v>
                </c:pt>
                <c:pt idx="1">
                  <c:v>0.178172</c:v>
                </c:pt>
                <c:pt idx="2">
                  <c:v>0.287186</c:v>
                </c:pt>
                <c:pt idx="3">
                  <c:v>0.34513100000000002</c:v>
                </c:pt>
                <c:pt idx="4">
                  <c:v>0.10205599999999999</c:v>
                </c:pt>
                <c:pt idx="5">
                  <c:v>2.9329999999999998E-3</c:v>
                </c:pt>
                <c:pt idx="6">
                  <c:v>6.3685000000000005E-2</c:v>
                </c:pt>
                <c:pt idx="7">
                  <c:v>6.1009999999999997E-3</c:v>
                </c:pt>
              </c:numCache>
            </c:numRef>
          </c:val>
          <c:extLst>
            <c:ext xmlns:c16="http://schemas.microsoft.com/office/drawing/2014/chart" uri="{C3380CC4-5D6E-409C-BE32-E72D297353CC}">
              <c16:uniqueId val="{0000000C-4E20-416B-99B5-C9C86BE6DB4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920695004130909"/>
                  <c:y val="-3.16593886462882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9DD-4666-8A3E-3AE1F03F4E8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DBF'!$G$8</c:f>
              <c:strCache>
                <c:ptCount val="1"/>
                <c:pt idx="0">
                  <c:v>AAA EQUIVALENT</c:v>
                </c:pt>
              </c:strCache>
            </c:strRef>
          </c:cat>
          <c:val>
            <c:numRef>
              <c:f>'BANDHAN DBF'!$H$8</c:f>
              <c:numCache>
                <c:formatCode>0%</c:formatCode>
                <c:ptCount val="1"/>
                <c:pt idx="0">
                  <c:v>1</c:v>
                </c:pt>
              </c:numCache>
            </c:numRef>
          </c:val>
          <c:extLst>
            <c:ext xmlns:c16="http://schemas.microsoft.com/office/drawing/2014/chart" uri="{C3380CC4-5D6E-409C-BE32-E72D297353CC}">
              <c16:uniqueId val="{0000000C-89DD-4666-8A3E-3AE1F03F4E8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DBF'!$K$8</c:f>
              <c:strCache>
                <c:ptCount val="1"/>
                <c:pt idx="0">
                  <c:v>Total</c:v>
                </c:pt>
              </c:strCache>
            </c:strRef>
          </c:tx>
          <c:dLbls>
            <c:dLbl>
              <c:idx val="0"/>
              <c:layout>
                <c:manualLayout>
                  <c:x val="-0.22678606956785649"/>
                  <c:y val="-2.82558180227471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A03-41E5-9EB7-44AC3D483FF8}"/>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A03-41E5-9EB7-44AC3D483FF8}"/>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A03-41E5-9EB7-44AC3D483FF8}"/>
                </c:ext>
              </c:extLst>
            </c:dLbl>
            <c:dLbl>
              <c:idx val="3"/>
              <c:layout>
                <c:manualLayout>
                  <c:x val="-0.14989225918494664"/>
                  <c:y val="-3.35968503937007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A03-41E5-9EB7-44AC3D483FF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DBF'!$J$9:$J$12</c:f>
              <c:strCache>
                <c:ptCount val="4"/>
                <c:pt idx="0">
                  <c:v>Net Current Asset</c:v>
                </c:pt>
                <c:pt idx="1">
                  <c:v>TRI Party Repo</c:v>
                </c:pt>
                <c:pt idx="2">
                  <c:v>Corporate Debt Market Development Fund</c:v>
                </c:pt>
                <c:pt idx="3">
                  <c:v>Government Bond</c:v>
                </c:pt>
              </c:strCache>
            </c:strRef>
          </c:cat>
          <c:val>
            <c:numRef>
              <c:f>'BANDHAN DBF'!$K$9:$K$12</c:f>
              <c:numCache>
                <c:formatCode>0.00%</c:formatCode>
                <c:ptCount val="4"/>
                <c:pt idx="0">
                  <c:v>3.0862000000000001E-2</c:v>
                </c:pt>
                <c:pt idx="1">
                  <c:v>2.5799999999999998E-4</c:v>
                </c:pt>
                <c:pt idx="2">
                  <c:v>2.529E-3</c:v>
                </c:pt>
                <c:pt idx="3">
                  <c:v>0.96635099999999996</c:v>
                </c:pt>
              </c:numCache>
            </c:numRef>
          </c:val>
          <c:extLst>
            <c:ext xmlns:c16="http://schemas.microsoft.com/office/drawing/2014/chart" uri="{C3380CC4-5D6E-409C-BE32-E72D297353CC}">
              <c16:uniqueId val="{0000000C-FA03-41E5-9EB7-44AC3D483FF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2.72925764192139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436-4F4A-89BD-44B60F4220D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IP'!$G$8</c:f>
              <c:strCache>
                <c:ptCount val="1"/>
                <c:pt idx="0">
                  <c:v>AAA EQUIVALENT</c:v>
                </c:pt>
              </c:strCache>
            </c:strRef>
          </c:cat>
          <c:val>
            <c:numRef>
              <c:f>'BANDHAN BOND IP'!$H$8</c:f>
              <c:numCache>
                <c:formatCode>0%</c:formatCode>
                <c:ptCount val="1"/>
                <c:pt idx="0">
                  <c:v>1</c:v>
                </c:pt>
              </c:numCache>
            </c:numRef>
          </c:val>
          <c:extLst>
            <c:ext xmlns:c16="http://schemas.microsoft.com/office/drawing/2014/chart" uri="{C3380CC4-5D6E-409C-BE32-E72D297353CC}">
              <c16:uniqueId val="{0000000C-3436-4F4A-89BD-44B60F4220D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62F-436D-8B92-28321AF5BC2E}"/>
                </c:ext>
              </c:extLst>
            </c:dLbl>
            <c:dLbl>
              <c:idx val="1"/>
              <c:layout>
                <c:manualLayout>
                  <c:x val="-0.28069820769191861"/>
                  <c:y val="-1.603359580052493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62F-436D-8B92-28321AF5BC2E}"/>
                </c:ext>
              </c:extLst>
            </c:dLbl>
            <c:dLbl>
              <c:idx val="2"/>
              <c:layout>
                <c:manualLayout>
                  <c:x val="0.15595002444822884"/>
                  <c:y val="2.174418197725284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62F-436D-8B92-28321AF5BC2E}"/>
                </c:ext>
              </c:extLst>
            </c:dLbl>
            <c:dLbl>
              <c:idx val="3"/>
              <c:layout>
                <c:manualLayout>
                  <c:x val="-0.23470948759884672"/>
                  <c:y val="-1.69301837270341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62F-436D-8B92-28321AF5BC2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IP'!$J$9:$J$12</c:f>
              <c:strCache>
                <c:ptCount val="4"/>
                <c:pt idx="0">
                  <c:v>Net Current Asset</c:v>
                </c:pt>
                <c:pt idx="1">
                  <c:v>TRI Party Repo</c:v>
                </c:pt>
                <c:pt idx="2">
                  <c:v>Corporate Debt Market Development Fund</c:v>
                </c:pt>
                <c:pt idx="3">
                  <c:v>Government Bond</c:v>
                </c:pt>
              </c:strCache>
            </c:strRef>
          </c:cat>
          <c:val>
            <c:numRef>
              <c:f>'BANDHAN BOND IP'!$K$9:$K$12</c:f>
              <c:numCache>
                <c:formatCode>0.00%</c:formatCode>
                <c:ptCount val="4"/>
                <c:pt idx="0">
                  <c:v>1.2640999999999999E-2</c:v>
                </c:pt>
                <c:pt idx="1">
                  <c:v>2.9710000000000001E-3</c:v>
                </c:pt>
                <c:pt idx="2">
                  <c:v>2.5769999999999999E-3</c:v>
                </c:pt>
                <c:pt idx="3">
                  <c:v>0.98181099999999999</c:v>
                </c:pt>
              </c:numCache>
            </c:numRef>
          </c:val>
          <c:extLst>
            <c:ext xmlns:c16="http://schemas.microsoft.com/office/drawing/2014/chart" uri="{C3380CC4-5D6E-409C-BE32-E72D297353CC}">
              <c16:uniqueId val="{0000000C-162F-436D-8B92-28321AF5BC2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136969094066665"/>
                  <c:y val="-2.82608695652173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EC0-4FC0-BE51-9B66857CC1C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MT'!$G$8</c:f>
              <c:strCache>
                <c:ptCount val="1"/>
                <c:pt idx="0">
                  <c:v>AAA EQUIVALENT</c:v>
                </c:pt>
              </c:strCache>
            </c:strRef>
          </c:cat>
          <c:val>
            <c:numRef>
              <c:f>'BANDHAN BOND MT'!$H$8</c:f>
              <c:numCache>
                <c:formatCode>0%</c:formatCode>
                <c:ptCount val="1"/>
                <c:pt idx="0">
                  <c:v>1</c:v>
                </c:pt>
              </c:numCache>
            </c:numRef>
          </c:val>
          <c:extLst>
            <c:ext xmlns:c16="http://schemas.microsoft.com/office/drawing/2014/chart" uri="{C3380CC4-5D6E-409C-BE32-E72D297353CC}">
              <c16:uniqueId val="{0000000C-AEC0-4FC0-BE51-9B66857CC1C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MT'!$K$8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1AC-4EF8-99A2-3C75912A1A8D}"/>
                </c:ext>
              </c:extLst>
            </c:dLbl>
            <c:dLbl>
              <c:idx val="1"/>
              <c:layout>
                <c:manualLayout>
                  <c:x val="9.1838085282166276E-2"/>
                  <c:y val="-1.04780402449693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1AC-4EF8-99A2-3C75912A1A8D}"/>
                </c:ext>
              </c:extLst>
            </c:dLbl>
            <c:dLbl>
              <c:idx val="2"/>
              <c:layout>
                <c:manualLayout>
                  <c:x val="0.25070377177156922"/>
                  <c:y val="5.285529308836395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1AC-4EF8-99A2-3C75912A1A8D}"/>
                </c:ext>
              </c:extLst>
            </c:dLbl>
            <c:dLbl>
              <c:idx val="3"/>
              <c:layout>
                <c:manualLayout>
                  <c:x val="0.1608121027162826"/>
                  <c:y val="-8.04129483814523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1AC-4EF8-99A2-3C75912A1A8D}"/>
                </c:ext>
              </c:extLst>
            </c:dLbl>
            <c:dLbl>
              <c:idx val="4"/>
              <c:layout>
                <c:manualLayout>
                  <c:x val="-5.655086074626111E-2"/>
                  <c:y val="-5.03030621172353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E1AC-4EF8-99A2-3C75912A1A8D}"/>
                </c:ext>
              </c:extLst>
            </c:dLbl>
            <c:dLbl>
              <c:idx val="5"/>
              <c:layout>
                <c:manualLayout>
                  <c:x val="-0.26482742922659291"/>
                  <c:y val="-7.38113735783027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E1AC-4EF8-99A2-3C75912A1A8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MT'!$J$9:$J$14</c:f>
              <c:strCache>
                <c:ptCount val="6"/>
                <c:pt idx="0">
                  <c:v>Net Current Asset</c:v>
                </c:pt>
                <c:pt idx="1">
                  <c:v>TRI Party Repo</c:v>
                </c:pt>
                <c:pt idx="2">
                  <c:v>Corporate Debt Market Development Fund</c:v>
                </c:pt>
                <c:pt idx="3">
                  <c:v>Government Bond</c:v>
                </c:pt>
                <c:pt idx="4">
                  <c:v>PTC</c:v>
                </c:pt>
                <c:pt idx="5">
                  <c:v>State Government Bond</c:v>
                </c:pt>
              </c:strCache>
            </c:strRef>
          </c:cat>
          <c:val>
            <c:numRef>
              <c:f>'BANDHAN BOND MT'!$K$9:$K$14</c:f>
              <c:numCache>
                <c:formatCode>0.00%</c:formatCode>
                <c:ptCount val="6"/>
                <c:pt idx="0">
                  <c:v>9.2040000000000004E-3</c:v>
                </c:pt>
                <c:pt idx="1">
                  <c:v>5.9040000000000004E-3</c:v>
                </c:pt>
                <c:pt idx="2">
                  <c:v>2.99E-3</c:v>
                </c:pt>
                <c:pt idx="3">
                  <c:v>0.95400300000000005</c:v>
                </c:pt>
                <c:pt idx="4">
                  <c:v>8.9099999999999995E-3</c:v>
                </c:pt>
                <c:pt idx="5">
                  <c:v>1.8988999999999999E-2</c:v>
                </c:pt>
              </c:numCache>
            </c:numRef>
          </c:val>
          <c:extLst>
            <c:ext xmlns:c16="http://schemas.microsoft.com/office/drawing/2014/chart" uri="{C3380CC4-5D6E-409C-BE32-E72D297353CC}">
              <c16:uniqueId val="{0000000C-E1AC-4EF8-99A2-3C75912A1A8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F6B-49B6-A95E-08EF3C09A86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ST'!$G$8</c:f>
              <c:strCache>
                <c:ptCount val="1"/>
                <c:pt idx="0">
                  <c:v>AAA EQUIVALENT</c:v>
                </c:pt>
              </c:strCache>
            </c:strRef>
          </c:cat>
          <c:val>
            <c:numRef>
              <c:f>'BANDHAN BOND ST'!$H$8</c:f>
              <c:numCache>
                <c:formatCode>0%</c:formatCode>
                <c:ptCount val="1"/>
                <c:pt idx="0">
                  <c:v>1</c:v>
                </c:pt>
              </c:numCache>
            </c:numRef>
          </c:val>
          <c:extLst>
            <c:ext xmlns:c16="http://schemas.microsoft.com/office/drawing/2014/chart" uri="{C3380CC4-5D6E-409C-BE32-E72D297353CC}">
              <c16:uniqueId val="{0000000C-8F6B-49B6-A95E-08EF3C09A86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ST'!$K$8</c:f>
              <c:strCache>
                <c:ptCount val="1"/>
                <c:pt idx="0">
                  <c:v>Total</c:v>
                </c:pt>
              </c:strCache>
            </c:strRef>
          </c:tx>
          <c:dLbls>
            <c:dLbl>
              <c:idx val="0"/>
              <c:layout>
                <c:manualLayout>
                  <c:x val="-0.17242636024886607"/>
                  <c:y val="-1.14801264640614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1F7-49D6-A72C-FF2E5BA5D01E}"/>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1F7-49D6-A72C-FF2E5BA5D01E}"/>
                </c:ext>
              </c:extLst>
            </c:dLbl>
            <c:dLbl>
              <c:idx val="2"/>
              <c:layout>
                <c:manualLayout>
                  <c:x val="3.1283279097607447E-2"/>
                  <c:y val="-5.18050260039584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1F7-49D6-A72C-FF2E5BA5D01E}"/>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1F7-49D6-A72C-FF2E5BA5D01E}"/>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1F7-49D6-A72C-FF2E5BA5D01E}"/>
                </c:ext>
              </c:extLst>
            </c:dLbl>
            <c:dLbl>
              <c:idx val="5"/>
              <c:layout>
                <c:manualLayout>
                  <c:x val="-4.6876359405823735E-2"/>
                  <c:y val="0.2784279386186628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51F7-49D6-A72C-FF2E5BA5D01E}"/>
                </c:ext>
              </c:extLst>
            </c:dLbl>
            <c:dLbl>
              <c:idx val="6"/>
              <c:layout>
                <c:manualLayout>
                  <c:x val="3.4424539277344082E-2"/>
                  <c:y val="0.1491826960150111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51F7-49D6-A72C-FF2E5BA5D01E}"/>
                </c:ext>
              </c:extLst>
            </c:dLbl>
            <c:dLbl>
              <c:idx val="7"/>
              <c:layout>
                <c:manualLayout>
                  <c:x val="-0.217781618304136"/>
                  <c:y val="-5.17412798917001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51F7-49D6-A72C-FF2E5BA5D01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ST'!$J$9:$J$16</c:f>
              <c:strCache>
                <c:ptCount val="8"/>
                <c:pt idx="0">
                  <c:v>Net Current Asset</c:v>
                </c:pt>
                <c:pt idx="1">
                  <c:v>TRI Party Repo</c:v>
                </c:pt>
                <c:pt idx="2">
                  <c:v>Certificate of Deposit</c:v>
                </c:pt>
                <c:pt idx="3">
                  <c:v>Corporate Bond</c:v>
                </c:pt>
                <c:pt idx="4">
                  <c:v>Commercial Paper</c:v>
                </c:pt>
                <c:pt idx="5">
                  <c:v>Corporate Debt Market Development Fund</c:v>
                </c:pt>
                <c:pt idx="6">
                  <c:v>Government Bond</c:v>
                </c:pt>
                <c:pt idx="7">
                  <c:v>PTC</c:v>
                </c:pt>
              </c:strCache>
            </c:strRef>
          </c:cat>
          <c:val>
            <c:numRef>
              <c:f>'BANDHAN BOND ST'!$K$9:$K$16</c:f>
              <c:numCache>
                <c:formatCode>0.00%</c:formatCode>
                <c:ptCount val="8"/>
                <c:pt idx="0">
                  <c:v>2.0490000000000001E-2</c:v>
                </c:pt>
                <c:pt idx="1">
                  <c:v>4.7450000000000001E-3</c:v>
                </c:pt>
                <c:pt idx="2">
                  <c:v>4.7849000000000003E-2</c:v>
                </c:pt>
                <c:pt idx="3">
                  <c:v>0.10077700000000001</c:v>
                </c:pt>
                <c:pt idx="4">
                  <c:v>0.108505</c:v>
                </c:pt>
                <c:pt idx="5">
                  <c:v>2.7520000000000001E-3</c:v>
                </c:pt>
                <c:pt idx="6">
                  <c:v>0.71148100000000003</c:v>
                </c:pt>
                <c:pt idx="7">
                  <c:v>3.4009999999999999E-3</c:v>
                </c:pt>
              </c:numCache>
            </c:numRef>
          </c:val>
          <c:extLst>
            <c:ext xmlns:c16="http://schemas.microsoft.com/office/drawing/2014/chart" uri="{C3380CC4-5D6E-409C-BE32-E72D297353CC}">
              <c16:uniqueId val="{0000000C-51F7-49D6-A72C-FF2E5BA5D01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56309329106881"/>
                  <c:y val="-8.810572687224670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11D-4047-A980-F524594B6E0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BPDF'!$G$8</c:f>
              <c:strCache>
                <c:ptCount val="1"/>
                <c:pt idx="0">
                  <c:v>AAA EQUIVALENT</c:v>
                </c:pt>
              </c:strCache>
            </c:strRef>
          </c:cat>
          <c:val>
            <c:numRef>
              <c:f>'BANDHAN BPDF'!$H$8</c:f>
              <c:numCache>
                <c:formatCode>0%</c:formatCode>
                <c:ptCount val="1"/>
                <c:pt idx="0">
                  <c:v>1</c:v>
                </c:pt>
              </c:numCache>
            </c:numRef>
          </c:val>
          <c:extLst>
            <c:ext xmlns:c16="http://schemas.microsoft.com/office/drawing/2014/chart" uri="{C3380CC4-5D6E-409C-BE32-E72D297353CC}">
              <c16:uniqueId val="{0000000C-811D-4047-A980-F524594B6E0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BPDF'!$K$8</c:f>
              <c:strCache>
                <c:ptCount val="1"/>
                <c:pt idx="0">
                  <c:v>Total</c:v>
                </c:pt>
              </c:strCache>
            </c:strRef>
          </c:tx>
          <c:dLbls>
            <c:dLbl>
              <c:idx val="0"/>
              <c:layout>
                <c:manualLayout>
                  <c:x val="-1.6906456018479489E-2"/>
                  <c:y val="-6.320851114984672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47F-4C73-AEBA-264F9CDA2935}"/>
                </c:ext>
              </c:extLst>
            </c:dLbl>
            <c:dLbl>
              <c:idx val="1"/>
              <c:layout>
                <c:manualLayout>
                  <c:x val="0.28023166804363586"/>
                  <c:y val="-3.45227075623180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47F-4C73-AEBA-264F9CDA2935}"/>
                </c:ext>
              </c:extLst>
            </c:dLbl>
            <c:dLbl>
              <c:idx val="2"/>
              <c:layout>
                <c:manualLayout>
                  <c:x val="5.8130806454332391E-2"/>
                  <c:y val="-2.49481791875252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47F-4C73-AEBA-264F9CDA2935}"/>
                </c:ext>
              </c:extLst>
            </c:dLbl>
            <c:dLbl>
              <c:idx val="3"/>
              <c:layout>
                <c:manualLayout>
                  <c:x val="-9.9124247584683606E-2"/>
                  <c:y val="5.0192084768029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47F-4C73-AEBA-264F9CDA2935}"/>
                </c:ext>
              </c:extLst>
            </c:dLbl>
            <c:dLbl>
              <c:idx val="4"/>
              <c:layout>
                <c:manualLayout>
                  <c:x val="5.2275371360164559E-3"/>
                  <c:y val="0.5145639237843361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A47F-4C73-AEBA-264F9CDA2935}"/>
                </c:ext>
              </c:extLst>
            </c:dLbl>
            <c:dLbl>
              <c:idx val="5"/>
              <c:layout>
                <c:manualLayout>
                  <c:x val="-1.3980171643426799E-2"/>
                  <c:y val="-5.92981220858843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3429867305130755"/>
                      <c:h val="0.21374045801526717"/>
                    </c:manualLayout>
                  </c15:layout>
                </c:ext>
                <c:ext xmlns:c16="http://schemas.microsoft.com/office/drawing/2014/chart" uri="{C3380CC4-5D6E-409C-BE32-E72D297353CC}">
                  <c16:uniqueId val="{00000012-A47F-4C73-AEBA-264F9CDA2935}"/>
                </c:ext>
              </c:extLst>
            </c:dLbl>
            <c:dLbl>
              <c:idx val="6"/>
              <c:layout>
                <c:manualLayout>
                  <c:x val="-5.7225716164494435E-2"/>
                  <c:y val="-0.1957025219175847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A47F-4C73-AEBA-264F9CDA2935}"/>
                </c:ext>
              </c:extLst>
            </c:dLbl>
            <c:dLbl>
              <c:idx val="7"/>
              <c:layout>
                <c:manualLayout>
                  <c:x val="6.6694768079043655E-3"/>
                  <c:y val="-2.897843876385680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A47F-4C73-AEBA-264F9CDA293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BPDF'!$J$9:$J$16</c:f>
              <c:strCache>
                <c:ptCount val="8"/>
                <c:pt idx="0">
                  <c:v>Net Current Asset</c:v>
                </c:pt>
                <c:pt idx="1">
                  <c:v>TRI Party Repo</c:v>
                </c:pt>
                <c:pt idx="2">
                  <c:v>Certificate of Deposit</c:v>
                </c:pt>
                <c:pt idx="3">
                  <c:v>Corporate Bond</c:v>
                </c:pt>
                <c:pt idx="4">
                  <c:v>Commercial Paper</c:v>
                </c:pt>
                <c:pt idx="5">
                  <c:v>Corporate Debt Market Development Fund</c:v>
                </c:pt>
                <c:pt idx="6">
                  <c:v>Government Bond</c:v>
                </c:pt>
                <c:pt idx="7">
                  <c:v>State Government Bond</c:v>
                </c:pt>
              </c:strCache>
            </c:strRef>
          </c:cat>
          <c:val>
            <c:numRef>
              <c:f>'BANDHAN BPDF'!$K$9:$K$16</c:f>
              <c:numCache>
                <c:formatCode>0.00%</c:formatCode>
                <c:ptCount val="8"/>
                <c:pt idx="0">
                  <c:v>1.0083E-2</c:v>
                </c:pt>
                <c:pt idx="1">
                  <c:v>2.9399000000000002E-2</c:v>
                </c:pt>
                <c:pt idx="2">
                  <c:v>1.8121000000000002E-2</c:v>
                </c:pt>
                <c:pt idx="3">
                  <c:v>0.74700100000000003</c:v>
                </c:pt>
                <c:pt idx="4">
                  <c:v>3.2940000000000001E-3</c:v>
                </c:pt>
                <c:pt idx="5">
                  <c:v>2.4380000000000001E-3</c:v>
                </c:pt>
                <c:pt idx="6">
                  <c:v>0.13567000000000001</c:v>
                </c:pt>
                <c:pt idx="7">
                  <c:v>5.3994E-2</c:v>
                </c:pt>
              </c:numCache>
            </c:numRef>
          </c:val>
          <c:extLst>
            <c:ext xmlns:c16="http://schemas.microsoft.com/office/drawing/2014/chart" uri="{C3380CC4-5D6E-409C-BE32-E72D297353CC}">
              <c16:uniqueId val="{0000000C-A47F-4C73-AEBA-264F9CDA293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922836331754035"/>
                  <c:y val="-4.84581497797356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171-4DA2-944B-045A422BAF0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CBF'!$G$8</c:f>
              <c:strCache>
                <c:ptCount val="1"/>
                <c:pt idx="0">
                  <c:v>AAA EQUIVALENT</c:v>
                </c:pt>
              </c:strCache>
            </c:strRef>
          </c:cat>
          <c:val>
            <c:numRef>
              <c:f>'BANDHAN CBF'!$H$8</c:f>
              <c:numCache>
                <c:formatCode>0%</c:formatCode>
                <c:ptCount val="1"/>
                <c:pt idx="0">
                  <c:v>1</c:v>
                </c:pt>
              </c:numCache>
            </c:numRef>
          </c:val>
          <c:extLst>
            <c:ext xmlns:c16="http://schemas.microsoft.com/office/drawing/2014/chart" uri="{C3380CC4-5D6E-409C-BE32-E72D297353CC}">
              <c16:uniqueId val="{0000000C-C171-4DA2-944B-045A422BAF0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CBF'!$K$8</c:f>
              <c:strCache>
                <c:ptCount val="1"/>
                <c:pt idx="0">
                  <c:v>Total</c:v>
                </c:pt>
              </c:strCache>
            </c:strRef>
          </c:tx>
          <c:dLbls>
            <c:dLbl>
              <c:idx val="0"/>
              <c:layout>
                <c:manualLayout>
                  <c:x val="0.28493162926368681"/>
                  <c:y val="-9.886411648654783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46A-467D-B28B-34C2F5A29663}"/>
                </c:ext>
              </c:extLst>
            </c:dLbl>
            <c:dLbl>
              <c:idx val="1"/>
              <c:layout>
                <c:manualLayout>
                  <c:x val="7.95645686152186E-2"/>
                  <c:y val="-2.596295197024983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46A-467D-B28B-34C2F5A29663}"/>
                </c:ext>
              </c:extLst>
            </c:dLbl>
            <c:dLbl>
              <c:idx val="2"/>
              <c:layout>
                <c:manualLayout>
                  <c:x val="0.18143730293884572"/>
                  <c:y val="3.24486268484732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46A-467D-B28B-34C2F5A29663}"/>
                </c:ext>
              </c:extLst>
            </c:dLbl>
            <c:dLbl>
              <c:idx val="3"/>
              <c:layout>
                <c:manualLayout>
                  <c:x val="1.748023065639287E-2"/>
                  <c:y val="1.929675087731550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46A-467D-B28B-34C2F5A29663}"/>
                </c:ext>
              </c:extLst>
            </c:dLbl>
            <c:dLbl>
              <c:idx val="4"/>
              <c:layout>
                <c:manualLayout>
                  <c:x val="0.15439587583671954"/>
                  <c:y val="0.640649126176301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46A-467D-B28B-34C2F5A29663}"/>
                </c:ext>
              </c:extLst>
            </c:dLbl>
            <c:dLbl>
              <c:idx val="5"/>
              <c:layout>
                <c:manualLayout>
                  <c:x val="-0.10987759024768586"/>
                  <c:y val="-2.89124779579936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746A-467D-B28B-34C2F5A29663}"/>
                </c:ext>
              </c:extLst>
            </c:dLbl>
            <c:dLbl>
              <c:idx val="6"/>
              <c:layout>
                <c:manualLayout>
                  <c:x val="2.56080864624256E-2"/>
                  <c:y val="-0.1905417532342825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746A-467D-B28B-34C2F5A29663}"/>
                </c:ext>
              </c:extLst>
            </c:dLbl>
            <c:dLbl>
              <c:idx val="7"/>
              <c:layout>
                <c:manualLayout>
                  <c:x val="-0.11177376114923536"/>
                  <c:y val="0.5990142640152242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746A-467D-B28B-34C2F5A29663}"/>
                </c:ext>
              </c:extLst>
            </c:dLbl>
            <c:dLbl>
              <c:idx val="8"/>
              <c:layout>
                <c:manualLayout>
                  <c:x val="2.0514930280395891E-2"/>
                  <c:y val="-3.559474134469331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746A-467D-B28B-34C2F5A29663}"/>
                </c:ext>
              </c:extLst>
            </c:dLbl>
            <c:dLbl>
              <c:idx val="9"/>
              <c:layout>
                <c:manualLayout>
                  <c:x val="3.0780741540069805E-2"/>
                  <c:y val="-5.737730677235190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6-746A-467D-B28B-34C2F5A2966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CBF'!$J$9:$J$18</c:f>
              <c:strCache>
                <c:ptCount val="10"/>
                <c:pt idx="0">
                  <c:v>Net Current Asset</c:v>
                </c:pt>
                <c:pt idx="1">
                  <c:v>TRI Party Repo</c:v>
                </c:pt>
                <c:pt idx="2">
                  <c:v>Certificate of Deposit</c:v>
                </c:pt>
                <c:pt idx="3">
                  <c:v>Corporate Bond</c:v>
                </c:pt>
                <c:pt idx="4">
                  <c:v>Commercial Paper</c:v>
                </c:pt>
                <c:pt idx="5">
                  <c:v>Corporate Debt Market Development Fund</c:v>
                </c:pt>
                <c:pt idx="6">
                  <c:v>Government Bond</c:v>
                </c:pt>
                <c:pt idx="7">
                  <c:v>State Government Bond</c:v>
                </c:pt>
                <c:pt idx="8">
                  <c:v>Treasury Bill</c:v>
                </c:pt>
                <c:pt idx="9">
                  <c:v>Zero Coupon Bond</c:v>
                </c:pt>
              </c:strCache>
            </c:strRef>
          </c:cat>
          <c:val>
            <c:numRef>
              <c:f>'BANDHAN CBF'!$K$9:$K$18</c:f>
              <c:numCache>
                <c:formatCode>0.00%</c:formatCode>
                <c:ptCount val="10"/>
                <c:pt idx="0">
                  <c:v>2.4434000000000001E-2</c:v>
                </c:pt>
                <c:pt idx="1">
                  <c:v>1.367E-2</c:v>
                </c:pt>
                <c:pt idx="2">
                  <c:v>4.7768999999999999E-2</c:v>
                </c:pt>
                <c:pt idx="3">
                  <c:v>0.73529100000000003</c:v>
                </c:pt>
                <c:pt idx="4">
                  <c:v>7.0744000000000001E-2</c:v>
                </c:pt>
                <c:pt idx="5">
                  <c:v>2.7239999999999999E-3</c:v>
                </c:pt>
                <c:pt idx="6">
                  <c:v>3.5399999999999999E-4</c:v>
                </c:pt>
                <c:pt idx="7">
                  <c:v>2.8126000000000002E-2</c:v>
                </c:pt>
                <c:pt idx="8">
                  <c:v>7.4106000000000005E-2</c:v>
                </c:pt>
                <c:pt idx="9">
                  <c:v>2.7820000000000002E-3</c:v>
                </c:pt>
              </c:numCache>
            </c:numRef>
          </c:val>
          <c:extLst>
            <c:ext xmlns:c16="http://schemas.microsoft.com/office/drawing/2014/chart" uri="{C3380CC4-5D6E-409C-BE32-E72D297353CC}">
              <c16:uniqueId val="{0000000C-746A-467D-B28B-34C2F5A2966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4.7017231786069556E-2"/>
                  <c:y val="-1.112608740501322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3907383365087928"/>
                      <c:h val="0.16375545851528386"/>
                    </c:manualLayout>
                  </c15:layout>
                </c:ext>
                <c:ext xmlns:c16="http://schemas.microsoft.com/office/drawing/2014/chart" uri="{C3380CC4-5D6E-409C-BE32-E72D297353CC}">
                  <c16:uniqueId val="{0000000D-B912-4AC4-A920-F51D56C1DD09}"/>
                </c:ext>
              </c:extLst>
            </c:dLbl>
            <c:dLbl>
              <c:idx val="1"/>
              <c:layout>
                <c:manualLayout>
                  <c:x val="1.3813670775093156E-2"/>
                  <c:y val="-6.25716054052195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912-4AC4-A920-F51D56C1DD0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FRF'!$G$8:$G$9</c:f>
              <c:strCache>
                <c:ptCount val="2"/>
                <c:pt idx="0">
                  <c:v>AAA EQUIVALENT</c:v>
                </c:pt>
                <c:pt idx="1">
                  <c:v>AA+</c:v>
                </c:pt>
              </c:strCache>
            </c:strRef>
          </c:cat>
          <c:val>
            <c:numRef>
              <c:f>'BANDHAN FRF'!$H$8:$H$9</c:f>
              <c:numCache>
                <c:formatCode>0.00%</c:formatCode>
                <c:ptCount val="2"/>
                <c:pt idx="0">
                  <c:v>0.90250399999999997</c:v>
                </c:pt>
                <c:pt idx="1">
                  <c:v>9.7495999999999999E-2</c:v>
                </c:pt>
              </c:numCache>
            </c:numRef>
          </c:val>
          <c:extLst>
            <c:ext xmlns:c16="http://schemas.microsoft.com/office/drawing/2014/chart" uri="{C3380CC4-5D6E-409C-BE32-E72D297353CC}">
              <c16:uniqueId val="{0000000C-B912-4AC4-A920-F51D56C1DD0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816-47B3-98C1-CC08DBD2C79A}"/>
                </c:ext>
              </c:extLst>
            </c:dLbl>
            <c:dLbl>
              <c:idx val="1"/>
              <c:layout>
                <c:manualLayout>
                  <c:x val="7.3756090981132713E-2"/>
                  <c:y val="-8.118447323612540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816-47B3-98C1-CC08DBD2C79A}"/>
                </c:ext>
              </c:extLst>
            </c:dLbl>
            <c:dLbl>
              <c:idx val="2"/>
              <c:layout>
                <c:manualLayout>
                  <c:x val="2.1684567266350808E-2"/>
                  <c:y val="-3.793391358462189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816-47B3-98C1-CC08DBD2C79A}"/>
                </c:ext>
              </c:extLst>
            </c:dLbl>
            <c:dLbl>
              <c:idx val="3"/>
              <c:layout>
                <c:manualLayout>
                  <c:x val="7.2282958741506351E-2"/>
                  <c:y val="-2.0294735386397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816-47B3-98C1-CC08DBD2C79A}"/>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816-47B3-98C1-CC08DBD2C79A}"/>
                </c:ext>
              </c:extLst>
            </c:dLbl>
            <c:dLbl>
              <c:idx val="5"/>
              <c:layout>
                <c:manualLayout>
                  <c:x val="6.6246269537507257E-4"/>
                  <c:y val="-0.1638206695074202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357062165944461"/>
                      <c:h val="0.21514818880351264"/>
                    </c:manualLayout>
                  </c15:layout>
                </c:ext>
                <c:ext xmlns:c16="http://schemas.microsoft.com/office/drawing/2014/chart" uri="{C3380CC4-5D6E-409C-BE32-E72D297353CC}">
                  <c16:uniqueId val="{00000012-5816-47B3-98C1-CC08DBD2C79A}"/>
                </c:ext>
              </c:extLst>
            </c:dLbl>
            <c:dLbl>
              <c:idx val="6"/>
              <c:layout>
                <c:manualLayout>
                  <c:x val="7.3133419885683448E-2"/>
                  <c:y val="-5.40072776303620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5816-47B3-98C1-CC08DBD2C79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FRF'!$J$9:$J$15</c:f>
              <c:strCache>
                <c:ptCount val="7"/>
                <c:pt idx="0">
                  <c:v>Net Current Asset</c:v>
                </c:pt>
                <c:pt idx="1">
                  <c:v>TRI Party Repo</c:v>
                </c:pt>
                <c:pt idx="2">
                  <c:v>Certificate of Deposit</c:v>
                </c:pt>
                <c:pt idx="3">
                  <c:v>Corporate Bond</c:v>
                </c:pt>
                <c:pt idx="4">
                  <c:v>Commercial Paper</c:v>
                </c:pt>
                <c:pt idx="5">
                  <c:v>Corporate Debt Market Development Fund</c:v>
                </c:pt>
                <c:pt idx="6">
                  <c:v>Government Bond</c:v>
                </c:pt>
              </c:strCache>
            </c:strRef>
          </c:cat>
          <c:val>
            <c:numRef>
              <c:f>'BANDHAN FRF'!$K$9:$K$15</c:f>
              <c:numCache>
                <c:formatCode>0.00%</c:formatCode>
                <c:ptCount val="7"/>
                <c:pt idx="0">
                  <c:v>1.2409999999999999E-2</c:v>
                </c:pt>
                <c:pt idx="1">
                  <c:v>2.2367000000000001E-2</c:v>
                </c:pt>
                <c:pt idx="2">
                  <c:v>0.23519200000000001</c:v>
                </c:pt>
                <c:pt idx="3">
                  <c:v>0.35661599999999999</c:v>
                </c:pt>
                <c:pt idx="4">
                  <c:v>0.21463299999999999</c:v>
                </c:pt>
                <c:pt idx="5">
                  <c:v>4.2449999999999996E-3</c:v>
                </c:pt>
                <c:pt idx="6">
                  <c:v>0.15453700000000001</c:v>
                </c:pt>
              </c:numCache>
            </c:numRef>
          </c:val>
          <c:extLst>
            <c:ext xmlns:c16="http://schemas.microsoft.com/office/drawing/2014/chart" uri="{C3380CC4-5D6E-409C-BE32-E72D297353CC}">
              <c16:uniqueId val="{0000000C-5816-47B3-98C1-CC08DBD2C79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7.8332462189549645E-2"/>
                  <c:y val="0.204812168302750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090-42A6-8053-0DAC74F392E0}"/>
                </c:ext>
              </c:extLst>
            </c:dLbl>
            <c:dLbl>
              <c:idx val="1"/>
              <c:layout>
                <c:manualLayout>
                  <c:x val="2.5002697735588185E-2"/>
                  <c:y val="-9.743314024072982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6048710988214269"/>
                      <c:h val="0.16519823788546256"/>
                    </c:manualLayout>
                  </c15:layout>
                </c:ext>
                <c:ext xmlns:c16="http://schemas.microsoft.com/office/drawing/2014/chart" uri="{C3380CC4-5D6E-409C-BE32-E72D297353CC}">
                  <c16:uniqueId val="{0000000E-F090-42A6-8053-0DAC74F392E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CRF'!$G$8:$G$9</c:f>
              <c:strCache>
                <c:ptCount val="2"/>
                <c:pt idx="0">
                  <c:v>AA</c:v>
                </c:pt>
                <c:pt idx="1">
                  <c:v>AAA EQUIVALENT</c:v>
                </c:pt>
              </c:strCache>
            </c:strRef>
          </c:cat>
          <c:val>
            <c:numRef>
              <c:f>'BANDHAN CRF'!$H$8:$H$9</c:f>
              <c:numCache>
                <c:formatCode>0.00%</c:formatCode>
                <c:ptCount val="2"/>
                <c:pt idx="0">
                  <c:v>0.62067700000000003</c:v>
                </c:pt>
                <c:pt idx="1">
                  <c:v>0.37932300000000002</c:v>
                </c:pt>
              </c:numCache>
            </c:numRef>
          </c:val>
          <c:extLst>
            <c:ext xmlns:c16="http://schemas.microsoft.com/office/drawing/2014/chart" uri="{C3380CC4-5D6E-409C-BE32-E72D297353CC}">
              <c16:uniqueId val="{0000000C-F090-42A6-8053-0DAC74F392E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4E4-4FB8-BFAD-63EB0957E1AF}"/>
                </c:ext>
              </c:extLst>
            </c:dLbl>
            <c:dLbl>
              <c:idx val="1"/>
              <c:layout>
                <c:manualLayout>
                  <c:x val="9.6501542767539417E-2"/>
                  <c:y val="-4.2568273057771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4E4-4FB8-BFAD-63EB0957E1AF}"/>
                </c:ext>
              </c:extLst>
            </c:dLbl>
            <c:dLbl>
              <c:idx val="2"/>
              <c:layout>
                <c:manualLayout>
                  <c:x val="-8.2872076750577478E-2"/>
                  <c:y val="0.1671441616843846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4E4-4FB8-BFAD-63EB0957E1AF}"/>
                </c:ext>
              </c:extLst>
            </c:dLbl>
            <c:dLbl>
              <c:idx val="3"/>
              <c:layout>
                <c:manualLayout>
                  <c:x val="-2.2010150230150568E-2"/>
                  <c:y val="0.1842119953824152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250535331905781"/>
                      <c:h val="0.21334792122538293"/>
                    </c:manualLayout>
                  </c15:layout>
                </c:ext>
                <c:ext xmlns:c16="http://schemas.microsoft.com/office/drawing/2014/chart" uri="{C3380CC4-5D6E-409C-BE32-E72D297353CC}">
                  <c16:uniqueId val="{00000010-64E4-4FB8-BFAD-63EB0957E1AF}"/>
                </c:ext>
              </c:extLst>
            </c:dLbl>
            <c:dLbl>
              <c:idx val="4"/>
              <c:layout>
                <c:manualLayout>
                  <c:x val="8.0998415080341932E-2"/>
                  <c:y val="-0.1313024001102706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64E4-4FB8-BFAD-63EB0957E1AF}"/>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64E4-4FB8-BFAD-63EB0957E1A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CRF'!$J$9:$J$14</c:f>
              <c:strCache>
                <c:ptCount val="6"/>
                <c:pt idx="0">
                  <c:v>Net Current Asset</c:v>
                </c:pt>
                <c:pt idx="1">
                  <c:v>TRI Party Repo</c:v>
                </c:pt>
                <c:pt idx="2">
                  <c:v>Corporate Bond</c:v>
                </c:pt>
                <c:pt idx="3">
                  <c:v>Corporate Debt Market Development Fund</c:v>
                </c:pt>
                <c:pt idx="4">
                  <c:v>Government Bond</c:v>
                </c:pt>
                <c:pt idx="5">
                  <c:v>PTC</c:v>
                </c:pt>
              </c:strCache>
            </c:strRef>
          </c:cat>
          <c:val>
            <c:numRef>
              <c:f>'BANDHAN CRF'!$K$9:$K$14</c:f>
              <c:numCache>
                <c:formatCode>0.00%</c:formatCode>
                <c:ptCount val="6"/>
                <c:pt idx="0">
                  <c:v>2.7931000000000001E-2</c:v>
                </c:pt>
                <c:pt idx="1">
                  <c:v>1.634E-2</c:v>
                </c:pt>
                <c:pt idx="2">
                  <c:v>0.62067700000000003</c:v>
                </c:pt>
                <c:pt idx="3">
                  <c:v>3.5760000000000002E-3</c:v>
                </c:pt>
                <c:pt idx="4">
                  <c:v>0.25954100000000002</c:v>
                </c:pt>
                <c:pt idx="5">
                  <c:v>7.1934999999999999E-2</c:v>
                </c:pt>
              </c:numCache>
            </c:numRef>
          </c:val>
          <c:extLst>
            <c:ext xmlns:c16="http://schemas.microsoft.com/office/drawing/2014/chart" uri="{C3380CC4-5D6E-409C-BE32-E72D297353CC}">
              <c16:uniqueId val="{0000000C-64E4-4FB8-BFAD-63EB0957E1A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100574954897217"/>
                  <c:y val="-3.17982456140350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168625335109342"/>
                      <c:h val="0.16447368421052633"/>
                    </c:manualLayout>
                  </c15:layout>
                </c:ext>
                <c:ext xmlns:c16="http://schemas.microsoft.com/office/drawing/2014/chart" uri="{C3380CC4-5D6E-409C-BE32-E72D297353CC}">
                  <c16:uniqueId val="{0000000D-BED4-445E-9200-2522EB8EB25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GSF-IP'!$G$8</c:f>
              <c:strCache>
                <c:ptCount val="1"/>
                <c:pt idx="0">
                  <c:v>AAA EQUIVALENT</c:v>
                </c:pt>
              </c:strCache>
            </c:strRef>
          </c:cat>
          <c:val>
            <c:numRef>
              <c:f>'BANDHAN GSF-IP'!$H$8</c:f>
              <c:numCache>
                <c:formatCode>0%</c:formatCode>
                <c:ptCount val="1"/>
                <c:pt idx="0">
                  <c:v>1</c:v>
                </c:pt>
              </c:numCache>
            </c:numRef>
          </c:val>
          <c:extLst>
            <c:ext xmlns:c16="http://schemas.microsoft.com/office/drawing/2014/chart" uri="{C3380CC4-5D6E-409C-BE32-E72D297353CC}">
              <c16:uniqueId val="{0000000C-BED4-445E-9200-2522EB8EB25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50E-46E2-95D9-3873EE1A86B0}"/>
                </c:ext>
              </c:extLst>
            </c:dLbl>
            <c:dLbl>
              <c:idx val="1"/>
              <c:layout>
                <c:manualLayout>
                  <c:x val="9.1649665312178663E-2"/>
                  <c:y val="-1.1589151356080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50E-46E2-95D9-3873EE1A86B0}"/>
                </c:ext>
              </c:extLst>
            </c:dLbl>
            <c:dLbl>
              <c:idx val="2"/>
              <c:layout>
                <c:manualLayout>
                  <c:x val="-0.26709706789863258"/>
                  <c:y val="-3.47079615048118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50E-46E2-95D9-3873EE1A86B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GSF-IP'!$J$9:$J$11</c:f>
              <c:strCache>
                <c:ptCount val="3"/>
                <c:pt idx="0">
                  <c:v>Net Current Asset</c:v>
                </c:pt>
                <c:pt idx="1">
                  <c:v>TRI Party Repo</c:v>
                </c:pt>
                <c:pt idx="2">
                  <c:v>Government Bond</c:v>
                </c:pt>
              </c:strCache>
            </c:strRef>
          </c:cat>
          <c:val>
            <c:numRef>
              <c:f>'BANDHAN GSF-IP'!$K$9:$K$11</c:f>
              <c:numCache>
                <c:formatCode>0.00%</c:formatCode>
                <c:ptCount val="3"/>
                <c:pt idx="0">
                  <c:v>1.7513999999999998E-2</c:v>
                </c:pt>
                <c:pt idx="1">
                  <c:v>1.542E-3</c:v>
                </c:pt>
                <c:pt idx="2">
                  <c:v>0.98094400000000004</c:v>
                </c:pt>
              </c:numCache>
            </c:numRef>
          </c:val>
          <c:extLst>
            <c:ext xmlns:c16="http://schemas.microsoft.com/office/drawing/2014/chart" uri="{C3380CC4-5D6E-409C-BE32-E72D297353CC}">
              <c16:uniqueId val="{0000000C-E50E-46E2-95D9-3873EE1A86B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0567375946315067"/>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395449257279671"/>
                      <c:h val="0.16447368421052633"/>
                    </c:manualLayout>
                  </c15:layout>
                </c:ext>
                <c:ext xmlns:c16="http://schemas.microsoft.com/office/drawing/2014/chart" uri="{C3380CC4-5D6E-409C-BE32-E72D297353CC}">
                  <c16:uniqueId val="{0000000D-292E-4A51-AA9C-E975B3F087D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CMP'!$G$8</c:f>
              <c:strCache>
                <c:ptCount val="1"/>
                <c:pt idx="0">
                  <c:v>AAA EQUIVALENT</c:v>
                </c:pt>
              </c:strCache>
            </c:strRef>
          </c:cat>
          <c:val>
            <c:numRef>
              <c:f>'BANDHAN GSF - CMP'!$H$8</c:f>
              <c:numCache>
                <c:formatCode>0%</c:formatCode>
                <c:ptCount val="1"/>
                <c:pt idx="0">
                  <c:v>1</c:v>
                </c:pt>
              </c:numCache>
            </c:numRef>
          </c:val>
          <c:extLst>
            <c:ext xmlns:c16="http://schemas.microsoft.com/office/drawing/2014/chart" uri="{C3380CC4-5D6E-409C-BE32-E72D297353CC}">
              <c16:uniqueId val="{0000000C-292E-4A51-AA9C-E975B3F087D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A88-4E1C-922E-30E7CD5EAF5A}"/>
                </c:ext>
              </c:extLst>
            </c:dLbl>
            <c:dLbl>
              <c:idx val="1"/>
              <c:layout>
                <c:manualLayout>
                  <c:x val="0.12568278001652364"/>
                  <c:y val="-2.700262467191601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A88-4E1C-922E-30E7CD5EAF5A}"/>
                </c:ext>
              </c:extLst>
            </c:dLbl>
            <c:dLbl>
              <c:idx val="2"/>
              <c:layout>
                <c:manualLayout>
                  <c:x val="-0.18235874825068707"/>
                  <c:y val="-6.02635170603674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A88-4E1C-922E-30E7CD5EAF5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CMP'!$J$9:$J$11</c:f>
              <c:strCache>
                <c:ptCount val="3"/>
                <c:pt idx="0">
                  <c:v>Net Current Asset</c:v>
                </c:pt>
                <c:pt idx="1">
                  <c:v>TRI Party Repo</c:v>
                </c:pt>
                <c:pt idx="2">
                  <c:v>Government Bond</c:v>
                </c:pt>
              </c:strCache>
            </c:strRef>
          </c:cat>
          <c:val>
            <c:numRef>
              <c:f>'BANDHAN GSF - CMP'!$K$9:$K$11</c:f>
              <c:numCache>
                <c:formatCode>0.00%</c:formatCode>
                <c:ptCount val="3"/>
                <c:pt idx="0">
                  <c:v>1.3925E-2</c:v>
                </c:pt>
                <c:pt idx="1">
                  <c:v>1.6646000000000001E-2</c:v>
                </c:pt>
                <c:pt idx="2">
                  <c:v>0.96942899999999999</c:v>
                </c:pt>
              </c:numCache>
            </c:numRef>
          </c:val>
          <c:extLst>
            <c:ext xmlns:c16="http://schemas.microsoft.com/office/drawing/2014/chart" uri="{C3380CC4-5D6E-409C-BE32-E72D297353CC}">
              <c16:uniqueId val="{0000000C-DA88-4E1C-922E-30E7CD5EAF5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993500143317201"/>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DAD-460B-B90F-CD265040533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GIF26'!$G$8</c:f>
              <c:strCache>
                <c:ptCount val="1"/>
                <c:pt idx="0">
                  <c:v>AAA EQUIVALENT</c:v>
                </c:pt>
              </c:strCache>
            </c:strRef>
          </c:cat>
          <c:val>
            <c:numRef>
              <c:f>'BANDHAN GIF26'!$H$8</c:f>
              <c:numCache>
                <c:formatCode>0%</c:formatCode>
                <c:ptCount val="1"/>
                <c:pt idx="0">
                  <c:v>1</c:v>
                </c:pt>
              </c:numCache>
            </c:numRef>
          </c:val>
          <c:extLst>
            <c:ext xmlns:c16="http://schemas.microsoft.com/office/drawing/2014/chart" uri="{C3380CC4-5D6E-409C-BE32-E72D297353CC}">
              <c16:uniqueId val="{0000000C-ADAD-460B-B90F-CD265040533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883-4A46-AF96-29E32EE35D33}"/>
                </c:ext>
              </c:extLst>
            </c:dLbl>
            <c:dLbl>
              <c:idx val="1"/>
              <c:layout>
                <c:manualLayout>
                  <c:x val="0.11651806639801708"/>
                  <c:y val="-2.4922484689413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883-4A46-AF96-29E32EE35D33}"/>
                </c:ext>
              </c:extLst>
            </c:dLbl>
            <c:dLbl>
              <c:idx val="2"/>
              <c:layout>
                <c:manualLayout>
                  <c:x val="-0.2387244768922086"/>
                  <c:y val="-2.13746281714785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883-4A46-AF96-29E32EE35D3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GIF26'!$J$9:$J$11</c:f>
              <c:strCache>
                <c:ptCount val="3"/>
                <c:pt idx="0">
                  <c:v>Net Current Asset</c:v>
                </c:pt>
                <c:pt idx="1">
                  <c:v>TRI Party Repo</c:v>
                </c:pt>
                <c:pt idx="2">
                  <c:v>Government Bond</c:v>
                </c:pt>
              </c:strCache>
            </c:strRef>
          </c:cat>
          <c:val>
            <c:numRef>
              <c:f>'BANDHAN GIF26'!$K$9:$K$11</c:f>
              <c:numCache>
                <c:formatCode>0.00%</c:formatCode>
                <c:ptCount val="3"/>
                <c:pt idx="0">
                  <c:v>9.0069999999999994E-3</c:v>
                </c:pt>
                <c:pt idx="1">
                  <c:v>8.0350000000000005E-3</c:v>
                </c:pt>
                <c:pt idx="2">
                  <c:v>0.982958</c:v>
                </c:pt>
              </c:numCache>
            </c:numRef>
          </c:val>
          <c:extLst>
            <c:ext xmlns:c16="http://schemas.microsoft.com/office/drawing/2014/chart" uri="{C3380CC4-5D6E-409C-BE32-E72D297353CC}">
              <c16:uniqueId val="{0000000C-D883-4A46-AF96-29E32EE35D3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7087035694414"/>
                  <c:y val="-3.60262008733624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120-445A-B188-BC89A311E54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GIF2027'!$G$8</c:f>
              <c:strCache>
                <c:ptCount val="1"/>
                <c:pt idx="0">
                  <c:v>AAA EQUIVALENT</c:v>
                </c:pt>
              </c:strCache>
            </c:strRef>
          </c:cat>
          <c:val>
            <c:numRef>
              <c:f>'BANDHAN GIF2027'!$H$8</c:f>
              <c:numCache>
                <c:formatCode>0%</c:formatCode>
                <c:ptCount val="1"/>
                <c:pt idx="0">
                  <c:v>1</c:v>
                </c:pt>
              </c:numCache>
            </c:numRef>
          </c:val>
          <c:extLst>
            <c:ext xmlns:c16="http://schemas.microsoft.com/office/drawing/2014/chart" uri="{C3380CC4-5D6E-409C-BE32-E72D297353CC}">
              <c16:uniqueId val="{0000000C-3120-445A-B188-BC89A311E54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40C-4813-A6E2-E602C2E7CFD8}"/>
                </c:ext>
              </c:extLst>
            </c:dLbl>
            <c:dLbl>
              <c:idx val="1"/>
              <c:layout>
                <c:manualLayout>
                  <c:x val="9.0033047260955415E-2"/>
                  <c:y val="-2.927384076990376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40C-4813-A6E2-E602C2E7CFD8}"/>
                </c:ext>
              </c:extLst>
            </c:dLbl>
            <c:dLbl>
              <c:idx val="2"/>
              <c:layout>
                <c:manualLayout>
                  <c:x val="-0.21411893641774435"/>
                  <c:y val="-3.35968503937007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40C-4813-A6E2-E602C2E7CFD8}"/>
                </c:ext>
              </c:extLst>
            </c:dLbl>
            <c:dLbl>
              <c:idx val="3"/>
              <c:layout>
                <c:manualLayout>
                  <c:x val="-0.14356320288657709"/>
                  <c:y val="-4.04780402449693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40C-4813-A6E2-E602C2E7CFD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GIF2027'!$J$9:$J$12</c:f>
              <c:strCache>
                <c:ptCount val="4"/>
                <c:pt idx="0">
                  <c:v>Net Current Asset</c:v>
                </c:pt>
                <c:pt idx="1">
                  <c:v>TRI Party Repo</c:v>
                </c:pt>
                <c:pt idx="2">
                  <c:v>Government Bond</c:v>
                </c:pt>
                <c:pt idx="3">
                  <c:v>Treasury Bill</c:v>
                </c:pt>
              </c:strCache>
            </c:strRef>
          </c:cat>
          <c:val>
            <c:numRef>
              <c:f>'BANDHAN GIF2027'!$K$9:$K$12</c:f>
              <c:numCache>
                <c:formatCode>0.00%</c:formatCode>
                <c:ptCount val="4"/>
                <c:pt idx="0">
                  <c:v>2.5073999999999999E-2</c:v>
                </c:pt>
                <c:pt idx="1">
                  <c:v>4.7530000000000003E-3</c:v>
                </c:pt>
                <c:pt idx="2">
                  <c:v>0.96496099999999996</c:v>
                </c:pt>
                <c:pt idx="3">
                  <c:v>5.2119999999999996E-3</c:v>
                </c:pt>
              </c:numCache>
            </c:numRef>
          </c:val>
          <c:extLst>
            <c:ext xmlns:c16="http://schemas.microsoft.com/office/drawing/2014/chart" uri="{C3380CC4-5D6E-409C-BE32-E72D297353CC}">
              <c16:uniqueId val="{0000000C-B40C-4813-A6E2-E602C2E7CFD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7087035694414"/>
                  <c:y val="-1.85589519650655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41B-4484-85A2-211979F951F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GIF2028'!$G$8</c:f>
              <c:strCache>
                <c:ptCount val="1"/>
                <c:pt idx="0">
                  <c:v>AAA EQUIVALENT</c:v>
                </c:pt>
              </c:strCache>
            </c:strRef>
          </c:cat>
          <c:val>
            <c:numRef>
              <c:f>'BANDHAN GIF2028'!$H$8</c:f>
              <c:numCache>
                <c:formatCode>0%</c:formatCode>
                <c:ptCount val="1"/>
                <c:pt idx="0">
                  <c:v>1</c:v>
                </c:pt>
              </c:numCache>
            </c:numRef>
          </c:val>
          <c:extLst>
            <c:ext xmlns:c16="http://schemas.microsoft.com/office/drawing/2014/chart" uri="{C3380CC4-5D6E-409C-BE32-E72D297353CC}">
              <c16:uniqueId val="{0000000C-741B-4484-85A2-211979F951F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E21-45EC-8964-0C391990FCFB}"/>
                </c:ext>
              </c:extLst>
            </c:dLbl>
            <c:dLbl>
              <c:idx val="1"/>
              <c:layout>
                <c:manualLayout>
                  <c:x val="8.1733716636598161E-2"/>
                  <c:y val="-6.969728783902012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E21-45EC-8964-0C391990FCFB}"/>
                </c:ext>
              </c:extLst>
            </c:dLbl>
            <c:dLbl>
              <c:idx val="2"/>
              <c:layout>
                <c:manualLayout>
                  <c:x val="-0.26451364885599149"/>
                  <c:y val="5.29203849518810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E21-45EC-8964-0C391990FCFB}"/>
                </c:ext>
              </c:extLst>
            </c:dLbl>
            <c:dLbl>
              <c:idx val="3"/>
              <c:layout>
                <c:manualLayout>
                  <c:x val="-0.11706427355038865"/>
                  <c:y val="-4.04780402449693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E21-45EC-8964-0C391990FCF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GIF2028'!$J$9:$J$12</c:f>
              <c:strCache>
                <c:ptCount val="4"/>
                <c:pt idx="0">
                  <c:v>Net Current Asset</c:v>
                </c:pt>
                <c:pt idx="1">
                  <c:v>TRI Party Repo</c:v>
                </c:pt>
                <c:pt idx="2">
                  <c:v>Government Bond</c:v>
                </c:pt>
                <c:pt idx="3">
                  <c:v>Treasury Bill</c:v>
                </c:pt>
              </c:strCache>
            </c:strRef>
          </c:cat>
          <c:val>
            <c:numRef>
              <c:f>'BANDHAN GIF2028'!$K$9:$K$12</c:f>
              <c:numCache>
                <c:formatCode>0.00%</c:formatCode>
                <c:ptCount val="4"/>
                <c:pt idx="0">
                  <c:v>2.1568E-2</c:v>
                </c:pt>
                <c:pt idx="1">
                  <c:v>2.7550000000000001E-3</c:v>
                </c:pt>
                <c:pt idx="2">
                  <c:v>0.97106700000000001</c:v>
                </c:pt>
                <c:pt idx="3">
                  <c:v>4.6100000000000004E-3</c:v>
                </c:pt>
              </c:numCache>
            </c:numRef>
          </c:val>
          <c:extLst>
            <c:ext xmlns:c16="http://schemas.microsoft.com/office/drawing/2014/chart" uri="{C3380CC4-5D6E-409C-BE32-E72D297353CC}">
              <c16:uniqueId val="{0000000C-4E21-45EC-8964-0C391990FCF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FBA-4296-8562-AC7D2375139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GIF32'!$G$8</c:f>
              <c:strCache>
                <c:ptCount val="1"/>
                <c:pt idx="0">
                  <c:v>AAA EQUIVALENT</c:v>
                </c:pt>
              </c:strCache>
            </c:strRef>
          </c:cat>
          <c:val>
            <c:numRef>
              <c:f>'BANDHAN GIF32'!$H$8</c:f>
              <c:numCache>
                <c:formatCode>0%</c:formatCode>
                <c:ptCount val="1"/>
                <c:pt idx="0">
                  <c:v>1</c:v>
                </c:pt>
              </c:numCache>
            </c:numRef>
          </c:val>
          <c:extLst>
            <c:ext xmlns:c16="http://schemas.microsoft.com/office/drawing/2014/chart" uri="{C3380CC4-5D6E-409C-BE32-E72D297353CC}">
              <c16:uniqueId val="{0000000C-8FBA-4296-8562-AC7D2375139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27D-4C19-8522-92803F79E2D2}"/>
                </c:ext>
              </c:extLst>
            </c:dLbl>
            <c:dLbl>
              <c:idx val="1"/>
              <c:layout>
                <c:manualLayout>
                  <c:x val="9.6432581901566367E-2"/>
                  <c:y val="-6.969728783902012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27D-4C19-8522-92803F79E2D2}"/>
                </c:ext>
              </c:extLst>
            </c:dLbl>
            <c:dLbl>
              <c:idx val="2"/>
              <c:layout>
                <c:manualLayout>
                  <c:x val="-0.19164814783591022"/>
                  <c:y val="-4.2485739282589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27D-4C19-8522-92803F79E2D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GIF32'!$J$9:$J$11</c:f>
              <c:strCache>
                <c:ptCount val="3"/>
                <c:pt idx="0">
                  <c:v>Net Current Asset</c:v>
                </c:pt>
                <c:pt idx="1">
                  <c:v>TRI Party Repo</c:v>
                </c:pt>
                <c:pt idx="2">
                  <c:v>Government Bond</c:v>
                </c:pt>
              </c:strCache>
            </c:strRef>
          </c:cat>
          <c:val>
            <c:numRef>
              <c:f>'BANDHAN GIF32'!$K$9:$K$11</c:f>
              <c:numCache>
                <c:formatCode>0.00%</c:formatCode>
                <c:ptCount val="3"/>
                <c:pt idx="0">
                  <c:v>1.8807999999999998E-2</c:v>
                </c:pt>
                <c:pt idx="1">
                  <c:v>1.3422999999999999E-2</c:v>
                </c:pt>
                <c:pt idx="2">
                  <c:v>0.96776899999999999</c:v>
                </c:pt>
              </c:numCache>
            </c:numRef>
          </c:val>
          <c:extLst>
            <c:ext xmlns:c16="http://schemas.microsoft.com/office/drawing/2014/chart" uri="{C3380CC4-5D6E-409C-BE32-E72D297353CC}">
              <c16:uniqueId val="{0000000C-F27D-4C19-8522-92803F79E2D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922836331754035"/>
                  <c:y val="-2.72925764192139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0A5-4359-AEA9-FF61D766950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SDLGIF26'!$G$8</c:f>
              <c:strCache>
                <c:ptCount val="1"/>
                <c:pt idx="0">
                  <c:v>AAA EQUIVALENT</c:v>
                </c:pt>
              </c:strCache>
            </c:strRef>
          </c:cat>
          <c:val>
            <c:numRef>
              <c:f>'BANDHAN SDLGIF26'!$H$8</c:f>
              <c:numCache>
                <c:formatCode>0%</c:formatCode>
                <c:ptCount val="1"/>
                <c:pt idx="0">
                  <c:v>1</c:v>
                </c:pt>
              </c:numCache>
            </c:numRef>
          </c:val>
          <c:extLst>
            <c:ext xmlns:c16="http://schemas.microsoft.com/office/drawing/2014/chart" uri="{C3380CC4-5D6E-409C-BE32-E72D297353CC}">
              <c16:uniqueId val="{0000000C-90A5-4359-AEA9-FF61D766950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SDLGIF26'!$K$8</c:f>
              <c:strCache>
                <c:ptCount val="1"/>
                <c:pt idx="0">
                  <c:v>Total</c:v>
                </c:pt>
              </c:strCache>
            </c:strRef>
          </c:tx>
          <c:dLbls>
            <c:dLbl>
              <c:idx val="0"/>
              <c:layout>
                <c:manualLayout>
                  <c:x val="-0.16446517391964119"/>
                  <c:y val="-1.4922484689413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6D2-4112-86C8-F23585BE44D5}"/>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6D2-4112-86C8-F23585BE44D5}"/>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6D2-4112-86C8-F23585BE44D5}"/>
                </c:ext>
              </c:extLst>
            </c:dLbl>
            <c:dLbl>
              <c:idx val="3"/>
              <c:layout>
                <c:manualLayout>
                  <c:x val="7.3822691328466153E-2"/>
                  <c:y val="5.03184601924759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6D2-4112-86C8-F23585BE44D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SDLGIF26'!$J$9:$J$12</c:f>
              <c:strCache>
                <c:ptCount val="4"/>
                <c:pt idx="0">
                  <c:v>Net Current Asset</c:v>
                </c:pt>
                <c:pt idx="1">
                  <c:v>TRI Party Repo</c:v>
                </c:pt>
                <c:pt idx="2">
                  <c:v>Government Bond</c:v>
                </c:pt>
                <c:pt idx="3">
                  <c:v>State Government Bond</c:v>
                </c:pt>
              </c:strCache>
            </c:strRef>
          </c:cat>
          <c:val>
            <c:numRef>
              <c:f>'BANDHAN SDLGIF26'!$K$9:$K$12</c:f>
              <c:numCache>
                <c:formatCode>0.00%</c:formatCode>
                <c:ptCount val="4"/>
                <c:pt idx="0">
                  <c:v>1.9744999999999999E-2</c:v>
                </c:pt>
                <c:pt idx="1">
                  <c:v>1.8657E-2</c:v>
                </c:pt>
                <c:pt idx="2">
                  <c:v>0.13328799999999999</c:v>
                </c:pt>
                <c:pt idx="3">
                  <c:v>0.82830999999999999</c:v>
                </c:pt>
              </c:numCache>
            </c:numRef>
          </c:val>
          <c:extLst>
            <c:ext xmlns:c16="http://schemas.microsoft.com/office/drawing/2014/chart" uri="{C3380CC4-5D6E-409C-BE32-E72D297353CC}">
              <c16:uniqueId val="{0000000C-16D2-4112-86C8-F23585BE44D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2.29257641921397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304-4C20-B0B1-7B5C683D07C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SDLGIF27'!$G$8</c:f>
              <c:strCache>
                <c:ptCount val="1"/>
                <c:pt idx="0">
                  <c:v>AAA EQUIVALENT</c:v>
                </c:pt>
              </c:strCache>
            </c:strRef>
          </c:cat>
          <c:val>
            <c:numRef>
              <c:f>'BANDHAN SDLGIF27'!$H$8</c:f>
              <c:numCache>
                <c:formatCode>0%</c:formatCode>
                <c:ptCount val="1"/>
                <c:pt idx="0">
                  <c:v>1</c:v>
                </c:pt>
              </c:numCache>
            </c:numRef>
          </c:val>
          <c:extLst>
            <c:ext xmlns:c16="http://schemas.microsoft.com/office/drawing/2014/chart" uri="{C3380CC4-5D6E-409C-BE32-E72D297353CC}">
              <c16:uniqueId val="{0000000C-C304-4C20-B0B1-7B5C683D07C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69E-4B76-B1FB-C721E486FA18}"/>
                </c:ext>
              </c:extLst>
            </c:dLbl>
            <c:dLbl>
              <c:idx val="1"/>
              <c:layout>
                <c:manualLayout>
                  <c:x val="6.24633698089666E-2"/>
                  <c:y val="-4.038495188101487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69E-4B76-B1FB-C721E486FA18}"/>
                </c:ext>
              </c:extLst>
            </c:dLbl>
            <c:dLbl>
              <c:idx val="2"/>
              <c:layout>
                <c:manualLayout>
                  <c:x val="7.5442597244937529E-2"/>
                  <c:y val="-4.81301837270341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69E-4B76-B1FB-C721E486FA18}"/>
                </c:ext>
              </c:extLst>
            </c:dLbl>
            <c:dLbl>
              <c:idx val="3"/>
              <c:layout>
                <c:manualLayout>
                  <c:x val="7.1244667757001473E-2"/>
                  <c:y val="0.110258617672790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69E-4B76-B1FB-C721E486FA1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SDLGIF27'!$J$9:$J$12</c:f>
              <c:strCache>
                <c:ptCount val="4"/>
                <c:pt idx="0">
                  <c:v>Net Current Asset</c:v>
                </c:pt>
                <c:pt idx="1">
                  <c:v>TRI Party Repo</c:v>
                </c:pt>
                <c:pt idx="2">
                  <c:v>Government Bond</c:v>
                </c:pt>
                <c:pt idx="3">
                  <c:v>State Government Bond</c:v>
                </c:pt>
              </c:strCache>
            </c:strRef>
          </c:cat>
          <c:val>
            <c:numRef>
              <c:f>'BANDHAN SDLGIF27'!$K$9:$K$12</c:f>
              <c:numCache>
                <c:formatCode>0.00%</c:formatCode>
                <c:ptCount val="4"/>
                <c:pt idx="0">
                  <c:v>1.6638E-2</c:v>
                </c:pt>
                <c:pt idx="1">
                  <c:v>2.3755999999999999E-2</c:v>
                </c:pt>
                <c:pt idx="2">
                  <c:v>0.18416099999999999</c:v>
                </c:pt>
                <c:pt idx="3">
                  <c:v>0.77544500000000005</c:v>
                </c:pt>
              </c:numCache>
            </c:numRef>
          </c:val>
          <c:extLst>
            <c:ext xmlns:c16="http://schemas.microsoft.com/office/drawing/2014/chart" uri="{C3380CC4-5D6E-409C-BE32-E72D297353CC}">
              <c16:uniqueId val="{0000000C-969E-4B76-B1FB-C721E486FA1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565234618691936"/>
                  <c:y val="-3.16593886462882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240-4F99-9380-BBC5B332918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SDLGIF32'!$G$8</c:f>
              <c:strCache>
                <c:ptCount val="1"/>
                <c:pt idx="0">
                  <c:v>AAA EQUIVALENT</c:v>
                </c:pt>
              </c:strCache>
            </c:strRef>
          </c:cat>
          <c:val>
            <c:numRef>
              <c:f>'BANDHAN SDLGIF32'!$H$8</c:f>
              <c:numCache>
                <c:formatCode>0%</c:formatCode>
                <c:ptCount val="1"/>
                <c:pt idx="0">
                  <c:v>1</c:v>
                </c:pt>
              </c:numCache>
            </c:numRef>
          </c:val>
          <c:extLst>
            <c:ext xmlns:c16="http://schemas.microsoft.com/office/drawing/2014/chart" uri="{C3380CC4-5D6E-409C-BE32-E72D297353CC}">
              <c16:uniqueId val="{0000000C-7240-4F99-9380-BBC5B332918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SDLGIF32'!$K$8</c:f>
              <c:strCache>
                <c:ptCount val="1"/>
                <c:pt idx="0">
                  <c:v>Total</c:v>
                </c:pt>
              </c:strCache>
            </c:strRef>
          </c:tx>
          <c:dLbls>
            <c:dLbl>
              <c:idx val="0"/>
              <c:layout>
                <c:manualLayout>
                  <c:x val="-0.21040516616365137"/>
                  <c:y val="-2.270026246719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DF6-4947-822E-4D42E4C7C752}"/>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DF6-4947-822E-4D42E4C7C752}"/>
                </c:ext>
              </c:extLst>
            </c:dLbl>
            <c:dLbl>
              <c:idx val="2"/>
              <c:layout>
                <c:manualLayout>
                  <c:x val="9.3611087693267467E-2"/>
                  <c:y val="-4.1902362204724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DF6-4947-822E-4D42E4C7C752}"/>
                </c:ext>
              </c:extLst>
            </c:dLbl>
            <c:dLbl>
              <c:idx val="3"/>
              <c:layout>
                <c:manualLayout>
                  <c:x val="1.0545111197288775E-2"/>
                  <c:y val="-7.294138232720909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DF6-4947-822E-4D42E4C7C75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SDLGIF32'!$J$9:$J$12</c:f>
              <c:strCache>
                <c:ptCount val="4"/>
                <c:pt idx="0">
                  <c:v>Net Current Asset</c:v>
                </c:pt>
                <c:pt idx="1">
                  <c:v>TRI Party Repo</c:v>
                </c:pt>
                <c:pt idx="2">
                  <c:v>Government Bond</c:v>
                </c:pt>
                <c:pt idx="3">
                  <c:v>State Government Bond</c:v>
                </c:pt>
              </c:strCache>
            </c:strRef>
          </c:cat>
          <c:val>
            <c:numRef>
              <c:f>'BANDHAN SDLGIF32'!$K$9:$K$12</c:f>
              <c:numCache>
                <c:formatCode>0.00%</c:formatCode>
                <c:ptCount val="4"/>
                <c:pt idx="0">
                  <c:v>1.1939E-2</c:v>
                </c:pt>
                <c:pt idx="1">
                  <c:v>1.5505E-2</c:v>
                </c:pt>
                <c:pt idx="2">
                  <c:v>7.7340999999999993E-2</c:v>
                </c:pt>
                <c:pt idx="3">
                  <c:v>0.89521499999999998</c:v>
                </c:pt>
              </c:numCache>
            </c:numRef>
          </c:val>
          <c:extLst>
            <c:ext xmlns:c16="http://schemas.microsoft.com/office/drawing/2014/chart" uri="{C3380CC4-5D6E-409C-BE32-E72D297353CC}">
              <c16:uniqueId val="{0000000C-BDF6-4947-822E-4D42E4C7C75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99136724611779"/>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9A8-4618-A18D-89D6AB79861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ASBF'!$G$8</c:f>
              <c:strCache>
                <c:ptCount val="1"/>
                <c:pt idx="0">
                  <c:v>AAA EQUIVALENT</c:v>
                </c:pt>
              </c:strCache>
            </c:strRef>
          </c:cat>
          <c:val>
            <c:numRef>
              <c:f>'BANDHAN ASBF'!$H$8</c:f>
              <c:numCache>
                <c:formatCode>0%</c:formatCode>
                <c:ptCount val="1"/>
                <c:pt idx="0">
                  <c:v>1</c:v>
                </c:pt>
              </c:numCache>
            </c:numRef>
          </c:val>
          <c:extLst>
            <c:ext xmlns:c16="http://schemas.microsoft.com/office/drawing/2014/chart" uri="{C3380CC4-5D6E-409C-BE32-E72D297353CC}">
              <c16:uniqueId val="{0000000C-D9A8-4618-A18D-89D6AB79861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5B8-4C43-9390-A6822DD26D6C}"/>
                </c:ext>
              </c:extLst>
            </c:dLbl>
            <c:dLbl>
              <c:idx val="1"/>
              <c:layout>
                <c:manualLayout>
                  <c:x val="0.1532770743057546"/>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5B8-4C43-9390-A6822DD26D6C}"/>
                </c:ext>
              </c:extLst>
            </c:dLbl>
            <c:dLbl>
              <c:idx val="2"/>
              <c:layout>
                <c:manualLayout>
                  <c:x val="-0.22313223962636361"/>
                  <c:y val="-2.6351706036745404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5B8-4C43-9390-A6822DD26D6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ASBF'!$J$9:$J$11</c:f>
              <c:strCache>
                <c:ptCount val="3"/>
                <c:pt idx="0">
                  <c:v>Net Current Asset</c:v>
                </c:pt>
                <c:pt idx="1">
                  <c:v>TRI Party Repo</c:v>
                </c:pt>
                <c:pt idx="2">
                  <c:v>Mutual Fund Units</c:v>
                </c:pt>
              </c:strCache>
            </c:strRef>
          </c:cat>
          <c:val>
            <c:numRef>
              <c:f>'BANDHAN ASBF'!$K$9:$K$11</c:f>
              <c:numCache>
                <c:formatCode>0.00%</c:formatCode>
                <c:ptCount val="3"/>
                <c:pt idx="0">
                  <c:v>-4.84E-4</c:v>
                </c:pt>
                <c:pt idx="1">
                  <c:v>6.9849999999999999E-3</c:v>
                </c:pt>
                <c:pt idx="2">
                  <c:v>0.99349900000000002</c:v>
                </c:pt>
              </c:numCache>
            </c:numRef>
          </c:val>
          <c:extLst>
            <c:ext xmlns:c16="http://schemas.microsoft.com/office/drawing/2014/chart" uri="{C3380CC4-5D6E-409C-BE32-E72D297353CC}">
              <c16:uniqueId val="{0000000C-15B8-4C43-9390-A6822DD26D6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46D6-4744-A4B2-63094825C768}"/>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46D6-4744-A4B2-63094825C768}"/>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46D6-4744-A4B2-63094825C768}"/>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46D6-4744-A4B2-63094825C768}"/>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 US TB 0-1yr FOF'!$I$8:$I$10</c:f>
              <c:strCache>
                <c:ptCount val="3"/>
                <c:pt idx="0">
                  <c:v>International Mutual Fund Units</c:v>
                </c:pt>
                <c:pt idx="1">
                  <c:v>Net Current Asset</c:v>
                </c:pt>
                <c:pt idx="2">
                  <c:v>TRI Party Repo Total</c:v>
                </c:pt>
              </c:strCache>
            </c:strRef>
          </c:cat>
          <c:val>
            <c:numRef>
              <c:f>'BANDHAN US TB 0-1yr FOF'!$J$8:$J$10</c:f>
              <c:numCache>
                <c:formatCode>0.00%</c:formatCode>
                <c:ptCount val="3"/>
                <c:pt idx="0">
                  <c:v>1.0937589999999999</c:v>
                </c:pt>
                <c:pt idx="1">
                  <c:v>-0.18712899999999999</c:v>
                </c:pt>
                <c:pt idx="2">
                  <c:v>9.3369999999999995E-2</c:v>
                </c:pt>
              </c:numCache>
            </c:numRef>
          </c:val>
          <c:extLst>
            <c:ext xmlns:c16="http://schemas.microsoft.com/office/drawing/2014/chart" uri="{C3380CC4-5D6E-409C-BE32-E72D297353CC}">
              <c16:uniqueId val="{00000004-46D6-4744-A4B2-63094825C768}"/>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47.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CC6A93C4-0917-48EA-92D6-88A4F34058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16B9673-1A3A-4C45-8236-3EDE1F1FA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6DBD912C-51B8-4704-980D-6D9572AA4C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EA7E5CFC-B21B-49B5-A4EE-E86FA57B53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4ABBB150-5C39-49BB-BEBD-55D236D24C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1E96CA33-5430-4BE9-9E7B-951A71A33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A7E75BDA-7710-4780-9FB1-CCD2DB10E7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9FC5E490-BFE3-4A6A-A1DF-23D7CE72F2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9F3D2C73-9E71-4BAD-BBD3-361B2AD622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81C34C49-0EC4-41FE-BC65-2E17D23C3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A66224A5-48C5-4AA9-BCD4-F0F30DF707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34BC114-3CD0-4FBA-876A-9A3A890911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1EEB56D-5F28-4F7C-A35B-FEE53A945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385F1A8-E7AD-4EF5-BBD1-10BC2C6AC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61071A6B-D936-443A-A637-A2C3AB1909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66CCCF8-7FFA-4F0D-ACCC-7AB9A2BDE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30B1AC8-27B3-468C-B705-FB9916CF0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3DE2F9DA-E651-4DB0-A4F3-A694670560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6F7FC552-5AEE-4507-921B-4130D05A8D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3EE27775-4FAC-49C0-92FD-3754642A53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B25EF1D7-EB9C-405D-BCB6-113CCE143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19050</xdr:rowOff>
    </xdr:to>
    <xdr:graphicFrame macro="">
      <xdr:nvGraphicFramePr>
        <xdr:cNvPr id="3" name="Chart 2">
          <a:extLst>
            <a:ext uri="{FF2B5EF4-FFF2-40B4-BE49-F238E27FC236}">
              <a16:creationId xmlns:a16="http://schemas.microsoft.com/office/drawing/2014/main" id="{125D78F2-5345-43E3-BCA9-807B0CBB2D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DECCB99A-E8B5-455E-BECD-6D32098A33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59960881-9040-4EC8-AA2F-59B0F82025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99DF5844-F950-4565-BA18-D87D63D6F4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425B00CE-7F1C-49A6-9DD0-A1A97DD568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A4B13265-43DA-4740-8557-F1C3BE48E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F9BA050E-E09D-4C72-9242-10EA081E7A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4E58AFD6-B5BF-46F2-8F06-33EE9552EB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778B0E7-D8D5-4C92-AB17-D08FEFD531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2B8DE237-476B-43EF-B7A1-5141822CF5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A1FC3960-C919-4CD4-9B08-2A6F964A8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FECD6590-8973-454C-965C-422616BB6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4683DB5-4241-4B54-84C4-515028754F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35E5A1AC-28A1-4ACD-A704-A724E5D4D6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42ADA27-4BAB-4E2C-BD72-FF6644CA18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6B1342F9-E2C6-40ED-B2B1-54DFD9286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E59E223-F538-4072-BFED-0633EB289C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DDC740BA-08AD-4958-8489-42BB0C6CE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6634895-F1D5-4D08-ACE1-21585EA835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AEB0801-D0BF-4412-B1DE-2F1A4AD277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413681D-1C53-46A3-8D48-0E26B2870E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6395EF5B-AB96-49BB-82EE-A919F0D519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8DDFF850-7FAE-48A0-9767-942B683C00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F0173C12-F800-4A04-B81B-07128992B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ECEF6AA-A0DB-4EAA-B282-6851206715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9918BFA5-E8F1-413C-BC4D-D07355398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C311F-3939-4401-8D8C-54241C60CE53}">
  <dimension ref="B1:N49"/>
  <sheetViews>
    <sheetView showGridLines="0" tabSelected="1"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179</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180</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17</v>
      </c>
      <c r="H7" s="85"/>
      <c r="I7" s="85"/>
      <c r="J7" s="85"/>
      <c r="K7" s="85"/>
      <c r="L7" s="85"/>
      <c r="M7" s="85"/>
      <c r="N7" s="86"/>
    </row>
    <row r="8" spans="2:14" ht="15" customHeight="1" x14ac:dyDescent="0.25">
      <c r="B8" s="20"/>
      <c r="C8" s="5" t="s">
        <v>181</v>
      </c>
      <c r="D8" s="6" t="s">
        <v>48</v>
      </c>
      <c r="E8" s="11">
        <v>2.205E-2</v>
      </c>
      <c r="F8" s="1"/>
      <c r="G8" s="24" t="s">
        <v>16</v>
      </c>
      <c r="H8" s="25">
        <v>1</v>
      </c>
      <c r="I8" s="1"/>
      <c r="J8" s="24" t="s">
        <v>13</v>
      </c>
      <c r="K8" s="24" t="s">
        <v>5</v>
      </c>
      <c r="L8" s="1"/>
      <c r="M8" s="1"/>
      <c r="N8" s="18"/>
    </row>
    <row r="9" spans="2:14" ht="15" customHeight="1" x14ac:dyDescent="0.25">
      <c r="B9" s="20"/>
      <c r="C9" s="5" t="s">
        <v>182</v>
      </c>
      <c r="D9" s="6" t="s">
        <v>48</v>
      </c>
      <c r="E9" s="11">
        <v>1.5689000000000002E-2</v>
      </c>
      <c r="F9" s="1"/>
      <c r="G9" s="1"/>
      <c r="H9" s="1"/>
      <c r="I9" s="1"/>
      <c r="J9" s="24" t="s">
        <v>11</v>
      </c>
      <c r="K9" s="28">
        <v>-7.4999999999999993E-5</v>
      </c>
      <c r="L9" s="1"/>
      <c r="M9" s="1"/>
      <c r="N9" s="18"/>
    </row>
    <row r="10" spans="2:14" ht="15" customHeight="1" x14ac:dyDescent="0.25">
      <c r="B10" s="20"/>
      <c r="C10" s="5" t="s">
        <v>127</v>
      </c>
      <c r="D10" s="6" t="s">
        <v>48</v>
      </c>
      <c r="E10" s="11">
        <v>9.4380000000000002E-3</v>
      </c>
      <c r="F10" s="1"/>
      <c r="G10" s="1"/>
      <c r="H10" s="1"/>
      <c r="I10" s="1"/>
      <c r="J10" s="24" t="s">
        <v>14</v>
      </c>
      <c r="K10" s="28">
        <v>0.95289800000000002</v>
      </c>
      <c r="L10" s="1"/>
      <c r="M10" s="1"/>
      <c r="N10" s="18"/>
    </row>
    <row r="11" spans="2:14" ht="15.75" customHeight="1" x14ac:dyDescent="0.25">
      <c r="B11" s="20"/>
      <c r="C11" s="7" t="s">
        <v>92</v>
      </c>
      <c r="D11" s="8"/>
      <c r="E11" s="12">
        <v>4.7176999999999997E-2</v>
      </c>
      <c r="F11" s="1"/>
      <c r="G11" s="1"/>
      <c r="H11" s="1"/>
      <c r="I11" s="1"/>
      <c r="J11" s="24" t="s">
        <v>94</v>
      </c>
      <c r="K11" s="28">
        <v>4.7176999999999997E-2</v>
      </c>
      <c r="L11" s="1"/>
      <c r="M11" s="1"/>
      <c r="N11" s="18"/>
    </row>
    <row r="12" spans="2:14" ht="15" customHeight="1" x14ac:dyDescent="0.25">
      <c r="B12" s="20"/>
      <c r="C12" s="5" t="s">
        <v>9</v>
      </c>
      <c r="D12" s="6"/>
      <c r="E12" s="11">
        <v>0.95289800000000002</v>
      </c>
      <c r="F12" s="1"/>
      <c r="G12" s="1"/>
      <c r="H12" s="1"/>
      <c r="I12" s="1"/>
      <c r="J12" s="1"/>
      <c r="K12" s="1"/>
      <c r="L12" s="1"/>
      <c r="M12" s="1"/>
      <c r="N12" s="18"/>
    </row>
    <row r="13" spans="2:14" ht="15.75" customHeight="1" x14ac:dyDescent="0.25">
      <c r="B13" s="20"/>
      <c r="C13" s="7" t="s">
        <v>10</v>
      </c>
      <c r="D13" s="8"/>
      <c r="E13" s="12">
        <v>0.95289800000000002</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-7.4999999999999993E-5</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4" t="s">
        <v>323</v>
      </c>
      <c r="H24" s="85"/>
      <c r="I24" s="85"/>
      <c r="J24" s="85"/>
      <c r="K24" s="85"/>
      <c r="L24" s="63">
        <v>1.442777803916456</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4" t="s">
        <v>19</v>
      </c>
      <c r="H26" s="85"/>
      <c r="I26" s="85"/>
      <c r="J26" s="85"/>
      <c r="K26" s="85"/>
      <c r="L26" s="85"/>
      <c r="M26" s="85"/>
      <c r="N26" s="8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67" t="s">
        <v>295</v>
      </c>
      <c r="C45" s="68"/>
      <c r="D45" s="68"/>
      <c r="E45" s="68"/>
      <c r="F45" s="68"/>
      <c r="G45" s="68"/>
      <c r="H45" s="68"/>
      <c r="I45" s="68"/>
      <c r="J45" s="68"/>
      <c r="K45" s="68"/>
      <c r="L45" s="68"/>
      <c r="M45" s="68"/>
      <c r="N45" s="69"/>
    </row>
    <row r="46" spans="2:14" x14ac:dyDescent="0.25">
      <c r="B46" s="70"/>
      <c r="C46" s="71"/>
      <c r="D46" s="71"/>
      <c r="E46" s="71"/>
      <c r="F46" s="71"/>
      <c r="G46" s="71"/>
      <c r="H46" s="71"/>
      <c r="I46" s="71"/>
      <c r="J46" s="71"/>
      <c r="K46" s="71"/>
      <c r="L46" s="71"/>
      <c r="M46" s="71"/>
      <c r="N46" s="72"/>
    </row>
    <row r="47" spans="2:14" ht="15.75" thickBot="1" x14ac:dyDescent="0.3">
      <c r="B47" s="73"/>
      <c r="C47" s="74"/>
      <c r="D47" s="74"/>
      <c r="E47" s="74"/>
      <c r="F47" s="74"/>
      <c r="G47" s="74"/>
      <c r="H47" s="74"/>
      <c r="I47" s="74"/>
      <c r="J47" s="74"/>
      <c r="K47" s="74"/>
      <c r="L47" s="74"/>
      <c r="M47" s="74"/>
      <c r="N47" s="75"/>
    </row>
    <row r="48" spans="2:14" ht="15.75" thickBot="1" x14ac:dyDescent="0.3"/>
    <row r="49" spans="2:14" ht="121.5" customHeight="1" thickBot="1" x14ac:dyDescent="0.3">
      <c r="B49" s="76" t="s">
        <v>303</v>
      </c>
      <c r="C49" s="77"/>
      <c r="D49" s="77"/>
      <c r="E49" s="77"/>
      <c r="F49" s="77"/>
      <c r="G49" s="77"/>
      <c r="H49" s="77"/>
      <c r="I49" s="77"/>
      <c r="J49" s="77"/>
      <c r="K49" s="77"/>
      <c r="L49" s="77"/>
      <c r="M49" s="77"/>
      <c r="N49" s="78"/>
    </row>
  </sheetData>
  <mergeCells count="7">
    <mergeCell ref="B45:N47"/>
    <mergeCell ref="B49:N49"/>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12A62-36AD-46FD-825C-8F9E5D88B179}">
  <dimension ref="B1:N8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145</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146</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17</v>
      </c>
      <c r="H7" s="85"/>
      <c r="I7" s="85"/>
      <c r="J7" s="85"/>
      <c r="K7" s="85"/>
      <c r="L7" s="85"/>
      <c r="M7" s="85"/>
      <c r="N7" s="86"/>
    </row>
    <row r="8" spans="2:14" ht="15" customHeight="1" x14ac:dyDescent="0.25">
      <c r="B8" s="20"/>
      <c r="C8" s="5" t="s">
        <v>105</v>
      </c>
      <c r="D8" s="6" t="s">
        <v>23</v>
      </c>
      <c r="E8" s="11">
        <v>6.1742999999999999E-2</v>
      </c>
      <c r="F8" s="1"/>
      <c r="G8" s="24" t="s">
        <v>16</v>
      </c>
      <c r="H8" s="25">
        <v>1</v>
      </c>
      <c r="I8" s="1"/>
      <c r="J8" s="24" t="s">
        <v>13</v>
      </c>
      <c r="K8" s="24" t="s">
        <v>5</v>
      </c>
      <c r="L8" s="1"/>
      <c r="M8" s="1"/>
      <c r="N8" s="18"/>
    </row>
    <row r="9" spans="2:14" ht="15" customHeight="1" x14ac:dyDescent="0.25">
      <c r="B9" s="20"/>
      <c r="C9" s="5" t="s">
        <v>27</v>
      </c>
      <c r="D9" s="6" t="s">
        <v>23</v>
      </c>
      <c r="E9" s="11">
        <v>4.0536999999999997E-2</v>
      </c>
      <c r="F9" s="1"/>
      <c r="G9" s="1"/>
      <c r="H9" s="1"/>
      <c r="I9" s="1"/>
      <c r="J9" s="24" t="s">
        <v>11</v>
      </c>
      <c r="K9" s="28">
        <v>2.0200000000000001E-3</v>
      </c>
      <c r="L9" s="1"/>
      <c r="M9" s="1"/>
      <c r="N9" s="18"/>
    </row>
    <row r="10" spans="2:14" ht="15" customHeight="1" x14ac:dyDescent="0.25">
      <c r="B10" s="20"/>
      <c r="C10" s="5" t="s">
        <v>147</v>
      </c>
      <c r="D10" s="6" t="s">
        <v>23</v>
      </c>
      <c r="E10" s="11">
        <v>4.0460999999999997E-2</v>
      </c>
      <c r="F10" s="1"/>
      <c r="G10" s="1"/>
      <c r="H10" s="1"/>
      <c r="I10" s="1"/>
      <c r="J10" s="24" t="s">
        <v>14</v>
      </c>
      <c r="K10" s="28">
        <v>7.4051000000000006E-2</v>
      </c>
      <c r="L10" s="1"/>
      <c r="M10" s="1"/>
      <c r="N10" s="18"/>
    </row>
    <row r="11" spans="2:14" ht="15" customHeight="1" x14ac:dyDescent="0.25">
      <c r="B11" s="20"/>
      <c r="C11" s="5" t="s">
        <v>40</v>
      </c>
      <c r="D11" s="6" t="s">
        <v>23</v>
      </c>
      <c r="E11" s="11">
        <v>2.4598999999999999E-2</v>
      </c>
      <c r="F11" s="1"/>
      <c r="G11" s="1"/>
      <c r="H11" s="1"/>
      <c r="I11" s="1"/>
      <c r="J11" s="24" t="s">
        <v>53</v>
      </c>
      <c r="K11" s="28">
        <v>0.248</v>
      </c>
      <c r="L11" s="1"/>
      <c r="M11" s="1"/>
      <c r="N11" s="18"/>
    </row>
    <row r="12" spans="2:14" ht="15" customHeight="1" x14ac:dyDescent="0.25">
      <c r="B12" s="20"/>
      <c r="C12" s="5" t="s">
        <v>29</v>
      </c>
      <c r="D12" s="6" t="s">
        <v>23</v>
      </c>
      <c r="E12" s="11">
        <v>2.2655999999999999E-2</v>
      </c>
      <c r="F12" s="1"/>
      <c r="G12" s="1"/>
      <c r="H12" s="1"/>
      <c r="I12" s="1"/>
      <c r="J12" s="24" t="s">
        <v>54</v>
      </c>
      <c r="K12" s="28">
        <v>2.7976000000000001E-2</v>
      </c>
      <c r="L12" s="1"/>
      <c r="M12" s="1"/>
      <c r="N12" s="18"/>
    </row>
    <row r="13" spans="2:14" ht="15" customHeight="1" x14ac:dyDescent="0.25">
      <c r="B13" s="20"/>
      <c r="C13" s="5" t="s">
        <v>148</v>
      </c>
      <c r="D13" s="6" t="s">
        <v>23</v>
      </c>
      <c r="E13" s="11">
        <v>2.1160000000000002E-2</v>
      </c>
      <c r="F13" s="1"/>
      <c r="G13" s="1"/>
      <c r="H13" s="1"/>
      <c r="I13" s="1"/>
      <c r="J13" s="24" t="s">
        <v>55</v>
      </c>
      <c r="K13" s="28">
        <v>0.45395099999999999</v>
      </c>
      <c r="L13" s="1"/>
      <c r="M13" s="1"/>
      <c r="N13" s="18"/>
    </row>
    <row r="14" spans="2:14" ht="15" customHeight="1" x14ac:dyDescent="0.25">
      <c r="B14" s="20"/>
      <c r="C14" s="5" t="s">
        <v>43</v>
      </c>
      <c r="D14" s="6" t="s">
        <v>23</v>
      </c>
      <c r="E14" s="11">
        <v>2.1045999999999999E-2</v>
      </c>
      <c r="F14" s="1"/>
      <c r="G14" s="1"/>
      <c r="H14" s="1"/>
      <c r="I14" s="1"/>
      <c r="J14" s="24" t="s">
        <v>56</v>
      </c>
      <c r="K14" s="28">
        <v>1.9789999999999999E-3</v>
      </c>
      <c r="L14" s="1"/>
      <c r="M14" s="1"/>
      <c r="N14" s="18"/>
    </row>
    <row r="15" spans="2:14" ht="15" customHeight="1" x14ac:dyDescent="0.25">
      <c r="B15" s="20"/>
      <c r="C15" s="5" t="s">
        <v>31</v>
      </c>
      <c r="D15" s="6" t="s">
        <v>23</v>
      </c>
      <c r="E15" s="11">
        <v>1.4038E-2</v>
      </c>
      <c r="F15" s="1"/>
      <c r="G15" s="1"/>
      <c r="H15" s="1"/>
      <c r="I15" s="1"/>
      <c r="J15" s="24" t="s">
        <v>94</v>
      </c>
      <c r="K15" s="28">
        <v>0.192023</v>
      </c>
      <c r="L15" s="1"/>
      <c r="M15" s="1"/>
      <c r="N15" s="18"/>
    </row>
    <row r="16" spans="2:14" ht="15" customHeight="1" x14ac:dyDescent="0.25">
      <c r="B16" s="20"/>
      <c r="C16" s="5" t="s">
        <v>149</v>
      </c>
      <c r="D16" s="6" t="s">
        <v>23</v>
      </c>
      <c r="E16" s="11">
        <v>1.7600000000000001E-3</v>
      </c>
      <c r="F16" s="1"/>
      <c r="G16" s="1"/>
      <c r="H16" s="1"/>
      <c r="I16" s="1"/>
      <c r="J16" s="1"/>
      <c r="K16" s="1"/>
      <c r="L16" s="1"/>
      <c r="M16" s="1"/>
      <c r="N16" s="18"/>
    </row>
    <row r="17" spans="2:14" ht="15.75" customHeight="1" x14ac:dyDescent="0.25">
      <c r="B17" s="20"/>
      <c r="C17" s="7" t="s">
        <v>25</v>
      </c>
      <c r="D17" s="8"/>
      <c r="E17" s="12">
        <v>0.248</v>
      </c>
      <c r="F17" s="1"/>
      <c r="G17" s="1"/>
      <c r="H17" s="1"/>
      <c r="I17" s="1"/>
      <c r="J17" s="1"/>
      <c r="K17" s="1"/>
      <c r="L17" s="1"/>
      <c r="M17" s="1"/>
      <c r="N17" s="18"/>
    </row>
    <row r="18" spans="2:14" ht="15" customHeight="1" x14ac:dyDescent="0.25">
      <c r="B18" s="20"/>
      <c r="C18" s="5" t="s">
        <v>31</v>
      </c>
      <c r="D18" s="6" t="s">
        <v>23</v>
      </c>
      <c r="E18" s="11">
        <v>9.8524E-2</v>
      </c>
      <c r="F18" s="1"/>
      <c r="G18" s="1"/>
      <c r="H18" s="1"/>
      <c r="I18" s="1"/>
      <c r="J18" s="1"/>
      <c r="K18" s="1"/>
      <c r="L18" s="1"/>
      <c r="M18" s="1"/>
      <c r="N18" s="18"/>
    </row>
    <row r="19" spans="2:14" ht="15" customHeight="1" x14ac:dyDescent="0.25">
      <c r="B19" s="20"/>
      <c r="C19" s="5" t="s">
        <v>150</v>
      </c>
      <c r="D19" s="6" t="s">
        <v>23</v>
      </c>
      <c r="E19" s="11">
        <v>5.8172000000000001E-2</v>
      </c>
      <c r="F19" s="1"/>
      <c r="G19" s="1"/>
      <c r="H19" s="1"/>
      <c r="I19" s="1"/>
      <c r="J19" s="1"/>
      <c r="K19" s="1"/>
      <c r="L19" s="1"/>
      <c r="M19" s="1"/>
      <c r="N19" s="18"/>
    </row>
    <row r="20" spans="2:14" ht="15" customHeight="1" x14ac:dyDescent="0.25">
      <c r="B20" s="20"/>
      <c r="C20" s="5" t="s">
        <v>76</v>
      </c>
      <c r="D20" s="6" t="s">
        <v>23</v>
      </c>
      <c r="E20" s="11">
        <v>5.8122E-2</v>
      </c>
      <c r="F20" s="1"/>
      <c r="G20" s="1"/>
      <c r="H20" s="1"/>
      <c r="I20" s="1"/>
      <c r="J20" s="1"/>
      <c r="K20" s="1"/>
      <c r="L20" s="1"/>
      <c r="M20" s="1"/>
      <c r="N20" s="18"/>
    </row>
    <row r="21" spans="2:14" ht="15" customHeight="1" x14ac:dyDescent="0.25">
      <c r="B21" s="20"/>
      <c r="C21" s="5" t="s">
        <v>29</v>
      </c>
      <c r="D21" s="6" t="s">
        <v>23</v>
      </c>
      <c r="E21" s="11">
        <v>4.2220000000000001E-2</v>
      </c>
      <c r="F21" s="1"/>
      <c r="G21" s="1"/>
      <c r="H21" s="1"/>
      <c r="I21" s="1"/>
      <c r="J21" s="1"/>
      <c r="K21" s="1"/>
      <c r="L21" s="1"/>
      <c r="M21" s="1"/>
      <c r="N21" s="18"/>
    </row>
    <row r="22" spans="2:14" ht="15" customHeight="1" x14ac:dyDescent="0.25">
      <c r="B22" s="20"/>
      <c r="C22" s="5" t="s">
        <v>83</v>
      </c>
      <c r="D22" s="6" t="s">
        <v>23</v>
      </c>
      <c r="E22" s="11">
        <v>4.0647000000000003E-2</v>
      </c>
      <c r="F22" s="1"/>
      <c r="G22" s="1"/>
      <c r="H22" s="1"/>
      <c r="I22" s="1"/>
      <c r="J22" s="1"/>
      <c r="K22" s="1"/>
      <c r="L22" s="1"/>
      <c r="M22" s="1"/>
      <c r="N22" s="18"/>
    </row>
    <row r="23" spans="2:14" ht="15" customHeight="1" x14ac:dyDescent="0.25">
      <c r="B23" s="20"/>
      <c r="C23" s="5" t="s">
        <v>151</v>
      </c>
      <c r="D23" s="6" t="s">
        <v>23</v>
      </c>
      <c r="E23" s="11">
        <v>2.8192999999999999E-2</v>
      </c>
      <c r="F23" s="1"/>
      <c r="G23" s="1"/>
      <c r="H23" s="1"/>
      <c r="I23" s="1"/>
      <c r="J23" s="1"/>
      <c r="K23" s="1"/>
      <c r="L23" s="1"/>
      <c r="M23" s="1"/>
      <c r="N23" s="18"/>
    </row>
    <row r="24" spans="2:14" ht="15" customHeight="1" x14ac:dyDescent="0.25">
      <c r="B24" s="20"/>
      <c r="C24" s="5" t="s">
        <v>152</v>
      </c>
      <c r="D24" s="6" t="s">
        <v>23</v>
      </c>
      <c r="E24" s="11">
        <v>2.8125000000000001E-2</v>
      </c>
      <c r="F24" s="1"/>
      <c r="G24" s="84" t="s">
        <v>130</v>
      </c>
      <c r="H24" s="85"/>
      <c r="I24" s="85"/>
      <c r="J24" s="85"/>
      <c r="K24" s="85"/>
      <c r="L24" s="65">
        <v>36.078876294749918</v>
      </c>
      <c r="M24" s="26"/>
      <c r="N24" s="27"/>
    </row>
    <row r="25" spans="2:14" ht="15" customHeight="1" x14ac:dyDescent="0.25">
      <c r="B25" s="20"/>
      <c r="C25" s="5" t="s">
        <v>153</v>
      </c>
      <c r="D25" s="6" t="s">
        <v>23</v>
      </c>
      <c r="E25" s="11">
        <v>2.8042999999999998E-2</v>
      </c>
      <c r="F25" s="1"/>
      <c r="G25" s="1"/>
      <c r="H25" s="1"/>
      <c r="I25" s="1"/>
      <c r="J25" s="1"/>
      <c r="K25" s="1"/>
      <c r="L25" s="1"/>
      <c r="M25" s="1"/>
      <c r="N25" s="18"/>
    </row>
    <row r="26" spans="2:14" ht="15" customHeight="1" x14ac:dyDescent="0.25">
      <c r="B26" s="20"/>
      <c r="C26" s="5" t="s">
        <v>27</v>
      </c>
      <c r="D26" s="6" t="s">
        <v>23</v>
      </c>
      <c r="E26" s="11">
        <v>2.0763E-2</v>
      </c>
      <c r="F26" s="1"/>
      <c r="G26" s="84" t="s">
        <v>19</v>
      </c>
      <c r="H26" s="85"/>
      <c r="I26" s="85"/>
      <c r="J26" s="85"/>
      <c r="K26" s="85"/>
      <c r="L26" s="85"/>
      <c r="M26" s="85"/>
      <c r="N26" s="86"/>
    </row>
    <row r="27" spans="2:14" ht="15" customHeight="1" x14ac:dyDescent="0.25">
      <c r="B27" s="20"/>
      <c r="C27" s="5" t="s">
        <v>34</v>
      </c>
      <c r="D27" s="6" t="s">
        <v>23</v>
      </c>
      <c r="E27" s="11">
        <v>1.7651E-2</v>
      </c>
      <c r="F27" s="1"/>
      <c r="G27" s="1"/>
      <c r="H27" s="1"/>
      <c r="I27" s="1"/>
      <c r="J27" s="1"/>
      <c r="K27" s="1"/>
      <c r="L27" s="1"/>
      <c r="M27" s="1"/>
      <c r="N27" s="18"/>
    </row>
    <row r="28" spans="2:14" ht="15" customHeight="1" x14ac:dyDescent="0.25">
      <c r="B28" s="20"/>
      <c r="C28" s="5" t="s">
        <v>154</v>
      </c>
      <c r="D28" s="6" t="s">
        <v>23</v>
      </c>
      <c r="E28" s="11">
        <v>8.8170000000000002E-3</v>
      </c>
      <c r="F28" s="1"/>
      <c r="G28" s="1"/>
      <c r="H28" s="1"/>
      <c r="I28" s="1"/>
      <c r="J28" s="1"/>
      <c r="K28" s="1"/>
      <c r="L28" s="1"/>
      <c r="M28" s="1"/>
      <c r="N28" s="18"/>
    </row>
    <row r="29" spans="2:14" ht="15" customHeight="1" x14ac:dyDescent="0.25">
      <c r="B29" s="20"/>
      <c r="C29" s="5" t="s">
        <v>155</v>
      </c>
      <c r="D29" s="6" t="s">
        <v>23</v>
      </c>
      <c r="E29" s="11">
        <v>8.7930000000000005E-3</v>
      </c>
      <c r="F29" s="1"/>
      <c r="G29" s="1"/>
      <c r="H29" s="1"/>
      <c r="I29" s="1"/>
      <c r="J29" s="1"/>
      <c r="K29" s="1"/>
      <c r="L29" s="1"/>
      <c r="M29" s="1"/>
      <c r="N29" s="18"/>
    </row>
    <row r="30" spans="2:14" ht="15" customHeight="1" x14ac:dyDescent="0.25">
      <c r="B30" s="20"/>
      <c r="C30" s="5" t="s">
        <v>87</v>
      </c>
      <c r="D30" s="6" t="s">
        <v>23</v>
      </c>
      <c r="E30" s="11">
        <v>7.0740000000000004E-3</v>
      </c>
      <c r="F30" s="1"/>
      <c r="G30" s="1"/>
      <c r="H30" s="1"/>
      <c r="I30" s="1"/>
      <c r="J30" s="1"/>
      <c r="K30" s="1"/>
      <c r="L30" s="1"/>
      <c r="M30" s="1"/>
      <c r="N30" s="18"/>
    </row>
    <row r="31" spans="2:14" ht="15" customHeight="1" x14ac:dyDescent="0.25">
      <c r="B31" s="20"/>
      <c r="C31" s="5" t="s">
        <v>156</v>
      </c>
      <c r="D31" s="6" t="s">
        <v>23</v>
      </c>
      <c r="E31" s="11">
        <v>7.0460000000000002E-3</v>
      </c>
      <c r="F31" s="1"/>
      <c r="G31" s="1"/>
      <c r="H31" s="1"/>
      <c r="I31" s="1"/>
      <c r="J31" s="1"/>
      <c r="K31" s="1"/>
      <c r="L31" s="1"/>
      <c r="M31" s="1"/>
      <c r="N31" s="18"/>
    </row>
    <row r="32" spans="2:14" ht="15" customHeight="1" x14ac:dyDescent="0.25">
      <c r="B32" s="20"/>
      <c r="C32" s="5" t="s">
        <v>86</v>
      </c>
      <c r="D32" s="6" t="s">
        <v>23</v>
      </c>
      <c r="E32" s="11">
        <v>1.761E-3</v>
      </c>
      <c r="F32" s="1"/>
      <c r="G32" s="1"/>
      <c r="H32" s="1"/>
      <c r="I32" s="1"/>
      <c r="J32" s="1"/>
      <c r="K32" s="1"/>
      <c r="L32" s="1"/>
      <c r="M32" s="1"/>
      <c r="N32" s="18"/>
    </row>
    <row r="33" spans="2:14" ht="15.75" customHeight="1" x14ac:dyDescent="0.25">
      <c r="B33" s="20"/>
      <c r="C33" s="7" t="s">
        <v>26</v>
      </c>
      <c r="D33" s="8"/>
      <c r="E33" s="12">
        <v>0.45395099999999999</v>
      </c>
      <c r="F33" s="1"/>
      <c r="G33" s="1"/>
      <c r="H33" s="1"/>
      <c r="I33" s="1"/>
      <c r="J33" s="1"/>
      <c r="K33" s="1"/>
      <c r="L33" s="1"/>
      <c r="M33" s="1"/>
      <c r="N33" s="18"/>
    </row>
    <row r="34" spans="2:14" ht="15" customHeight="1" x14ac:dyDescent="0.25">
      <c r="B34" s="20"/>
      <c r="C34" s="5" t="s">
        <v>27</v>
      </c>
      <c r="D34" s="6" t="s">
        <v>28</v>
      </c>
      <c r="E34" s="11">
        <v>1.5953999999999999E-2</v>
      </c>
      <c r="F34" s="1"/>
      <c r="G34" s="1"/>
      <c r="H34" s="1"/>
      <c r="I34" s="1"/>
      <c r="J34" s="1"/>
      <c r="K34" s="1"/>
      <c r="L34" s="1"/>
      <c r="M34" s="1"/>
      <c r="N34" s="18"/>
    </row>
    <row r="35" spans="2:14" ht="15" customHeight="1" x14ac:dyDescent="0.25">
      <c r="B35" s="20"/>
      <c r="C35" s="5" t="s">
        <v>156</v>
      </c>
      <c r="D35" s="6" t="s">
        <v>28</v>
      </c>
      <c r="E35" s="11">
        <v>5.6559999999999996E-3</v>
      </c>
      <c r="F35" s="1"/>
      <c r="G35" s="1"/>
      <c r="H35" s="1"/>
      <c r="I35" s="1"/>
      <c r="J35" s="1"/>
      <c r="K35" s="1"/>
      <c r="L35" s="1"/>
      <c r="M35" s="1"/>
      <c r="N35" s="18"/>
    </row>
    <row r="36" spans="2:14" ht="15" customHeight="1" x14ac:dyDescent="0.25">
      <c r="B36" s="20"/>
      <c r="C36" s="5" t="s">
        <v>77</v>
      </c>
      <c r="D36" s="6" t="s">
        <v>28</v>
      </c>
      <c r="E36" s="11">
        <v>3.542E-3</v>
      </c>
      <c r="F36" s="1"/>
      <c r="G36" s="1"/>
      <c r="H36" s="1"/>
      <c r="I36" s="1"/>
      <c r="J36" s="1"/>
      <c r="K36" s="1"/>
      <c r="L36" s="1"/>
      <c r="M36" s="1"/>
      <c r="N36" s="18"/>
    </row>
    <row r="37" spans="2:14" ht="15" customHeight="1" x14ac:dyDescent="0.25">
      <c r="B37" s="20"/>
      <c r="C37" s="5" t="s">
        <v>31</v>
      </c>
      <c r="D37" s="6" t="s">
        <v>28</v>
      </c>
      <c r="E37" s="11">
        <v>2.8240000000000001E-3</v>
      </c>
      <c r="F37" s="1"/>
      <c r="G37" s="1"/>
      <c r="H37" s="1"/>
      <c r="I37" s="1"/>
      <c r="J37" s="1"/>
      <c r="K37" s="1"/>
      <c r="L37" s="1"/>
      <c r="M37" s="1"/>
      <c r="N37" s="18"/>
    </row>
    <row r="38" spans="2:14" ht="15.75" customHeight="1" x14ac:dyDescent="0.25">
      <c r="B38" s="20"/>
      <c r="C38" s="7" t="s">
        <v>44</v>
      </c>
      <c r="D38" s="8"/>
      <c r="E38" s="12">
        <v>2.7976000000000001E-2</v>
      </c>
      <c r="F38" s="1"/>
      <c r="G38" s="1"/>
      <c r="H38" s="1"/>
      <c r="I38" s="1"/>
      <c r="J38" s="1"/>
      <c r="K38" s="1"/>
      <c r="L38" s="1"/>
      <c r="M38" s="1"/>
      <c r="N38" s="18"/>
    </row>
    <row r="39" spans="2:14" ht="15" customHeight="1" x14ac:dyDescent="0.25">
      <c r="B39" s="20"/>
      <c r="C39" s="5" t="s">
        <v>45</v>
      </c>
      <c r="D39" s="6"/>
      <c r="E39" s="11">
        <v>1.9789999999999999E-3</v>
      </c>
      <c r="F39" s="1"/>
      <c r="G39" s="1"/>
      <c r="H39" s="1"/>
      <c r="I39" s="1"/>
      <c r="J39" s="1"/>
      <c r="K39" s="1"/>
      <c r="L39" s="1"/>
      <c r="M39" s="1"/>
      <c r="N39" s="18"/>
    </row>
    <row r="40" spans="2:14" ht="15.75" customHeight="1" x14ac:dyDescent="0.25">
      <c r="B40" s="20"/>
      <c r="C40" s="7" t="s">
        <v>46</v>
      </c>
      <c r="D40" s="8"/>
      <c r="E40" s="12">
        <v>1.9789999999999999E-3</v>
      </c>
      <c r="F40" s="1"/>
      <c r="G40" s="1"/>
      <c r="H40" s="1"/>
      <c r="I40" s="1"/>
      <c r="J40" s="1"/>
      <c r="K40" s="1"/>
      <c r="L40" s="1"/>
      <c r="M40" s="1"/>
      <c r="N40" s="18"/>
    </row>
    <row r="41" spans="2:14" ht="15" customHeight="1" x14ac:dyDescent="0.25">
      <c r="B41" s="20"/>
      <c r="C41" s="5" t="s">
        <v>157</v>
      </c>
      <c r="D41" s="6" t="s">
        <v>48</v>
      </c>
      <c r="E41" s="11">
        <v>5.8226E-2</v>
      </c>
      <c r="F41" s="1"/>
      <c r="G41" s="1"/>
      <c r="H41" s="1"/>
      <c r="I41" s="1"/>
      <c r="J41" s="1"/>
      <c r="K41" s="1"/>
      <c r="L41" s="1"/>
      <c r="M41" s="1"/>
      <c r="N41" s="18"/>
    </row>
    <row r="42" spans="2:14" ht="15" customHeight="1" x14ac:dyDescent="0.25">
      <c r="B42" s="20"/>
      <c r="C42" s="5" t="s">
        <v>158</v>
      </c>
      <c r="D42" s="6" t="s">
        <v>48</v>
      </c>
      <c r="E42" s="11">
        <v>3.5052E-2</v>
      </c>
      <c r="F42" s="1"/>
      <c r="G42" s="1"/>
      <c r="H42" s="1"/>
      <c r="I42" s="1"/>
      <c r="J42" s="1"/>
      <c r="K42" s="1"/>
      <c r="L42" s="1"/>
      <c r="M42" s="1"/>
      <c r="N42" s="18"/>
    </row>
    <row r="43" spans="2:14" ht="15" customHeight="1" x14ac:dyDescent="0.25">
      <c r="B43" s="20"/>
      <c r="C43" s="5" t="s">
        <v>159</v>
      </c>
      <c r="D43" s="6" t="s">
        <v>48</v>
      </c>
      <c r="E43" s="11">
        <v>2.8230999999999999E-2</v>
      </c>
      <c r="F43" s="1"/>
      <c r="G43" s="1"/>
      <c r="H43" s="1"/>
      <c r="I43" s="1"/>
      <c r="J43" s="1"/>
      <c r="K43" s="1"/>
      <c r="L43" s="1"/>
      <c r="M43" s="1"/>
      <c r="N43" s="18"/>
    </row>
    <row r="44" spans="2:14" ht="15" customHeight="1" x14ac:dyDescent="0.25">
      <c r="B44" s="20"/>
      <c r="C44" s="5" t="s">
        <v>160</v>
      </c>
      <c r="D44" s="6" t="s">
        <v>48</v>
      </c>
      <c r="E44" s="11">
        <v>2.4442999999999999E-2</v>
      </c>
      <c r="F44" s="1"/>
      <c r="G44" s="1"/>
      <c r="H44" s="1"/>
      <c r="I44" s="1"/>
      <c r="J44" s="1"/>
      <c r="K44" s="1"/>
      <c r="L44" s="1"/>
      <c r="M44" s="1"/>
      <c r="N44" s="18"/>
    </row>
    <row r="45" spans="2:14" ht="15" customHeight="1" x14ac:dyDescent="0.25">
      <c r="B45" s="20"/>
      <c r="C45" s="5" t="s">
        <v>161</v>
      </c>
      <c r="D45" s="6" t="s">
        <v>48</v>
      </c>
      <c r="E45" s="11">
        <v>1.3445E-2</v>
      </c>
      <c r="F45" s="1"/>
      <c r="G45" s="1"/>
      <c r="H45" s="1"/>
      <c r="I45" s="1"/>
      <c r="J45" s="1"/>
      <c r="K45" s="1"/>
      <c r="L45" s="1"/>
      <c r="M45" s="1"/>
      <c r="N45" s="18"/>
    </row>
    <row r="46" spans="2:14" ht="15" customHeight="1" x14ac:dyDescent="0.25">
      <c r="B46" s="20"/>
      <c r="C46" s="5" t="s">
        <v>162</v>
      </c>
      <c r="D46" s="6" t="s">
        <v>48</v>
      </c>
      <c r="E46" s="11">
        <v>1.2588E-2</v>
      </c>
      <c r="F46" s="1"/>
      <c r="G46" s="1"/>
      <c r="H46" s="1"/>
      <c r="I46" s="1"/>
      <c r="J46" s="1"/>
      <c r="K46" s="1"/>
      <c r="L46" s="1"/>
      <c r="M46" s="1"/>
      <c r="N46" s="18"/>
    </row>
    <row r="47" spans="2:14" ht="15" customHeight="1" x14ac:dyDescent="0.25">
      <c r="B47" s="20"/>
      <c r="C47" s="5" t="s">
        <v>163</v>
      </c>
      <c r="D47" s="6" t="s">
        <v>48</v>
      </c>
      <c r="E47" s="11">
        <v>1.0559000000000001E-2</v>
      </c>
      <c r="F47" s="1"/>
      <c r="G47" s="1"/>
      <c r="H47" s="1"/>
      <c r="I47" s="1"/>
      <c r="J47" s="1"/>
      <c r="K47" s="1"/>
      <c r="L47" s="1"/>
      <c r="M47" s="1"/>
      <c r="N47" s="18"/>
    </row>
    <row r="48" spans="2:14" ht="15" customHeight="1" x14ac:dyDescent="0.25">
      <c r="B48" s="20"/>
      <c r="C48" s="5" t="s">
        <v>164</v>
      </c>
      <c r="D48" s="6" t="s">
        <v>48</v>
      </c>
      <c r="E48" s="11">
        <v>5.2659999999999998E-3</v>
      </c>
      <c r="F48" s="1"/>
      <c r="G48" s="1"/>
      <c r="H48" s="1"/>
      <c r="I48" s="1"/>
      <c r="J48" s="1"/>
      <c r="K48" s="1"/>
      <c r="L48" s="1"/>
      <c r="M48" s="1"/>
      <c r="N48" s="18"/>
    </row>
    <row r="49" spans="2:14" ht="15" customHeight="1" x14ac:dyDescent="0.25">
      <c r="B49" s="20"/>
      <c r="C49" s="5" t="s">
        <v>165</v>
      </c>
      <c r="D49" s="6" t="s">
        <v>48</v>
      </c>
      <c r="E49" s="11">
        <v>2.1120000000000002E-3</v>
      </c>
      <c r="F49" s="1"/>
      <c r="G49" s="1"/>
      <c r="H49" s="1"/>
      <c r="I49" s="1"/>
      <c r="J49" s="1"/>
      <c r="K49" s="1"/>
      <c r="L49" s="1"/>
      <c r="M49" s="1"/>
      <c r="N49" s="18"/>
    </row>
    <row r="50" spans="2:14" ht="15" customHeight="1" x14ac:dyDescent="0.25">
      <c r="B50" s="20"/>
      <c r="C50" s="5" t="s">
        <v>166</v>
      </c>
      <c r="D50" s="6" t="s">
        <v>48</v>
      </c>
      <c r="E50" s="11">
        <v>1.748E-3</v>
      </c>
      <c r="F50" s="1"/>
      <c r="G50" s="1"/>
      <c r="H50" s="1"/>
      <c r="I50" s="1"/>
      <c r="J50" s="1"/>
      <c r="K50" s="1"/>
      <c r="L50" s="1"/>
      <c r="M50" s="1"/>
      <c r="N50" s="18"/>
    </row>
    <row r="51" spans="2:14" ht="15" customHeight="1" x14ac:dyDescent="0.25">
      <c r="B51" s="20"/>
      <c r="C51" s="5" t="s">
        <v>167</v>
      </c>
      <c r="D51" s="6" t="s">
        <v>48</v>
      </c>
      <c r="E51" s="11">
        <v>3.5300000000000002E-4</v>
      </c>
      <c r="F51" s="1"/>
      <c r="G51" s="1"/>
      <c r="H51" s="1"/>
      <c r="I51" s="1"/>
      <c r="J51" s="1"/>
      <c r="K51" s="1"/>
      <c r="L51" s="1"/>
      <c r="M51" s="1"/>
      <c r="N51" s="18"/>
    </row>
    <row r="52" spans="2:14" ht="15.75" customHeight="1" x14ac:dyDescent="0.25">
      <c r="B52" s="20"/>
      <c r="C52" s="7" t="s">
        <v>92</v>
      </c>
      <c r="D52" s="8"/>
      <c r="E52" s="12">
        <v>0.192023</v>
      </c>
      <c r="F52" s="1"/>
      <c r="G52" s="1"/>
      <c r="H52" s="1"/>
      <c r="I52" s="1"/>
      <c r="J52" s="1"/>
      <c r="K52" s="1"/>
      <c r="L52" s="1"/>
      <c r="M52" s="1"/>
      <c r="N52" s="18"/>
    </row>
    <row r="53" spans="2:14" ht="15" customHeight="1" x14ac:dyDescent="0.25">
      <c r="B53" s="20"/>
      <c r="C53" s="5" t="s">
        <v>9</v>
      </c>
      <c r="D53" s="6"/>
      <c r="E53" s="11">
        <v>7.4051000000000006E-2</v>
      </c>
      <c r="F53" s="1"/>
      <c r="G53" s="1"/>
      <c r="H53" s="1"/>
      <c r="I53" s="1"/>
      <c r="J53" s="1"/>
      <c r="K53" s="1"/>
      <c r="L53" s="1"/>
      <c r="M53" s="1"/>
      <c r="N53" s="18"/>
    </row>
    <row r="54" spans="2:14" ht="15.75" customHeight="1" x14ac:dyDescent="0.25">
      <c r="B54" s="20"/>
      <c r="C54" s="7" t="s">
        <v>10</v>
      </c>
      <c r="D54" s="8"/>
      <c r="E54" s="12">
        <v>7.4051000000000006E-2</v>
      </c>
      <c r="F54" s="1"/>
      <c r="G54" s="1"/>
      <c r="H54" s="1"/>
      <c r="I54" s="1"/>
      <c r="J54" s="1"/>
      <c r="K54" s="1"/>
      <c r="L54" s="1"/>
      <c r="M54" s="1"/>
      <c r="N54" s="18"/>
    </row>
    <row r="55" spans="2:14" ht="15" customHeight="1" x14ac:dyDescent="0.25">
      <c r="B55" s="20"/>
      <c r="C55" s="5"/>
      <c r="D55" s="6"/>
      <c r="E55" s="11"/>
      <c r="F55" s="1"/>
      <c r="G55" s="1"/>
      <c r="H55" s="1"/>
      <c r="I55" s="1"/>
      <c r="J55" s="1"/>
      <c r="K55" s="1"/>
      <c r="L55" s="1"/>
      <c r="M55" s="1"/>
      <c r="N55" s="18"/>
    </row>
    <row r="56" spans="2:14" ht="15.75" customHeight="1" x14ac:dyDescent="0.25">
      <c r="B56" s="20"/>
      <c r="C56" s="7" t="s">
        <v>11</v>
      </c>
      <c r="D56" s="8"/>
      <c r="E56" s="12">
        <v>2.0200000000000001E-3</v>
      </c>
      <c r="F56" s="1"/>
      <c r="G56" s="1"/>
      <c r="H56" s="1"/>
      <c r="I56" s="1"/>
      <c r="J56" s="1"/>
      <c r="K56" s="1"/>
      <c r="L56" s="1"/>
      <c r="M56" s="1"/>
      <c r="N56" s="18"/>
    </row>
    <row r="57" spans="2:14" ht="15" customHeight="1" x14ac:dyDescent="0.25">
      <c r="B57" s="20"/>
      <c r="C57" s="5"/>
      <c r="D57" s="6"/>
      <c r="E57" s="11"/>
      <c r="F57" s="1"/>
      <c r="G57" s="1"/>
      <c r="H57" s="1"/>
      <c r="I57" s="1"/>
      <c r="J57" s="1"/>
      <c r="K57" s="1"/>
      <c r="L57" s="1"/>
      <c r="M57" s="1"/>
      <c r="N57" s="18"/>
    </row>
    <row r="58" spans="2:14" ht="15" customHeight="1" x14ac:dyDescent="0.25">
      <c r="B58" s="20"/>
      <c r="C58" s="9" t="s">
        <v>12</v>
      </c>
      <c r="D58" s="10"/>
      <c r="E58" s="13">
        <v>1</v>
      </c>
      <c r="F58" s="1"/>
      <c r="G58" s="1"/>
      <c r="H58" s="1"/>
      <c r="I58" s="1"/>
      <c r="J58" s="1"/>
      <c r="K58" s="1"/>
      <c r="L58" s="1"/>
      <c r="M58" s="1"/>
      <c r="N58" s="18"/>
    </row>
    <row r="59" spans="2:14" ht="15" customHeight="1" x14ac:dyDescent="0.25">
      <c r="B59" s="20"/>
      <c r="C59" s="1"/>
      <c r="D59" s="1"/>
      <c r="E59" s="1"/>
      <c r="F59" s="1"/>
      <c r="G59" s="1"/>
      <c r="H59" s="1"/>
      <c r="I59" s="1"/>
      <c r="J59" s="1"/>
      <c r="K59" s="1"/>
      <c r="L59" s="1"/>
      <c r="M59" s="1"/>
      <c r="N59" s="18"/>
    </row>
    <row r="60" spans="2:14" ht="15" customHeight="1" thickBot="1" x14ac:dyDescent="0.3">
      <c r="B60" s="21"/>
      <c r="C60" s="22"/>
      <c r="D60" s="22"/>
      <c r="E60" s="22"/>
      <c r="F60" s="22"/>
      <c r="G60" s="22"/>
      <c r="H60" s="22"/>
      <c r="I60" s="22"/>
      <c r="J60" s="22"/>
      <c r="K60" s="22"/>
      <c r="L60" s="22"/>
      <c r="M60" s="22"/>
      <c r="N60" s="23"/>
    </row>
    <row r="61" spans="2:14" ht="15" customHeight="1" thickBot="1" x14ac:dyDescent="0.3"/>
    <row r="62" spans="2:14" ht="15" customHeight="1" x14ac:dyDescent="0.25">
      <c r="B62" s="67" t="s">
        <v>296</v>
      </c>
      <c r="C62" s="68"/>
      <c r="D62" s="68"/>
      <c r="E62" s="68"/>
      <c r="F62" s="68"/>
      <c r="G62" s="68"/>
      <c r="H62" s="68"/>
      <c r="I62" s="68"/>
      <c r="J62" s="68"/>
      <c r="K62" s="68"/>
      <c r="L62" s="68"/>
      <c r="M62" s="68"/>
      <c r="N62" s="69"/>
    </row>
    <row r="63" spans="2:14" ht="15" customHeight="1" x14ac:dyDescent="0.25">
      <c r="B63" s="70"/>
      <c r="C63" s="71"/>
      <c r="D63" s="71"/>
      <c r="E63" s="71"/>
      <c r="F63" s="71"/>
      <c r="G63" s="71"/>
      <c r="H63" s="71"/>
      <c r="I63" s="71"/>
      <c r="J63" s="71"/>
      <c r="K63" s="71"/>
      <c r="L63" s="71"/>
      <c r="M63" s="71"/>
      <c r="N63" s="72"/>
    </row>
    <row r="64" spans="2:14" ht="15" customHeight="1" x14ac:dyDescent="0.25">
      <c r="B64" s="70"/>
      <c r="C64" s="71"/>
      <c r="D64" s="71"/>
      <c r="E64" s="71"/>
      <c r="F64" s="71"/>
      <c r="G64" s="71"/>
      <c r="H64" s="71"/>
      <c r="I64" s="71"/>
      <c r="J64" s="71"/>
      <c r="K64" s="71"/>
      <c r="L64" s="71"/>
      <c r="M64" s="71"/>
      <c r="N64" s="72"/>
    </row>
    <row r="65" spans="2:14" ht="15" customHeight="1" thickBot="1" x14ac:dyDescent="0.3">
      <c r="B65" s="73"/>
      <c r="C65" s="74"/>
      <c r="D65" s="74"/>
      <c r="E65" s="74"/>
      <c r="F65" s="74"/>
      <c r="G65" s="74"/>
      <c r="H65" s="74"/>
      <c r="I65" s="74"/>
      <c r="J65" s="74"/>
      <c r="K65" s="74"/>
      <c r="L65" s="74"/>
      <c r="M65" s="74"/>
      <c r="N65" s="75"/>
    </row>
    <row r="66" spans="2:14" ht="15" customHeight="1" thickBot="1" x14ac:dyDescent="0.3"/>
    <row r="67" spans="2:14" ht="120" customHeight="1" thickBot="1" x14ac:dyDescent="0.3">
      <c r="B67" s="76" t="s">
        <v>302</v>
      </c>
      <c r="C67" s="77"/>
      <c r="D67" s="77"/>
      <c r="E67" s="77"/>
      <c r="F67" s="77"/>
      <c r="G67" s="77"/>
      <c r="H67" s="77"/>
      <c r="I67" s="77"/>
      <c r="J67" s="77"/>
      <c r="K67" s="77"/>
      <c r="L67" s="77"/>
      <c r="M67" s="77"/>
      <c r="N67" s="78"/>
    </row>
    <row r="68" spans="2:14" ht="15" customHeight="1" x14ac:dyDescent="0.25"/>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sheetData>
  <mergeCells count="7">
    <mergeCell ref="B62:N65"/>
    <mergeCell ref="B67:N67"/>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69631-8CE0-4A5C-81C2-63849BBC07EA}">
  <dimension ref="B1:N79"/>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168</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169</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17</v>
      </c>
      <c r="H7" s="85"/>
      <c r="I7" s="85"/>
      <c r="J7" s="85"/>
      <c r="K7" s="85"/>
      <c r="L7" s="85"/>
      <c r="M7" s="85"/>
      <c r="N7" s="86"/>
    </row>
    <row r="8" spans="2:14" ht="15" customHeight="1" x14ac:dyDescent="0.25">
      <c r="B8" s="20"/>
      <c r="C8" s="5" t="s">
        <v>149</v>
      </c>
      <c r="D8" s="6" t="s">
        <v>23</v>
      </c>
      <c r="E8" s="11">
        <v>8.7789000000000006E-2</v>
      </c>
      <c r="F8" s="1"/>
      <c r="G8" s="24" t="s">
        <v>16</v>
      </c>
      <c r="H8" s="25">
        <v>1</v>
      </c>
      <c r="I8" s="1"/>
      <c r="J8" s="24" t="s">
        <v>13</v>
      </c>
      <c r="K8" s="24" t="s">
        <v>5</v>
      </c>
      <c r="L8" s="1"/>
      <c r="M8" s="1"/>
      <c r="N8" s="18"/>
    </row>
    <row r="9" spans="2:14" ht="15" customHeight="1" x14ac:dyDescent="0.25">
      <c r="B9" s="20"/>
      <c r="C9" s="5" t="s">
        <v>147</v>
      </c>
      <c r="D9" s="6" t="s">
        <v>23</v>
      </c>
      <c r="E9" s="11">
        <v>5.5194E-2</v>
      </c>
      <c r="F9" s="1"/>
      <c r="G9" s="1"/>
      <c r="H9" s="1"/>
      <c r="I9" s="1"/>
      <c r="J9" s="24" t="s">
        <v>11</v>
      </c>
      <c r="K9" s="28">
        <v>1.1485E-2</v>
      </c>
      <c r="L9" s="1"/>
      <c r="M9" s="1"/>
      <c r="N9" s="18"/>
    </row>
    <row r="10" spans="2:14" ht="15" customHeight="1" x14ac:dyDescent="0.25">
      <c r="B10" s="20"/>
      <c r="C10" s="5" t="s">
        <v>31</v>
      </c>
      <c r="D10" s="6" t="s">
        <v>23</v>
      </c>
      <c r="E10" s="11">
        <v>4.7181000000000001E-2</v>
      </c>
      <c r="F10" s="1"/>
      <c r="G10" s="1"/>
      <c r="H10" s="1"/>
      <c r="I10" s="1"/>
      <c r="J10" s="24" t="s">
        <v>14</v>
      </c>
      <c r="K10" s="28">
        <v>1.7697999999999998E-2</v>
      </c>
      <c r="L10" s="1"/>
      <c r="M10" s="1"/>
      <c r="N10" s="18"/>
    </row>
    <row r="11" spans="2:14" ht="15" customHeight="1" x14ac:dyDescent="0.25">
      <c r="B11" s="20"/>
      <c r="C11" s="5" t="s">
        <v>43</v>
      </c>
      <c r="D11" s="6" t="s">
        <v>23</v>
      </c>
      <c r="E11" s="11">
        <v>1.8338E-2</v>
      </c>
      <c r="F11" s="1"/>
      <c r="G11" s="1"/>
      <c r="H11" s="1"/>
      <c r="I11" s="1"/>
      <c r="J11" s="24" t="s">
        <v>53</v>
      </c>
      <c r="K11" s="28">
        <v>0.239811</v>
      </c>
      <c r="L11" s="1"/>
      <c r="M11" s="1"/>
      <c r="N11" s="18"/>
    </row>
    <row r="12" spans="2:14" ht="15" customHeight="1" x14ac:dyDescent="0.25">
      <c r="B12" s="20"/>
      <c r="C12" s="5" t="s">
        <v>22</v>
      </c>
      <c r="D12" s="6" t="s">
        <v>23</v>
      </c>
      <c r="E12" s="11">
        <v>1.8086999999999999E-2</v>
      </c>
      <c r="F12" s="1"/>
      <c r="G12" s="1"/>
      <c r="H12" s="1"/>
      <c r="I12" s="1"/>
      <c r="J12" s="24" t="s">
        <v>54</v>
      </c>
      <c r="K12" s="28">
        <v>0.380106</v>
      </c>
      <c r="L12" s="1"/>
      <c r="M12" s="1"/>
      <c r="N12" s="18"/>
    </row>
    <row r="13" spans="2:14" ht="15" customHeight="1" x14ac:dyDescent="0.25">
      <c r="B13" s="20"/>
      <c r="C13" s="5" t="s">
        <v>40</v>
      </c>
      <c r="D13" s="6" t="s">
        <v>23</v>
      </c>
      <c r="E13" s="11">
        <v>1.3221999999999999E-2</v>
      </c>
      <c r="F13" s="1"/>
      <c r="G13" s="1"/>
      <c r="H13" s="1"/>
      <c r="I13" s="1"/>
      <c r="J13" s="24" t="s">
        <v>55</v>
      </c>
      <c r="K13" s="28">
        <v>6.4466999999999997E-2</v>
      </c>
      <c r="L13" s="1"/>
      <c r="M13" s="1"/>
      <c r="N13" s="18"/>
    </row>
    <row r="14" spans="2:14" ht="15.75" customHeight="1" x14ac:dyDescent="0.25">
      <c r="B14" s="20"/>
      <c r="C14" s="7" t="s">
        <v>25</v>
      </c>
      <c r="D14" s="8"/>
      <c r="E14" s="12">
        <v>0.239811</v>
      </c>
      <c r="F14" s="1"/>
      <c r="G14" s="1"/>
      <c r="H14" s="1"/>
      <c r="I14" s="1"/>
      <c r="J14" s="24" t="s">
        <v>56</v>
      </c>
      <c r="K14" s="28">
        <v>2.8410000000000002E-3</v>
      </c>
      <c r="L14" s="1"/>
      <c r="M14" s="1"/>
      <c r="N14" s="18"/>
    </row>
    <row r="15" spans="2:14" ht="15" customHeight="1" x14ac:dyDescent="0.25">
      <c r="B15" s="20"/>
      <c r="C15" s="5" t="s">
        <v>31</v>
      </c>
      <c r="D15" s="6" t="s">
        <v>23</v>
      </c>
      <c r="E15" s="11">
        <v>2.7751000000000001E-2</v>
      </c>
      <c r="F15" s="1"/>
      <c r="G15" s="1"/>
      <c r="H15" s="1"/>
      <c r="I15" s="1"/>
      <c r="J15" s="24" t="s">
        <v>57</v>
      </c>
      <c r="K15" s="28">
        <v>5.1798999999999998E-2</v>
      </c>
      <c r="L15" s="1"/>
      <c r="M15" s="1"/>
      <c r="N15" s="18"/>
    </row>
    <row r="16" spans="2:14" ht="15" customHeight="1" x14ac:dyDescent="0.25">
      <c r="B16" s="20"/>
      <c r="C16" s="5" t="s">
        <v>33</v>
      </c>
      <c r="D16" s="6" t="s">
        <v>23</v>
      </c>
      <c r="E16" s="11">
        <v>2.7557999999999999E-2</v>
      </c>
      <c r="F16" s="1"/>
      <c r="G16" s="1"/>
      <c r="H16" s="1"/>
      <c r="I16" s="1"/>
      <c r="J16" s="24" t="s">
        <v>58</v>
      </c>
      <c r="K16" s="28">
        <v>0.23161999999999999</v>
      </c>
      <c r="L16" s="1"/>
      <c r="M16" s="1"/>
      <c r="N16" s="18"/>
    </row>
    <row r="17" spans="2:14" ht="15" customHeight="1" x14ac:dyDescent="0.25">
      <c r="B17" s="20"/>
      <c r="C17" s="5" t="s">
        <v>27</v>
      </c>
      <c r="D17" s="6" t="s">
        <v>23</v>
      </c>
      <c r="E17" s="11">
        <v>9.1579999999999995E-3</v>
      </c>
      <c r="F17" s="1"/>
      <c r="G17" s="1"/>
      <c r="H17" s="1"/>
      <c r="I17" s="1"/>
      <c r="J17" s="24" t="s">
        <v>94</v>
      </c>
      <c r="K17" s="28">
        <v>1.73E-4</v>
      </c>
      <c r="L17" s="1"/>
      <c r="M17" s="1"/>
      <c r="N17" s="18"/>
    </row>
    <row r="18" spans="2:14" ht="15.75" customHeight="1" x14ac:dyDescent="0.25">
      <c r="B18" s="20"/>
      <c r="C18" s="7" t="s">
        <v>26</v>
      </c>
      <c r="D18" s="8"/>
      <c r="E18" s="12">
        <v>6.4466999999999997E-2</v>
      </c>
      <c r="F18" s="1"/>
      <c r="G18" s="1"/>
      <c r="H18" s="1"/>
      <c r="I18" s="1"/>
      <c r="J18" s="1"/>
      <c r="K18" s="1"/>
      <c r="L18" s="1"/>
      <c r="M18" s="1"/>
      <c r="N18" s="18"/>
    </row>
    <row r="19" spans="2:14" ht="15" customHeight="1" x14ac:dyDescent="0.25">
      <c r="B19" s="20"/>
      <c r="C19" s="5" t="s">
        <v>29</v>
      </c>
      <c r="D19" s="6" t="s">
        <v>28</v>
      </c>
      <c r="E19" s="11">
        <v>0.112192</v>
      </c>
      <c r="F19" s="1"/>
      <c r="G19" s="1"/>
      <c r="H19" s="1"/>
      <c r="I19" s="1"/>
      <c r="J19" s="1"/>
      <c r="K19" s="1"/>
      <c r="L19" s="1"/>
      <c r="M19" s="1"/>
      <c r="N19" s="18"/>
    </row>
    <row r="20" spans="2:14" ht="15" customHeight="1" x14ac:dyDescent="0.25">
      <c r="B20" s="20"/>
      <c r="C20" s="5" t="s">
        <v>76</v>
      </c>
      <c r="D20" s="6" t="s">
        <v>28</v>
      </c>
      <c r="E20" s="11">
        <v>0.10756</v>
      </c>
      <c r="F20" s="1"/>
      <c r="G20" s="1"/>
      <c r="H20" s="1"/>
      <c r="I20" s="1"/>
      <c r="J20" s="1"/>
      <c r="K20" s="1"/>
      <c r="L20" s="1"/>
      <c r="M20" s="1"/>
      <c r="N20" s="18"/>
    </row>
    <row r="21" spans="2:14" ht="15" customHeight="1" x14ac:dyDescent="0.25">
      <c r="B21" s="20"/>
      <c r="C21" s="5" t="s">
        <v>27</v>
      </c>
      <c r="D21" s="6" t="s">
        <v>28</v>
      </c>
      <c r="E21" s="11">
        <v>6.0949000000000003E-2</v>
      </c>
      <c r="F21" s="1"/>
      <c r="G21" s="1"/>
      <c r="H21" s="1"/>
      <c r="I21" s="1"/>
      <c r="J21" s="1"/>
      <c r="K21" s="1"/>
      <c r="L21" s="1"/>
      <c r="M21" s="1"/>
      <c r="N21" s="18"/>
    </row>
    <row r="22" spans="2:14" ht="15" customHeight="1" x14ac:dyDescent="0.25">
      <c r="B22" s="20"/>
      <c r="C22" s="5" t="s">
        <v>32</v>
      </c>
      <c r="D22" s="6" t="s">
        <v>28</v>
      </c>
      <c r="E22" s="11">
        <v>3.3764000000000002E-2</v>
      </c>
      <c r="F22" s="1"/>
      <c r="G22" s="1"/>
      <c r="H22" s="1"/>
      <c r="I22" s="1"/>
      <c r="J22" s="1"/>
      <c r="K22" s="1"/>
      <c r="L22" s="1"/>
      <c r="M22" s="1"/>
      <c r="N22" s="18"/>
    </row>
    <row r="23" spans="2:14" ht="15" customHeight="1" x14ac:dyDescent="0.25">
      <c r="B23" s="20"/>
      <c r="C23" s="5" t="s">
        <v>77</v>
      </c>
      <c r="D23" s="6" t="s">
        <v>28</v>
      </c>
      <c r="E23" s="11">
        <v>2.1555000000000001E-2</v>
      </c>
      <c r="F23" s="1"/>
      <c r="G23" s="1"/>
      <c r="H23" s="1"/>
      <c r="I23" s="1"/>
      <c r="J23" s="1"/>
      <c r="K23" s="1"/>
      <c r="L23" s="1"/>
      <c r="M23" s="1"/>
      <c r="N23" s="18"/>
    </row>
    <row r="24" spans="2:14" ht="15" customHeight="1" x14ac:dyDescent="0.25">
      <c r="B24" s="20"/>
      <c r="C24" s="5" t="s">
        <v>33</v>
      </c>
      <c r="D24" s="6" t="s">
        <v>28</v>
      </c>
      <c r="E24" s="11">
        <v>2.0759E-2</v>
      </c>
      <c r="F24" s="1"/>
      <c r="G24" s="84" t="s">
        <v>130</v>
      </c>
      <c r="H24" s="85"/>
      <c r="I24" s="85"/>
      <c r="J24" s="85"/>
      <c r="K24" s="85"/>
      <c r="L24" s="64">
        <v>365.90749471703697</v>
      </c>
      <c r="M24" s="26"/>
      <c r="N24" s="27"/>
    </row>
    <row r="25" spans="2:14" ht="15" customHeight="1" x14ac:dyDescent="0.25">
      <c r="B25" s="20"/>
      <c r="C25" s="5" t="s">
        <v>24</v>
      </c>
      <c r="D25" s="6" t="s">
        <v>28</v>
      </c>
      <c r="E25" s="11">
        <v>1.3998E-2</v>
      </c>
      <c r="F25" s="1"/>
      <c r="G25" s="1"/>
      <c r="H25" s="1"/>
      <c r="I25" s="1"/>
      <c r="J25" s="1"/>
      <c r="K25" s="1"/>
      <c r="L25" s="1"/>
      <c r="M25" s="1"/>
      <c r="N25" s="18"/>
    </row>
    <row r="26" spans="2:14" ht="15" customHeight="1" x14ac:dyDescent="0.25">
      <c r="B26" s="20"/>
      <c r="C26" s="5" t="s">
        <v>31</v>
      </c>
      <c r="D26" s="6" t="s">
        <v>28</v>
      </c>
      <c r="E26" s="11">
        <v>9.3290000000000005E-3</v>
      </c>
      <c r="F26" s="1"/>
      <c r="G26" s="84" t="s">
        <v>19</v>
      </c>
      <c r="H26" s="85"/>
      <c r="I26" s="85"/>
      <c r="J26" s="85"/>
      <c r="K26" s="85"/>
      <c r="L26" s="85"/>
      <c r="M26" s="85"/>
      <c r="N26" s="86"/>
    </row>
    <row r="27" spans="2:14" ht="15.75" customHeight="1" x14ac:dyDescent="0.25">
      <c r="B27" s="20"/>
      <c r="C27" s="7" t="s">
        <v>44</v>
      </c>
      <c r="D27" s="8"/>
      <c r="E27" s="12">
        <v>0.380106</v>
      </c>
      <c r="F27" s="1"/>
      <c r="G27" s="1"/>
      <c r="H27" s="1"/>
      <c r="I27" s="1"/>
      <c r="J27" s="1"/>
      <c r="K27" s="1"/>
      <c r="L27" s="1"/>
      <c r="M27" s="1"/>
      <c r="N27" s="18"/>
    </row>
    <row r="28" spans="2:14" ht="15" customHeight="1" x14ac:dyDescent="0.25">
      <c r="B28" s="20"/>
      <c r="C28" s="5" t="s">
        <v>45</v>
      </c>
      <c r="D28" s="6"/>
      <c r="E28" s="11">
        <v>2.8410000000000002E-3</v>
      </c>
      <c r="F28" s="1"/>
      <c r="G28" s="1"/>
      <c r="H28" s="1"/>
      <c r="I28" s="1"/>
      <c r="J28" s="1"/>
      <c r="K28" s="1"/>
      <c r="L28" s="1"/>
      <c r="M28" s="1"/>
      <c r="N28" s="18"/>
    </row>
    <row r="29" spans="2:14" ht="15.75" customHeight="1" x14ac:dyDescent="0.25">
      <c r="B29" s="20"/>
      <c r="C29" s="7" t="s">
        <v>46</v>
      </c>
      <c r="D29" s="8"/>
      <c r="E29" s="12">
        <v>2.8410000000000002E-3</v>
      </c>
      <c r="F29" s="1"/>
      <c r="G29" s="1"/>
      <c r="H29" s="1"/>
      <c r="I29" s="1"/>
      <c r="J29" s="1"/>
      <c r="K29" s="1"/>
      <c r="L29" s="1"/>
      <c r="M29" s="1"/>
      <c r="N29" s="18"/>
    </row>
    <row r="30" spans="2:14" ht="15" customHeight="1" x14ac:dyDescent="0.25">
      <c r="B30" s="20"/>
      <c r="C30" s="5" t="s">
        <v>47</v>
      </c>
      <c r="D30" s="6" t="s">
        <v>48</v>
      </c>
      <c r="E30" s="11">
        <v>5.1798999999999998E-2</v>
      </c>
      <c r="F30" s="1"/>
      <c r="G30" s="1"/>
      <c r="H30" s="1"/>
      <c r="I30" s="1"/>
      <c r="J30" s="1"/>
      <c r="K30" s="1"/>
      <c r="L30" s="1"/>
      <c r="M30" s="1"/>
      <c r="N30" s="18"/>
    </row>
    <row r="31" spans="2:14" ht="15.75" customHeight="1" x14ac:dyDescent="0.25">
      <c r="B31" s="20"/>
      <c r="C31" s="7" t="s">
        <v>51</v>
      </c>
      <c r="D31" s="8"/>
      <c r="E31" s="12">
        <v>5.1798999999999998E-2</v>
      </c>
      <c r="F31" s="1"/>
      <c r="G31" s="1"/>
      <c r="H31" s="1"/>
      <c r="I31" s="1"/>
      <c r="J31" s="1"/>
      <c r="K31" s="1"/>
      <c r="L31" s="1"/>
      <c r="M31" s="1"/>
      <c r="N31" s="18"/>
    </row>
    <row r="32" spans="2:14" ht="15" customHeight="1" x14ac:dyDescent="0.25">
      <c r="B32" s="20"/>
      <c r="C32" s="5" t="s">
        <v>199</v>
      </c>
      <c r="D32" s="6" t="s">
        <v>48</v>
      </c>
      <c r="E32" s="11">
        <v>4.5490999999999997E-2</v>
      </c>
      <c r="F32" s="1"/>
      <c r="G32" s="1"/>
      <c r="H32" s="1"/>
      <c r="I32" s="1"/>
      <c r="J32" s="1"/>
      <c r="K32" s="1"/>
      <c r="L32" s="1"/>
      <c r="M32" s="1"/>
      <c r="N32" s="18"/>
    </row>
    <row r="33" spans="2:14" ht="15.75" customHeight="1" x14ac:dyDescent="0.25">
      <c r="B33" s="20"/>
      <c r="C33" s="5" t="s">
        <v>200</v>
      </c>
      <c r="D33" s="6" t="s">
        <v>48</v>
      </c>
      <c r="E33" s="11">
        <v>3.9800000000000002E-2</v>
      </c>
      <c r="F33" s="1"/>
      <c r="G33" s="1"/>
      <c r="H33" s="1"/>
      <c r="I33" s="1"/>
      <c r="J33" s="1"/>
      <c r="K33" s="1"/>
      <c r="L33" s="1"/>
      <c r="M33" s="1"/>
      <c r="N33" s="18"/>
    </row>
    <row r="34" spans="2:14" ht="15" customHeight="1" x14ac:dyDescent="0.25">
      <c r="B34" s="20"/>
      <c r="C34" s="5" t="s">
        <v>201</v>
      </c>
      <c r="D34" s="6" t="s">
        <v>48</v>
      </c>
      <c r="E34" s="11">
        <v>3.6915999999999997E-2</v>
      </c>
      <c r="F34" s="1"/>
      <c r="G34" s="1"/>
      <c r="H34" s="1"/>
      <c r="I34" s="1"/>
      <c r="J34" s="1"/>
      <c r="K34" s="1"/>
      <c r="L34" s="1"/>
      <c r="M34" s="1"/>
      <c r="N34" s="18"/>
    </row>
    <row r="35" spans="2:14" ht="15.75" customHeight="1" x14ac:dyDescent="0.25">
      <c r="B35" s="20"/>
      <c r="C35" s="5" t="s">
        <v>189</v>
      </c>
      <c r="D35" s="6" t="s">
        <v>48</v>
      </c>
      <c r="E35" s="11">
        <v>1.4272999999999999E-2</v>
      </c>
      <c r="F35" s="1"/>
      <c r="G35" s="1"/>
      <c r="H35" s="1"/>
      <c r="I35" s="1"/>
      <c r="J35" s="1"/>
      <c r="K35" s="1"/>
      <c r="L35" s="1"/>
      <c r="M35" s="1"/>
      <c r="N35" s="18"/>
    </row>
    <row r="36" spans="2:14" ht="15" customHeight="1" x14ac:dyDescent="0.25">
      <c r="B36" s="20"/>
      <c r="C36" s="5" t="s">
        <v>204</v>
      </c>
      <c r="D36" s="6" t="s">
        <v>48</v>
      </c>
      <c r="E36" s="11">
        <v>1.4215999999999999E-2</v>
      </c>
      <c r="F36" s="1"/>
      <c r="G36" s="1"/>
      <c r="H36" s="1"/>
      <c r="I36" s="1"/>
      <c r="J36" s="1"/>
      <c r="K36" s="1"/>
      <c r="L36" s="1"/>
      <c r="M36" s="1"/>
      <c r="N36" s="18"/>
    </row>
    <row r="37" spans="2:14" ht="15.75" customHeight="1" x14ac:dyDescent="0.25">
      <c r="B37" s="20"/>
      <c r="C37" s="5" t="s">
        <v>188</v>
      </c>
      <c r="D37" s="6" t="s">
        <v>48</v>
      </c>
      <c r="E37" s="11">
        <v>9.4999999999999998E-3</v>
      </c>
      <c r="F37" s="1"/>
      <c r="G37" s="1"/>
      <c r="H37" s="1"/>
      <c r="I37" s="1"/>
      <c r="J37" s="1"/>
      <c r="K37" s="1"/>
      <c r="L37" s="1"/>
      <c r="M37" s="1"/>
      <c r="N37" s="18"/>
    </row>
    <row r="38" spans="2:14" ht="15" customHeight="1" x14ac:dyDescent="0.25">
      <c r="B38" s="20"/>
      <c r="C38" s="5" t="s">
        <v>186</v>
      </c>
      <c r="D38" s="6" t="s">
        <v>48</v>
      </c>
      <c r="E38" s="11">
        <v>9.4800000000000006E-3</v>
      </c>
      <c r="F38" s="1"/>
      <c r="G38" s="1"/>
      <c r="H38" s="1"/>
      <c r="I38" s="1"/>
      <c r="J38" s="1"/>
      <c r="K38" s="1"/>
      <c r="L38" s="1"/>
      <c r="M38" s="1"/>
      <c r="N38" s="18"/>
    </row>
    <row r="39" spans="2:14" ht="15.75" customHeight="1" x14ac:dyDescent="0.25">
      <c r="B39" s="20"/>
      <c r="C39" s="5" t="s">
        <v>192</v>
      </c>
      <c r="D39" s="6" t="s">
        <v>48</v>
      </c>
      <c r="E39" s="11">
        <v>9.4800000000000006E-3</v>
      </c>
      <c r="F39" s="1"/>
      <c r="G39" s="1"/>
      <c r="H39" s="1"/>
      <c r="I39" s="1"/>
      <c r="J39" s="1"/>
      <c r="K39" s="1"/>
      <c r="L39" s="1"/>
      <c r="M39" s="1"/>
      <c r="N39" s="18"/>
    </row>
    <row r="40" spans="2:14" ht="15" customHeight="1" x14ac:dyDescent="0.25">
      <c r="B40" s="20"/>
      <c r="C40" s="5" t="s">
        <v>198</v>
      </c>
      <c r="D40" s="6" t="s">
        <v>48</v>
      </c>
      <c r="E40" s="11">
        <v>9.4789999999999996E-3</v>
      </c>
      <c r="F40" s="1"/>
      <c r="G40" s="1"/>
      <c r="H40" s="1"/>
      <c r="I40" s="1"/>
      <c r="J40" s="1"/>
      <c r="K40" s="1"/>
      <c r="L40" s="1"/>
      <c r="M40" s="1"/>
      <c r="N40" s="18"/>
    </row>
    <row r="41" spans="2:14" ht="15" customHeight="1" x14ac:dyDescent="0.25">
      <c r="B41" s="20"/>
      <c r="C41" s="5" t="s">
        <v>190</v>
      </c>
      <c r="D41" s="6" t="s">
        <v>48</v>
      </c>
      <c r="E41" s="11">
        <v>6.6649999999999999E-3</v>
      </c>
      <c r="F41" s="1"/>
      <c r="G41" s="1"/>
      <c r="H41" s="1"/>
      <c r="I41" s="1"/>
      <c r="J41" s="1"/>
      <c r="K41" s="1"/>
      <c r="L41" s="1"/>
      <c r="M41" s="1"/>
      <c r="N41" s="18"/>
    </row>
    <row r="42" spans="2:14" ht="15" customHeight="1" x14ac:dyDescent="0.25">
      <c r="B42" s="20"/>
      <c r="C42" s="5" t="s">
        <v>187</v>
      </c>
      <c r="D42" s="6" t="s">
        <v>48</v>
      </c>
      <c r="E42" s="11">
        <v>6.6350000000000003E-3</v>
      </c>
      <c r="F42" s="1"/>
      <c r="G42" s="1"/>
      <c r="H42" s="1"/>
      <c r="I42" s="1"/>
      <c r="J42" s="1"/>
      <c r="K42" s="1"/>
      <c r="L42" s="1"/>
      <c r="M42" s="1"/>
      <c r="N42" s="18"/>
    </row>
    <row r="43" spans="2:14" ht="15" customHeight="1" x14ac:dyDescent="0.25">
      <c r="B43" s="20"/>
      <c r="C43" s="5" t="s">
        <v>196</v>
      </c>
      <c r="D43" s="6" t="s">
        <v>48</v>
      </c>
      <c r="E43" s="11">
        <v>6.6319999999999999E-3</v>
      </c>
      <c r="F43" s="1"/>
      <c r="G43" s="1"/>
      <c r="H43" s="1"/>
      <c r="I43" s="1"/>
      <c r="J43" s="1"/>
      <c r="K43" s="1"/>
      <c r="L43" s="1"/>
      <c r="M43" s="1"/>
      <c r="N43" s="18"/>
    </row>
    <row r="44" spans="2:14" ht="15" customHeight="1" x14ac:dyDescent="0.25">
      <c r="B44" s="20"/>
      <c r="C44" s="5" t="s">
        <v>197</v>
      </c>
      <c r="D44" s="6" t="s">
        <v>48</v>
      </c>
      <c r="E44" s="11">
        <v>6.6319999999999999E-3</v>
      </c>
      <c r="F44" s="1"/>
      <c r="G44" s="1"/>
      <c r="H44" s="1"/>
      <c r="I44" s="1"/>
      <c r="J44" s="1"/>
      <c r="K44" s="1"/>
      <c r="L44" s="1"/>
      <c r="M44" s="1"/>
      <c r="N44" s="18"/>
    </row>
    <row r="45" spans="2:14" ht="15" customHeight="1" x14ac:dyDescent="0.25">
      <c r="B45" s="20"/>
      <c r="C45" s="5" t="s">
        <v>193</v>
      </c>
      <c r="D45" s="6" t="s">
        <v>48</v>
      </c>
      <c r="E45" s="11">
        <v>4.7549999999999997E-3</v>
      </c>
      <c r="F45" s="1"/>
      <c r="G45" s="1"/>
      <c r="H45" s="1"/>
      <c r="I45" s="1"/>
      <c r="J45" s="1"/>
      <c r="K45" s="1"/>
      <c r="L45" s="1"/>
      <c r="M45" s="1"/>
      <c r="N45" s="18"/>
    </row>
    <row r="46" spans="2:14" ht="15" customHeight="1" x14ac:dyDescent="0.25">
      <c r="B46" s="20"/>
      <c r="C46" s="5" t="s">
        <v>203</v>
      </c>
      <c r="D46" s="6" t="s">
        <v>48</v>
      </c>
      <c r="E46" s="11">
        <v>4.738E-3</v>
      </c>
      <c r="F46" s="1"/>
      <c r="G46" s="1"/>
      <c r="H46" s="1"/>
      <c r="I46" s="1"/>
      <c r="J46" s="1"/>
      <c r="K46" s="1"/>
      <c r="L46" s="1"/>
      <c r="M46" s="1"/>
      <c r="N46" s="18"/>
    </row>
    <row r="47" spans="2:14" ht="15" customHeight="1" x14ac:dyDescent="0.25">
      <c r="B47" s="20"/>
      <c r="C47" s="5" t="s">
        <v>195</v>
      </c>
      <c r="D47" s="6" t="s">
        <v>48</v>
      </c>
      <c r="E47" s="11">
        <v>2.8530000000000001E-3</v>
      </c>
      <c r="F47" s="1"/>
      <c r="G47" s="1"/>
      <c r="H47" s="1"/>
      <c r="I47" s="1"/>
      <c r="J47" s="1"/>
      <c r="K47" s="1"/>
      <c r="L47" s="1"/>
      <c r="M47" s="1"/>
      <c r="N47" s="18"/>
    </row>
    <row r="48" spans="2:14" ht="15" customHeight="1" x14ac:dyDescent="0.25">
      <c r="B48" s="20"/>
      <c r="C48" s="5" t="s">
        <v>194</v>
      </c>
      <c r="D48" s="6" t="s">
        <v>48</v>
      </c>
      <c r="E48" s="11">
        <v>1.9E-3</v>
      </c>
      <c r="F48" s="1"/>
      <c r="G48" s="1"/>
      <c r="H48" s="1"/>
      <c r="I48" s="1"/>
      <c r="J48" s="1"/>
      <c r="K48" s="1"/>
      <c r="L48" s="1"/>
      <c r="M48" s="1"/>
      <c r="N48" s="18"/>
    </row>
    <row r="49" spans="2:14" ht="15" customHeight="1" x14ac:dyDescent="0.25">
      <c r="B49" s="20"/>
      <c r="C49" s="5" t="s">
        <v>191</v>
      </c>
      <c r="D49" s="6" t="s">
        <v>48</v>
      </c>
      <c r="E49" s="11">
        <v>1.895E-3</v>
      </c>
      <c r="F49" s="1"/>
      <c r="G49" s="1"/>
      <c r="H49" s="1"/>
      <c r="I49" s="1"/>
      <c r="J49" s="1"/>
      <c r="K49" s="1"/>
      <c r="L49" s="1"/>
      <c r="M49" s="1"/>
      <c r="N49" s="18"/>
    </row>
    <row r="50" spans="2:14" ht="15" customHeight="1" x14ac:dyDescent="0.25">
      <c r="B50" s="20"/>
      <c r="C50" s="5" t="s">
        <v>202</v>
      </c>
      <c r="D50" s="6" t="s">
        <v>48</v>
      </c>
      <c r="E50" s="11">
        <v>2.7999999999999998E-4</v>
      </c>
      <c r="F50" s="1"/>
      <c r="G50" s="1"/>
      <c r="H50" s="1"/>
      <c r="I50" s="1"/>
      <c r="J50" s="1"/>
      <c r="K50" s="1"/>
      <c r="L50" s="1"/>
      <c r="M50" s="1"/>
      <c r="N50" s="18"/>
    </row>
    <row r="51" spans="2:14" ht="15" customHeight="1" x14ac:dyDescent="0.25">
      <c r="B51" s="20"/>
      <c r="C51" s="7" t="s">
        <v>52</v>
      </c>
      <c r="D51" s="8"/>
      <c r="E51" s="12">
        <v>0.23161999999999999</v>
      </c>
      <c r="F51" s="1"/>
      <c r="G51" s="1"/>
      <c r="H51" s="1"/>
      <c r="I51" s="1"/>
      <c r="J51" s="1"/>
      <c r="K51" s="1"/>
      <c r="L51" s="1"/>
      <c r="M51" s="1"/>
      <c r="N51" s="18"/>
    </row>
    <row r="52" spans="2:14" ht="15" customHeight="1" x14ac:dyDescent="0.25">
      <c r="B52" s="20"/>
      <c r="C52" s="5" t="s">
        <v>170</v>
      </c>
      <c r="D52" s="6" t="s">
        <v>48</v>
      </c>
      <c r="E52" s="11">
        <v>1.73E-4</v>
      </c>
      <c r="F52" s="1"/>
      <c r="G52" s="1"/>
      <c r="H52" s="1"/>
      <c r="I52" s="1"/>
      <c r="J52" s="1"/>
      <c r="K52" s="1"/>
      <c r="L52" s="1"/>
      <c r="M52" s="1"/>
      <c r="N52" s="18"/>
    </row>
    <row r="53" spans="2:14" ht="15" customHeight="1" x14ac:dyDescent="0.25">
      <c r="B53" s="20"/>
      <c r="C53" s="7" t="s">
        <v>92</v>
      </c>
      <c r="D53" s="8"/>
      <c r="E53" s="12">
        <v>1.73E-4</v>
      </c>
      <c r="F53" s="1"/>
      <c r="G53" s="1"/>
      <c r="H53" s="1"/>
      <c r="I53" s="1"/>
      <c r="J53" s="1"/>
      <c r="K53" s="1"/>
      <c r="L53" s="1"/>
      <c r="M53" s="1"/>
      <c r="N53" s="18"/>
    </row>
    <row r="54" spans="2:14" ht="15" customHeight="1" x14ac:dyDescent="0.25">
      <c r="B54" s="20"/>
      <c r="C54" s="5" t="s">
        <v>9</v>
      </c>
      <c r="D54" s="6"/>
      <c r="E54" s="11">
        <v>1.7697999999999998E-2</v>
      </c>
      <c r="F54" s="1"/>
      <c r="G54" s="1"/>
      <c r="H54" s="1"/>
      <c r="I54" s="1"/>
      <c r="J54" s="1"/>
      <c r="K54" s="1"/>
      <c r="L54" s="1"/>
      <c r="M54" s="1"/>
      <c r="N54" s="18"/>
    </row>
    <row r="55" spans="2:14" ht="15" customHeight="1" x14ac:dyDescent="0.25">
      <c r="B55" s="20"/>
      <c r="C55" s="7" t="s">
        <v>10</v>
      </c>
      <c r="D55" s="8"/>
      <c r="E55" s="12">
        <v>1.7697999999999998E-2</v>
      </c>
      <c r="F55" s="1"/>
      <c r="G55" s="1"/>
      <c r="H55" s="1"/>
      <c r="I55" s="1"/>
      <c r="J55" s="1"/>
      <c r="K55" s="1"/>
      <c r="L55" s="1"/>
      <c r="M55" s="1"/>
      <c r="N55" s="18"/>
    </row>
    <row r="56" spans="2:14" ht="15" customHeight="1" x14ac:dyDescent="0.25">
      <c r="B56" s="20"/>
      <c r="C56" s="5"/>
      <c r="D56" s="6"/>
      <c r="E56" s="11"/>
      <c r="F56" s="1"/>
      <c r="G56" s="1"/>
      <c r="H56" s="1"/>
      <c r="I56" s="1"/>
      <c r="J56" s="1"/>
      <c r="K56" s="1"/>
      <c r="L56" s="1"/>
      <c r="M56" s="1"/>
      <c r="N56" s="18"/>
    </row>
    <row r="57" spans="2:14" ht="15" customHeight="1" x14ac:dyDescent="0.25">
      <c r="B57" s="20"/>
      <c r="C57" s="7" t="s">
        <v>11</v>
      </c>
      <c r="D57" s="8"/>
      <c r="E57" s="12">
        <v>1.1485E-2</v>
      </c>
      <c r="F57" s="1"/>
      <c r="G57" s="1"/>
      <c r="H57" s="1"/>
      <c r="I57" s="1"/>
      <c r="J57" s="1"/>
      <c r="K57" s="1"/>
      <c r="L57" s="1"/>
      <c r="M57" s="1"/>
      <c r="N57" s="18"/>
    </row>
    <row r="58" spans="2:14" ht="15" customHeight="1" x14ac:dyDescent="0.25">
      <c r="B58" s="20"/>
      <c r="C58" s="5"/>
      <c r="D58" s="6"/>
      <c r="E58" s="11"/>
      <c r="F58" s="1"/>
      <c r="G58" s="1"/>
      <c r="H58" s="1"/>
      <c r="I58" s="1"/>
      <c r="J58" s="1"/>
      <c r="K58" s="1"/>
      <c r="L58" s="1"/>
      <c r="M58" s="1"/>
      <c r="N58" s="18"/>
    </row>
    <row r="59" spans="2:14" ht="15" customHeight="1" x14ac:dyDescent="0.25">
      <c r="B59" s="20"/>
      <c r="C59" s="9" t="s">
        <v>12</v>
      </c>
      <c r="D59" s="10"/>
      <c r="E59" s="13">
        <v>1</v>
      </c>
      <c r="F59" s="1"/>
      <c r="G59" s="1"/>
      <c r="H59" s="1"/>
      <c r="I59" s="1"/>
      <c r="J59" s="1"/>
      <c r="K59" s="1"/>
      <c r="L59" s="1"/>
      <c r="M59" s="1"/>
      <c r="N59" s="18"/>
    </row>
    <row r="60" spans="2:14" ht="15" customHeight="1" x14ac:dyDescent="0.25">
      <c r="B60" s="20"/>
      <c r="C60" s="1"/>
      <c r="D60" s="1"/>
      <c r="E60" s="1"/>
      <c r="F60" s="1"/>
      <c r="G60" s="1"/>
      <c r="H60" s="1"/>
      <c r="I60" s="1"/>
      <c r="J60" s="1"/>
      <c r="K60" s="1"/>
      <c r="L60" s="1"/>
      <c r="M60" s="1"/>
      <c r="N60" s="18"/>
    </row>
    <row r="61" spans="2:14" ht="15" customHeight="1" thickBot="1" x14ac:dyDescent="0.3">
      <c r="B61" s="21"/>
      <c r="C61" s="22"/>
      <c r="D61" s="22"/>
      <c r="E61" s="22"/>
      <c r="F61" s="22"/>
      <c r="G61" s="22"/>
      <c r="H61" s="22"/>
      <c r="I61" s="22"/>
      <c r="J61" s="22"/>
      <c r="K61" s="22"/>
      <c r="L61" s="22"/>
      <c r="M61" s="22"/>
      <c r="N61" s="23"/>
    </row>
    <row r="62" spans="2:14" ht="15" customHeight="1" thickBot="1" x14ac:dyDescent="0.3"/>
    <row r="63" spans="2:14" ht="15" customHeight="1" x14ac:dyDescent="0.25">
      <c r="B63" s="67" t="s">
        <v>296</v>
      </c>
      <c r="C63" s="68"/>
      <c r="D63" s="68"/>
      <c r="E63" s="68"/>
      <c r="F63" s="68"/>
      <c r="G63" s="68"/>
      <c r="H63" s="68"/>
      <c r="I63" s="68"/>
      <c r="J63" s="68"/>
      <c r="K63" s="68"/>
      <c r="L63" s="68"/>
      <c r="M63" s="68"/>
      <c r="N63" s="69"/>
    </row>
    <row r="64" spans="2:14" ht="15" customHeight="1" x14ac:dyDescent="0.25">
      <c r="B64" s="70"/>
      <c r="C64" s="71"/>
      <c r="D64" s="71"/>
      <c r="E64" s="71"/>
      <c r="F64" s="71"/>
      <c r="G64" s="71"/>
      <c r="H64" s="71"/>
      <c r="I64" s="71"/>
      <c r="J64" s="71"/>
      <c r="K64" s="71"/>
      <c r="L64" s="71"/>
      <c r="M64" s="71"/>
      <c r="N64" s="72"/>
    </row>
    <row r="65" spans="2:14" ht="15" customHeight="1" x14ac:dyDescent="0.25">
      <c r="B65" s="70"/>
      <c r="C65" s="71"/>
      <c r="D65" s="71"/>
      <c r="E65" s="71"/>
      <c r="F65" s="71"/>
      <c r="G65" s="71"/>
      <c r="H65" s="71"/>
      <c r="I65" s="71"/>
      <c r="J65" s="71"/>
      <c r="K65" s="71"/>
      <c r="L65" s="71"/>
      <c r="M65" s="71"/>
      <c r="N65" s="72"/>
    </row>
    <row r="66" spans="2:14" ht="15" customHeight="1" thickBot="1" x14ac:dyDescent="0.3">
      <c r="B66" s="73"/>
      <c r="C66" s="74"/>
      <c r="D66" s="74"/>
      <c r="E66" s="74"/>
      <c r="F66" s="74"/>
      <c r="G66" s="74"/>
      <c r="H66" s="74"/>
      <c r="I66" s="74"/>
      <c r="J66" s="74"/>
      <c r="K66" s="74"/>
      <c r="L66" s="74"/>
      <c r="M66" s="74"/>
      <c r="N66" s="75"/>
    </row>
    <row r="67" spans="2:14" ht="15" customHeight="1" thickBot="1" x14ac:dyDescent="0.3"/>
    <row r="68" spans="2:14" ht="120.75" customHeight="1" thickBot="1" x14ac:dyDescent="0.3">
      <c r="B68" s="76" t="s">
        <v>302</v>
      </c>
      <c r="C68" s="77"/>
      <c r="D68" s="77"/>
      <c r="E68" s="77"/>
      <c r="F68" s="77"/>
      <c r="G68" s="77"/>
      <c r="H68" s="77"/>
      <c r="I68" s="77"/>
      <c r="J68" s="77"/>
      <c r="K68" s="77"/>
      <c r="L68" s="77"/>
      <c r="M68" s="77"/>
      <c r="N68" s="78"/>
    </row>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sheetData>
  <sortState ref="C32:E50">
    <sortCondition descending="1" ref="E32"/>
  </sortState>
  <mergeCells count="7">
    <mergeCell ref="B63:N66"/>
    <mergeCell ref="B68:N68"/>
    <mergeCell ref="C3:N3"/>
    <mergeCell ref="D5:E5"/>
    <mergeCell ref="G7:N7"/>
    <mergeCell ref="G24:K24"/>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6BD4E-A1E2-4AB2-88F0-FF9DC5D4CA99}">
  <dimension ref="B1:N67"/>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171</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172</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17</v>
      </c>
      <c r="H7" s="85"/>
      <c r="I7" s="85"/>
      <c r="J7" s="85"/>
      <c r="K7" s="85"/>
      <c r="L7" s="85"/>
      <c r="M7" s="85"/>
      <c r="N7" s="86"/>
    </row>
    <row r="8" spans="2:14" ht="15" customHeight="1" x14ac:dyDescent="0.25">
      <c r="B8" s="20"/>
      <c r="C8" s="5" t="s">
        <v>43</v>
      </c>
      <c r="D8" s="6" t="s">
        <v>23</v>
      </c>
      <c r="E8" s="11">
        <v>0.118212</v>
      </c>
      <c r="F8" s="1"/>
      <c r="G8" s="24" t="s">
        <v>16</v>
      </c>
      <c r="H8" s="25">
        <v>1</v>
      </c>
      <c r="I8" s="1"/>
      <c r="J8" s="24" t="s">
        <v>13</v>
      </c>
      <c r="K8" s="24" t="s">
        <v>5</v>
      </c>
      <c r="L8" s="1"/>
      <c r="M8" s="1"/>
      <c r="N8" s="18"/>
    </row>
    <row r="9" spans="2:14" ht="15" customHeight="1" x14ac:dyDescent="0.25">
      <c r="B9" s="20"/>
      <c r="C9" s="5" t="s">
        <v>29</v>
      </c>
      <c r="D9" s="6" t="s">
        <v>23</v>
      </c>
      <c r="E9" s="11">
        <v>9.6126000000000003E-2</v>
      </c>
      <c r="F9" s="1"/>
      <c r="G9" s="1"/>
      <c r="H9" s="1"/>
      <c r="I9" s="1"/>
      <c r="J9" s="24" t="s">
        <v>11</v>
      </c>
      <c r="K9" s="28">
        <v>-3.4009999999999999E-3</v>
      </c>
      <c r="L9" s="1"/>
      <c r="M9" s="1"/>
      <c r="N9" s="18"/>
    </row>
    <row r="10" spans="2:14" ht="15" customHeight="1" x14ac:dyDescent="0.25">
      <c r="B10" s="20"/>
      <c r="C10" s="5" t="s">
        <v>31</v>
      </c>
      <c r="D10" s="6" t="s">
        <v>23</v>
      </c>
      <c r="E10" s="11">
        <v>7.2793999999999998E-2</v>
      </c>
      <c r="F10" s="1"/>
      <c r="G10" s="1"/>
      <c r="H10" s="1"/>
      <c r="I10" s="1"/>
      <c r="J10" s="24" t="s">
        <v>14</v>
      </c>
      <c r="K10" s="28">
        <v>2.0088000000000002E-2</v>
      </c>
      <c r="L10" s="1"/>
      <c r="M10" s="1"/>
      <c r="N10" s="18"/>
    </row>
    <row r="11" spans="2:14" ht="15" customHeight="1" x14ac:dyDescent="0.25">
      <c r="B11" s="20"/>
      <c r="C11" s="5" t="s">
        <v>147</v>
      </c>
      <c r="D11" s="6" t="s">
        <v>23</v>
      </c>
      <c r="E11" s="11">
        <v>4.9501999999999997E-2</v>
      </c>
      <c r="F11" s="1"/>
      <c r="G11" s="1"/>
      <c r="H11" s="1"/>
      <c r="I11" s="1"/>
      <c r="J11" s="24" t="s">
        <v>53</v>
      </c>
      <c r="K11" s="28">
        <v>0.60245899999999997</v>
      </c>
      <c r="L11" s="1"/>
      <c r="M11" s="1"/>
      <c r="N11" s="18"/>
    </row>
    <row r="12" spans="2:14" ht="15" customHeight="1" x14ac:dyDescent="0.25">
      <c r="B12" s="20"/>
      <c r="C12" s="5" t="s">
        <v>22</v>
      </c>
      <c r="D12" s="6" t="s">
        <v>23</v>
      </c>
      <c r="E12" s="11">
        <v>4.8874000000000001E-2</v>
      </c>
      <c r="F12" s="1"/>
      <c r="G12" s="1"/>
      <c r="H12" s="1"/>
      <c r="I12" s="1"/>
      <c r="J12" s="24" t="s">
        <v>55</v>
      </c>
      <c r="K12" s="28">
        <v>0.25309100000000001</v>
      </c>
      <c r="L12" s="1"/>
      <c r="M12" s="1"/>
      <c r="N12" s="18"/>
    </row>
    <row r="13" spans="2:14" ht="15" customHeight="1" x14ac:dyDescent="0.25">
      <c r="B13" s="20"/>
      <c r="C13" s="5" t="s">
        <v>40</v>
      </c>
      <c r="D13" s="6" t="s">
        <v>23</v>
      </c>
      <c r="E13" s="11">
        <v>4.8804E-2</v>
      </c>
      <c r="F13" s="1"/>
      <c r="G13" s="1"/>
      <c r="H13" s="1"/>
      <c r="I13" s="1"/>
      <c r="J13" s="24" t="s">
        <v>56</v>
      </c>
      <c r="K13" s="28">
        <v>1.928E-3</v>
      </c>
      <c r="L13" s="1"/>
      <c r="M13" s="1"/>
      <c r="N13" s="18"/>
    </row>
    <row r="14" spans="2:14" ht="15" customHeight="1" x14ac:dyDescent="0.25">
      <c r="B14" s="20"/>
      <c r="C14" s="5" t="s">
        <v>149</v>
      </c>
      <c r="D14" s="6" t="s">
        <v>23</v>
      </c>
      <c r="E14" s="11">
        <v>4.3499999999999997E-2</v>
      </c>
      <c r="F14" s="1"/>
      <c r="G14" s="1"/>
      <c r="H14" s="1"/>
      <c r="I14" s="1"/>
      <c r="J14" s="24" t="s">
        <v>94</v>
      </c>
      <c r="K14" s="28">
        <v>0.125835</v>
      </c>
      <c r="L14" s="1"/>
      <c r="M14" s="1"/>
      <c r="N14" s="18"/>
    </row>
    <row r="15" spans="2:14" ht="15" customHeight="1" x14ac:dyDescent="0.25">
      <c r="B15" s="20"/>
      <c r="C15" s="5" t="s">
        <v>103</v>
      </c>
      <c r="D15" s="6" t="s">
        <v>23</v>
      </c>
      <c r="E15" s="11">
        <v>3.2728E-2</v>
      </c>
      <c r="F15" s="1"/>
      <c r="G15" s="1"/>
      <c r="H15" s="1"/>
      <c r="I15" s="1"/>
      <c r="J15" s="1"/>
      <c r="K15" s="1"/>
      <c r="L15" s="1"/>
      <c r="M15" s="1"/>
      <c r="N15" s="18"/>
    </row>
    <row r="16" spans="2:14" ht="15" customHeight="1" x14ac:dyDescent="0.25">
      <c r="B16" s="20"/>
      <c r="C16" s="5" t="s">
        <v>27</v>
      </c>
      <c r="D16" s="6" t="s">
        <v>23</v>
      </c>
      <c r="E16" s="11">
        <v>2.8344999999999999E-2</v>
      </c>
      <c r="F16" s="1"/>
      <c r="G16" s="1"/>
      <c r="H16" s="1"/>
      <c r="I16" s="1"/>
      <c r="J16" s="1"/>
      <c r="K16" s="1"/>
      <c r="L16" s="1"/>
      <c r="M16" s="1"/>
      <c r="N16" s="18"/>
    </row>
    <row r="17" spans="2:14" ht="15" customHeight="1" x14ac:dyDescent="0.25">
      <c r="B17" s="20"/>
      <c r="C17" s="5" t="s">
        <v>173</v>
      </c>
      <c r="D17" s="6" t="s">
        <v>23</v>
      </c>
      <c r="E17" s="11">
        <v>2.8243999999999998E-2</v>
      </c>
      <c r="F17" s="1"/>
      <c r="G17" s="1"/>
      <c r="H17" s="1"/>
      <c r="I17" s="1"/>
      <c r="J17" s="1"/>
      <c r="K17" s="1"/>
      <c r="L17" s="1"/>
      <c r="M17" s="1"/>
      <c r="N17" s="18"/>
    </row>
    <row r="18" spans="2:14" ht="15" customHeight="1" x14ac:dyDescent="0.25">
      <c r="B18" s="20"/>
      <c r="C18" s="5" t="s">
        <v>174</v>
      </c>
      <c r="D18" s="6" t="s">
        <v>23</v>
      </c>
      <c r="E18" s="11">
        <v>2.1259E-2</v>
      </c>
      <c r="F18" s="1"/>
      <c r="G18" s="1"/>
      <c r="H18" s="1"/>
      <c r="I18" s="1"/>
      <c r="J18" s="1"/>
      <c r="K18" s="1"/>
      <c r="L18" s="1"/>
      <c r="M18" s="1"/>
      <c r="N18" s="18"/>
    </row>
    <row r="19" spans="2:14" ht="15" customHeight="1" x14ac:dyDescent="0.25">
      <c r="B19" s="20"/>
      <c r="C19" s="5" t="s">
        <v>24</v>
      </c>
      <c r="D19" s="6" t="s">
        <v>23</v>
      </c>
      <c r="E19" s="11">
        <v>1.4071E-2</v>
      </c>
      <c r="F19" s="1"/>
      <c r="G19" s="1"/>
      <c r="H19" s="1"/>
      <c r="I19" s="1"/>
      <c r="J19" s="1"/>
      <c r="K19" s="1"/>
      <c r="L19" s="1"/>
      <c r="M19" s="1"/>
      <c r="N19" s="18"/>
    </row>
    <row r="20" spans="2:14" ht="15.75" customHeight="1" x14ac:dyDescent="0.25">
      <c r="B20" s="20"/>
      <c r="C20" s="7" t="s">
        <v>25</v>
      </c>
      <c r="D20" s="8"/>
      <c r="E20" s="12">
        <v>0.60245899999999997</v>
      </c>
      <c r="F20" s="1"/>
      <c r="G20" s="1"/>
      <c r="H20" s="1"/>
      <c r="I20" s="1"/>
      <c r="J20" s="1"/>
      <c r="K20" s="1"/>
      <c r="L20" s="1"/>
      <c r="M20" s="1"/>
      <c r="N20" s="18"/>
    </row>
    <row r="21" spans="2:14" ht="15" customHeight="1" x14ac:dyDescent="0.25">
      <c r="B21" s="20"/>
      <c r="C21" s="5" t="s">
        <v>27</v>
      </c>
      <c r="D21" s="6" t="s">
        <v>23</v>
      </c>
      <c r="E21" s="11">
        <v>9.1738E-2</v>
      </c>
      <c r="F21" s="1"/>
      <c r="G21" s="1"/>
      <c r="H21" s="1"/>
      <c r="I21" s="1"/>
      <c r="J21" s="1"/>
      <c r="K21" s="1"/>
      <c r="L21" s="1"/>
      <c r="M21" s="1"/>
      <c r="N21" s="18"/>
    </row>
    <row r="22" spans="2:14" ht="15" customHeight="1" x14ac:dyDescent="0.25">
      <c r="B22" s="20"/>
      <c r="C22" s="5" t="s">
        <v>154</v>
      </c>
      <c r="D22" s="6" t="s">
        <v>23</v>
      </c>
      <c r="E22" s="11">
        <v>4.9173000000000001E-2</v>
      </c>
      <c r="F22" s="1"/>
      <c r="G22" s="1"/>
      <c r="H22" s="1"/>
      <c r="I22" s="1"/>
      <c r="J22" s="1"/>
      <c r="K22" s="1"/>
      <c r="L22" s="1"/>
      <c r="M22" s="1"/>
      <c r="N22" s="18"/>
    </row>
    <row r="23" spans="2:14" ht="15" customHeight="1" x14ac:dyDescent="0.25">
      <c r="B23" s="20"/>
      <c r="C23" s="5" t="s">
        <v>34</v>
      </c>
      <c r="D23" s="6" t="s">
        <v>23</v>
      </c>
      <c r="E23" s="11">
        <v>2.8046999999999999E-2</v>
      </c>
      <c r="F23" s="1"/>
      <c r="G23" s="1"/>
      <c r="H23" s="1"/>
      <c r="I23" s="1"/>
      <c r="J23" s="1"/>
      <c r="K23" s="1"/>
      <c r="L23" s="1"/>
      <c r="M23" s="1"/>
      <c r="N23" s="18"/>
    </row>
    <row r="24" spans="2:14" ht="15" customHeight="1" x14ac:dyDescent="0.25">
      <c r="B24" s="20"/>
      <c r="C24" s="5" t="s">
        <v>31</v>
      </c>
      <c r="D24" s="6" t="s">
        <v>23</v>
      </c>
      <c r="E24" s="11">
        <v>2.1211000000000001E-2</v>
      </c>
      <c r="F24" s="1"/>
      <c r="G24" s="84" t="s">
        <v>130</v>
      </c>
      <c r="H24" s="85"/>
      <c r="I24" s="85"/>
      <c r="J24" s="85"/>
      <c r="K24" s="85"/>
      <c r="L24" s="65">
        <v>128.21553685618528</v>
      </c>
      <c r="M24" s="26"/>
      <c r="N24" s="27"/>
    </row>
    <row r="25" spans="2:14" ht="15" customHeight="1" x14ac:dyDescent="0.25">
      <c r="B25" s="20"/>
      <c r="C25" s="5" t="s">
        <v>175</v>
      </c>
      <c r="D25" s="6" t="s">
        <v>23</v>
      </c>
      <c r="E25" s="11">
        <v>2.0781999999999998E-2</v>
      </c>
      <c r="F25" s="1"/>
      <c r="G25" s="1"/>
      <c r="H25" s="1"/>
      <c r="I25" s="1"/>
      <c r="J25" s="1"/>
      <c r="K25" s="1"/>
      <c r="L25" s="1"/>
      <c r="M25" s="1"/>
      <c r="N25" s="18"/>
    </row>
    <row r="26" spans="2:14" ht="15" customHeight="1" x14ac:dyDescent="0.25">
      <c r="B26" s="20"/>
      <c r="C26" s="5" t="s">
        <v>24</v>
      </c>
      <c r="D26" s="6" t="s">
        <v>23</v>
      </c>
      <c r="E26" s="11">
        <v>1.4067E-2</v>
      </c>
      <c r="F26" s="1"/>
      <c r="G26" s="84" t="s">
        <v>19</v>
      </c>
      <c r="H26" s="85"/>
      <c r="I26" s="85"/>
      <c r="J26" s="85"/>
      <c r="K26" s="85"/>
      <c r="L26" s="85"/>
      <c r="M26" s="85"/>
      <c r="N26" s="86"/>
    </row>
    <row r="27" spans="2:14" ht="15" customHeight="1" x14ac:dyDescent="0.25">
      <c r="B27" s="20"/>
      <c r="C27" s="5" t="s">
        <v>155</v>
      </c>
      <c r="D27" s="6" t="s">
        <v>23</v>
      </c>
      <c r="E27" s="11">
        <v>1.4024999999999999E-2</v>
      </c>
      <c r="F27" s="1"/>
      <c r="G27" s="1"/>
      <c r="H27" s="1"/>
      <c r="I27" s="1"/>
      <c r="J27" s="1"/>
      <c r="K27" s="1"/>
      <c r="L27" s="1"/>
      <c r="M27" s="1"/>
      <c r="N27" s="18"/>
    </row>
    <row r="28" spans="2:14" ht="15" customHeight="1" x14ac:dyDescent="0.25">
      <c r="B28" s="20"/>
      <c r="C28" s="5" t="s">
        <v>156</v>
      </c>
      <c r="D28" s="6" t="s">
        <v>23</v>
      </c>
      <c r="E28" s="11">
        <v>7.0320000000000001E-3</v>
      </c>
      <c r="F28" s="1"/>
      <c r="G28" s="1"/>
      <c r="H28" s="1"/>
      <c r="I28" s="1"/>
      <c r="J28" s="1"/>
      <c r="K28" s="1"/>
      <c r="L28" s="1"/>
      <c r="M28" s="1"/>
      <c r="N28" s="18"/>
    </row>
    <row r="29" spans="2:14" ht="15" customHeight="1" x14ac:dyDescent="0.25">
      <c r="B29" s="20"/>
      <c r="C29" s="5" t="s">
        <v>76</v>
      </c>
      <c r="D29" s="6" t="s">
        <v>23</v>
      </c>
      <c r="E29" s="11">
        <v>7.0159999999999997E-3</v>
      </c>
      <c r="F29" s="1"/>
      <c r="G29" s="1"/>
      <c r="H29" s="1"/>
      <c r="I29" s="1"/>
      <c r="J29" s="1"/>
      <c r="K29" s="1"/>
      <c r="L29" s="1"/>
      <c r="M29" s="1"/>
      <c r="N29" s="18"/>
    </row>
    <row r="30" spans="2:14" ht="15.75" customHeight="1" x14ac:dyDescent="0.25">
      <c r="B30" s="20"/>
      <c r="C30" s="7" t="s">
        <v>26</v>
      </c>
      <c r="D30" s="8"/>
      <c r="E30" s="12">
        <v>0.25309100000000001</v>
      </c>
      <c r="F30" s="1"/>
      <c r="G30" s="1"/>
      <c r="H30" s="1"/>
      <c r="I30" s="1"/>
      <c r="J30" s="1"/>
      <c r="K30" s="1"/>
      <c r="L30" s="1"/>
      <c r="M30" s="1"/>
      <c r="N30" s="18"/>
    </row>
    <row r="31" spans="2:14" ht="15" customHeight="1" x14ac:dyDescent="0.25">
      <c r="B31" s="20"/>
      <c r="C31" s="5" t="s">
        <v>45</v>
      </c>
      <c r="D31" s="6"/>
      <c r="E31" s="11">
        <v>1.928E-3</v>
      </c>
      <c r="F31" s="1"/>
      <c r="G31" s="1"/>
      <c r="H31" s="1"/>
      <c r="I31" s="1"/>
      <c r="J31" s="1"/>
      <c r="K31" s="1"/>
      <c r="L31" s="1"/>
      <c r="M31" s="1"/>
      <c r="N31" s="18"/>
    </row>
    <row r="32" spans="2:14" ht="15.75" customHeight="1" x14ac:dyDescent="0.25">
      <c r="B32" s="20"/>
      <c r="C32" s="7" t="s">
        <v>46</v>
      </c>
      <c r="D32" s="8"/>
      <c r="E32" s="12">
        <v>1.928E-3</v>
      </c>
      <c r="F32" s="1"/>
      <c r="G32" s="1"/>
      <c r="H32" s="1"/>
      <c r="I32" s="1"/>
      <c r="J32" s="1"/>
      <c r="K32" s="1"/>
      <c r="L32" s="1"/>
      <c r="M32" s="1"/>
      <c r="N32" s="18"/>
    </row>
    <row r="33" spans="2:14" ht="15" customHeight="1" x14ac:dyDescent="0.25">
      <c r="B33" s="20"/>
      <c r="C33" s="5" t="s">
        <v>176</v>
      </c>
      <c r="D33" s="6" t="s">
        <v>48</v>
      </c>
      <c r="E33" s="11">
        <v>5.0966999999999998E-2</v>
      </c>
      <c r="F33" s="1"/>
      <c r="G33" s="1"/>
      <c r="H33" s="1"/>
      <c r="I33" s="1"/>
      <c r="J33" s="1"/>
      <c r="K33" s="1"/>
      <c r="L33" s="1"/>
      <c r="M33" s="1"/>
      <c r="N33" s="18"/>
    </row>
    <row r="34" spans="2:14" ht="15" customHeight="1" x14ac:dyDescent="0.25">
      <c r="B34" s="20"/>
      <c r="C34" s="5" t="s">
        <v>91</v>
      </c>
      <c r="D34" s="6" t="s">
        <v>48</v>
      </c>
      <c r="E34" s="11">
        <v>2.3973999999999999E-2</v>
      </c>
      <c r="F34" s="1"/>
      <c r="G34" s="1"/>
      <c r="H34" s="1"/>
      <c r="I34" s="1"/>
      <c r="J34" s="1"/>
      <c r="K34" s="1"/>
      <c r="L34" s="1"/>
      <c r="M34" s="1"/>
      <c r="N34" s="18"/>
    </row>
    <row r="35" spans="2:14" ht="15" customHeight="1" x14ac:dyDescent="0.25">
      <c r="B35" s="20"/>
      <c r="C35" s="5" t="s">
        <v>170</v>
      </c>
      <c r="D35" s="6" t="s">
        <v>48</v>
      </c>
      <c r="E35" s="11">
        <v>2.2595000000000001E-2</v>
      </c>
      <c r="F35" s="1"/>
      <c r="G35" s="1"/>
      <c r="H35" s="1"/>
      <c r="I35" s="1"/>
      <c r="J35" s="1"/>
      <c r="K35" s="1"/>
      <c r="L35" s="1"/>
      <c r="M35" s="1"/>
      <c r="N35" s="18"/>
    </row>
    <row r="36" spans="2:14" ht="15" customHeight="1" x14ac:dyDescent="0.25">
      <c r="B36" s="20"/>
      <c r="C36" s="5" t="s">
        <v>177</v>
      </c>
      <c r="D36" s="6" t="s">
        <v>48</v>
      </c>
      <c r="E36" s="11">
        <v>1.4159E-2</v>
      </c>
      <c r="F36" s="1"/>
      <c r="G36" s="1"/>
      <c r="H36" s="1"/>
      <c r="I36" s="1"/>
      <c r="J36" s="1"/>
      <c r="K36" s="1"/>
      <c r="L36" s="1"/>
      <c r="M36" s="1"/>
      <c r="N36" s="18"/>
    </row>
    <row r="37" spans="2:14" ht="15" customHeight="1" x14ac:dyDescent="0.25">
      <c r="B37" s="20"/>
      <c r="C37" s="5" t="s">
        <v>178</v>
      </c>
      <c r="D37" s="6" t="s">
        <v>48</v>
      </c>
      <c r="E37" s="11">
        <v>1.414E-2</v>
      </c>
      <c r="F37" s="1"/>
      <c r="G37" s="1"/>
      <c r="H37" s="1"/>
      <c r="I37" s="1"/>
      <c r="J37" s="1"/>
      <c r="K37" s="1"/>
      <c r="L37" s="1"/>
      <c r="M37" s="1"/>
      <c r="N37" s="18"/>
    </row>
    <row r="38" spans="2:14" ht="15.75" customHeight="1" x14ac:dyDescent="0.25">
      <c r="B38" s="20"/>
      <c r="C38" s="7" t="s">
        <v>92</v>
      </c>
      <c r="D38" s="8"/>
      <c r="E38" s="12">
        <v>0.125835</v>
      </c>
      <c r="F38" s="1"/>
      <c r="G38" s="1"/>
      <c r="H38" s="1"/>
      <c r="I38" s="1"/>
      <c r="J38" s="1"/>
      <c r="K38" s="1"/>
      <c r="L38" s="1"/>
      <c r="M38" s="1"/>
      <c r="N38" s="18"/>
    </row>
    <row r="39" spans="2:14" ht="15" customHeight="1" x14ac:dyDescent="0.25">
      <c r="B39" s="20"/>
      <c r="C39" s="5" t="s">
        <v>9</v>
      </c>
      <c r="D39" s="6"/>
      <c r="E39" s="11">
        <v>2.0088000000000002E-2</v>
      </c>
      <c r="F39" s="1"/>
      <c r="G39" s="1"/>
      <c r="H39" s="1"/>
      <c r="I39" s="1"/>
      <c r="J39" s="1"/>
      <c r="K39" s="1"/>
      <c r="L39" s="1"/>
      <c r="M39" s="1"/>
      <c r="N39" s="18"/>
    </row>
    <row r="40" spans="2:14" ht="15.75" customHeight="1" x14ac:dyDescent="0.25">
      <c r="B40" s="20"/>
      <c r="C40" s="7" t="s">
        <v>10</v>
      </c>
      <c r="D40" s="8"/>
      <c r="E40" s="12">
        <v>2.0088000000000002E-2</v>
      </c>
      <c r="F40" s="1"/>
      <c r="G40" s="1"/>
      <c r="H40" s="1"/>
      <c r="I40" s="1"/>
      <c r="J40" s="1"/>
      <c r="K40" s="1"/>
      <c r="L40" s="1"/>
      <c r="M40" s="1"/>
      <c r="N40" s="18"/>
    </row>
    <row r="41" spans="2:14" ht="15" customHeight="1" x14ac:dyDescent="0.25">
      <c r="B41" s="20"/>
      <c r="C41" s="5"/>
      <c r="D41" s="6"/>
      <c r="E41" s="11"/>
      <c r="F41" s="1"/>
      <c r="G41" s="1"/>
      <c r="H41" s="1"/>
      <c r="I41" s="1"/>
      <c r="J41" s="1"/>
      <c r="K41" s="1"/>
      <c r="L41" s="1"/>
      <c r="M41" s="1"/>
      <c r="N41" s="18"/>
    </row>
    <row r="42" spans="2:14" ht="15.75" customHeight="1" x14ac:dyDescent="0.25">
      <c r="B42" s="20"/>
      <c r="C42" s="7" t="s">
        <v>11</v>
      </c>
      <c r="D42" s="8"/>
      <c r="E42" s="12">
        <v>-3.4009999999999999E-3</v>
      </c>
      <c r="F42" s="1"/>
      <c r="G42" s="1"/>
      <c r="H42" s="1"/>
      <c r="I42" s="1"/>
      <c r="J42" s="1"/>
      <c r="K42" s="1"/>
      <c r="L42" s="1"/>
      <c r="M42" s="1"/>
      <c r="N42" s="18"/>
    </row>
    <row r="43" spans="2:14" ht="15" customHeight="1" x14ac:dyDescent="0.25">
      <c r="B43" s="20"/>
      <c r="C43" s="5"/>
      <c r="D43" s="6"/>
      <c r="E43" s="11"/>
      <c r="F43" s="1"/>
      <c r="G43" s="1"/>
      <c r="H43" s="1"/>
      <c r="I43" s="1"/>
      <c r="J43" s="1"/>
      <c r="K43" s="1"/>
      <c r="L43" s="1"/>
      <c r="M43" s="1"/>
      <c r="N43" s="18"/>
    </row>
    <row r="44" spans="2:14" ht="15" customHeight="1" x14ac:dyDescent="0.25">
      <c r="B44" s="20"/>
      <c r="C44" s="9" t="s">
        <v>12</v>
      </c>
      <c r="D44" s="10"/>
      <c r="E44" s="13">
        <v>1</v>
      </c>
      <c r="F44" s="1"/>
      <c r="G44" s="1"/>
      <c r="H44" s="1"/>
      <c r="I44" s="1"/>
      <c r="J44" s="1"/>
      <c r="K44" s="1"/>
      <c r="L44" s="1"/>
      <c r="M44" s="1"/>
      <c r="N44" s="18"/>
    </row>
    <row r="45" spans="2:14" ht="15" customHeight="1" x14ac:dyDescent="0.25">
      <c r="B45" s="20"/>
      <c r="C45" s="1"/>
      <c r="D45" s="1"/>
      <c r="E45" s="1"/>
      <c r="F45" s="1"/>
      <c r="G45" s="1"/>
      <c r="H45" s="1"/>
      <c r="I45" s="1"/>
      <c r="J45" s="1"/>
      <c r="K45" s="1"/>
      <c r="L45" s="1"/>
      <c r="M45" s="1"/>
      <c r="N45" s="18"/>
    </row>
    <row r="46" spans="2:14" ht="15" customHeight="1" thickBot="1" x14ac:dyDescent="0.3">
      <c r="B46" s="21"/>
      <c r="C46" s="22"/>
      <c r="D46" s="22"/>
      <c r="E46" s="22"/>
      <c r="F46" s="22"/>
      <c r="G46" s="22"/>
      <c r="H46" s="22"/>
      <c r="I46" s="22"/>
      <c r="J46" s="22"/>
      <c r="K46" s="22"/>
      <c r="L46" s="22"/>
      <c r="M46" s="22"/>
      <c r="N46" s="23"/>
    </row>
    <row r="47" spans="2:14" ht="15" customHeight="1" thickBot="1" x14ac:dyDescent="0.3"/>
    <row r="48" spans="2:14" ht="15" customHeight="1" x14ac:dyDescent="0.25">
      <c r="B48" s="67" t="s">
        <v>296</v>
      </c>
      <c r="C48" s="68"/>
      <c r="D48" s="68"/>
      <c r="E48" s="68"/>
      <c r="F48" s="68"/>
      <c r="G48" s="68"/>
      <c r="H48" s="68"/>
      <c r="I48" s="68"/>
      <c r="J48" s="68"/>
      <c r="K48" s="68"/>
      <c r="L48" s="68"/>
      <c r="M48" s="68"/>
      <c r="N48" s="69"/>
    </row>
    <row r="49" spans="2:14" ht="15" customHeight="1" x14ac:dyDescent="0.25">
      <c r="B49" s="70"/>
      <c r="C49" s="71"/>
      <c r="D49" s="71"/>
      <c r="E49" s="71"/>
      <c r="F49" s="71"/>
      <c r="G49" s="71"/>
      <c r="H49" s="71"/>
      <c r="I49" s="71"/>
      <c r="J49" s="71"/>
      <c r="K49" s="71"/>
      <c r="L49" s="71"/>
      <c r="M49" s="71"/>
      <c r="N49" s="72"/>
    </row>
    <row r="50" spans="2:14" ht="15" customHeight="1" x14ac:dyDescent="0.25">
      <c r="B50" s="70"/>
      <c r="C50" s="71"/>
      <c r="D50" s="71"/>
      <c r="E50" s="71"/>
      <c r="F50" s="71"/>
      <c r="G50" s="71"/>
      <c r="H50" s="71"/>
      <c r="I50" s="71"/>
      <c r="J50" s="71"/>
      <c r="K50" s="71"/>
      <c r="L50" s="71"/>
      <c r="M50" s="71"/>
      <c r="N50" s="72"/>
    </row>
    <row r="51" spans="2:14" ht="15" customHeight="1" thickBot="1" x14ac:dyDescent="0.3">
      <c r="B51" s="73"/>
      <c r="C51" s="74"/>
      <c r="D51" s="74"/>
      <c r="E51" s="74"/>
      <c r="F51" s="74"/>
      <c r="G51" s="74"/>
      <c r="H51" s="74"/>
      <c r="I51" s="74"/>
      <c r="J51" s="74"/>
      <c r="K51" s="74"/>
      <c r="L51" s="74"/>
      <c r="M51" s="74"/>
      <c r="N51" s="75"/>
    </row>
    <row r="52" spans="2:14" ht="15" customHeight="1" thickBot="1" x14ac:dyDescent="0.3"/>
    <row r="53" spans="2:14" ht="128.25" customHeight="1" thickBot="1" x14ac:dyDescent="0.3">
      <c r="B53" s="76" t="s">
        <v>302</v>
      </c>
      <c r="C53" s="77"/>
      <c r="D53" s="77"/>
      <c r="E53" s="77"/>
      <c r="F53" s="77"/>
      <c r="G53" s="77"/>
      <c r="H53" s="77"/>
      <c r="I53" s="77"/>
      <c r="J53" s="77"/>
      <c r="K53" s="77"/>
      <c r="L53" s="77"/>
      <c r="M53" s="77"/>
      <c r="N53" s="78"/>
    </row>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sheetData>
  <mergeCells count="7">
    <mergeCell ref="B48:N51"/>
    <mergeCell ref="B53:N53"/>
    <mergeCell ref="C3:N3"/>
    <mergeCell ref="D5:E5"/>
    <mergeCell ref="G7:N7"/>
    <mergeCell ref="G24:K24"/>
    <mergeCell ref="G26:N26"/>
  </mergeCells>
  <pageMargins left="0.7" right="0.7" top="0.75" bottom="0.75" header="0.3" footer="0.3"/>
  <pageSetup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898BC-912F-42E1-B036-3D69E225909C}">
  <dimension ref="B1:N59"/>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183</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184</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17</v>
      </c>
      <c r="H7" s="85"/>
      <c r="I7" s="85"/>
      <c r="J7" s="85"/>
      <c r="K7" s="85"/>
      <c r="L7" s="85"/>
      <c r="M7" s="85"/>
      <c r="N7" s="86"/>
    </row>
    <row r="8" spans="2:14" ht="15" customHeight="1" x14ac:dyDescent="0.25">
      <c r="B8" s="20"/>
      <c r="C8" s="5" t="s">
        <v>43</v>
      </c>
      <c r="D8" s="6" t="s">
        <v>23</v>
      </c>
      <c r="E8" s="11">
        <v>0.115449</v>
      </c>
      <c r="F8" s="1"/>
      <c r="G8" s="24" t="s">
        <v>16</v>
      </c>
      <c r="H8" s="25">
        <v>1</v>
      </c>
      <c r="I8" s="1"/>
      <c r="J8" s="24" t="s">
        <v>13</v>
      </c>
      <c r="K8" s="24" t="s">
        <v>5</v>
      </c>
      <c r="L8" s="1"/>
      <c r="M8" s="1"/>
      <c r="N8" s="18"/>
    </row>
    <row r="9" spans="2:14" ht="15" customHeight="1" x14ac:dyDescent="0.25">
      <c r="B9" s="20"/>
      <c r="C9" s="5" t="s">
        <v>31</v>
      </c>
      <c r="D9" s="6" t="s">
        <v>23</v>
      </c>
      <c r="E9" s="11">
        <v>0.11336300000000001</v>
      </c>
      <c r="F9" s="1"/>
      <c r="G9" s="1"/>
      <c r="H9" s="1"/>
      <c r="I9" s="1"/>
      <c r="J9" s="24" t="s">
        <v>11</v>
      </c>
      <c r="K9" s="28">
        <v>1.4736000000000001E-2</v>
      </c>
      <c r="L9" s="1"/>
      <c r="M9" s="1"/>
      <c r="N9" s="18"/>
    </row>
    <row r="10" spans="2:14" ht="15" customHeight="1" x14ac:dyDescent="0.25">
      <c r="B10" s="20"/>
      <c r="C10" s="5" t="s">
        <v>147</v>
      </c>
      <c r="D10" s="6" t="s">
        <v>23</v>
      </c>
      <c r="E10" s="11">
        <v>5.8374000000000002E-2</v>
      </c>
      <c r="F10" s="1"/>
      <c r="G10" s="1"/>
      <c r="H10" s="1"/>
      <c r="I10" s="1"/>
      <c r="J10" s="24" t="s">
        <v>14</v>
      </c>
      <c r="K10" s="28">
        <v>0.178172</v>
      </c>
      <c r="L10" s="1"/>
      <c r="M10" s="1"/>
      <c r="N10" s="18"/>
    </row>
    <row r="11" spans="2:14" ht="15.75" customHeight="1" x14ac:dyDescent="0.25">
      <c r="B11" s="20"/>
      <c r="C11" s="7" t="s">
        <v>25</v>
      </c>
      <c r="D11" s="8"/>
      <c r="E11" s="12">
        <v>0.287186</v>
      </c>
      <c r="F11" s="1"/>
      <c r="G11" s="1"/>
      <c r="H11" s="1"/>
      <c r="I11" s="1"/>
      <c r="J11" s="24" t="s">
        <v>53</v>
      </c>
      <c r="K11" s="28">
        <v>0.287186</v>
      </c>
      <c r="L11" s="1"/>
      <c r="M11" s="1"/>
      <c r="N11" s="18"/>
    </row>
    <row r="12" spans="2:14" ht="15" customHeight="1" x14ac:dyDescent="0.25">
      <c r="B12" s="20"/>
      <c r="C12" s="5" t="s">
        <v>27</v>
      </c>
      <c r="D12" s="6" t="s">
        <v>23</v>
      </c>
      <c r="E12" s="11">
        <v>8.0235000000000001E-2</v>
      </c>
      <c r="F12" s="1"/>
      <c r="G12" s="1"/>
      <c r="H12" s="1"/>
      <c r="I12" s="1"/>
      <c r="J12" s="24" t="s">
        <v>54</v>
      </c>
      <c r="K12" s="28">
        <v>0.34513100000000002</v>
      </c>
      <c r="L12" s="1"/>
      <c r="M12" s="1"/>
      <c r="N12" s="18"/>
    </row>
    <row r="13" spans="2:14" ht="15" customHeight="1" x14ac:dyDescent="0.25">
      <c r="B13" s="20"/>
      <c r="C13" s="5" t="s">
        <v>33</v>
      </c>
      <c r="D13" s="6" t="s">
        <v>23</v>
      </c>
      <c r="E13" s="11">
        <v>2.1821E-2</v>
      </c>
      <c r="F13" s="1"/>
      <c r="G13" s="1"/>
      <c r="H13" s="1"/>
      <c r="I13" s="1"/>
      <c r="J13" s="24" t="s">
        <v>55</v>
      </c>
      <c r="K13" s="28">
        <v>0.10205599999999999</v>
      </c>
      <c r="L13" s="1"/>
      <c r="M13" s="1"/>
      <c r="N13" s="18"/>
    </row>
    <row r="14" spans="2:14" ht="15.75" customHeight="1" x14ac:dyDescent="0.25">
      <c r="B14" s="20"/>
      <c r="C14" s="7" t="s">
        <v>26</v>
      </c>
      <c r="D14" s="8"/>
      <c r="E14" s="12">
        <v>0.10205599999999999</v>
      </c>
      <c r="F14" s="1"/>
      <c r="G14" s="1"/>
      <c r="H14" s="1"/>
      <c r="I14" s="1"/>
      <c r="J14" s="24" t="s">
        <v>56</v>
      </c>
      <c r="K14" s="28">
        <v>2.9329999999999998E-3</v>
      </c>
      <c r="L14" s="1"/>
      <c r="M14" s="1"/>
      <c r="N14" s="18"/>
    </row>
    <row r="15" spans="2:14" ht="15" customHeight="1" x14ac:dyDescent="0.25">
      <c r="B15" s="20"/>
      <c r="C15" s="5" t="s">
        <v>29</v>
      </c>
      <c r="D15" s="6" t="s">
        <v>28</v>
      </c>
      <c r="E15" s="11">
        <v>0.11792800000000001</v>
      </c>
      <c r="F15" s="1"/>
      <c r="G15" s="1"/>
      <c r="H15" s="1"/>
      <c r="I15" s="1"/>
      <c r="J15" s="24" t="s">
        <v>58</v>
      </c>
      <c r="K15" s="28">
        <v>6.3685000000000005E-2</v>
      </c>
      <c r="L15" s="1"/>
      <c r="M15" s="1"/>
      <c r="N15" s="18"/>
    </row>
    <row r="16" spans="2:14" ht="15" customHeight="1" x14ac:dyDescent="0.25">
      <c r="B16" s="20"/>
      <c r="C16" s="5" t="s">
        <v>76</v>
      </c>
      <c r="D16" s="6" t="s">
        <v>28</v>
      </c>
      <c r="E16" s="11">
        <v>6.096E-2</v>
      </c>
      <c r="F16" s="1"/>
      <c r="G16" s="1"/>
      <c r="H16" s="1"/>
      <c r="I16" s="1"/>
      <c r="J16" s="24" t="s">
        <v>94</v>
      </c>
      <c r="K16" s="28">
        <v>6.1009999999999997E-3</v>
      </c>
      <c r="L16" s="1"/>
      <c r="M16" s="1"/>
      <c r="N16" s="18"/>
    </row>
    <row r="17" spans="2:14" ht="15" customHeight="1" x14ac:dyDescent="0.25">
      <c r="B17" s="20"/>
      <c r="C17" s="5" t="s">
        <v>39</v>
      </c>
      <c r="D17" s="6" t="s">
        <v>28</v>
      </c>
      <c r="E17" s="11">
        <v>3.8732000000000003E-2</v>
      </c>
      <c r="F17" s="1"/>
      <c r="G17" s="1"/>
      <c r="H17" s="1"/>
      <c r="I17" s="1"/>
      <c r="J17" s="1"/>
      <c r="K17" s="1"/>
      <c r="L17" s="1"/>
      <c r="M17" s="1"/>
      <c r="N17" s="18"/>
    </row>
    <row r="18" spans="2:14" ht="15" customHeight="1" x14ac:dyDescent="0.25">
      <c r="B18" s="20"/>
      <c r="C18" s="5" t="s">
        <v>185</v>
      </c>
      <c r="D18" s="6" t="s">
        <v>28</v>
      </c>
      <c r="E18" s="11">
        <v>2.5182E-2</v>
      </c>
      <c r="F18" s="1"/>
      <c r="G18" s="1"/>
      <c r="H18" s="1"/>
      <c r="I18" s="1"/>
      <c r="J18" s="1"/>
      <c r="K18" s="1"/>
      <c r="L18" s="1"/>
      <c r="M18" s="1"/>
      <c r="N18" s="18"/>
    </row>
    <row r="19" spans="2:14" ht="15" customHeight="1" x14ac:dyDescent="0.25">
      <c r="B19" s="20"/>
      <c r="C19" s="5" t="s">
        <v>33</v>
      </c>
      <c r="D19" s="6" t="s">
        <v>28</v>
      </c>
      <c r="E19" s="11">
        <v>1.9338000000000001E-2</v>
      </c>
      <c r="F19" s="1"/>
      <c r="G19" s="1"/>
      <c r="H19" s="1"/>
      <c r="I19" s="1"/>
      <c r="J19" s="1"/>
      <c r="K19" s="1"/>
      <c r="L19" s="1"/>
      <c r="M19" s="1"/>
      <c r="N19" s="18"/>
    </row>
    <row r="20" spans="2:14" ht="15" customHeight="1" x14ac:dyDescent="0.25">
      <c r="B20" s="20"/>
      <c r="C20" s="5" t="s">
        <v>27</v>
      </c>
      <c r="D20" s="6" t="s">
        <v>28</v>
      </c>
      <c r="E20" s="11">
        <v>1.8977999999999998E-2</v>
      </c>
      <c r="F20" s="1"/>
      <c r="G20" s="1"/>
      <c r="H20" s="1"/>
      <c r="I20" s="1"/>
      <c r="J20" s="1"/>
      <c r="K20" s="1"/>
      <c r="L20" s="1"/>
      <c r="M20" s="1"/>
      <c r="N20" s="18"/>
    </row>
    <row r="21" spans="2:14" ht="15" customHeight="1" x14ac:dyDescent="0.25">
      <c r="B21" s="20"/>
      <c r="C21" s="5" t="s">
        <v>87</v>
      </c>
      <c r="D21" s="6" t="s">
        <v>28</v>
      </c>
      <c r="E21" s="11">
        <v>1.5023999999999999E-2</v>
      </c>
      <c r="F21" s="1"/>
      <c r="G21" s="1"/>
      <c r="H21" s="1"/>
      <c r="I21" s="1"/>
      <c r="J21" s="1"/>
      <c r="K21" s="1"/>
      <c r="L21" s="1"/>
      <c r="M21" s="1"/>
      <c r="N21" s="18"/>
    </row>
    <row r="22" spans="2:14" ht="15" customHeight="1" x14ac:dyDescent="0.25">
      <c r="B22" s="20"/>
      <c r="C22" s="5" t="s">
        <v>24</v>
      </c>
      <c r="D22" s="6" t="s">
        <v>28</v>
      </c>
      <c r="E22" s="11">
        <v>1.4851E-2</v>
      </c>
      <c r="F22" s="1"/>
      <c r="G22" s="1"/>
      <c r="H22" s="1"/>
      <c r="I22" s="1"/>
      <c r="J22" s="1"/>
      <c r="K22" s="1"/>
      <c r="L22" s="1"/>
      <c r="M22" s="1"/>
      <c r="N22" s="18"/>
    </row>
    <row r="23" spans="2:14" ht="15" customHeight="1" x14ac:dyDescent="0.25">
      <c r="B23" s="20"/>
      <c r="C23" s="5" t="s">
        <v>77</v>
      </c>
      <c r="D23" s="6" t="s">
        <v>28</v>
      </c>
      <c r="E23" s="11">
        <v>1.4841999999999999E-2</v>
      </c>
      <c r="F23" s="1"/>
      <c r="G23" s="1"/>
      <c r="H23" s="1"/>
      <c r="I23" s="1"/>
      <c r="J23" s="1"/>
      <c r="K23" s="1"/>
      <c r="L23" s="1"/>
      <c r="M23" s="1"/>
      <c r="N23" s="18"/>
    </row>
    <row r="24" spans="2:14" ht="15" customHeight="1" x14ac:dyDescent="0.25">
      <c r="B24" s="20"/>
      <c r="C24" s="5" t="s">
        <v>32</v>
      </c>
      <c r="D24" s="6" t="s">
        <v>28</v>
      </c>
      <c r="E24" s="11">
        <v>1.1941E-2</v>
      </c>
      <c r="F24" s="1"/>
      <c r="G24" s="84" t="s">
        <v>130</v>
      </c>
      <c r="H24" s="85"/>
      <c r="I24" s="85"/>
      <c r="J24" s="85"/>
      <c r="K24" s="85"/>
      <c r="L24" s="65">
        <v>163.08920592744138</v>
      </c>
      <c r="M24" s="26"/>
      <c r="N24" s="27"/>
    </row>
    <row r="25" spans="2:14" ht="15" customHeight="1" x14ac:dyDescent="0.25">
      <c r="B25" s="20"/>
      <c r="C25" s="5" t="s">
        <v>34</v>
      </c>
      <c r="D25" s="6" t="s">
        <v>28</v>
      </c>
      <c r="E25" s="11">
        <v>7.3550000000000004E-3</v>
      </c>
      <c r="F25" s="1"/>
      <c r="G25" s="1"/>
      <c r="H25" s="1"/>
      <c r="I25" s="1"/>
      <c r="J25" s="1"/>
      <c r="K25" s="1"/>
      <c r="L25" s="1"/>
      <c r="M25" s="1"/>
      <c r="N25" s="18"/>
    </row>
    <row r="26" spans="2:14" ht="15.75" customHeight="1" x14ac:dyDescent="0.25">
      <c r="B26" s="20"/>
      <c r="C26" s="7" t="s">
        <v>44</v>
      </c>
      <c r="D26" s="8"/>
      <c r="E26" s="12">
        <v>0.34513100000000002</v>
      </c>
      <c r="F26" s="1"/>
      <c r="G26" s="84" t="s">
        <v>19</v>
      </c>
      <c r="H26" s="85"/>
      <c r="I26" s="85"/>
      <c r="J26" s="85"/>
      <c r="K26" s="85"/>
      <c r="L26" s="85"/>
      <c r="M26" s="85"/>
      <c r="N26" s="86"/>
    </row>
    <row r="27" spans="2:14" ht="15" customHeight="1" x14ac:dyDescent="0.25">
      <c r="B27" s="20"/>
      <c r="C27" s="5" t="s">
        <v>45</v>
      </c>
      <c r="D27" s="6"/>
      <c r="E27" s="11">
        <v>2.9329999999999998E-3</v>
      </c>
      <c r="F27" s="1"/>
      <c r="G27" s="1"/>
      <c r="H27" s="1"/>
      <c r="I27" s="1"/>
      <c r="J27" s="1"/>
      <c r="K27" s="1"/>
      <c r="L27" s="1"/>
      <c r="M27" s="1"/>
      <c r="N27" s="18"/>
    </row>
    <row r="28" spans="2:14" ht="15.75" customHeight="1" x14ac:dyDescent="0.25">
      <c r="B28" s="20"/>
      <c r="C28" s="7" t="s">
        <v>46</v>
      </c>
      <c r="D28" s="8"/>
      <c r="E28" s="12">
        <v>2.9329999999999998E-3</v>
      </c>
      <c r="F28" s="1"/>
      <c r="G28" s="1"/>
      <c r="H28" s="1"/>
      <c r="I28" s="1"/>
      <c r="J28" s="1"/>
      <c r="K28" s="1"/>
      <c r="L28" s="1"/>
      <c r="M28" s="1"/>
      <c r="N28" s="18"/>
    </row>
    <row r="29" spans="2:14" ht="15" customHeight="1" x14ac:dyDescent="0.25">
      <c r="B29" s="20"/>
      <c r="C29" s="5" t="s">
        <v>196</v>
      </c>
      <c r="D29" s="6" t="s">
        <v>48</v>
      </c>
      <c r="E29" s="11">
        <v>2.4006E-2</v>
      </c>
      <c r="F29" s="1"/>
      <c r="G29" s="1"/>
      <c r="H29" s="1"/>
      <c r="I29" s="1"/>
      <c r="J29" s="1"/>
      <c r="K29" s="1"/>
      <c r="L29" s="1"/>
      <c r="M29" s="1"/>
      <c r="N29" s="18"/>
    </row>
    <row r="30" spans="2:14" ht="15.75" customHeight="1" x14ac:dyDescent="0.25">
      <c r="B30" s="20"/>
      <c r="C30" s="5" t="s">
        <v>207</v>
      </c>
      <c r="D30" s="6" t="s">
        <v>48</v>
      </c>
      <c r="E30" s="11">
        <v>1.4611000000000001E-2</v>
      </c>
      <c r="F30" s="1"/>
      <c r="G30" s="1"/>
      <c r="H30" s="1"/>
      <c r="I30" s="1"/>
      <c r="J30" s="1"/>
      <c r="K30" s="1"/>
      <c r="L30" s="1"/>
      <c r="M30" s="1"/>
      <c r="N30" s="18"/>
    </row>
    <row r="31" spans="2:14" ht="15" customHeight="1" x14ac:dyDescent="0.25">
      <c r="B31" s="20"/>
      <c r="C31" s="5" t="s">
        <v>206</v>
      </c>
      <c r="D31" s="6" t="s">
        <v>48</v>
      </c>
      <c r="E31" s="11">
        <v>9.5180000000000004E-3</v>
      </c>
      <c r="F31" s="1"/>
      <c r="G31" s="1"/>
      <c r="H31" s="1"/>
      <c r="I31" s="1"/>
      <c r="J31" s="1"/>
      <c r="K31" s="1"/>
      <c r="L31" s="1"/>
      <c r="M31" s="1"/>
      <c r="N31" s="18"/>
    </row>
    <row r="32" spans="2:14" ht="15.75" customHeight="1" x14ac:dyDescent="0.25">
      <c r="B32" s="20"/>
      <c r="C32" s="5" t="s">
        <v>186</v>
      </c>
      <c r="D32" s="6" t="s">
        <v>48</v>
      </c>
      <c r="E32" s="11">
        <v>7.8059999999999996E-3</v>
      </c>
      <c r="F32" s="1"/>
      <c r="G32" s="1"/>
      <c r="H32" s="1"/>
      <c r="I32" s="1"/>
      <c r="J32" s="1"/>
      <c r="K32" s="1"/>
      <c r="L32" s="1"/>
      <c r="M32" s="1"/>
      <c r="N32" s="18"/>
    </row>
    <row r="33" spans="2:14" ht="15" customHeight="1" x14ac:dyDescent="0.25">
      <c r="B33" s="20"/>
      <c r="C33" s="5" t="s">
        <v>205</v>
      </c>
      <c r="D33" s="6" t="s">
        <v>48</v>
      </c>
      <c r="E33" s="11">
        <v>7.744E-3</v>
      </c>
      <c r="F33" s="1"/>
      <c r="G33" s="1"/>
      <c r="H33" s="1"/>
      <c r="I33" s="1"/>
      <c r="J33" s="1"/>
      <c r="K33" s="1"/>
      <c r="L33" s="1"/>
      <c r="M33" s="1"/>
      <c r="N33" s="18"/>
    </row>
    <row r="34" spans="2:14" ht="15.75" customHeight="1" x14ac:dyDescent="0.25">
      <c r="B34" s="20"/>
      <c r="C34" s="7" t="s">
        <v>52</v>
      </c>
      <c r="D34" s="8"/>
      <c r="E34" s="12">
        <v>6.3685000000000005E-2</v>
      </c>
      <c r="F34" s="1"/>
      <c r="G34" s="1"/>
      <c r="H34" s="1"/>
      <c r="I34" s="1"/>
      <c r="J34" s="1"/>
      <c r="K34" s="1"/>
      <c r="L34" s="1"/>
      <c r="M34" s="1"/>
      <c r="N34" s="18"/>
    </row>
    <row r="35" spans="2:14" ht="15" customHeight="1" x14ac:dyDescent="0.25">
      <c r="B35" s="20"/>
      <c r="C35" s="5" t="s">
        <v>170</v>
      </c>
      <c r="D35" s="6" t="s">
        <v>48</v>
      </c>
      <c r="E35" s="11">
        <v>6.1009999999999997E-3</v>
      </c>
      <c r="F35" s="1"/>
      <c r="G35" s="1"/>
      <c r="H35" s="1"/>
      <c r="I35" s="1"/>
      <c r="J35" s="1"/>
      <c r="K35" s="1"/>
      <c r="L35" s="1"/>
      <c r="M35" s="1"/>
      <c r="N35" s="18"/>
    </row>
    <row r="36" spans="2:14" ht="15.75" customHeight="1" x14ac:dyDescent="0.25">
      <c r="B36" s="20"/>
      <c r="C36" s="7" t="s">
        <v>92</v>
      </c>
      <c r="D36" s="8"/>
      <c r="E36" s="12">
        <v>6.1009999999999997E-3</v>
      </c>
      <c r="F36" s="1"/>
      <c r="G36" s="1"/>
      <c r="H36" s="1"/>
      <c r="I36" s="1"/>
      <c r="J36" s="1"/>
      <c r="K36" s="1"/>
      <c r="L36" s="1"/>
      <c r="M36" s="1"/>
      <c r="N36" s="18"/>
    </row>
    <row r="37" spans="2:14" ht="15" customHeight="1" x14ac:dyDescent="0.25">
      <c r="B37" s="20"/>
      <c r="C37" s="5" t="s">
        <v>9</v>
      </c>
      <c r="D37" s="6"/>
      <c r="E37" s="11">
        <v>0.178172</v>
      </c>
      <c r="F37" s="1"/>
      <c r="G37" s="1"/>
      <c r="H37" s="1"/>
      <c r="I37" s="1"/>
      <c r="J37" s="1"/>
      <c r="K37" s="1"/>
      <c r="L37" s="1"/>
      <c r="M37" s="1"/>
      <c r="N37" s="18"/>
    </row>
    <row r="38" spans="2:14" ht="15" customHeight="1" x14ac:dyDescent="0.25">
      <c r="B38" s="20"/>
      <c r="C38" s="7" t="s">
        <v>10</v>
      </c>
      <c r="D38" s="8"/>
      <c r="E38" s="12">
        <v>0.178172</v>
      </c>
      <c r="F38" s="1"/>
      <c r="G38" s="1"/>
      <c r="H38" s="1"/>
      <c r="I38" s="1"/>
      <c r="J38" s="1"/>
      <c r="K38" s="1"/>
      <c r="L38" s="1"/>
      <c r="M38" s="1"/>
      <c r="N38" s="18"/>
    </row>
    <row r="39" spans="2:14" ht="15" customHeight="1" x14ac:dyDescent="0.25">
      <c r="B39" s="20"/>
      <c r="C39" s="5"/>
      <c r="D39" s="6"/>
      <c r="E39" s="11"/>
      <c r="F39" s="1"/>
      <c r="G39" s="1"/>
      <c r="H39" s="1"/>
      <c r="I39" s="1"/>
      <c r="J39" s="1"/>
      <c r="K39" s="1"/>
      <c r="L39" s="1"/>
      <c r="M39" s="1"/>
      <c r="N39" s="18"/>
    </row>
    <row r="40" spans="2:14" ht="15" customHeight="1" x14ac:dyDescent="0.25">
      <c r="B40" s="20"/>
      <c r="C40" s="7" t="s">
        <v>11</v>
      </c>
      <c r="D40" s="8"/>
      <c r="E40" s="12">
        <v>1.4736000000000001E-2</v>
      </c>
      <c r="F40" s="1"/>
      <c r="G40" s="1"/>
      <c r="H40" s="1"/>
      <c r="I40" s="1"/>
      <c r="J40" s="1"/>
      <c r="K40" s="1"/>
      <c r="L40" s="1"/>
      <c r="M40" s="1"/>
      <c r="N40" s="18"/>
    </row>
    <row r="41" spans="2:14" ht="15" customHeight="1" x14ac:dyDescent="0.25">
      <c r="B41" s="20"/>
      <c r="C41" s="5"/>
      <c r="D41" s="6"/>
      <c r="E41" s="11"/>
      <c r="F41" s="1"/>
      <c r="G41" s="1"/>
      <c r="H41" s="1"/>
      <c r="I41" s="1"/>
      <c r="J41" s="1"/>
      <c r="K41" s="1"/>
      <c r="L41" s="1"/>
      <c r="M41" s="1"/>
      <c r="N41" s="18"/>
    </row>
    <row r="42" spans="2:14" ht="15" customHeight="1" x14ac:dyDescent="0.25">
      <c r="B42" s="20"/>
      <c r="C42" s="9" t="s">
        <v>12</v>
      </c>
      <c r="D42" s="10"/>
      <c r="E42" s="13">
        <v>1</v>
      </c>
      <c r="F42" s="1"/>
      <c r="G42" s="1"/>
      <c r="H42" s="1"/>
      <c r="I42" s="1"/>
      <c r="J42" s="1"/>
      <c r="K42" s="1"/>
      <c r="L42" s="1"/>
      <c r="M42" s="1"/>
      <c r="N42" s="18"/>
    </row>
    <row r="43" spans="2:14" ht="15" customHeight="1" x14ac:dyDescent="0.25">
      <c r="B43" s="20"/>
      <c r="C43" s="1"/>
      <c r="D43" s="1"/>
      <c r="E43" s="1"/>
      <c r="F43" s="1"/>
      <c r="G43" s="1"/>
      <c r="H43" s="1"/>
      <c r="I43" s="1"/>
      <c r="J43" s="1"/>
      <c r="K43" s="1"/>
      <c r="L43" s="1"/>
      <c r="M43" s="1"/>
      <c r="N43" s="18"/>
    </row>
    <row r="44" spans="2:14" ht="15" customHeight="1" thickBot="1" x14ac:dyDescent="0.3">
      <c r="B44" s="21"/>
      <c r="C44" s="22"/>
      <c r="D44" s="22"/>
      <c r="E44" s="22"/>
      <c r="F44" s="22"/>
      <c r="G44" s="22"/>
      <c r="H44" s="22"/>
      <c r="I44" s="22"/>
      <c r="J44" s="22"/>
      <c r="K44" s="22"/>
      <c r="L44" s="22"/>
      <c r="M44" s="22"/>
      <c r="N44" s="23"/>
    </row>
    <row r="45" spans="2:14" ht="15" customHeight="1" thickBot="1" x14ac:dyDescent="0.3"/>
    <row r="46" spans="2:14" ht="15" customHeight="1" x14ac:dyDescent="0.25">
      <c r="B46" s="67" t="s">
        <v>296</v>
      </c>
      <c r="C46" s="68"/>
      <c r="D46" s="68"/>
      <c r="E46" s="68"/>
      <c r="F46" s="68"/>
      <c r="G46" s="68"/>
      <c r="H46" s="68"/>
      <c r="I46" s="68"/>
      <c r="J46" s="68"/>
      <c r="K46" s="68"/>
      <c r="L46" s="68"/>
      <c r="M46" s="68"/>
      <c r="N46" s="69"/>
    </row>
    <row r="47" spans="2:14" ht="15" customHeight="1" x14ac:dyDescent="0.25">
      <c r="B47" s="70"/>
      <c r="C47" s="71"/>
      <c r="D47" s="71"/>
      <c r="E47" s="71"/>
      <c r="F47" s="71"/>
      <c r="G47" s="71"/>
      <c r="H47" s="71"/>
      <c r="I47" s="71"/>
      <c r="J47" s="71"/>
      <c r="K47" s="71"/>
      <c r="L47" s="71"/>
      <c r="M47" s="71"/>
      <c r="N47" s="72"/>
    </row>
    <row r="48" spans="2:14" ht="15" customHeight="1" x14ac:dyDescent="0.25">
      <c r="B48" s="70"/>
      <c r="C48" s="71"/>
      <c r="D48" s="71"/>
      <c r="E48" s="71"/>
      <c r="F48" s="71"/>
      <c r="G48" s="71"/>
      <c r="H48" s="71"/>
      <c r="I48" s="71"/>
      <c r="J48" s="71"/>
      <c r="K48" s="71"/>
      <c r="L48" s="71"/>
      <c r="M48" s="71"/>
      <c r="N48" s="72"/>
    </row>
    <row r="49" spans="2:14" ht="15" customHeight="1" thickBot="1" x14ac:dyDescent="0.3">
      <c r="B49" s="73"/>
      <c r="C49" s="74"/>
      <c r="D49" s="74"/>
      <c r="E49" s="74"/>
      <c r="F49" s="74"/>
      <c r="G49" s="74"/>
      <c r="H49" s="74"/>
      <c r="I49" s="74"/>
      <c r="J49" s="74"/>
      <c r="K49" s="74"/>
      <c r="L49" s="74"/>
      <c r="M49" s="74"/>
      <c r="N49" s="75"/>
    </row>
    <row r="50" spans="2:14" ht="15" customHeight="1" thickBot="1" x14ac:dyDescent="0.3"/>
    <row r="51" spans="2:14" ht="125.25" customHeight="1" thickBot="1" x14ac:dyDescent="0.3">
      <c r="B51" s="76" t="s">
        <v>302</v>
      </c>
      <c r="C51" s="77"/>
      <c r="D51" s="77"/>
      <c r="E51" s="77"/>
      <c r="F51" s="77"/>
      <c r="G51" s="77"/>
      <c r="H51" s="77"/>
      <c r="I51" s="77"/>
      <c r="J51" s="77"/>
      <c r="K51" s="77"/>
      <c r="L51" s="77"/>
      <c r="M51" s="77"/>
      <c r="N51" s="78"/>
    </row>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sheetData>
  <sortState ref="C29:E33">
    <sortCondition descending="1" ref="E29"/>
  </sortState>
  <mergeCells count="7">
    <mergeCell ref="B46:N49"/>
    <mergeCell ref="B51:N51"/>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E0E05-E3D3-49FF-B4DA-64D2894B4CE4}">
  <dimension ref="B1:N50"/>
  <sheetViews>
    <sheetView showGridLines="0" zoomScale="75" zoomScaleNormal="75" workbookViewId="0"/>
  </sheetViews>
  <sheetFormatPr defaultRowHeight="15" x14ac:dyDescent="0.25"/>
  <cols>
    <col min="1" max="1" width="2.85546875" customWidth="1"/>
    <col min="2" max="2" width="3.85546875" customWidth="1"/>
    <col min="3" max="3" width="54.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133</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134</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17</v>
      </c>
      <c r="H7" s="85"/>
      <c r="I7" s="85"/>
      <c r="J7" s="85"/>
      <c r="K7" s="85"/>
      <c r="L7" s="85"/>
      <c r="M7" s="85"/>
      <c r="N7" s="86"/>
    </row>
    <row r="8" spans="2:14" ht="15" customHeight="1" x14ac:dyDescent="0.25">
      <c r="B8" s="20"/>
      <c r="C8" s="5" t="s">
        <v>45</v>
      </c>
      <c r="D8" s="6"/>
      <c r="E8" s="11">
        <v>2.529E-3</v>
      </c>
      <c r="F8" s="1"/>
      <c r="G8" s="24" t="s">
        <v>16</v>
      </c>
      <c r="H8" s="25">
        <v>1</v>
      </c>
      <c r="I8" s="1"/>
      <c r="J8" s="24" t="s">
        <v>13</v>
      </c>
      <c r="K8" s="24" t="s">
        <v>5</v>
      </c>
      <c r="L8" s="1"/>
      <c r="M8" s="1"/>
      <c r="N8" s="18"/>
    </row>
    <row r="9" spans="2:14" ht="15.75" customHeight="1" x14ac:dyDescent="0.25">
      <c r="B9" s="20"/>
      <c r="C9" s="7" t="s">
        <v>46</v>
      </c>
      <c r="D9" s="8"/>
      <c r="E9" s="12">
        <v>2.529E-3</v>
      </c>
      <c r="F9" s="1"/>
      <c r="G9" s="1"/>
      <c r="H9" s="1"/>
      <c r="I9" s="1"/>
      <c r="J9" s="24" t="s">
        <v>11</v>
      </c>
      <c r="K9" s="28">
        <v>3.0862000000000001E-2</v>
      </c>
      <c r="L9" s="1"/>
      <c r="M9" s="1"/>
      <c r="N9" s="18"/>
    </row>
    <row r="10" spans="2:14" ht="15" customHeight="1" x14ac:dyDescent="0.25">
      <c r="B10" s="20"/>
      <c r="C10" s="5" t="s">
        <v>62</v>
      </c>
      <c r="D10" s="6" t="s">
        <v>48</v>
      </c>
      <c r="E10" s="11">
        <v>0.73139600000000005</v>
      </c>
      <c r="F10" s="1"/>
      <c r="G10" s="1"/>
      <c r="H10" s="1"/>
      <c r="I10" s="1"/>
      <c r="J10" s="24" t="s">
        <v>14</v>
      </c>
      <c r="K10" s="28">
        <v>2.5799999999999998E-4</v>
      </c>
      <c r="L10" s="1"/>
      <c r="M10" s="1"/>
      <c r="N10" s="18"/>
    </row>
    <row r="11" spans="2:14" ht="15" customHeight="1" x14ac:dyDescent="0.25">
      <c r="B11" s="20"/>
      <c r="C11" s="5" t="s">
        <v>79</v>
      </c>
      <c r="D11" s="6" t="s">
        <v>48</v>
      </c>
      <c r="E11" s="11">
        <v>0.23305500000000001</v>
      </c>
      <c r="F11" s="1"/>
      <c r="G11" s="1"/>
      <c r="H11" s="1"/>
      <c r="I11" s="1"/>
      <c r="J11" s="24" t="s">
        <v>56</v>
      </c>
      <c r="K11" s="28">
        <v>2.529E-3</v>
      </c>
      <c r="L11" s="1"/>
      <c r="M11" s="1"/>
      <c r="N11" s="18"/>
    </row>
    <row r="12" spans="2:14" ht="15" customHeight="1" x14ac:dyDescent="0.25">
      <c r="B12" s="20"/>
      <c r="C12" s="5" t="s">
        <v>61</v>
      </c>
      <c r="D12" s="6" t="s">
        <v>48</v>
      </c>
      <c r="E12" s="11">
        <v>1.8090000000000001E-3</v>
      </c>
      <c r="F12" s="1"/>
      <c r="G12" s="1"/>
      <c r="H12" s="1"/>
      <c r="I12" s="1"/>
      <c r="J12" s="24" t="s">
        <v>57</v>
      </c>
      <c r="K12" s="28">
        <v>0.96635099999999996</v>
      </c>
      <c r="L12" s="1"/>
      <c r="M12" s="1"/>
      <c r="N12" s="18"/>
    </row>
    <row r="13" spans="2:14" ht="15" customHeight="1" x14ac:dyDescent="0.25">
      <c r="B13" s="20"/>
      <c r="C13" s="5" t="s">
        <v>135</v>
      </c>
      <c r="D13" s="6" t="s">
        <v>48</v>
      </c>
      <c r="E13" s="29">
        <v>4.6E-5</v>
      </c>
      <c r="F13" s="1"/>
      <c r="G13" s="1"/>
      <c r="H13" s="1"/>
      <c r="I13" s="1"/>
      <c r="J13" s="1"/>
      <c r="K13" s="1"/>
      <c r="L13" s="1"/>
      <c r="M13" s="1"/>
      <c r="N13" s="18"/>
    </row>
    <row r="14" spans="2:14" ht="15" customHeight="1" x14ac:dyDescent="0.25">
      <c r="B14" s="20"/>
      <c r="C14" s="5" t="s">
        <v>125</v>
      </c>
      <c r="D14" s="6" t="s">
        <v>48</v>
      </c>
      <c r="E14" s="29">
        <v>4.5000000000000003E-5</v>
      </c>
      <c r="F14" s="1"/>
      <c r="G14" s="1"/>
      <c r="H14" s="1"/>
      <c r="I14" s="1"/>
      <c r="J14" s="1"/>
      <c r="K14" s="1"/>
      <c r="L14" s="1"/>
      <c r="M14" s="1"/>
      <c r="N14" s="18"/>
    </row>
    <row r="15" spans="2:14" ht="15.75" customHeight="1" x14ac:dyDescent="0.25">
      <c r="B15" s="20"/>
      <c r="C15" s="7" t="s">
        <v>51</v>
      </c>
      <c r="D15" s="8"/>
      <c r="E15" s="12">
        <v>0.96635099999999996</v>
      </c>
      <c r="F15" s="1"/>
      <c r="G15" s="1"/>
      <c r="H15" s="1"/>
      <c r="I15" s="1"/>
      <c r="J15" s="1"/>
      <c r="K15" s="1"/>
      <c r="L15" s="1"/>
      <c r="M15" s="1"/>
      <c r="N15" s="18"/>
    </row>
    <row r="16" spans="2:14" ht="15" customHeight="1" x14ac:dyDescent="0.25">
      <c r="B16" s="20"/>
      <c r="C16" s="5" t="s">
        <v>9</v>
      </c>
      <c r="D16" s="6"/>
      <c r="E16" s="11">
        <v>2.5799999999999998E-4</v>
      </c>
      <c r="F16" s="1"/>
      <c r="G16" s="1"/>
      <c r="H16" s="1"/>
      <c r="I16" s="1"/>
      <c r="J16" s="1"/>
      <c r="K16" s="1"/>
      <c r="L16" s="1"/>
      <c r="M16" s="1"/>
      <c r="N16" s="18"/>
    </row>
    <row r="17" spans="2:14" ht="15.75" customHeight="1" x14ac:dyDescent="0.25">
      <c r="B17" s="20"/>
      <c r="C17" s="7" t="s">
        <v>10</v>
      </c>
      <c r="D17" s="8"/>
      <c r="E17" s="12">
        <v>2.5799999999999998E-4</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75" customHeight="1" x14ac:dyDescent="0.25">
      <c r="B19" s="20"/>
      <c r="C19" s="7" t="s">
        <v>11</v>
      </c>
      <c r="D19" s="8"/>
      <c r="E19" s="12">
        <v>3.0862000000000001E-2</v>
      </c>
      <c r="F19" s="1"/>
      <c r="G19" s="1"/>
      <c r="H19" s="1"/>
      <c r="I19" s="1"/>
      <c r="J19" s="1"/>
      <c r="K19" s="1"/>
      <c r="L19" s="1"/>
      <c r="M19" s="1"/>
      <c r="N19" s="18"/>
    </row>
    <row r="20" spans="2:14" ht="15" customHeight="1" x14ac:dyDescent="0.25">
      <c r="B20" s="20"/>
      <c r="C20" s="5"/>
      <c r="D20" s="6"/>
      <c r="E20" s="11"/>
      <c r="F20" s="1"/>
      <c r="G20" s="1"/>
      <c r="H20" s="1"/>
      <c r="I20" s="1"/>
      <c r="J20" s="1"/>
      <c r="K20" s="1"/>
      <c r="L20" s="1"/>
      <c r="M20" s="1"/>
      <c r="N20" s="18"/>
    </row>
    <row r="21" spans="2:14" ht="15" customHeight="1" x14ac:dyDescent="0.25">
      <c r="B21" s="20"/>
      <c r="C21" s="9" t="s">
        <v>12</v>
      </c>
      <c r="D21" s="10"/>
      <c r="E21" s="13">
        <v>1</v>
      </c>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4" t="s">
        <v>18</v>
      </c>
      <c r="H24" s="85"/>
      <c r="I24" s="85"/>
      <c r="J24" s="85"/>
      <c r="K24" s="85"/>
      <c r="L24" s="66">
        <v>11.807579226781943</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4" t="s">
        <v>19</v>
      </c>
      <c r="H26" s="85"/>
      <c r="I26" s="85"/>
      <c r="J26" s="85"/>
      <c r="K26" s="85"/>
      <c r="L26" s="85"/>
      <c r="M26" s="85"/>
      <c r="N26" s="8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67" t="s">
        <v>296</v>
      </c>
      <c r="C45" s="68"/>
      <c r="D45" s="68"/>
      <c r="E45" s="68"/>
      <c r="F45" s="68"/>
      <c r="G45" s="68"/>
      <c r="H45" s="68"/>
      <c r="I45" s="68"/>
      <c r="J45" s="68"/>
      <c r="K45" s="68"/>
      <c r="L45" s="68"/>
      <c r="M45" s="68"/>
      <c r="N45" s="69"/>
    </row>
    <row r="46" spans="2:14" x14ac:dyDescent="0.25">
      <c r="B46" s="70"/>
      <c r="C46" s="71"/>
      <c r="D46" s="71"/>
      <c r="E46" s="71"/>
      <c r="F46" s="71"/>
      <c r="G46" s="71"/>
      <c r="H46" s="71"/>
      <c r="I46" s="71"/>
      <c r="J46" s="71"/>
      <c r="K46" s="71"/>
      <c r="L46" s="71"/>
      <c r="M46" s="71"/>
      <c r="N46" s="72"/>
    </row>
    <row r="47" spans="2:14" x14ac:dyDescent="0.25">
      <c r="B47" s="70"/>
      <c r="C47" s="71"/>
      <c r="D47" s="71"/>
      <c r="E47" s="71"/>
      <c r="F47" s="71"/>
      <c r="G47" s="71"/>
      <c r="H47" s="71"/>
      <c r="I47" s="71"/>
      <c r="J47" s="71"/>
      <c r="K47" s="71"/>
      <c r="L47" s="71"/>
      <c r="M47" s="71"/>
      <c r="N47" s="72"/>
    </row>
    <row r="48" spans="2:14" ht="15.75" thickBot="1" x14ac:dyDescent="0.3">
      <c r="B48" s="73"/>
      <c r="C48" s="74"/>
      <c r="D48" s="74"/>
      <c r="E48" s="74"/>
      <c r="F48" s="74"/>
      <c r="G48" s="74"/>
      <c r="H48" s="74"/>
      <c r="I48" s="74"/>
      <c r="J48" s="74"/>
      <c r="K48" s="74"/>
      <c r="L48" s="74"/>
      <c r="M48" s="74"/>
      <c r="N48" s="75"/>
    </row>
    <row r="49" spans="2:14" ht="15.75" thickBot="1" x14ac:dyDescent="0.3"/>
    <row r="50" spans="2:14" ht="123" customHeight="1" thickBot="1" x14ac:dyDescent="0.3">
      <c r="B50" s="76" t="s">
        <v>302</v>
      </c>
      <c r="C50" s="77"/>
      <c r="D50" s="77"/>
      <c r="E50" s="77"/>
      <c r="F50" s="77"/>
      <c r="G50" s="77"/>
      <c r="H50" s="77"/>
      <c r="I50" s="77"/>
      <c r="J50" s="77"/>
      <c r="K50" s="77"/>
      <c r="L50" s="77"/>
      <c r="M50" s="77"/>
      <c r="N50" s="78"/>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9B438-4BEB-4B6A-BEEE-F9A40325B315}">
  <dimension ref="B1:N50"/>
  <sheetViews>
    <sheetView showGridLines="0" zoomScale="75" zoomScaleNormal="75" workbookViewId="0"/>
  </sheetViews>
  <sheetFormatPr defaultRowHeight="15" x14ac:dyDescent="0.25"/>
  <cols>
    <col min="1" max="1" width="2.85546875" customWidth="1"/>
    <col min="2" max="2" width="3.85546875" customWidth="1"/>
    <col min="3" max="3" width="54.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59</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60</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17</v>
      </c>
      <c r="H7" s="85"/>
      <c r="I7" s="85"/>
      <c r="J7" s="85"/>
      <c r="K7" s="85"/>
      <c r="L7" s="85"/>
      <c r="M7" s="85"/>
      <c r="N7" s="86"/>
    </row>
    <row r="8" spans="2:14" ht="15" customHeight="1" x14ac:dyDescent="0.25">
      <c r="B8" s="20"/>
      <c r="C8" s="5" t="s">
        <v>45</v>
      </c>
      <c r="D8" s="6"/>
      <c r="E8" s="11">
        <v>2.5769999999999999E-3</v>
      </c>
      <c r="F8" s="1"/>
      <c r="G8" s="24" t="s">
        <v>16</v>
      </c>
      <c r="H8" s="25">
        <v>1</v>
      </c>
      <c r="I8" s="1"/>
      <c r="J8" s="24" t="s">
        <v>13</v>
      </c>
      <c r="K8" s="24" t="s">
        <v>5</v>
      </c>
      <c r="L8" s="1"/>
      <c r="M8" s="1"/>
      <c r="N8" s="18"/>
    </row>
    <row r="9" spans="2:14" ht="15.75" customHeight="1" x14ac:dyDescent="0.25">
      <c r="B9" s="20"/>
      <c r="C9" s="7" t="s">
        <v>46</v>
      </c>
      <c r="D9" s="8"/>
      <c r="E9" s="12">
        <v>2.5769999999999999E-3</v>
      </c>
      <c r="F9" s="1"/>
      <c r="G9" s="1"/>
      <c r="H9" s="1"/>
      <c r="I9" s="1"/>
      <c r="J9" s="24" t="s">
        <v>11</v>
      </c>
      <c r="K9" s="28">
        <v>1.2640999999999999E-2</v>
      </c>
      <c r="L9" s="1"/>
      <c r="M9" s="1"/>
      <c r="N9" s="18"/>
    </row>
    <row r="10" spans="2:14" ht="15" customHeight="1" x14ac:dyDescent="0.25">
      <c r="B10" s="20"/>
      <c r="C10" s="5" t="s">
        <v>61</v>
      </c>
      <c r="D10" s="6" t="s">
        <v>48</v>
      </c>
      <c r="E10" s="11">
        <v>0.43017100000000003</v>
      </c>
      <c r="F10" s="1"/>
      <c r="G10" s="1"/>
      <c r="H10" s="1"/>
      <c r="I10" s="1"/>
      <c r="J10" s="24" t="s">
        <v>14</v>
      </c>
      <c r="K10" s="28">
        <v>2.9710000000000001E-3</v>
      </c>
      <c r="L10" s="1"/>
      <c r="M10" s="1"/>
      <c r="N10" s="18"/>
    </row>
    <row r="11" spans="2:14" ht="15" customHeight="1" x14ac:dyDescent="0.25">
      <c r="B11" s="20"/>
      <c r="C11" s="5" t="s">
        <v>62</v>
      </c>
      <c r="D11" s="6" t="s">
        <v>48</v>
      </c>
      <c r="E11" s="11">
        <v>0.31075900000000001</v>
      </c>
      <c r="F11" s="1"/>
      <c r="G11" s="1"/>
      <c r="H11" s="1"/>
      <c r="I11" s="1"/>
      <c r="J11" s="24" t="s">
        <v>56</v>
      </c>
      <c r="K11" s="28">
        <v>2.5769999999999999E-3</v>
      </c>
      <c r="L11" s="1"/>
      <c r="M11" s="1"/>
      <c r="N11" s="18"/>
    </row>
    <row r="12" spans="2:14" ht="15" customHeight="1" x14ac:dyDescent="0.25">
      <c r="B12" s="20"/>
      <c r="C12" s="5" t="s">
        <v>63</v>
      </c>
      <c r="D12" s="6" t="s">
        <v>48</v>
      </c>
      <c r="E12" s="11">
        <v>0.21906999999999999</v>
      </c>
      <c r="F12" s="1"/>
      <c r="G12" s="1"/>
      <c r="H12" s="1"/>
      <c r="I12" s="1"/>
      <c r="J12" s="24" t="s">
        <v>57</v>
      </c>
      <c r="K12" s="28">
        <v>0.98181099999999999</v>
      </c>
      <c r="L12" s="1"/>
      <c r="M12" s="1"/>
      <c r="N12" s="18"/>
    </row>
    <row r="13" spans="2:14" ht="15" customHeight="1" x14ac:dyDescent="0.25">
      <c r="B13" s="20"/>
      <c r="C13" s="5" t="s">
        <v>64</v>
      </c>
      <c r="D13" s="6" t="s">
        <v>48</v>
      </c>
      <c r="E13" s="11">
        <v>1.9005999999999999E-2</v>
      </c>
      <c r="F13" s="1"/>
      <c r="G13" s="1"/>
      <c r="H13" s="1"/>
      <c r="I13" s="1"/>
      <c r="J13" s="1"/>
      <c r="K13" s="1"/>
      <c r="L13" s="1"/>
      <c r="M13" s="1"/>
      <c r="N13" s="18"/>
    </row>
    <row r="14" spans="2:14" ht="15" customHeight="1" x14ac:dyDescent="0.25">
      <c r="B14" s="20"/>
      <c r="C14" s="5" t="s">
        <v>65</v>
      </c>
      <c r="D14" s="6" t="s">
        <v>48</v>
      </c>
      <c r="E14" s="11">
        <v>2.0179999999999998E-3</v>
      </c>
      <c r="F14" s="1"/>
      <c r="G14" s="1"/>
      <c r="H14" s="1"/>
      <c r="I14" s="1"/>
      <c r="J14" s="1"/>
      <c r="K14" s="1"/>
      <c r="L14" s="1"/>
      <c r="M14" s="1"/>
      <c r="N14" s="18"/>
    </row>
    <row r="15" spans="2:14" ht="15" customHeight="1" x14ac:dyDescent="0.25">
      <c r="B15" s="20"/>
      <c r="C15" s="5" t="s">
        <v>66</v>
      </c>
      <c r="D15" s="6" t="s">
        <v>48</v>
      </c>
      <c r="E15" s="11">
        <v>7.8700000000000005E-4</v>
      </c>
      <c r="F15" s="1"/>
      <c r="G15" s="1"/>
      <c r="H15" s="1"/>
      <c r="I15" s="1"/>
      <c r="J15" s="1"/>
      <c r="K15" s="1"/>
      <c r="L15" s="1"/>
      <c r="M15" s="1"/>
      <c r="N15" s="18"/>
    </row>
    <row r="16" spans="2:14" ht="15.75" customHeight="1" x14ac:dyDescent="0.25">
      <c r="B16" s="20"/>
      <c r="C16" s="7" t="s">
        <v>51</v>
      </c>
      <c r="D16" s="8"/>
      <c r="E16" s="12">
        <v>0.98181099999999999</v>
      </c>
      <c r="F16" s="1"/>
      <c r="G16" s="1"/>
      <c r="H16" s="1"/>
      <c r="I16" s="1"/>
      <c r="J16" s="1"/>
      <c r="K16" s="1"/>
      <c r="L16" s="1"/>
      <c r="M16" s="1"/>
      <c r="N16" s="18"/>
    </row>
    <row r="17" spans="2:14" ht="15" customHeight="1" x14ac:dyDescent="0.25">
      <c r="B17" s="20"/>
      <c r="C17" s="5" t="s">
        <v>9</v>
      </c>
      <c r="D17" s="6"/>
      <c r="E17" s="11">
        <v>2.9710000000000001E-3</v>
      </c>
      <c r="F17" s="1"/>
      <c r="G17" s="1"/>
      <c r="H17" s="1"/>
      <c r="I17" s="1"/>
      <c r="J17" s="1"/>
      <c r="K17" s="1"/>
      <c r="L17" s="1"/>
      <c r="M17" s="1"/>
      <c r="N17" s="18"/>
    </row>
    <row r="18" spans="2:14" ht="15.75" customHeight="1" x14ac:dyDescent="0.25">
      <c r="B18" s="20"/>
      <c r="C18" s="7" t="s">
        <v>10</v>
      </c>
      <c r="D18" s="8"/>
      <c r="E18" s="12">
        <v>2.9710000000000001E-3</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75" customHeight="1" x14ac:dyDescent="0.25">
      <c r="B20" s="20"/>
      <c r="C20" s="7" t="s">
        <v>11</v>
      </c>
      <c r="D20" s="8"/>
      <c r="E20" s="12">
        <v>1.2640999999999999E-2</v>
      </c>
      <c r="F20" s="1"/>
      <c r="G20" s="1"/>
      <c r="H20" s="1"/>
      <c r="I20" s="1"/>
      <c r="J20" s="1"/>
      <c r="K20" s="1"/>
      <c r="L20" s="1"/>
      <c r="M20" s="1"/>
      <c r="N20" s="18"/>
    </row>
    <row r="21" spans="2:14" ht="15" customHeight="1" x14ac:dyDescent="0.25">
      <c r="B21" s="20"/>
      <c r="C21" s="5"/>
      <c r="D21" s="6"/>
      <c r="E21" s="11"/>
      <c r="F21" s="1"/>
      <c r="G21" s="1"/>
      <c r="H21" s="1"/>
      <c r="I21" s="1"/>
      <c r="J21" s="1"/>
      <c r="K21" s="1"/>
      <c r="L21" s="1"/>
      <c r="M21" s="1"/>
      <c r="N21" s="18"/>
    </row>
    <row r="22" spans="2:14" ht="15" customHeight="1" x14ac:dyDescent="0.25">
      <c r="B22" s="20"/>
      <c r="C22" s="9" t="s">
        <v>12</v>
      </c>
      <c r="D22" s="10"/>
      <c r="E22" s="13">
        <v>1</v>
      </c>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4" t="s">
        <v>18</v>
      </c>
      <c r="H24" s="85"/>
      <c r="I24" s="85"/>
      <c r="J24" s="85"/>
      <c r="K24" s="85"/>
      <c r="L24" s="66">
        <v>10.025753707353029</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4" t="s">
        <v>19</v>
      </c>
      <c r="H26" s="85"/>
      <c r="I26" s="85"/>
      <c r="J26" s="85"/>
      <c r="K26" s="85"/>
      <c r="L26" s="85"/>
      <c r="M26" s="85"/>
      <c r="N26" s="8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67" t="s">
        <v>296</v>
      </c>
      <c r="C45" s="68"/>
      <c r="D45" s="68"/>
      <c r="E45" s="68"/>
      <c r="F45" s="68"/>
      <c r="G45" s="68"/>
      <c r="H45" s="68"/>
      <c r="I45" s="68"/>
      <c r="J45" s="68"/>
      <c r="K45" s="68"/>
      <c r="L45" s="68"/>
      <c r="M45" s="68"/>
      <c r="N45" s="69"/>
    </row>
    <row r="46" spans="2:14" x14ac:dyDescent="0.25">
      <c r="B46" s="70"/>
      <c r="C46" s="71"/>
      <c r="D46" s="71"/>
      <c r="E46" s="71"/>
      <c r="F46" s="71"/>
      <c r="G46" s="71"/>
      <c r="H46" s="71"/>
      <c r="I46" s="71"/>
      <c r="J46" s="71"/>
      <c r="K46" s="71"/>
      <c r="L46" s="71"/>
      <c r="M46" s="71"/>
      <c r="N46" s="72"/>
    </row>
    <row r="47" spans="2:14" x14ac:dyDescent="0.25">
      <c r="B47" s="70"/>
      <c r="C47" s="71"/>
      <c r="D47" s="71"/>
      <c r="E47" s="71"/>
      <c r="F47" s="71"/>
      <c r="G47" s="71"/>
      <c r="H47" s="71"/>
      <c r="I47" s="71"/>
      <c r="J47" s="71"/>
      <c r="K47" s="71"/>
      <c r="L47" s="71"/>
      <c r="M47" s="71"/>
      <c r="N47" s="72"/>
    </row>
    <row r="48" spans="2:14" ht="15.75" thickBot="1" x14ac:dyDescent="0.3">
      <c r="B48" s="73"/>
      <c r="C48" s="74"/>
      <c r="D48" s="74"/>
      <c r="E48" s="74"/>
      <c r="F48" s="74"/>
      <c r="G48" s="74"/>
      <c r="H48" s="74"/>
      <c r="I48" s="74"/>
      <c r="J48" s="74"/>
      <c r="K48" s="74"/>
      <c r="L48" s="74"/>
      <c r="M48" s="74"/>
      <c r="N48" s="75"/>
    </row>
    <row r="49" spans="2:14" ht="15.75" thickBot="1" x14ac:dyDescent="0.3"/>
    <row r="50" spans="2:14" ht="133.5" customHeight="1" thickBot="1" x14ac:dyDescent="0.3">
      <c r="B50" s="76" t="s">
        <v>302</v>
      </c>
      <c r="C50" s="77"/>
      <c r="D50" s="77"/>
      <c r="E50" s="77"/>
      <c r="F50" s="77"/>
      <c r="G50" s="77"/>
      <c r="H50" s="77"/>
      <c r="I50" s="77"/>
      <c r="J50" s="77"/>
      <c r="K50" s="77"/>
      <c r="L50" s="77"/>
      <c r="M50" s="77"/>
      <c r="N50" s="78"/>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21BD7-5D34-4A71-83F3-15246AFF4BBC}">
  <dimension ref="B1:N50"/>
  <sheetViews>
    <sheetView showGridLines="0" zoomScale="75" zoomScaleNormal="75" workbookViewId="0"/>
  </sheetViews>
  <sheetFormatPr defaultRowHeight="15" x14ac:dyDescent="0.25"/>
  <cols>
    <col min="1" max="1" width="2.85546875" customWidth="1"/>
    <col min="2" max="2" width="3.85546875" customWidth="1"/>
    <col min="3" max="3" width="54.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67</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68</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17</v>
      </c>
      <c r="H7" s="85"/>
      <c r="I7" s="85"/>
      <c r="J7" s="85"/>
      <c r="K7" s="85"/>
      <c r="L7" s="85"/>
      <c r="M7" s="85"/>
      <c r="N7" s="86"/>
    </row>
    <row r="8" spans="2:14" ht="15" customHeight="1" x14ac:dyDescent="0.25">
      <c r="B8" s="20"/>
      <c r="C8" s="5" t="s">
        <v>45</v>
      </c>
      <c r="D8" s="6"/>
      <c r="E8" s="11">
        <v>2.99E-3</v>
      </c>
      <c r="F8" s="1"/>
      <c r="G8" s="24" t="s">
        <v>16</v>
      </c>
      <c r="H8" s="25">
        <v>1</v>
      </c>
      <c r="I8" s="1"/>
      <c r="J8" s="24" t="s">
        <v>13</v>
      </c>
      <c r="K8" s="24" t="s">
        <v>5</v>
      </c>
      <c r="L8" s="1"/>
      <c r="M8" s="1"/>
      <c r="N8" s="18"/>
    </row>
    <row r="9" spans="2:14" ht="15.75" customHeight="1" x14ac:dyDescent="0.25">
      <c r="B9" s="20"/>
      <c r="C9" s="7" t="s">
        <v>46</v>
      </c>
      <c r="D9" s="8"/>
      <c r="E9" s="12">
        <v>2.99E-3</v>
      </c>
      <c r="F9" s="1"/>
      <c r="G9" s="1"/>
      <c r="H9" s="1"/>
      <c r="I9" s="1"/>
      <c r="J9" s="24" t="s">
        <v>11</v>
      </c>
      <c r="K9" s="28">
        <v>9.2040000000000004E-3</v>
      </c>
      <c r="L9" s="1"/>
      <c r="M9" s="1"/>
      <c r="N9" s="18"/>
    </row>
    <row r="10" spans="2:14" ht="15" customHeight="1" x14ac:dyDescent="0.25">
      <c r="B10" s="20"/>
      <c r="C10" s="5" t="s">
        <v>63</v>
      </c>
      <c r="D10" s="6" t="s">
        <v>48</v>
      </c>
      <c r="E10" s="11">
        <v>0.586117</v>
      </c>
      <c r="F10" s="1"/>
      <c r="G10" s="1"/>
      <c r="H10" s="1"/>
      <c r="I10" s="1"/>
      <c r="J10" s="24" t="s">
        <v>14</v>
      </c>
      <c r="K10" s="28">
        <v>5.9040000000000004E-3</v>
      </c>
      <c r="L10" s="1"/>
      <c r="M10" s="1"/>
      <c r="N10" s="18"/>
    </row>
    <row r="11" spans="2:14" ht="15" customHeight="1" x14ac:dyDescent="0.25">
      <c r="B11" s="20"/>
      <c r="C11" s="5" t="s">
        <v>47</v>
      </c>
      <c r="D11" s="6" t="s">
        <v>48</v>
      </c>
      <c r="E11" s="11">
        <v>0.28343600000000002</v>
      </c>
      <c r="F11" s="1"/>
      <c r="G11" s="1"/>
      <c r="H11" s="1"/>
      <c r="I11" s="1"/>
      <c r="J11" s="24" t="s">
        <v>56</v>
      </c>
      <c r="K11" s="28">
        <v>2.99E-3</v>
      </c>
      <c r="L11" s="1"/>
      <c r="M11" s="1"/>
      <c r="N11" s="18"/>
    </row>
    <row r="12" spans="2:14" ht="15" customHeight="1" x14ac:dyDescent="0.25">
      <c r="B12" s="20"/>
      <c r="C12" s="5" t="s">
        <v>69</v>
      </c>
      <c r="D12" s="6" t="s">
        <v>48</v>
      </c>
      <c r="E12" s="11">
        <v>8.4268999999999997E-2</v>
      </c>
      <c r="F12" s="1"/>
      <c r="G12" s="1"/>
      <c r="H12" s="1"/>
      <c r="I12" s="1"/>
      <c r="J12" s="24" t="s">
        <v>57</v>
      </c>
      <c r="K12" s="28">
        <v>0.95400300000000005</v>
      </c>
      <c r="L12" s="1"/>
      <c r="M12" s="1"/>
      <c r="N12" s="18"/>
    </row>
    <row r="13" spans="2:14" ht="15" customHeight="1" x14ac:dyDescent="0.25">
      <c r="B13" s="20"/>
      <c r="C13" s="5" t="s">
        <v>65</v>
      </c>
      <c r="D13" s="6" t="s">
        <v>48</v>
      </c>
      <c r="E13" s="11">
        <v>1.15E-4</v>
      </c>
      <c r="F13" s="1"/>
      <c r="G13" s="1"/>
      <c r="H13" s="1"/>
      <c r="I13" s="1"/>
      <c r="J13" s="24" t="s">
        <v>73</v>
      </c>
      <c r="K13" s="28">
        <v>8.9099999999999995E-3</v>
      </c>
      <c r="L13" s="1"/>
      <c r="M13" s="1"/>
      <c r="N13" s="18"/>
    </row>
    <row r="14" spans="2:14" ht="15" customHeight="1" x14ac:dyDescent="0.25">
      <c r="B14" s="20"/>
      <c r="C14" s="5" t="s">
        <v>70</v>
      </c>
      <c r="D14" s="6" t="s">
        <v>48</v>
      </c>
      <c r="E14" s="11">
        <v>6.6000000000000005E-5</v>
      </c>
      <c r="F14" s="1"/>
      <c r="G14" s="1"/>
      <c r="H14" s="1"/>
      <c r="I14" s="1"/>
      <c r="J14" s="24" t="s">
        <v>58</v>
      </c>
      <c r="K14" s="28">
        <v>1.8988999999999999E-2</v>
      </c>
      <c r="L14" s="1"/>
      <c r="M14" s="1"/>
      <c r="N14" s="18"/>
    </row>
    <row r="15" spans="2:14" ht="15.75" customHeight="1" x14ac:dyDescent="0.25">
      <c r="B15" s="20"/>
      <c r="C15" s="7" t="s">
        <v>51</v>
      </c>
      <c r="D15" s="8"/>
      <c r="E15" s="12">
        <v>0.95400300000000005</v>
      </c>
      <c r="F15" s="1"/>
      <c r="G15" s="1"/>
      <c r="H15" s="1"/>
      <c r="I15" s="1"/>
      <c r="J15" s="1"/>
      <c r="K15" s="1"/>
      <c r="L15" s="1"/>
      <c r="M15" s="1"/>
      <c r="N15" s="18"/>
    </row>
    <row r="16" spans="2:14" ht="15" customHeight="1" x14ac:dyDescent="0.25">
      <c r="B16" s="20"/>
      <c r="C16" s="5" t="s">
        <v>297</v>
      </c>
      <c r="D16" s="6" t="s">
        <v>71</v>
      </c>
      <c r="E16" s="11">
        <v>8.9099999999999995E-3</v>
      </c>
      <c r="F16" s="1"/>
      <c r="G16" s="1"/>
      <c r="H16" s="1"/>
      <c r="I16" s="1"/>
      <c r="J16" s="1"/>
      <c r="K16" s="1"/>
      <c r="L16" s="1"/>
      <c r="M16" s="1"/>
      <c r="N16" s="18"/>
    </row>
    <row r="17" spans="2:14" ht="15.75" customHeight="1" x14ac:dyDescent="0.25">
      <c r="B17" s="20"/>
      <c r="C17" s="7" t="s">
        <v>72</v>
      </c>
      <c r="D17" s="8"/>
      <c r="E17" s="12">
        <v>8.9099999999999995E-3</v>
      </c>
      <c r="F17" s="1"/>
      <c r="G17" s="1"/>
      <c r="H17" s="1"/>
      <c r="I17" s="1"/>
      <c r="J17" s="1"/>
      <c r="K17" s="1"/>
      <c r="L17" s="1"/>
      <c r="M17" s="1"/>
      <c r="N17" s="18"/>
    </row>
    <row r="18" spans="2:14" ht="15" customHeight="1" x14ac:dyDescent="0.25">
      <c r="B18" s="20"/>
      <c r="C18" s="5" t="s">
        <v>208</v>
      </c>
      <c r="D18" s="6" t="s">
        <v>48</v>
      </c>
      <c r="E18" s="11">
        <v>8.9079999999999993E-3</v>
      </c>
      <c r="F18" s="1"/>
      <c r="G18" s="1"/>
      <c r="H18" s="1"/>
      <c r="I18" s="1"/>
      <c r="J18" s="1"/>
      <c r="K18" s="1"/>
      <c r="L18" s="1"/>
      <c r="M18" s="1"/>
      <c r="N18" s="18"/>
    </row>
    <row r="19" spans="2:14" ht="15.75" customHeight="1" x14ac:dyDescent="0.25">
      <c r="B19" s="20"/>
      <c r="C19" s="5" t="s">
        <v>209</v>
      </c>
      <c r="D19" s="6" t="s">
        <v>48</v>
      </c>
      <c r="E19" s="11">
        <v>8.9049999999999997E-3</v>
      </c>
      <c r="F19" s="1"/>
      <c r="G19" s="1"/>
      <c r="H19" s="1"/>
      <c r="I19" s="1"/>
      <c r="J19" s="1"/>
      <c r="K19" s="1"/>
      <c r="L19" s="1"/>
      <c r="M19" s="1"/>
      <c r="N19" s="18"/>
    </row>
    <row r="20" spans="2:14" ht="15" customHeight="1" x14ac:dyDescent="0.25">
      <c r="B20" s="20"/>
      <c r="C20" s="5" t="s">
        <v>210</v>
      </c>
      <c r="D20" s="6" t="s">
        <v>48</v>
      </c>
      <c r="E20" s="11">
        <v>1.176E-3</v>
      </c>
      <c r="F20" s="1"/>
      <c r="G20" s="1"/>
      <c r="H20" s="1"/>
      <c r="I20" s="1"/>
      <c r="J20" s="1"/>
      <c r="K20" s="1"/>
      <c r="L20" s="1"/>
      <c r="M20" s="1"/>
      <c r="N20" s="18"/>
    </row>
    <row r="21" spans="2:14" ht="15.75" customHeight="1" x14ac:dyDescent="0.25">
      <c r="B21" s="20"/>
      <c r="C21" s="7" t="s">
        <v>52</v>
      </c>
      <c r="D21" s="8"/>
      <c r="E21" s="12">
        <v>1.8988999999999999E-2</v>
      </c>
      <c r="F21" s="1"/>
      <c r="G21" s="1"/>
      <c r="H21" s="1"/>
      <c r="I21" s="1"/>
      <c r="J21" s="1"/>
      <c r="K21" s="1"/>
      <c r="L21" s="1"/>
      <c r="M21" s="1"/>
      <c r="N21" s="18"/>
    </row>
    <row r="22" spans="2:14" ht="15" customHeight="1" x14ac:dyDescent="0.25">
      <c r="B22" s="20"/>
      <c r="C22" s="5" t="s">
        <v>9</v>
      </c>
      <c r="D22" s="6"/>
      <c r="E22" s="11">
        <v>5.9040000000000004E-3</v>
      </c>
      <c r="F22" s="1"/>
      <c r="G22" s="1"/>
      <c r="H22" s="1"/>
      <c r="I22" s="1"/>
      <c r="J22" s="1"/>
      <c r="K22" s="1"/>
      <c r="L22" s="1"/>
      <c r="M22" s="1"/>
      <c r="N22" s="18"/>
    </row>
    <row r="23" spans="2:14" ht="15.75" customHeight="1" x14ac:dyDescent="0.25">
      <c r="B23" s="20"/>
      <c r="C23" s="7" t="s">
        <v>10</v>
      </c>
      <c r="D23" s="8"/>
      <c r="E23" s="12">
        <v>5.9040000000000004E-3</v>
      </c>
      <c r="F23" s="1"/>
      <c r="G23" s="1"/>
      <c r="H23" s="1"/>
      <c r="I23" s="1"/>
      <c r="J23" s="1"/>
      <c r="K23" s="1"/>
      <c r="L23" s="1"/>
      <c r="M23" s="1"/>
      <c r="N23" s="18"/>
    </row>
    <row r="24" spans="2:14" ht="15" customHeight="1" x14ac:dyDescent="0.25">
      <c r="B24" s="20"/>
      <c r="C24" s="5"/>
      <c r="D24" s="6"/>
      <c r="E24" s="11"/>
      <c r="F24" s="1"/>
      <c r="G24" s="84" t="s">
        <v>18</v>
      </c>
      <c r="H24" s="85"/>
      <c r="I24" s="85"/>
      <c r="J24" s="85"/>
      <c r="K24" s="85"/>
      <c r="L24" s="66">
        <v>4.7050555934354321</v>
      </c>
      <c r="M24" s="26"/>
      <c r="N24" s="27"/>
    </row>
    <row r="25" spans="2:14" ht="15" customHeight="1" x14ac:dyDescent="0.25">
      <c r="B25" s="20"/>
      <c r="C25" s="7" t="s">
        <v>11</v>
      </c>
      <c r="D25" s="8"/>
      <c r="E25" s="12">
        <v>9.2040000000000004E-3</v>
      </c>
      <c r="F25" s="1"/>
      <c r="G25" s="1"/>
      <c r="H25" s="1"/>
      <c r="I25" s="1"/>
      <c r="J25" s="1"/>
      <c r="K25" s="1"/>
      <c r="L25" s="1"/>
      <c r="M25" s="1"/>
      <c r="N25" s="18"/>
    </row>
    <row r="26" spans="2:14" ht="15" customHeight="1" x14ac:dyDescent="0.25">
      <c r="B26" s="20"/>
      <c r="C26" s="5"/>
      <c r="D26" s="6"/>
      <c r="E26" s="11"/>
      <c r="F26" s="1"/>
      <c r="G26" s="84" t="s">
        <v>19</v>
      </c>
      <c r="H26" s="85"/>
      <c r="I26" s="85"/>
      <c r="J26" s="85"/>
      <c r="K26" s="85"/>
      <c r="L26" s="85"/>
      <c r="M26" s="85"/>
      <c r="N26" s="86"/>
    </row>
    <row r="27" spans="2:14" ht="15" customHeight="1" x14ac:dyDescent="0.25">
      <c r="B27" s="20"/>
      <c r="C27" s="9" t="s">
        <v>12</v>
      </c>
      <c r="D27" s="10"/>
      <c r="E27" s="13">
        <v>1</v>
      </c>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t="s">
        <v>298</v>
      </c>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7" t="s">
        <v>296</v>
      </c>
      <c r="C45" s="68"/>
      <c r="D45" s="68"/>
      <c r="E45" s="68"/>
      <c r="F45" s="68"/>
      <c r="G45" s="68"/>
      <c r="H45" s="68"/>
      <c r="I45" s="68"/>
      <c r="J45" s="68"/>
      <c r="K45" s="68"/>
      <c r="L45" s="68"/>
      <c r="M45" s="68"/>
      <c r="N45" s="69"/>
    </row>
    <row r="46" spans="2:14" x14ac:dyDescent="0.25">
      <c r="B46" s="70"/>
      <c r="C46" s="71"/>
      <c r="D46" s="71"/>
      <c r="E46" s="71"/>
      <c r="F46" s="71"/>
      <c r="G46" s="71"/>
      <c r="H46" s="71"/>
      <c r="I46" s="71"/>
      <c r="J46" s="71"/>
      <c r="K46" s="71"/>
      <c r="L46" s="71"/>
      <c r="M46" s="71"/>
      <c r="N46" s="72"/>
    </row>
    <row r="47" spans="2:14" x14ac:dyDescent="0.25">
      <c r="B47" s="70"/>
      <c r="C47" s="71"/>
      <c r="D47" s="71"/>
      <c r="E47" s="71"/>
      <c r="F47" s="71"/>
      <c r="G47" s="71"/>
      <c r="H47" s="71"/>
      <c r="I47" s="71"/>
      <c r="J47" s="71"/>
      <c r="K47" s="71"/>
      <c r="L47" s="71"/>
      <c r="M47" s="71"/>
      <c r="N47" s="72"/>
    </row>
    <row r="48" spans="2:14" ht="15.75" thickBot="1" x14ac:dyDescent="0.3">
      <c r="B48" s="73"/>
      <c r="C48" s="74"/>
      <c r="D48" s="74"/>
      <c r="E48" s="74"/>
      <c r="F48" s="74"/>
      <c r="G48" s="74"/>
      <c r="H48" s="74"/>
      <c r="I48" s="74"/>
      <c r="J48" s="74"/>
      <c r="K48" s="74"/>
      <c r="L48" s="74"/>
      <c r="M48" s="74"/>
      <c r="N48" s="75"/>
    </row>
    <row r="49" spans="2:14" ht="15.75" thickBot="1" x14ac:dyDescent="0.3"/>
    <row r="50" spans="2:14" ht="130.5" customHeight="1" thickBot="1" x14ac:dyDescent="0.3">
      <c r="B50" s="76" t="s">
        <v>302</v>
      </c>
      <c r="C50" s="77"/>
      <c r="D50" s="77"/>
      <c r="E50" s="77"/>
      <c r="F50" s="77"/>
      <c r="G50" s="77"/>
      <c r="H50" s="77"/>
      <c r="I50" s="77"/>
      <c r="J50" s="77"/>
      <c r="K50" s="77"/>
      <c r="L50" s="77"/>
      <c r="M50" s="77"/>
      <c r="N50" s="78"/>
    </row>
  </sheetData>
  <sortState ref="C18:E20">
    <sortCondition descending="1" ref="E18"/>
  </sortState>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E17BF-9794-4A37-A085-B866111AD630}">
  <dimension ref="B1:N60"/>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74</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75</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17</v>
      </c>
      <c r="H7" s="85"/>
      <c r="I7" s="85"/>
      <c r="J7" s="85"/>
      <c r="K7" s="85"/>
      <c r="L7" s="85"/>
      <c r="M7" s="85"/>
      <c r="N7" s="86"/>
    </row>
    <row r="8" spans="2:14" ht="15" customHeight="1" x14ac:dyDescent="0.25">
      <c r="B8" s="20"/>
      <c r="C8" s="5" t="s">
        <v>31</v>
      </c>
      <c r="D8" s="6" t="s">
        <v>23</v>
      </c>
      <c r="E8" s="11">
        <v>2.2859000000000001E-2</v>
      </c>
      <c r="F8" s="1"/>
      <c r="G8" s="24" t="s">
        <v>16</v>
      </c>
      <c r="H8" s="25">
        <v>1</v>
      </c>
      <c r="I8" s="1"/>
      <c r="J8" s="24" t="s">
        <v>13</v>
      </c>
      <c r="K8" s="24" t="s">
        <v>5</v>
      </c>
      <c r="L8" s="1"/>
      <c r="M8" s="1"/>
      <c r="N8" s="18"/>
    </row>
    <row r="9" spans="2:14" ht="15" customHeight="1" x14ac:dyDescent="0.25">
      <c r="B9" s="20"/>
      <c r="C9" s="5" t="s">
        <v>43</v>
      </c>
      <c r="D9" s="6" t="s">
        <v>23</v>
      </c>
      <c r="E9" s="11">
        <v>1.9361E-2</v>
      </c>
      <c r="F9" s="1"/>
      <c r="G9" s="1"/>
      <c r="H9" s="1"/>
      <c r="I9" s="1"/>
      <c r="J9" s="24" t="s">
        <v>11</v>
      </c>
      <c r="K9" s="28">
        <v>2.0490000000000001E-2</v>
      </c>
      <c r="L9" s="1"/>
      <c r="M9" s="1"/>
      <c r="N9" s="18"/>
    </row>
    <row r="10" spans="2:14" ht="15" customHeight="1" x14ac:dyDescent="0.25">
      <c r="B10" s="20"/>
      <c r="C10" s="5" t="s">
        <v>24</v>
      </c>
      <c r="D10" s="6" t="s">
        <v>23</v>
      </c>
      <c r="E10" s="11">
        <v>5.6290000000000003E-3</v>
      </c>
      <c r="F10" s="1"/>
      <c r="G10" s="1"/>
      <c r="H10" s="1"/>
      <c r="I10" s="1"/>
      <c r="J10" s="24" t="s">
        <v>14</v>
      </c>
      <c r="K10" s="28">
        <v>4.7450000000000001E-3</v>
      </c>
      <c r="L10" s="1"/>
      <c r="M10" s="1"/>
      <c r="N10" s="18"/>
    </row>
    <row r="11" spans="2:14" ht="15.75" customHeight="1" x14ac:dyDescent="0.25">
      <c r="B11" s="20"/>
      <c r="C11" s="7" t="s">
        <v>25</v>
      </c>
      <c r="D11" s="8"/>
      <c r="E11" s="12">
        <v>4.7849000000000003E-2</v>
      </c>
      <c r="F11" s="1"/>
      <c r="G11" s="1"/>
      <c r="H11" s="1"/>
      <c r="I11" s="1"/>
      <c r="J11" s="24" t="s">
        <v>53</v>
      </c>
      <c r="K11" s="28">
        <v>4.7849000000000003E-2</v>
      </c>
      <c r="L11" s="1"/>
      <c r="M11" s="1"/>
      <c r="N11" s="18"/>
    </row>
    <row r="12" spans="2:14" ht="15" customHeight="1" x14ac:dyDescent="0.25">
      <c r="B12" s="20"/>
      <c r="C12" s="5" t="s">
        <v>27</v>
      </c>
      <c r="D12" s="6" t="s">
        <v>23</v>
      </c>
      <c r="E12" s="11">
        <v>7.9741000000000006E-2</v>
      </c>
      <c r="F12" s="1"/>
      <c r="G12" s="1"/>
      <c r="H12" s="1"/>
      <c r="I12" s="1"/>
      <c r="J12" s="24" t="s">
        <v>54</v>
      </c>
      <c r="K12" s="28">
        <v>0.10077700000000001</v>
      </c>
      <c r="L12" s="1"/>
      <c r="M12" s="1"/>
      <c r="N12" s="18"/>
    </row>
    <row r="13" spans="2:14" ht="15" customHeight="1" x14ac:dyDescent="0.25">
      <c r="B13" s="20"/>
      <c r="C13" s="5" t="s">
        <v>76</v>
      </c>
      <c r="D13" s="6" t="s">
        <v>23</v>
      </c>
      <c r="E13" s="11">
        <v>1.6840000000000001E-2</v>
      </c>
      <c r="F13" s="1"/>
      <c r="G13" s="1"/>
      <c r="H13" s="1"/>
      <c r="I13" s="1"/>
      <c r="J13" s="24" t="s">
        <v>55</v>
      </c>
      <c r="K13" s="28">
        <v>0.108505</v>
      </c>
      <c r="L13" s="1"/>
      <c r="M13" s="1"/>
      <c r="N13" s="18"/>
    </row>
    <row r="14" spans="2:14" ht="15" customHeight="1" x14ac:dyDescent="0.25">
      <c r="B14" s="20"/>
      <c r="C14" s="5" t="s">
        <v>31</v>
      </c>
      <c r="D14" s="6" t="s">
        <v>23</v>
      </c>
      <c r="E14" s="11">
        <v>6.2189999999999997E-3</v>
      </c>
      <c r="F14" s="1"/>
      <c r="G14" s="1"/>
      <c r="H14" s="1"/>
      <c r="I14" s="1"/>
      <c r="J14" s="24" t="s">
        <v>56</v>
      </c>
      <c r="K14" s="28">
        <v>2.7520000000000001E-3</v>
      </c>
      <c r="L14" s="1"/>
      <c r="M14" s="1"/>
      <c r="N14" s="18"/>
    </row>
    <row r="15" spans="2:14" ht="15" customHeight="1" x14ac:dyDescent="0.25">
      <c r="B15" s="20"/>
      <c r="C15" s="5" t="s">
        <v>77</v>
      </c>
      <c r="D15" s="6" t="s">
        <v>23</v>
      </c>
      <c r="E15" s="11">
        <v>5.705E-3</v>
      </c>
      <c r="F15" s="1"/>
      <c r="G15" s="1"/>
      <c r="H15" s="1"/>
      <c r="I15" s="1"/>
      <c r="J15" s="24" t="s">
        <v>57</v>
      </c>
      <c r="K15" s="28">
        <v>0.71148100000000003</v>
      </c>
      <c r="L15" s="1"/>
      <c r="M15" s="1"/>
      <c r="N15" s="18"/>
    </row>
    <row r="16" spans="2:14" ht="15.75" customHeight="1" x14ac:dyDescent="0.25">
      <c r="B16" s="20"/>
      <c r="C16" s="7" t="s">
        <v>26</v>
      </c>
      <c r="D16" s="8"/>
      <c r="E16" s="12">
        <v>0.108505</v>
      </c>
      <c r="F16" s="1"/>
      <c r="G16" s="1"/>
      <c r="H16" s="1"/>
      <c r="I16" s="1"/>
      <c r="J16" s="24" t="s">
        <v>73</v>
      </c>
      <c r="K16" s="28">
        <v>3.4009999999999999E-3</v>
      </c>
      <c r="L16" s="1"/>
      <c r="M16" s="1"/>
      <c r="N16" s="18"/>
    </row>
    <row r="17" spans="2:14" ht="15" customHeight="1" x14ac:dyDescent="0.25">
      <c r="B17" s="20"/>
      <c r="C17" s="5" t="s">
        <v>76</v>
      </c>
      <c r="D17" s="6" t="s">
        <v>28</v>
      </c>
      <c r="E17" s="11">
        <v>7.4134000000000005E-2</v>
      </c>
      <c r="F17" s="1"/>
      <c r="G17" s="1"/>
      <c r="H17" s="1"/>
      <c r="I17" s="1"/>
      <c r="J17" s="1"/>
      <c r="K17" s="1"/>
      <c r="L17" s="1"/>
      <c r="M17" s="1"/>
      <c r="N17" s="18"/>
    </row>
    <row r="18" spans="2:14" ht="15" customHeight="1" x14ac:dyDescent="0.25">
      <c r="B18" s="20"/>
      <c r="C18" s="5" t="s">
        <v>78</v>
      </c>
      <c r="D18" s="6" t="s">
        <v>28</v>
      </c>
      <c r="E18" s="11">
        <v>1.7351999999999999E-2</v>
      </c>
      <c r="F18" s="1"/>
      <c r="G18" s="1"/>
      <c r="H18" s="1"/>
      <c r="I18" s="1"/>
      <c r="J18" s="1"/>
      <c r="K18" s="1"/>
      <c r="L18" s="1"/>
      <c r="M18" s="1"/>
      <c r="N18" s="18"/>
    </row>
    <row r="19" spans="2:14" ht="15" customHeight="1" x14ac:dyDescent="0.25">
      <c r="B19" s="20"/>
      <c r="C19" s="5" t="s">
        <v>29</v>
      </c>
      <c r="D19" s="6" t="s">
        <v>28</v>
      </c>
      <c r="E19" s="11">
        <v>5.8380000000000003E-3</v>
      </c>
      <c r="F19" s="1"/>
      <c r="G19" s="1"/>
      <c r="H19" s="1"/>
      <c r="I19" s="1"/>
      <c r="J19" s="1"/>
      <c r="K19" s="1"/>
      <c r="L19" s="1"/>
      <c r="M19" s="1"/>
      <c r="N19" s="18"/>
    </row>
    <row r="20" spans="2:14" ht="15" customHeight="1" x14ac:dyDescent="0.25">
      <c r="B20" s="20"/>
      <c r="C20" s="5" t="s">
        <v>27</v>
      </c>
      <c r="D20" s="6" t="s">
        <v>28</v>
      </c>
      <c r="E20" s="11">
        <v>2.8830000000000001E-3</v>
      </c>
      <c r="F20" s="1"/>
      <c r="G20" s="1"/>
      <c r="H20" s="1"/>
      <c r="I20" s="1"/>
      <c r="J20" s="1"/>
      <c r="K20" s="1"/>
      <c r="L20" s="1"/>
      <c r="M20" s="1"/>
      <c r="N20" s="18"/>
    </row>
    <row r="21" spans="2:14" ht="15" customHeight="1" x14ac:dyDescent="0.25">
      <c r="B21" s="20"/>
      <c r="C21" s="5" t="s">
        <v>77</v>
      </c>
      <c r="D21" s="6" t="s">
        <v>28</v>
      </c>
      <c r="E21" s="11">
        <v>5.6999999999999998E-4</v>
      </c>
      <c r="F21" s="1"/>
      <c r="G21" s="1"/>
      <c r="H21" s="1"/>
      <c r="I21" s="1"/>
      <c r="J21" s="1"/>
      <c r="K21" s="1"/>
      <c r="L21" s="1"/>
      <c r="M21" s="1"/>
      <c r="N21" s="18"/>
    </row>
    <row r="22" spans="2:14" ht="15.75" customHeight="1" x14ac:dyDescent="0.25">
      <c r="B22" s="20"/>
      <c r="C22" s="7" t="s">
        <v>44</v>
      </c>
      <c r="D22" s="8"/>
      <c r="E22" s="12">
        <v>0.10077700000000001</v>
      </c>
      <c r="F22" s="1"/>
      <c r="G22" s="1"/>
      <c r="H22" s="1"/>
      <c r="I22" s="1"/>
      <c r="J22" s="1"/>
      <c r="K22" s="1"/>
      <c r="L22" s="1"/>
      <c r="M22" s="1"/>
      <c r="N22" s="18"/>
    </row>
    <row r="23" spans="2:14" ht="15" customHeight="1" x14ac:dyDescent="0.25">
      <c r="B23" s="20"/>
      <c r="C23" s="5" t="s">
        <v>45</v>
      </c>
      <c r="D23" s="6"/>
      <c r="E23" s="11">
        <v>2.7520000000000001E-3</v>
      </c>
      <c r="F23" s="1"/>
      <c r="G23" s="1"/>
      <c r="H23" s="1"/>
      <c r="I23" s="1"/>
      <c r="J23" s="1"/>
      <c r="K23" s="1"/>
      <c r="L23" s="1"/>
      <c r="M23" s="1"/>
      <c r="N23" s="18"/>
    </row>
    <row r="24" spans="2:14" ht="15.75" customHeight="1" x14ac:dyDescent="0.25">
      <c r="B24" s="20"/>
      <c r="C24" s="7" t="s">
        <v>46</v>
      </c>
      <c r="D24" s="8"/>
      <c r="E24" s="12">
        <v>2.7520000000000001E-3</v>
      </c>
      <c r="F24" s="1"/>
      <c r="G24" s="84" t="s">
        <v>18</v>
      </c>
      <c r="H24" s="85"/>
      <c r="I24" s="85"/>
      <c r="J24" s="85"/>
      <c r="K24" s="85"/>
      <c r="L24" s="66">
        <v>2.9800031467900245</v>
      </c>
      <c r="M24" s="26"/>
      <c r="N24" s="27"/>
    </row>
    <row r="25" spans="2:14" ht="15" customHeight="1" x14ac:dyDescent="0.25">
      <c r="B25" s="20"/>
      <c r="C25" s="5" t="s">
        <v>47</v>
      </c>
      <c r="D25" s="6" t="s">
        <v>48</v>
      </c>
      <c r="E25" s="11">
        <v>0.579067</v>
      </c>
      <c r="F25" s="1"/>
      <c r="G25" s="1"/>
      <c r="H25" s="1"/>
      <c r="I25" s="1"/>
      <c r="J25" s="1"/>
      <c r="K25" s="1"/>
      <c r="L25" s="1"/>
      <c r="M25" s="1"/>
      <c r="N25" s="18"/>
    </row>
    <row r="26" spans="2:14" ht="15" customHeight="1" x14ac:dyDescent="0.25">
      <c r="B26" s="20"/>
      <c r="C26" s="5" t="s">
        <v>69</v>
      </c>
      <c r="D26" s="6" t="s">
        <v>48</v>
      </c>
      <c r="E26" s="11">
        <v>6.2890000000000001E-2</v>
      </c>
      <c r="F26" s="1"/>
      <c r="G26" s="84" t="s">
        <v>19</v>
      </c>
      <c r="H26" s="85"/>
      <c r="I26" s="85"/>
      <c r="J26" s="85"/>
      <c r="K26" s="85"/>
      <c r="L26" s="85"/>
      <c r="M26" s="85"/>
      <c r="N26" s="86"/>
    </row>
    <row r="27" spans="2:14" ht="15" customHeight="1" x14ac:dyDescent="0.25">
      <c r="B27" s="20"/>
      <c r="C27" s="5" t="s">
        <v>63</v>
      </c>
      <c r="D27" s="6" t="s">
        <v>48</v>
      </c>
      <c r="E27" s="11">
        <v>4.0760999999999999E-2</v>
      </c>
      <c r="F27" s="1"/>
      <c r="G27" s="1"/>
      <c r="H27" s="1"/>
      <c r="I27" s="1"/>
      <c r="J27" s="1"/>
      <c r="K27" s="1"/>
      <c r="L27" s="1"/>
      <c r="M27" s="1"/>
      <c r="N27" s="18"/>
    </row>
    <row r="28" spans="2:14" ht="15" customHeight="1" x14ac:dyDescent="0.25">
      <c r="B28" s="20"/>
      <c r="C28" s="5" t="s">
        <v>50</v>
      </c>
      <c r="D28" s="6" t="s">
        <v>48</v>
      </c>
      <c r="E28" s="11">
        <v>2.6032E-2</v>
      </c>
      <c r="F28" s="1"/>
      <c r="G28" s="1"/>
      <c r="H28" s="1"/>
      <c r="I28" s="1"/>
      <c r="J28" s="1"/>
      <c r="K28" s="1"/>
      <c r="L28" s="1"/>
      <c r="M28" s="1"/>
      <c r="N28" s="18"/>
    </row>
    <row r="29" spans="2:14" ht="15" customHeight="1" x14ac:dyDescent="0.25">
      <c r="B29" s="20"/>
      <c r="C29" s="5" t="s">
        <v>79</v>
      </c>
      <c r="D29" s="6" t="s">
        <v>48</v>
      </c>
      <c r="E29" s="11">
        <v>2.5149999999999999E-3</v>
      </c>
      <c r="F29" s="1"/>
      <c r="G29" s="1"/>
      <c r="H29" s="1"/>
      <c r="I29" s="1"/>
      <c r="J29" s="1"/>
      <c r="K29" s="1"/>
      <c r="L29" s="1"/>
      <c r="M29" s="1"/>
      <c r="N29" s="18"/>
    </row>
    <row r="30" spans="2:14" ht="15" customHeight="1" x14ac:dyDescent="0.25">
      <c r="B30" s="20"/>
      <c r="C30" s="5" t="s">
        <v>70</v>
      </c>
      <c r="D30" s="6" t="s">
        <v>48</v>
      </c>
      <c r="E30" s="11">
        <v>1.1900000000000001E-4</v>
      </c>
      <c r="F30" s="1"/>
      <c r="G30" s="1"/>
      <c r="H30" s="1"/>
      <c r="I30" s="1"/>
      <c r="J30" s="1"/>
      <c r="K30" s="1"/>
      <c r="L30" s="1"/>
      <c r="M30" s="1"/>
      <c r="N30" s="18"/>
    </row>
    <row r="31" spans="2:14" ht="15" customHeight="1" x14ac:dyDescent="0.25">
      <c r="B31" s="20"/>
      <c r="C31" s="5" t="s">
        <v>65</v>
      </c>
      <c r="D31" s="6" t="s">
        <v>48</v>
      </c>
      <c r="E31" s="11">
        <v>9.7E-5</v>
      </c>
      <c r="F31" s="1"/>
      <c r="G31" s="1"/>
      <c r="H31" s="1"/>
      <c r="I31" s="1"/>
      <c r="J31" s="1"/>
      <c r="K31" s="1"/>
      <c r="L31" s="1"/>
      <c r="M31" s="1"/>
      <c r="N31" s="18"/>
    </row>
    <row r="32" spans="2:14" ht="15.75" customHeight="1" x14ac:dyDescent="0.25">
      <c r="B32" s="20"/>
      <c r="C32" s="7" t="s">
        <v>51</v>
      </c>
      <c r="D32" s="8"/>
      <c r="E32" s="12">
        <v>0.71148100000000003</v>
      </c>
      <c r="F32" s="1"/>
      <c r="G32" s="1"/>
      <c r="H32" s="1"/>
      <c r="I32" s="1"/>
      <c r="J32" s="1"/>
      <c r="K32" s="1"/>
      <c r="L32" s="1"/>
      <c r="M32" s="1"/>
      <c r="N32" s="18"/>
    </row>
    <row r="33" spans="2:14" ht="15" customHeight="1" x14ac:dyDescent="0.25">
      <c r="B33" s="20"/>
      <c r="C33" s="5" t="s">
        <v>297</v>
      </c>
      <c r="D33" s="6" t="s">
        <v>71</v>
      </c>
      <c r="E33" s="11">
        <v>3.4009999999999999E-3</v>
      </c>
      <c r="F33" s="1"/>
      <c r="G33" s="1"/>
      <c r="H33" s="1"/>
      <c r="I33" s="1"/>
      <c r="J33" s="1"/>
      <c r="K33" s="1"/>
      <c r="L33" s="1"/>
      <c r="M33" s="1"/>
      <c r="N33" s="18"/>
    </row>
    <row r="34" spans="2:14" ht="15.75" customHeight="1" x14ac:dyDescent="0.25">
      <c r="B34" s="20"/>
      <c r="C34" s="7" t="s">
        <v>72</v>
      </c>
      <c r="D34" s="8"/>
      <c r="E34" s="12">
        <v>3.4009999999999999E-3</v>
      </c>
      <c r="F34" s="1"/>
      <c r="G34" s="1"/>
      <c r="H34" s="1"/>
      <c r="I34" s="1"/>
      <c r="J34" s="1"/>
      <c r="K34" s="1"/>
      <c r="L34" s="1"/>
      <c r="M34" s="1"/>
      <c r="N34" s="18"/>
    </row>
    <row r="35" spans="2:14" ht="15" customHeight="1" x14ac:dyDescent="0.25">
      <c r="B35" s="20"/>
      <c r="C35" s="5" t="s">
        <v>9</v>
      </c>
      <c r="D35" s="6"/>
      <c r="E35" s="11">
        <v>4.7450000000000001E-3</v>
      </c>
      <c r="F35" s="1"/>
      <c r="G35" s="1"/>
      <c r="H35" s="1"/>
      <c r="I35" s="1"/>
      <c r="J35" s="1"/>
      <c r="K35" s="1"/>
      <c r="L35" s="1"/>
      <c r="M35" s="1"/>
      <c r="N35" s="18"/>
    </row>
    <row r="36" spans="2:14" ht="15.75" customHeight="1" x14ac:dyDescent="0.25">
      <c r="B36" s="20"/>
      <c r="C36" s="7" t="s">
        <v>10</v>
      </c>
      <c r="D36" s="8"/>
      <c r="E36" s="12">
        <v>4.7450000000000001E-3</v>
      </c>
      <c r="F36" s="1"/>
      <c r="G36" s="1"/>
      <c r="H36" s="1"/>
      <c r="I36" s="1"/>
      <c r="J36" s="1"/>
      <c r="K36" s="1"/>
      <c r="L36" s="1"/>
      <c r="M36" s="1"/>
      <c r="N36" s="18"/>
    </row>
    <row r="37" spans="2:14" ht="15" customHeight="1" x14ac:dyDescent="0.25">
      <c r="B37" s="20"/>
      <c r="C37" s="5"/>
      <c r="D37" s="6"/>
      <c r="E37" s="11"/>
      <c r="F37" s="1"/>
      <c r="G37" s="1"/>
      <c r="H37" s="1"/>
      <c r="I37" s="1"/>
      <c r="J37" s="1"/>
      <c r="K37" s="1"/>
      <c r="L37" s="1"/>
      <c r="M37" s="1"/>
      <c r="N37" s="18"/>
    </row>
    <row r="38" spans="2:14" ht="15.75" customHeight="1" x14ac:dyDescent="0.25">
      <c r="B38" s="20"/>
      <c r="C38" s="7" t="s">
        <v>11</v>
      </c>
      <c r="D38" s="8"/>
      <c r="E38" s="12">
        <v>2.0490000000000001E-2</v>
      </c>
      <c r="F38" s="1"/>
      <c r="G38" s="1"/>
      <c r="H38" s="1"/>
      <c r="I38" s="1"/>
      <c r="J38" s="1"/>
      <c r="K38" s="1"/>
      <c r="L38" s="1"/>
      <c r="M38" s="1"/>
      <c r="N38" s="18"/>
    </row>
    <row r="39" spans="2:14" ht="15" customHeight="1" x14ac:dyDescent="0.25">
      <c r="B39" s="20"/>
      <c r="C39" s="5"/>
      <c r="D39" s="6"/>
      <c r="E39" s="11"/>
      <c r="F39" s="1"/>
      <c r="G39" s="1"/>
      <c r="H39" s="1"/>
      <c r="I39" s="1"/>
      <c r="J39" s="1"/>
      <c r="K39" s="1"/>
      <c r="L39" s="1"/>
      <c r="M39" s="1"/>
      <c r="N39" s="18"/>
    </row>
    <row r="40" spans="2:14" ht="15" customHeight="1" x14ac:dyDescent="0.25">
      <c r="B40" s="20"/>
      <c r="C40" s="9" t="s">
        <v>12</v>
      </c>
      <c r="D40" s="10"/>
      <c r="E40" s="13">
        <v>1</v>
      </c>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t="s">
        <v>298</v>
      </c>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7" t="s">
        <v>296</v>
      </c>
      <c r="C45" s="68"/>
      <c r="D45" s="68"/>
      <c r="E45" s="68"/>
      <c r="F45" s="68"/>
      <c r="G45" s="68"/>
      <c r="H45" s="68"/>
      <c r="I45" s="68"/>
      <c r="J45" s="68"/>
      <c r="K45" s="68"/>
      <c r="L45" s="68"/>
      <c r="M45" s="68"/>
      <c r="N45" s="69"/>
    </row>
    <row r="46" spans="2:14" ht="15" customHeight="1" x14ac:dyDescent="0.25">
      <c r="B46" s="70"/>
      <c r="C46" s="71"/>
      <c r="D46" s="71"/>
      <c r="E46" s="71"/>
      <c r="F46" s="71"/>
      <c r="G46" s="71"/>
      <c r="H46" s="71"/>
      <c r="I46" s="71"/>
      <c r="J46" s="71"/>
      <c r="K46" s="71"/>
      <c r="L46" s="71"/>
      <c r="M46" s="71"/>
      <c r="N46" s="72"/>
    </row>
    <row r="47" spans="2:14" ht="15" customHeight="1" x14ac:dyDescent="0.25">
      <c r="B47" s="70"/>
      <c r="C47" s="71"/>
      <c r="D47" s="71"/>
      <c r="E47" s="71"/>
      <c r="F47" s="71"/>
      <c r="G47" s="71"/>
      <c r="H47" s="71"/>
      <c r="I47" s="71"/>
      <c r="J47" s="71"/>
      <c r="K47" s="71"/>
      <c r="L47" s="71"/>
      <c r="M47" s="71"/>
      <c r="N47" s="72"/>
    </row>
    <row r="48" spans="2:14" ht="15" customHeight="1" thickBot="1" x14ac:dyDescent="0.3">
      <c r="B48" s="73"/>
      <c r="C48" s="74"/>
      <c r="D48" s="74"/>
      <c r="E48" s="74"/>
      <c r="F48" s="74"/>
      <c r="G48" s="74"/>
      <c r="H48" s="74"/>
      <c r="I48" s="74"/>
      <c r="J48" s="74"/>
      <c r="K48" s="74"/>
      <c r="L48" s="74"/>
      <c r="M48" s="74"/>
      <c r="N48" s="75"/>
    </row>
    <row r="49" spans="2:14" ht="15" customHeight="1" thickBot="1" x14ac:dyDescent="0.3"/>
    <row r="50" spans="2:14" ht="133.5" customHeight="1" thickBot="1" x14ac:dyDescent="0.3">
      <c r="B50" s="76" t="s">
        <v>302</v>
      </c>
      <c r="C50" s="77"/>
      <c r="D50" s="77"/>
      <c r="E50" s="77"/>
      <c r="F50" s="77"/>
      <c r="G50" s="77"/>
      <c r="H50" s="77"/>
      <c r="I50" s="77"/>
      <c r="J50" s="77"/>
      <c r="K50" s="77"/>
      <c r="L50" s="77"/>
      <c r="M50" s="77"/>
      <c r="N50" s="78"/>
    </row>
    <row r="51" spans="2:14" ht="15" customHeight="1" x14ac:dyDescent="0.25"/>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C0BD-F0C7-42CC-9F30-A6E48CFA9D4E}">
  <dimension ref="B1:N85"/>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20</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21</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17</v>
      </c>
      <c r="H7" s="85"/>
      <c r="I7" s="85"/>
      <c r="J7" s="85"/>
      <c r="K7" s="85"/>
      <c r="L7" s="85"/>
      <c r="M7" s="85"/>
      <c r="N7" s="86"/>
    </row>
    <row r="8" spans="2:14" ht="15" customHeight="1" x14ac:dyDescent="0.25">
      <c r="B8" s="20"/>
      <c r="C8" s="5" t="s">
        <v>22</v>
      </c>
      <c r="D8" s="6" t="s">
        <v>23</v>
      </c>
      <c r="E8" s="11">
        <v>1.1531E-2</v>
      </c>
      <c r="F8" s="1"/>
      <c r="G8" s="24" t="s">
        <v>16</v>
      </c>
      <c r="H8" s="25">
        <v>1</v>
      </c>
      <c r="I8" s="1"/>
      <c r="J8" s="24" t="s">
        <v>13</v>
      </c>
      <c r="K8" s="24" t="s">
        <v>5</v>
      </c>
      <c r="L8" s="1"/>
      <c r="M8" s="1"/>
      <c r="N8" s="18"/>
    </row>
    <row r="9" spans="2:14" ht="15" customHeight="1" x14ac:dyDescent="0.25">
      <c r="B9" s="20"/>
      <c r="C9" s="5" t="s">
        <v>24</v>
      </c>
      <c r="D9" s="6" t="s">
        <v>23</v>
      </c>
      <c r="E9" s="11">
        <v>6.5900000000000004E-3</v>
      </c>
      <c r="F9" s="1"/>
      <c r="G9" s="1"/>
      <c r="H9" s="1"/>
      <c r="I9" s="1"/>
      <c r="J9" s="24" t="s">
        <v>11</v>
      </c>
      <c r="K9" s="28">
        <v>1.0083E-2</v>
      </c>
      <c r="L9" s="1"/>
      <c r="M9" s="1"/>
      <c r="N9" s="18"/>
    </row>
    <row r="10" spans="2:14" ht="15.75" customHeight="1" x14ac:dyDescent="0.25">
      <c r="B10" s="20"/>
      <c r="C10" s="7" t="s">
        <v>25</v>
      </c>
      <c r="D10" s="8"/>
      <c r="E10" s="12">
        <v>1.8121000000000002E-2</v>
      </c>
      <c r="F10" s="1"/>
      <c r="G10" s="1"/>
      <c r="H10" s="1"/>
      <c r="I10" s="1"/>
      <c r="J10" s="24" t="s">
        <v>14</v>
      </c>
      <c r="K10" s="28">
        <v>2.9399000000000002E-2</v>
      </c>
      <c r="L10" s="1"/>
      <c r="M10" s="1"/>
      <c r="N10" s="18"/>
    </row>
    <row r="11" spans="2:14" ht="15" customHeight="1" x14ac:dyDescent="0.25">
      <c r="B11" s="20"/>
      <c r="C11" s="5" t="s">
        <v>24</v>
      </c>
      <c r="D11" s="6" t="s">
        <v>23</v>
      </c>
      <c r="E11" s="11">
        <v>3.2940000000000001E-3</v>
      </c>
      <c r="F11" s="1"/>
      <c r="G11" s="1"/>
      <c r="H11" s="1"/>
      <c r="I11" s="1"/>
      <c r="J11" s="24" t="s">
        <v>53</v>
      </c>
      <c r="K11" s="28">
        <v>1.8121000000000002E-2</v>
      </c>
      <c r="L11" s="1"/>
      <c r="M11" s="1"/>
      <c r="N11" s="18"/>
    </row>
    <row r="12" spans="2:14" ht="15.75" customHeight="1" x14ac:dyDescent="0.25">
      <c r="B12" s="20"/>
      <c r="C12" s="7" t="s">
        <v>26</v>
      </c>
      <c r="D12" s="8"/>
      <c r="E12" s="12">
        <v>3.2940000000000001E-3</v>
      </c>
      <c r="F12" s="1"/>
      <c r="G12" s="1"/>
      <c r="H12" s="1"/>
      <c r="I12" s="1"/>
      <c r="J12" s="24" t="s">
        <v>54</v>
      </c>
      <c r="K12" s="28">
        <v>0.74700100000000003</v>
      </c>
      <c r="L12" s="1"/>
      <c r="M12" s="1"/>
      <c r="N12" s="18"/>
    </row>
    <row r="13" spans="2:14" ht="15" customHeight="1" x14ac:dyDescent="0.25">
      <c r="B13" s="20"/>
      <c r="C13" s="5" t="s">
        <v>27</v>
      </c>
      <c r="D13" s="6" t="s">
        <v>28</v>
      </c>
      <c r="E13" s="11">
        <v>0.107167</v>
      </c>
      <c r="F13" s="1"/>
      <c r="G13" s="1"/>
      <c r="H13" s="1"/>
      <c r="I13" s="1"/>
      <c r="J13" s="24" t="s">
        <v>55</v>
      </c>
      <c r="K13" s="28">
        <v>3.2940000000000001E-3</v>
      </c>
      <c r="L13" s="1"/>
      <c r="M13" s="1"/>
      <c r="N13" s="18"/>
    </row>
    <row r="14" spans="2:14" ht="15" customHeight="1" x14ac:dyDescent="0.25">
      <c r="B14" s="20"/>
      <c r="C14" s="5" t="s">
        <v>29</v>
      </c>
      <c r="D14" s="6" t="s">
        <v>28</v>
      </c>
      <c r="E14" s="11">
        <v>0.105889</v>
      </c>
      <c r="F14" s="1"/>
      <c r="G14" s="1"/>
      <c r="H14" s="1"/>
      <c r="I14" s="1"/>
      <c r="J14" s="24" t="s">
        <v>56</v>
      </c>
      <c r="K14" s="28">
        <v>2.4380000000000001E-3</v>
      </c>
      <c r="L14" s="1"/>
      <c r="M14" s="1"/>
      <c r="N14" s="18"/>
    </row>
    <row r="15" spans="2:14" ht="15" customHeight="1" x14ac:dyDescent="0.25">
      <c r="B15" s="20"/>
      <c r="C15" s="5" t="s">
        <v>30</v>
      </c>
      <c r="D15" s="6" t="s">
        <v>28</v>
      </c>
      <c r="E15" s="11">
        <v>0.10215399999999999</v>
      </c>
      <c r="F15" s="1"/>
      <c r="G15" s="1"/>
      <c r="H15" s="1"/>
      <c r="I15" s="1"/>
      <c r="J15" s="24" t="s">
        <v>57</v>
      </c>
      <c r="K15" s="28">
        <v>0.13567000000000001</v>
      </c>
      <c r="L15" s="1"/>
      <c r="M15" s="1"/>
      <c r="N15" s="18"/>
    </row>
    <row r="16" spans="2:14" ht="15" customHeight="1" x14ac:dyDescent="0.25">
      <c r="B16" s="20"/>
      <c r="C16" s="5" t="s">
        <v>31</v>
      </c>
      <c r="D16" s="6" t="s">
        <v>28</v>
      </c>
      <c r="E16" s="11">
        <v>9.5707E-2</v>
      </c>
      <c r="F16" s="1"/>
      <c r="G16" s="1"/>
      <c r="H16" s="1"/>
      <c r="I16" s="1"/>
      <c r="J16" s="24" t="s">
        <v>58</v>
      </c>
      <c r="K16" s="28">
        <v>5.3994E-2</v>
      </c>
      <c r="L16" s="1"/>
      <c r="M16" s="1"/>
      <c r="N16" s="18"/>
    </row>
    <row r="17" spans="2:14" ht="15" customHeight="1" x14ac:dyDescent="0.25">
      <c r="B17" s="20"/>
      <c r="C17" s="5" t="s">
        <v>32</v>
      </c>
      <c r="D17" s="6" t="s">
        <v>28</v>
      </c>
      <c r="E17" s="11">
        <v>7.2123999999999994E-2</v>
      </c>
      <c r="F17" s="1"/>
      <c r="G17" s="1"/>
      <c r="H17" s="1"/>
      <c r="I17" s="1"/>
      <c r="J17" s="1"/>
      <c r="K17" s="1"/>
      <c r="L17" s="1"/>
      <c r="M17" s="1"/>
      <c r="N17" s="18"/>
    </row>
    <row r="18" spans="2:14" ht="15" customHeight="1" x14ac:dyDescent="0.25">
      <c r="B18" s="20"/>
      <c r="C18" s="5" t="s">
        <v>33</v>
      </c>
      <c r="D18" s="6" t="s">
        <v>28</v>
      </c>
      <c r="E18" s="11">
        <v>7.0652000000000006E-2</v>
      </c>
      <c r="F18" s="1"/>
      <c r="G18" s="1"/>
      <c r="H18" s="1"/>
      <c r="I18" s="1"/>
      <c r="J18" s="1"/>
      <c r="K18" s="1"/>
      <c r="L18" s="1"/>
      <c r="M18" s="1"/>
      <c r="N18" s="18"/>
    </row>
    <row r="19" spans="2:14" ht="15" customHeight="1" x14ac:dyDescent="0.25">
      <c r="B19" s="20"/>
      <c r="C19" s="5" t="s">
        <v>34</v>
      </c>
      <c r="D19" s="6" t="s">
        <v>28</v>
      </c>
      <c r="E19" s="11">
        <v>6.2799999999999995E-2</v>
      </c>
      <c r="F19" s="1"/>
      <c r="G19" s="1"/>
      <c r="H19" s="1"/>
      <c r="I19" s="1"/>
      <c r="J19" s="1"/>
      <c r="K19" s="1"/>
      <c r="L19" s="1"/>
      <c r="M19" s="1"/>
      <c r="N19" s="18"/>
    </row>
    <row r="20" spans="2:14" ht="15" customHeight="1" x14ac:dyDescent="0.25">
      <c r="B20" s="20"/>
      <c r="C20" s="5" t="s">
        <v>35</v>
      </c>
      <c r="D20" s="6" t="s">
        <v>28</v>
      </c>
      <c r="E20" s="11">
        <v>4.8418000000000003E-2</v>
      </c>
      <c r="F20" s="1"/>
      <c r="G20" s="1"/>
      <c r="H20" s="1"/>
      <c r="I20" s="1"/>
      <c r="J20" s="1"/>
      <c r="K20" s="1"/>
      <c r="L20" s="1"/>
      <c r="M20" s="1"/>
      <c r="N20" s="18"/>
    </row>
    <row r="21" spans="2:14" ht="15" customHeight="1" x14ac:dyDescent="0.25">
      <c r="B21" s="20"/>
      <c r="C21" s="5" t="s">
        <v>36</v>
      </c>
      <c r="D21" s="6" t="s">
        <v>28</v>
      </c>
      <c r="E21" s="11">
        <v>3.1710000000000002E-2</v>
      </c>
      <c r="F21" s="1"/>
      <c r="G21" s="1"/>
      <c r="H21" s="1"/>
      <c r="I21" s="1"/>
      <c r="J21" s="1"/>
      <c r="K21" s="1"/>
      <c r="L21" s="1"/>
      <c r="M21" s="1"/>
      <c r="N21" s="18"/>
    </row>
    <row r="22" spans="2:14" ht="15" customHeight="1" x14ac:dyDescent="0.25">
      <c r="B22" s="20"/>
      <c r="C22" s="5" t="s">
        <v>37</v>
      </c>
      <c r="D22" s="6" t="s">
        <v>28</v>
      </c>
      <c r="E22" s="11">
        <v>1.7701000000000001E-2</v>
      </c>
      <c r="F22" s="1"/>
      <c r="G22" s="1"/>
      <c r="H22" s="1"/>
      <c r="I22" s="1"/>
      <c r="J22" s="1"/>
      <c r="K22" s="1"/>
      <c r="L22" s="1"/>
      <c r="M22" s="1"/>
      <c r="N22" s="18"/>
    </row>
    <row r="23" spans="2:14" ht="15" customHeight="1" x14ac:dyDescent="0.25">
      <c r="B23" s="20"/>
      <c r="C23" s="5" t="s">
        <v>38</v>
      </c>
      <c r="D23" s="6" t="s">
        <v>28</v>
      </c>
      <c r="E23" s="11">
        <v>1.7642000000000001E-2</v>
      </c>
      <c r="F23" s="1"/>
      <c r="G23" s="1"/>
      <c r="H23" s="1"/>
      <c r="I23" s="1"/>
      <c r="J23" s="1"/>
      <c r="K23" s="1"/>
      <c r="L23" s="1"/>
      <c r="M23" s="1"/>
      <c r="N23" s="18"/>
    </row>
    <row r="24" spans="2:14" ht="15" customHeight="1" x14ac:dyDescent="0.25">
      <c r="B24" s="20"/>
      <c r="C24" s="5" t="s">
        <v>39</v>
      </c>
      <c r="D24" s="6" t="s">
        <v>28</v>
      </c>
      <c r="E24" s="11">
        <v>5.7149999999999996E-3</v>
      </c>
      <c r="F24" s="1"/>
      <c r="G24" s="84" t="s">
        <v>18</v>
      </c>
      <c r="H24" s="85"/>
      <c r="I24" s="85"/>
      <c r="J24" s="85"/>
      <c r="K24" s="85"/>
      <c r="L24" s="66">
        <v>2.5188963773921893</v>
      </c>
      <c r="M24" s="26"/>
      <c r="N24" s="27"/>
    </row>
    <row r="25" spans="2:14" ht="15" customHeight="1" x14ac:dyDescent="0.25">
      <c r="B25" s="20"/>
      <c r="C25" s="5" t="s">
        <v>24</v>
      </c>
      <c r="D25" s="6" t="s">
        <v>28</v>
      </c>
      <c r="E25" s="11">
        <v>3.408E-3</v>
      </c>
      <c r="F25" s="1"/>
      <c r="G25" s="1"/>
      <c r="H25" s="1"/>
      <c r="I25" s="1"/>
      <c r="J25" s="1"/>
      <c r="K25" s="1"/>
      <c r="L25" s="1"/>
      <c r="M25" s="1"/>
      <c r="N25" s="18"/>
    </row>
    <row r="26" spans="2:14" ht="15" customHeight="1" x14ac:dyDescent="0.25">
      <c r="B26" s="20"/>
      <c r="C26" s="5" t="s">
        <v>40</v>
      </c>
      <c r="D26" s="6" t="s">
        <v>28</v>
      </c>
      <c r="E26" s="11">
        <v>3.0799999999999998E-3</v>
      </c>
      <c r="F26" s="1"/>
      <c r="G26" s="84" t="s">
        <v>19</v>
      </c>
      <c r="H26" s="85"/>
      <c r="I26" s="85"/>
      <c r="J26" s="85"/>
      <c r="K26" s="85"/>
      <c r="L26" s="85"/>
      <c r="M26" s="85"/>
      <c r="N26" s="86"/>
    </row>
    <row r="27" spans="2:14" ht="15" customHeight="1" x14ac:dyDescent="0.25">
      <c r="B27" s="20"/>
      <c r="C27" s="5" t="s">
        <v>41</v>
      </c>
      <c r="D27" s="6" t="s">
        <v>28</v>
      </c>
      <c r="E27" s="11">
        <v>1.3760000000000001E-3</v>
      </c>
      <c r="F27" s="1"/>
      <c r="G27" s="1"/>
      <c r="H27" s="1"/>
      <c r="I27" s="1"/>
      <c r="J27" s="1"/>
      <c r="K27" s="1"/>
      <c r="L27" s="1"/>
      <c r="M27" s="1"/>
      <c r="N27" s="18"/>
    </row>
    <row r="28" spans="2:14" ht="15" customHeight="1" x14ac:dyDescent="0.25">
      <c r="B28" s="20"/>
      <c r="C28" s="5" t="s">
        <v>42</v>
      </c>
      <c r="D28" s="6" t="s">
        <v>28</v>
      </c>
      <c r="E28" s="11">
        <v>1.356E-3</v>
      </c>
      <c r="F28" s="1"/>
      <c r="G28" s="1"/>
      <c r="H28" s="1"/>
      <c r="I28" s="1"/>
      <c r="J28" s="1"/>
      <c r="K28" s="1"/>
      <c r="L28" s="1"/>
      <c r="M28" s="1"/>
      <c r="N28" s="18"/>
    </row>
    <row r="29" spans="2:14" ht="15" customHeight="1" x14ac:dyDescent="0.25">
      <c r="B29" s="20"/>
      <c r="C29" s="5" t="s">
        <v>43</v>
      </c>
      <c r="D29" s="6" t="s">
        <v>28</v>
      </c>
      <c r="E29" s="11">
        <v>1.02E-4</v>
      </c>
      <c r="F29" s="1"/>
      <c r="G29" s="1"/>
      <c r="H29" s="1"/>
      <c r="I29" s="1"/>
      <c r="J29" s="1"/>
      <c r="K29" s="1"/>
      <c r="L29" s="1"/>
      <c r="M29" s="1"/>
      <c r="N29" s="18"/>
    </row>
    <row r="30" spans="2:14" ht="15.75" customHeight="1" x14ac:dyDescent="0.25">
      <c r="B30" s="20"/>
      <c r="C30" s="7" t="s">
        <v>44</v>
      </c>
      <c r="D30" s="8"/>
      <c r="E30" s="12">
        <v>0.74700100000000003</v>
      </c>
      <c r="F30" s="1"/>
      <c r="G30" s="1"/>
      <c r="H30" s="1"/>
      <c r="I30" s="1"/>
      <c r="J30" s="1"/>
      <c r="K30" s="1"/>
      <c r="L30" s="1"/>
      <c r="M30" s="1"/>
      <c r="N30" s="18"/>
    </row>
    <row r="31" spans="2:14" ht="15" customHeight="1" x14ac:dyDescent="0.25">
      <c r="B31" s="20"/>
      <c r="C31" s="5" t="s">
        <v>45</v>
      </c>
      <c r="D31" s="6"/>
      <c r="E31" s="11">
        <v>2.4380000000000001E-3</v>
      </c>
      <c r="F31" s="1"/>
      <c r="G31" s="1"/>
      <c r="H31" s="1"/>
      <c r="I31" s="1"/>
      <c r="J31" s="1"/>
      <c r="K31" s="1"/>
      <c r="L31" s="1"/>
      <c r="M31" s="1"/>
      <c r="N31" s="18"/>
    </row>
    <row r="32" spans="2:14" ht="15.75" customHeight="1" x14ac:dyDescent="0.25">
      <c r="B32" s="20"/>
      <c r="C32" s="7" t="s">
        <v>46</v>
      </c>
      <c r="D32" s="8"/>
      <c r="E32" s="12">
        <v>2.4380000000000001E-3</v>
      </c>
      <c r="F32" s="1"/>
      <c r="G32" s="1"/>
      <c r="H32" s="1"/>
      <c r="I32" s="1"/>
      <c r="J32" s="1"/>
      <c r="K32" s="1"/>
      <c r="L32" s="1"/>
      <c r="M32" s="1"/>
      <c r="N32" s="18"/>
    </row>
    <row r="33" spans="2:14" ht="15" customHeight="1" x14ac:dyDescent="0.25">
      <c r="B33" s="20"/>
      <c r="C33" s="5" t="s">
        <v>47</v>
      </c>
      <c r="D33" s="6" t="s">
        <v>48</v>
      </c>
      <c r="E33" s="11">
        <v>6.3996999999999998E-2</v>
      </c>
      <c r="F33" s="1"/>
      <c r="G33" s="1"/>
      <c r="H33" s="1"/>
      <c r="I33" s="1"/>
      <c r="J33" s="1"/>
      <c r="K33" s="1"/>
      <c r="L33" s="1"/>
      <c r="M33" s="1"/>
      <c r="N33" s="18"/>
    </row>
    <row r="34" spans="2:14" ht="15" customHeight="1" x14ac:dyDescent="0.25">
      <c r="B34" s="20"/>
      <c r="C34" s="5" t="s">
        <v>49</v>
      </c>
      <c r="D34" s="6" t="s">
        <v>48</v>
      </c>
      <c r="E34" s="11">
        <v>3.7161E-2</v>
      </c>
      <c r="F34" s="1"/>
      <c r="G34" s="1"/>
      <c r="H34" s="1"/>
      <c r="I34" s="1"/>
      <c r="J34" s="1"/>
      <c r="K34" s="1"/>
      <c r="L34" s="1"/>
      <c r="M34" s="1"/>
      <c r="N34" s="18"/>
    </row>
    <row r="35" spans="2:14" ht="15" customHeight="1" x14ac:dyDescent="0.25">
      <c r="B35" s="20"/>
      <c r="C35" s="5" t="s">
        <v>50</v>
      </c>
      <c r="D35" s="6" t="s">
        <v>48</v>
      </c>
      <c r="E35" s="11">
        <v>3.4512000000000001E-2</v>
      </c>
      <c r="F35" s="1"/>
      <c r="G35" s="1"/>
      <c r="H35" s="1"/>
      <c r="I35" s="1"/>
      <c r="J35" s="1"/>
      <c r="K35" s="1"/>
      <c r="L35" s="1"/>
      <c r="M35" s="1"/>
      <c r="N35" s="18"/>
    </row>
    <row r="36" spans="2:14" ht="15.75" customHeight="1" x14ac:dyDescent="0.25">
      <c r="B36" s="20"/>
      <c r="C36" s="7" t="s">
        <v>51</v>
      </c>
      <c r="D36" s="8"/>
      <c r="E36" s="12">
        <v>0.13567000000000001</v>
      </c>
      <c r="F36" s="1"/>
      <c r="G36" s="1"/>
      <c r="H36" s="1"/>
      <c r="I36" s="1"/>
      <c r="J36" s="1"/>
      <c r="K36" s="1"/>
      <c r="L36" s="1"/>
      <c r="M36" s="1"/>
      <c r="N36" s="18"/>
    </row>
    <row r="37" spans="2:14" ht="15" customHeight="1" x14ac:dyDescent="0.25">
      <c r="B37" s="20"/>
      <c r="C37" s="5" t="s">
        <v>228</v>
      </c>
      <c r="D37" s="6" t="s">
        <v>48</v>
      </c>
      <c r="E37" s="11">
        <v>1.282E-2</v>
      </c>
      <c r="F37" s="1"/>
      <c r="G37" s="1"/>
      <c r="H37" s="1"/>
      <c r="I37" s="1"/>
      <c r="J37" s="1"/>
      <c r="K37" s="1"/>
      <c r="L37" s="1"/>
      <c r="M37" s="1"/>
      <c r="N37" s="18"/>
    </row>
    <row r="38" spans="2:14" ht="15.75" customHeight="1" x14ac:dyDescent="0.25">
      <c r="B38" s="20"/>
      <c r="C38" s="5" t="s">
        <v>218</v>
      </c>
      <c r="D38" s="6" t="s">
        <v>48</v>
      </c>
      <c r="E38" s="11">
        <v>9.6550000000000004E-3</v>
      </c>
      <c r="F38" s="1"/>
      <c r="G38" s="1"/>
      <c r="H38" s="1"/>
      <c r="I38" s="1"/>
      <c r="J38" s="1"/>
      <c r="K38" s="1"/>
      <c r="L38" s="1"/>
      <c r="M38" s="1"/>
      <c r="N38" s="18"/>
    </row>
    <row r="39" spans="2:14" ht="15" customHeight="1" x14ac:dyDescent="0.25">
      <c r="B39" s="20"/>
      <c r="C39" s="5" t="s">
        <v>214</v>
      </c>
      <c r="D39" s="6" t="s">
        <v>48</v>
      </c>
      <c r="E39" s="11">
        <v>5.1219999999999998E-3</v>
      </c>
      <c r="F39" s="1"/>
      <c r="G39" s="1"/>
      <c r="H39" s="1"/>
      <c r="I39" s="1"/>
      <c r="J39" s="1"/>
      <c r="K39" s="1"/>
      <c r="L39" s="1"/>
      <c r="M39" s="1"/>
      <c r="N39" s="18"/>
    </row>
    <row r="40" spans="2:14" ht="15.75" customHeight="1" x14ac:dyDescent="0.25">
      <c r="B40" s="20"/>
      <c r="C40" s="5" t="s">
        <v>222</v>
      </c>
      <c r="D40" s="6" t="s">
        <v>48</v>
      </c>
      <c r="E40" s="11">
        <v>3.7529999999999998E-3</v>
      </c>
      <c r="F40" s="1"/>
      <c r="G40" s="1"/>
      <c r="H40" s="1"/>
      <c r="I40" s="1"/>
      <c r="J40" s="1"/>
      <c r="K40" s="1"/>
      <c r="L40" s="1"/>
      <c r="M40" s="1"/>
      <c r="N40" s="18"/>
    </row>
    <row r="41" spans="2:14" ht="15" customHeight="1" x14ac:dyDescent="0.25">
      <c r="B41" s="20"/>
      <c r="C41" s="5" t="s">
        <v>221</v>
      </c>
      <c r="D41" s="6" t="s">
        <v>48</v>
      </c>
      <c r="E41" s="11">
        <v>3.4259999999999998E-3</v>
      </c>
      <c r="F41" s="1"/>
      <c r="G41" s="1"/>
      <c r="H41" s="1"/>
      <c r="I41" s="1"/>
      <c r="J41" s="1"/>
      <c r="K41" s="1"/>
      <c r="L41" s="1"/>
      <c r="M41" s="1"/>
      <c r="N41" s="18"/>
    </row>
    <row r="42" spans="2:14" ht="15.75" customHeight="1" x14ac:dyDescent="0.25">
      <c r="B42" s="20"/>
      <c r="C42" s="5" t="s">
        <v>229</v>
      </c>
      <c r="D42" s="6" t="s">
        <v>48</v>
      </c>
      <c r="E42" s="11">
        <v>3.3809999999999999E-3</v>
      </c>
      <c r="F42" s="1"/>
      <c r="G42" s="1"/>
      <c r="H42" s="1"/>
      <c r="I42" s="1"/>
      <c r="J42" s="1"/>
      <c r="K42" s="1"/>
      <c r="L42" s="1"/>
      <c r="M42" s="1"/>
      <c r="N42" s="18"/>
    </row>
    <row r="43" spans="2:14" ht="15" customHeight="1" x14ac:dyDescent="0.25">
      <c r="B43" s="20"/>
      <c r="C43" s="5" t="s">
        <v>217</v>
      </c>
      <c r="D43" s="6" t="s">
        <v>48</v>
      </c>
      <c r="E43" s="11">
        <v>2.0609999999999999E-3</v>
      </c>
      <c r="F43" s="1"/>
      <c r="G43" s="1"/>
      <c r="H43" s="1"/>
      <c r="I43" s="1"/>
      <c r="J43" s="1"/>
      <c r="K43" s="1"/>
      <c r="L43" s="1"/>
      <c r="M43" s="1"/>
      <c r="N43" s="18"/>
    </row>
    <row r="44" spans="2:14" ht="15" customHeight="1" x14ac:dyDescent="0.25">
      <c r="B44" s="20"/>
      <c r="C44" s="5" t="s">
        <v>212</v>
      </c>
      <c r="D44" s="6" t="s">
        <v>48</v>
      </c>
      <c r="E44" s="11">
        <v>2.0460000000000001E-3</v>
      </c>
      <c r="F44" s="1"/>
      <c r="G44" s="1"/>
      <c r="H44" s="1"/>
      <c r="I44" s="1"/>
      <c r="J44" s="1"/>
      <c r="K44" s="1"/>
      <c r="L44" s="1"/>
      <c r="M44" s="1"/>
      <c r="N44" s="18"/>
    </row>
    <row r="45" spans="2:14" ht="15" customHeight="1" x14ac:dyDescent="0.25">
      <c r="B45" s="20"/>
      <c r="C45" s="5" t="s">
        <v>219</v>
      </c>
      <c r="D45" s="6" t="s">
        <v>48</v>
      </c>
      <c r="E45" s="11">
        <v>1.725E-3</v>
      </c>
      <c r="F45" s="1"/>
      <c r="G45" s="1"/>
      <c r="H45" s="1"/>
      <c r="I45" s="1"/>
      <c r="J45" s="1"/>
      <c r="K45" s="1"/>
      <c r="L45" s="1"/>
      <c r="M45" s="1"/>
      <c r="N45" s="18"/>
    </row>
    <row r="46" spans="2:14" ht="15" customHeight="1" x14ac:dyDescent="0.25">
      <c r="B46" s="20"/>
      <c r="C46" s="5" t="s">
        <v>220</v>
      </c>
      <c r="D46" s="6" t="s">
        <v>48</v>
      </c>
      <c r="E46" s="11">
        <v>1.714E-3</v>
      </c>
      <c r="F46" s="1"/>
      <c r="G46" s="1"/>
      <c r="H46" s="1"/>
      <c r="I46" s="1"/>
      <c r="J46" s="1"/>
      <c r="K46" s="1"/>
      <c r="L46" s="1"/>
      <c r="M46" s="1"/>
      <c r="N46" s="18"/>
    </row>
    <row r="47" spans="2:14" ht="15" customHeight="1" x14ac:dyDescent="0.25">
      <c r="B47" s="20"/>
      <c r="C47" s="5" t="s">
        <v>211</v>
      </c>
      <c r="D47" s="6" t="s">
        <v>48</v>
      </c>
      <c r="E47" s="11">
        <v>1.7110000000000001E-3</v>
      </c>
      <c r="F47" s="1"/>
      <c r="G47" s="1"/>
      <c r="H47" s="1"/>
      <c r="I47" s="1"/>
      <c r="J47" s="1"/>
      <c r="K47" s="1"/>
      <c r="L47" s="1"/>
      <c r="M47" s="1"/>
      <c r="N47" s="18"/>
    </row>
    <row r="48" spans="2:14" ht="15" customHeight="1" x14ac:dyDescent="0.25">
      <c r="B48" s="20"/>
      <c r="C48" s="5" t="s">
        <v>213</v>
      </c>
      <c r="D48" s="6" t="s">
        <v>48</v>
      </c>
      <c r="E48" s="11">
        <v>1.7099999999999999E-3</v>
      </c>
      <c r="F48" s="1"/>
      <c r="G48" s="1"/>
      <c r="H48" s="1"/>
      <c r="I48" s="1"/>
      <c r="J48" s="1"/>
      <c r="K48" s="1"/>
      <c r="L48" s="1"/>
      <c r="M48" s="1"/>
      <c r="N48" s="18"/>
    </row>
    <row r="49" spans="2:14" ht="15" customHeight="1" x14ac:dyDescent="0.25">
      <c r="B49" s="20"/>
      <c r="C49" s="5" t="s">
        <v>215</v>
      </c>
      <c r="D49" s="6" t="s">
        <v>48</v>
      </c>
      <c r="E49" s="11">
        <v>1.371E-3</v>
      </c>
      <c r="F49" s="1"/>
      <c r="G49" s="1"/>
      <c r="H49" s="1"/>
      <c r="I49" s="1"/>
      <c r="J49" s="1"/>
      <c r="K49" s="1"/>
      <c r="L49" s="1"/>
      <c r="M49" s="1"/>
      <c r="N49" s="18"/>
    </row>
    <row r="50" spans="2:14" ht="15" customHeight="1" x14ac:dyDescent="0.25">
      <c r="B50" s="20"/>
      <c r="C50" s="5" t="s">
        <v>216</v>
      </c>
      <c r="D50" s="6" t="s">
        <v>48</v>
      </c>
      <c r="E50" s="11">
        <v>1.0280000000000001E-3</v>
      </c>
      <c r="F50" s="1"/>
      <c r="G50" s="1"/>
      <c r="H50" s="1"/>
      <c r="I50" s="1"/>
      <c r="J50" s="1"/>
      <c r="K50" s="1"/>
      <c r="L50" s="1"/>
      <c r="M50" s="1"/>
      <c r="N50" s="18"/>
    </row>
    <row r="51" spans="2:14" ht="15" customHeight="1" x14ac:dyDescent="0.25">
      <c r="B51" s="20"/>
      <c r="C51" s="5" t="s">
        <v>226</v>
      </c>
      <c r="D51" s="6" t="s">
        <v>48</v>
      </c>
      <c r="E51" s="11">
        <v>6.8599999999999998E-4</v>
      </c>
      <c r="F51" s="1"/>
      <c r="G51" s="1"/>
      <c r="H51" s="1"/>
      <c r="I51" s="1"/>
      <c r="J51" s="1"/>
      <c r="K51" s="1"/>
      <c r="L51" s="1"/>
      <c r="M51" s="1"/>
      <c r="N51" s="18"/>
    </row>
    <row r="52" spans="2:14" ht="15" customHeight="1" x14ac:dyDescent="0.25">
      <c r="B52" s="20"/>
      <c r="C52" s="5" t="s">
        <v>227</v>
      </c>
      <c r="D52" s="6" t="s">
        <v>48</v>
      </c>
      <c r="E52" s="11">
        <v>6.8599999999999998E-4</v>
      </c>
      <c r="F52" s="1"/>
      <c r="G52" s="1"/>
      <c r="H52" s="1"/>
      <c r="I52" s="1"/>
      <c r="J52" s="1"/>
      <c r="K52" s="1"/>
      <c r="L52" s="1"/>
      <c r="M52" s="1"/>
      <c r="N52" s="18"/>
    </row>
    <row r="53" spans="2:14" ht="15" customHeight="1" x14ac:dyDescent="0.25">
      <c r="B53" s="20"/>
      <c r="C53" s="5" t="s">
        <v>224</v>
      </c>
      <c r="D53" s="6" t="s">
        <v>48</v>
      </c>
      <c r="E53" s="11">
        <v>6.78E-4</v>
      </c>
      <c r="F53" s="1"/>
      <c r="G53" s="1"/>
      <c r="H53" s="1"/>
      <c r="I53" s="1"/>
      <c r="J53" s="1"/>
      <c r="K53" s="1"/>
      <c r="L53" s="1"/>
      <c r="M53" s="1"/>
      <c r="N53" s="18"/>
    </row>
    <row r="54" spans="2:14" ht="15" customHeight="1" x14ac:dyDescent="0.25">
      <c r="B54" s="20"/>
      <c r="C54" s="5" t="s">
        <v>225</v>
      </c>
      <c r="D54" s="6" t="s">
        <v>48</v>
      </c>
      <c r="E54" s="11">
        <v>3.4099999999999999E-4</v>
      </c>
      <c r="F54" s="1"/>
      <c r="G54" s="1"/>
      <c r="H54" s="1"/>
      <c r="I54" s="1"/>
      <c r="J54" s="1"/>
      <c r="K54" s="1"/>
      <c r="L54" s="1"/>
      <c r="M54" s="1"/>
      <c r="N54" s="18"/>
    </row>
    <row r="55" spans="2:14" ht="15" customHeight="1" x14ac:dyDescent="0.25">
      <c r="B55" s="20"/>
      <c r="C55" s="5" t="s">
        <v>223</v>
      </c>
      <c r="D55" s="6" t="s">
        <v>48</v>
      </c>
      <c r="E55" s="11">
        <v>8.0000000000000007E-5</v>
      </c>
      <c r="F55" s="1"/>
      <c r="G55" s="1"/>
      <c r="H55" s="1"/>
      <c r="I55" s="1"/>
      <c r="J55" s="1"/>
      <c r="K55" s="1"/>
      <c r="L55" s="1"/>
      <c r="M55" s="1"/>
      <c r="N55" s="18"/>
    </row>
    <row r="56" spans="2:14" ht="15" customHeight="1" x14ac:dyDescent="0.25">
      <c r="B56" s="20"/>
      <c r="C56" s="7" t="s">
        <v>52</v>
      </c>
      <c r="D56" s="8"/>
      <c r="E56" s="12">
        <v>5.3994E-2</v>
      </c>
      <c r="F56" s="1"/>
      <c r="G56" s="1"/>
      <c r="H56" s="1"/>
      <c r="I56" s="1"/>
      <c r="J56" s="1"/>
      <c r="K56" s="1"/>
      <c r="L56" s="1"/>
      <c r="M56" s="1"/>
      <c r="N56" s="18"/>
    </row>
    <row r="57" spans="2:14" ht="15" customHeight="1" x14ac:dyDescent="0.25">
      <c r="B57" s="20"/>
      <c r="C57" s="5" t="s">
        <v>9</v>
      </c>
      <c r="D57" s="6"/>
      <c r="E57" s="11">
        <v>2.9399000000000002E-2</v>
      </c>
      <c r="F57" s="1"/>
      <c r="G57" s="1"/>
      <c r="H57" s="1"/>
      <c r="I57" s="1"/>
      <c r="J57" s="1"/>
      <c r="K57" s="1"/>
      <c r="L57" s="1"/>
      <c r="M57" s="1"/>
      <c r="N57" s="18"/>
    </row>
    <row r="58" spans="2:14" ht="15" customHeight="1" x14ac:dyDescent="0.25">
      <c r="B58" s="20"/>
      <c r="C58" s="7" t="s">
        <v>10</v>
      </c>
      <c r="D58" s="8"/>
      <c r="E58" s="12">
        <v>2.9399000000000002E-2</v>
      </c>
      <c r="F58" s="1"/>
      <c r="G58" s="1"/>
      <c r="H58" s="1"/>
      <c r="I58" s="1"/>
      <c r="J58" s="1"/>
      <c r="K58" s="1"/>
      <c r="L58" s="1"/>
      <c r="M58" s="1"/>
      <c r="N58" s="18"/>
    </row>
    <row r="59" spans="2:14" ht="15" customHeight="1" x14ac:dyDescent="0.25">
      <c r="B59" s="20"/>
      <c r="C59" s="5"/>
      <c r="D59" s="6"/>
      <c r="E59" s="11"/>
      <c r="F59" s="1"/>
      <c r="G59" s="1"/>
      <c r="H59" s="1"/>
      <c r="I59" s="1"/>
      <c r="J59" s="1"/>
      <c r="K59" s="1"/>
      <c r="L59" s="1"/>
      <c r="M59" s="1"/>
      <c r="N59" s="18"/>
    </row>
    <row r="60" spans="2:14" ht="15" customHeight="1" x14ac:dyDescent="0.25">
      <c r="B60" s="20"/>
      <c r="C60" s="7" t="s">
        <v>11</v>
      </c>
      <c r="D60" s="8"/>
      <c r="E60" s="12">
        <v>1.0083E-2</v>
      </c>
      <c r="F60" s="1"/>
      <c r="G60" s="1"/>
      <c r="H60" s="1"/>
      <c r="I60" s="1"/>
      <c r="J60" s="1"/>
      <c r="K60" s="1"/>
      <c r="L60" s="1"/>
      <c r="M60" s="1"/>
      <c r="N60" s="18"/>
    </row>
    <row r="61" spans="2:14" ht="15" customHeight="1" x14ac:dyDescent="0.25">
      <c r="B61" s="20"/>
      <c r="C61" s="5"/>
      <c r="D61" s="6"/>
      <c r="E61" s="11"/>
      <c r="F61" s="1"/>
      <c r="G61" s="1"/>
      <c r="H61" s="1"/>
      <c r="I61" s="1"/>
      <c r="J61" s="1"/>
      <c r="K61" s="1"/>
      <c r="L61" s="1"/>
      <c r="M61" s="1"/>
      <c r="N61" s="18"/>
    </row>
    <row r="62" spans="2:14" ht="15" customHeight="1" x14ac:dyDescent="0.25">
      <c r="B62" s="20"/>
      <c r="C62" s="9" t="s">
        <v>12</v>
      </c>
      <c r="D62" s="10"/>
      <c r="E62" s="13">
        <v>1</v>
      </c>
      <c r="F62" s="1"/>
      <c r="G62" s="1"/>
      <c r="H62" s="1"/>
      <c r="I62" s="1"/>
      <c r="J62" s="1"/>
      <c r="K62" s="1"/>
      <c r="L62" s="1"/>
      <c r="M62" s="1"/>
      <c r="N62" s="18"/>
    </row>
    <row r="63" spans="2:14" ht="15" customHeight="1" x14ac:dyDescent="0.25">
      <c r="B63" s="20"/>
      <c r="C63" s="1"/>
      <c r="D63" s="1"/>
      <c r="E63" s="1"/>
      <c r="F63" s="1"/>
      <c r="G63" s="1"/>
      <c r="H63" s="1"/>
      <c r="I63" s="1"/>
      <c r="J63" s="1"/>
      <c r="K63" s="1"/>
      <c r="L63" s="1"/>
      <c r="M63" s="1"/>
      <c r="N63" s="18"/>
    </row>
    <row r="64" spans="2:14" ht="15" customHeight="1" thickBot="1" x14ac:dyDescent="0.3">
      <c r="B64" s="21"/>
      <c r="C64" s="22"/>
      <c r="D64" s="22"/>
      <c r="E64" s="22"/>
      <c r="F64" s="22"/>
      <c r="G64" s="22"/>
      <c r="H64" s="22"/>
      <c r="I64" s="22"/>
      <c r="J64" s="22"/>
      <c r="K64" s="22"/>
      <c r="L64" s="22"/>
      <c r="M64" s="22"/>
      <c r="N64" s="23"/>
    </row>
    <row r="65" spans="2:14" ht="15" customHeight="1" thickBot="1" x14ac:dyDescent="0.3"/>
    <row r="66" spans="2:14" ht="15" customHeight="1" x14ac:dyDescent="0.25">
      <c r="B66" s="67" t="s">
        <v>296</v>
      </c>
      <c r="C66" s="68"/>
      <c r="D66" s="68"/>
      <c r="E66" s="68"/>
      <c r="F66" s="68"/>
      <c r="G66" s="68"/>
      <c r="H66" s="68"/>
      <c r="I66" s="68"/>
      <c r="J66" s="68"/>
      <c r="K66" s="68"/>
      <c r="L66" s="68"/>
      <c r="M66" s="68"/>
      <c r="N66" s="69"/>
    </row>
    <row r="67" spans="2:14" ht="15" customHeight="1" x14ac:dyDescent="0.25">
      <c r="B67" s="70"/>
      <c r="C67" s="71"/>
      <c r="D67" s="71"/>
      <c r="E67" s="71"/>
      <c r="F67" s="71"/>
      <c r="G67" s="71"/>
      <c r="H67" s="71"/>
      <c r="I67" s="71"/>
      <c r="J67" s="71"/>
      <c r="K67" s="71"/>
      <c r="L67" s="71"/>
      <c r="M67" s="71"/>
      <c r="N67" s="72"/>
    </row>
    <row r="68" spans="2:14" ht="15" customHeight="1" x14ac:dyDescent="0.25">
      <c r="B68" s="70"/>
      <c r="C68" s="71"/>
      <c r="D68" s="71"/>
      <c r="E68" s="71"/>
      <c r="F68" s="71"/>
      <c r="G68" s="71"/>
      <c r="H68" s="71"/>
      <c r="I68" s="71"/>
      <c r="J68" s="71"/>
      <c r="K68" s="71"/>
      <c r="L68" s="71"/>
      <c r="M68" s="71"/>
      <c r="N68" s="72"/>
    </row>
    <row r="69" spans="2:14" ht="15" customHeight="1" thickBot="1" x14ac:dyDescent="0.3">
      <c r="B69" s="73"/>
      <c r="C69" s="74"/>
      <c r="D69" s="74"/>
      <c r="E69" s="74"/>
      <c r="F69" s="74"/>
      <c r="G69" s="74"/>
      <c r="H69" s="74"/>
      <c r="I69" s="74"/>
      <c r="J69" s="74"/>
      <c r="K69" s="74"/>
      <c r="L69" s="74"/>
      <c r="M69" s="74"/>
      <c r="N69" s="75"/>
    </row>
    <row r="70" spans="2:14" ht="15" customHeight="1" thickBot="1" x14ac:dyDescent="0.3"/>
    <row r="71" spans="2:14" ht="120" customHeight="1" thickBot="1" x14ac:dyDescent="0.3">
      <c r="B71" s="76" t="s">
        <v>302</v>
      </c>
      <c r="C71" s="77"/>
      <c r="D71" s="77"/>
      <c r="E71" s="77"/>
      <c r="F71" s="77"/>
      <c r="G71" s="77"/>
      <c r="H71" s="77"/>
      <c r="I71" s="77"/>
      <c r="J71" s="77"/>
      <c r="K71" s="77"/>
      <c r="L71" s="77"/>
      <c r="M71" s="77"/>
      <c r="N71" s="78"/>
    </row>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sheetData>
  <sortState ref="C37:E55">
    <sortCondition descending="1" ref="E37"/>
  </sortState>
  <mergeCells count="7">
    <mergeCell ref="B66:N69"/>
    <mergeCell ref="B71:N71"/>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1AD70-C2EF-4F38-B4E7-922877CCF9EF}">
  <dimension ref="B1:N96"/>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80</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81</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17</v>
      </c>
      <c r="H7" s="85"/>
      <c r="I7" s="85"/>
      <c r="J7" s="85"/>
      <c r="K7" s="85"/>
      <c r="L7" s="85"/>
      <c r="M7" s="85"/>
      <c r="N7" s="86"/>
    </row>
    <row r="8" spans="2:14" ht="15" customHeight="1" x14ac:dyDescent="0.25">
      <c r="B8" s="20"/>
      <c r="C8" s="5" t="s">
        <v>31</v>
      </c>
      <c r="D8" s="6" t="s">
        <v>23</v>
      </c>
      <c r="E8" s="11">
        <v>2.8829E-2</v>
      </c>
      <c r="F8" s="1"/>
      <c r="G8" s="24" t="s">
        <v>16</v>
      </c>
      <c r="H8" s="25">
        <v>1</v>
      </c>
      <c r="I8" s="1"/>
      <c r="J8" s="24" t="s">
        <v>13</v>
      </c>
      <c r="K8" s="24" t="s">
        <v>5</v>
      </c>
      <c r="L8" s="1"/>
      <c r="M8" s="1"/>
      <c r="N8" s="18"/>
    </row>
    <row r="9" spans="2:14" ht="15" customHeight="1" x14ac:dyDescent="0.25">
      <c r="B9" s="20"/>
      <c r="C9" s="5" t="s">
        <v>22</v>
      </c>
      <c r="D9" s="6" t="s">
        <v>23</v>
      </c>
      <c r="E9" s="11">
        <v>1.3775000000000001E-2</v>
      </c>
      <c r="F9" s="1"/>
      <c r="G9" s="1"/>
      <c r="H9" s="1"/>
      <c r="I9" s="1"/>
      <c r="J9" s="24" t="s">
        <v>11</v>
      </c>
      <c r="K9" s="28">
        <v>2.4434000000000001E-2</v>
      </c>
      <c r="L9" s="1"/>
      <c r="M9" s="1"/>
      <c r="N9" s="18"/>
    </row>
    <row r="10" spans="2:14" ht="15" customHeight="1" x14ac:dyDescent="0.25">
      <c r="B10" s="20"/>
      <c r="C10" s="5" t="s">
        <v>24</v>
      </c>
      <c r="D10" s="6" t="s">
        <v>23</v>
      </c>
      <c r="E10" s="11">
        <v>3.444E-3</v>
      </c>
      <c r="F10" s="1"/>
      <c r="G10" s="1"/>
      <c r="H10" s="1"/>
      <c r="I10" s="1"/>
      <c r="J10" s="24" t="s">
        <v>14</v>
      </c>
      <c r="K10" s="28">
        <v>1.367E-2</v>
      </c>
      <c r="L10" s="1"/>
      <c r="M10" s="1"/>
      <c r="N10" s="18"/>
    </row>
    <row r="11" spans="2:14" ht="15" customHeight="1" x14ac:dyDescent="0.25">
      <c r="B11" s="20"/>
      <c r="C11" s="5" t="s">
        <v>43</v>
      </c>
      <c r="D11" s="6" t="s">
        <v>23</v>
      </c>
      <c r="E11" s="11">
        <v>1.7210000000000001E-3</v>
      </c>
      <c r="F11" s="1"/>
      <c r="G11" s="1"/>
      <c r="H11" s="1"/>
      <c r="I11" s="1"/>
      <c r="J11" s="24" t="s">
        <v>53</v>
      </c>
      <c r="K11" s="28">
        <v>4.7768999999999999E-2</v>
      </c>
      <c r="L11" s="1"/>
      <c r="M11" s="1"/>
      <c r="N11" s="18"/>
    </row>
    <row r="12" spans="2:14" ht="15.75" customHeight="1" x14ac:dyDescent="0.25">
      <c r="B12" s="20"/>
      <c r="C12" s="7" t="s">
        <v>25</v>
      </c>
      <c r="D12" s="8"/>
      <c r="E12" s="12">
        <v>4.7768999999999999E-2</v>
      </c>
      <c r="F12" s="1"/>
      <c r="G12" s="1"/>
      <c r="H12" s="1"/>
      <c r="I12" s="1"/>
      <c r="J12" s="24" t="s">
        <v>54</v>
      </c>
      <c r="K12" s="28">
        <v>0.73529100000000003</v>
      </c>
      <c r="L12" s="1"/>
      <c r="M12" s="1"/>
      <c r="N12" s="18"/>
    </row>
    <row r="13" spans="2:14" ht="15" customHeight="1" x14ac:dyDescent="0.25">
      <c r="B13" s="20"/>
      <c r="C13" s="5" t="s">
        <v>27</v>
      </c>
      <c r="D13" s="6" t="s">
        <v>23</v>
      </c>
      <c r="E13" s="11">
        <v>2.5835E-2</v>
      </c>
      <c r="F13" s="1"/>
      <c r="G13" s="1"/>
      <c r="H13" s="1"/>
      <c r="I13" s="1"/>
      <c r="J13" s="24" t="s">
        <v>55</v>
      </c>
      <c r="K13" s="28">
        <v>7.0744000000000001E-2</v>
      </c>
      <c r="L13" s="1"/>
      <c r="M13" s="1"/>
      <c r="N13" s="18"/>
    </row>
    <row r="14" spans="2:14" ht="15" customHeight="1" x14ac:dyDescent="0.25">
      <c r="B14" s="20"/>
      <c r="C14" s="5" t="s">
        <v>76</v>
      </c>
      <c r="D14" s="6" t="s">
        <v>23</v>
      </c>
      <c r="E14" s="11">
        <v>2.0698999999999999E-2</v>
      </c>
      <c r="F14" s="1"/>
      <c r="G14" s="1"/>
      <c r="H14" s="1"/>
      <c r="I14" s="1"/>
      <c r="J14" s="24" t="s">
        <v>56</v>
      </c>
      <c r="K14" s="28">
        <v>2.7239999999999999E-3</v>
      </c>
      <c r="L14" s="1"/>
      <c r="M14" s="1"/>
      <c r="N14" s="18"/>
    </row>
    <row r="15" spans="2:14" ht="15" customHeight="1" x14ac:dyDescent="0.25">
      <c r="B15" s="20"/>
      <c r="C15" s="5" t="s">
        <v>77</v>
      </c>
      <c r="D15" s="6" t="s">
        <v>23</v>
      </c>
      <c r="E15" s="11">
        <v>1.7328E-2</v>
      </c>
      <c r="F15" s="1"/>
      <c r="G15" s="1"/>
      <c r="H15" s="1"/>
      <c r="I15" s="1"/>
      <c r="J15" s="24" t="s">
        <v>57</v>
      </c>
      <c r="K15" s="28">
        <v>3.5399999999999999E-4</v>
      </c>
      <c r="L15" s="1"/>
      <c r="M15" s="1"/>
      <c r="N15" s="18"/>
    </row>
    <row r="16" spans="2:14" ht="15" customHeight="1" x14ac:dyDescent="0.25">
      <c r="B16" s="20"/>
      <c r="C16" s="5" t="s">
        <v>31</v>
      </c>
      <c r="D16" s="6" t="s">
        <v>23</v>
      </c>
      <c r="E16" s="11">
        <v>6.8820000000000001E-3</v>
      </c>
      <c r="F16" s="1"/>
      <c r="G16" s="1"/>
      <c r="H16" s="1"/>
      <c r="I16" s="1"/>
      <c r="J16" s="24" t="s">
        <v>58</v>
      </c>
      <c r="K16" s="28">
        <v>2.8126000000000002E-2</v>
      </c>
      <c r="L16" s="1"/>
      <c r="M16" s="1"/>
      <c r="N16" s="18"/>
    </row>
    <row r="17" spans="2:14" ht="15.75" customHeight="1" x14ac:dyDescent="0.25">
      <c r="B17" s="20"/>
      <c r="C17" s="7" t="s">
        <v>26</v>
      </c>
      <c r="D17" s="8"/>
      <c r="E17" s="12">
        <v>7.0744000000000001E-2</v>
      </c>
      <c r="F17" s="1"/>
      <c r="G17" s="1"/>
      <c r="H17" s="1"/>
      <c r="I17" s="1"/>
      <c r="J17" s="24" t="s">
        <v>94</v>
      </c>
      <c r="K17" s="28">
        <v>7.4106000000000005E-2</v>
      </c>
      <c r="L17" s="1"/>
      <c r="M17" s="1"/>
      <c r="N17" s="18"/>
    </row>
    <row r="18" spans="2:14" ht="15" customHeight="1" x14ac:dyDescent="0.25">
      <c r="B18" s="20"/>
      <c r="C18" s="5" t="s">
        <v>29</v>
      </c>
      <c r="D18" s="6" t="s">
        <v>28</v>
      </c>
      <c r="E18" s="11">
        <v>0.11092</v>
      </c>
      <c r="F18" s="1"/>
      <c r="G18" s="1"/>
      <c r="H18" s="1"/>
      <c r="I18" s="1"/>
      <c r="J18" s="24" t="s">
        <v>95</v>
      </c>
      <c r="K18" s="28">
        <v>2.7820000000000002E-3</v>
      </c>
      <c r="L18" s="1"/>
      <c r="M18" s="1"/>
      <c r="N18" s="18"/>
    </row>
    <row r="19" spans="2:14" ht="15" customHeight="1" x14ac:dyDescent="0.25">
      <c r="B19" s="20"/>
      <c r="C19" s="5" t="s">
        <v>39</v>
      </c>
      <c r="D19" s="6" t="s">
        <v>28</v>
      </c>
      <c r="E19" s="11">
        <v>0.10256999999999999</v>
      </c>
      <c r="F19" s="1"/>
      <c r="G19" s="1"/>
      <c r="H19" s="1"/>
      <c r="I19" s="1"/>
      <c r="J19" s="1"/>
      <c r="K19" s="1"/>
      <c r="L19" s="1"/>
      <c r="M19" s="1"/>
      <c r="N19" s="18"/>
    </row>
    <row r="20" spans="2:14" ht="15" customHeight="1" x14ac:dyDescent="0.25">
      <c r="B20" s="20"/>
      <c r="C20" s="5" t="s">
        <v>33</v>
      </c>
      <c r="D20" s="6" t="s">
        <v>28</v>
      </c>
      <c r="E20" s="11">
        <v>9.3835000000000002E-2</v>
      </c>
      <c r="F20" s="1"/>
      <c r="G20" s="1"/>
      <c r="H20" s="1"/>
      <c r="I20" s="1"/>
      <c r="J20" s="1"/>
      <c r="K20" s="1"/>
      <c r="L20" s="1"/>
      <c r="M20" s="1"/>
      <c r="N20" s="18"/>
    </row>
    <row r="21" spans="2:14" ht="15" customHeight="1" x14ac:dyDescent="0.25">
      <c r="B21" s="20"/>
      <c r="C21" s="5" t="s">
        <v>27</v>
      </c>
      <c r="D21" s="6" t="s">
        <v>28</v>
      </c>
      <c r="E21" s="11">
        <v>9.1037999999999994E-2</v>
      </c>
      <c r="F21" s="1"/>
      <c r="G21" s="1"/>
      <c r="H21" s="1"/>
      <c r="I21" s="1"/>
      <c r="J21" s="1"/>
      <c r="K21" s="1"/>
      <c r="L21" s="1"/>
      <c r="M21" s="1"/>
      <c r="N21" s="18"/>
    </row>
    <row r="22" spans="2:14" ht="15" customHeight="1" x14ac:dyDescent="0.25">
      <c r="B22" s="20"/>
      <c r="C22" s="5" t="s">
        <v>34</v>
      </c>
      <c r="D22" s="6" t="s">
        <v>28</v>
      </c>
      <c r="E22" s="11">
        <v>5.1311000000000002E-2</v>
      </c>
      <c r="F22" s="1"/>
      <c r="G22" s="1"/>
      <c r="H22" s="1"/>
      <c r="I22" s="1"/>
      <c r="J22" s="1"/>
      <c r="K22" s="1"/>
      <c r="L22" s="1"/>
      <c r="M22" s="1"/>
      <c r="N22" s="18"/>
    </row>
    <row r="23" spans="2:14" ht="15" customHeight="1" x14ac:dyDescent="0.25">
      <c r="B23" s="20"/>
      <c r="C23" s="5" t="s">
        <v>24</v>
      </c>
      <c r="D23" s="6" t="s">
        <v>28</v>
      </c>
      <c r="E23" s="11">
        <v>5.1241000000000002E-2</v>
      </c>
      <c r="F23" s="1"/>
      <c r="G23" s="1"/>
      <c r="H23" s="1"/>
      <c r="I23" s="1"/>
      <c r="J23" s="1"/>
      <c r="K23" s="1"/>
      <c r="L23" s="1"/>
      <c r="M23" s="1"/>
      <c r="N23" s="18"/>
    </row>
    <row r="24" spans="2:14" ht="15" customHeight="1" x14ac:dyDescent="0.25">
      <c r="B24" s="20"/>
      <c r="C24" s="5" t="s">
        <v>30</v>
      </c>
      <c r="D24" s="6" t="s">
        <v>28</v>
      </c>
      <c r="E24" s="11">
        <v>3.4861000000000003E-2</v>
      </c>
      <c r="F24" s="1"/>
      <c r="G24" s="84" t="s">
        <v>18</v>
      </c>
      <c r="H24" s="85"/>
      <c r="I24" s="85"/>
      <c r="J24" s="85"/>
      <c r="K24" s="85"/>
      <c r="L24" s="66">
        <v>0.39916677421880858</v>
      </c>
      <c r="M24" s="26"/>
      <c r="N24" s="27"/>
    </row>
    <row r="25" spans="2:14" ht="15" customHeight="1" x14ac:dyDescent="0.25">
      <c r="B25" s="20"/>
      <c r="C25" s="5" t="s">
        <v>82</v>
      </c>
      <c r="D25" s="6" t="s">
        <v>28</v>
      </c>
      <c r="E25" s="11">
        <v>2.6081E-2</v>
      </c>
      <c r="F25" s="1"/>
      <c r="G25" s="1"/>
      <c r="H25" s="1"/>
      <c r="I25" s="1"/>
      <c r="J25" s="1"/>
      <c r="K25" s="1"/>
      <c r="L25" s="1"/>
      <c r="M25" s="1"/>
      <c r="N25" s="18"/>
    </row>
    <row r="26" spans="2:14" ht="15" customHeight="1" x14ac:dyDescent="0.25">
      <c r="B26" s="20"/>
      <c r="C26" s="5" t="s">
        <v>31</v>
      </c>
      <c r="D26" s="6" t="s">
        <v>28</v>
      </c>
      <c r="E26" s="11">
        <v>2.2759000000000001E-2</v>
      </c>
      <c r="F26" s="1"/>
      <c r="G26" s="84" t="s">
        <v>19</v>
      </c>
      <c r="H26" s="85"/>
      <c r="I26" s="85"/>
      <c r="J26" s="85"/>
      <c r="K26" s="85"/>
      <c r="L26" s="85"/>
      <c r="M26" s="85"/>
      <c r="N26" s="86"/>
    </row>
    <row r="27" spans="2:14" ht="15" customHeight="1" x14ac:dyDescent="0.25">
      <c r="B27" s="20"/>
      <c r="C27" s="5" t="s">
        <v>76</v>
      </c>
      <c r="D27" s="6" t="s">
        <v>28</v>
      </c>
      <c r="E27" s="11">
        <v>2.2098E-2</v>
      </c>
      <c r="F27" s="1"/>
      <c r="G27" s="1"/>
      <c r="H27" s="1"/>
      <c r="I27" s="1"/>
      <c r="J27" s="1"/>
      <c r="K27" s="1"/>
      <c r="L27" s="1"/>
      <c r="M27" s="1"/>
      <c r="N27" s="18"/>
    </row>
    <row r="28" spans="2:14" ht="15" customHeight="1" x14ac:dyDescent="0.25">
      <c r="B28" s="20"/>
      <c r="C28" s="5" t="s">
        <v>36</v>
      </c>
      <c r="D28" s="6" t="s">
        <v>28</v>
      </c>
      <c r="E28" s="11">
        <v>2.2075999999999998E-2</v>
      </c>
      <c r="F28" s="1"/>
      <c r="G28" s="1"/>
      <c r="H28" s="1"/>
      <c r="I28" s="1"/>
      <c r="J28" s="1"/>
      <c r="K28" s="1"/>
      <c r="L28" s="1"/>
      <c r="M28" s="1"/>
      <c r="N28" s="18"/>
    </row>
    <row r="29" spans="2:14" ht="15" customHeight="1" x14ac:dyDescent="0.25">
      <c r="B29" s="20"/>
      <c r="C29" s="5" t="s">
        <v>83</v>
      </c>
      <c r="D29" s="6" t="s">
        <v>28</v>
      </c>
      <c r="E29" s="11">
        <v>1.9390000000000001E-2</v>
      </c>
      <c r="F29" s="1"/>
      <c r="G29" s="1"/>
      <c r="H29" s="1"/>
      <c r="I29" s="1"/>
      <c r="J29" s="1"/>
      <c r="K29" s="1"/>
      <c r="L29" s="1"/>
      <c r="M29" s="1"/>
      <c r="N29" s="18"/>
    </row>
    <row r="30" spans="2:14" ht="15" customHeight="1" x14ac:dyDescent="0.25">
      <c r="B30" s="20"/>
      <c r="C30" s="5" t="s">
        <v>32</v>
      </c>
      <c r="D30" s="6" t="s">
        <v>28</v>
      </c>
      <c r="E30" s="11">
        <v>1.6962000000000001E-2</v>
      </c>
      <c r="F30" s="1"/>
      <c r="G30" s="1"/>
      <c r="H30" s="1"/>
      <c r="I30" s="1"/>
      <c r="J30" s="1"/>
      <c r="K30" s="1"/>
      <c r="L30" s="1"/>
      <c r="M30" s="1"/>
      <c r="N30" s="18"/>
    </row>
    <row r="31" spans="2:14" ht="15" customHeight="1" x14ac:dyDescent="0.25">
      <c r="B31" s="20"/>
      <c r="C31" s="5" t="s">
        <v>84</v>
      </c>
      <c r="D31" s="6" t="s">
        <v>28</v>
      </c>
      <c r="E31" s="11">
        <v>1.5890000000000001E-2</v>
      </c>
      <c r="F31" s="1"/>
      <c r="G31" s="1"/>
      <c r="H31" s="1"/>
      <c r="I31" s="1"/>
      <c r="J31" s="1"/>
      <c r="K31" s="1"/>
      <c r="L31" s="1"/>
      <c r="M31" s="1"/>
      <c r="N31" s="18"/>
    </row>
    <row r="32" spans="2:14" ht="15" customHeight="1" x14ac:dyDescent="0.25">
      <c r="B32" s="20"/>
      <c r="C32" s="5" t="s">
        <v>35</v>
      </c>
      <c r="D32" s="6" t="s">
        <v>28</v>
      </c>
      <c r="E32" s="11">
        <v>1.4862E-2</v>
      </c>
      <c r="F32" s="1"/>
      <c r="G32" s="1"/>
      <c r="H32" s="1"/>
      <c r="I32" s="1"/>
      <c r="J32" s="1"/>
      <c r="K32" s="1"/>
      <c r="L32" s="1"/>
      <c r="M32" s="1"/>
      <c r="N32" s="18"/>
    </row>
    <row r="33" spans="2:14" ht="15" customHeight="1" x14ac:dyDescent="0.25">
      <c r="B33" s="20"/>
      <c r="C33" s="5" t="s">
        <v>85</v>
      </c>
      <c r="D33" s="6" t="s">
        <v>28</v>
      </c>
      <c r="E33" s="11">
        <v>1.4739E-2</v>
      </c>
      <c r="F33" s="1"/>
      <c r="G33" s="1"/>
      <c r="H33" s="1"/>
      <c r="I33" s="1"/>
      <c r="J33" s="1"/>
      <c r="K33" s="1"/>
      <c r="L33" s="1"/>
      <c r="M33" s="1"/>
      <c r="N33" s="18"/>
    </row>
    <row r="34" spans="2:14" ht="15" customHeight="1" x14ac:dyDescent="0.25">
      <c r="B34" s="20"/>
      <c r="C34" s="5" t="s">
        <v>86</v>
      </c>
      <c r="D34" s="6" t="s">
        <v>28</v>
      </c>
      <c r="E34" s="11">
        <v>1.1931000000000001E-2</v>
      </c>
      <c r="F34" s="1"/>
      <c r="G34" s="1"/>
      <c r="H34" s="1"/>
      <c r="I34" s="1"/>
      <c r="J34" s="1"/>
      <c r="K34" s="1"/>
      <c r="L34" s="1"/>
      <c r="M34" s="1"/>
      <c r="N34" s="18"/>
    </row>
    <row r="35" spans="2:14" ht="15" customHeight="1" x14ac:dyDescent="0.25">
      <c r="B35" s="20"/>
      <c r="C35" s="5" t="s">
        <v>41</v>
      </c>
      <c r="D35" s="6" t="s">
        <v>28</v>
      </c>
      <c r="E35" s="11">
        <v>6.3610000000000003E-3</v>
      </c>
      <c r="F35" s="1"/>
      <c r="G35" s="1"/>
      <c r="H35" s="1"/>
      <c r="I35" s="1"/>
      <c r="J35" s="1"/>
      <c r="K35" s="1"/>
      <c r="L35" s="1"/>
      <c r="M35" s="1"/>
      <c r="N35" s="18"/>
    </row>
    <row r="36" spans="2:14" ht="15" customHeight="1" x14ac:dyDescent="0.25">
      <c r="B36" s="20"/>
      <c r="C36" s="5" t="s">
        <v>40</v>
      </c>
      <c r="D36" s="6" t="s">
        <v>28</v>
      </c>
      <c r="E36" s="11">
        <v>3.5460000000000001E-3</v>
      </c>
      <c r="F36" s="1"/>
      <c r="G36" s="1"/>
      <c r="H36" s="1"/>
      <c r="I36" s="1"/>
      <c r="J36" s="1"/>
      <c r="K36" s="1"/>
      <c r="L36" s="1"/>
      <c r="M36" s="1"/>
      <c r="N36" s="18"/>
    </row>
    <row r="37" spans="2:14" ht="15" customHeight="1" x14ac:dyDescent="0.25">
      <c r="B37" s="20"/>
      <c r="C37" s="5" t="s">
        <v>77</v>
      </c>
      <c r="D37" s="6" t="s">
        <v>28</v>
      </c>
      <c r="E37" s="11">
        <v>1.7440000000000001E-3</v>
      </c>
      <c r="F37" s="1"/>
      <c r="G37" s="1"/>
      <c r="H37" s="1"/>
      <c r="I37" s="1"/>
      <c r="J37" s="1"/>
      <c r="K37" s="1"/>
      <c r="L37" s="1"/>
      <c r="M37" s="1"/>
      <c r="N37" s="18"/>
    </row>
    <row r="38" spans="2:14" ht="15" customHeight="1" x14ac:dyDescent="0.25">
      <c r="B38" s="20"/>
      <c r="C38" s="5" t="s">
        <v>87</v>
      </c>
      <c r="D38" s="6" t="s">
        <v>28</v>
      </c>
      <c r="E38" s="11">
        <v>1.0759999999999999E-3</v>
      </c>
      <c r="F38" s="1"/>
      <c r="G38" s="1"/>
      <c r="H38" s="1"/>
      <c r="I38" s="1"/>
      <c r="J38" s="1"/>
      <c r="K38" s="1"/>
      <c r="L38" s="1"/>
      <c r="M38" s="1"/>
      <c r="N38" s="18"/>
    </row>
    <row r="39" spans="2:14" ht="15.75" customHeight="1" x14ac:dyDescent="0.25">
      <c r="B39" s="20"/>
      <c r="C39" s="7" t="s">
        <v>44</v>
      </c>
      <c r="D39" s="8"/>
      <c r="E39" s="12">
        <v>0.73529100000000003</v>
      </c>
      <c r="F39" s="1"/>
      <c r="G39" s="1"/>
      <c r="H39" s="1"/>
      <c r="I39" s="1"/>
      <c r="J39" s="1"/>
      <c r="K39" s="1"/>
      <c r="L39" s="1"/>
      <c r="M39" s="1"/>
      <c r="N39" s="18"/>
    </row>
    <row r="40" spans="2:14" ht="15" customHeight="1" x14ac:dyDescent="0.25">
      <c r="B40" s="20"/>
      <c r="C40" s="5" t="s">
        <v>45</v>
      </c>
      <c r="D40" s="6"/>
      <c r="E40" s="11">
        <v>2.7239999999999999E-3</v>
      </c>
      <c r="F40" s="1"/>
      <c r="G40" s="1"/>
      <c r="H40" s="1"/>
      <c r="I40" s="1"/>
      <c r="J40" s="1"/>
      <c r="K40" s="1"/>
      <c r="L40" s="1"/>
      <c r="M40" s="1"/>
      <c r="N40" s="18"/>
    </row>
    <row r="41" spans="2:14" ht="15.75" customHeight="1" x14ac:dyDescent="0.25">
      <c r="B41" s="20"/>
      <c r="C41" s="7" t="s">
        <v>46</v>
      </c>
      <c r="D41" s="8"/>
      <c r="E41" s="12">
        <v>2.7239999999999999E-3</v>
      </c>
      <c r="F41" s="1"/>
      <c r="G41" s="1"/>
      <c r="H41" s="1"/>
      <c r="I41" s="1"/>
      <c r="J41" s="1"/>
      <c r="K41" s="1"/>
      <c r="L41" s="1"/>
      <c r="M41" s="1"/>
      <c r="N41" s="18"/>
    </row>
    <row r="42" spans="2:14" ht="15" customHeight="1" x14ac:dyDescent="0.25">
      <c r="B42" s="20"/>
      <c r="C42" s="5" t="s">
        <v>88</v>
      </c>
      <c r="D42" s="6" t="s">
        <v>48</v>
      </c>
      <c r="E42" s="11">
        <v>3.5399999999999999E-4</v>
      </c>
      <c r="F42" s="1"/>
      <c r="G42" s="1"/>
      <c r="H42" s="1"/>
      <c r="I42" s="1"/>
      <c r="J42" s="1"/>
      <c r="K42" s="1"/>
      <c r="L42" s="1"/>
      <c r="M42" s="1"/>
      <c r="N42" s="18"/>
    </row>
    <row r="43" spans="2:14" ht="15.75" customHeight="1" x14ac:dyDescent="0.25">
      <c r="B43" s="20"/>
      <c r="C43" s="7" t="s">
        <v>51</v>
      </c>
      <c r="D43" s="8"/>
      <c r="E43" s="12">
        <v>3.5399999999999999E-4</v>
      </c>
      <c r="F43" s="1"/>
      <c r="G43" s="1"/>
      <c r="H43" s="1"/>
      <c r="I43" s="1"/>
      <c r="J43" s="1"/>
      <c r="K43" s="1"/>
      <c r="L43" s="1"/>
      <c r="M43" s="1"/>
      <c r="N43" s="18"/>
    </row>
    <row r="44" spans="2:14" ht="15" customHeight="1" x14ac:dyDescent="0.25">
      <c r="B44" s="20"/>
      <c r="C44" s="5" t="s">
        <v>238</v>
      </c>
      <c r="D44" s="6" t="s">
        <v>48</v>
      </c>
      <c r="E44" s="11">
        <v>4.2859999999999999E-3</v>
      </c>
      <c r="F44" s="1"/>
      <c r="G44" s="1"/>
      <c r="H44" s="1"/>
      <c r="I44" s="1"/>
      <c r="J44" s="1"/>
      <c r="K44" s="1"/>
      <c r="L44" s="1"/>
      <c r="M44" s="1"/>
      <c r="N44" s="18"/>
    </row>
    <row r="45" spans="2:14" ht="15" customHeight="1" x14ac:dyDescent="0.25">
      <c r="B45" s="20"/>
      <c r="C45" s="5" t="s">
        <v>241</v>
      </c>
      <c r="D45" s="6" t="s">
        <v>48</v>
      </c>
      <c r="E45" s="11">
        <v>3.568E-3</v>
      </c>
      <c r="F45" s="1"/>
      <c r="G45" s="1"/>
      <c r="H45" s="1"/>
      <c r="I45" s="1"/>
      <c r="J45" s="1"/>
      <c r="K45" s="1"/>
      <c r="L45" s="1"/>
      <c r="M45" s="1"/>
      <c r="N45" s="18"/>
    </row>
    <row r="46" spans="2:14" ht="15" customHeight="1" x14ac:dyDescent="0.25">
      <c r="B46" s="20"/>
      <c r="C46" s="5" t="s">
        <v>243</v>
      </c>
      <c r="D46" s="6" t="s">
        <v>48</v>
      </c>
      <c r="E46" s="11">
        <v>2.996E-3</v>
      </c>
      <c r="F46" s="1"/>
      <c r="G46" s="1"/>
      <c r="H46" s="1"/>
      <c r="I46" s="1"/>
      <c r="J46" s="1"/>
      <c r="K46" s="1"/>
      <c r="L46" s="1"/>
      <c r="M46" s="1"/>
      <c r="N46" s="18"/>
    </row>
    <row r="47" spans="2:14" ht="15" customHeight="1" x14ac:dyDescent="0.25">
      <c r="B47" s="20"/>
      <c r="C47" s="5" t="s">
        <v>237</v>
      </c>
      <c r="D47" s="6" t="s">
        <v>48</v>
      </c>
      <c r="E47" s="11">
        <v>2.4979999999999998E-3</v>
      </c>
      <c r="F47" s="1"/>
      <c r="G47" s="1"/>
      <c r="H47" s="1"/>
      <c r="I47" s="1"/>
      <c r="J47" s="1"/>
      <c r="K47" s="1"/>
      <c r="L47" s="1"/>
      <c r="M47" s="1"/>
      <c r="N47" s="18"/>
    </row>
    <row r="48" spans="2:14" ht="15" customHeight="1" x14ac:dyDescent="0.25">
      <c r="B48" s="20"/>
      <c r="C48" s="5" t="s">
        <v>231</v>
      </c>
      <c r="D48" s="6" t="s">
        <v>48</v>
      </c>
      <c r="E48" s="11">
        <v>2.49E-3</v>
      </c>
      <c r="F48" s="1"/>
      <c r="G48" s="1"/>
      <c r="H48" s="1"/>
      <c r="I48" s="1"/>
      <c r="J48" s="1"/>
      <c r="K48" s="1"/>
      <c r="L48" s="1"/>
      <c r="M48" s="1"/>
      <c r="N48" s="18"/>
    </row>
    <row r="49" spans="2:14" ht="15" customHeight="1" x14ac:dyDescent="0.25">
      <c r="B49" s="20"/>
      <c r="C49" s="5" t="s">
        <v>232</v>
      </c>
      <c r="D49" s="6" t="s">
        <v>48</v>
      </c>
      <c r="E49" s="11">
        <v>2.1350000000000002E-3</v>
      </c>
      <c r="F49" s="1"/>
      <c r="G49" s="1"/>
      <c r="H49" s="1"/>
      <c r="I49" s="1"/>
      <c r="J49" s="1"/>
      <c r="K49" s="1"/>
      <c r="L49" s="1"/>
      <c r="M49" s="1"/>
      <c r="N49" s="18"/>
    </row>
    <row r="50" spans="2:14" ht="15" customHeight="1" x14ac:dyDescent="0.25">
      <c r="B50" s="20"/>
      <c r="C50" s="5" t="s">
        <v>233</v>
      </c>
      <c r="D50" s="6" t="s">
        <v>48</v>
      </c>
      <c r="E50" s="11">
        <v>1.7819999999999999E-3</v>
      </c>
      <c r="F50" s="1"/>
      <c r="G50" s="1"/>
      <c r="H50" s="1"/>
      <c r="I50" s="1"/>
      <c r="J50" s="1"/>
      <c r="K50" s="1"/>
      <c r="L50" s="1"/>
      <c r="M50" s="1"/>
      <c r="N50" s="18"/>
    </row>
    <row r="51" spans="2:14" ht="15" customHeight="1" x14ac:dyDescent="0.25">
      <c r="B51" s="20"/>
      <c r="C51" s="5" t="s">
        <v>240</v>
      </c>
      <c r="D51" s="6" t="s">
        <v>48</v>
      </c>
      <c r="E51" s="11">
        <v>1.4270000000000001E-3</v>
      </c>
      <c r="F51" s="1"/>
      <c r="G51" s="1"/>
      <c r="H51" s="1"/>
      <c r="I51" s="1"/>
      <c r="J51" s="1"/>
      <c r="K51" s="1"/>
      <c r="L51" s="1"/>
      <c r="M51" s="1"/>
      <c r="N51" s="18"/>
    </row>
    <row r="52" spans="2:14" ht="15" customHeight="1" x14ac:dyDescent="0.25">
      <c r="B52" s="20"/>
      <c r="C52" s="5" t="s">
        <v>242</v>
      </c>
      <c r="D52" s="6" t="s">
        <v>48</v>
      </c>
      <c r="E52" s="11">
        <v>1.4270000000000001E-3</v>
      </c>
      <c r="F52" s="1"/>
      <c r="G52" s="1"/>
      <c r="H52" s="1"/>
      <c r="I52" s="1"/>
      <c r="J52" s="1"/>
      <c r="K52" s="1"/>
      <c r="L52" s="1"/>
      <c r="M52" s="1"/>
      <c r="N52" s="18"/>
    </row>
    <row r="53" spans="2:14" ht="15" customHeight="1" x14ac:dyDescent="0.25">
      <c r="B53" s="20"/>
      <c r="C53" s="5" t="s">
        <v>230</v>
      </c>
      <c r="D53" s="6" t="s">
        <v>48</v>
      </c>
      <c r="E53" s="11">
        <v>1.4220000000000001E-3</v>
      </c>
      <c r="F53" s="1"/>
      <c r="G53" s="1"/>
      <c r="H53" s="1"/>
      <c r="I53" s="1"/>
      <c r="J53" s="1"/>
      <c r="K53" s="1"/>
      <c r="L53" s="1"/>
      <c r="M53" s="1"/>
      <c r="N53" s="18"/>
    </row>
    <row r="54" spans="2:14" ht="15" customHeight="1" x14ac:dyDescent="0.25">
      <c r="B54" s="20"/>
      <c r="C54" s="5" t="s">
        <v>236</v>
      </c>
      <c r="D54" s="6" t="s">
        <v>48</v>
      </c>
      <c r="E54" s="11">
        <v>1.07E-3</v>
      </c>
      <c r="F54" s="1"/>
      <c r="G54" s="1"/>
      <c r="H54" s="1"/>
      <c r="I54" s="1"/>
      <c r="J54" s="1"/>
      <c r="K54" s="1"/>
      <c r="L54" s="1"/>
      <c r="M54" s="1"/>
      <c r="N54" s="18"/>
    </row>
    <row r="55" spans="2:14" ht="15" customHeight="1" x14ac:dyDescent="0.25">
      <c r="B55" s="20"/>
      <c r="C55" s="5" t="s">
        <v>205</v>
      </c>
      <c r="D55" s="6" t="s">
        <v>48</v>
      </c>
      <c r="E55" s="11">
        <v>7.1500000000000003E-4</v>
      </c>
      <c r="F55" s="1"/>
      <c r="G55" s="1"/>
      <c r="H55" s="1"/>
      <c r="I55" s="1"/>
      <c r="J55" s="1"/>
      <c r="K55" s="1"/>
      <c r="L55" s="1"/>
      <c r="M55" s="1"/>
      <c r="N55" s="18"/>
    </row>
    <row r="56" spans="2:14" ht="15" customHeight="1" x14ac:dyDescent="0.25">
      <c r="B56" s="20"/>
      <c r="C56" s="5" t="s">
        <v>234</v>
      </c>
      <c r="D56" s="6" t="s">
        <v>48</v>
      </c>
      <c r="E56" s="11">
        <v>7.1400000000000001E-4</v>
      </c>
      <c r="F56" s="1"/>
      <c r="G56" s="1"/>
      <c r="H56" s="1"/>
      <c r="I56" s="1"/>
      <c r="J56" s="1"/>
      <c r="K56" s="1"/>
      <c r="L56" s="1"/>
      <c r="M56" s="1"/>
      <c r="N56" s="18"/>
    </row>
    <row r="57" spans="2:14" ht="15" customHeight="1" x14ac:dyDescent="0.25">
      <c r="B57" s="20"/>
      <c r="C57" s="5" t="s">
        <v>235</v>
      </c>
      <c r="D57" s="6" t="s">
        <v>48</v>
      </c>
      <c r="E57" s="11">
        <v>7.1400000000000001E-4</v>
      </c>
      <c r="F57" s="1"/>
      <c r="G57" s="1"/>
      <c r="H57" s="1"/>
      <c r="I57" s="1"/>
      <c r="J57" s="1"/>
      <c r="K57" s="1"/>
      <c r="L57" s="1"/>
      <c r="M57" s="1"/>
      <c r="N57" s="18"/>
    </row>
    <row r="58" spans="2:14" ht="15" customHeight="1" x14ac:dyDescent="0.25">
      <c r="B58" s="20"/>
      <c r="C58" s="5" t="s">
        <v>239</v>
      </c>
      <c r="D58" s="6" t="s">
        <v>48</v>
      </c>
      <c r="E58" s="11">
        <v>7.1000000000000002E-4</v>
      </c>
      <c r="F58" s="1"/>
      <c r="G58" s="1"/>
      <c r="H58" s="1"/>
      <c r="I58" s="1"/>
      <c r="J58" s="1"/>
      <c r="K58" s="1"/>
      <c r="L58" s="1"/>
      <c r="M58" s="1"/>
      <c r="N58" s="18"/>
    </row>
    <row r="59" spans="2:14" ht="15" customHeight="1" x14ac:dyDescent="0.25">
      <c r="B59" s="20"/>
      <c r="C59" s="5" t="s">
        <v>244</v>
      </c>
      <c r="D59" s="6" t="s">
        <v>48</v>
      </c>
      <c r="E59" s="11">
        <v>1.7200000000000001E-4</v>
      </c>
      <c r="F59" s="1"/>
      <c r="G59" s="1"/>
      <c r="H59" s="1"/>
      <c r="I59" s="1"/>
      <c r="J59" s="1"/>
      <c r="K59" s="1"/>
      <c r="L59" s="1"/>
      <c r="M59" s="1"/>
      <c r="N59" s="18"/>
    </row>
    <row r="60" spans="2:14" ht="15.75" customHeight="1" x14ac:dyDescent="0.25">
      <c r="B60" s="20"/>
      <c r="C60" s="7" t="s">
        <v>52</v>
      </c>
      <c r="D60" s="8"/>
      <c r="E60" s="12">
        <v>2.8126000000000002E-2</v>
      </c>
      <c r="F60" s="1"/>
      <c r="G60" s="1"/>
      <c r="H60" s="1"/>
      <c r="I60" s="1"/>
      <c r="J60" s="1"/>
      <c r="K60" s="1"/>
      <c r="L60" s="1"/>
      <c r="M60" s="1"/>
      <c r="N60" s="18"/>
    </row>
    <row r="61" spans="2:14" ht="15" customHeight="1" x14ac:dyDescent="0.25">
      <c r="B61" s="20"/>
      <c r="C61" s="5" t="s">
        <v>89</v>
      </c>
      <c r="D61" s="6" t="s">
        <v>48</v>
      </c>
      <c r="E61" s="11">
        <v>5.5152E-2</v>
      </c>
      <c r="F61" s="1"/>
      <c r="G61" s="1"/>
      <c r="H61" s="1"/>
      <c r="I61" s="1"/>
      <c r="J61" s="1"/>
      <c r="K61" s="1"/>
      <c r="L61" s="1"/>
      <c r="M61" s="1"/>
      <c r="N61" s="18"/>
    </row>
    <row r="62" spans="2:14" ht="15" customHeight="1" x14ac:dyDescent="0.25">
      <c r="B62" s="20"/>
      <c r="C62" s="5" t="s">
        <v>90</v>
      </c>
      <c r="D62" s="6" t="s">
        <v>48</v>
      </c>
      <c r="E62" s="11">
        <v>1.0325000000000001E-2</v>
      </c>
      <c r="F62" s="1"/>
      <c r="G62" s="1"/>
      <c r="H62" s="1"/>
      <c r="I62" s="1"/>
      <c r="J62" s="1"/>
      <c r="K62" s="1"/>
      <c r="L62" s="1"/>
      <c r="M62" s="1"/>
      <c r="N62" s="18"/>
    </row>
    <row r="63" spans="2:14" ht="15" customHeight="1" x14ac:dyDescent="0.25">
      <c r="B63" s="20"/>
      <c r="C63" s="5" t="s">
        <v>91</v>
      </c>
      <c r="D63" s="6" t="s">
        <v>48</v>
      </c>
      <c r="E63" s="11">
        <v>8.6289999999999995E-3</v>
      </c>
      <c r="F63" s="1"/>
      <c r="G63" s="1"/>
      <c r="H63" s="1"/>
      <c r="I63" s="1"/>
      <c r="J63" s="1"/>
      <c r="K63" s="1"/>
      <c r="L63" s="1"/>
      <c r="M63" s="1"/>
      <c r="N63" s="18"/>
    </row>
    <row r="64" spans="2:14" ht="15.75" customHeight="1" x14ac:dyDescent="0.25">
      <c r="B64" s="20"/>
      <c r="C64" s="7" t="s">
        <v>92</v>
      </c>
      <c r="D64" s="8"/>
      <c r="E64" s="12">
        <v>7.4106000000000005E-2</v>
      </c>
      <c r="F64" s="1"/>
      <c r="G64" s="1"/>
      <c r="H64" s="1"/>
      <c r="I64" s="1"/>
      <c r="J64" s="1"/>
      <c r="K64" s="1"/>
      <c r="L64" s="1"/>
      <c r="M64" s="1"/>
      <c r="N64" s="18"/>
    </row>
    <row r="65" spans="2:14" ht="15" customHeight="1" x14ac:dyDescent="0.25">
      <c r="B65" s="20"/>
      <c r="C65" s="5" t="s">
        <v>9</v>
      </c>
      <c r="D65" s="6"/>
      <c r="E65" s="11">
        <v>1.367E-2</v>
      </c>
      <c r="F65" s="1"/>
      <c r="G65" s="1"/>
      <c r="H65" s="1"/>
      <c r="I65" s="1"/>
      <c r="J65" s="1"/>
      <c r="K65" s="1"/>
      <c r="L65" s="1"/>
      <c r="M65" s="1"/>
      <c r="N65" s="18"/>
    </row>
    <row r="66" spans="2:14" ht="15.75" customHeight="1" x14ac:dyDescent="0.25">
      <c r="B66" s="20"/>
      <c r="C66" s="7" t="s">
        <v>10</v>
      </c>
      <c r="D66" s="8"/>
      <c r="E66" s="12">
        <v>1.367E-2</v>
      </c>
      <c r="F66" s="1"/>
      <c r="G66" s="1"/>
      <c r="H66" s="1"/>
      <c r="I66" s="1"/>
      <c r="J66" s="1"/>
      <c r="K66" s="1"/>
      <c r="L66" s="1"/>
      <c r="M66" s="1"/>
      <c r="N66" s="18"/>
    </row>
    <row r="67" spans="2:14" ht="15" customHeight="1" x14ac:dyDescent="0.25">
      <c r="B67" s="20"/>
      <c r="C67" s="5" t="s">
        <v>77</v>
      </c>
      <c r="D67" s="6" t="s">
        <v>28</v>
      </c>
      <c r="E67" s="11">
        <v>2.7820000000000002E-3</v>
      </c>
      <c r="F67" s="1"/>
      <c r="G67" s="1"/>
      <c r="H67" s="1"/>
      <c r="I67" s="1"/>
      <c r="J67" s="1"/>
      <c r="K67" s="1"/>
      <c r="L67" s="1"/>
      <c r="M67" s="1"/>
      <c r="N67" s="18"/>
    </row>
    <row r="68" spans="2:14" ht="15.75" customHeight="1" x14ac:dyDescent="0.25">
      <c r="B68" s="20"/>
      <c r="C68" s="7" t="s">
        <v>93</v>
      </c>
      <c r="D68" s="8"/>
      <c r="E68" s="12">
        <v>2.7820000000000002E-3</v>
      </c>
      <c r="F68" s="1"/>
      <c r="G68" s="1"/>
      <c r="H68" s="1"/>
      <c r="I68" s="1"/>
      <c r="J68" s="1"/>
      <c r="K68" s="1"/>
      <c r="L68" s="1"/>
      <c r="M68" s="1"/>
      <c r="N68" s="18"/>
    </row>
    <row r="69" spans="2:14" ht="15" customHeight="1" x14ac:dyDescent="0.25">
      <c r="B69" s="20"/>
      <c r="C69" s="5"/>
      <c r="D69" s="6"/>
      <c r="E69" s="11"/>
      <c r="F69" s="1"/>
      <c r="G69" s="1"/>
      <c r="H69" s="1"/>
      <c r="I69" s="1"/>
      <c r="J69" s="1"/>
      <c r="K69" s="1"/>
      <c r="L69" s="1"/>
      <c r="M69" s="1"/>
      <c r="N69" s="18"/>
    </row>
    <row r="70" spans="2:14" ht="15.75" customHeight="1" x14ac:dyDescent="0.25">
      <c r="B70" s="20"/>
      <c r="C70" s="7" t="s">
        <v>11</v>
      </c>
      <c r="D70" s="8"/>
      <c r="E70" s="12">
        <v>2.4434000000000001E-2</v>
      </c>
      <c r="F70" s="1"/>
      <c r="G70" s="1"/>
      <c r="H70" s="1"/>
      <c r="I70" s="1"/>
      <c r="J70" s="1"/>
      <c r="K70" s="1"/>
      <c r="L70" s="1"/>
      <c r="M70" s="1"/>
      <c r="N70" s="18"/>
    </row>
    <row r="71" spans="2:14" ht="15" customHeight="1" x14ac:dyDescent="0.25">
      <c r="B71" s="20"/>
      <c r="C71" s="5"/>
      <c r="D71" s="6"/>
      <c r="E71" s="11"/>
      <c r="F71" s="1"/>
      <c r="G71" s="1"/>
      <c r="H71" s="1"/>
      <c r="I71" s="1"/>
      <c r="J71" s="1"/>
      <c r="K71" s="1"/>
      <c r="L71" s="1"/>
      <c r="M71" s="1"/>
      <c r="N71" s="18"/>
    </row>
    <row r="72" spans="2:14" ht="15" customHeight="1" x14ac:dyDescent="0.25">
      <c r="B72" s="20"/>
      <c r="C72" s="9" t="s">
        <v>12</v>
      </c>
      <c r="D72" s="10"/>
      <c r="E72" s="13">
        <v>1</v>
      </c>
      <c r="F72" s="1"/>
      <c r="G72" s="1"/>
      <c r="H72" s="1"/>
      <c r="I72" s="1"/>
      <c r="J72" s="1"/>
      <c r="K72" s="1"/>
      <c r="L72" s="1"/>
      <c r="M72" s="1"/>
      <c r="N72" s="18"/>
    </row>
    <row r="73" spans="2:14" ht="15" customHeight="1" x14ac:dyDescent="0.25">
      <c r="B73" s="20"/>
      <c r="C73" s="1"/>
      <c r="D73" s="1"/>
      <c r="E73" s="1"/>
      <c r="F73" s="1"/>
      <c r="G73" s="1"/>
      <c r="H73" s="1"/>
      <c r="I73" s="1"/>
      <c r="J73" s="1"/>
      <c r="K73" s="1"/>
      <c r="L73" s="1"/>
      <c r="M73" s="1"/>
      <c r="N73" s="18"/>
    </row>
    <row r="74" spans="2:14" ht="15" customHeight="1" thickBot="1" x14ac:dyDescent="0.3">
      <c r="B74" s="21"/>
      <c r="C74" s="22"/>
      <c r="D74" s="22"/>
      <c r="E74" s="22"/>
      <c r="F74" s="22"/>
      <c r="G74" s="22"/>
      <c r="H74" s="22"/>
      <c r="I74" s="22"/>
      <c r="J74" s="22"/>
      <c r="K74" s="22"/>
      <c r="L74" s="22"/>
      <c r="M74" s="22"/>
      <c r="N74" s="23"/>
    </row>
    <row r="75" spans="2:14" ht="15" customHeight="1" thickBot="1" x14ac:dyDescent="0.3"/>
    <row r="76" spans="2:14" ht="15" customHeight="1" x14ac:dyDescent="0.25">
      <c r="B76" s="67" t="s">
        <v>296</v>
      </c>
      <c r="C76" s="68"/>
      <c r="D76" s="68"/>
      <c r="E76" s="68"/>
      <c r="F76" s="68"/>
      <c r="G76" s="68"/>
      <c r="H76" s="68"/>
      <c r="I76" s="68"/>
      <c r="J76" s="68"/>
      <c r="K76" s="68"/>
      <c r="L76" s="68"/>
      <c r="M76" s="68"/>
      <c r="N76" s="69"/>
    </row>
    <row r="77" spans="2:14" ht="15" customHeight="1" x14ac:dyDescent="0.25">
      <c r="B77" s="70"/>
      <c r="C77" s="71"/>
      <c r="D77" s="71"/>
      <c r="E77" s="71"/>
      <c r="F77" s="71"/>
      <c r="G77" s="71"/>
      <c r="H77" s="71"/>
      <c r="I77" s="71"/>
      <c r="J77" s="71"/>
      <c r="K77" s="71"/>
      <c r="L77" s="71"/>
      <c r="M77" s="71"/>
      <c r="N77" s="72"/>
    </row>
    <row r="78" spans="2:14" ht="15" customHeight="1" x14ac:dyDescent="0.25">
      <c r="B78" s="70"/>
      <c r="C78" s="71"/>
      <c r="D78" s="71"/>
      <c r="E78" s="71"/>
      <c r="F78" s="71"/>
      <c r="G78" s="71"/>
      <c r="H78" s="71"/>
      <c r="I78" s="71"/>
      <c r="J78" s="71"/>
      <c r="K78" s="71"/>
      <c r="L78" s="71"/>
      <c r="M78" s="71"/>
      <c r="N78" s="72"/>
    </row>
    <row r="79" spans="2:14" ht="15" customHeight="1" thickBot="1" x14ac:dyDescent="0.3">
      <c r="B79" s="73"/>
      <c r="C79" s="74"/>
      <c r="D79" s="74"/>
      <c r="E79" s="74"/>
      <c r="F79" s="74"/>
      <c r="G79" s="74"/>
      <c r="H79" s="74"/>
      <c r="I79" s="74"/>
      <c r="J79" s="74"/>
      <c r="K79" s="74"/>
      <c r="L79" s="74"/>
      <c r="M79" s="74"/>
      <c r="N79" s="75"/>
    </row>
    <row r="80" spans="2:14" ht="15" customHeight="1" thickBot="1" x14ac:dyDescent="0.3"/>
    <row r="81" spans="2:14" ht="137.25" customHeight="1" thickBot="1" x14ac:dyDescent="0.3">
      <c r="B81" s="76" t="s">
        <v>302</v>
      </c>
      <c r="C81" s="77"/>
      <c r="D81" s="77"/>
      <c r="E81" s="77"/>
      <c r="F81" s="77"/>
      <c r="G81" s="77"/>
      <c r="H81" s="77"/>
      <c r="I81" s="77"/>
      <c r="J81" s="77"/>
      <c r="K81" s="77"/>
      <c r="L81" s="77"/>
      <c r="M81" s="77"/>
      <c r="N81" s="78"/>
    </row>
    <row r="82" spans="2:14" ht="15" customHeight="1" x14ac:dyDescent="0.25"/>
    <row r="83" spans="2:14" ht="15" customHeight="1" x14ac:dyDescent="0.25"/>
    <row r="84" spans="2:14" ht="15" customHeight="1" x14ac:dyDescent="0.25"/>
    <row r="85" spans="2:14" ht="15" customHeight="1" x14ac:dyDescent="0.25"/>
    <row r="86" spans="2:14" ht="15" customHeight="1" x14ac:dyDescent="0.25"/>
    <row r="87" spans="2:14" ht="15" customHeight="1" x14ac:dyDescent="0.25"/>
    <row r="88" spans="2:14" ht="15" customHeight="1" x14ac:dyDescent="0.25"/>
    <row r="89" spans="2:14" ht="15" customHeight="1" x14ac:dyDescent="0.25"/>
    <row r="90" spans="2:14" ht="15" customHeight="1" x14ac:dyDescent="0.25"/>
    <row r="91" spans="2:14" ht="15" customHeight="1" x14ac:dyDescent="0.25"/>
    <row r="92" spans="2:14" ht="15" customHeight="1" x14ac:dyDescent="0.25"/>
    <row r="93" spans="2:14" ht="15" customHeight="1" x14ac:dyDescent="0.25"/>
    <row r="94" spans="2:14" ht="15" customHeight="1" x14ac:dyDescent="0.25"/>
    <row r="95" spans="2:14" ht="15" customHeight="1" x14ac:dyDescent="0.25"/>
    <row r="96" spans="2:14" ht="15" customHeight="1" x14ac:dyDescent="0.25"/>
  </sheetData>
  <sortState ref="C44:E59">
    <sortCondition descending="1" ref="E44"/>
  </sortState>
  <mergeCells count="7">
    <mergeCell ref="B76:N79"/>
    <mergeCell ref="B81:N81"/>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23547-83BC-4128-9F02-7056EFC7869D}">
  <dimension ref="B1:N51"/>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136</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137</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17</v>
      </c>
      <c r="H7" s="85"/>
      <c r="I7" s="85"/>
      <c r="J7" s="85"/>
      <c r="K7" s="85"/>
      <c r="L7" s="85"/>
      <c r="M7" s="85"/>
      <c r="N7" s="86"/>
    </row>
    <row r="8" spans="2:14" ht="15" customHeight="1" x14ac:dyDescent="0.25">
      <c r="B8" s="20"/>
      <c r="C8" s="5" t="s">
        <v>22</v>
      </c>
      <c r="D8" s="6" t="s">
        <v>23</v>
      </c>
      <c r="E8" s="11">
        <v>0.118406</v>
      </c>
      <c r="F8" s="1"/>
      <c r="G8" s="24" t="s">
        <v>16</v>
      </c>
      <c r="H8" s="28">
        <v>0.90250399999999997</v>
      </c>
      <c r="I8" s="1"/>
      <c r="J8" s="24" t="s">
        <v>13</v>
      </c>
      <c r="K8" s="24" t="s">
        <v>5</v>
      </c>
      <c r="L8" s="1"/>
      <c r="M8" s="1"/>
      <c r="N8" s="18"/>
    </row>
    <row r="9" spans="2:14" ht="15" customHeight="1" x14ac:dyDescent="0.25">
      <c r="B9" s="20"/>
      <c r="C9" s="5" t="s">
        <v>43</v>
      </c>
      <c r="D9" s="6" t="s">
        <v>23</v>
      </c>
      <c r="E9" s="11">
        <v>0.116786</v>
      </c>
      <c r="F9" s="1"/>
      <c r="G9" s="24" t="s">
        <v>140</v>
      </c>
      <c r="H9" s="28">
        <v>9.7495999999999999E-2</v>
      </c>
      <c r="I9" s="1"/>
      <c r="J9" s="24" t="s">
        <v>11</v>
      </c>
      <c r="K9" s="28">
        <v>1.2409999999999999E-2</v>
      </c>
      <c r="L9" s="1"/>
      <c r="M9" s="1"/>
      <c r="N9" s="18"/>
    </row>
    <row r="10" spans="2:14" ht="15.75" customHeight="1" x14ac:dyDescent="0.25">
      <c r="B10" s="20"/>
      <c r="C10" s="7" t="s">
        <v>25</v>
      </c>
      <c r="D10" s="8"/>
      <c r="E10" s="12">
        <v>0.23519200000000001</v>
      </c>
      <c r="F10" s="1"/>
      <c r="G10" s="1"/>
      <c r="H10" s="1"/>
      <c r="I10" s="1"/>
      <c r="J10" s="24" t="s">
        <v>14</v>
      </c>
      <c r="K10" s="28">
        <v>2.2367000000000001E-2</v>
      </c>
      <c r="L10" s="1"/>
      <c r="M10" s="1"/>
      <c r="N10" s="18"/>
    </row>
    <row r="11" spans="2:14" ht="15" customHeight="1" x14ac:dyDescent="0.25">
      <c r="B11" s="20"/>
      <c r="C11" s="5" t="s">
        <v>27</v>
      </c>
      <c r="D11" s="6" t="s">
        <v>23</v>
      </c>
      <c r="E11" s="11">
        <v>0.119976</v>
      </c>
      <c r="F11" s="1"/>
      <c r="G11" s="1"/>
      <c r="H11" s="1"/>
      <c r="I11" s="1"/>
      <c r="J11" s="24" t="s">
        <v>53</v>
      </c>
      <c r="K11" s="28">
        <v>0.23519200000000001</v>
      </c>
      <c r="L11" s="1"/>
      <c r="M11" s="1"/>
      <c r="N11" s="18"/>
    </row>
    <row r="12" spans="2:14" ht="15" customHeight="1" x14ac:dyDescent="0.25">
      <c r="B12" s="20"/>
      <c r="C12" s="5" t="s">
        <v>31</v>
      </c>
      <c r="D12" s="6" t="s">
        <v>23</v>
      </c>
      <c r="E12" s="11">
        <v>9.4657000000000005E-2</v>
      </c>
      <c r="F12" s="1"/>
      <c r="G12" s="1"/>
      <c r="H12" s="1"/>
      <c r="I12" s="1"/>
      <c r="J12" s="24" t="s">
        <v>54</v>
      </c>
      <c r="K12" s="28">
        <v>0.35661599999999999</v>
      </c>
      <c r="L12" s="1"/>
      <c r="M12" s="1"/>
      <c r="N12" s="18"/>
    </row>
    <row r="13" spans="2:14" ht="15.75" customHeight="1" x14ac:dyDescent="0.25">
      <c r="B13" s="20"/>
      <c r="C13" s="7" t="s">
        <v>26</v>
      </c>
      <c r="D13" s="8"/>
      <c r="E13" s="12">
        <v>0.21463299999999999</v>
      </c>
      <c r="F13" s="1"/>
      <c r="G13" s="1"/>
      <c r="H13" s="1"/>
      <c r="I13" s="1"/>
      <c r="J13" s="24" t="s">
        <v>55</v>
      </c>
      <c r="K13" s="28">
        <v>0.21463299999999999</v>
      </c>
      <c r="L13" s="1"/>
      <c r="M13" s="1"/>
      <c r="N13" s="18"/>
    </row>
    <row r="14" spans="2:14" ht="15" customHeight="1" x14ac:dyDescent="0.25">
      <c r="B14" s="20"/>
      <c r="C14" s="5" t="s">
        <v>138</v>
      </c>
      <c r="D14" s="6" t="s">
        <v>139</v>
      </c>
      <c r="E14" s="11">
        <v>9.7495999999999999E-2</v>
      </c>
      <c r="F14" s="1"/>
      <c r="G14" s="1"/>
      <c r="H14" s="1"/>
      <c r="I14" s="1"/>
      <c r="J14" s="24" t="s">
        <v>56</v>
      </c>
      <c r="K14" s="28">
        <v>4.2449999999999996E-3</v>
      </c>
      <c r="L14" s="1"/>
      <c r="M14" s="1"/>
      <c r="N14" s="18"/>
    </row>
    <row r="15" spans="2:14" ht="15" customHeight="1" x14ac:dyDescent="0.25">
      <c r="B15" s="20"/>
      <c r="C15" s="5" t="s">
        <v>76</v>
      </c>
      <c r="D15" s="6" t="s">
        <v>28</v>
      </c>
      <c r="E15" s="11">
        <v>9.5685000000000006E-2</v>
      </c>
      <c r="F15" s="1"/>
      <c r="G15" s="1"/>
      <c r="H15" s="1"/>
      <c r="I15" s="1"/>
      <c r="J15" s="24" t="s">
        <v>57</v>
      </c>
      <c r="K15" s="28">
        <v>0.15453700000000001</v>
      </c>
      <c r="L15" s="1"/>
      <c r="M15" s="1"/>
      <c r="N15" s="18"/>
    </row>
    <row r="16" spans="2:14" ht="15" customHeight="1" x14ac:dyDescent="0.25">
      <c r="B16" s="20"/>
      <c r="C16" s="5" t="s">
        <v>32</v>
      </c>
      <c r="D16" s="6" t="s">
        <v>28</v>
      </c>
      <c r="E16" s="11">
        <v>7.2160000000000002E-2</v>
      </c>
      <c r="F16" s="1"/>
      <c r="G16" s="1"/>
      <c r="H16" s="1"/>
      <c r="I16" s="1"/>
      <c r="J16" s="1"/>
      <c r="K16" s="1"/>
      <c r="L16" s="1"/>
      <c r="M16" s="1"/>
      <c r="N16" s="18"/>
    </row>
    <row r="17" spans="2:14" ht="15" customHeight="1" x14ac:dyDescent="0.25">
      <c r="B17" s="20"/>
      <c r="C17" s="5" t="s">
        <v>77</v>
      </c>
      <c r="D17" s="6" t="s">
        <v>28</v>
      </c>
      <c r="E17" s="11">
        <v>4.7981999999999997E-2</v>
      </c>
      <c r="F17" s="1"/>
      <c r="G17" s="1"/>
      <c r="H17" s="1"/>
      <c r="I17" s="1"/>
      <c r="J17" s="1"/>
      <c r="K17" s="1"/>
      <c r="L17" s="1"/>
      <c r="M17" s="1"/>
      <c r="N17" s="18"/>
    </row>
    <row r="18" spans="2:14" ht="15" customHeight="1" x14ac:dyDescent="0.25">
      <c r="B18" s="20"/>
      <c r="C18" s="5" t="s">
        <v>29</v>
      </c>
      <c r="D18" s="6" t="s">
        <v>28</v>
      </c>
      <c r="E18" s="11">
        <v>4.3292999999999998E-2</v>
      </c>
      <c r="F18" s="1"/>
      <c r="G18" s="1"/>
      <c r="H18" s="1"/>
      <c r="I18" s="1"/>
      <c r="J18" s="1"/>
      <c r="K18" s="1"/>
      <c r="L18" s="1"/>
      <c r="M18" s="1"/>
      <c r="N18" s="18"/>
    </row>
    <row r="19" spans="2:14" ht="15.75" customHeight="1" x14ac:dyDescent="0.25">
      <c r="B19" s="20"/>
      <c r="C19" s="7" t="s">
        <v>44</v>
      </c>
      <c r="D19" s="8"/>
      <c r="E19" s="12">
        <v>0.35661599999999999</v>
      </c>
      <c r="F19" s="1"/>
      <c r="G19" s="1"/>
      <c r="H19" s="1"/>
      <c r="I19" s="1"/>
      <c r="J19" s="1"/>
      <c r="K19" s="1"/>
      <c r="L19" s="1"/>
      <c r="M19" s="1"/>
      <c r="N19" s="18"/>
    </row>
    <row r="20" spans="2:14" ht="15" customHeight="1" x14ac:dyDescent="0.25">
      <c r="B20" s="20"/>
      <c r="C20" s="5" t="s">
        <v>45</v>
      </c>
      <c r="D20" s="6"/>
      <c r="E20" s="11">
        <v>4.2449999999999996E-3</v>
      </c>
      <c r="F20" s="1"/>
      <c r="G20" s="1"/>
      <c r="H20" s="1"/>
      <c r="I20" s="1"/>
      <c r="J20" s="1"/>
      <c r="K20" s="1"/>
      <c r="L20" s="1"/>
      <c r="M20" s="1"/>
      <c r="N20" s="18"/>
    </row>
    <row r="21" spans="2:14" ht="15.75" customHeight="1" x14ac:dyDescent="0.25">
      <c r="B21" s="20"/>
      <c r="C21" s="7" t="s">
        <v>46</v>
      </c>
      <c r="D21" s="8"/>
      <c r="E21" s="12">
        <v>4.2449999999999996E-3</v>
      </c>
      <c r="F21" s="1"/>
      <c r="G21" s="1"/>
      <c r="H21" s="1"/>
      <c r="I21" s="1"/>
      <c r="J21" s="1"/>
      <c r="K21" s="1"/>
      <c r="L21" s="1"/>
      <c r="M21" s="1"/>
      <c r="N21" s="18"/>
    </row>
    <row r="22" spans="2:14" ht="15" customHeight="1" x14ac:dyDescent="0.25">
      <c r="B22" s="20"/>
      <c r="C22" s="5" t="s">
        <v>47</v>
      </c>
      <c r="D22" s="6" t="s">
        <v>48</v>
      </c>
      <c r="E22" s="11">
        <v>7.3014999999999997E-2</v>
      </c>
      <c r="F22" s="1"/>
      <c r="G22" s="1"/>
      <c r="H22" s="1"/>
      <c r="I22" s="1"/>
      <c r="J22" s="1"/>
      <c r="K22" s="1"/>
      <c r="L22" s="1"/>
      <c r="M22" s="1"/>
      <c r="N22" s="18"/>
    </row>
    <row r="23" spans="2:14" ht="15" customHeight="1" x14ac:dyDescent="0.25">
      <c r="B23" s="20"/>
      <c r="C23" s="5" t="s">
        <v>69</v>
      </c>
      <c r="D23" s="6" t="s">
        <v>48</v>
      </c>
      <c r="E23" s="11">
        <v>7.2161000000000003E-2</v>
      </c>
      <c r="F23" s="1"/>
      <c r="G23" s="1"/>
      <c r="H23" s="1"/>
      <c r="I23" s="1"/>
      <c r="J23" s="1"/>
      <c r="K23" s="1"/>
      <c r="L23" s="1"/>
      <c r="M23" s="1"/>
      <c r="N23" s="18"/>
    </row>
    <row r="24" spans="2:14" ht="15" customHeight="1" x14ac:dyDescent="0.25">
      <c r="B24" s="20"/>
      <c r="C24" s="5" t="s">
        <v>50</v>
      </c>
      <c r="D24" s="6" t="s">
        <v>48</v>
      </c>
      <c r="E24" s="11">
        <v>9.3609999999999995E-3</v>
      </c>
      <c r="F24" s="1"/>
      <c r="G24" s="84" t="s">
        <v>18</v>
      </c>
      <c r="H24" s="85"/>
      <c r="I24" s="85"/>
      <c r="J24" s="85"/>
      <c r="K24" s="85"/>
      <c r="L24" s="66">
        <v>1.2267670375087056</v>
      </c>
      <c r="M24" s="26"/>
      <c r="N24" s="27"/>
    </row>
    <row r="25" spans="2:14" ht="15.75" customHeight="1" x14ac:dyDescent="0.25">
      <c r="B25" s="20"/>
      <c r="C25" s="7" t="s">
        <v>51</v>
      </c>
      <c r="D25" s="8"/>
      <c r="E25" s="12">
        <v>0.15453700000000001</v>
      </c>
      <c r="F25" s="1"/>
      <c r="G25" s="1"/>
      <c r="H25" s="1"/>
      <c r="I25" s="1"/>
      <c r="J25" s="1"/>
      <c r="K25" s="1"/>
      <c r="L25" s="1"/>
      <c r="M25" s="1"/>
      <c r="N25" s="18"/>
    </row>
    <row r="26" spans="2:14" ht="15" customHeight="1" x14ac:dyDescent="0.25">
      <c r="B26" s="20"/>
      <c r="C26" s="5" t="s">
        <v>9</v>
      </c>
      <c r="D26" s="6"/>
      <c r="E26" s="11">
        <v>2.2367000000000001E-2</v>
      </c>
      <c r="F26" s="1"/>
      <c r="G26" s="84" t="s">
        <v>19</v>
      </c>
      <c r="H26" s="85"/>
      <c r="I26" s="85"/>
      <c r="J26" s="85"/>
      <c r="K26" s="85"/>
      <c r="L26" s="85"/>
      <c r="M26" s="85"/>
      <c r="N26" s="86"/>
    </row>
    <row r="27" spans="2:14" ht="15.75" customHeight="1" x14ac:dyDescent="0.25">
      <c r="B27" s="20"/>
      <c r="C27" s="7" t="s">
        <v>10</v>
      </c>
      <c r="D27" s="8"/>
      <c r="E27" s="12">
        <v>2.2367000000000001E-2</v>
      </c>
      <c r="F27" s="1"/>
      <c r="G27" s="1"/>
      <c r="H27" s="1"/>
      <c r="I27" s="1"/>
      <c r="J27" s="1"/>
      <c r="K27" s="1"/>
      <c r="L27" s="1"/>
      <c r="M27" s="1"/>
      <c r="N27" s="18"/>
    </row>
    <row r="28" spans="2:14" ht="15" customHeight="1" x14ac:dyDescent="0.25">
      <c r="B28" s="20"/>
      <c r="C28" s="5"/>
      <c r="D28" s="6"/>
      <c r="E28" s="11"/>
      <c r="F28" s="1"/>
      <c r="G28" s="1"/>
      <c r="H28" s="1"/>
      <c r="I28" s="1"/>
      <c r="J28" s="1"/>
      <c r="K28" s="1"/>
      <c r="L28" s="1"/>
      <c r="M28" s="1"/>
      <c r="N28" s="18"/>
    </row>
    <row r="29" spans="2:14" ht="15.75" customHeight="1" x14ac:dyDescent="0.25">
      <c r="B29" s="20"/>
      <c r="C29" s="7" t="s">
        <v>11</v>
      </c>
      <c r="D29" s="8"/>
      <c r="E29" s="12">
        <v>1.2409999999999999E-2</v>
      </c>
      <c r="F29" s="1"/>
      <c r="G29" s="1"/>
      <c r="H29" s="1"/>
      <c r="I29" s="1"/>
      <c r="J29" s="1"/>
      <c r="K29" s="1"/>
      <c r="L29" s="1"/>
      <c r="M29" s="1"/>
      <c r="N29" s="18"/>
    </row>
    <row r="30" spans="2:14" ht="15" customHeight="1" x14ac:dyDescent="0.25">
      <c r="B30" s="20"/>
      <c r="C30" s="5"/>
      <c r="D30" s="6"/>
      <c r="E30" s="11"/>
      <c r="F30" s="1"/>
      <c r="G30" s="1"/>
      <c r="H30" s="1"/>
      <c r="I30" s="1"/>
      <c r="J30" s="1"/>
      <c r="K30" s="1"/>
      <c r="L30" s="1"/>
      <c r="M30" s="1"/>
      <c r="N30" s="18"/>
    </row>
    <row r="31" spans="2:14" ht="15" customHeight="1" x14ac:dyDescent="0.25">
      <c r="B31" s="20"/>
      <c r="C31" s="9" t="s">
        <v>12</v>
      </c>
      <c r="D31" s="10"/>
      <c r="E31" s="13">
        <v>1</v>
      </c>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7" t="s">
        <v>296</v>
      </c>
      <c r="C45" s="68"/>
      <c r="D45" s="68"/>
      <c r="E45" s="68"/>
      <c r="F45" s="68"/>
      <c r="G45" s="68"/>
      <c r="H45" s="68"/>
      <c r="I45" s="68"/>
      <c r="J45" s="68"/>
      <c r="K45" s="68"/>
      <c r="L45" s="68"/>
      <c r="M45" s="68"/>
      <c r="N45" s="69"/>
    </row>
    <row r="46" spans="2:14" ht="15" customHeight="1" x14ac:dyDescent="0.25">
      <c r="B46" s="70"/>
      <c r="C46" s="71"/>
      <c r="D46" s="71"/>
      <c r="E46" s="71"/>
      <c r="F46" s="71"/>
      <c r="G46" s="71"/>
      <c r="H46" s="71"/>
      <c r="I46" s="71"/>
      <c r="J46" s="71"/>
      <c r="K46" s="71"/>
      <c r="L46" s="71"/>
      <c r="M46" s="71"/>
      <c r="N46" s="72"/>
    </row>
    <row r="47" spans="2:14" ht="15" customHeight="1" x14ac:dyDescent="0.25">
      <c r="B47" s="70"/>
      <c r="C47" s="71"/>
      <c r="D47" s="71"/>
      <c r="E47" s="71"/>
      <c r="F47" s="71"/>
      <c r="G47" s="71"/>
      <c r="H47" s="71"/>
      <c r="I47" s="71"/>
      <c r="J47" s="71"/>
      <c r="K47" s="71"/>
      <c r="L47" s="71"/>
      <c r="M47" s="71"/>
      <c r="N47" s="72"/>
    </row>
    <row r="48" spans="2:14" ht="15" customHeight="1" thickBot="1" x14ac:dyDescent="0.3">
      <c r="B48" s="73"/>
      <c r="C48" s="74"/>
      <c r="D48" s="74"/>
      <c r="E48" s="74"/>
      <c r="F48" s="74"/>
      <c r="G48" s="74"/>
      <c r="H48" s="74"/>
      <c r="I48" s="74"/>
      <c r="J48" s="74"/>
      <c r="K48" s="74"/>
      <c r="L48" s="74"/>
      <c r="M48" s="74"/>
      <c r="N48" s="75"/>
    </row>
    <row r="49" spans="2:14" ht="15" customHeight="1" thickBot="1" x14ac:dyDescent="0.3"/>
    <row r="50" spans="2:14" ht="142.5" customHeight="1" thickBot="1" x14ac:dyDescent="0.3">
      <c r="B50" s="76" t="s">
        <v>302</v>
      </c>
      <c r="C50" s="77"/>
      <c r="D50" s="77"/>
      <c r="E50" s="77"/>
      <c r="F50" s="77"/>
      <c r="G50" s="77"/>
      <c r="H50" s="77"/>
      <c r="I50" s="77"/>
      <c r="J50" s="77"/>
      <c r="K50" s="77"/>
      <c r="L50" s="77"/>
      <c r="M50" s="77"/>
      <c r="N50" s="78"/>
    </row>
    <row r="51" spans="2:14" ht="15" customHeight="1" x14ac:dyDescent="0.25"/>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13C43-EC22-42FB-9B67-74B827A9FBBF}">
  <dimension ref="B1:N52"/>
  <sheetViews>
    <sheetView showGridLines="0" zoomScale="75" zoomScaleNormal="75" workbookViewId="0"/>
  </sheetViews>
  <sheetFormatPr defaultRowHeight="15" x14ac:dyDescent="0.25"/>
  <cols>
    <col min="1" max="1" width="2.85546875" customWidth="1"/>
    <col min="2" max="2" width="3.85546875" customWidth="1"/>
    <col min="3" max="3" width="54.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96</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97</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17</v>
      </c>
      <c r="H7" s="85"/>
      <c r="I7" s="85"/>
      <c r="J7" s="85"/>
      <c r="K7" s="85"/>
      <c r="L7" s="85"/>
      <c r="M7" s="85"/>
      <c r="N7" s="86"/>
    </row>
    <row r="8" spans="2:14" ht="15" customHeight="1" x14ac:dyDescent="0.25">
      <c r="B8" s="20"/>
      <c r="C8" s="5" t="s">
        <v>98</v>
      </c>
      <c r="D8" s="6" t="s">
        <v>99</v>
      </c>
      <c r="E8" s="11">
        <v>0.100246</v>
      </c>
      <c r="F8" s="1"/>
      <c r="G8" s="24" t="s">
        <v>109</v>
      </c>
      <c r="H8" s="28">
        <v>0.62067700000000003</v>
      </c>
      <c r="I8" s="1"/>
      <c r="J8" s="24" t="s">
        <v>13</v>
      </c>
      <c r="K8" s="24" t="s">
        <v>5</v>
      </c>
      <c r="L8" s="1"/>
      <c r="M8" s="1"/>
      <c r="N8" s="18"/>
    </row>
    <row r="9" spans="2:14" ht="15" customHeight="1" x14ac:dyDescent="0.25">
      <c r="B9" s="20"/>
      <c r="C9" s="5" t="s">
        <v>100</v>
      </c>
      <c r="D9" s="6" t="s">
        <v>99</v>
      </c>
      <c r="E9" s="11">
        <v>9.9449999999999997E-2</v>
      </c>
      <c r="F9" s="1"/>
      <c r="G9" s="24" t="s">
        <v>16</v>
      </c>
      <c r="H9" s="28">
        <v>0.37932300000000002</v>
      </c>
      <c r="I9" s="1"/>
      <c r="J9" s="24" t="s">
        <v>11</v>
      </c>
      <c r="K9" s="28">
        <v>2.7931000000000001E-2</v>
      </c>
      <c r="L9" s="1"/>
      <c r="M9" s="1"/>
      <c r="N9" s="18"/>
    </row>
    <row r="10" spans="2:14" ht="15" customHeight="1" x14ac:dyDescent="0.25">
      <c r="B10" s="20"/>
      <c r="C10" s="5" t="s">
        <v>101</v>
      </c>
      <c r="D10" s="6" t="s">
        <v>99</v>
      </c>
      <c r="E10" s="11">
        <v>7.5907000000000002E-2</v>
      </c>
      <c r="F10" s="1"/>
      <c r="G10" s="1"/>
      <c r="H10" s="1"/>
      <c r="I10" s="1"/>
      <c r="J10" s="24" t="s">
        <v>14</v>
      </c>
      <c r="K10" s="28">
        <v>1.634E-2</v>
      </c>
      <c r="L10" s="1"/>
      <c r="M10" s="1"/>
      <c r="N10" s="18"/>
    </row>
    <row r="11" spans="2:14" ht="15" customHeight="1" x14ac:dyDescent="0.25">
      <c r="B11" s="20"/>
      <c r="C11" s="5" t="s">
        <v>102</v>
      </c>
      <c r="D11" s="6" t="s">
        <v>99</v>
      </c>
      <c r="E11" s="11">
        <v>7.3407E-2</v>
      </c>
      <c r="F11" s="1"/>
      <c r="G11" s="1"/>
      <c r="H11" s="1"/>
      <c r="I11" s="1"/>
      <c r="J11" s="24" t="s">
        <v>54</v>
      </c>
      <c r="K11" s="28">
        <v>0.62067700000000003</v>
      </c>
      <c r="L11" s="1"/>
      <c r="M11" s="1"/>
      <c r="N11" s="18"/>
    </row>
    <row r="12" spans="2:14" ht="15" customHeight="1" x14ac:dyDescent="0.25">
      <c r="B12" s="20"/>
      <c r="C12" s="5" t="s">
        <v>300</v>
      </c>
      <c r="D12" s="6" t="s">
        <v>99</v>
      </c>
      <c r="E12" s="11">
        <v>6.8265999999999993E-2</v>
      </c>
      <c r="F12" s="1"/>
      <c r="G12" s="1"/>
      <c r="H12" s="1"/>
      <c r="I12" s="1"/>
      <c r="J12" s="24" t="s">
        <v>56</v>
      </c>
      <c r="K12" s="28">
        <v>3.5760000000000002E-3</v>
      </c>
      <c r="L12" s="1"/>
      <c r="M12" s="1"/>
      <c r="N12" s="18"/>
    </row>
    <row r="13" spans="2:14" ht="15" customHeight="1" x14ac:dyDescent="0.25">
      <c r="B13" s="20"/>
      <c r="C13" s="5" t="s">
        <v>104</v>
      </c>
      <c r="D13" s="6" t="s">
        <v>99</v>
      </c>
      <c r="E13" s="11">
        <v>5.1776999999999997E-2</v>
      </c>
      <c r="F13" s="1"/>
      <c r="G13" s="1"/>
      <c r="H13" s="1"/>
      <c r="I13" s="1"/>
      <c r="J13" s="24" t="s">
        <v>57</v>
      </c>
      <c r="K13" s="28">
        <v>0.25954100000000002</v>
      </c>
      <c r="L13" s="1"/>
      <c r="M13" s="1"/>
      <c r="N13" s="18"/>
    </row>
    <row r="14" spans="2:14" ht="15" customHeight="1" x14ac:dyDescent="0.25">
      <c r="B14" s="20"/>
      <c r="C14" s="5" t="s">
        <v>301</v>
      </c>
      <c r="D14" s="6" t="s">
        <v>99</v>
      </c>
      <c r="E14" s="11">
        <v>5.0880000000000002E-2</v>
      </c>
      <c r="F14" s="1"/>
      <c r="G14" s="1"/>
      <c r="H14" s="1"/>
      <c r="I14" s="1"/>
      <c r="J14" s="24" t="s">
        <v>73</v>
      </c>
      <c r="K14" s="28">
        <v>7.1934999999999999E-2</v>
      </c>
      <c r="L14" s="1"/>
      <c r="M14" s="1"/>
      <c r="N14" s="18"/>
    </row>
    <row r="15" spans="2:14" ht="15" customHeight="1" x14ac:dyDescent="0.25">
      <c r="B15" s="20"/>
      <c r="C15" s="5" t="s">
        <v>106</v>
      </c>
      <c r="D15" s="6" t="s">
        <v>99</v>
      </c>
      <c r="E15" s="11">
        <v>5.0320999999999998E-2</v>
      </c>
      <c r="F15" s="1"/>
      <c r="G15" s="1"/>
      <c r="H15" s="1"/>
      <c r="I15" s="1"/>
      <c r="J15" s="1"/>
      <c r="K15" s="1"/>
      <c r="L15" s="1"/>
      <c r="M15" s="1"/>
      <c r="N15" s="18"/>
    </row>
    <row r="16" spans="2:14" ht="15" customHeight="1" x14ac:dyDescent="0.25">
      <c r="B16" s="20"/>
      <c r="C16" s="5" t="s">
        <v>107</v>
      </c>
      <c r="D16" s="6" t="s">
        <v>99</v>
      </c>
      <c r="E16" s="11">
        <v>3.7848E-2</v>
      </c>
      <c r="F16" s="1"/>
      <c r="G16" s="1"/>
      <c r="H16" s="1"/>
      <c r="I16" s="1"/>
      <c r="J16" s="1"/>
      <c r="K16" s="1"/>
      <c r="L16" s="1"/>
      <c r="M16" s="1"/>
      <c r="N16" s="18"/>
    </row>
    <row r="17" spans="2:14" ht="15" customHeight="1" x14ac:dyDescent="0.25">
      <c r="B17" s="20"/>
      <c r="C17" s="5" t="s">
        <v>108</v>
      </c>
      <c r="D17" s="6" t="s">
        <v>99</v>
      </c>
      <c r="E17" s="11">
        <v>1.2574999999999999E-2</v>
      </c>
      <c r="F17" s="1"/>
      <c r="G17" s="1"/>
      <c r="H17" s="1"/>
      <c r="I17" s="1"/>
      <c r="J17" s="1"/>
      <c r="K17" s="1"/>
      <c r="L17" s="1"/>
      <c r="M17" s="1"/>
      <c r="N17" s="18"/>
    </row>
    <row r="18" spans="2:14" ht="15.75" customHeight="1" x14ac:dyDescent="0.25">
      <c r="B18" s="20"/>
      <c r="C18" s="7" t="s">
        <v>44</v>
      </c>
      <c r="D18" s="8"/>
      <c r="E18" s="12">
        <v>0.62067700000000003</v>
      </c>
      <c r="F18" s="1"/>
      <c r="G18" s="1"/>
      <c r="H18" s="1"/>
      <c r="I18" s="1"/>
      <c r="J18" s="1"/>
      <c r="K18" s="1"/>
      <c r="L18" s="1"/>
      <c r="M18" s="1"/>
      <c r="N18" s="18"/>
    </row>
    <row r="19" spans="2:14" ht="15" customHeight="1" x14ac:dyDescent="0.25">
      <c r="B19" s="20"/>
      <c r="C19" s="5" t="s">
        <v>45</v>
      </c>
      <c r="D19" s="6"/>
      <c r="E19" s="11">
        <v>3.5760000000000002E-3</v>
      </c>
      <c r="F19" s="1"/>
      <c r="G19" s="1"/>
      <c r="H19" s="1"/>
      <c r="I19" s="1"/>
      <c r="J19" s="1"/>
      <c r="K19" s="1"/>
      <c r="L19" s="1"/>
      <c r="M19" s="1"/>
      <c r="N19" s="18"/>
    </row>
    <row r="20" spans="2:14" ht="15.75" customHeight="1" x14ac:dyDescent="0.25">
      <c r="B20" s="20"/>
      <c r="C20" s="7" t="s">
        <v>46</v>
      </c>
      <c r="D20" s="8"/>
      <c r="E20" s="12">
        <v>3.5760000000000002E-3</v>
      </c>
      <c r="F20" s="1"/>
      <c r="G20" s="1"/>
      <c r="H20" s="1"/>
      <c r="I20" s="1"/>
      <c r="J20" s="1"/>
      <c r="K20" s="1"/>
      <c r="L20" s="1"/>
      <c r="M20" s="1"/>
      <c r="N20" s="18"/>
    </row>
    <row r="21" spans="2:14" ht="15" customHeight="1" x14ac:dyDescent="0.25">
      <c r="B21" s="20"/>
      <c r="C21" s="5" t="s">
        <v>47</v>
      </c>
      <c r="D21" s="6" t="s">
        <v>48</v>
      </c>
      <c r="E21" s="11">
        <v>0.15954699999999999</v>
      </c>
      <c r="F21" s="1"/>
      <c r="G21" s="1"/>
      <c r="H21" s="1"/>
      <c r="I21" s="1"/>
      <c r="J21" s="1"/>
      <c r="K21" s="1"/>
      <c r="L21" s="1"/>
      <c r="M21" s="1"/>
      <c r="N21" s="18"/>
    </row>
    <row r="22" spans="2:14" ht="15" customHeight="1" x14ac:dyDescent="0.25">
      <c r="B22" s="20"/>
      <c r="C22" s="5" t="s">
        <v>61</v>
      </c>
      <c r="D22" s="6" t="s">
        <v>48</v>
      </c>
      <c r="E22" s="11">
        <v>7.5001999999999999E-2</v>
      </c>
      <c r="F22" s="1"/>
      <c r="G22" s="1"/>
      <c r="H22" s="1"/>
      <c r="I22" s="1"/>
      <c r="J22" s="1"/>
      <c r="K22" s="1"/>
      <c r="L22" s="1"/>
      <c r="M22" s="1"/>
      <c r="N22" s="18"/>
    </row>
    <row r="23" spans="2:14" ht="15" customHeight="1" x14ac:dyDescent="0.25">
      <c r="B23" s="20"/>
      <c r="C23" s="5" t="s">
        <v>63</v>
      </c>
      <c r="D23" s="6" t="s">
        <v>48</v>
      </c>
      <c r="E23" s="11">
        <v>2.4992E-2</v>
      </c>
      <c r="F23" s="1"/>
      <c r="G23" s="1"/>
      <c r="H23" s="1"/>
      <c r="I23" s="1"/>
      <c r="J23" s="1"/>
      <c r="K23" s="1"/>
      <c r="L23" s="1"/>
      <c r="M23" s="1"/>
      <c r="N23" s="18"/>
    </row>
    <row r="24" spans="2:14" ht="15.75" customHeight="1" x14ac:dyDescent="0.25">
      <c r="B24" s="20"/>
      <c r="C24" s="7" t="s">
        <v>51</v>
      </c>
      <c r="D24" s="8"/>
      <c r="E24" s="12">
        <v>0.25954100000000002</v>
      </c>
      <c r="F24" s="1"/>
      <c r="G24" s="84" t="s">
        <v>18</v>
      </c>
      <c r="H24" s="85"/>
      <c r="I24" s="85"/>
      <c r="J24" s="85"/>
      <c r="K24" s="85"/>
      <c r="L24" s="66">
        <v>14.615652985545784</v>
      </c>
      <c r="M24" s="26"/>
      <c r="N24" s="27"/>
    </row>
    <row r="25" spans="2:14" ht="15" customHeight="1" x14ac:dyDescent="0.25">
      <c r="B25" s="20"/>
      <c r="C25" s="5" t="s">
        <v>297</v>
      </c>
      <c r="D25" s="6" t="s">
        <v>71</v>
      </c>
      <c r="E25" s="11">
        <v>7.1934999999999999E-2</v>
      </c>
      <c r="F25" s="1"/>
      <c r="G25" s="1"/>
      <c r="H25" s="1"/>
      <c r="I25" s="1"/>
      <c r="J25" s="1"/>
      <c r="K25" s="1"/>
      <c r="L25" s="1"/>
      <c r="M25" s="1"/>
      <c r="N25" s="18"/>
    </row>
    <row r="26" spans="2:14" ht="15.75" customHeight="1" x14ac:dyDescent="0.25">
      <c r="B26" s="20"/>
      <c r="C26" s="7" t="s">
        <v>72</v>
      </c>
      <c r="D26" s="8"/>
      <c r="E26" s="12">
        <v>7.1934999999999999E-2</v>
      </c>
      <c r="F26" s="1"/>
      <c r="G26" s="84" t="s">
        <v>19</v>
      </c>
      <c r="H26" s="85"/>
      <c r="I26" s="85"/>
      <c r="J26" s="85"/>
      <c r="K26" s="85"/>
      <c r="L26" s="85"/>
      <c r="M26" s="85"/>
      <c r="N26" s="86"/>
    </row>
    <row r="27" spans="2:14" ht="15" customHeight="1" x14ac:dyDescent="0.25">
      <c r="B27" s="20"/>
      <c r="C27" s="5" t="s">
        <v>9</v>
      </c>
      <c r="D27" s="6"/>
      <c r="E27" s="11">
        <v>1.634E-2</v>
      </c>
      <c r="F27" s="1"/>
      <c r="G27" s="1"/>
      <c r="H27" s="1"/>
      <c r="I27" s="1"/>
      <c r="J27" s="1"/>
      <c r="K27" s="1"/>
      <c r="L27" s="1"/>
      <c r="M27" s="1"/>
      <c r="N27" s="18"/>
    </row>
    <row r="28" spans="2:14" ht="15.75" customHeight="1" x14ac:dyDescent="0.25">
      <c r="B28" s="20"/>
      <c r="C28" s="7" t="s">
        <v>10</v>
      </c>
      <c r="D28" s="8"/>
      <c r="E28" s="12">
        <v>1.634E-2</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75" customHeight="1" x14ac:dyDescent="0.25">
      <c r="B30" s="20"/>
      <c r="C30" s="7" t="s">
        <v>11</v>
      </c>
      <c r="D30" s="8"/>
      <c r="E30" s="12">
        <v>2.7931000000000001E-2</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 customHeight="1" x14ac:dyDescent="0.25">
      <c r="B32" s="20"/>
      <c r="C32" s="9" t="s">
        <v>12</v>
      </c>
      <c r="D32" s="10"/>
      <c r="E32" s="13">
        <v>1</v>
      </c>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t="s">
        <v>298</v>
      </c>
      <c r="D34" s="1"/>
      <c r="E34" s="1"/>
      <c r="F34" s="1"/>
      <c r="G34" s="1"/>
      <c r="H34" s="1"/>
      <c r="I34" s="1"/>
      <c r="J34" s="1"/>
      <c r="K34" s="1"/>
      <c r="L34" s="1"/>
      <c r="M34" s="1"/>
      <c r="N34" s="18"/>
    </row>
    <row r="35" spans="2:14" ht="15" customHeight="1" x14ac:dyDescent="0.25">
      <c r="B35" s="20"/>
      <c r="C35" s="1" t="s">
        <v>299</v>
      </c>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8.5" customHeight="1" thickBot="1" x14ac:dyDescent="0.3">
      <c r="B45" s="76" t="s">
        <v>302</v>
      </c>
      <c r="C45" s="77"/>
      <c r="D45" s="77"/>
      <c r="E45" s="77"/>
      <c r="F45" s="77"/>
      <c r="G45" s="77"/>
      <c r="H45" s="77"/>
      <c r="I45" s="77"/>
      <c r="J45" s="77"/>
      <c r="K45" s="77"/>
      <c r="L45" s="77"/>
      <c r="M45" s="77"/>
      <c r="N45" s="78"/>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517C1-FDD5-4876-BDCE-059EDB1692D5}">
  <dimension ref="B1:N43"/>
  <sheetViews>
    <sheetView showGridLines="0"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143</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144</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17</v>
      </c>
      <c r="H7" s="85"/>
      <c r="I7" s="85"/>
      <c r="J7" s="85"/>
      <c r="K7" s="85"/>
      <c r="L7" s="85"/>
      <c r="M7" s="85"/>
      <c r="N7" s="86"/>
    </row>
    <row r="8" spans="2:14" ht="15" customHeight="1" x14ac:dyDescent="0.25">
      <c r="B8" s="20"/>
      <c r="C8" s="5" t="s">
        <v>62</v>
      </c>
      <c r="D8" s="6" t="s">
        <v>48</v>
      </c>
      <c r="E8" s="11">
        <v>0.75475999999999999</v>
      </c>
      <c r="F8" s="1"/>
      <c r="G8" s="24" t="s">
        <v>16</v>
      </c>
      <c r="H8" s="25">
        <v>1</v>
      </c>
      <c r="I8" s="1"/>
      <c r="J8" s="24" t="s">
        <v>13</v>
      </c>
      <c r="K8" s="24" t="s">
        <v>5</v>
      </c>
      <c r="L8" s="1"/>
      <c r="M8" s="1"/>
      <c r="N8" s="18"/>
    </row>
    <row r="9" spans="2:14" ht="15" customHeight="1" x14ac:dyDescent="0.25">
      <c r="B9" s="20"/>
      <c r="C9" s="5" t="s">
        <v>61</v>
      </c>
      <c r="D9" s="6" t="s">
        <v>48</v>
      </c>
      <c r="E9" s="11">
        <v>0.13971600000000001</v>
      </c>
      <c r="F9" s="1"/>
      <c r="G9" s="1"/>
      <c r="H9" s="1"/>
      <c r="I9" s="1"/>
      <c r="J9" s="24" t="s">
        <v>11</v>
      </c>
      <c r="K9" s="28">
        <v>1.7513999999999998E-2</v>
      </c>
      <c r="L9" s="1"/>
      <c r="M9" s="1"/>
      <c r="N9" s="18"/>
    </row>
    <row r="10" spans="2:14" ht="15" customHeight="1" x14ac:dyDescent="0.25">
      <c r="B10" s="20"/>
      <c r="C10" s="5" t="s">
        <v>79</v>
      </c>
      <c r="D10" s="6" t="s">
        <v>48</v>
      </c>
      <c r="E10" s="11">
        <v>8.6424000000000001E-2</v>
      </c>
      <c r="F10" s="1"/>
      <c r="G10" s="1"/>
      <c r="H10" s="1"/>
      <c r="I10" s="1"/>
      <c r="J10" s="24" t="s">
        <v>14</v>
      </c>
      <c r="K10" s="28">
        <v>1.542E-3</v>
      </c>
      <c r="L10" s="1"/>
      <c r="M10" s="1"/>
      <c r="N10" s="18"/>
    </row>
    <row r="11" spans="2:14" ht="15" customHeight="1" x14ac:dyDescent="0.25">
      <c r="B11" s="20"/>
      <c r="C11" s="5" t="s">
        <v>125</v>
      </c>
      <c r="D11" s="6" t="s">
        <v>48</v>
      </c>
      <c r="E11" s="29">
        <v>4.3999999999999999E-5</v>
      </c>
      <c r="F11" s="1"/>
      <c r="G11" s="1"/>
      <c r="H11" s="1"/>
      <c r="I11" s="1"/>
      <c r="J11" s="24" t="s">
        <v>57</v>
      </c>
      <c r="K11" s="28">
        <v>0.98094400000000004</v>
      </c>
      <c r="L11" s="1"/>
      <c r="M11" s="1"/>
      <c r="N11" s="18"/>
    </row>
    <row r="12" spans="2:14" ht="15.75" customHeight="1" x14ac:dyDescent="0.25">
      <c r="B12" s="20"/>
      <c r="C12" s="7" t="s">
        <v>51</v>
      </c>
      <c r="D12" s="8"/>
      <c r="E12" s="12">
        <v>0.98094400000000004</v>
      </c>
      <c r="F12" s="1"/>
      <c r="G12" s="1"/>
      <c r="H12" s="1"/>
      <c r="I12" s="1"/>
      <c r="J12" s="1"/>
      <c r="K12" s="1"/>
      <c r="L12" s="1"/>
      <c r="M12" s="1"/>
      <c r="N12" s="18"/>
    </row>
    <row r="13" spans="2:14" ht="15" customHeight="1" x14ac:dyDescent="0.25">
      <c r="B13" s="20"/>
      <c r="C13" s="5" t="s">
        <v>9</v>
      </c>
      <c r="D13" s="6"/>
      <c r="E13" s="11">
        <v>1.542E-3</v>
      </c>
      <c r="F13" s="1"/>
      <c r="G13" s="1"/>
      <c r="H13" s="1"/>
      <c r="I13" s="1"/>
      <c r="J13" s="1"/>
      <c r="K13" s="1"/>
      <c r="L13" s="1"/>
      <c r="M13" s="1"/>
      <c r="N13" s="18"/>
    </row>
    <row r="14" spans="2:14" ht="15.75" customHeight="1" x14ac:dyDescent="0.25">
      <c r="B14" s="20"/>
      <c r="C14" s="7" t="s">
        <v>10</v>
      </c>
      <c r="D14" s="8"/>
      <c r="E14" s="12">
        <v>1.542E-3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1.7513999999999998E-2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4" t="s">
        <v>18</v>
      </c>
      <c r="H24" s="85"/>
      <c r="I24" s="85"/>
      <c r="J24" s="85"/>
      <c r="K24" s="85"/>
      <c r="L24" s="66">
        <v>12.525981115863553</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4" t="s">
        <v>19</v>
      </c>
      <c r="H26" s="85"/>
      <c r="I26" s="85"/>
      <c r="J26" s="85"/>
      <c r="K26" s="85"/>
      <c r="L26" s="85"/>
      <c r="M26" s="85"/>
      <c r="N26" s="8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sheetData>
  <mergeCells count="5">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ACF8F-E8B6-498B-8703-AE05FD870E97}">
  <dimension ref="B1:N45"/>
  <sheetViews>
    <sheetView showGridLines="0"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141</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142</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17</v>
      </c>
      <c r="H7" s="85"/>
      <c r="I7" s="85"/>
      <c r="J7" s="85"/>
      <c r="K7" s="85"/>
      <c r="L7" s="85"/>
      <c r="M7" s="85"/>
      <c r="N7" s="86"/>
    </row>
    <row r="8" spans="2:14" ht="15" customHeight="1" x14ac:dyDescent="0.25">
      <c r="B8" s="20"/>
      <c r="C8" s="5" t="s">
        <v>62</v>
      </c>
      <c r="D8" s="6" t="s">
        <v>48</v>
      </c>
      <c r="E8" s="11">
        <v>0.40803200000000001</v>
      </c>
      <c r="F8" s="1"/>
      <c r="G8" s="24" t="s">
        <v>16</v>
      </c>
      <c r="H8" s="25">
        <v>1</v>
      </c>
      <c r="I8" s="1"/>
      <c r="J8" s="24" t="s">
        <v>13</v>
      </c>
      <c r="K8" s="24" t="s">
        <v>5</v>
      </c>
      <c r="L8" s="1"/>
      <c r="M8" s="1"/>
      <c r="N8" s="18"/>
    </row>
    <row r="9" spans="2:14" ht="15" customHeight="1" x14ac:dyDescent="0.25">
      <c r="B9" s="20"/>
      <c r="C9" s="5" t="s">
        <v>61</v>
      </c>
      <c r="D9" s="6" t="s">
        <v>48</v>
      </c>
      <c r="E9" s="11">
        <v>0.29733199999999999</v>
      </c>
      <c r="F9" s="1"/>
      <c r="G9" s="1"/>
      <c r="H9" s="1"/>
      <c r="I9" s="1"/>
      <c r="J9" s="24" t="s">
        <v>11</v>
      </c>
      <c r="K9" s="28">
        <v>1.3925E-2</v>
      </c>
      <c r="L9" s="1"/>
      <c r="M9" s="1"/>
      <c r="N9" s="18"/>
    </row>
    <row r="10" spans="2:14" ht="15" customHeight="1" x14ac:dyDescent="0.25">
      <c r="B10" s="20"/>
      <c r="C10" s="5" t="s">
        <v>63</v>
      </c>
      <c r="D10" s="6" t="s">
        <v>48</v>
      </c>
      <c r="E10" s="11">
        <v>0.247692</v>
      </c>
      <c r="F10" s="1"/>
      <c r="G10" s="1"/>
      <c r="H10" s="1"/>
      <c r="I10" s="1"/>
      <c r="J10" s="24" t="s">
        <v>14</v>
      </c>
      <c r="K10" s="28">
        <v>1.6646000000000001E-2</v>
      </c>
      <c r="L10" s="1"/>
      <c r="M10" s="1"/>
      <c r="N10" s="18"/>
    </row>
    <row r="11" spans="2:14" ht="15" customHeight="1" x14ac:dyDescent="0.25">
      <c r="B11" s="20"/>
      <c r="C11" s="5" t="s">
        <v>70</v>
      </c>
      <c r="D11" s="6" t="s">
        <v>48</v>
      </c>
      <c r="E11" s="11">
        <v>7.4390000000000003E-3</v>
      </c>
      <c r="F11" s="1"/>
      <c r="G11" s="1"/>
      <c r="H11" s="1"/>
      <c r="I11" s="1"/>
      <c r="J11" s="24" t="s">
        <v>57</v>
      </c>
      <c r="K11" s="28">
        <v>0.96942899999999999</v>
      </c>
      <c r="L11" s="1"/>
      <c r="M11" s="1"/>
      <c r="N11" s="18"/>
    </row>
    <row r="12" spans="2:14" ht="15" customHeight="1" x14ac:dyDescent="0.25">
      <c r="B12" s="20"/>
      <c r="C12" s="5" t="s">
        <v>65</v>
      </c>
      <c r="D12" s="6" t="s">
        <v>48</v>
      </c>
      <c r="E12" s="11">
        <v>4.9940000000000002E-3</v>
      </c>
      <c r="F12" s="1"/>
      <c r="G12" s="1"/>
      <c r="H12" s="1"/>
      <c r="I12" s="1"/>
      <c r="J12" s="1"/>
      <c r="K12" s="1"/>
      <c r="L12" s="1"/>
      <c r="M12" s="1"/>
      <c r="N12" s="18"/>
    </row>
    <row r="13" spans="2:14" ht="15" customHeight="1" x14ac:dyDescent="0.25">
      <c r="B13" s="20"/>
      <c r="C13" s="5" t="s">
        <v>125</v>
      </c>
      <c r="D13" s="6" t="s">
        <v>48</v>
      </c>
      <c r="E13" s="11">
        <v>2.3570000000000002E-3</v>
      </c>
      <c r="F13" s="1"/>
      <c r="G13" s="1"/>
      <c r="H13" s="1"/>
      <c r="I13" s="1"/>
      <c r="J13" s="1"/>
      <c r="K13" s="1"/>
      <c r="L13" s="1"/>
      <c r="M13" s="1"/>
      <c r="N13" s="18"/>
    </row>
    <row r="14" spans="2:14" ht="15" customHeight="1" x14ac:dyDescent="0.25">
      <c r="B14" s="20"/>
      <c r="C14" s="5" t="s">
        <v>112</v>
      </c>
      <c r="D14" s="6" t="s">
        <v>48</v>
      </c>
      <c r="E14" s="11">
        <v>1.583E-3</v>
      </c>
      <c r="F14" s="1"/>
      <c r="G14" s="1"/>
      <c r="H14" s="1"/>
      <c r="I14" s="1"/>
      <c r="J14" s="1"/>
      <c r="K14" s="1"/>
      <c r="L14" s="1"/>
      <c r="M14" s="1"/>
      <c r="N14" s="18"/>
    </row>
    <row r="15" spans="2:14" ht="15.75" customHeight="1" x14ac:dyDescent="0.25">
      <c r="B15" s="20"/>
      <c r="C15" s="7" t="s">
        <v>51</v>
      </c>
      <c r="D15" s="8"/>
      <c r="E15" s="12">
        <v>0.96942899999999999</v>
      </c>
      <c r="F15" s="1"/>
      <c r="G15" s="1"/>
      <c r="H15" s="1"/>
      <c r="I15" s="1"/>
      <c r="J15" s="1"/>
      <c r="K15" s="1"/>
      <c r="L15" s="1"/>
      <c r="M15" s="1"/>
      <c r="N15" s="18"/>
    </row>
    <row r="16" spans="2:14" ht="15" customHeight="1" x14ac:dyDescent="0.25">
      <c r="B16" s="20"/>
      <c r="C16" s="5" t="s">
        <v>9</v>
      </c>
      <c r="D16" s="6"/>
      <c r="E16" s="11">
        <v>1.6646000000000001E-2</v>
      </c>
      <c r="F16" s="1"/>
      <c r="G16" s="1"/>
      <c r="H16" s="1"/>
      <c r="I16" s="1"/>
      <c r="J16" s="1"/>
      <c r="K16" s="1"/>
      <c r="L16" s="1"/>
      <c r="M16" s="1"/>
      <c r="N16" s="18"/>
    </row>
    <row r="17" spans="2:14" ht="15.75" customHeight="1" x14ac:dyDescent="0.25">
      <c r="B17" s="20"/>
      <c r="C17" s="7" t="s">
        <v>10</v>
      </c>
      <c r="D17" s="8"/>
      <c r="E17" s="12">
        <v>1.6646000000000001E-2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75" customHeight="1" x14ac:dyDescent="0.25">
      <c r="B19" s="20"/>
      <c r="C19" s="7" t="s">
        <v>11</v>
      </c>
      <c r="D19" s="8"/>
      <c r="E19" s="12">
        <v>1.3925E-2</v>
      </c>
      <c r="F19" s="1"/>
      <c r="G19" s="1"/>
      <c r="H19" s="1"/>
      <c r="I19" s="1"/>
      <c r="J19" s="1"/>
      <c r="K19" s="1"/>
      <c r="L19" s="1"/>
      <c r="M19" s="1"/>
      <c r="N19" s="18"/>
    </row>
    <row r="20" spans="2:14" ht="15" customHeight="1" x14ac:dyDescent="0.25">
      <c r="B20" s="20"/>
      <c r="C20" s="5"/>
      <c r="D20" s="6"/>
      <c r="E20" s="11"/>
      <c r="F20" s="1"/>
      <c r="G20" s="1"/>
      <c r="H20" s="1"/>
      <c r="I20" s="1"/>
      <c r="J20" s="1"/>
      <c r="K20" s="1"/>
      <c r="L20" s="1"/>
      <c r="M20" s="1"/>
      <c r="N20" s="18"/>
    </row>
    <row r="21" spans="2:14" ht="15" customHeight="1" x14ac:dyDescent="0.25">
      <c r="B21" s="20"/>
      <c r="C21" s="9" t="s">
        <v>12</v>
      </c>
      <c r="D21" s="10"/>
      <c r="E21" s="13">
        <v>1</v>
      </c>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4" t="s">
        <v>18</v>
      </c>
      <c r="H24" s="85"/>
      <c r="I24" s="85"/>
      <c r="J24" s="85"/>
      <c r="K24" s="85"/>
      <c r="L24" s="66">
        <v>10.099439293150635</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4" t="s">
        <v>19</v>
      </c>
      <c r="H26" s="85"/>
      <c r="I26" s="85"/>
      <c r="J26" s="85"/>
      <c r="K26" s="85"/>
      <c r="L26" s="85"/>
      <c r="M26" s="85"/>
      <c r="N26" s="8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1.5" customHeight="1" thickBot="1" x14ac:dyDescent="0.3">
      <c r="B45" s="76" t="s">
        <v>302</v>
      </c>
      <c r="C45" s="77"/>
      <c r="D45" s="77"/>
      <c r="E45" s="77"/>
      <c r="F45" s="77"/>
      <c r="G45" s="77"/>
      <c r="H45" s="77"/>
      <c r="I45" s="77"/>
      <c r="J45" s="77"/>
      <c r="K45" s="77"/>
      <c r="L45" s="77"/>
      <c r="M45" s="77"/>
      <c r="N45" s="78"/>
    </row>
  </sheetData>
  <mergeCells count="6">
    <mergeCell ref="B45:N4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684CC-1EA0-4ED6-A970-2578C311C484}">
  <dimension ref="B1:N45"/>
  <sheetViews>
    <sheetView showGridLines="0"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118</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119</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17</v>
      </c>
      <c r="H7" s="85"/>
      <c r="I7" s="85"/>
      <c r="J7" s="85"/>
      <c r="K7" s="85"/>
      <c r="L7" s="85"/>
      <c r="M7" s="85"/>
      <c r="N7" s="86"/>
    </row>
    <row r="8" spans="2:14" ht="15" customHeight="1" x14ac:dyDescent="0.25">
      <c r="B8" s="20"/>
      <c r="C8" s="5" t="s">
        <v>120</v>
      </c>
      <c r="D8" s="6" t="s">
        <v>48</v>
      </c>
      <c r="E8" s="11">
        <v>0.30774299999999999</v>
      </c>
      <c r="F8" s="1"/>
      <c r="G8" s="24" t="s">
        <v>16</v>
      </c>
      <c r="H8" s="25">
        <v>1</v>
      </c>
      <c r="I8" s="1"/>
      <c r="J8" s="24" t="s">
        <v>13</v>
      </c>
      <c r="K8" s="24" t="s">
        <v>5</v>
      </c>
      <c r="L8" s="1"/>
      <c r="M8" s="1"/>
      <c r="N8" s="18"/>
    </row>
    <row r="9" spans="2:14" ht="15" customHeight="1" x14ac:dyDescent="0.25">
      <c r="B9" s="20"/>
      <c r="C9" s="5" t="s">
        <v>50</v>
      </c>
      <c r="D9" s="6" t="s">
        <v>48</v>
      </c>
      <c r="E9" s="11">
        <v>0.29641000000000001</v>
      </c>
      <c r="F9" s="1"/>
      <c r="G9" s="1"/>
      <c r="H9" s="1"/>
      <c r="I9" s="1"/>
      <c r="J9" s="24" t="s">
        <v>11</v>
      </c>
      <c r="K9" s="28">
        <v>9.0069999999999994E-3</v>
      </c>
      <c r="L9" s="1"/>
      <c r="M9" s="1"/>
      <c r="N9" s="18"/>
    </row>
    <row r="10" spans="2:14" ht="15" customHeight="1" x14ac:dyDescent="0.25">
      <c r="B10" s="20"/>
      <c r="C10" s="5" t="s">
        <v>121</v>
      </c>
      <c r="D10" s="6" t="s">
        <v>48</v>
      </c>
      <c r="E10" s="11">
        <v>0.20776900000000001</v>
      </c>
      <c r="F10" s="1"/>
      <c r="G10" s="1"/>
      <c r="H10" s="1"/>
      <c r="I10" s="1"/>
      <c r="J10" s="24" t="s">
        <v>14</v>
      </c>
      <c r="K10" s="28">
        <v>8.0350000000000005E-3</v>
      </c>
      <c r="L10" s="1"/>
      <c r="M10" s="1"/>
      <c r="N10" s="18"/>
    </row>
    <row r="11" spans="2:14" ht="15" customHeight="1" x14ac:dyDescent="0.25">
      <c r="B11" s="20"/>
      <c r="C11" s="5" t="s">
        <v>122</v>
      </c>
      <c r="D11" s="6" t="s">
        <v>48</v>
      </c>
      <c r="E11" s="11">
        <v>0.109112</v>
      </c>
      <c r="F11" s="1"/>
      <c r="G11" s="1"/>
      <c r="H11" s="1"/>
      <c r="I11" s="1"/>
      <c r="J11" s="24" t="s">
        <v>57</v>
      </c>
      <c r="K11" s="28">
        <v>0.982958</v>
      </c>
      <c r="L11" s="1"/>
      <c r="M11" s="1"/>
      <c r="N11" s="18"/>
    </row>
    <row r="12" spans="2:14" ht="15" customHeight="1" x14ac:dyDescent="0.25">
      <c r="B12" s="20"/>
      <c r="C12" s="5" t="s">
        <v>49</v>
      </c>
      <c r="D12" s="6" t="s">
        <v>48</v>
      </c>
      <c r="E12" s="11">
        <v>6.1924E-2</v>
      </c>
      <c r="F12" s="1"/>
      <c r="G12" s="1"/>
      <c r="H12" s="1"/>
      <c r="I12" s="1"/>
      <c r="J12" s="1"/>
      <c r="K12" s="1"/>
      <c r="L12" s="1"/>
      <c r="M12" s="1"/>
      <c r="N12" s="18"/>
    </row>
    <row r="13" spans="2:14" ht="15.75" customHeight="1" x14ac:dyDescent="0.25">
      <c r="B13" s="20"/>
      <c r="C13" s="7" t="s">
        <v>51</v>
      </c>
      <c r="D13" s="8"/>
      <c r="E13" s="12">
        <v>0.982958</v>
      </c>
      <c r="F13" s="1"/>
      <c r="G13" s="1"/>
      <c r="H13" s="1"/>
      <c r="I13" s="1"/>
      <c r="J13" s="1"/>
      <c r="K13" s="1"/>
      <c r="L13" s="1"/>
      <c r="M13" s="1"/>
      <c r="N13" s="18"/>
    </row>
    <row r="14" spans="2:14" ht="15" customHeight="1" x14ac:dyDescent="0.25">
      <c r="B14" s="20"/>
      <c r="C14" s="5" t="s">
        <v>9</v>
      </c>
      <c r="D14" s="6"/>
      <c r="E14" s="11">
        <v>8.0350000000000005E-3</v>
      </c>
      <c r="F14" s="1"/>
      <c r="G14" s="1"/>
      <c r="H14" s="1"/>
      <c r="I14" s="1"/>
      <c r="J14" s="1"/>
      <c r="K14" s="1"/>
      <c r="L14" s="1"/>
      <c r="M14" s="1"/>
      <c r="N14" s="18"/>
    </row>
    <row r="15" spans="2:14" ht="15.75" customHeight="1" x14ac:dyDescent="0.25">
      <c r="B15" s="20"/>
      <c r="C15" s="7" t="s">
        <v>10</v>
      </c>
      <c r="D15" s="8"/>
      <c r="E15" s="12">
        <v>8.0350000000000005E-3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9.0069999999999994E-3</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4" t="s">
        <v>18</v>
      </c>
      <c r="H24" s="85"/>
      <c r="I24" s="85"/>
      <c r="J24" s="85"/>
      <c r="K24" s="85"/>
      <c r="L24" s="66">
        <v>2.3345349015882033</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4" t="s">
        <v>19</v>
      </c>
      <c r="H26" s="85"/>
      <c r="I26" s="85"/>
      <c r="J26" s="85"/>
      <c r="K26" s="85"/>
      <c r="L26" s="85"/>
      <c r="M26" s="85"/>
      <c r="N26" s="8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8.5" customHeight="1" thickBot="1" x14ac:dyDescent="0.3">
      <c r="B45" s="76" t="s">
        <v>302</v>
      </c>
      <c r="C45" s="77"/>
      <c r="D45" s="77"/>
      <c r="E45" s="77"/>
      <c r="F45" s="77"/>
      <c r="G45" s="77"/>
      <c r="H45" s="77"/>
      <c r="I45" s="77"/>
      <c r="J45" s="77"/>
      <c r="K45" s="77"/>
      <c r="L45" s="77"/>
      <c r="M45" s="77"/>
      <c r="N45" s="78"/>
    </row>
  </sheetData>
  <mergeCells count="6">
    <mergeCell ref="B45:N45"/>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9A080-5AF8-40C3-A5C4-F4ABB6C7FBBF}">
  <dimension ref="B1:N45"/>
  <sheetViews>
    <sheetView showGridLines="0"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131</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132</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17</v>
      </c>
      <c r="H7" s="85"/>
      <c r="I7" s="85"/>
      <c r="J7" s="85"/>
      <c r="K7" s="85"/>
      <c r="L7" s="85"/>
      <c r="M7" s="85"/>
      <c r="N7" s="86"/>
    </row>
    <row r="8" spans="2:14" ht="15" customHeight="1" x14ac:dyDescent="0.25">
      <c r="B8" s="20"/>
      <c r="C8" s="5" t="s">
        <v>47</v>
      </c>
      <c r="D8" s="6" t="s">
        <v>48</v>
      </c>
      <c r="E8" s="11">
        <v>0.68770600000000004</v>
      </c>
      <c r="F8" s="1"/>
      <c r="G8" s="24" t="s">
        <v>16</v>
      </c>
      <c r="H8" s="25">
        <v>1</v>
      </c>
      <c r="I8" s="1"/>
      <c r="J8" s="24" t="s">
        <v>13</v>
      </c>
      <c r="K8" s="24" t="s">
        <v>5</v>
      </c>
      <c r="L8" s="1"/>
      <c r="M8" s="1"/>
      <c r="N8" s="18"/>
    </row>
    <row r="9" spans="2:14" ht="15" customHeight="1" x14ac:dyDescent="0.25">
      <c r="B9" s="20"/>
      <c r="C9" s="5" t="s">
        <v>65</v>
      </c>
      <c r="D9" s="6" t="s">
        <v>48</v>
      </c>
      <c r="E9" s="11">
        <v>0.13993900000000001</v>
      </c>
      <c r="F9" s="1"/>
      <c r="G9" s="1"/>
      <c r="H9" s="1"/>
      <c r="I9" s="1"/>
      <c r="J9" s="24" t="s">
        <v>11</v>
      </c>
      <c r="K9" s="28">
        <v>2.5073999999999999E-2</v>
      </c>
      <c r="L9" s="1"/>
      <c r="M9" s="1"/>
      <c r="N9" s="18"/>
    </row>
    <row r="10" spans="2:14" ht="15" customHeight="1" x14ac:dyDescent="0.25">
      <c r="B10" s="20"/>
      <c r="C10" s="5" t="s">
        <v>70</v>
      </c>
      <c r="D10" s="6" t="s">
        <v>48</v>
      </c>
      <c r="E10" s="11">
        <v>0.13731599999999999</v>
      </c>
      <c r="F10" s="1"/>
      <c r="G10" s="1"/>
      <c r="H10" s="1"/>
      <c r="I10" s="1"/>
      <c r="J10" s="24" t="s">
        <v>14</v>
      </c>
      <c r="K10" s="28">
        <v>4.7530000000000003E-3</v>
      </c>
      <c r="L10" s="1"/>
      <c r="M10" s="1"/>
      <c r="N10" s="18"/>
    </row>
    <row r="11" spans="2:14" ht="15.75" customHeight="1" x14ac:dyDescent="0.25">
      <c r="B11" s="20"/>
      <c r="C11" s="7" t="s">
        <v>51</v>
      </c>
      <c r="D11" s="8"/>
      <c r="E11" s="12">
        <v>0.96496099999999996</v>
      </c>
      <c r="F11" s="1"/>
      <c r="G11" s="1"/>
      <c r="H11" s="1"/>
      <c r="I11" s="1"/>
      <c r="J11" s="24" t="s">
        <v>57</v>
      </c>
      <c r="K11" s="28">
        <v>0.96496099999999996</v>
      </c>
      <c r="L11" s="1"/>
      <c r="M11" s="1"/>
      <c r="N11" s="18"/>
    </row>
    <row r="12" spans="2:14" ht="15" customHeight="1" x14ac:dyDescent="0.25">
      <c r="B12" s="20"/>
      <c r="C12" s="5" t="s">
        <v>127</v>
      </c>
      <c r="D12" s="6" t="s">
        <v>48</v>
      </c>
      <c r="E12" s="11">
        <v>5.2119999999999996E-3</v>
      </c>
      <c r="F12" s="1"/>
      <c r="G12" s="1"/>
      <c r="H12" s="1"/>
      <c r="I12" s="1"/>
      <c r="J12" s="24" t="s">
        <v>94</v>
      </c>
      <c r="K12" s="28">
        <v>5.2119999999999996E-3</v>
      </c>
      <c r="L12" s="1"/>
      <c r="M12" s="1"/>
      <c r="N12" s="18"/>
    </row>
    <row r="13" spans="2:14" ht="15.75" customHeight="1" x14ac:dyDescent="0.25">
      <c r="B13" s="20"/>
      <c r="C13" s="7" t="s">
        <v>92</v>
      </c>
      <c r="D13" s="8"/>
      <c r="E13" s="12">
        <v>5.2119999999999996E-3</v>
      </c>
      <c r="F13" s="1"/>
      <c r="G13" s="1"/>
      <c r="H13" s="1"/>
      <c r="I13" s="1"/>
      <c r="J13" s="1"/>
      <c r="K13" s="1"/>
      <c r="L13" s="1"/>
      <c r="M13" s="1"/>
      <c r="N13" s="18"/>
    </row>
    <row r="14" spans="2:14" ht="15" customHeight="1" x14ac:dyDescent="0.25">
      <c r="B14" s="20"/>
      <c r="C14" s="5" t="s">
        <v>9</v>
      </c>
      <c r="D14" s="6"/>
      <c r="E14" s="11">
        <v>4.7530000000000003E-3</v>
      </c>
      <c r="F14" s="1"/>
      <c r="G14" s="1"/>
      <c r="H14" s="1"/>
      <c r="I14" s="1"/>
      <c r="J14" s="1"/>
      <c r="K14" s="1"/>
      <c r="L14" s="1"/>
      <c r="M14" s="1"/>
      <c r="N14" s="18"/>
    </row>
    <row r="15" spans="2:14" ht="15.75" customHeight="1" x14ac:dyDescent="0.25">
      <c r="B15" s="20"/>
      <c r="C15" s="7" t="s">
        <v>10</v>
      </c>
      <c r="D15" s="8"/>
      <c r="E15" s="12">
        <v>4.7530000000000003E-3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2.5073999999999999E-2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4" t="s">
        <v>18</v>
      </c>
      <c r="H24" s="85"/>
      <c r="I24" s="85"/>
      <c r="J24" s="85"/>
      <c r="K24" s="85"/>
      <c r="L24" s="66">
        <v>3.5407830013408685</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4" t="s">
        <v>19</v>
      </c>
      <c r="H26" s="85"/>
      <c r="I26" s="85"/>
      <c r="J26" s="85"/>
      <c r="K26" s="85"/>
      <c r="L26" s="85"/>
      <c r="M26" s="85"/>
      <c r="N26" s="8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3.5" customHeight="1" thickBot="1" x14ac:dyDescent="0.3">
      <c r="B45" s="76" t="s">
        <v>302</v>
      </c>
      <c r="C45" s="77"/>
      <c r="D45" s="77"/>
      <c r="E45" s="77"/>
      <c r="F45" s="77"/>
      <c r="G45" s="77"/>
      <c r="H45" s="77"/>
      <c r="I45" s="77"/>
      <c r="J45" s="77"/>
      <c r="K45" s="77"/>
      <c r="L45" s="77"/>
      <c r="M45" s="77"/>
      <c r="N45" s="78"/>
    </row>
  </sheetData>
  <mergeCells count="6">
    <mergeCell ref="B45:N4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E3DAE-0502-4863-BC24-DC2828D5C4CF}">
  <dimension ref="B1:N45"/>
  <sheetViews>
    <sheetView showGridLines="0"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123</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124</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17</v>
      </c>
      <c r="H7" s="85"/>
      <c r="I7" s="85"/>
      <c r="J7" s="85"/>
      <c r="K7" s="85"/>
      <c r="L7" s="85"/>
      <c r="M7" s="85"/>
      <c r="N7" s="86"/>
    </row>
    <row r="8" spans="2:14" ht="15" customHeight="1" x14ac:dyDescent="0.25">
      <c r="B8" s="20"/>
      <c r="C8" s="5" t="s">
        <v>125</v>
      </c>
      <c r="D8" s="6" t="s">
        <v>48</v>
      </c>
      <c r="E8" s="11">
        <v>0.52808999999999995</v>
      </c>
      <c r="F8" s="1"/>
      <c r="G8" s="24" t="s">
        <v>16</v>
      </c>
      <c r="H8" s="25">
        <v>1</v>
      </c>
      <c r="I8" s="1"/>
      <c r="J8" s="24" t="s">
        <v>13</v>
      </c>
      <c r="K8" s="24" t="s">
        <v>5</v>
      </c>
      <c r="L8" s="1"/>
      <c r="M8" s="1"/>
      <c r="N8" s="18"/>
    </row>
    <row r="9" spans="2:14" ht="15" customHeight="1" x14ac:dyDescent="0.25">
      <c r="B9" s="20"/>
      <c r="C9" s="5" t="s">
        <v>126</v>
      </c>
      <c r="D9" s="6" t="s">
        <v>48</v>
      </c>
      <c r="E9" s="11">
        <v>0.41776999999999997</v>
      </c>
      <c r="F9" s="1"/>
      <c r="G9" s="1"/>
      <c r="H9" s="1"/>
      <c r="I9" s="1"/>
      <c r="J9" s="24" t="s">
        <v>11</v>
      </c>
      <c r="K9" s="28">
        <v>2.1568E-2</v>
      </c>
      <c r="L9" s="1"/>
      <c r="M9" s="1"/>
      <c r="N9" s="18"/>
    </row>
    <row r="10" spans="2:14" ht="15" customHeight="1" x14ac:dyDescent="0.25">
      <c r="B10" s="20"/>
      <c r="C10" s="5" t="s">
        <v>47</v>
      </c>
      <c r="D10" s="6" t="s">
        <v>48</v>
      </c>
      <c r="E10" s="11">
        <v>2.5207E-2</v>
      </c>
      <c r="F10" s="1"/>
      <c r="G10" s="1"/>
      <c r="H10" s="1"/>
      <c r="I10" s="1"/>
      <c r="J10" s="24" t="s">
        <v>14</v>
      </c>
      <c r="K10" s="28">
        <v>2.7550000000000001E-3</v>
      </c>
      <c r="L10" s="1"/>
      <c r="M10" s="1"/>
      <c r="N10" s="18"/>
    </row>
    <row r="11" spans="2:14" ht="15.75" customHeight="1" x14ac:dyDescent="0.25">
      <c r="B11" s="20"/>
      <c r="C11" s="7" t="s">
        <v>51</v>
      </c>
      <c r="D11" s="8"/>
      <c r="E11" s="12">
        <v>0.97106700000000001</v>
      </c>
      <c r="F11" s="1"/>
      <c r="G11" s="1"/>
      <c r="H11" s="1"/>
      <c r="I11" s="1"/>
      <c r="J11" s="24" t="s">
        <v>57</v>
      </c>
      <c r="K11" s="28">
        <v>0.97106700000000001</v>
      </c>
      <c r="L11" s="1"/>
      <c r="M11" s="1"/>
      <c r="N11" s="18"/>
    </row>
    <row r="12" spans="2:14" ht="15" customHeight="1" x14ac:dyDescent="0.25">
      <c r="B12" s="20"/>
      <c r="C12" s="5" t="s">
        <v>127</v>
      </c>
      <c r="D12" s="6" t="s">
        <v>48</v>
      </c>
      <c r="E12" s="11">
        <v>4.6100000000000004E-3</v>
      </c>
      <c r="F12" s="1"/>
      <c r="G12" s="1"/>
      <c r="H12" s="1"/>
      <c r="I12" s="1"/>
      <c r="J12" s="24" t="s">
        <v>94</v>
      </c>
      <c r="K12" s="28">
        <v>4.6100000000000004E-3</v>
      </c>
      <c r="L12" s="1"/>
      <c r="M12" s="1"/>
      <c r="N12" s="18"/>
    </row>
    <row r="13" spans="2:14" ht="15.75" customHeight="1" x14ac:dyDescent="0.25">
      <c r="B13" s="20"/>
      <c r="C13" s="7" t="s">
        <v>92</v>
      </c>
      <c r="D13" s="8"/>
      <c r="E13" s="12">
        <v>4.6100000000000004E-3</v>
      </c>
      <c r="F13" s="1"/>
      <c r="G13" s="1"/>
      <c r="H13" s="1"/>
      <c r="I13" s="1"/>
      <c r="J13" s="1"/>
      <c r="K13" s="1"/>
      <c r="L13" s="1"/>
      <c r="M13" s="1"/>
      <c r="N13" s="18"/>
    </row>
    <row r="14" spans="2:14" ht="15" customHeight="1" x14ac:dyDescent="0.25">
      <c r="B14" s="20"/>
      <c r="C14" s="5" t="s">
        <v>9</v>
      </c>
      <c r="D14" s="6"/>
      <c r="E14" s="11">
        <v>2.7550000000000001E-3</v>
      </c>
      <c r="F14" s="1"/>
      <c r="G14" s="1"/>
      <c r="H14" s="1"/>
      <c r="I14" s="1"/>
      <c r="J14" s="1"/>
      <c r="K14" s="1"/>
      <c r="L14" s="1"/>
      <c r="M14" s="1"/>
      <c r="N14" s="18"/>
    </row>
    <row r="15" spans="2:14" ht="15.75" customHeight="1" x14ac:dyDescent="0.25">
      <c r="B15" s="20"/>
      <c r="C15" s="7" t="s">
        <v>10</v>
      </c>
      <c r="D15" s="8"/>
      <c r="E15" s="12">
        <v>2.7550000000000001E-3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2.1568E-2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4" t="s">
        <v>18</v>
      </c>
      <c r="H24" s="85"/>
      <c r="I24" s="85"/>
      <c r="J24" s="85"/>
      <c r="K24" s="85"/>
      <c r="L24" s="66">
        <v>3.9990721571493362</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4" t="s">
        <v>19</v>
      </c>
      <c r="H26" s="85"/>
      <c r="I26" s="85"/>
      <c r="J26" s="85"/>
      <c r="K26" s="85"/>
      <c r="L26" s="85"/>
      <c r="M26" s="85"/>
      <c r="N26" s="8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9.25" customHeight="1" thickBot="1" x14ac:dyDescent="0.3">
      <c r="B45" s="76" t="s">
        <v>302</v>
      </c>
      <c r="C45" s="77"/>
      <c r="D45" s="77"/>
      <c r="E45" s="77"/>
      <c r="F45" s="77"/>
      <c r="G45" s="77"/>
      <c r="H45" s="77"/>
      <c r="I45" s="77"/>
      <c r="J45" s="77"/>
      <c r="K45" s="77"/>
      <c r="L45" s="77"/>
      <c r="M45" s="77"/>
      <c r="N45" s="78"/>
    </row>
  </sheetData>
  <mergeCells count="6">
    <mergeCell ref="B45:N45"/>
    <mergeCell ref="C3:N3"/>
    <mergeCell ref="D5:E5"/>
    <mergeCell ref="G7:N7"/>
    <mergeCell ref="G24:K24"/>
    <mergeCell ref="G26:N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04CAE-194C-4D15-AB56-C7F1E3C87D75}">
  <dimension ref="B1:N45"/>
  <sheetViews>
    <sheetView showGridLines="0"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128</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129</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17</v>
      </c>
      <c r="H7" s="85"/>
      <c r="I7" s="85"/>
      <c r="J7" s="85"/>
      <c r="K7" s="85"/>
      <c r="L7" s="85"/>
      <c r="M7" s="85"/>
      <c r="N7" s="86"/>
    </row>
    <row r="8" spans="2:14" ht="15" customHeight="1" x14ac:dyDescent="0.25">
      <c r="B8" s="20"/>
      <c r="C8" s="5" t="s">
        <v>112</v>
      </c>
      <c r="D8" s="6" t="s">
        <v>48</v>
      </c>
      <c r="E8" s="11">
        <v>0.72194800000000003</v>
      </c>
      <c r="F8" s="1"/>
      <c r="G8" s="24" t="s">
        <v>16</v>
      </c>
      <c r="H8" s="25">
        <v>1</v>
      </c>
      <c r="I8" s="1"/>
      <c r="J8" s="24" t="s">
        <v>13</v>
      </c>
      <c r="K8" s="24" t="s">
        <v>5</v>
      </c>
      <c r="L8" s="1"/>
      <c r="M8" s="1"/>
      <c r="N8" s="18"/>
    </row>
    <row r="9" spans="2:14" ht="15" customHeight="1" x14ac:dyDescent="0.25">
      <c r="B9" s="20"/>
      <c r="C9" s="5" t="s">
        <v>64</v>
      </c>
      <c r="D9" s="6" t="s">
        <v>48</v>
      </c>
      <c r="E9" s="11">
        <v>0.24582100000000001</v>
      </c>
      <c r="F9" s="1"/>
      <c r="G9" s="1"/>
      <c r="H9" s="1"/>
      <c r="I9" s="1"/>
      <c r="J9" s="24" t="s">
        <v>11</v>
      </c>
      <c r="K9" s="28">
        <v>1.8807999999999998E-2</v>
      </c>
      <c r="L9" s="1"/>
      <c r="M9" s="1"/>
      <c r="N9" s="18"/>
    </row>
    <row r="10" spans="2:14" ht="15.75" customHeight="1" x14ac:dyDescent="0.25">
      <c r="B10" s="20"/>
      <c r="C10" s="7" t="s">
        <v>51</v>
      </c>
      <c r="D10" s="8"/>
      <c r="E10" s="12">
        <v>0.96776899999999999</v>
      </c>
      <c r="F10" s="1"/>
      <c r="G10" s="1"/>
      <c r="H10" s="1"/>
      <c r="I10" s="1"/>
      <c r="J10" s="24" t="s">
        <v>14</v>
      </c>
      <c r="K10" s="28">
        <v>1.3422999999999999E-2</v>
      </c>
      <c r="L10" s="1"/>
      <c r="M10" s="1"/>
      <c r="N10" s="18"/>
    </row>
    <row r="11" spans="2:14" ht="15" customHeight="1" x14ac:dyDescent="0.25">
      <c r="B11" s="20"/>
      <c r="C11" s="5" t="s">
        <v>9</v>
      </c>
      <c r="D11" s="6"/>
      <c r="E11" s="11">
        <v>1.3422999999999999E-2</v>
      </c>
      <c r="F11" s="1"/>
      <c r="G11" s="1"/>
      <c r="H11" s="1"/>
      <c r="I11" s="1"/>
      <c r="J11" s="24" t="s">
        <v>57</v>
      </c>
      <c r="K11" s="28">
        <v>0.96776899999999999</v>
      </c>
      <c r="L11" s="1"/>
      <c r="M11" s="1"/>
      <c r="N11" s="18"/>
    </row>
    <row r="12" spans="2:14" ht="15.75" customHeight="1" x14ac:dyDescent="0.25">
      <c r="B12" s="20"/>
      <c r="C12" s="7" t="s">
        <v>10</v>
      </c>
      <c r="D12" s="8"/>
      <c r="E12" s="12">
        <v>1.3422999999999999E-2</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11</v>
      </c>
      <c r="D14" s="8"/>
      <c r="E14" s="12">
        <v>1.8807999999999998E-2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12</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4" t="s">
        <v>130</v>
      </c>
      <c r="H24" s="85"/>
      <c r="I24" s="85"/>
      <c r="J24" s="85"/>
      <c r="K24" s="85"/>
      <c r="L24" s="66">
        <v>7.9832103513806123</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4" t="s">
        <v>19</v>
      </c>
      <c r="H26" s="85"/>
      <c r="I26" s="85"/>
      <c r="J26" s="85"/>
      <c r="K26" s="85"/>
      <c r="L26" s="85"/>
      <c r="M26" s="85"/>
      <c r="N26" s="8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0.75" customHeight="1" thickBot="1" x14ac:dyDescent="0.3">
      <c r="B45" s="76" t="s">
        <v>302</v>
      </c>
      <c r="C45" s="77"/>
      <c r="D45" s="77"/>
      <c r="E45" s="77"/>
      <c r="F45" s="77"/>
      <c r="G45" s="77"/>
      <c r="H45" s="77"/>
      <c r="I45" s="77"/>
      <c r="J45" s="77"/>
      <c r="K45" s="77"/>
      <c r="L45" s="77"/>
      <c r="M45" s="77"/>
      <c r="N45" s="78"/>
    </row>
  </sheetData>
  <mergeCells count="6">
    <mergeCell ref="B45:N45"/>
    <mergeCell ref="C3:N3"/>
    <mergeCell ref="D5:E5"/>
    <mergeCell ref="G7:N7"/>
    <mergeCell ref="G24:K24"/>
    <mergeCell ref="G26:N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615AF-2FAD-4050-8FA9-ED4A353560CA}">
  <dimension ref="B1:N45"/>
  <sheetViews>
    <sheetView showGridLines="0"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113</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114</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17</v>
      </c>
      <c r="H7" s="85"/>
      <c r="I7" s="85"/>
      <c r="J7" s="85"/>
      <c r="K7" s="85"/>
      <c r="L7" s="85"/>
      <c r="M7" s="85"/>
      <c r="N7" s="86"/>
    </row>
    <row r="8" spans="2:14" ht="15" customHeight="1" x14ac:dyDescent="0.25">
      <c r="B8" s="20"/>
      <c r="C8" s="5" t="s">
        <v>115</v>
      </c>
      <c r="D8" s="6" t="s">
        <v>48</v>
      </c>
      <c r="E8" s="11">
        <v>0.13328799999999999</v>
      </c>
      <c r="F8" s="1"/>
      <c r="G8" s="24" t="s">
        <v>16</v>
      </c>
      <c r="H8" s="25">
        <v>1</v>
      </c>
      <c r="I8" s="1"/>
      <c r="J8" s="24" t="s">
        <v>13</v>
      </c>
      <c r="K8" s="24" t="s">
        <v>5</v>
      </c>
      <c r="L8" s="1"/>
      <c r="M8" s="1"/>
      <c r="N8" s="18"/>
    </row>
    <row r="9" spans="2:14" ht="15.75" customHeight="1" x14ac:dyDescent="0.25">
      <c r="B9" s="20"/>
      <c r="C9" s="7" t="s">
        <v>51</v>
      </c>
      <c r="D9" s="8"/>
      <c r="E9" s="12">
        <v>0.13328799999999999</v>
      </c>
      <c r="F9" s="1"/>
      <c r="G9" s="1"/>
      <c r="H9" s="1"/>
      <c r="I9" s="1"/>
      <c r="J9" s="24" t="s">
        <v>11</v>
      </c>
      <c r="K9" s="28">
        <v>1.9744999999999999E-2</v>
      </c>
      <c r="L9" s="1"/>
      <c r="M9" s="1"/>
      <c r="N9" s="18"/>
    </row>
    <row r="10" spans="2:14" ht="15" customHeight="1" x14ac:dyDescent="0.25">
      <c r="B10" s="20"/>
      <c r="C10" s="5" t="s">
        <v>254</v>
      </c>
      <c r="D10" s="6" t="s">
        <v>48</v>
      </c>
      <c r="E10" s="11">
        <v>0.162157</v>
      </c>
      <c r="F10" s="1"/>
      <c r="G10" s="1"/>
      <c r="H10" s="1"/>
      <c r="I10" s="1"/>
      <c r="J10" s="24" t="s">
        <v>14</v>
      </c>
      <c r="K10" s="28">
        <v>1.8657E-2</v>
      </c>
      <c r="L10" s="1"/>
      <c r="M10" s="1"/>
      <c r="N10" s="18"/>
    </row>
    <row r="11" spans="2:14" ht="15.75" customHeight="1" x14ac:dyDescent="0.25">
      <c r="B11" s="20"/>
      <c r="C11" s="5" t="s">
        <v>249</v>
      </c>
      <c r="D11" s="6" t="s">
        <v>48</v>
      </c>
      <c r="E11" s="11">
        <v>0.13450999999999999</v>
      </c>
      <c r="F11" s="1"/>
      <c r="G11" s="1"/>
      <c r="H11" s="1"/>
      <c r="I11" s="1"/>
      <c r="J11" s="24" t="s">
        <v>57</v>
      </c>
      <c r="K11" s="28">
        <v>0.13328799999999999</v>
      </c>
      <c r="L11" s="1"/>
      <c r="M11" s="1"/>
      <c r="N11" s="18"/>
    </row>
    <row r="12" spans="2:14" ht="15" customHeight="1" x14ac:dyDescent="0.25">
      <c r="B12" s="20"/>
      <c r="C12" s="5" t="s">
        <v>251</v>
      </c>
      <c r="D12" s="6" t="s">
        <v>48</v>
      </c>
      <c r="E12" s="11">
        <v>9.2229000000000005E-2</v>
      </c>
      <c r="F12" s="1"/>
      <c r="G12" s="1"/>
      <c r="H12" s="1"/>
      <c r="I12" s="1"/>
      <c r="J12" s="24" t="s">
        <v>58</v>
      </c>
      <c r="K12" s="28">
        <v>0.82830999999999999</v>
      </c>
      <c r="L12" s="1"/>
      <c r="M12" s="1"/>
      <c r="N12" s="18"/>
    </row>
    <row r="13" spans="2:14" ht="15.75" customHeight="1" x14ac:dyDescent="0.25">
      <c r="B13" s="20"/>
      <c r="C13" s="5" t="s">
        <v>257</v>
      </c>
      <c r="D13" s="6" t="s">
        <v>48</v>
      </c>
      <c r="E13" s="11">
        <v>5.6623E-2</v>
      </c>
      <c r="F13" s="1"/>
      <c r="G13" s="1"/>
      <c r="H13" s="1"/>
      <c r="I13" s="1"/>
      <c r="J13" s="1"/>
      <c r="K13" s="1"/>
      <c r="L13" s="1"/>
      <c r="M13" s="1"/>
      <c r="N13" s="18"/>
    </row>
    <row r="14" spans="2:14" ht="15" customHeight="1" x14ac:dyDescent="0.25">
      <c r="B14" s="20"/>
      <c r="C14" s="5" t="s">
        <v>247</v>
      </c>
      <c r="D14" s="6" t="s">
        <v>48</v>
      </c>
      <c r="E14" s="11">
        <v>4.5926000000000002E-2</v>
      </c>
      <c r="F14" s="1"/>
      <c r="G14" s="1"/>
      <c r="H14" s="1"/>
      <c r="I14" s="1"/>
      <c r="J14" s="1"/>
      <c r="K14" s="1"/>
      <c r="L14" s="1"/>
      <c r="M14" s="1"/>
      <c r="N14" s="18"/>
    </row>
    <row r="15" spans="2:14" ht="15.75" customHeight="1" x14ac:dyDescent="0.25">
      <c r="B15" s="20"/>
      <c r="C15" s="5" t="s">
        <v>252</v>
      </c>
      <c r="D15" s="6" t="s">
        <v>48</v>
      </c>
      <c r="E15" s="11">
        <v>4.5846999999999999E-2</v>
      </c>
      <c r="F15" s="1"/>
      <c r="G15" s="1"/>
      <c r="H15" s="1"/>
      <c r="I15" s="1"/>
      <c r="J15" s="1"/>
      <c r="K15" s="1"/>
      <c r="L15" s="1"/>
      <c r="M15" s="1"/>
      <c r="N15" s="18"/>
    </row>
    <row r="16" spans="2:14" ht="15" customHeight="1" x14ac:dyDescent="0.25">
      <c r="B16" s="20"/>
      <c r="C16" s="5" t="s">
        <v>246</v>
      </c>
      <c r="D16" s="6" t="s">
        <v>48</v>
      </c>
      <c r="E16" s="11">
        <v>4.5745000000000001E-2</v>
      </c>
      <c r="F16" s="1"/>
      <c r="G16" s="1"/>
      <c r="H16" s="1"/>
      <c r="I16" s="1"/>
      <c r="J16" s="1"/>
      <c r="K16" s="1"/>
      <c r="L16" s="1"/>
      <c r="M16" s="1"/>
      <c r="N16" s="18"/>
    </row>
    <row r="17" spans="2:14" ht="15" customHeight="1" x14ac:dyDescent="0.25">
      <c r="B17" s="20"/>
      <c r="C17" s="5" t="s">
        <v>253</v>
      </c>
      <c r="D17" s="6" t="s">
        <v>48</v>
      </c>
      <c r="E17" s="11">
        <v>3.7615999999999997E-2</v>
      </c>
      <c r="F17" s="1"/>
      <c r="G17" s="1"/>
      <c r="H17" s="1"/>
      <c r="I17" s="1"/>
      <c r="J17" s="1"/>
      <c r="K17" s="1"/>
      <c r="L17" s="1"/>
      <c r="M17" s="1"/>
      <c r="N17" s="18"/>
    </row>
    <row r="18" spans="2:14" ht="15" customHeight="1" x14ac:dyDescent="0.25">
      <c r="B18" s="20"/>
      <c r="C18" s="5" t="s">
        <v>258</v>
      </c>
      <c r="D18" s="6" t="s">
        <v>48</v>
      </c>
      <c r="E18" s="11">
        <v>3.7339999999999998E-2</v>
      </c>
      <c r="F18" s="1"/>
      <c r="G18" s="1"/>
      <c r="H18" s="1"/>
      <c r="I18" s="1"/>
      <c r="J18" s="1"/>
      <c r="K18" s="1"/>
      <c r="L18" s="1"/>
      <c r="M18" s="1"/>
      <c r="N18" s="18"/>
    </row>
    <row r="19" spans="2:14" ht="15" customHeight="1" x14ac:dyDescent="0.25">
      <c r="B19" s="20"/>
      <c r="C19" s="5" t="s">
        <v>255</v>
      </c>
      <c r="D19" s="6" t="s">
        <v>48</v>
      </c>
      <c r="E19" s="11">
        <v>3.7079000000000001E-2</v>
      </c>
      <c r="F19" s="1"/>
      <c r="G19" s="1"/>
      <c r="H19" s="1"/>
      <c r="I19" s="1"/>
      <c r="J19" s="1"/>
      <c r="K19" s="1"/>
      <c r="L19" s="1"/>
      <c r="M19" s="1"/>
      <c r="N19" s="18"/>
    </row>
    <row r="20" spans="2:14" ht="15" customHeight="1" x14ac:dyDescent="0.25">
      <c r="B20" s="20"/>
      <c r="C20" s="5" t="s">
        <v>202</v>
      </c>
      <c r="D20" s="6" t="s">
        <v>48</v>
      </c>
      <c r="E20" s="11">
        <v>3.2286000000000002E-2</v>
      </c>
      <c r="F20" s="1"/>
      <c r="G20" s="1"/>
      <c r="H20" s="1"/>
      <c r="I20" s="1"/>
      <c r="J20" s="1"/>
      <c r="K20" s="1"/>
      <c r="L20" s="1"/>
      <c r="M20" s="1"/>
      <c r="N20" s="18"/>
    </row>
    <row r="21" spans="2:14" ht="15" customHeight="1" x14ac:dyDescent="0.25">
      <c r="B21" s="20"/>
      <c r="C21" s="5" t="s">
        <v>256</v>
      </c>
      <c r="D21" s="6" t="s">
        <v>48</v>
      </c>
      <c r="E21" s="11">
        <v>3.1497999999999998E-2</v>
      </c>
      <c r="F21" s="1"/>
      <c r="G21" s="1"/>
      <c r="H21" s="1"/>
      <c r="I21" s="1"/>
      <c r="J21" s="1"/>
      <c r="K21" s="1"/>
      <c r="L21" s="1"/>
      <c r="M21" s="1"/>
      <c r="N21" s="18"/>
    </row>
    <row r="22" spans="2:14" ht="15" customHeight="1" x14ac:dyDescent="0.25">
      <c r="B22" s="20"/>
      <c r="C22" s="5" t="s">
        <v>245</v>
      </c>
      <c r="D22" s="6" t="s">
        <v>48</v>
      </c>
      <c r="E22" s="11">
        <v>2.2890000000000001E-2</v>
      </c>
      <c r="F22" s="1"/>
      <c r="G22" s="1"/>
      <c r="H22" s="1"/>
      <c r="I22" s="1"/>
      <c r="J22" s="1"/>
      <c r="K22" s="1"/>
      <c r="L22" s="1"/>
      <c r="M22" s="1"/>
      <c r="N22" s="18"/>
    </row>
    <row r="23" spans="2:14" ht="15" customHeight="1" x14ac:dyDescent="0.25">
      <c r="B23" s="20"/>
      <c r="C23" s="5" t="s">
        <v>260</v>
      </c>
      <c r="D23" s="6" t="s">
        <v>48</v>
      </c>
      <c r="E23" s="11">
        <v>1.8343999999999999E-2</v>
      </c>
      <c r="F23" s="1"/>
      <c r="G23" s="1"/>
      <c r="H23" s="1"/>
      <c r="I23" s="1"/>
      <c r="J23" s="1"/>
      <c r="K23" s="1"/>
      <c r="L23" s="1"/>
      <c r="M23" s="1"/>
      <c r="N23" s="18"/>
    </row>
    <row r="24" spans="2:14" ht="15" customHeight="1" x14ac:dyDescent="0.25">
      <c r="B24" s="20"/>
      <c r="C24" s="5" t="s">
        <v>259</v>
      </c>
      <c r="D24" s="6" t="s">
        <v>48</v>
      </c>
      <c r="E24" s="11">
        <v>9.1760000000000001E-3</v>
      </c>
      <c r="F24" s="1"/>
      <c r="G24" s="84" t="s">
        <v>18</v>
      </c>
      <c r="H24" s="85"/>
      <c r="I24" s="85"/>
      <c r="J24" s="85"/>
      <c r="K24" s="85"/>
      <c r="L24" s="66">
        <v>2.8743287520339957</v>
      </c>
      <c r="M24" s="26"/>
      <c r="N24" s="27"/>
    </row>
    <row r="25" spans="2:14" ht="15" customHeight="1" x14ac:dyDescent="0.25">
      <c r="B25" s="20"/>
      <c r="C25" s="5" t="s">
        <v>261</v>
      </c>
      <c r="D25" s="6" t="s">
        <v>48</v>
      </c>
      <c r="E25" s="11">
        <v>9.1640000000000003E-3</v>
      </c>
      <c r="F25" s="1"/>
      <c r="G25" s="1"/>
      <c r="H25" s="1"/>
      <c r="I25" s="1"/>
      <c r="J25" s="1"/>
      <c r="K25" s="1"/>
      <c r="L25" s="1"/>
      <c r="M25" s="1"/>
      <c r="N25" s="18"/>
    </row>
    <row r="26" spans="2:14" ht="15" customHeight="1" x14ac:dyDescent="0.25">
      <c r="B26" s="20"/>
      <c r="C26" s="5" t="s">
        <v>250</v>
      </c>
      <c r="D26" s="6" t="s">
        <v>48</v>
      </c>
      <c r="E26" s="11">
        <v>5.3379999999999999E-3</v>
      </c>
      <c r="F26" s="1"/>
      <c r="G26" s="84" t="s">
        <v>19</v>
      </c>
      <c r="H26" s="85"/>
      <c r="I26" s="85"/>
      <c r="J26" s="85"/>
      <c r="K26" s="85"/>
      <c r="L26" s="85"/>
      <c r="M26" s="85"/>
      <c r="N26" s="86"/>
    </row>
    <row r="27" spans="2:14" ht="15" customHeight="1" x14ac:dyDescent="0.25">
      <c r="B27" s="20"/>
      <c r="C27" s="5" t="s">
        <v>248</v>
      </c>
      <c r="D27" s="6" t="s">
        <v>48</v>
      </c>
      <c r="E27" s="11">
        <v>4.542E-3</v>
      </c>
      <c r="F27" s="1"/>
      <c r="G27" s="1"/>
      <c r="H27" s="1"/>
      <c r="I27" s="1"/>
      <c r="J27" s="1"/>
      <c r="K27" s="1"/>
      <c r="L27" s="1"/>
      <c r="M27" s="1"/>
      <c r="N27" s="18"/>
    </row>
    <row r="28" spans="2:14" ht="15" customHeight="1" x14ac:dyDescent="0.25">
      <c r="B28" s="20"/>
      <c r="C28" s="7" t="s">
        <v>52</v>
      </c>
      <c r="D28" s="8"/>
      <c r="E28" s="12">
        <v>0.82830999999999999</v>
      </c>
      <c r="F28" s="1"/>
      <c r="G28" s="1"/>
      <c r="H28" s="1"/>
      <c r="I28" s="1"/>
      <c r="J28" s="1"/>
      <c r="K28" s="1"/>
      <c r="L28" s="1"/>
      <c r="M28" s="1"/>
      <c r="N28" s="18"/>
    </row>
    <row r="29" spans="2:14" ht="15" customHeight="1" x14ac:dyDescent="0.25">
      <c r="B29" s="20"/>
      <c r="C29" s="5" t="s">
        <v>9</v>
      </c>
      <c r="D29" s="6"/>
      <c r="E29" s="11">
        <v>1.8657E-2</v>
      </c>
      <c r="F29" s="1"/>
      <c r="G29" s="1"/>
      <c r="H29" s="1"/>
      <c r="I29" s="1"/>
      <c r="J29" s="1"/>
      <c r="K29" s="1"/>
      <c r="L29" s="1"/>
      <c r="M29" s="1"/>
      <c r="N29" s="18"/>
    </row>
    <row r="30" spans="2:14" ht="15" customHeight="1" x14ac:dyDescent="0.25">
      <c r="B30" s="20"/>
      <c r="C30" s="7" t="s">
        <v>10</v>
      </c>
      <c r="D30" s="8"/>
      <c r="E30" s="12">
        <v>1.8657E-2</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 customHeight="1" x14ac:dyDescent="0.25">
      <c r="B32" s="20"/>
      <c r="C32" s="7" t="s">
        <v>11</v>
      </c>
      <c r="D32" s="8"/>
      <c r="E32" s="12">
        <v>1.9744999999999999E-2</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 customHeight="1" x14ac:dyDescent="0.25">
      <c r="B34" s="20"/>
      <c r="C34" s="9" t="s">
        <v>12</v>
      </c>
      <c r="D34" s="10"/>
      <c r="E34" s="13">
        <v>1</v>
      </c>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0.5" customHeight="1" thickBot="1" x14ac:dyDescent="0.3">
      <c r="B45" s="76" t="s">
        <v>302</v>
      </c>
      <c r="C45" s="77"/>
      <c r="D45" s="77"/>
      <c r="E45" s="77"/>
      <c r="F45" s="77"/>
      <c r="G45" s="77"/>
      <c r="H45" s="77"/>
      <c r="I45" s="77"/>
      <c r="J45" s="77"/>
      <c r="K45" s="77"/>
      <c r="L45" s="77"/>
      <c r="M45" s="77"/>
      <c r="N45" s="78"/>
    </row>
  </sheetData>
  <sortState ref="C10:E27">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11E5F-6D15-4DFB-8E7E-76D9CEDAF645}">
  <dimension ref="B1:N45"/>
  <sheetViews>
    <sheetView showGridLines="0"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116</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117</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17</v>
      </c>
      <c r="H7" s="85"/>
      <c r="I7" s="85"/>
      <c r="J7" s="85"/>
      <c r="K7" s="85"/>
      <c r="L7" s="85"/>
      <c r="M7" s="85"/>
      <c r="N7" s="86"/>
    </row>
    <row r="8" spans="2:14" ht="15" customHeight="1" x14ac:dyDescent="0.25">
      <c r="B8" s="20"/>
      <c r="C8" s="5" t="s">
        <v>47</v>
      </c>
      <c r="D8" s="6" t="s">
        <v>48</v>
      </c>
      <c r="E8" s="11">
        <v>0.18416099999999999</v>
      </c>
      <c r="F8" s="1"/>
      <c r="G8" s="24" t="s">
        <v>16</v>
      </c>
      <c r="H8" s="25">
        <v>1</v>
      </c>
      <c r="I8" s="1"/>
      <c r="J8" s="24" t="s">
        <v>13</v>
      </c>
      <c r="K8" s="24" t="s">
        <v>5</v>
      </c>
      <c r="L8" s="1"/>
      <c r="M8" s="1"/>
      <c r="N8" s="18"/>
    </row>
    <row r="9" spans="2:14" ht="15.75" customHeight="1" x14ac:dyDescent="0.25">
      <c r="B9" s="20"/>
      <c r="C9" s="7" t="s">
        <v>51</v>
      </c>
      <c r="D9" s="8"/>
      <c r="E9" s="12">
        <v>0.18416099999999999</v>
      </c>
      <c r="F9" s="1"/>
      <c r="G9" s="1"/>
      <c r="H9" s="1"/>
      <c r="I9" s="1"/>
      <c r="J9" s="24" t="s">
        <v>11</v>
      </c>
      <c r="K9" s="28">
        <v>1.6638E-2</v>
      </c>
      <c r="L9" s="1"/>
      <c r="M9" s="1"/>
      <c r="N9" s="18"/>
    </row>
    <row r="10" spans="2:14" ht="15" customHeight="1" x14ac:dyDescent="0.25">
      <c r="B10" s="20"/>
      <c r="C10" s="5" t="s">
        <v>264</v>
      </c>
      <c r="D10" s="6" t="s">
        <v>48</v>
      </c>
      <c r="E10" s="11">
        <v>0.17714299999999999</v>
      </c>
      <c r="F10" s="1"/>
      <c r="G10" s="1"/>
      <c r="H10" s="1"/>
      <c r="I10" s="1"/>
      <c r="J10" s="24" t="s">
        <v>14</v>
      </c>
      <c r="K10" s="28">
        <v>2.3755999999999999E-2</v>
      </c>
      <c r="L10" s="1"/>
      <c r="M10" s="1"/>
      <c r="N10" s="18"/>
    </row>
    <row r="11" spans="2:14" ht="15.75" customHeight="1" x14ac:dyDescent="0.25">
      <c r="B11" s="20"/>
      <c r="C11" s="5" t="s">
        <v>262</v>
      </c>
      <c r="D11" s="6" t="s">
        <v>48</v>
      </c>
      <c r="E11" s="11">
        <v>0.13383900000000001</v>
      </c>
      <c r="F11" s="1"/>
      <c r="G11" s="1"/>
      <c r="H11" s="1"/>
      <c r="I11" s="1"/>
      <c r="J11" s="24" t="s">
        <v>57</v>
      </c>
      <c r="K11" s="28">
        <v>0.18416099999999999</v>
      </c>
      <c r="L11" s="1"/>
      <c r="M11" s="1"/>
      <c r="N11" s="18"/>
    </row>
    <row r="12" spans="2:14" ht="15" customHeight="1" x14ac:dyDescent="0.25">
      <c r="B12" s="20"/>
      <c r="C12" s="5" t="s">
        <v>223</v>
      </c>
      <c r="D12" s="6" t="s">
        <v>48</v>
      </c>
      <c r="E12" s="11">
        <v>0.124374</v>
      </c>
      <c r="F12" s="1"/>
      <c r="G12" s="1"/>
      <c r="H12" s="1"/>
      <c r="I12" s="1"/>
      <c r="J12" s="24" t="s">
        <v>58</v>
      </c>
      <c r="K12" s="28">
        <v>0.77544500000000005</v>
      </c>
      <c r="L12" s="1"/>
      <c r="M12" s="1"/>
      <c r="N12" s="18"/>
    </row>
    <row r="13" spans="2:14" ht="15.75" customHeight="1" x14ac:dyDescent="0.25">
      <c r="B13" s="20"/>
      <c r="C13" s="5" t="s">
        <v>270</v>
      </c>
      <c r="D13" s="6" t="s">
        <v>48</v>
      </c>
      <c r="E13" s="11">
        <v>0.12195</v>
      </c>
      <c r="F13" s="1"/>
      <c r="G13" s="1"/>
      <c r="H13" s="1"/>
      <c r="I13" s="1"/>
      <c r="J13" s="1"/>
      <c r="K13" s="1"/>
      <c r="L13" s="1"/>
      <c r="M13" s="1"/>
      <c r="N13" s="18"/>
    </row>
    <row r="14" spans="2:14" ht="15" customHeight="1" x14ac:dyDescent="0.25">
      <c r="B14" s="20"/>
      <c r="C14" s="5" t="s">
        <v>267</v>
      </c>
      <c r="D14" s="6" t="s">
        <v>48</v>
      </c>
      <c r="E14" s="11">
        <v>6.0951999999999999E-2</v>
      </c>
      <c r="F14" s="1"/>
      <c r="G14" s="1"/>
      <c r="H14" s="1"/>
      <c r="I14" s="1"/>
      <c r="J14" s="1"/>
      <c r="K14" s="1"/>
      <c r="L14" s="1"/>
      <c r="M14" s="1"/>
      <c r="N14" s="18"/>
    </row>
    <row r="15" spans="2:14" ht="15.75" customHeight="1" x14ac:dyDescent="0.25">
      <c r="B15" s="20"/>
      <c r="C15" s="5" t="s">
        <v>265</v>
      </c>
      <c r="D15" s="6" t="s">
        <v>48</v>
      </c>
      <c r="E15" s="11">
        <v>5.8848999999999999E-2</v>
      </c>
      <c r="F15" s="1"/>
      <c r="G15" s="1"/>
      <c r="H15" s="1"/>
      <c r="I15" s="1"/>
      <c r="J15" s="1"/>
      <c r="K15" s="1"/>
      <c r="L15" s="1"/>
      <c r="M15" s="1"/>
      <c r="N15" s="18"/>
    </row>
    <row r="16" spans="2:14" ht="15" customHeight="1" x14ac:dyDescent="0.25">
      <c r="B16" s="20"/>
      <c r="C16" s="5" t="s">
        <v>266</v>
      </c>
      <c r="D16" s="6" t="s">
        <v>48</v>
      </c>
      <c r="E16" s="11">
        <v>3.6590999999999999E-2</v>
      </c>
      <c r="F16" s="1"/>
      <c r="G16" s="1"/>
      <c r="H16" s="1"/>
      <c r="I16" s="1"/>
      <c r="J16" s="1"/>
      <c r="K16" s="1"/>
      <c r="L16" s="1"/>
      <c r="M16" s="1"/>
      <c r="N16" s="18"/>
    </row>
    <row r="17" spans="2:14" ht="15" customHeight="1" x14ac:dyDescent="0.25">
      <c r="B17" s="20"/>
      <c r="C17" s="5" t="s">
        <v>269</v>
      </c>
      <c r="D17" s="6" t="s">
        <v>48</v>
      </c>
      <c r="E17" s="11">
        <v>3.0426000000000002E-2</v>
      </c>
      <c r="F17" s="1"/>
      <c r="G17" s="1"/>
      <c r="H17" s="1"/>
      <c r="I17" s="1"/>
      <c r="J17" s="1"/>
      <c r="K17" s="1"/>
      <c r="L17" s="1"/>
      <c r="M17" s="1"/>
      <c r="N17" s="18"/>
    </row>
    <row r="18" spans="2:14" ht="15" customHeight="1" x14ac:dyDescent="0.25">
      <c r="B18" s="20"/>
      <c r="C18" s="5" t="s">
        <v>268</v>
      </c>
      <c r="D18" s="6" t="s">
        <v>48</v>
      </c>
      <c r="E18" s="11">
        <v>2.7614E-2</v>
      </c>
      <c r="F18" s="1"/>
      <c r="G18" s="1"/>
      <c r="H18" s="1"/>
      <c r="I18" s="1"/>
      <c r="J18" s="1"/>
      <c r="K18" s="1"/>
      <c r="L18" s="1"/>
      <c r="M18" s="1"/>
      <c r="N18" s="18"/>
    </row>
    <row r="19" spans="2:14" ht="15" customHeight="1" x14ac:dyDescent="0.25">
      <c r="B19" s="20"/>
      <c r="C19" s="5" t="s">
        <v>263</v>
      </c>
      <c r="D19" s="6" t="s">
        <v>48</v>
      </c>
      <c r="E19" s="11">
        <v>3.7069999999999998E-3</v>
      </c>
      <c r="F19" s="1"/>
      <c r="G19" s="1"/>
      <c r="H19" s="1"/>
      <c r="I19" s="1"/>
      <c r="J19" s="1"/>
      <c r="K19" s="1"/>
      <c r="L19" s="1"/>
      <c r="M19" s="1"/>
      <c r="N19" s="18"/>
    </row>
    <row r="20" spans="2:14" ht="15" customHeight="1" x14ac:dyDescent="0.25">
      <c r="B20" s="20"/>
      <c r="C20" s="7" t="s">
        <v>52</v>
      </c>
      <c r="D20" s="8"/>
      <c r="E20" s="12">
        <v>0.77544500000000005</v>
      </c>
      <c r="F20" s="1"/>
      <c r="G20" s="1"/>
      <c r="H20" s="1"/>
      <c r="I20" s="1"/>
      <c r="J20" s="1"/>
      <c r="K20" s="1"/>
      <c r="L20" s="1"/>
      <c r="M20" s="1"/>
      <c r="N20" s="18"/>
    </row>
    <row r="21" spans="2:14" ht="15" customHeight="1" x14ac:dyDescent="0.25">
      <c r="B21" s="20"/>
      <c r="C21" s="5" t="s">
        <v>9</v>
      </c>
      <c r="D21" s="6"/>
      <c r="E21" s="11">
        <v>2.3755999999999999E-2</v>
      </c>
      <c r="F21" s="1"/>
      <c r="G21" s="1"/>
      <c r="H21" s="1"/>
      <c r="I21" s="1"/>
      <c r="J21" s="1"/>
      <c r="K21" s="1"/>
      <c r="L21" s="1"/>
      <c r="M21" s="1"/>
      <c r="N21" s="18"/>
    </row>
    <row r="22" spans="2:14" ht="15" customHeight="1" x14ac:dyDescent="0.25">
      <c r="B22" s="20"/>
      <c r="C22" s="7" t="s">
        <v>10</v>
      </c>
      <c r="D22" s="8"/>
      <c r="E22" s="12">
        <v>2.3755999999999999E-2</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 customHeight="1" x14ac:dyDescent="0.25">
      <c r="B24" s="20"/>
      <c r="C24" s="7" t="s">
        <v>11</v>
      </c>
      <c r="D24" s="8"/>
      <c r="E24" s="12">
        <v>1.6638E-2</v>
      </c>
      <c r="F24" s="1"/>
      <c r="G24" s="84" t="s">
        <v>18</v>
      </c>
      <c r="H24" s="85"/>
      <c r="I24" s="85"/>
      <c r="J24" s="85"/>
      <c r="K24" s="85"/>
      <c r="L24" s="66">
        <v>3.6706767615654687</v>
      </c>
      <c r="M24" s="26"/>
      <c r="N24" s="27"/>
    </row>
    <row r="25" spans="2:14" ht="15" customHeight="1" x14ac:dyDescent="0.25">
      <c r="B25" s="20"/>
      <c r="C25" s="5"/>
      <c r="D25" s="6"/>
      <c r="E25" s="11"/>
      <c r="F25" s="1"/>
      <c r="G25" s="1"/>
      <c r="H25" s="1"/>
      <c r="I25" s="1"/>
      <c r="J25" s="1"/>
      <c r="K25" s="1"/>
      <c r="L25" s="1"/>
      <c r="M25" s="1"/>
      <c r="N25" s="18"/>
    </row>
    <row r="26" spans="2:14" ht="15" customHeight="1" x14ac:dyDescent="0.25">
      <c r="B26" s="20"/>
      <c r="C26" s="9" t="s">
        <v>12</v>
      </c>
      <c r="D26" s="10"/>
      <c r="E26" s="13">
        <v>1</v>
      </c>
      <c r="F26" s="1"/>
      <c r="G26" s="84" t="s">
        <v>19</v>
      </c>
      <c r="H26" s="85"/>
      <c r="I26" s="85"/>
      <c r="J26" s="85"/>
      <c r="K26" s="85"/>
      <c r="L26" s="85"/>
      <c r="M26" s="85"/>
      <c r="N26" s="8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F29" s="1"/>
      <c r="G29" s="1"/>
      <c r="H29" s="1"/>
      <c r="I29" s="1"/>
      <c r="J29" s="1"/>
      <c r="K29" s="1"/>
      <c r="L29" s="1"/>
      <c r="M29" s="1"/>
      <c r="N29" s="18"/>
    </row>
    <row r="30" spans="2:14" ht="15" customHeight="1" x14ac:dyDescent="0.25">
      <c r="B30" s="20"/>
      <c r="F30" s="1"/>
      <c r="G30" s="1"/>
      <c r="H30" s="1"/>
      <c r="I30" s="1"/>
      <c r="J30" s="1"/>
      <c r="K30" s="1"/>
      <c r="L30" s="1"/>
      <c r="M30" s="1"/>
      <c r="N30" s="18"/>
    </row>
    <row r="31" spans="2:14" ht="15" customHeight="1" x14ac:dyDescent="0.25">
      <c r="B31" s="20"/>
      <c r="F31" s="1"/>
      <c r="G31" s="1"/>
      <c r="H31" s="1"/>
      <c r="I31" s="1"/>
      <c r="J31" s="1"/>
      <c r="K31" s="1"/>
      <c r="L31" s="1"/>
      <c r="M31" s="1"/>
      <c r="N31" s="18"/>
    </row>
    <row r="32" spans="2:14" ht="15" customHeight="1" x14ac:dyDescent="0.25">
      <c r="B32" s="20"/>
      <c r="F32" s="1"/>
      <c r="G32" s="1"/>
      <c r="H32" s="1"/>
      <c r="I32" s="1"/>
      <c r="J32" s="1"/>
      <c r="K32" s="1"/>
      <c r="L32" s="1"/>
      <c r="M32" s="1"/>
      <c r="N32" s="18"/>
    </row>
    <row r="33" spans="2:14" ht="15" customHeight="1" x14ac:dyDescent="0.25">
      <c r="B33" s="20"/>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75" customHeight="1" thickBot="1" x14ac:dyDescent="0.3">
      <c r="B45" s="76" t="s">
        <v>302</v>
      </c>
      <c r="C45" s="77"/>
      <c r="D45" s="77"/>
      <c r="E45" s="77"/>
      <c r="F45" s="77"/>
      <c r="G45" s="77"/>
      <c r="H45" s="77"/>
      <c r="I45" s="77"/>
      <c r="J45" s="77"/>
      <c r="K45" s="77"/>
      <c r="L45" s="77"/>
      <c r="M45" s="77"/>
      <c r="N45" s="78"/>
    </row>
  </sheetData>
  <sortState ref="C10:E19">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F78C0-B6B8-4297-B1A5-359BFAA47A8B}">
  <dimension ref="B1:N45"/>
  <sheetViews>
    <sheetView showGridLines="0" zoomScale="75" zoomScaleNormal="75" workbookViewId="0"/>
  </sheetViews>
  <sheetFormatPr defaultRowHeight="15" x14ac:dyDescent="0.25"/>
  <cols>
    <col min="1" max="1" width="2.85546875" customWidth="1"/>
    <col min="2" max="2" width="3.85546875" customWidth="1"/>
    <col min="3" max="3" width="52.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110</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111</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17</v>
      </c>
      <c r="H7" s="85"/>
      <c r="I7" s="85"/>
      <c r="J7" s="85"/>
      <c r="K7" s="85"/>
      <c r="L7" s="85"/>
      <c r="M7" s="85"/>
      <c r="N7" s="86"/>
    </row>
    <row r="8" spans="2:14" ht="15" customHeight="1" x14ac:dyDescent="0.25">
      <c r="B8" s="20"/>
      <c r="C8" s="5" t="s">
        <v>112</v>
      </c>
      <c r="D8" s="6" t="s">
        <v>48</v>
      </c>
      <c r="E8" s="11">
        <v>6.3015000000000002E-2</v>
      </c>
      <c r="F8" s="1"/>
      <c r="G8" s="24" t="s">
        <v>16</v>
      </c>
      <c r="H8" s="25">
        <v>1</v>
      </c>
      <c r="I8" s="1"/>
      <c r="J8" s="24" t="s">
        <v>13</v>
      </c>
      <c r="K8" s="24" t="s">
        <v>5</v>
      </c>
      <c r="L8" s="1"/>
      <c r="M8" s="1"/>
      <c r="N8" s="18"/>
    </row>
    <row r="9" spans="2:14" ht="15" customHeight="1" x14ac:dyDescent="0.25">
      <c r="B9" s="20"/>
      <c r="C9" s="5" t="s">
        <v>64</v>
      </c>
      <c r="D9" s="6" t="s">
        <v>48</v>
      </c>
      <c r="E9" s="11">
        <v>1.4326E-2</v>
      </c>
      <c r="F9" s="1"/>
      <c r="G9" s="1"/>
      <c r="H9" s="1"/>
      <c r="I9" s="1"/>
      <c r="J9" s="24" t="s">
        <v>11</v>
      </c>
      <c r="K9" s="28">
        <v>1.1939E-2</v>
      </c>
      <c r="L9" s="1"/>
      <c r="M9" s="1"/>
      <c r="N9" s="18"/>
    </row>
    <row r="10" spans="2:14" ht="15.75" customHeight="1" x14ac:dyDescent="0.25">
      <c r="B10" s="20"/>
      <c r="C10" s="7" t="s">
        <v>51</v>
      </c>
      <c r="D10" s="8"/>
      <c r="E10" s="12">
        <v>7.7340999999999993E-2</v>
      </c>
      <c r="F10" s="1"/>
      <c r="G10" s="1"/>
      <c r="H10" s="1"/>
      <c r="I10" s="1"/>
      <c r="J10" s="24" t="s">
        <v>14</v>
      </c>
      <c r="K10" s="28">
        <v>1.5505E-2</v>
      </c>
      <c r="L10" s="1"/>
      <c r="M10" s="1"/>
      <c r="N10" s="18"/>
    </row>
    <row r="11" spans="2:14" ht="15" customHeight="1" x14ac:dyDescent="0.25">
      <c r="B11" s="20"/>
      <c r="C11" s="5" t="s">
        <v>293</v>
      </c>
      <c r="D11" s="6" t="s">
        <v>48</v>
      </c>
      <c r="E11" s="11">
        <v>0.15511800000000001</v>
      </c>
      <c r="F11" s="1"/>
      <c r="G11" s="1"/>
      <c r="H11" s="1"/>
      <c r="I11" s="1"/>
      <c r="J11" s="24" t="s">
        <v>57</v>
      </c>
      <c r="K11" s="28">
        <v>7.7340999999999993E-2</v>
      </c>
      <c r="L11" s="1"/>
      <c r="M11" s="1"/>
      <c r="N11" s="18"/>
    </row>
    <row r="12" spans="2:14" ht="15.75" customHeight="1" x14ac:dyDescent="0.25">
      <c r="B12" s="20"/>
      <c r="C12" s="5" t="s">
        <v>292</v>
      </c>
      <c r="D12" s="6" t="s">
        <v>48</v>
      </c>
      <c r="E12" s="11">
        <v>0.15495300000000001</v>
      </c>
      <c r="F12" s="1"/>
      <c r="G12" s="1"/>
      <c r="H12" s="1"/>
      <c r="I12" s="1"/>
      <c r="J12" s="24" t="s">
        <v>58</v>
      </c>
      <c r="K12" s="28">
        <v>0.89521499999999998</v>
      </c>
      <c r="L12" s="1"/>
      <c r="M12" s="1"/>
      <c r="N12" s="18"/>
    </row>
    <row r="13" spans="2:14" ht="15" customHeight="1" x14ac:dyDescent="0.25">
      <c r="B13" s="20"/>
      <c r="C13" s="5" t="s">
        <v>290</v>
      </c>
      <c r="D13" s="6" t="s">
        <v>48</v>
      </c>
      <c r="E13" s="11">
        <v>0.13031899999999999</v>
      </c>
      <c r="F13" s="1"/>
      <c r="G13" s="1"/>
      <c r="H13" s="1"/>
      <c r="I13" s="1"/>
      <c r="J13" s="1"/>
      <c r="K13" s="1"/>
      <c r="L13" s="1"/>
      <c r="M13" s="1"/>
      <c r="N13" s="18"/>
    </row>
    <row r="14" spans="2:14" ht="15.75" customHeight="1" x14ac:dyDescent="0.25">
      <c r="B14" s="20"/>
      <c r="C14" s="5" t="s">
        <v>291</v>
      </c>
      <c r="D14" s="6" t="s">
        <v>48</v>
      </c>
      <c r="E14" s="11">
        <v>8.6933999999999997E-2</v>
      </c>
      <c r="F14" s="1"/>
      <c r="G14" s="1"/>
      <c r="H14" s="1"/>
      <c r="I14" s="1"/>
      <c r="J14" s="1"/>
      <c r="K14" s="1"/>
      <c r="L14" s="1"/>
      <c r="M14" s="1"/>
      <c r="N14" s="18"/>
    </row>
    <row r="15" spans="2:14" ht="15" customHeight="1" x14ac:dyDescent="0.25">
      <c r="B15" s="20"/>
      <c r="C15" s="5" t="s">
        <v>281</v>
      </c>
      <c r="D15" s="6" t="s">
        <v>48</v>
      </c>
      <c r="E15" s="11">
        <v>4.5393999999999997E-2</v>
      </c>
      <c r="F15" s="1"/>
      <c r="G15" s="1"/>
      <c r="H15" s="1"/>
      <c r="I15" s="1"/>
      <c r="J15" s="1"/>
      <c r="K15" s="1"/>
      <c r="L15" s="1"/>
      <c r="M15" s="1"/>
      <c r="N15" s="18"/>
    </row>
    <row r="16" spans="2:14" ht="15.75" customHeight="1" x14ac:dyDescent="0.25">
      <c r="B16" s="20"/>
      <c r="C16" s="5" t="s">
        <v>288</v>
      </c>
      <c r="D16" s="6" t="s">
        <v>48</v>
      </c>
      <c r="E16" s="11">
        <v>4.0106000000000003E-2</v>
      </c>
      <c r="F16" s="1"/>
      <c r="G16" s="1"/>
      <c r="H16" s="1"/>
      <c r="I16" s="1"/>
      <c r="J16" s="1"/>
      <c r="K16" s="1"/>
      <c r="L16" s="1"/>
      <c r="M16" s="1"/>
      <c r="N16" s="18"/>
    </row>
    <row r="17" spans="2:14" ht="15" customHeight="1" x14ac:dyDescent="0.25">
      <c r="B17" s="20"/>
      <c r="C17" s="5" t="s">
        <v>283</v>
      </c>
      <c r="D17" s="6" t="s">
        <v>48</v>
      </c>
      <c r="E17" s="11">
        <v>3.5045E-2</v>
      </c>
      <c r="F17" s="1"/>
      <c r="G17" s="1"/>
      <c r="H17" s="1"/>
      <c r="I17" s="1"/>
      <c r="J17" s="1"/>
      <c r="K17" s="1"/>
      <c r="L17" s="1"/>
      <c r="M17" s="1"/>
      <c r="N17" s="18"/>
    </row>
    <row r="18" spans="2:14" ht="15" customHeight="1" x14ac:dyDescent="0.25">
      <c r="B18" s="20"/>
      <c r="C18" s="5" t="s">
        <v>284</v>
      </c>
      <c r="D18" s="6" t="s">
        <v>48</v>
      </c>
      <c r="E18" s="11">
        <v>3.0939000000000001E-2</v>
      </c>
      <c r="F18" s="1"/>
      <c r="G18" s="1"/>
      <c r="H18" s="1"/>
      <c r="I18" s="1"/>
      <c r="J18" s="1"/>
      <c r="K18" s="1"/>
      <c r="L18" s="1"/>
      <c r="M18" s="1"/>
      <c r="N18" s="18"/>
    </row>
    <row r="19" spans="2:14" ht="15" customHeight="1" x14ac:dyDescent="0.25">
      <c r="B19" s="20"/>
      <c r="C19" s="5" t="s">
        <v>277</v>
      </c>
      <c r="D19" s="6" t="s">
        <v>48</v>
      </c>
      <c r="E19" s="11">
        <v>2.9829000000000001E-2</v>
      </c>
      <c r="F19" s="1"/>
      <c r="G19" s="1"/>
      <c r="H19" s="1"/>
      <c r="I19" s="1"/>
      <c r="J19" s="1"/>
      <c r="K19" s="1"/>
      <c r="L19" s="1"/>
      <c r="M19" s="1"/>
      <c r="N19" s="18"/>
    </row>
    <row r="20" spans="2:14" ht="15" customHeight="1" x14ac:dyDescent="0.25">
      <c r="B20" s="20"/>
      <c r="C20" s="5" t="s">
        <v>274</v>
      </c>
      <c r="D20" s="6" t="s">
        <v>48</v>
      </c>
      <c r="E20" s="11">
        <v>2.7952000000000001E-2</v>
      </c>
      <c r="F20" s="1"/>
      <c r="G20" s="1"/>
      <c r="H20" s="1"/>
      <c r="I20" s="1"/>
      <c r="J20" s="1"/>
      <c r="K20" s="1"/>
      <c r="L20" s="1"/>
      <c r="M20" s="1"/>
      <c r="N20" s="18"/>
    </row>
    <row r="21" spans="2:14" ht="15" customHeight="1" x14ac:dyDescent="0.25">
      <c r="B21" s="20"/>
      <c r="C21" s="5" t="s">
        <v>276</v>
      </c>
      <c r="D21" s="6" t="s">
        <v>48</v>
      </c>
      <c r="E21" s="11">
        <v>2.0993999999999999E-2</v>
      </c>
      <c r="F21" s="1"/>
      <c r="G21" s="1"/>
      <c r="H21" s="1"/>
      <c r="I21" s="1"/>
      <c r="J21" s="1"/>
      <c r="K21" s="1"/>
      <c r="L21" s="1"/>
      <c r="M21" s="1"/>
      <c r="N21" s="18"/>
    </row>
    <row r="22" spans="2:14" ht="15" customHeight="1" x14ac:dyDescent="0.25">
      <c r="B22" s="20"/>
      <c r="C22" s="5" t="s">
        <v>279</v>
      </c>
      <c r="D22" s="6" t="s">
        <v>48</v>
      </c>
      <c r="E22" s="11">
        <v>1.6572E-2</v>
      </c>
      <c r="F22" s="1"/>
      <c r="G22" s="1"/>
      <c r="H22" s="1"/>
      <c r="I22" s="1"/>
      <c r="J22" s="1"/>
      <c r="K22" s="1"/>
      <c r="L22" s="1"/>
      <c r="M22" s="1"/>
      <c r="N22" s="18"/>
    </row>
    <row r="23" spans="2:14" ht="15" customHeight="1" x14ac:dyDescent="0.25">
      <c r="B23" s="20"/>
      <c r="C23" s="5" t="s">
        <v>271</v>
      </c>
      <c r="D23" s="6" t="s">
        <v>48</v>
      </c>
      <c r="E23" s="11">
        <v>1.5685999999999999E-2</v>
      </c>
      <c r="F23" s="1"/>
      <c r="G23" s="1"/>
      <c r="H23" s="1"/>
      <c r="I23" s="1"/>
      <c r="J23" s="1"/>
      <c r="K23" s="1"/>
      <c r="L23" s="1"/>
      <c r="M23" s="1"/>
      <c r="N23" s="18"/>
    </row>
    <row r="24" spans="2:14" ht="15" customHeight="1" x14ac:dyDescent="0.25">
      <c r="B24" s="20"/>
      <c r="C24" s="5" t="s">
        <v>282</v>
      </c>
      <c r="D24" s="6" t="s">
        <v>48</v>
      </c>
      <c r="E24" s="11">
        <v>1.5564E-2</v>
      </c>
      <c r="F24" s="1"/>
      <c r="G24" s="84" t="s">
        <v>18</v>
      </c>
      <c r="H24" s="85"/>
      <c r="I24" s="85"/>
      <c r="J24" s="85"/>
      <c r="K24" s="85"/>
      <c r="L24" s="66">
        <v>8.1688451718637918</v>
      </c>
      <c r="M24" s="26"/>
      <c r="N24" s="27"/>
    </row>
    <row r="25" spans="2:14" ht="15" customHeight="1" x14ac:dyDescent="0.25">
      <c r="B25" s="20"/>
      <c r="C25" s="5" t="s">
        <v>289</v>
      </c>
      <c r="D25" s="6" t="s">
        <v>48</v>
      </c>
      <c r="E25" s="11">
        <v>1.5504E-2</v>
      </c>
      <c r="F25" s="1"/>
      <c r="G25" s="1"/>
      <c r="H25" s="1"/>
      <c r="I25" s="1"/>
      <c r="J25" s="1"/>
      <c r="K25" s="1"/>
      <c r="L25" s="1"/>
      <c r="M25" s="1"/>
      <c r="N25" s="18"/>
    </row>
    <row r="26" spans="2:14" ht="15" customHeight="1" x14ac:dyDescent="0.25">
      <c r="B26" s="20"/>
      <c r="C26" s="5" t="s">
        <v>280</v>
      </c>
      <c r="D26" s="6" t="s">
        <v>48</v>
      </c>
      <c r="E26" s="11">
        <v>1.5117999999999999E-2</v>
      </c>
      <c r="F26" s="1"/>
      <c r="G26" s="84" t="s">
        <v>19</v>
      </c>
      <c r="H26" s="85"/>
      <c r="I26" s="85"/>
      <c r="J26" s="85"/>
      <c r="K26" s="85"/>
      <c r="L26" s="85"/>
      <c r="M26" s="85"/>
      <c r="N26" s="86"/>
    </row>
    <row r="27" spans="2:14" ht="15" customHeight="1" x14ac:dyDescent="0.25">
      <c r="B27" s="20"/>
      <c r="C27" s="5" t="s">
        <v>275</v>
      </c>
      <c r="D27" s="6" t="s">
        <v>48</v>
      </c>
      <c r="E27" s="11">
        <v>1.4959999999999999E-2</v>
      </c>
      <c r="F27" s="1"/>
      <c r="G27" s="1"/>
      <c r="H27" s="1"/>
      <c r="I27" s="1"/>
      <c r="J27" s="1"/>
      <c r="K27" s="1"/>
      <c r="L27" s="1"/>
      <c r="M27" s="1"/>
      <c r="N27" s="18"/>
    </row>
    <row r="28" spans="2:14" ht="15" customHeight="1" x14ac:dyDescent="0.25">
      <c r="B28" s="20"/>
      <c r="C28" s="5" t="s">
        <v>273</v>
      </c>
      <c r="D28" s="6" t="s">
        <v>48</v>
      </c>
      <c r="E28" s="11">
        <v>1.4723E-2</v>
      </c>
      <c r="F28" s="1"/>
      <c r="G28" s="1"/>
      <c r="H28" s="1"/>
      <c r="I28" s="1"/>
      <c r="J28" s="1"/>
      <c r="K28" s="1"/>
      <c r="L28" s="1"/>
      <c r="M28" s="1"/>
      <c r="N28" s="18"/>
    </row>
    <row r="29" spans="2:14" ht="15" customHeight="1" x14ac:dyDescent="0.25">
      <c r="B29" s="20"/>
      <c r="C29" s="5" t="s">
        <v>287</v>
      </c>
      <c r="D29" s="6" t="s">
        <v>48</v>
      </c>
      <c r="E29" s="11">
        <v>9.2219999999999993E-3</v>
      </c>
      <c r="F29" s="1"/>
      <c r="G29" s="1"/>
      <c r="H29" s="1"/>
      <c r="I29" s="1"/>
      <c r="J29" s="1"/>
      <c r="K29" s="1"/>
      <c r="L29" s="1"/>
      <c r="M29" s="1"/>
      <c r="N29" s="18"/>
    </row>
    <row r="30" spans="2:14" ht="15" customHeight="1" x14ac:dyDescent="0.25">
      <c r="B30" s="20"/>
      <c r="C30" s="5" t="s">
        <v>286</v>
      </c>
      <c r="D30" s="6" t="s">
        <v>48</v>
      </c>
      <c r="E30" s="11">
        <v>7.5209999999999999E-3</v>
      </c>
      <c r="F30" s="1"/>
      <c r="G30" s="1"/>
      <c r="H30" s="1"/>
      <c r="I30" s="1"/>
      <c r="J30" s="1"/>
      <c r="K30" s="1"/>
      <c r="L30" s="1"/>
      <c r="M30" s="1"/>
      <c r="N30" s="18"/>
    </row>
    <row r="31" spans="2:14" ht="15" customHeight="1" x14ac:dyDescent="0.25">
      <c r="B31" s="20"/>
      <c r="C31" s="5" t="s">
        <v>285</v>
      </c>
      <c r="D31" s="6" t="s">
        <v>48</v>
      </c>
      <c r="E31" s="11">
        <v>5.8950000000000001E-3</v>
      </c>
      <c r="F31" s="1"/>
      <c r="G31" s="1"/>
      <c r="H31" s="1"/>
      <c r="I31" s="1"/>
      <c r="J31" s="1"/>
      <c r="K31" s="1"/>
      <c r="L31" s="1"/>
      <c r="M31" s="1"/>
      <c r="N31" s="18"/>
    </row>
    <row r="32" spans="2:14" ht="15" customHeight="1" x14ac:dyDescent="0.25">
      <c r="B32" s="20"/>
      <c r="C32" s="5" t="s">
        <v>278</v>
      </c>
      <c r="D32" s="6" t="s">
        <v>48</v>
      </c>
      <c r="E32" s="11">
        <v>4.2090000000000001E-3</v>
      </c>
      <c r="F32" s="1"/>
      <c r="G32" s="1"/>
      <c r="H32" s="1"/>
      <c r="I32" s="1"/>
      <c r="J32" s="1"/>
      <c r="K32" s="1"/>
      <c r="L32" s="1"/>
      <c r="M32" s="1"/>
      <c r="N32" s="18"/>
    </row>
    <row r="33" spans="2:14" ht="15" customHeight="1" x14ac:dyDescent="0.25">
      <c r="B33" s="20"/>
      <c r="C33" s="5" t="s">
        <v>272</v>
      </c>
      <c r="D33" s="6" t="s">
        <v>48</v>
      </c>
      <c r="E33" s="11">
        <v>2.6580000000000002E-3</v>
      </c>
      <c r="F33" s="1"/>
      <c r="G33" s="1"/>
      <c r="H33" s="1"/>
      <c r="I33" s="1"/>
      <c r="J33" s="1"/>
      <c r="K33" s="1"/>
      <c r="L33" s="1"/>
      <c r="M33" s="1"/>
      <c r="N33" s="18"/>
    </row>
    <row r="34" spans="2:14" ht="15" customHeight="1" x14ac:dyDescent="0.25">
      <c r="B34" s="20"/>
      <c r="C34" s="7" t="s">
        <v>52</v>
      </c>
      <c r="D34" s="8"/>
      <c r="E34" s="12">
        <v>0.89521499999999998</v>
      </c>
      <c r="F34" s="1"/>
      <c r="G34" s="1"/>
      <c r="H34" s="1"/>
      <c r="I34" s="1"/>
      <c r="J34" s="1"/>
      <c r="K34" s="1"/>
      <c r="L34" s="1"/>
      <c r="M34" s="1"/>
      <c r="N34" s="18"/>
    </row>
    <row r="35" spans="2:14" ht="15" customHeight="1" x14ac:dyDescent="0.25">
      <c r="B35" s="20"/>
      <c r="C35" s="5" t="s">
        <v>9</v>
      </c>
      <c r="D35" s="6"/>
      <c r="E35" s="11">
        <v>1.5505E-2</v>
      </c>
      <c r="F35" s="1"/>
      <c r="G35" s="1"/>
      <c r="H35" s="1"/>
      <c r="I35" s="1"/>
      <c r="J35" s="1"/>
      <c r="K35" s="1"/>
      <c r="L35" s="1"/>
      <c r="M35" s="1"/>
      <c r="N35" s="18"/>
    </row>
    <row r="36" spans="2:14" ht="15" customHeight="1" x14ac:dyDescent="0.25">
      <c r="B36" s="20"/>
      <c r="C36" s="7" t="s">
        <v>10</v>
      </c>
      <c r="D36" s="8"/>
      <c r="E36" s="12">
        <v>1.5505E-2</v>
      </c>
      <c r="F36" s="1"/>
      <c r="G36" s="1"/>
      <c r="H36" s="1"/>
      <c r="I36" s="1"/>
      <c r="J36" s="1"/>
      <c r="K36" s="1"/>
      <c r="L36" s="1"/>
      <c r="M36" s="1"/>
      <c r="N36" s="18"/>
    </row>
    <row r="37" spans="2:14" ht="15" customHeight="1" x14ac:dyDescent="0.25">
      <c r="B37" s="20"/>
      <c r="C37" s="5"/>
      <c r="D37" s="6"/>
      <c r="E37" s="11"/>
      <c r="F37" s="1"/>
      <c r="G37" s="1"/>
      <c r="H37" s="1"/>
      <c r="I37" s="1"/>
      <c r="J37" s="1"/>
      <c r="K37" s="1"/>
      <c r="L37" s="1"/>
      <c r="M37" s="1"/>
      <c r="N37" s="18"/>
    </row>
    <row r="38" spans="2:14" ht="15" customHeight="1" x14ac:dyDescent="0.25">
      <c r="B38" s="20"/>
      <c r="C38" s="7" t="s">
        <v>11</v>
      </c>
      <c r="D38" s="8"/>
      <c r="E38" s="12">
        <v>1.1939E-2</v>
      </c>
      <c r="F38" s="1"/>
      <c r="G38" s="1"/>
      <c r="H38" s="1"/>
      <c r="I38" s="1"/>
      <c r="J38" s="1"/>
      <c r="K38" s="1"/>
      <c r="L38" s="1"/>
      <c r="M38" s="1"/>
      <c r="N38" s="18"/>
    </row>
    <row r="39" spans="2:14" ht="15" customHeight="1" x14ac:dyDescent="0.25">
      <c r="B39" s="20"/>
      <c r="C39" s="5"/>
      <c r="D39" s="6"/>
      <c r="E39" s="11"/>
      <c r="F39" s="1"/>
      <c r="G39" s="1"/>
      <c r="H39" s="1"/>
      <c r="I39" s="1"/>
      <c r="J39" s="1"/>
      <c r="K39" s="1"/>
      <c r="L39" s="1"/>
      <c r="M39" s="1"/>
      <c r="N39" s="18"/>
    </row>
    <row r="40" spans="2:14" ht="15" customHeight="1" x14ac:dyDescent="0.25">
      <c r="B40" s="20"/>
      <c r="C40" s="9" t="s">
        <v>12</v>
      </c>
      <c r="D40" s="10"/>
      <c r="E40" s="13">
        <v>1</v>
      </c>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2.75" customHeight="1" thickBot="1" x14ac:dyDescent="0.3">
      <c r="B45" s="76" t="s">
        <v>302</v>
      </c>
      <c r="C45" s="77"/>
      <c r="D45" s="77"/>
      <c r="E45" s="77"/>
      <c r="F45" s="77"/>
      <c r="G45" s="77"/>
      <c r="H45" s="77"/>
      <c r="I45" s="77"/>
      <c r="J45" s="77"/>
      <c r="K45" s="77"/>
      <c r="L45" s="77"/>
      <c r="M45" s="77"/>
      <c r="N45" s="78"/>
    </row>
  </sheetData>
  <sortState ref="C11:E33">
    <sortCondition descending="1" ref="E11"/>
  </sortState>
  <mergeCells count="6">
    <mergeCell ref="B45:N45"/>
    <mergeCell ref="C3:N3"/>
    <mergeCell ref="D5:E5"/>
    <mergeCell ref="G7:N7"/>
    <mergeCell ref="G24:K24"/>
    <mergeCell ref="G26:N2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5E3D3-569E-4807-9B68-AFBA946236A3}">
  <dimension ref="B1:N45"/>
  <sheetViews>
    <sheetView showGridLines="0" zoomScale="75" zoomScaleNormal="75" workbookViewId="0"/>
  </sheetViews>
  <sheetFormatPr defaultRowHeight="15" x14ac:dyDescent="0.25"/>
  <cols>
    <col min="1" max="1" width="2.85546875" customWidth="1"/>
    <col min="2" max="2" width="3.85546875" customWidth="1"/>
    <col min="3" max="3" width="6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9" t="s">
        <v>0</v>
      </c>
      <c r="D3" s="80"/>
      <c r="E3" s="80"/>
      <c r="F3" s="80"/>
      <c r="G3" s="80"/>
      <c r="H3" s="80"/>
      <c r="I3" s="80"/>
      <c r="J3" s="80"/>
      <c r="K3" s="80"/>
      <c r="L3" s="80"/>
      <c r="M3" s="80"/>
      <c r="N3" s="81"/>
    </row>
    <row r="4" spans="2:14" ht="15.75" customHeight="1" x14ac:dyDescent="0.25">
      <c r="B4" s="20"/>
      <c r="C4" s="14"/>
      <c r="D4" s="1"/>
      <c r="E4" s="1"/>
      <c r="F4" s="1"/>
      <c r="G4" s="1"/>
      <c r="H4" s="1"/>
      <c r="I4" s="1"/>
      <c r="J4" s="1"/>
      <c r="K4" s="1"/>
      <c r="L4" s="1"/>
      <c r="M4" s="1"/>
      <c r="N4" s="18"/>
    </row>
    <row r="5" spans="2:14" ht="18" customHeight="1" x14ac:dyDescent="0.25">
      <c r="B5" s="20"/>
      <c r="C5" s="15" t="s">
        <v>1</v>
      </c>
      <c r="D5" s="82" t="s">
        <v>2</v>
      </c>
      <c r="E5" s="83"/>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4" t="s">
        <v>17</v>
      </c>
      <c r="H7" s="85"/>
      <c r="I7" s="85"/>
      <c r="J7" s="85"/>
      <c r="K7" s="85"/>
      <c r="L7" s="85"/>
      <c r="M7" s="85"/>
      <c r="N7" s="86"/>
    </row>
    <row r="8" spans="2:14" ht="15" customHeight="1" x14ac:dyDescent="0.25">
      <c r="B8" s="20"/>
      <c r="C8" s="5" t="s">
        <v>6</v>
      </c>
      <c r="D8" s="6"/>
      <c r="E8" s="11">
        <v>0.61218700000000004</v>
      </c>
      <c r="F8" s="1"/>
      <c r="G8" s="24" t="s">
        <v>16</v>
      </c>
      <c r="H8" s="25">
        <v>1</v>
      </c>
      <c r="I8" s="1"/>
      <c r="J8" s="24" t="s">
        <v>13</v>
      </c>
      <c r="K8" s="24" t="s">
        <v>5</v>
      </c>
      <c r="L8" s="1"/>
      <c r="M8" s="1"/>
      <c r="N8" s="18"/>
    </row>
    <row r="9" spans="2:14" ht="15" customHeight="1" x14ac:dyDescent="0.25">
      <c r="B9" s="20"/>
      <c r="C9" s="5" t="s">
        <v>294</v>
      </c>
      <c r="D9" s="6"/>
      <c r="E9" s="11">
        <v>0.379604</v>
      </c>
      <c r="F9" s="1"/>
      <c r="G9" s="1"/>
      <c r="H9" s="1"/>
      <c r="I9" s="1"/>
      <c r="J9" s="24" t="s">
        <v>11</v>
      </c>
      <c r="K9" s="28">
        <v>-4.84E-4</v>
      </c>
      <c r="L9" s="1"/>
      <c r="M9" s="1"/>
      <c r="N9" s="18"/>
    </row>
    <row r="10" spans="2:14" ht="15" customHeight="1" x14ac:dyDescent="0.25">
      <c r="B10" s="20"/>
      <c r="C10" s="5" t="s">
        <v>7</v>
      </c>
      <c r="D10" s="6"/>
      <c r="E10" s="11">
        <v>1.7080000000000001E-3</v>
      </c>
      <c r="F10" s="1"/>
      <c r="G10" s="1"/>
      <c r="H10" s="1"/>
      <c r="I10" s="1"/>
      <c r="J10" s="24" t="s">
        <v>14</v>
      </c>
      <c r="K10" s="28">
        <v>6.9849999999999999E-3</v>
      </c>
      <c r="L10" s="1"/>
      <c r="M10" s="1"/>
      <c r="N10" s="18"/>
    </row>
    <row r="11" spans="2:14" ht="15.75" customHeight="1" x14ac:dyDescent="0.25">
      <c r="B11" s="20"/>
      <c r="C11" s="7" t="s">
        <v>8</v>
      </c>
      <c r="D11" s="8"/>
      <c r="E11" s="12">
        <v>0.99349900000000002</v>
      </c>
      <c r="F11" s="1"/>
      <c r="G11" s="1"/>
      <c r="H11" s="1"/>
      <c r="I11" s="1"/>
      <c r="J11" s="24" t="s">
        <v>15</v>
      </c>
      <c r="K11" s="28">
        <v>0.99349900000000002</v>
      </c>
      <c r="L11" s="1"/>
      <c r="M11" s="1"/>
      <c r="N11" s="18"/>
    </row>
    <row r="12" spans="2:14" ht="15" customHeight="1" x14ac:dyDescent="0.25">
      <c r="B12" s="20"/>
      <c r="C12" s="5" t="s">
        <v>9</v>
      </c>
      <c r="D12" s="6"/>
      <c r="E12" s="11">
        <v>6.9849999999999999E-3</v>
      </c>
      <c r="F12" s="1"/>
      <c r="G12" s="1"/>
      <c r="H12" s="1"/>
      <c r="I12" s="1"/>
      <c r="J12" s="1"/>
      <c r="K12" s="1"/>
      <c r="L12" s="1"/>
      <c r="M12" s="1"/>
      <c r="N12" s="18"/>
    </row>
    <row r="13" spans="2:14" ht="15.75" customHeight="1" x14ac:dyDescent="0.25">
      <c r="B13" s="20"/>
      <c r="C13" s="7" t="s">
        <v>10</v>
      </c>
      <c r="D13" s="8"/>
      <c r="E13" s="12">
        <v>6.9849999999999999E-3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-4.84E-4</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4" t="s">
        <v>18</v>
      </c>
      <c r="H24" s="85"/>
      <c r="I24" s="85"/>
      <c r="J24" s="85"/>
      <c r="K24" s="85"/>
      <c r="L24" s="66">
        <v>2.7738491378431309</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4" t="s">
        <v>19</v>
      </c>
      <c r="H26" s="85"/>
      <c r="I26" s="85"/>
      <c r="J26" s="85"/>
      <c r="K26" s="85"/>
      <c r="L26" s="85"/>
      <c r="M26" s="85"/>
      <c r="N26" s="86"/>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1.25" customHeight="1" thickBot="1" x14ac:dyDescent="0.3">
      <c r="B45" s="76" t="s">
        <v>302</v>
      </c>
      <c r="C45" s="77"/>
      <c r="D45" s="77"/>
      <c r="E45" s="77"/>
      <c r="F45" s="77"/>
      <c r="G45" s="77"/>
      <c r="H45" s="77"/>
      <c r="I45" s="77"/>
      <c r="J45" s="77"/>
      <c r="K45" s="77"/>
      <c r="L45" s="77"/>
      <c r="M45" s="77"/>
      <c r="N45" s="78"/>
    </row>
  </sheetData>
  <mergeCells count="6">
    <mergeCell ref="B45:N45"/>
    <mergeCell ref="C3:N3"/>
    <mergeCell ref="D5:E5"/>
    <mergeCell ref="G7:N7"/>
    <mergeCell ref="G24:K24"/>
    <mergeCell ref="G26:N26"/>
  </mergeCells>
  <pageMargins left="0.7" right="0.7" top="0.75" bottom="0.75" header="0.3" footer="0.3"/>
  <pageSetup orientation="portrait" verticalDpi="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8FC6D-180B-4211-8424-0DED2A261C19}">
  <sheetPr>
    <tabColor rgb="FFE5E3E3"/>
    <pageSetUpPr fitToPage="1"/>
  </sheetPr>
  <dimension ref="B1:X691"/>
  <sheetViews>
    <sheetView showGridLines="0" zoomScale="75" zoomScaleNormal="75" workbookViewId="0"/>
  </sheetViews>
  <sheetFormatPr defaultRowHeight="15" x14ac:dyDescent="0.2"/>
  <cols>
    <col min="1" max="1" width="2.85546875" style="30" customWidth="1"/>
    <col min="2" max="2" width="3.85546875" style="30" customWidth="1"/>
    <col min="3" max="3" width="60.5703125" style="30" customWidth="1"/>
    <col min="4" max="4" width="15.42578125" style="30" bestFit="1" customWidth="1"/>
    <col min="5" max="5" width="9.140625" style="30"/>
    <col min="6" max="6" width="10.7109375" style="30" customWidth="1"/>
    <col min="7" max="7" width="10.5703125" style="30" bestFit="1" customWidth="1"/>
    <col min="8" max="9" width="9.140625" style="30"/>
    <col min="10" max="11" width="16.42578125" style="30" customWidth="1"/>
    <col min="12" max="18" width="9.140625" style="30"/>
    <col min="19" max="19" width="9.85546875" style="30" customWidth="1"/>
    <col min="20" max="21" width="9.28515625" style="30" bestFit="1" customWidth="1"/>
    <col min="22" max="16384" width="9.140625" style="30"/>
  </cols>
  <sheetData>
    <row r="1" spans="2:24" ht="15.75" thickBot="1" x14ac:dyDescent="0.25"/>
    <row r="2" spans="2:24" x14ac:dyDescent="0.2">
      <c r="B2" s="31"/>
      <c r="C2" s="32"/>
      <c r="D2" s="32"/>
      <c r="E2" s="32"/>
      <c r="F2" s="32"/>
      <c r="G2" s="32"/>
      <c r="H2" s="32"/>
      <c r="I2" s="32"/>
      <c r="J2" s="32"/>
      <c r="K2" s="32"/>
      <c r="L2" s="32"/>
      <c r="M2" s="33"/>
    </row>
    <row r="3" spans="2:24" ht="20.25" customHeight="1" x14ac:dyDescent="0.2">
      <c r="B3" s="34"/>
      <c r="C3" s="87" t="s">
        <v>304</v>
      </c>
      <c r="D3" s="87"/>
      <c r="E3" s="87"/>
      <c r="F3" s="87"/>
      <c r="G3" s="87"/>
      <c r="H3" s="87"/>
      <c r="I3" s="87"/>
      <c r="J3" s="87"/>
      <c r="K3" s="87"/>
      <c r="L3" s="87"/>
      <c r="M3" s="88"/>
    </row>
    <row r="4" spans="2:24" ht="15.75" x14ac:dyDescent="0.25">
      <c r="B4" s="34"/>
      <c r="C4" s="35"/>
      <c r="D4" s="36"/>
      <c r="E4" s="36"/>
      <c r="F4" s="37"/>
      <c r="G4" s="37"/>
      <c r="H4" s="37"/>
      <c r="I4" s="37"/>
      <c r="J4" s="37"/>
      <c r="K4" s="37"/>
      <c r="L4" s="37"/>
      <c r="M4" s="38"/>
    </row>
    <row r="5" spans="2:24" ht="20.25" customHeight="1" x14ac:dyDescent="0.25">
      <c r="B5" s="34"/>
      <c r="C5" s="39" t="s">
        <v>1</v>
      </c>
      <c r="D5" s="40" t="s">
        <v>322</v>
      </c>
      <c r="E5" s="41"/>
      <c r="F5" s="37"/>
      <c r="G5" s="37"/>
      <c r="H5" s="37"/>
      <c r="I5" s="37"/>
      <c r="J5" s="37"/>
      <c r="K5" s="37"/>
      <c r="L5" s="37"/>
      <c r="M5" s="38"/>
    </row>
    <row r="6" spans="2:24" x14ac:dyDescent="0.2">
      <c r="B6" s="34"/>
      <c r="C6" s="37"/>
      <c r="D6" s="37"/>
      <c r="E6" s="37"/>
      <c r="F6" s="37"/>
      <c r="G6" s="37"/>
      <c r="H6" s="37"/>
      <c r="I6" s="37"/>
      <c r="J6" s="37"/>
      <c r="K6" s="37"/>
      <c r="L6" s="37"/>
      <c r="M6" s="38"/>
    </row>
    <row r="7" spans="2:24" ht="15.75" x14ac:dyDescent="0.2">
      <c r="B7" s="34"/>
      <c r="C7" s="42" t="s">
        <v>3</v>
      </c>
      <c r="D7" s="43" t="s">
        <v>5</v>
      </c>
      <c r="E7" s="37"/>
      <c r="F7" s="89" t="s">
        <v>19</v>
      </c>
      <c r="G7" s="89"/>
      <c r="H7" s="89"/>
      <c r="I7" s="89"/>
      <c r="J7" s="89"/>
      <c r="K7" s="89"/>
      <c r="L7" s="89"/>
      <c r="M7" s="90"/>
    </row>
    <row r="8" spans="2:24" x14ac:dyDescent="0.2">
      <c r="B8" s="34"/>
      <c r="C8" s="44" t="s">
        <v>305</v>
      </c>
      <c r="D8" s="45">
        <v>1.0937589999999999</v>
      </c>
      <c r="E8" s="37"/>
      <c r="F8" s="37"/>
      <c r="G8" s="46"/>
      <c r="H8" s="37"/>
      <c r="I8" s="37" t="s">
        <v>306</v>
      </c>
      <c r="J8" s="47">
        <f>D9</f>
        <v>1.0937589999999999</v>
      </c>
      <c r="K8" s="37"/>
      <c r="L8" s="37"/>
      <c r="M8" s="38"/>
      <c r="S8" s="48"/>
      <c r="W8" s="30" t="s">
        <v>307</v>
      </c>
      <c r="X8" s="30">
        <v>0.25058799999999998</v>
      </c>
    </row>
    <row r="9" spans="2:24" ht="15.75" x14ac:dyDescent="0.25">
      <c r="B9" s="34"/>
      <c r="C9" s="49" t="s">
        <v>306</v>
      </c>
      <c r="D9" s="50">
        <v>1.0937589999999999</v>
      </c>
      <c r="E9" s="37"/>
      <c r="F9" s="37"/>
      <c r="G9" s="37"/>
      <c r="H9" s="37"/>
      <c r="I9" s="37" t="s">
        <v>11</v>
      </c>
      <c r="J9" s="47">
        <f>D13</f>
        <v>-0.18712899999999999</v>
      </c>
      <c r="K9" s="37"/>
      <c r="L9" s="37"/>
      <c r="M9" s="38"/>
      <c r="S9" s="48"/>
      <c r="W9" s="30" t="s">
        <v>308</v>
      </c>
      <c r="X9" s="30">
        <v>6.1296999999999997E-2</v>
      </c>
    </row>
    <row r="10" spans="2:24" x14ac:dyDescent="0.2">
      <c r="B10" s="34"/>
      <c r="C10" s="51" t="s">
        <v>9</v>
      </c>
      <c r="D10" s="52">
        <v>9.3369999999999995E-2</v>
      </c>
      <c r="E10" s="37"/>
      <c r="F10" s="37"/>
      <c r="G10" s="37"/>
      <c r="I10" s="30" t="s">
        <v>10</v>
      </c>
      <c r="J10" s="47">
        <f>D11</f>
        <v>9.3369999999999995E-2</v>
      </c>
      <c r="K10" s="37"/>
      <c r="L10" s="37"/>
      <c r="M10" s="38"/>
      <c r="S10" s="48"/>
      <c r="W10" s="30" t="s">
        <v>309</v>
      </c>
      <c r="X10" s="30">
        <v>3.0130999999999998E-2</v>
      </c>
    </row>
    <row r="11" spans="2:24" ht="15.75" x14ac:dyDescent="0.2">
      <c r="B11" s="34"/>
      <c r="C11" s="53" t="s">
        <v>10</v>
      </c>
      <c r="D11" s="54">
        <v>9.3369999999999995E-2</v>
      </c>
      <c r="E11" s="37"/>
      <c r="F11" s="37"/>
      <c r="G11" s="37"/>
      <c r="J11" s="37"/>
      <c r="K11" s="37"/>
      <c r="L11" s="37"/>
      <c r="M11" s="38"/>
      <c r="S11" s="48"/>
      <c r="W11" s="30" t="s">
        <v>310</v>
      </c>
      <c r="X11" s="30">
        <v>2.7299E-2</v>
      </c>
    </row>
    <row r="12" spans="2:24" x14ac:dyDescent="0.2">
      <c r="B12" s="34"/>
      <c r="C12" s="51"/>
      <c r="D12" s="55"/>
      <c r="E12" s="37"/>
      <c r="F12" s="37"/>
      <c r="G12" s="37"/>
      <c r="J12" s="37"/>
      <c r="K12" s="37"/>
      <c r="L12" s="37"/>
      <c r="M12" s="38"/>
      <c r="S12" s="48"/>
      <c r="W12" s="30" t="s">
        <v>311</v>
      </c>
      <c r="X12" s="30">
        <v>2.5925E-2</v>
      </c>
    </row>
    <row r="13" spans="2:24" ht="15.75" x14ac:dyDescent="0.2">
      <c r="B13" s="34"/>
      <c r="C13" s="53" t="s">
        <v>11</v>
      </c>
      <c r="D13" s="54">
        <v>-0.18712899999999999</v>
      </c>
      <c r="E13" s="37"/>
      <c r="F13" s="37"/>
      <c r="G13" s="37"/>
      <c r="J13" s="37"/>
      <c r="K13" s="37"/>
      <c r="L13" s="37"/>
      <c r="M13" s="38"/>
      <c r="S13" s="48"/>
      <c r="W13" s="30" t="s">
        <v>312</v>
      </c>
      <c r="X13" s="30">
        <v>2.3822000000000003E-2</v>
      </c>
    </row>
    <row r="14" spans="2:24" x14ac:dyDescent="0.2">
      <c r="B14" s="34"/>
      <c r="C14" s="51"/>
      <c r="D14" s="55"/>
      <c r="E14" s="37"/>
      <c r="F14" s="37"/>
      <c r="G14" s="37"/>
      <c r="H14" s="37"/>
      <c r="I14" s="37"/>
      <c r="J14" s="37"/>
      <c r="K14" s="37"/>
      <c r="L14" s="37"/>
      <c r="M14" s="38"/>
      <c r="S14" s="48"/>
      <c r="W14" s="30" t="s">
        <v>313</v>
      </c>
      <c r="X14" s="30">
        <v>2.3753E-2</v>
      </c>
    </row>
    <row r="15" spans="2:24" ht="15.75" x14ac:dyDescent="0.2">
      <c r="B15" s="34"/>
      <c r="C15" s="56" t="s">
        <v>12</v>
      </c>
      <c r="D15" s="57">
        <f>D13+D11+D9</f>
        <v>0.99999999999999989</v>
      </c>
      <c r="E15" s="37"/>
      <c r="F15" s="37"/>
      <c r="G15" s="37"/>
      <c r="H15" s="37"/>
      <c r="I15" s="37"/>
      <c r="J15" s="37"/>
      <c r="K15" s="37"/>
      <c r="L15" s="37"/>
      <c r="M15" s="38"/>
      <c r="S15" s="48"/>
      <c r="W15" s="30" t="s">
        <v>314</v>
      </c>
      <c r="X15" s="30">
        <v>1.8620999999999999E-2</v>
      </c>
    </row>
    <row r="16" spans="2:24" x14ac:dyDescent="0.2">
      <c r="B16" s="34"/>
      <c r="E16" s="37"/>
      <c r="F16" s="37"/>
      <c r="G16" s="37"/>
      <c r="H16" s="37"/>
      <c r="I16" s="37"/>
      <c r="J16" s="37"/>
      <c r="K16" s="37"/>
      <c r="L16" s="37"/>
      <c r="M16" s="38"/>
      <c r="S16" s="48"/>
      <c r="W16" s="30" t="s">
        <v>315</v>
      </c>
      <c r="X16" s="30">
        <v>1.7219000000000002E-2</v>
      </c>
    </row>
    <row r="17" spans="2:24" ht="15.75" x14ac:dyDescent="0.25">
      <c r="B17" s="34"/>
      <c r="C17" s="58"/>
      <c r="D17" s="59"/>
      <c r="E17" s="37"/>
      <c r="F17" s="37"/>
      <c r="G17" s="37"/>
      <c r="H17" s="37"/>
      <c r="I17" s="37"/>
      <c r="J17" s="37"/>
      <c r="K17" s="37"/>
      <c r="L17" s="37"/>
      <c r="M17" s="38"/>
      <c r="S17" s="48"/>
      <c r="W17" s="30" t="s">
        <v>316</v>
      </c>
      <c r="X17" s="30">
        <v>1.6056000000000001E-2</v>
      </c>
    </row>
    <row r="18" spans="2:24" x14ac:dyDescent="0.2">
      <c r="B18" s="34"/>
      <c r="C18" s="60"/>
      <c r="D18" s="60"/>
      <c r="E18" s="37"/>
      <c r="F18" s="37"/>
      <c r="G18" s="37"/>
      <c r="H18" s="37"/>
      <c r="I18" s="37"/>
      <c r="J18" s="37"/>
      <c r="K18" s="37"/>
      <c r="L18" s="37"/>
      <c r="M18" s="38"/>
      <c r="S18" s="48"/>
      <c r="W18" s="30" t="s">
        <v>317</v>
      </c>
      <c r="X18" s="30">
        <v>1.41E-2</v>
      </c>
    </row>
    <row r="19" spans="2:24" ht="15.75" x14ac:dyDescent="0.25">
      <c r="B19" s="34"/>
      <c r="C19" s="58"/>
      <c r="D19" s="61"/>
      <c r="E19" s="37"/>
      <c r="F19" s="37"/>
      <c r="G19" s="37"/>
      <c r="H19" s="37"/>
      <c r="I19" s="37"/>
      <c r="J19" s="37"/>
      <c r="K19" s="37"/>
      <c r="L19" s="37"/>
      <c r="M19" s="38"/>
      <c r="S19" s="48"/>
      <c r="W19" s="30" t="s">
        <v>318</v>
      </c>
      <c r="X19" s="30">
        <v>1.1167E-2</v>
      </c>
    </row>
    <row r="20" spans="2:24" x14ac:dyDescent="0.2">
      <c r="B20" s="34"/>
      <c r="E20" s="37"/>
      <c r="F20" s="37"/>
      <c r="G20" s="37"/>
      <c r="H20" s="37"/>
      <c r="I20" s="37"/>
      <c r="J20" s="37"/>
      <c r="K20" s="37"/>
      <c r="L20" s="37"/>
      <c r="M20" s="38"/>
      <c r="S20" s="48"/>
      <c r="W20" s="30" t="s">
        <v>319</v>
      </c>
      <c r="X20" s="30">
        <v>1.1159000000000001E-2</v>
      </c>
    </row>
    <row r="21" spans="2:24" x14ac:dyDescent="0.2">
      <c r="B21" s="34"/>
      <c r="E21" s="37"/>
      <c r="F21" s="37"/>
      <c r="G21" s="37"/>
      <c r="H21" s="37"/>
      <c r="I21" s="37"/>
      <c r="J21" s="37"/>
      <c r="K21" s="37"/>
      <c r="L21" s="37"/>
      <c r="M21" s="38"/>
      <c r="S21" s="48"/>
      <c r="W21" s="30" t="s">
        <v>320</v>
      </c>
      <c r="X21" s="30">
        <v>1.0543E-2</v>
      </c>
    </row>
    <row r="22" spans="2:24" ht="16.5" thickBot="1" x14ac:dyDescent="0.3">
      <c r="B22" s="62"/>
      <c r="C22" s="91"/>
      <c r="D22" s="91"/>
      <c r="E22" s="91"/>
      <c r="F22" s="91"/>
      <c r="G22" s="91"/>
      <c r="H22" s="91"/>
      <c r="I22" s="91"/>
      <c r="J22" s="91"/>
      <c r="K22" s="91"/>
      <c r="L22" s="91"/>
      <c r="M22" s="92"/>
      <c r="S22" s="48"/>
    </row>
    <row r="23" spans="2:24" ht="15.75" thickBot="1" x14ac:dyDescent="0.25">
      <c r="S23" s="48"/>
    </row>
    <row r="24" spans="2:24" ht="15" customHeight="1" x14ac:dyDescent="0.2">
      <c r="B24" s="93" t="s">
        <v>302</v>
      </c>
      <c r="C24" s="94"/>
      <c r="D24" s="94"/>
      <c r="E24" s="94"/>
      <c r="F24" s="94"/>
      <c r="G24" s="94"/>
      <c r="H24" s="94"/>
      <c r="I24" s="94"/>
      <c r="J24" s="94"/>
      <c r="K24" s="94"/>
      <c r="L24" s="94"/>
      <c r="M24" s="94"/>
      <c r="N24" s="95"/>
      <c r="S24" s="48"/>
    </row>
    <row r="25" spans="2:24" ht="15.75" customHeight="1" x14ac:dyDescent="0.2">
      <c r="B25" s="96"/>
      <c r="C25" s="97"/>
      <c r="D25" s="97"/>
      <c r="E25" s="97"/>
      <c r="F25" s="97"/>
      <c r="G25" s="97"/>
      <c r="H25" s="97"/>
      <c r="I25" s="97"/>
      <c r="J25" s="97"/>
      <c r="K25" s="97"/>
      <c r="L25" s="97"/>
      <c r="M25" s="97"/>
      <c r="N25" s="98"/>
      <c r="S25" s="48"/>
    </row>
    <row r="26" spans="2:24" ht="15.75" customHeight="1" x14ac:dyDescent="0.2">
      <c r="B26" s="96"/>
      <c r="C26" s="97"/>
      <c r="D26" s="97"/>
      <c r="E26" s="97"/>
      <c r="F26" s="97"/>
      <c r="G26" s="97"/>
      <c r="H26" s="97"/>
      <c r="I26" s="97"/>
      <c r="J26" s="97"/>
      <c r="K26" s="97"/>
      <c r="L26" s="97"/>
      <c r="M26" s="97"/>
      <c r="N26" s="98"/>
      <c r="S26" s="48"/>
    </row>
    <row r="27" spans="2:24" ht="15.75" customHeight="1" x14ac:dyDescent="0.2">
      <c r="B27" s="96"/>
      <c r="C27" s="97"/>
      <c r="D27" s="97"/>
      <c r="E27" s="97"/>
      <c r="F27" s="97"/>
      <c r="G27" s="97"/>
      <c r="H27" s="97"/>
      <c r="I27" s="97"/>
      <c r="J27" s="97"/>
      <c r="K27" s="97"/>
      <c r="L27" s="97"/>
      <c r="M27" s="97"/>
      <c r="N27" s="98"/>
      <c r="S27" s="48"/>
    </row>
    <row r="28" spans="2:24" ht="15.75" customHeight="1" x14ac:dyDescent="0.2">
      <c r="B28" s="96"/>
      <c r="C28" s="97"/>
      <c r="D28" s="97"/>
      <c r="E28" s="97"/>
      <c r="F28" s="97"/>
      <c r="G28" s="97"/>
      <c r="H28" s="97"/>
      <c r="I28" s="97"/>
      <c r="J28" s="97"/>
      <c r="K28" s="97"/>
      <c r="L28" s="97"/>
      <c r="M28" s="97"/>
      <c r="N28" s="98"/>
      <c r="S28" s="48"/>
    </row>
    <row r="29" spans="2:24" ht="15.75" customHeight="1" x14ac:dyDescent="0.2">
      <c r="B29" s="96"/>
      <c r="C29" s="97"/>
      <c r="D29" s="97"/>
      <c r="E29" s="97"/>
      <c r="F29" s="97"/>
      <c r="G29" s="97"/>
      <c r="H29" s="97"/>
      <c r="I29" s="97"/>
      <c r="J29" s="97"/>
      <c r="K29" s="97"/>
      <c r="L29" s="97"/>
      <c r="M29" s="97"/>
      <c r="N29" s="98"/>
      <c r="S29" s="48"/>
    </row>
    <row r="30" spans="2:24" ht="28.5" customHeight="1" thickBot="1" x14ac:dyDescent="0.25">
      <c r="B30" s="99"/>
      <c r="C30" s="100"/>
      <c r="D30" s="100"/>
      <c r="E30" s="100"/>
      <c r="F30" s="100"/>
      <c r="G30" s="100"/>
      <c r="H30" s="100"/>
      <c r="I30" s="100"/>
      <c r="J30" s="100"/>
      <c r="K30" s="100"/>
      <c r="L30" s="100"/>
      <c r="M30" s="100"/>
      <c r="N30" s="101"/>
      <c r="S30" s="48"/>
    </row>
    <row r="31" spans="2:24" ht="15.75" thickBot="1" x14ac:dyDescent="0.25">
      <c r="S31" s="48"/>
    </row>
    <row r="32" spans="2:24" x14ac:dyDescent="0.2">
      <c r="B32" s="93" t="s">
        <v>321</v>
      </c>
      <c r="C32" s="94"/>
      <c r="D32" s="94"/>
      <c r="E32" s="94"/>
      <c r="F32" s="94"/>
      <c r="G32" s="94"/>
      <c r="H32" s="94"/>
      <c r="I32" s="94"/>
      <c r="J32" s="94"/>
      <c r="K32" s="94"/>
      <c r="L32" s="94"/>
      <c r="M32" s="94"/>
      <c r="N32" s="95"/>
      <c r="S32" s="48"/>
    </row>
    <row r="33" spans="2:19" x14ac:dyDescent="0.2">
      <c r="B33" s="96"/>
      <c r="C33" s="97"/>
      <c r="D33" s="97"/>
      <c r="E33" s="97"/>
      <c r="F33" s="97"/>
      <c r="G33" s="97"/>
      <c r="H33" s="97"/>
      <c r="I33" s="97"/>
      <c r="J33" s="97"/>
      <c r="K33" s="97"/>
      <c r="L33" s="97"/>
      <c r="M33" s="97"/>
      <c r="N33" s="98"/>
      <c r="S33" s="48"/>
    </row>
    <row r="34" spans="2:19" x14ac:dyDescent="0.2">
      <c r="B34" s="96"/>
      <c r="C34" s="97"/>
      <c r="D34" s="97"/>
      <c r="E34" s="97"/>
      <c r="F34" s="97"/>
      <c r="G34" s="97"/>
      <c r="H34" s="97"/>
      <c r="I34" s="97"/>
      <c r="J34" s="97"/>
      <c r="K34" s="97"/>
      <c r="L34" s="97"/>
      <c r="M34" s="97"/>
      <c r="N34" s="98"/>
      <c r="S34" s="48"/>
    </row>
    <row r="35" spans="2:19" x14ac:dyDescent="0.2">
      <c r="B35" s="96"/>
      <c r="C35" s="97"/>
      <c r="D35" s="97"/>
      <c r="E35" s="97"/>
      <c r="F35" s="97"/>
      <c r="G35" s="97"/>
      <c r="H35" s="97"/>
      <c r="I35" s="97"/>
      <c r="J35" s="97"/>
      <c r="K35" s="97"/>
      <c r="L35" s="97"/>
      <c r="M35" s="97"/>
      <c r="N35" s="98"/>
      <c r="S35" s="48"/>
    </row>
    <row r="36" spans="2:19" x14ac:dyDescent="0.2">
      <c r="B36" s="96"/>
      <c r="C36" s="97"/>
      <c r="D36" s="97"/>
      <c r="E36" s="97"/>
      <c r="F36" s="97"/>
      <c r="G36" s="97"/>
      <c r="H36" s="97"/>
      <c r="I36" s="97"/>
      <c r="J36" s="97"/>
      <c r="K36" s="97"/>
      <c r="L36" s="97"/>
      <c r="M36" s="97"/>
      <c r="N36" s="98"/>
      <c r="S36" s="48"/>
    </row>
    <row r="37" spans="2:19" x14ac:dyDescent="0.2">
      <c r="B37" s="96"/>
      <c r="C37" s="97"/>
      <c r="D37" s="97"/>
      <c r="E37" s="97"/>
      <c r="F37" s="97"/>
      <c r="G37" s="97"/>
      <c r="H37" s="97"/>
      <c r="I37" s="97"/>
      <c r="J37" s="97"/>
      <c r="K37" s="97"/>
      <c r="L37" s="97"/>
      <c r="M37" s="97"/>
      <c r="N37" s="98"/>
      <c r="S37" s="48"/>
    </row>
    <row r="38" spans="2:19" ht="15.75" thickBot="1" x14ac:dyDescent="0.25">
      <c r="B38" s="99"/>
      <c r="C38" s="100"/>
      <c r="D38" s="100"/>
      <c r="E38" s="100"/>
      <c r="F38" s="100"/>
      <c r="G38" s="100"/>
      <c r="H38" s="100"/>
      <c r="I38" s="100"/>
      <c r="J38" s="100"/>
      <c r="K38" s="100"/>
      <c r="L38" s="100"/>
      <c r="M38" s="100"/>
      <c r="N38" s="101"/>
      <c r="S38" s="48"/>
    </row>
    <row r="39" spans="2:19" x14ac:dyDescent="0.2">
      <c r="S39" s="48"/>
    </row>
    <row r="40" spans="2:19" x14ac:dyDescent="0.2">
      <c r="S40" s="48"/>
    </row>
    <row r="41" spans="2:19" x14ac:dyDescent="0.2">
      <c r="S41" s="48"/>
    </row>
    <row r="42" spans="2:19" x14ac:dyDescent="0.2">
      <c r="S42" s="48"/>
    </row>
    <row r="43" spans="2:19" x14ac:dyDescent="0.2">
      <c r="S43" s="48"/>
    </row>
    <row r="44" spans="2:19" x14ac:dyDescent="0.2">
      <c r="S44" s="48"/>
    </row>
    <row r="45" spans="2:19" x14ac:dyDescent="0.2">
      <c r="S45" s="48"/>
    </row>
    <row r="46" spans="2:19" x14ac:dyDescent="0.2">
      <c r="S46" s="48"/>
    </row>
    <row r="47" spans="2:19" x14ac:dyDescent="0.2">
      <c r="S47" s="48"/>
    </row>
    <row r="48" spans="2:19" x14ac:dyDescent="0.2">
      <c r="S48" s="48"/>
    </row>
    <row r="49" spans="19:19" x14ac:dyDescent="0.2">
      <c r="S49" s="48"/>
    </row>
    <row r="50" spans="19:19" x14ac:dyDescent="0.2">
      <c r="S50" s="48"/>
    </row>
    <row r="51" spans="19:19" x14ac:dyDescent="0.2">
      <c r="S51" s="48"/>
    </row>
    <row r="52" spans="19:19" x14ac:dyDescent="0.2">
      <c r="S52" s="48"/>
    </row>
    <row r="53" spans="19:19" x14ac:dyDescent="0.2">
      <c r="S53" s="48"/>
    </row>
    <row r="54" spans="19:19" x14ac:dyDescent="0.2">
      <c r="S54" s="48"/>
    </row>
    <row r="55" spans="19:19" x14ac:dyDescent="0.2">
      <c r="S55" s="48"/>
    </row>
    <row r="56" spans="19:19" x14ac:dyDescent="0.2">
      <c r="S56" s="48"/>
    </row>
    <row r="57" spans="19:19" x14ac:dyDescent="0.2">
      <c r="S57" s="48"/>
    </row>
    <row r="58" spans="19:19" x14ac:dyDescent="0.2">
      <c r="S58" s="48"/>
    </row>
    <row r="59" spans="19:19" x14ac:dyDescent="0.2">
      <c r="S59" s="48"/>
    </row>
    <row r="60" spans="19:19" x14ac:dyDescent="0.2">
      <c r="S60" s="48"/>
    </row>
    <row r="61" spans="19:19" x14ac:dyDescent="0.2">
      <c r="S61" s="48"/>
    </row>
    <row r="62" spans="19:19" x14ac:dyDescent="0.2">
      <c r="S62" s="48"/>
    </row>
    <row r="63" spans="19:19" x14ac:dyDescent="0.2">
      <c r="S63" s="48"/>
    </row>
    <row r="64" spans="19:19" x14ac:dyDescent="0.2">
      <c r="S64" s="48"/>
    </row>
    <row r="65" spans="19:19" x14ac:dyDescent="0.2">
      <c r="S65" s="48"/>
    </row>
    <row r="66" spans="19:19" x14ac:dyDescent="0.2">
      <c r="S66" s="48"/>
    </row>
    <row r="67" spans="19:19" x14ac:dyDescent="0.2">
      <c r="S67" s="48"/>
    </row>
    <row r="68" spans="19:19" x14ac:dyDescent="0.2">
      <c r="S68" s="48"/>
    </row>
    <row r="69" spans="19:19" x14ac:dyDescent="0.2">
      <c r="S69" s="48"/>
    </row>
    <row r="70" spans="19:19" x14ac:dyDescent="0.2">
      <c r="S70" s="48"/>
    </row>
    <row r="71" spans="19:19" x14ac:dyDescent="0.2">
      <c r="S71" s="48"/>
    </row>
    <row r="72" spans="19:19" x14ac:dyDescent="0.2">
      <c r="S72" s="48"/>
    </row>
    <row r="73" spans="19:19" x14ac:dyDescent="0.2">
      <c r="S73" s="48"/>
    </row>
    <row r="74" spans="19:19" x14ac:dyDescent="0.2">
      <c r="S74" s="48"/>
    </row>
    <row r="75" spans="19:19" x14ac:dyDescent="0.2">
      <c r="S75" s="48"/>
    </row>
    <row r="76" spans="19:19" x14ac:dyDescent="0.2">
      <c r="S76" s="48"/>
    </row>
    <row r="77" spans="19:19" x14ac:dyDescent="0.2">
      <c r="S77" s="48"/>
    </row>
    <row r="78" spans="19:19" x14ac:dyDescent="0.2">
      <c r="S78" s="48"/>
    </row>
    <row r="79" spans="19:19" x14ac:dyDescent="0.2">
      <c r="S79" s="48"/>
    </row>
    <row r="80" spans="19:19" x14ac:dyDescent="0.2">
      <c r="S80" s="48"/>
    </row>
    <row r="81" spans="19:19" x14ac:dyDescent="0.2">
      <c r="S81" s="48"/>
    </row>
    <row r="82" spans="19:19" x14ac:dyDescent="0.2">
      <c r="S82" s="48"/>
    </row>
    <row r="83" spans="19:19" x14ac:dyDescent="0.2">
      <c r="S83" s="48"/>
    </row>
    <row r="84" spans="19:19" x14ac:dyDescent="0.2">
      <c r="S84" s="48"/>
    </row>
    <row r="85" spans="19:19" x14ac:dyDescent="0.2">
      <c r="S85" s="48"/>
    </row>
    <row r="86" spans="19:19" x14ac:dyDescent="0.2">
      <c r="S86" s="48"/>
    </row>
    <row r="87" spans="19:19" x14ac:dyDescent="0.2">
      <c r="S87" s="48"/>
    </row>
    <row r="88" spans="19:19" x14ac:dyDescent="0.2">
      <c r="S88" s="48"/>
    </row>
    <row r="89" spans="19:19" x14ac:dyDescent="0.2">
      <c r="S89" s="48"/>
    </row>
    <row r="90" spans="19:19" x14ac:dyDescent="0.2">
      <c r="S90" s="48"/>
    </row>
    <row r="91" spans="19:19" x14ac:dyDescent="0.2">
      <c r="S91" s="48"/>
    </row>
    <row r="92" spans="19:19" x14ac:dyDescent="0.2">
      <c r="S92" s="48"/>
    </row>
    <row r="93" spans="19:19" x14ac:dyDescent="0.2">
      <c r="S93" s="48"/>
    </row>
    <row r="94" spans="19:19" x14ac:dyDescent="0.2">
      <c r="S94" s="48"/>
    </row>
    <row r="95" spans="19:19" x14ac:dyDescent="0.2">
      <c r="S95" s="48"/>
    </row>
    <row r="96" spans="19:19" x14ac:dyDescent="0.2">
      <c r="S96" s="48"/>
    </row>
    <row r="97" spans="19:19" x14ac:dyDescent="0.2">
      <c r="S97" s="48"/>
    </row>
    <row r="98" spans="19:19" x14ac:dyDescent="0.2">
      <c r="S98" s="48"/>
    </row>
    <row r="99" spans="19:19" x14ac:dyDescent="0.2">
      <c r="S99" s="48"/>
    </row>
    <row r="100" spans="19:19" x14ac:dyDescent="0.2">
      <c r="S100" s="48"/>
    </row>
    <row r="101" spans="19:19" x14ac:dyDescent="0.2">
      <c r="S101" s="48"/>
    </row>
    <row r="102" spans="19:19" x14ac:dyDescent="0.2">
      <c r="S102" s="48"/>
    </row>
    <row r="103" spans="19:19" x14ac:dyDescent="0.2">
      <c r="S103" s="48"/>
    </row>
    <row r="104" spans="19:19" x14ac:dyDescent="0.2">
      <c r="S104" s="48"/>
    </row>
    <row r="105" spans="19:19" x14ac:dyDescent="0.2">
      <c r="S105" s="48"/>
    </row>
    <row r="106" spans="19:19" x14ac:dyDescent="0.2">
      <c r="S106" s="48"/>
    </row>
    <row r="107" spans="19:19" x14ac:dyDescent="0.2">
      <c r="S107" s="48"/>
    </row>
    <row r="108" spans="19:19" x14ac:dyDescent="0.2">
      <c r="S108" s="48"/>
    </row>
    <row r="109" spans="19:19" x14ac:dyDescent="0.2">
      <c r="S109" s="48"/>
    </row>
    <row r="110" spans="19:19" x14ac:dyDescent="0.2">
      <c r="S110" s="48"/>
    </row>
    <row r="111" spans="19:19" x14ac:dyDescent="0.2">
      <c r="S111" s="48"/>
    </row>
    <row r="112" spans="19:19" x14ac:dyDescent="0.2">
      <c r="S112" s="48"/>
    </row>
    <row r="113" spans="19:19" x14ac:dyDescent="0.2">
      <c r="S113" s="48"/>
    </row>
    <row r="114" spans="19:19" x14ac:dyDescent="0.2">
      <c r="S114" s="48"/>
    </row>
    <row r="115" spans="19:19" x14ac:dyDescent="0.2">
      <c r="S115" s="48"/>
    </row>
    <row r="116" spans="19:19" x14ac:dyDescent="0.2">
      <c r="S116" s="48"/>
    </row>
    <row r="117" spans="19:19" x14ac:dyDescent="0.2">
      <c r="S117" s="48"/>
    </row>
    <row r="118" spans="19:19" x14ac:dyDescent="0.2">
      <c r="S118" s="48"/>
    </row>
    <row r="119" spans="19:19" x14ac:dyDescent="0.2">
      <c r="S119" s="48"/>
    </row>
    <row r="120" spans="19:19" x14ac:dyDescent="0.2">
      <c r="S120" s="48"/>
    </row>
    <row r="121" spans="19:19" x14ac:dyDescent="0.2">
      <c r="S121" s="48"/>
    </row>
    <row r="122" spans="19:19" x14ac:dyDescent="0.2">
      <c r="S122" s="48"/>
    </row>
    <row r="123" spans="19:19" x14ac:dyDescent="0.2">
      <c r="S123" s="48"/>
    </row>
    <row r="124" spans="19:19" x14ac:dyDescent="0.2">
      <c r="S124" s="48"/>
    </row>
    <row r="125" spans="19:19" x14ac:dyDescent="0.2">
      <c r="S125" s="48"/>
    </row>
    <row r="126" spans="19:19" x14ac:dyDescent="0.2">
      <c r="S126" s="48"/>
    </row>
    <row r="127" spans="19:19" x14ac:dyDescent="0.2">
      <c r="S127" s="48"/>
    </row>
    <row r="128" spans="19:19" x14ac:dyDescent="0.2">
      <c r="S128" s="48"/>
    </row>
    <row r="129" spans="19:19" x14ac:dyDescent="0.2">
      <c r="S129" s="48"/>
    </row>
    <row r="130" spans="19:19" x14ac:dyDescent="0.2">
      <c r="S130" s="48"/>
    </row>
    <row r="131" spans="19:19" x14ac:dyDescent="0.2">
      <c r="S131" s="48"/>
    </row>
    <row r="132" spans="19:19" x14ac:dyDescent="0.2">
      <c r="S132" s="48"/>
    </row>
    <row r="133" spans="19:19" x14ac:dyDescent="0.2">
      <c r="S133" s="48"/>
    </row>
    <row r="134" spans="19:19" x14ac:dyDescent="0.2">
      <c r="S134" s="48"/>
    </row>
    <row r="135" spans="19:19" x14ac:dyDescent="0.2">
      <c r="S135" s="48"/>
    </row>
    <row r="136" spans="19:19" x14ac:dyDescent="0.2">
      <c r="S136" s="48"/>
    </row>
    <row r="137" spans="19:19" x14ac:dyDescent="0.2">
      <c r="S137" s="48"/>
    </row>
    <row r="138" spans="19:19" x14ac:dyDescent="0.2">
      <c r="S138" s="48"/>
    </row>
    <row r="139" spans="19:19" x14ac:dyDescent="0.2">
      <c r="S139" s="48"/>
    </row>
    <row r="140" spans="19:19" x14ac:dyDescent="0.2">
      <c r="S140" s="48"/>
    </row>
    <row r="141" spans="19:19" x14ac:dyDescent="0.2">
      <c r="S141" s="48"/>
    </row>
    <row r="142" spans="19:19" x14ac:dyDescent="0.2">
      <c r="S142" s="48"/>
    </row>
    <row r="143" spans="19:19" x14ac:dyDescent="0.2">
      <c r="S143" s="48"/>
    </row>
    <row r="144" spans="19:19" x14ac:dyDescent="0.2">
      <c r="S144" s="48"/>
    </row>
    <row r="145" spans="19:19" x14ac:dyDescent="0.2">
      <c r="S145" s="48"/>
    </row>
    <row r="146" spans="19:19" x14ac:dyDescent="0.2">
      <c r="S146" s="48"/>
    </row>
    <row r="147" spans="19:19" x14ac:dyDescent="0.2">
      <c r="S147" s="48"/>
    </row>
    <row r="148" spans="19:19" x14ac:dyDescent="0.2">
      <c r="S148" s="48"/>
    </row>
    <row r="149" spans="19:19" x14ac:dyDescent="0.2">
      <c r="S149" s="48"/>
    </row>
    <row r="150" spans="19:19" x14ac:dyDescent="0.2">
      <c r="S150" s="48"/>
    </row>
    <row r="151" spans="19:19" x14ac:dyDescent="0.2">
      <c r="S151" s="48"/>
    </row>
    <row r="152" spans="19:19" x14ac:dyDescent="0.2">
      <c r="S152" s="48"/>
    </row>
    <row r="153" spans="19:19" x14ac:dyDescent="0.2">
      <c r="S153" s="48"/>
    </row>
    <row r="154" spans="19:19" x14ac:dyDescent="0.2">
      <c r="S154" s="48"/>
    </row>
    <row r="155" spans="19:19" x14ac:dyDescent="0.2">
      <c r="S155" s="48"/>
    </row>
    <row r="156" spans="19:19" x14ac:dyDescent="0.2">
      <c r="S156" s="48"/>
    </row>
    <row r="157" spans="19:19" x14ac:dyDescent="0.2">
      <c r="S157" s="48"/>
    </row>
    <row r="158" spans="19:19" x14ac:dyDescent="0.2">
      <c r="S158" s="48"/>
    </row>
    <row r="159" spans="19:19" x14ac:dyDescent="0.2">
      <c r="S159" s="48"/>
    </row>
    <row r="160" spans="19:19" x14ac:dyDescent="0.2">
      <c r="S160" s="48"/>
    </row>
    <row r="161" spans="19:19" x14ac:dyDescent="0.2">
      <c r="S161" s="48"/>
    </row>
    <row r="162" spans="19:19" x14ac:dyDescent="0.2">
      <c r="S162" s="48"/>
    </row>
    <row r="163" spans="19:19" x14ac:dyDescent="0.2">
      <c r="S163" s="48"/>
    </row>
    <row r="164" spans="19:19" x14ac:dyDescent="0.2">
      <c r="S164" s="48"/>
    </row>
    <row r="165" spans="19:19" x14ac:dyDescent="0.2">
      <c r="S165" s="48"/>
    </row>
    <row r="166" spans="19:19" x14ac:dyDescent="0.2">
      <c r="S166" s="48"/>
    </row>
    <row r="167" spans="19:19" x14ac:dyDescent="0.2">
      <c r="S167" s="48"/>
    </row>
    <row r="168" spans="19:19" x14ac:dyDescent="0.2">
      <c r="S168" s="48"/>
    </row>
    <row r="169" spans="19:19" x14ac:dyDescent="0.2">
      <c r="S169" s="48"/>
    </row>
    <row r="170" spans="19:19" x14ac:dyDescent="0.2">
      <c r="S170" s="48"/>
    </row>
    <row r="171" spans="19:19" x14ac:dyDescent="0.2">
      <c r="S171" s="48"/>
    </row>
    <row r="172" spans="19:19" x14ac:dyDescent="0.2">
      <c r="S172" s="48"/>
    </row>
    <row r="173" spans="19:19" x14ac:dyDescent="0.2">
      <c r="S173" s="48"/>
    </row>
    <row r="174" spans="19:19" x14ac:dyDescent="0.2">
      <c r="S174" s="48"/>
    </row>
    <row r="175" spans="19:19" x14ac:dyDescent="0.2">
      <c r="S175" s="48"/>
    </row>
    <row r="176" spans="19:19" x14ac:dyDescent="0.2">
      <c r="S176" s="48"/>
    </row>
    <row r="177" spans="19:19" x14ac:dyDescent="0.2">
      <c r="S177" s="48"/>
    </row>
    <row r="178" spans="19:19" x14ac:dyDescent="0.2">
      <c r="S178" s="48"/>
    </row>
    <row r="179" spans="19:19" x14ac:dyDescent="0.2">
      <c r="S179" s="48"/>
    </row>
    <row r="180" spans="19:19" x14ac:dyDescent="0.2">
      <c r="S180" s="48"/>
    </row>
    <row r="181" spans="19:19" x14ac:dyDescent="0.2">
      <c r="S181" s="48"/>
    </row>
    <row r="182" spans="19:19" x14ac:dyDescent="0.2">
      <c r="S182" s="48"/>
    </row>
    <row r="183" spans="19:19" x14ac:dyDescent="0.2">
      <c r="S183" s="48"/>
    </row>
    <row r="184" spans="19:19" x14ac:dyDescent="0.2">
      <c r="S184" s="48"/>
    </row>
    <row r="185" spans="19:19" x14ac:dyDescent="0.2">
      <c r="S185" s="48"/>
    </row>
    <row r="186" spans="19:19" x14ac:dyDescent="0.2">
      <c r="S186" s="48"/>
    </row>
    <row r="187" spans="19:19" x14ac:dyDescent="0.2">
      <c r="S187" s="48"/>
    </row>
    <row r="188" spans="19:19" x14ac:dyDescent="0.2">
      <c r="S188" s="48"/>
    </row>
    <row r="189" spans="19:19" x14ac:dyDescent="0.2">
      <c r="S189" s="48"/>
    </row>
    <row r="190" spans="19:19" x14ac:dyDescent="0.2">
      <c r="S190" s="48"/>
    </row>
    <row r="191" spans="19:19" x14ac:dyDescent="0.2">
      <c r="S191" s="48"/>
    </row>
    <row r="192" spans="19:19" x14ac:dyDescent="0.2">
      <c r="S192" s="48"/>
    </row>
    <row r="193" spans="19:19" x14ac:dyDescent="0.2">
      <c r="S193" s="48"/>
    </row>
    <row r="194" spans="19:19" x14ac:dyDescent="0.2">
      <c r="S194" s="48"/>
    </row>
    <row r="195" spans="19:19" x14ac:dyDescent="0.2">
      <c r="S195" s="48"/>
    </row>
    <row r="196" spans="19:19" x14ac:dyDescent="0.2">
      <c r="S196" s="48"/>
    </row>
    <row r="197" spans="19:19" x14ac:dyDescent="0.2">
      <c r="S197" s="48"/>
    </row>
    <row r="198" spans="19:19" x14ac:dyDescent="0.2">
      <c r="S198" s="48"/>
    </row>
    <row r="199" spans="19:19" x14ac:dyDescent="0.2">
      <c r="S199" s="48"/>
    </row>
    <row r="200" spans="19:19" x14ac:dyDescent="0.2">
      <c r="S200" s="48"/>
    </row>
    <row r="201" spans="19:19" x14ac:dyDescent="0.2">
      <c r="S201" s="48"/>
    </row>
    <row r="202" spans="19:19" x14ac:dyDescent="0.2">
      <c r="S202" s="48"/>
    </row>
    <row r="203" spans="19:19" x14ac:dyDescent="0.2">
      <c r="S203" s="48"/>
    </row>
    <row r="204" spans="19:19" x14ac:dyDescent="0.2">
      <c r="S204" s="48"/>
    </row>
    <row r="205" spans="19:19" x14ac:dyDescent="0.2">
      <c r="S205" s="48"/>
    </row>
    <row r="206" spans="19:19" x14ac:dyDescent="0.2">
      <c r="S206" s="48"/>
    </row>
    <row r="207" spans="19:19" x14ac:dyDescent="0.2">
      <c r="S207" s="48"/>
    </row>
    <row r="208" spans="19:19" x14ac:dyDescent="0.2">
      <c r="S208" s="48"/>
    </row>
    <row r="209" spans="19:19" x14ac:dyDescent="0.2">
      <c r="S209" s="48"/>
    </row>
    <row r="210" spans="19:19" x14ac:dyDescent="0.2">
      <c r="S210" s="48"/>
    </row>
    <row r="211" spans="19:19" x14ac:dyDescent="0.2">
      <c r="S211" s="48"/>
    </row>
    <row r="212" spans="19:19" x14ac:dyDescent="0.2">
      <c r="S212" s="48"/>
    </row>
    <row r="213" spans="19:19" x14ac:dyDescent="0.2">
      <c r="S213" s="48"/>
    </row>
    <row r="214" spans="19:19" x14ac:dyDescent="0.2">
      <c r="S214" s="48"/>
    </row>
    <row r="215" spans="19:19" x14ac:dyDescent="0.2">
      <c r="S215" s="48"/>
    </row>
    <row r="216" spans="19:19" x14ac:dyDescent="0.2">
      <c r="S216" s="48"/>
    </row>
    <row r="217" spans="19:19" x14ac:dyDescent="0.2">
      <c r="S217" s="48"/>
    </row>
    <row r="218" spans="19:19" x14ac:dyDescent="0.2">
      <c r="S218" s="48"/>
    </row>
    <row r="219" spans="19:19" x14ac:dyDescent="0.2">
      <c r="S219" s="48"/>
    </row>
    <row r="220" spans="19:19" x14ac:dyDescent="0.2">
      <c r="S220" s="48"/>
    </row>
    <row r="221" spans="19:19" x14ac:dyDescent="0.2">
      <c r="S221" s="48"/>
    </row>
    <row r="222" spans="19:19" x14ac:dyDescent="0.2">
      <c r="S222" s="48"/>
    </row>
    <row r="223" spans="19:19" x14ac:dyDescent="0.2">
      <c r="S223" s="48"/>
    </row>
    <row r="224" spans="19:19" x14ac:dyDescent="0.2">
      <c r="S224" s="48"/>
    </row>
    <row r="225" spans="19:19" x14ac:dyDescent="0.2">
      <c r="S225" s="48"/>
    </row>
    <row r="226" spans="19:19" x14ac:dyDescent="0.2">
      <c r="S226" s="48"/>
    </row>
    <row r="227" spans="19:19" x14ac:dyDescent="0.2">
      <c r="S227" s="48"/>
    </row>
    <row r="228" spans="19:19" x14ac:dyDescent="0.2">
      <c r="S228" s="48"/>
    </row>
    <row r="229" spans="19:19" x14ac:dyDescent="0.2">
      <c r="S229" s="48"/>
    </row>
    <row r="230" spans="19:19" x14ac:dyDescent="0.2">
      <c r="S230" s="48"/>
    </row>
    <row r="231" spans="19:19" x14ac:dyDescent="0.2">
      <c r="S231" s="48"/>
    </row>
    <row r="232" spans="19:19" x14ac:dyDescent="0.2">
      <c r="S232" s="48"/>
    </row>
    <row r="233" spans="19:19" x14ac:dyDescent="0.2">
      <c r="S233" s="48"/>
    </row>
    <row r="234" spans="19:19" x14ac:dyDescent="0.2">
      <c r="S234" s="48"/>
    </row>
    <row r="235" spans="19:19" x14ac:dyDescent="0.2">
      <c r="S235" s="48"/>
    </row>
    <row r="236" spans="19:19" x14ac:dyDescent="0.2">
      <c r="S236" s="48"/>
    </row>
    <row r="237" spans="19:19" x14ac:dyDescent="0.2">
      <c r="S237" s="48"/>
    </row>
    <row r="238" spans="19:19" x14ac:dyDescent="0.2">
      <c r="S238" s="48"/>
    </row>
    <row r="239" spans="19:19" x14ac:dyDescent="0.2">
      <c r="S239" s="48"/>
    </row>
    <row r="240" spans="19:19" x14ac:dyDescent="0.2">
      <c r="S240" s="48"/>
    </row>
    <row r="241" spans="19:19" x14ac:dyDescent="0.2">
      <c r="S241" s="48"/>
    </row>
    <row r="242" spans="19:19" x14ac:dyDescent="0.2">
      <c r="S242" s="48"/>
    </row>
    <row r="243" spans="19:19" x14ac:dyDescent="0.2">
      <c r="S243" s="48"/>
    </row>
    <row r="244" spans="19:19" x14ac:dyDescent="0.2">
      <c r="S244" s="48"/>
    </row>
    <row r="245" spans="19:19" x14ac:dyDescent="0.2">
      <c r="S245" s="48"/>
    </row>
    <row r="246" spans="19:19" x14ac:dyDescent="0.2">
      <c r="S246" s="48"/>
    </row>
    <row r="247" spans="19:19" x14ac:dyDescent="0.2">
      <c r="S247" s="48"/>
    </row>
    <row r="248" spans="19:19" x14ac:dyDescent="0.2">
      <c r="S248" s="48"/>
    </row>
    <row r="249" spans="19:19" x14ac:dyDescent="0.2">
      <c r="S249" s="48"/>
    </row>
    <row r="250" spans="19:19" x14ac:dyDescent="0.2">
      <c r="S250" s="48"/>
    </row>
    <row r="251" spans="19:19" x14ac:dyDescent="0.2">
      <c r="S251" s="48"/>
    </row>
    <row r="252" spans="19:19" x14ac:dyDescent="0.2">
      <c r="S252" s="48"/>
    </row>
    <row r="253" spans="19:19" x14ac:dyDescent="0.2">
      <c r="S253" s="48"/>
    </row>
    <row r="254" spans="19:19" x14ac:dyDescent="0.2">
      <c r="S254" s="48"/>
    </row>
    <row r="255" spans="19:19" x14ac:dyDescent="0.2">
      <c r="S255" s="48"/>
    </row>
    <row r="256" spans="19:19" x14ac:dyDescent="0.2">
      <c r="S256" s="48"/>
    </row>
    <row r="257" spans="19:19" x14ac:dyDescent="0.2">
      <c r="S257" s="48"/>
    </row>
    <row r="258" spans="19:19" x14ac:dyDescent="0.2">
      <c r="S258" s="48"/>
    </row>
    <row r="259" spans="19:19" x14ac:dyDescent="0.2">
      <c r="S259" s="48"/>
    </row>
    <row r="260" spans="19:19" x14ac:dyDescent="0.2">
      <c r="S260" s="48"/>
    </row>
    <row r="261" spans="19:19" x14ac:dyDescent="0.2">
      <c r="S261" s="48"/>
    </row>
    <row r="262" spans="19:19" x14ac:dyDescent="0.2">
      <c r="S262" s="48"/>
    </row>
    <row r="263" spans="19:19" x14ac:dyDescent="0.2">
      <c r="S263" s="48"/>
    </row>
    <row r="264" spans="19:19" x14ac:dyDescent="0.2">
      <c r="S264" s="48"/>
    </row>
    <row r="265" spans="19:19" x14ac:dyDescent="0.2">
      <c r="S265" s="48"/>
    </row>
    <row r="266" spans="19:19" x14ac:dyDescent="0.2">
      <c r="S266" s="48"/>
    </row>
    <row r="267" spans="19:19" x14ac:dyDescent="0.2">
      <c r="S267" s="48"/>
    </row>
    <row r="268" spans="19:19" x14ac:dyDescent="0.2">
      <c r="S268" s="48"/>
    </row>
    <row r="269" spans="19:19" x14ac:dyDescent="0.2">
      <c r="S269" s="48"/>
    </row>
    <row r="270" spans="19:19" x14ac:dyDescent="0.2">
      <c r="S270" s="48"/>
    </row>
    <row r="271" spans="19:19" x14ac:dyDescent="0.2">
      <c r="S271" s="48"/>
    </row>
    <row r="272" spans="19:19" x14ac:dyDescent="0.2">
      <c r="S272" s="48"/>
    </row>
    <row r="273" spans="19:19" x14ac:dyDescent="0.2">
      <c r="S273" s="48"/>
    </row>
    <row r="274" spans="19:19" x14ac:dyDescent="0.2">
      <c r="S274" s="48"/>
    </row>
    <row r="275" spans="19:19" x14ac:dyDescent="0.2">
      <c r="S275" s="48"/>
    </row>
    <row r="276" spans="19:19" x14ac:dyDescent="0.2">
      <c r="S276" s="48"/>
    </row>
    <row r="277" spans="19:19" x14ac:dyDescent="0.2">
      <c r="S277" s="48"/>
    </row>
    <row r="278" spans="19:19" x14ac:dyDescent="0.2">
      <c r="S278" s="48"/>
    </row>
    <row r="279" spans="19:19" x14ac:dyDescent="0.2">
      <c r="S279" s="48"/>
    </row>
    <row r="280" spans="19:19" x14ac:dyDescent="0.2">
      <c r="S280" s="48"/>
    </row>
    <row r="281" spans="19:19" x14ac:dyDescent="0.2">
      <c r="S281" s="48"/>
    </row>
    <row r="282" spans="19:19" x14ac:dyDescent="0.2">
      <c r="S282" s="48"/>
    </row>
    <row r="283" spans="19:19" x14ac:dyDescent="0.2">
      <c r="S283" s="48"/>
    </row>
    <row r="284" spans="19:19" x14ac:dyDescent="0.2">
      <c r="S284" s="48"/>
    </row>
    <row r="285" spans="19:19" x14ac:dyDescent="0.2">
      <c r="S285" s="48"/>
    </row>
    <row r="286" spans="19:19" x14ac:dyDescent="0.2">
      <c r="S286" s="48"/>
    </row>
    <row r="287" spans="19:19" x14ac:dyDescent="0.2">
      <c r="S287" s="48"/>
    </row>
    <row r="288" spans="19:19" x14ac:dyDescent="0.2">
      <c r="S288" s="48"/>
    </row>
    <row r="289" spans="19:19" x14ac:dyDescent="0.2">
      <c r="S289" s="48"/>
    </row>
    <row r="290" spans="19:19" x14ac:dyDescent="0.2">
      <c r="S290" s="48"/>
    </row>
    <row r="291" spans="19:19" x14ac:dyDescent="0.2">
      <c r="S291" s="48"/>
    </row>
    <row r="292" spans="19:19" x14ac:dyDescent="0.2">
      <c r="S292" s="48"/>
    </row>
    <row r="293" spans="19:19" x14ac:dyDescent="0.2">
      <c r="S293" s="48"/>
    </row>
    <row r="294" spans="19:19" x14ac:dyDescent="0.2">
      <c r="S294" s="48"/>
    </row>
    <row r="295" spans="19:19" x14ac:dyDescent="0.2">
      <c r="S295" s="48"/>
    </row>
    <row r="296" spans="19:19" x14ac:dyDescent="0.2">
      <c r="S296" s="48"/>
    </row>
    <row r="297" spans="19:19" x14ac:dyDescent="0.2">
      <c r="S297" s="48"/>
    </row>
    <row r="298" spans="19:19" x14ac:dyDescent="0.2">
      <c r="S298" s="48"/>
    </row>
    <row r="299" spans="19:19" x14ac:dyDescent="0.2">
      <c r="S299" s="48"/>
    </row>
    <row r="300" spans="19:19" x14ac:dyDescent="0.2">
      <c r="S300" s="48"/>
    </row>
    <row r="301" spans="19:19" x14ac:dyDescent="0.2">
      <c r="S301" s="48"/>
    </row>
    <row r="302" spans="19:19" x14ac:dyDescent="0.2">
      <c r="S302" s="48"/>
    </row>
    <row r="303" spans="19:19" x14ac:dyDescent="0.2">
      <c r="S303" s="48"/>
    </row>
    <row r="304" spans="19:19" x14ac:dyDescent="0.2">
      <c r="S304" s="48"/>
    </row>
    <row r="305" spans="19:19" x14ac:dyDescent="0.2">
      <c r="S305" s="48"/>
    </row>
    <row r="306" spans="19:19" x14ac:dyDescent="0.2">
      <c r="S306" s="48"/>
    </row>
    <row r="307" spans="19:19" x14ac:dyDescent="0.2">
      <c r="S307" s="48"/>
    </row>
    <row r="308" spans="19:19" x14ac:dyDescent="0.2">
      <c r="S308" s="48"/>
    </row>
    <row r="309" spans="19:19" x14ac:dyDescent="0.2">
      <c r="S309" s="48"/>
    </row>
    <row r="310" spans="19:19" x14ac:dyDescent="0.2">
      <c r="S310" s="48"/>
    </row>
    <row r="311" spans="19:19" x14ac:dyDescent="0.2">
      <c r="S311" s="48"/>
    </row>
    <row r="312" spans="19:19" x14ac:dyDescent="0.2">
      <c r="S312" s="48"/>
    </row>
    <row r="313" spans="19:19" x14ac:dyDescent="0.2">
      <c r="S313" s="48"/>
    </row>
    <row r="314" spans="19:19" x14ac:dyDescent="0.2">
      <c r="S314" s="48"/>
    </row>
    <row r="315" spans="19:19" x14ac:dyDescent="0.2">
      <c r="S315" s="48"/>
    </row>
    <row r="316" spans="19:19" x14ac:dyDescent="0.2">
      <c r="S316" s="48"/>
    </row>
    <row r="317" spans="19:19" x14ac:dyDescent="0.2">
      <c r="S317" s="48"/>
    </row>
    <row r="318" spans="19:19" x14ac:dyDescent="0.2">
      <c r="S318" s="48"/>
    </row>
    <row r="319" spans="19:19" x14ac:dyDescent="0.2">
      <c r="S319" s="48"/>
    </row>
    <row r="320" spans="19:19" x14ac:dyDescent="0.2">
      <c r="S320" s="48"/>
    </row>
    <row r="321" spans="19:19" x14ac:dyDescent="0.2">
      <c r="S321" s="48"/>
    </row>
    <row r="322" spans="19:19" x14ac:dyDescent="0.2">
      <c r="S322" s="48"/>
    </row>
    <row r="323" spans="19:19" x14ac:dyDescent="0.2">
      <c r="S323" s="48"/>
    </row>
    <row r="324" spans="19:19" x14ac:dyDescent="0.2">
      <c r="S324" s="48"/>
    </row>
    <row r="325" spans="19:19" x14ac:dyDescent="0.2">
      <c r="S325" s="48"/>
    </row>
    <row r="326" spans="19:19" x14ac:dyDescent="0.2">
      <c r="S326" s="48"/>
    </row>
    <row r="327" spans="19:19" x14ac:dyDescent="0.2">
      <c r="S327" s="48"/>
    </row>
    <row r="328" spans="19:19" x14ac:dyDescent="0.2">
      <c r="S328" s="48"/>
    </row>
    <row r="329" spans="19:19" x14ac:dyDescent="0.2">
      <c r="S329" s="48"/>
    </row>
    <row r="330" spans="19:19" x14ac:dyDescent="0.2">
      <c r="S330" s="48"/>
    </row>
    <row r="331" spans="19:19" x14ac:dyDescent="0.2">
      <c r="S331" s="48"/>
    </row>
    <row r="332" spans="19:19" x14ac:dyDescent="0.2">
      <c r="S332" s="48"/>
    </row>
    <row r="333" spans="19:19" x14ac:dyDescent="0.2">
      <c r="S333" s="48"/>
    </row>
    <row r="334" spans="19:19" x14ac:dyDescent="0.2">
      <c r="S334" s="48"/>
    </row>
    <row r="335" spans="19:19" x14ac:dyDescent="0.2">
      <c r="S335" s="48"/>
    </row>
    <row r="336" spans="19:19" x14ac:dyDescent="0.2">
      <c r="S336" s="48"/>
    </row>
    <row r="337" spans="19:19" x14ac:dyDescent="0.2">
      <c r="S337" s="48"/>
    </row>
    <row r="338" spans="19:19" x14ac:dyDescent="0.2">
      <c r="S338" s="48"/>
    </row>
    <row r="339" spans="19:19" x14ac:dyDescent="0.2">
      <c r="S339" s="48"/>
    </row>
    <row r="340" spans="19:19" x14ac:dyDescent="0.2">
      <c r="S340" s="48"/>
    </row>
    <row r="341" spans="19:19" x14ac:dyDescent="0.2">
      <c r="S341" s="48"/>
    </row>
    <row r="342" spans="19:19" x14ac:dyDescent="0.2">
      <c r="S342" s="48"/>
    </row>
    <row r="343" spans="19:19" x14ac:dyDescent="0.2">
      <c r="S343" s="48"/>
    </row>
    <row r="344" spans="19:19" x14ac:dyDescent="0.2">
      <c r="S344" s="48"/>
    </row>
    <row r="345" spans="19:19" x14ac:dyDescent="0.2">
      <c r="S345" s="48"/>
    </row>
    <row r="346" spans="19:19" x14ac:dyDescent="0.2">
      <c r="S346" s="48"/>
    </row>
    <row r="347" spans="19:19" x14ac:dyDescent="0.2">
      <c r="S347" s="48"/>
    </row>
    <row r="348" spans="19:19" x14ac:dyDescent="0.2">
      <c r="S348" s="48"/>
    </row>
    <row r="349" spans="19:19" x14ac:dyDescent="0.2">
      <c r="S349" s="48"/>
    </row>
    <row r="350" spans="19:19" x14ac:dyDescent="0.2">
      <c r="S350" s="48"/>
    </row>
    <row r="351" spans="19:19" x14ac:dyDescent="0.2">
      <c r="S351" s="48"/>
    </row>
    <row r="352" spans="19:19" x14ac:dyDescent="0.2">
      <c r="S352" s="48"/>
    </row>
    <row r="353" spans="19:19" x14ac:dyDescent="0.2">
      <c r="S353" s="48"/>
    </row>
    <row r="354" spans="19:19" x14ac:dyDescent="0.2">
      <c r="S354" s="48"/>
    </row>
    <row r="355" spans="19:19" x14ac:dyDescent="0.2">
      <c r="S355" s="48"/>
    </row>
    <row r="356" spans="19:19" x14ac:dyDescent="0.2">
      <c r="S356" s="48"/>
    </row>
    <row r="357" spans="19:19" x14ac:dyDescent="0.2">
      <c r="S357" s="48"/>
    </row>
    <row r="358" spans="19:19" x14ac:dyDescent="0.2">
      <c r="S358" s="48"/>
    </row>
    <row r="359" spans="19:19" x14ac:dyDescent="0.2">
      <c r="S359" s="48"/>
    </row>
    <row r="360" spans="19:19" x14ac:dyDescent="0.2">
      <c r="S360" s="48"/>
    </row>
    <row r="361" spans="19:19" x14ac:dyDescent="0.2">
      <c r="S361" s="48"/>
    </row>
    <row r="362" spans="19:19" x14ac:dyDescent="0.2">
      <c r="S362" s="48"/>
    </row>
    <row r="363" spans="19:19" x14ac:dyDescent="0.2">
      <c r="S363" s="48"/>
    </row>
    <row r="364" spans="19:19" x14ac:dyDescent="0.2">
      <c r="S364" s="48"/>
    </row>
    <row r="365" spans="19:19" x14ac:dyDescent="0.2">
      <c r="S365" s="48"/>
    </row>
    <row r="366" spans="19:19" x14ac:dyDescent="0.2">
      <c r="S366" s="48"/>
    </row>
    <row r="367" spans="19:19" x14ac:dyDescent="0.2">
      <c r="S367" s="48"/>
    </row>
    <row r="368" spans="19:19" x14ac:dyDescent="0.2">
      <c r="S368" s="48"/>
    </row>
    <row r="369" spans="19:19" x14ac:dyDescent="0.2">
      <c r="S369" s="48"/>
    </row>
    <row r="370" spans="19:19" x14ac:dyDescent="0.2">
      <c r="S370" s="48"/>
    </row>
    <row r="371" spans="19:19" x14ac:dyDescent="0.2">
      <c r="S371" s="48"/>
    </row>
    <row r="372" spans="19:19" x14ac:dyDescent="0.2">
      <c r="S372" s="48"/>
    </row>
    <row r="373" spans="19:19" x14ac:dyDescent="0.2">
      <c r="S373" s="48"/>
    </row>
    <row r="374" spans="19:19" x14ac:dyDescent="0.2">
      <c r="S374" s="48"/>
    </row>
    <row r="375" spans="19:19" x14ac:dyDescent="0.2">
      <c r="S375" s="48"/>
    </row>
    <row r="376" spans="19:19" x14ac:dyDescent="0.2">
      <c r="S376" s="48"/>
    </row>
    <row r="377" spans="19:19" x14ac:dyDescent="0.2">
      <c r="S377" s="48"/>
    </row>
    <row r="378" spans="19:19" x14ac:dyDescent="0.2">
      <c r="S378" s="48"/>
    </row>
    <row r="379" spans="19:19" x14ac:dyDescent="0.2">
      <c r="S379" s="48"/>
    </row>
    <row r="380" spans="19:19" x14ac:dyDescent="0.2">
      <c r="S380" s="48"/>
    </row>
    <row r="381" spans="19:19" x14ac:dyDescent="0.2">
      <c r="S381" s="48"/>
    </row>
    <row r="382" spans="19:19" x14ac:dyDescent="0.2">
      <c r="S382" s="48"/>
    </row>
    <row r="383" spans="19:19" x14ac:dyDescent="0.2">
      <c r="S383" s="48"/>
    </row>
    <row r="384" spans="19:19" x14ac:dyDescent="0.2">
      <c r="S384" s="48"/>
    </row>
    <row r="385" spans="19:19" x14ac:dyDescent="0.2">
      <c r="S385" s="48"/>
    </row>
    <row r="386" spans="19:19" x14ac:dyDescent="0.2">
      <c r="S386" s="48"/>
    </row>
    <row r="387" spans="19:19" x14ac:dyDescent="0.2">
      <c r="S387" s="48"/>
    </row>
    <row r="388" spans="19:19" x14ac:dyDescent="0.2">
      <c r="S388" s="48"/>
    </row>
    <row r="389" spans="19:19" x14ac:dyDescent="0.2">
      <c r="S389" s="48"/>
    </row>
    <row r="390" spans="19:19" x14ac:dyDescent="0.2">
      <c r="S390" s="48"/>
    </row>
    <row r="391" spans="19:19" x14ac:dyDescent="0.2">
      <c r="S391" s="48"/>
    </row>
    <row r="392" spans="19:19" x14ac:dyDescent="0.2">
      <c r="S392" s="48"/>
    </row>
    <row r="393" spans="19:19" x14ac:dyDescent="0.2">
      <c r="S393" s="48"/>
    </row>
    <row r="394" spans="19:19" x14ac:dyDescent="0.2">
      <c r="S394" s="48"/>
    </row>
    <row r="395" spans="19:19" x14ac:dyDescent="0.2">
      <c r="S395" s="48"/>
    </row>
    <row r="396" spans="19:19" x14ac:dyDescent="0.2">
      <c r="S396" s="48"/>
    </row>
    <row r="397" spans="19:19" x14ac:dyDescent="0.2">
      <c r="S397" s="48"/>
    </row>
    <row r="398" spans="19:19" x14ac:dyDescent="0.2">
      <c r="S398" s="48"/>
    </row>
    <row r="399" spans="19:19" x14ac:dyDescent="0.2">
      <c r="S399" s="48"/>
    </row>
    <row r="400" spans="19:19" x14ac:dyDescent="0.2">
      <c r="S400" s="48"/>
    </row>
    <row r="401" spans="19:19" x14ac:dyDescent="0.2">
      <c r="S401" s="48"/>
    </row>
    <row r="402" spans="19:19" x14ac:dyDescent="0.2">
      <c r="S402" s="48"/>
    </row>
    <row r="403" spans="19:19" x14ac:dyDescent="0.2">
      <c r="S403" s="48"/>
    </row>
    <row r="404" spans="19:19" x14ac:dyDescent="0.2">
      <c r="S404" s="48"/>
    </row>
    <row r="405" spans="19:19" x14ac:dyDescent="0.2">
      <c r="S405" s="48"/>
    </row>
    <row r="406" spans="19:19" x14ac:dyDescent="0.2">
      <c r="S406" s="48"/>
    </row>
    <row r="407" spans="19:19" x14ac:dyDescent="0.2">
      <c r="S407" s="48"/>
    </row>
    <row r="408" spans="19:19" x14ac:dyDescent="0.2">
      <c r="S408" s="48"/>
    </row>
    <row r="409" spans="19:19" x14ac:dyDescent="0.2">
      <c r="S409" s="48"/>
    </row>
    <row r="410" spans="19:19" x14ac:dyDescent="0.2">
      <c r="S410" s="48"/>
    </row>
    <row r="411" spans="19:19" x14ac:dyDescent="0.2">
      <c r="S411" s="48"/>
    </row>
    <row r="412" spans="19:19" x14ac:dyDescent="0.2">
      <c r="S412" s="48"/>
    </row>
    <row r="413" spans="19:19" x14ac:dyDescent="0.2">
      <c r="S413" s="48"/>
    </row>
    <row r="414" spans="19:19" x14ac:dyDescent="0.2">
      <c r="S414" s="48"/>
    </row>
    <row r="415" spans="19:19" x14ac:dyDescent="0.2">
      <c r="S415" s="48"/>
    </row>
    <row r="416" spans="19:19" x14ac:dyDescent="0.2">
      <c r="S416" s="48"/>
    </row>
    <row r="417" spans="19:19" x14ac:dyDescent="0.2">
      <c r="S417" s="48"/>
    </row>
    <row r="418" spans="19:19" x14ac:dyDescent="0.2">
      <c r="S418" s="48"/>
    </row>
    <row r="419" spans="19:19" x14ac:dyDescent="0.2">
      <c r="S419" s="48"/>
    </row>
    <row r="420" spans="19:19" x14ac:dyDescent="0.2">
      <c r="S420" s="48"/>
    </row>
    <row r="421" spans="19:19" x14ac:dyDescent="0.2">
      <c r="S421" s="48"/>
    </row>
    <row r="422" spans="19:19" x14ac:dyDescent="0.2">
      <c r="S422" s="48"/>
    </row>
    <row r="423" spans="19:19" x14ac:dyDescent="0.2">
      <c r="S423" s="48"/>
    </row>
    <row r="424" spans="19:19" x14ac:dyDescent="0.2">
      <c r="S424" s="48"/>
    </row>
    <row r="425" spans="19:19" x14ac:dyDescent="0.2">
      <c r="S425" s="48"/>
    </row>
    <row r="426" spans="19:19" x14ac:dyDescent="0.2">
      <c r="S426" s="48"/>
    </row>
    <row r="427" spans="19:19" x14ac:dyDescent="0.2">
      <c r="S427" s="48"/>
    </row>
    <row r="428" spans="19:19" x14ac:dyDescent="0.2">
      <c r="S428" s="48"/>
    </row>
    <row r="429" spans="19:19" x14ac:dyDescent="0.2">
      <c r="S429" s="48"/>
    </row>
    <row r="430" spans="19:19" x14ac:dyDescent="0.2">
      <c r="S430" s="48"/>
    </row>
    <row r="431" spans="19:19" x14ac:dyDescent="0.2">
      <c r="S431" s="48"/>
    </row>
    <row r="432" spans="19:19" x14ac:dyDescent="0.2">
      <c r="S432" s="48"/>
    </row>
    <row r="433" spans="19:19" x14ac:dyDescent="0.2">
      <c r="S433" s="48"/>
    </row>
    <row r="434" spans="19:19" x14ac:dyDescent="0.2">
      <c r="S434" s="48"/>
    </row>
    <row r="435" spans="19:19" x14ac:dyDescent="0.2">
      <c r="S435" s="48"/>
    </row>
    <row r="436" spans="19:19" x14ac:dyDescent="0.2">
      <c r="S436" s="48"/>
    </row>
    <row r="437" spans="19:19" x14ac:dyDescent="0.2">
      <c r="S437" s="48"/>
    </row>
    <row r="438" spans="19:19" x14ac:dyDescent="0.2">
      <c r="S438" s="48"/>
    </row>
    <row r="439" spans="19:19" x14ac:dyDescent="0.2">
      <c r="S439" s="48"/>
    </row>
    <row r="440" spans="19:19" x14ac:dyDescent="0.2">
      <c r="S440" s="48"/>
    </row>
    <row r="441" spans="19:19" x14ac:dyDescent="0.2">
      <c r="S441" s="48"/>
    </row>
    <row r="442" spans="19:19" x14ac:dyDescent="0.2">
      <c r="S442" s="48"/>
    </row>
    <row r="443" spans="19:19" x14ac:dyDescent="0.2">
      <c r="S443" s="48"/>
    </row>
    <row r="444" spans="19:19" x14ac:dyDescent="0.2">
      <c r="S444" s="48"/>
    </row>
    <row r="445" spans="19:19" x14ac:dyDescent="0.2">
      <c r="S445" s="48"/>
    </row>
    <row r="446" spans="19:19" x14ac:dyDescent="0.2">
      <c r="S446" s="48"/>
    </row>
    <row r="447" spans="19:19" x14ac:dyDescent="0.2">
      <c r="S447" s="48"/>
    </row>
    <row r="448" spans="19:19" x14ac:dyDescent="0.2">
      <c r="S448" s="48"/>
    </row>
    <row r="449" spans="19:19" x14ac:dyDescent="0.2">
      <c r="S449" s="48"/>
    </row>
    <row r="450" spans="19:19" x14ac:dyDescent="0.2">
      <c r="S450" s="48"/>
    </row>
    <row r="451" spans="19:19" x14ac:dyDescent="0.2">
      <c r="S451" s="48"/>
    </row>
    <row r="452" spans="19:19" x14ac:dyDescent="0.2">
      <c r="S452" s="48"/>
    </row>
    <row r="453" spans="19:19" x14ac:dyDescent="0.2">
      <c r="S453" s="48"/>
    </row>
    <row r="454" spans="19:19" x14ac:dyDescent="0.2">
      <c r="S454" s="48"/>
    </row>
    <row r="455" spans="19:19" x14ac:dyDescent="0.2">
      <c r="S455" s="48"/>
    </row>
    <row r="456" spans="19:19" x14ac:dyDescent="0.2">
      <c r="S456" s="48"/>
    </row>
    <row r="457" spans="19:19" x14ac:dyDescent="0.2">
      <c r="S457" s="48"/>
    </row>
    <row r="458" spans="19:19" x14ac:dyDescent="0.2">
      <c r="S458" s="48"/>
    </row>
    <row r="459" spans="19:19" x14ac:dyDescent="0.2">
      <c r="S459" s="48"/>
    </row>
    <row r="460" spans="19:19" x14ac:dyDescent="0.2">
      <c r="S460" s="48"/>
    </row>
    <row r="461" spans="19:19" x14ac:dyDescent="0.2">
      <c r="S461" s="48"/>
    </row>
    <row r="462" spans="19:19" x14ac:dyDescent="0.2">
      <c r="S462" s="48"/>
    </row>
    <row r="463" spans="19:19" x14ac:dyDescent="0.2">
      <c r="S463" s="48"/>
    </row>
    <row r="464" spans="19:19" x14ac:dyDescent="0.2">
      <c r="S464" s="48"/>
    </row>
    <row r="465" spans="19:19" x14ac:dyDescent="0.2">
      <c r="S465" s="48"/>
    </row>
    <row r="466" spans="19:19" x14ac:dyDescent="0.2">
      <c r="S466" s="48"/>
    </row>
    <row r="467" spans="19:19" x14ac:dyDescent="0.2">
      <c r="S467" s="48"/>
    </row>
    <row r="468" spans="19:19" x14ac:dyDescent="0.2">
      <c r="S468" s="48"/>
    </row>
    <row r="469" spans="19:19" x14ac:dyDescent="0.2">
      <c r="S469" s="48"/>
    </row>
    <row r="470" spans="19:19" x14ac:dyDescent="0.2">
      <c r="S470" s="48"/>
    </row>
    <row r="471" spans="19:19" x14ac:dyDescent="0.2">
      <c r="S471" s="48"/>
    </row>
    <row r="472" spans="19:19" x14ac:dyDescent="0.2">
      <c r="S472" s="48"/>
    </row>
    <row r="473" spans="19:19" x14ac:dyDescent="0.2">
      <c r="S473" s="48"/>
    </row>
    <row r="474" spans="19:19" x14ac:dyDescent="0.2">
      <c r="S474" s="48"/>
    </row>
    <row r="475" spans="19:19" x14ac:dyDescent="0.2">
      <c r="S475" s="48"/>
    </row>
    <row r="476" spans="19:19" x14ac:dyDescent="0.2">
      <c r="S476" s="48"/>
    </row>
    <row r="477" spans="19:19" x14ac:dyDescent="0.2">
      <c r="S477" s="48"/>
    </row>
    <row r="478" spans="19:19" x14ac:dyDescent="0.2">
      <c r="S478" s="48"/>
    </row>
    <row r="479" spans="19:19" x14ac:dyDescent="0.2">
      <c r="S479" s="48"/>
    </row>
    <row r="480" spans="19:19" x14ac:dyDescent="0.2">
      <c r="S480" s="48"/>
    </row>
    <row r="481" spans="19:19" x14ac:dyDescent="0.2">
      <c r="S481" s="48"/>
    </row>
    <row r="482" spans="19:19" x14ac:dyDescent="0.2">
      <c r="S482" s="48"/>
    </row>
    <row r="483" spans="19:19" x14ac:dyDescent="0.2">
      <c r="S483" s="48"/>
    </row>
    <row r="484" spans="19:19" x14ac:dyDescent="0.2">
      <c r="S484" s="48"/>
    </row>
    <row r="485" spans="19:19" x14ac:dyDescent="0.2">
      <c r="S485" s="48"/>
    </row>
    <row r="486" spans="19:19" x14ac:dyDescent="0.2">
      <c r="S486" s="48"/>
    </row>
    <row r="487" spans="19:19" x14ac:dyDescent="0.2">
      <c r="S487" s="48"/>
    </row>
    <row r="488" spans="19:19" x14ac:dyDescent="0.2">
      <c r="S488" s="48"/>
    </row>
    <row r="489" spans="19:19" x14ac:dyDescent="0.2">
      <c r="S489" s="48"/>
    </row>
    <row r="490" spans="19:19" x14ac:dyDescent="0.2">
      <c r="S490" s="48"/>
    </row>
    <row r="491" spans="19:19" x14ac:dyDescent="0.2">
      <c r="S491" s="48"/>
    </row>
    <row r="492" spans="19:19" x14ac:dyDescent="0.2">
      <c r="S492" s="48"/>
    </row>
    <row r="493" spans="19:19" x14ac:dyDescent="0.2">
      <c r="S493" s="48"/>
    </row>
    <row r="494" spans="19:19" x14ac:dyDescent="0.2">
      <c r="S494" s="48"/>
    </row>
    <row r="495" spans="19:19" x14ac:dyDescent="0.2">
      <c r="S495" s="48"/>
    </row>
    <row r="496" spans="19:19" x14ac:dyDescent="0.2">
      <c r="S496" s="48"/>
    </row>
    <row r="497" spans="19:19" x14ac:dyDescent="0.2">
      <c r="S497" s="48"/>
    </row>
    <row r="498" spans="19:19" x14ac:dyDescent="0.2">
      <c r="S498" s="48"/>
    </row>
    <row r="499" spans="19:19" x14ac:dyDescent="0.2">
      <c r="S499" s="48"/>
    </row>
    <row r="500" spans="19:19" x14ac:dyDescent="0.2">
      <c r="S500" s="48"/>
    </row>
    <row r="501" spans="19:19" x14ac:dyDescent="0.2">
      <c r="S501" s="48"/>
    </row>
    <row r="502" spans="19:19" x14ac:dyDescent="0.2">
      <c r="S502" s="48"/>
    </row>
    <row r="503" spans="19:19" x14ac:dyDescent="0.2">
      <c r="S503" s="48"/>
    </row>
    <row r="504" spans="19:19" x14ac:dyDescent="0.2">
      <c r="S504" s="48"/>
    </row>
    <row r="505" spans="19:19" x14ac:dyDescent="0.2">
      <c r="S505" s="48"/>
    </row>
    <row r="506" spans="19:19" x14ac:dyDescent="0.2">
      <c r="S506" s="48"/>
    </row>
    <row r="507" spans="19:19" x14ac:dyDescent="0.2">
      <c r="S507" s="48"/>
    </row>
    <row r="508" spans="19:19" x14ac:dyDescent="0.2">
      <c r="S508" s="48"/>
    </row>
    <row r="509" spans="19:19" x14ac:dyDescent="0.2">
      <c r="S509" s="48"/>
    </row>
    <row r="510" spans="19:19" x14ac:dyDescent="0.2">
      <c r="S510" s="48"/>
    </row>
    <row r="511" spans="19:19" x14ac:dyDescent="0.2">
      <c r="S511" s="48"/>
    </row>
    <row r="512" spans="19:19" x14ac:dyDescent="0.2">
      <c r="S512" s="48"/>
    </row>
    <row r="513" spans="19:19" x14ac:dyDescent="0.2">
      <c r="S513" s="48"/>
    </row>
    <row r="514" spans="19:19" x14ac:dyDescent="0.2">
      <c r="S514" s="48"/>
    </row>
    <row r="515" spans="19:19" x14ac:dyDescent="0.2">
      <c r="S515" s="48"/>
    </row>
    <row r="516" spans="19:19" x14ac:dyDescent="0.2">
      <c r="S516" s="48"/>
    </row>
    <row r="517" spans="19:19" x14ac:dyDescent="0.2">
      <c r="S517" s="48"/>
    </row>
    <row r="518" spans="19:19" x14ac:dyDescent="0.2">
      <c r="S518" s="48"/>
    </row>
    <row r="519" spans="19:19" x14ac:dyDescent="0.2">
      <c r="S519" s="48"/>
    </row>
    <row r="520" spans="19:19" x14ac:dyDescent="0.2">
      <c r="S520" s="48"/>
    </row>
    <row r="521" spans="19:19" x14ac:dyDescent="0.2">
      <c r="S521" s="48"/>
    </row>
    <row r="522" spans="19:19" x14ac:dyDescent="0.2">
      <c r="S522" s="48"/>
    </row>
    <row r="523" spans="19:19" x14ac:dyDescent="0.2">
      <c r="S523" s="48"/>
    </row>
    <row r="524" spans="19:19" x14ac:dyDescent="0.2">
      <c r="S524" s="48"/>
    </row>
    <row r="525" spans="19:19" x14ac:dyDescent="0.2">
      <c r="S525" s="48"/>
    </row>
    <row r="526" spans="19:19" x14ac:dyDescent="0.2">
      <c r="S526" s="48"/>
    </row>
    <row r="527" spans="19:19" x14ac:dyDescent="0.2">
      <c r="S527" s="48"/>
    </row>
    <row r="528" spans="19:19" x14ac:dyDescent="0.2">
      <c r="S528" s="48"/>
    </row>
    <row r="529" spans="19:19" x14ac:dyDescent="0.2">
      <c r="S529" s="48"/>
    </row>
    <row r="530" spans="19:19" x14ac:dyDescent="0.2">
      <c r="S530" s="48"/>
    </row>
    <row r="531" spans="19:19" x14ac:dyDescent="0.2">
      <c r="S531" s="48"/>
    </row>
    <row r="532" spans="19:19" x14ac:dyDescent="0.2">
      <c r="S532" s="48"/>
    </row>
    <row r="533" spans="19:19" x14ac:dyDescent="0.2">
      <c r="S533" s="48"/>
    </row>
    <row r="534" spans="19:19" x14ac:dyDescent="0.2">
      <c r="S534" s="48"/>
    </row>
    <row r="535" spans="19:19" x14ac:dyDescent="0.2">
      <c r="S535" s="48"/>
    </row>
    <row r="536" spans="19:19" x14ac:dyDescent="0.2">
      <c r="S536" s="48"/>
    </row>
    <row r="537" spans="19:19" x14ac:dyDescent="0.2">
      <c r="S537" s="48"/>
    </row>
    <row r="538" spans="19:19" x14ac:dyDescent="0.2">
      <c r="S538" s="48"/>
    </row>
    <row r="539" spans="19:19" x14ac:dyDescent="0.2">
      <c r="S539" s="48"/>
    </row>
    <row r="540" spans="19:19" x14ac:dyDescent="0.2">
      <c r="S540" s="48"/>
    </row>
    <row r="541" spans="19:19" x14ac:dyDescent="0.2">
      <c r="S541" s="48"/>
    </row>
    <row r="542" spans="19:19" x14ac:dyDescent="0.2">
      <c r="S542" s="48"/>
    </row>
    <row r="543" spans="19:19" x14ac:dyDescent="0.2">
      <c r="S543" s="48"/>
    </row>
    <row r="544" spans="19:19" x14ac:dyDescent="0.2">
      <c r="S544" s="48"/>
    </row>
    <row r="545" spans="19:19" x14ac:dyDescent="0.2">
      <c r="S545" s="48"/>
    </row>
    <row r="546" spans="19:19" x14ac:dyDescent="0.2">
      <c r="S546" s="48"/>
    </row>
    <row r="547" spans="19:19" x14ac:dyDescent="0.2">
      <c r="S547" s="48"/>
    </row>
    <row r="548" spans="19:19" x14ac:dyDescent="0.2">
      <c r="S548" s="48"/>
    </row>
    <row r="549" spans="19:19" x14ac:dyDescent="0.2">
      <c r="S549" s="48"/>
    </row>
    <row r="550" spans="19:19" x14ac:dyDescent="0.2">
      <c r="S550" s="48"/>
    </row>
    <row r="551" spans="19:19" x14ac:dyDescent="0.2">
      <c r="S551" s="48"/>
    </row>
    <row r="552" spans="19:19" x14ac:dyDescent="0.2">
      <c r="S552" s="48"/>
    </row>
    <row r="553" spans="19:19" x14ac:dyDescent="0.2">
      <c r="S553" s="48"/>
    </row>
    <row r="554" spans="19:19" x14ac:dyDescent="0.2">
      <c r="S554" s="48"/>
    </row>
    <row r="555" spans="19:19" x14ac:dyDescent="0.2">
      <c r="S555" s="48"/>
    </row>
    <row r="556" spans="19:19" x14ac:dyDescent="0.2">
      <c r="S556" s="48"/>
    </row>
    <row r="557" spans="19:19" x14ac:dyDescent="0.2">
      <c r="S557" s="48"/>
    </row>
    <row r="558" spans="19:19" x14ac:dyDescent="0.2">
      <c r="S558" s="48"/>
    </row>
    <row r="559" spans="19:19" x14ac:dyDescent="0.2">
      <c r="S559" s="48"/>
    </row>
    <row r="560" spans="19:19" x14ac:dyDescent="0.2">
      <c r="S560" s="48"/>
    </row>
    <row r="561" spans="19:19" x14ac:dyDescent="0.2">
      <c r="S561" s="48"/>
    </row>
    <row r="562" spans="19:19" x14ac:dyDescent="0.2">
      <c r="S562" s="48"/>
    </row>
    <row r="563" spans="19:19" x14ac:dyDescent="0.2">
      <c r="S563" s="48"/>
    </row>
    <row r="564" spans="19:19" x14ac:dyDescent="0.2">
      <c r="S564" s="48"/>
    </row>
    <row r="565" spans="19:19" x14ac:dyDescent="0.2">
      <c r="S565" s="48"/>
    </row>
    <row r="566" spans="19:19" x14ac:dyDescent="0.2">
      <c r="S566" s="48"/>
    </row>
    <row r="567" spans="19:19" x14ac:dyDescent="0.2">
      <c r="S567" s="48"/>
    </row>
    <row r="568" spans="19:19" x14ac:dyDescent="0.2">
      <c r="S568" s="48"/>
    </row>
    <row r="569" spans="19:19" x14ac:dyDescent="0.2">
      <c r="S569" s="48"/>
    </row>
    <row r="570" spans="19:19" x14ac:dyDescent="0.2">
      <c r="S570" s="48"/>
    </row>
    <row r="571" spans="19:19" x14ac:dyDescent="0.2">
      <c r="S571" s="48"/>
    </row>
    <row r="572" spans="19:19" x14ac:dyDescent="0.2">
      <c r="S572" s="48"/>
    </row>
    <row r="573" spans="19:19" x14ac:dyDescent="0.2">
      <c r="S573" s="48"/>
    </row>
    <row r="574" spans="19:19" x14ac:dyDescent="0.2">
      <c r="S574" s="48"/>
    </row>
    <row r="575" spans="19:19" x14ac:dyDescent="0.2">
      <c r="S575" s="48"/>
    </row>
    <row r="576" spans="19:19" x14ac:dyDescent="0.2">
      <c r="S576" s="48"/>
    </row>
    <row r="577" spans="19:19" x14ac:dyDescent="0.2">
      <c r="S577" s="48"/>
    </row>
    <row r="578" spans="19:19" x14ac:dyDescent="0.2">
      <c r="S578" s="48"/>
    </row>
    <row r="579" spans="19:19" x14ac:dyDescent="0.2">
      <c r="S579" s="48"/>
    </row>
    <row r="580" spans="19:19" x14ac:dyDescent="0.2">
      <c r="S580" s="48"/>
    </row>
    <row r="581" spans="19:19" x14ac:dyDescent="0.2">
      <c r="S581" s="48"/>
    </row>
    <row r="582" spans="19:19" x14ac:dyDescent="0.2">
      <c r="S582" s="48"/>
    </row>
    <row r="583" spans="19:19" x14ac:dyDescent="0.2">
      <c r="S583" s="48"/>
    </row>
    <row r="584" spans="19:19" x14ac:dyDescent="0.2">
      <c r="S584" s="48"/>
    </row>
    <row r="585" spans="19:19" x14ac:dyDescent="0.2">
      <c r="S585" s="48"/>
    </row>
    <row r="586" spans="19:19" x14ac:dyDescent="0.2">
      <c r="S586" s="48"/>
    </row>
    <row r="587" spans="19:19" x14ac:dyDescent="0.2">
      <c r="S587" s="48"/>
    </row>
    <row r="588" spans="19:19" x14ac:dyDescent="0.2">
      <c r="S588" s="48"/>
    </row>
    <row r="589" spans="19:19" x14ac:dyDescent="0.2">
      <c r="S589" s="48"/>
    </row>
    <row r="590" spans="19:19" x14ac:dyDescent="0.2">
      <c r="S590" s="48"/>
    </row>
    <row r="591" spans="19:19" x14ac:dyDescent="0.2">
      <c r="S591" s="48"/>
    </row>
    <row r="592" spans="19:19" x14ac:dyDescent="0.2">
      <c r="S592" s="48"/>
    </row>
    <row r="593" spans="19:19" x14ac:dyDescent="0.2">
      <c r="S593" s="48"/>
    </row>
    <row r="594" spans="19:19" x14ac:dyDescent="0.2">
      <c r="S594" s="48"/>
    </row>
    <row r="595" spans="19:19" x14ac:dyDescent="0.2">
      <c r="S595" s="48"/>
    </row>
    <row r="596" spans="19:19" x14ac:dyDescent="0.2">
      <c r="S596" s="48"/>
    </row>
    <row r="597" spans="19:19" x14ac:dyDescent="0.2">
      <c r="S597" s="48"/>
    </row>
    <row r="598" spans="19:19" x14ac:dyDescent="0.2">
      <c r="S598" s="48"/>
    </row>
    <row r="599" spans="19:19" x14ac:dyDescent="0.2">
      <c r="S599" s="48"/>
    </row>
    <row r="600" spans="19:19" x14ac:dyDescent="0.2">
      <c r="S600" s="48"/>
    </row>
    <row r="601" spans="19:19" x14ac:dyDescent="0.2">
      <c r="S601" s="48"/>
    </row>
    <row r="602" spans="19:19" x14ac:dyDescent="0.2">
      <c r="S602" s="48"/>
    </row>
    <row r="603" spans="19:19" x14ac:dyDescent="0.2">
      <c r="S603" s="48"/>
    </row>
    <row r="604" spans="19:19" x14ac:dyDescent="0.2">
      <c r="S604" s="48"/>
    </row>
    <row r="605" spans="19:19" x14ac:dyDescent="0.2">
      <c r="S605" s="48"/>
    </row>
    <row r="606" spans="19:19" x14ac:dyDescent="0.2">
      <c r="S606" s="48"/>
    </row>
    <row r="607" spans="19:19" x14ac:dyDescent="0.2">
      <c r="S607" s="48"/>
    </row>
    <row r="608" spans="19:19" x14ac:dyDescent="0.2">
      <c r="S608" s="48"/>
    </row>
    <row r="609" spans="19:19" x14ac:dyDescent="0.2">
      <c r="S609" s="48"/>
    </row>
    <row r="610" spans="19:19" x14ac:dyDescent="0.2">
      <c r="S610" s="48"/>
    </row>
    <row r="611" spans="19:19" x14ac:dyDescent="0.2">
      <c r="S611" s="48"/>
    </row>
    <row r="612" spans="19:19" x14ac:dyDescent="0.2">
      <c r="S612" s="48"/>
    </row>
    <row r="613" spans="19:19" x14ac:dyDescent="0.2">
      <c r="S613" s="48"/>
    </row>
    <row r="614" spans="19:19" x14ac:dyDescent="0.2">
      <c r="S614" s="48"/>
    </row>
    <row r="615" spans="19:19" x14ac:dyDescent="0.2">
      <c r="S615" s="48"/>
    </row>
    <row r="616" spans="19:19" x14ac:dyDescent="0.2">
      <c r="S616" s="48"/>
    </row>
    <row r="617" spans="19:19" x14ac:dyDescent="0.2">
      <c r="S617" s="48"/>
    </row>
    <row r="618" spans="19:19" x14ac:dyDescent="0.2">
      <c r="S618" s="48"/>
    </row>
    <row r="619" spans="19:19" x14ac:dyDescent="0.2">
      <c r="S619" s="48"/>
    </row>
    <row r="620" spans="19:19" x14ac:dyDescent="0.2">
      <c r="S620" s="48"/>
    </row>
    <row r="621" spans="19:19" x14ac:dyDescent="0.2">
      <c r="S621" s="48"/>
    </row>
    <row r="622" spans="19:19" x14ac:dyDescent="0.2">
      <c r="S622" s="48"/>
    </row>
    <row r="623" spans="19:19" x14ac:dyDescent="0.2">
      <c r="S623" s="48"/>
    </row>
    <row r="624" spans="19:19" x14ac:dyDescent="0.2">
      <c r="S624" s="48"/>
    </row>
    <row r="625" spans="19:19" x14ac:dyDescent="0.2">
      <c r="S625" s="48"/>
    </row>
    <row r="626" spans="19:19" x14ac:dyDescent="0.2">
      <c r="S626" s="48"/>
    </row>
    <row r="627" spans="19:19" x14ac:dyDescent="0.2">
      <c r="S627" s="48"/>
    </row>
    <row r="628" spans="19:19" x14ac:dyDescent="0.2">
      <c r="S628" s="48"/>
    </row>
    <row r="629" spans="19:19" x14ac:dyDescent="0.2">
      <c r="S629" s="48"/>
    </row>
    <row r="630" spans="19:19" x14ac:dyDescent="0.2">
      <c r="S630" s="48"/>
    </row>
    <row r="631" spans="19:19" x14ac:dyDescent="0.2">
      <c r="S631" s="48"/>
    </row>
    <row r="632" spans="19:19" x14ac:dyDescent="0.2">
      <c r="S632" s="48"/>
    </row>
    <row r="633" spans="19:19" x14ac:dyDescent="0.2">
      <c r="S633" s="48"/>
    </row>
    <row r="634" spans="19:19" x14ac:dyDescent="0.2">
      <c r="S634" s="48"/>
    </row>
    <row r="635" spans="19:19" x14ac:dyDescent="0.2">
      <c r="S635" s="48"/>
    </row>
    <row r="636" spans="19:19" x14ac:dyDescent="0.2">
      <c r="S636" s="48"/>
    </row>
    <row r="637" spans="19:19" x14ac:dyDescent="0.2">
      <c r="S637" s="48"/>
    </row>
    <row r="638" spans="19:19" x14ac:dyDescent="0.2">
      <c r="S638" s="48"/>
    </row>
    <row r="639" spans="19:19" x14ac:dyDescent="0.2">
      <c r="S639" s="48"/>
    </row>
    <row r="640" spans="19:19" x14ac:dyDescent="0.2">
      <c r="S640" s="48"/>
    </row>
    <row r="641" spans="19:19" x14ac:dyDescent="0.2">
      <c r="S641" s="48"/>
    </row>
    <row r="642" spans="19:19" x14ac:dyDescent="0.2">
      <c r="S642" s="48"/>
    </row>
    <row r="643" spans="19:19" x14ac:dyDescent="0.2">
      <c r="S643" s="48"/>
    </row>
    <row r="644" spans="19:19" x14ac:dyDescent="0.2">
      <c r="S644" s="48"/>
    </row>
    <row r="645" spans="19:19" x14ac:dyDescent="0.2">
      <c r="S645" s="48"/>
    </row>
    <row r="646" spans="19:19" x14ac:dyDescent="0.2">
      <c r="S646" s="48"/>
    </row>
    <row r="647" spans="19:19" x14ac:dyDescent="0.2">
      <c r="S647" s="48"/>
    </row>
    <row r="648" spans="19:19" x14ac:dyDescent="0.2">
      <c r="S648" s="48"/>
    </row>
    <row r="649" spans="19:19" x14ac:dyDescent="0.2">
      <c r="S649" s="48"/>
    </row>
    <row r="650" spans="19:19" x14ac:dyDescent="0.2">
      <c r="S650" s="48"/>
    </row>
    <row r="651" spans="19:19" x14ac:dyDescent="0.2">
      <c r="S651" s="48"/>
    </row>
    <row r="652" spans="19:19" x14ac:dyDescent="0.2">
      <c r="S652" s="48"/>
    </row>
    <row r="653" spans="19:19" x14ac:dyDescent="0.2">
      <c r="S653" s="48"/>
    </row>
    <row r="654" spans="19:19" x14ac:dyDescent="0.2">
      <c r="S654" s="48"/>
    </row>
    <row r="655" spans="19:19" x14ac:dyDescent="0.2">
      <c r="S655" s="48"/>
    </row>
    <row r="656" spans="19:19" x14ac:dyDescent="0.2">
      <c r="S656" s="48"/>
    </row>
    <row r="657" spans="19:19" x14ac:dyDescent="0.2">
      <c r="S657" s="48"/>
    </row>
    <row r="658" spans="19:19" x14ac:dyDescent="0.2">
      <c r="S658" s="48"/>
    </row>
    <row r="659" spans="19:19" x14ac:dyDescent="0.2">
      <c r="S659" s="48"/>
    </row>
    <row r="660" spans="19:19" x14ac:dyDescent="0.2">
      <c r="S660" s="48"/>
    </row>
    <row r="661" spans="19:19" x14ac:dyDescent="0.2">
      <c r="S661" s="48"/>
    </row>
    <row r="662" spans="19:19" x14ac:dyDescent="0.2">
      <c r="S662" s="48"/>
    </row>
    <row r="663" spans="19:19" x14ac:dyDescent="0.2">
      <c r="S663" s="48"/>
    </row>
    <row r="664" spans="19:19" x14ac:dyDescent="0.2">
      <c r="S664" s="48"/>
    </row>
    <row r="665" spans="19:19" x14ac:dyDescent="0.2">
      <c r="S665" s="48"/>
    </row>
    <row r="666" spans="19:19" x14ac:dyDescent="0.2">
      <c r="S666" s="48"/>
    </row>
    <row r="667" spans="19:19" x14ac:dyDescent="0.2">
      <c r="S667" s="48"/>
    </row>
    <row r="668" spans="19:19" x14ac:dyDescent="0.2">
      <c r="S668" s="48"/>
    </row>
    <row r="669" spans="19:19" x14ac:dyDescent="0.2">
      <c r="S669" s="48"/>
    </row>
    <row r="670" spans="19:19" x14ac:dyDescent="0.2">
      <c r="S670" s="48"/>
    </row>
    <row r="671" spans="19:19" x14ac:dyDescent="0.2">
      <c r="S671" s="48"/>
    </row>
    <row r="672" spans="19:19" x14ac:dyDescent="0.2">
      <c r="S672" s="48"/>
    </row>
    <row r="673" spans="19:19" x14ac:dyDescent="0.2">
      <c r="S673" s="48"/>
    </row>
    <row r="674" spans="19:19" x14ac:dyDescent="0.2">
      <c r="S674" s="48"/>
    </row>
    <row r="675" spans="19:19" x14ac:dyDescent="0.2">
      <c r="S675" s="48"/>
    </row>
    <row r="676" spans="19:19" x14ac:dyDescent="0.2">
      <c r="S676" s="48"/>
    </row>
    <row r="677" spans="19:19" x14ac:dyDescent="0.2">
      <c r="S677" s="48"/>
    </row>
    <row r="678" spans="19:19" x14ac:dyDescent="0.2">
      <c r="S678" s="48"/>
    </row>
    <row r="679" spans="19:19" x14ac:dyDescent="0.2">
      <c r="S679" s="48"/>
    </row>
    <row r="680" spans="19:19" x14ac:dyDescent="0.2">
      <c r="S680" s="48"/>
    </row>
    <row r="681" spans="19:19" x14ac:dyDescent="0.2">
      <c r="S681" s="48"/>
    </row>
    <row r="682" spans="19:19" x14ac:dyDescent="0.2">
      <c r="S682" s="48"/>
    </row>
    <row r="683" spans="19:19" x14ac:dyDescent="0.2">
      <c r="S683" s="48"/>
    </row>
    <row r="684" spans="19:19" x14ac:dyDescent="0.2">
      <c r="S684" s="48"/>
    </row>
    <row r="685" spans="19:19" x14ac:dyDescent="0.2">
      <c r="S685" s="48"/>
    </row>
    <row r="686" spans="19:19" x14ac:dyDescent="0.2">
      <c r="S686" s="48"/>
    </row>
    <row r="687" spans="19:19" x14ac:dyDescent="0.2">
      <c r="S687" s="48"/>
    </row>
    <row r="688" spans="19:19" x14ac:dyDescent="0.2">
      <c r="S688" s="48"/>
    </row>
    <row r="689" spans="19:19" x14ac:dyDescent="0.2">
      <c r="S689" s="48"/>
    </row>
    <row r="690" spans="19:19" x14ac:dyDescent="0.2">
      <c r="S690" s="48"/>
    </row>
    <row r="691" spans="19:19" x14ac:dyDescent="0.2">
      <c r="S691" s="48"/>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BANDHAN OF</vt:lpstr>
      <vt:lpstr>BANDHAN CF</vt:lpstr>
      <vt:lpstr>BANDHAN LDF</vt:lpstr>
      <vt:lpstr>BANDHAN MMF</vt:lpstr>
      <vt:lpstr>BANDHAN USTF</vt:lpstr>
      <vt:lpstr>BANDHAN DBF</vt:lpstr>
      <vt:lpstr>BANDHAN BOND IP</vt:lpstr>
      <vt:lpstr>BANDHAN BOND MT</vt:lpstr>
      <vt:lpstr>BANDHAN BOND ST</vt:lpstr>
      <vt:lpstr>BANDHAN BPDF</vt:lpstr>
      <vt:lpstr>BANDHAN CBF</vt:lpstr>
      <vt:lpstr>BANDHAN FRF</vt:lpstr>
      <vt:lpstr>BANDHAN CRF</vt:lpstr>
      <vt:lpstr>BANDHAN GSF-IP</vt:lpstr>
      <vt:lpstr>BANDHAN GSF - CMP</vt:lpstr>
      <vt:lpstr>BANDHAN GIF26</vt:lpstr>
      <vt:lpstr>BANDHAN GIF2027</vt:lpstr>
      <vt:lpstr>BANDHAN GIF2028</vt:lpstr>
      <vt:lpstr>BANDHAN GIF32</vt:lpstr>
      <vt:lpstr>BANDHAN SDLGIF26</vt:lpstr>
      <vt:lpstr>BANDHAN SDLGIF27</vt:lpstr>
      <vt:lpstr>BANDHAN SDLGIF32</vt:lpstr>
      <vt:lpstr>BANDHAN ASBF</vt:lpstr>
      <vt:lpstr>BANDHAN US TB 0-1yr FOF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BANDHANMF Products2</dc:creator>
  <cp:lastModifiedBy>BANDHANMF Products2</cp:lastModifiedBy>
  <dcterms:created xsi:type="dcterms:W3CDTF">2023-11-01T03:44:31Z</dcterms:created>
  <dcterms:modified xsi:type="dcterms:W3CDTF">2023-11-02T07:12:02Z</dcterms:modified>
</cp:coreProperties>
</file>