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Y:\Product_Team\MONTH END DELIVERABLES-1\Portfolios_All\2024\May 2024\"/>
    </mc:Choice>
  </mc:AlternateContent>
  <xr:revisionPtr revIDLastSave="0" documentId="13_ncr:1_{893516F3-B48B-4713-88D4-58270E00EE1D}" xr6:coauthVersionLast="36" xr6:coauthVersionMax="36" xr10:uidLastSave="{00000000-0000-0000-0000-000000000000}"/>
  <bookViews>
    <workbookView xWindow="0" yWindow="0" windowWidth="20445" windowHeight="5055" xr2:uid="{FAA79BB3-3902-4AE4-A09A-03F9DDBD027A}"/>
  </bookViews>
  <sheets>
    <sheet name="BANDHAN OF" sheetId="24" r:id="rId1"/>
    <sheet name="BANDHAN CF" sheetId="20" r:id="rId2"/>
    <sheet name="BANDHAN LDF" sheetId="22" r:id="rId3"/>
    <sheet name="BANDHAN MMF" sheetId="23" r:id="rId4"/>
    <sheet name="BANDHAN USTF" sheetId="25"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Long Dur F" sheetId="21" r:id="rId14"/>
    <sheet name="BANDHAN GSF-IP" sheetId="19" r:id="rId15"/>
    <sheet name="BANDHAN GSF - CMP" sheetId="18"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6" r:id="rId25"/>
  </sheets>
  <definedNames>
    <definedName name="JR_PAGE_ANCHOR_0_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alcChain>
</file>

<file path=xl/sharedStrings.xml><?xml version="1.0" encoding="utf-8"?>
<sst xmlns="http://schemas.openxmlformats.org/spreadsheetml/2006/main" count="1354" uniqueCount="290">
  <si>
    <t>Bandhan All Seasons Bond Fund (30 April, 2024 )</t>
  </si>
  <si>
    <t>Net Assets as on 30 April, 2024</t>
  </si>
  <si>
    <t>116.93 crs</t>
  </si>
  <si>
    <t>Name</t>
  </si>
  <si>
    <t>Rating</t>
  </si>
  <si>
    <t>Total</t>
  </si>
  <si>
    <t>Bandhan Bond Fund -Short Term Pl Direct Pl-Growth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</si>
  <si>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</si>
  <si>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</si>
  <si>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</si>
  <si>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</si>
  <si>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</si>
  <si>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</si>
  <si>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</si>
  <si>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</si>
  <si>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</si>
  <si>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</si>
  <si>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</si>
  <si>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</si>
  <si>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Bandhan Banking &amp; PSU Debt Fund (30 April, 2024 )</t>
  </si>
  <si>
    <t>14207.57 crs</t>
  </si>
  <si>
    <t>ICICI Bank Limited</t>
  </si>
  <si>
    <t xml:space="preserve"> A1+</t>
  </si>
  <si>
    <t>Kotak Mahindra Bank Limited</t>
  </si>
  <si>
    <t>Axis Bank Limited</t>
  </si>
  <si>
    <t>Small Industries Dev Bank of India</t>
  </si>
  <si>
    <t>Certificate of Deposit Total</t>
  </si>
  <si>
    <t>HDFC Bank Limited</t>
  </si>
  <si>
    <t xml:space="preserve"> AAA</t>
  </si>
  <si>
    <t>National Bank For Agriculture and Rural Development</t>
  </si>
  <si>
    <t>Indian Railway Finance Corporation Limited</t>
  </si>
  <si>
    <t>Power Finance Corporation Limited</t>
  </si>
  <si>
    <t>Bajaj Housing Finance Limited</t>
  </si>
  <si>
    <t>REC Limited</t>
  </si>
  <si>
    <t>Hindustan Petroleum Corporation Limited</t>
  </si>
  <si>
    <t>NTPC Limited</t>
  </si>
  <si>
    <t>Nuclear Power Corporation Of India Limited</t>
  </si>
  <si>
    <t>Indian Oil Corporation Limited</t>
  </si>
  <si>
    <t>National Housing Bank</t>
  </si>
  <si>
    <t>Power Grid Corporation of India Limited</t>
  </si>
  <si>
    <t>NHPC Limited</t>
  </si>
  <si>
    <t>Reliance Jio Infocomm Limited</t>
  </si>
  <si>
    <t>Corporate Bond Total</t>
  </si>
  <si>
    <t>Corporate Debt Market Development Fund</t>
  </si>
  <si>
    <t>Corporate Debt Market Development Fund Total</t>
  </si>
  <si>
    <t>7.1% GOI (MD 18/04/2029)</t>
  </si>
  <si>
    <t>7.17% GOI (MD 17/04/2030)</t>
  </si>
  <si>
    <t>7.26% GOI (MD 22/08/2032)</t>
  </si>
  <si>
    <t>6.54% GOI (MD 17/01/2032)</t>
  </si>
  <si>
    <t>7.32% GOI (MD 13/11/2030)</t>
  </si>
  <si>
    <t>7.26% GOI (MD 06/02/2033)</t>
  </si>
  <si>
    <t>Government Bond Total</t>
  </si>
  <si>
    <t>State Government Bond Total</t>
  </si>
  <si>
    <t>Certificate of Deposit</t>
  </si>
  <si>
    <t>Corporate Bond</t>
  </si>
  <si>
    <t>Government Bond</t>
  </si>
  <si>
    <t>State Government Bond</t>
  </si>
  <si>
    <t>Bandhan Bond Fund - Income Plan (30 April, 2024 )</t>
  </si>
  <si>
    <t>491.18 crs</t>
  </si>
  <si>
    <t>7.18% GOI (MD 24/07/2037)</t>
  </si>
  <si>
    <t>7.3% GOI (MD 19/06/2053)</t>
  </si>
  <si>
    <t>7.06% GOI (MD 10/04/2028)</t>
  </si>
  <si>
    <t>6.79% GOI (MD 15/05/2027)</t>
  </si>
  <si>
    <t>7.73% GOI (MD 19/12/2034)</t>
  </si>
  <si>
    <t>Bandhan Bond Fund - Medium Term Plan (30 April, 2024 )</t>
  </si>
  <si>
    <t>1581.38 crs</t>
  </si>
  <si>
    <t>8.24% GOI (MD 15/02/2027)</t>
  </si>
  <si>
    <t xml:space="preserve"> AAA(SO)</t>
  </si>
  <si>
    <t>PTC Total</t>
  </si>
  <si>
    <t>PTC</t>
  </si>
  <si>
    <t>Bandhan Bond Fund - Short Term Plan (30 April, 2024 )</t>
  </si>
  <si>
    <t>8649.34 crs</t>
  </si>
  <si>
    <t>Bajaj Finance Limited</t>
  </si>
  <si>
    <t>Sundaram Finance Limited</t>
  </si>
  <si>
    <t>5.63% GOI (MD 12/04/2026)</t>
  </si>
  <si>
    <t>Bandhan Corporate Bond Fund (30 April, 2024 )</t>
  </si>
  <si>
    <t>13721.82 crs</t>
  </si>
  <si>
    <t>Export Import Bank of India</t>
  </si>
  <si>
    <t>Kotak Mahindra Prime Limited</t>
  </si>
  <si>
    <t>National Highways Authority Of India</t>
  </si>
  <si>
    <t>Zero Coupon Bond Total</t>
  </si>
  <si>
    <t>Zero Coupon Bond</t>
  </si>
  <si>
    <t>Bandhan Credit Risk Fund (30 April, 2024 )</t>
  </si>
  <si>
    <t>350.99 crs</t>
  </si>
  <si>
    <t>Century Textiles &amp; Industries Limited</t>
  </si>
  <si>
    <t xml:space="preserve"> AA</t>
  </si>
  <si>
    <t>Godrej Industries Limited</t>
  </si>
  <si>
    <t>Tata Projects Limited</t>
  </si>
  <si>
    <t>Bharti Telecom Limited</t>
  </si>
  <si>
    <t xml:space="preserve"> AA+</t>
  </si>
  <si>
    <t>TVS Credit Services Limited</t>
  </si>
  <si>
    <t>AU Small Finance Bank Limited</t>
  </si>
  <si>
    <t>Nirma Limited</t>
  </si>
  <si>
    <t>Aadhar Housing Finance Limited</t>
  </si>
  <si>
    <t>Godrej Housing Finance Limited</t>
  </si>
  <si>
    <t>Godrej Properties Limited</t>
  </si>
  <si>
    <t>7.18% GOI (MD 14/08/2033)</t>
  </si>
  <si>
    <t>AA</t>
  </si>
  <si>
    <t>AA+</t>
  </si>
  <si>
    <t>Bandhan CRISIL IBX 90:10 SDL+Gilt Apr32 Index Fund (30 April, 2024 )</t>
  </si>
  <si>
    <t>350.10 crs</t>
  </si>
  <si>
    <t>6.1% GOI (MD 12/07/2031)</t>
  </si>
  <si>
    <t>Bandhan CRISIL IBX 90:10 SDL+Gilt Nov26 Index Fund (30 April, 2024 )</t>
  </si>
  <si>
    <t>113.86 crs</t>
  </si>
  <si>
    <t>5.74% GOI (MD 15/11/2026)</t>
  </si>
  <si>
    <t>Bandhan CRISIL IBX 90:10 SDL+Gilt Sep27 Index Fund (30 April, 2024 )</t>
  </si>
  <si>
    <t>168.12 crs</t>
  </si>
  <si>
    <t>7.38% GOI (MD 20/06/2027)</t>
  </si>
  <si>
    <t>Bandhan CRISIL IBX Gilt April 2026 Index Fund (30 April, 2024 )</t>
  </si>
  <si>
    <t>481.99 crs</t>
  </si>
  <si>
    <t>6.99% GOI (MD 17/04/2026)</t>
  </si>
  <si>
    <t>7.59% GOI(MD 11/01/2026)</t>
  </si>
  <si>
    <t>5.15% GOI (MD 09/11/2025)</t>
  </si>
  <si>
    <t>7.27% GOI (MD 08/04/2026)</t>
  </si>
  <si>
    <t>Bandhan CRISIL IBX Gilt April 2028 Index Fund (30 April, 2024 )</t>
  </si>
  <si>
    <t>4963.80 crs</t>
  </si>
  <si>
    <t>7.17% GOI (MD 08/01/2028)</t>
  </si>
  <si>
    <t>8.28% GOI (M/D 21/09/2027)</t>
  </si>
  <si>
    <t>Bandhan CRISIL IBX GILT APRIL 2032 INDEX FUND (30 April, 2024 )</t>
  </si>
  <si>
    <t>381.32 crs</t>
  </si>
  <si>
    <t>Average Maturity in Days</t>
  </si>
  <si>
    <t>Bandhan CRISIL IBX Gilt June 2027 Index Fund (30 April, 2024 )</t>
  </si>
  <si>
    <t>8249.84 crs</t>
  </si>
  <si>
    <t>Bandhan Dynamic Bond Fund (30 April, 2024 )</t>
  </si>
  <si>
    <t>2319.73 crs</t>
  </si>
  <si>
    <t>8.20% GOI (MD 24/09/2025)</t>
  </si>
  <si>
    <t>Bandhan Floating Rate Fund (30 April, 2024 )</t>
  </si>
  <si>
    <t>208.74 crs</t>
  </si>
  <si>
    <t>Cholamandalam Investment and Finance Company Ltd</t>
  </si>
  <si>
    <t>7.37% GOI (MD 23/10/2028)</t>
  </si>
  <si>
    <t>Interest Rate Swaps</t>
  </si>
  <si>
    <t>Bandhan Government Sec Fund-Constant Maturity Plan (30 April, 2024 )</t>
  </si>
  <si>
    <t>327.31 crs</t>
  </si>
  <si>
    <t>Bandhan Government Securities Fund-Investment Plan (30 April, 2024 )</t>
  </si>
  <si>
    <t>2196.84 crs</t>
  </si>
  <si>
    <t>Bandhan Liquid Fund (30 April, 2024 )</t>
  </si>
  <si>
    <t>13494.31 crs</t>
  </si>
  <si>
    <t>Canara Bank</t>
  </si>
  <si>
    <t>Bank of Baroda</t>
  </si>
  <si>
    <t>IndusInd Bank Limited</t>
  </si>
  <si>
    <t>Punjab National Bank</t>
  </si>
  <si>
    <t>Reliance Retail Ventures Limited</t>
  </si>
  <si>
    <t>Kotak Securities Limited</t>
  </si>
  <si>
    <t>Bajaj Financial Securities Limited</t>
  </si>
  <si>
    <t>Tata Capital Limited</t>
  </si>
  <si>
    <t>Mahindra &amp; Mahindra Financial Services Limited</t>
  </si>
  <si>
    <t>Godrej Consumer Products Limited</t>
  </si>
  <si>
    <t>ICICI Securities Limited</t>
  </si>
  <si>
    <t>L&amp;T Finance Holdings Limited</t>
  </si>
  <si>
    <t>Commercial Paper Total</t>
  </si>
  <si>
    <t>6.69% GOI (MD 27/06/2024)</t>
  </si>
  <si>
    <t>91 Days Tbill (MD 06/06/2024)</t>
  </si>
  <si>
    <t>91 Days Tbill (MD 20/06/2024)</t>
  </si>
  <si>
    <t>182 Days Tbill (MD 27/06/2024)</t>
  </si>
  <si>
    <t>91 Days Tbill (MD 13/06/2024)</t>
  </si>
  <si>
    <t>182 Days Tbill (MD 06/06/2024)</t>
  </si>
  <si>
    <t>182 Days Tbill (MD 13/06/2024)</t>
  </si>
  <si>
    <t>91 Days Tbill (MD 23/05/2024)</t>
  </si>
  <si>
    <t>91 Days Tbill (MD 30/05/2024)</t>
  </si>
  <si>
    <t>91 Days Tbill (MD 27/06/2024)</t>
  </si>
  <si>
    <t>Treasury Bill Total</t>
  </si>
  <si>
    <t>Commercial Paper</t>
  </si>
  <si>
    <t>Treasury Bill</t>
  </si>
  <si>
    <t>Bandhan Long Duration Fund (30 April, 2024 )</t>
  </si>
  <si>
    <t>67.24 crs</t>
  </si>
  <si>
    <t>7.46% GOI (MD 06/11/2073)</t>
  </si>
  <si>
    <t>7.25% GOI (MD 12/06/2063)</t>
  </si>
  <si>
    <t>Bandhan Low Duration Fund (30 April, 2024 )</t>
  </si>
  <si>
    <t>5228.75 crs</t>
  </si>
  <si>
    <t>Tata Capital Housing Finance Limited</t>
  </si>
  <si>
    <t>Larsen &amp; Toubro Limited</t>
  </si>
  <si>
    <t>182 Days Tbill (MD 25/07/2024)</t>
  </si>
  <si>
    <t>182 Days Tbill (MD 15/08/2024)</t>
  </si>
  <si>
    <t>182 Days Tbill (MD 08/08/2024)</t>
  </si>
  <si>
    <t>Bandhan Money Manager Fund (30 April, 2024 )</t>
  </si>
  <si>
    <t>4531.17 crs</t>
  </si>
  <si>
    <t>Panatone Finvest Limited</t>
  </si>
  <si>
    <t>HDFC Securities Limited</t>
  </si>
  <si>
    <t>Government Bond Strips Total</t>
  </si>
  <si>
    <t>364 Days Tbill (MD 23/01/2025)</t>
  </si>
  <si>
    <t>364 Days Tbill (MD 26/12/2024)</t>
  </si>
  <si>
    <t>364 Days Tbill (MD 27/02/2025)</t>
  </si>
  <si>
    <t>Government Bond Strips</t>
  </si>
  <si>
    <t>Bandhan Overnight Fund (30 April, 2024 )</t>
  </si>
  <si>
    <t>1362.17 crs</t>
  </si>
  <si>
    <t>REPO Total</t>
  </si>
  <si>
    <t>91 Days Tbill (MD 02/05/2024)</t>
  </si>
  <si>
    <t>91 Days Tbill (MD 09/05/2024)</t>
  </si>
  <si>
    <t>91 Days Tbill (MD 16/05/2024)</t>
  </si>
  <si>
    <t>182 Days Tbill (MD 30/05/2024)</t>
  </si>
  <si>
    <t>REPO</t>
  </si>
  <si>
    <t>Bandhan Ultra Short Term Fund (30 April, 2024 )</t>
  </si>
  <si>
    <t>3962.02 crs</t>
  </si>
  <si>
    <t>Reliance Industries Limited</t>
  </si>
  <si>
    <t>364 Days Tbill (MD 13/06/2024)</t>
  </si>
  <si>
    <t xml:space="preserve">SOV </t>
  </si>
  <si>
    <t>8.94% Rajasthan SDL (MD 23/07/2024)</t>
  </si>
  <si>
    <t>8.27% Haryana SDL (MD 13/05/2025)</t>
  </si>
  <si>
    <t>7.41% Uttar Pradesh SDL (MD 09/11/2026)</t>
  </si>
  <si>
    <t>GOI Strips (MD 12/12/2024 )</t>
  </si>
  <si>
    <t>8.07% Gujrat SDL (MD 11/02/2025)</t>
  </si>
  <si>
    <t>8.72% Tamil Nadu SDL (MD 29/10/2024)</t>
  </si>
  <si>
    <t>8.24% Maharashtra SDL (MD 24/12/2024)</t>
  </si>
  <si>
    <t>8.09% Andhra Pradesh SDL (MD 28/01/2025)</t>
  </si>
  <si>
    <t>5.8% Maharashtra SDL (MD 02/02/2025)</t>
  </si>
  <si>
    <t>8.43% Maharashtra SDL (MD 12/11/2024)</t>
  </si>
  <si>
    <t>8.37% Tamil Nadu SDL (MD 05/12/2028)</t>
  </si>
  <si>
    <t>7.18% Tamilnadu SDL (MD 26/07/2027)</t>
  </si>
  <si>
    <t>8.96% Maharashtra SDL  (MD 09/07/2024)</t>
  </si>
  <si>
    <t>5.75% Tamilnadu SDL (MD 27/05/2025)</t>
  </si>
  <si>
    <t>Power Grid Corporation of India Limited*</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</si>
  <si>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</si>
  <si>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</si>
  <si>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</si>
  <si>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</si>
  <si>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</si>
  <si>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</si>
  <si>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</si>
  <si>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</si>
  <si>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</si>
  <si>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</si>
  <si>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</si>
  <si>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</si>
  <si>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</si>
  <si>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</si>
  <si>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</si>
  <si>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</si>
  <si>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</si>
  <si>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</si>
  <si>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</si>
  <si>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</si>
  <si>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</si>
  <si>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</si>
  <si>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</si>
  <si>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</si>
  <si>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</si>
  <si>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</si>
  <si>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</si>
  <si>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</si>
  <si>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</si>
  <si>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</si>
  <si>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</si>
  <si>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</si>
  <si>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</si>
  <si>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</si>
  <si>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</si>
  <si>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</si>
  <si>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</si>
  <si>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</si>
  <si>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</si>
  <si>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</si>
  <si>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</si>
  <si>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</si>
  <si>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</si>
  <si>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</si>
  <si>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</si>
  <si>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</si>
  <si>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</si>
  <si>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</si>
  <si>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</si>
  <si>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</si>
  <si>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</si>
  <si>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</si>
  <si>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</si>
  <si>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</si>
  <si>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First Business Receivables Trust^</t>
  </si>
  <si>
    <t>^PTC originated by Reliance Industries Limited</t>
  </si>
  <si>
    <t>*Reduced Face Value Bonds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</si>
  <si>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</si>
  <si>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Bandhan Banking &amp; PSU Debt Fund -Direct Gr</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</si>
  <si>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</si>
  <si>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</si>
  <si>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</si>
  <si>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</si>
  <si>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</si>
  <si>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</si>
  <si>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</si>
  <si>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</si>
  <si>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</si>
  <si>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</si>
  <si>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</si>
  <si>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</si>
  <si>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</si>
  <si>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</si>
  <si>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</si>
  <si>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</si>
  <si>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</si>
  <si>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</si>
  <si>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BANDHAN US TREASURY BOND 0-1 YEAR FUND OF FUND (30 April, 2024 )</t>
  </si>
  <si>
    <t>174.46 crs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</si>
</sst>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3"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theme="1"/>
      <name val="Calibri"/>
      <family val="2"/>
      <scheme val="minor"/>
    </font>
    <font>
      <sz val="12"/>
      <name val="Arial"/>
      <family val="2"/>
    </font>
    <font>
      <b/>
      <sz val="16"/>
      <name val="Arial"/>
      <family val="2"/>
    </font>
    <font>
      <sz val="11"/>
      <name val="Calibri"/>
      <family val="2"/>
      <scheme val="minor"/>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7" fillId="0" borderId="0" applyFont="0" applyFill="0" applyBorder="0" applyAlignment="0" applyProtection="0"/>
  </cellStyleXfs>
  <cellXfs count="101">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8" fillId="0" borderId="0" xfId="0" applyFont="1"/>
    <xf numFmtId="0" fontId="8" fillId="0" borderId="19" xfId="0" applyFont="1" applyBorder="1"/>
    <xf numFmtId="0" fontId="8" fillId="0" borderId="20" xfId="0" applyFont="1" applyBorder="1"/>
    <xf numFmtId="0" fontId="8" fillId="0" borderId="21" xfId="0" applyFont="1" applyBorder="1"/>
    <xf numFmtId="0" fontId="8" fillId="0" borderId="22" xfId="0" applyFont="1" applyBorder="1"/>
    <xf numFmtId="0" fontId="10" fillId="0" borderId="0" xfId="0" applyFont="1" applyBorder="1"/>
    <xf numFmtId="0" fontId="8" fillId="0" borderId="0" xfId="0" applyFont="1" applyBorder="1"/>
    <xf numFmtId="0" fontId="8" fillId="0" borderId="23" xfId="0" applyFont="1" applyBorder="1"/>
    <xf numFmtId="0" fontId="9" fillId="3" borderId="0" xfId="0" applyFont="1" applyFill="1" applyBorder="1" applyAlignment="1">
      <alignment vertical="center"/>
    </xf>
    <xf numFmtId="0" fontId="10" fillId="0" borderId="0" xfId="0" applyFont="1"/>
    <xf numFmtId="0" fontId="11" fillId="3" borderId="30"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8" fillId="0" borderId="32" xfId="0" applyFont="1" applyBorder="1" applyAlignment="1">
      <alignment horizontal="left" vertical="center" wrapText="1"/>
    </xf>
    <xf numFmtId="166" fontId="8" fillId="0" borderId="33" xfId="1" applyNumberFormat="1" applyFont="1" applyBorder="1" applyAlignment="1">
      <alignment horizontal="right"/>
    </xf>
    <xf numFmtId="10" fontId="8" fillId="0" borderId="0" xfId="0" applyNumberFormat="1" applyFont="1" applyBorder="1"/>
    <xf numFmtId="10" fontId="8" fillId="0" borderId="0" xfId="1" applyNumberFormat="1" applyFont="1" applyBorder="1"/>
    <xf numFmtId="14" fontId="8" fillId="0" borderId="0" xfId="0" applyNumberFormat="1" applyFont="1"/>
    <xf numFmtId="0" fontId="11" fillId="3" borderId="32" xfId="0" applyFont="1" applyFill="1" applyBorder="1" applyAlignment="1">
      <alignment horizontal="left"/>
    </xf>
    <xf numFmtId="166" fontId="11" fillId="3" borderId="33" xfId="0" applyNumberFormat="1" applyFont="1" applyFill="1" applyBorder="1" applyAlignment="1">
      <alignment horizontal="right"/>
    </xf>
    <xf numFmtId="0" fontId="8" fillId="0" borderId="8" xfId="0" applyFont="1" applyBorder="1" applyAlignment="1">
      <alignment vertical="center"/>
    </xf>
    <xf numFmtId="166" fontId="8" fillId="0" borderId="33" xfId="0" applyNumberFormat="1" applyFont="1" applyBorder="1" applyAlignment="1">
      <alignment vertical="center"/>
    </xf>
    <xf numFmtId="0" fontId="11" fillId="2" borderId="8" xfId="0" applyFont="1" applyFill="1" applyBorder="1" applyAlignment="1">
      <alignment horizontal="left" vertical="center"/>
    </xf>
    <xf numFmtId="166" fontId="11" fillId="2" borderId="33" xfId="0" applyNumberFormat="1" applyFont="1" applyFill="1" applyBorder="1" applyAlignment="1">
      <alignment horizontal="right" vertical="center"/>
    </xf>
    <xf numFmtId="164" fontId="8" fillId="0" borderId="33" xfId="0" applyNumberFormat="1" applyFont="1" applyBorder="1" applyAlignment="1">
      <alignment vertical="center"/>
    </xf>
    <xf numFmtId="0" fontId="11" fillId="2" borderId="9" xfId="0" applyFont="1" applyFill="1" applyBorder="1" applyAlignment="1">
      <alignment horizontal="left" vertical="center"/>
    </xf>
    <xf numFmtId="164" fontId="11" fillId="2" borderId="34" xfId="0" applyNumberFormat="1" applyFont="1" applyFill="1" applyBorder="1" applyAlignment="1">
      <alignment horizontal="right" vertical="center"/>
    </xf>
    <xf numFmtId="0" fontId="11" fillId="0" borderId="0" xfId="0" applyFont="1" applyFill="1" applyBorder="1" applyAlignment="1">
      <alignment horizontal="left"/>
    </xf>
    <xf numFmtId="167" fontId="11" fillId="0" borderId="0" xfId="0" applyNumberFormat="1" applyFont="1" applyFill="1" applyBorder="1" applyAlignment="1">
      <alignment horizontal="right"/>
    </xf>
    <xf numFmtId="0" fontId="8" fillId="0" borderId="0" xfId="0" applyFont="1" applyFill="1" applyBorder="1"/>
    <xf numFmtId="10" fontId="11" fillId="0" borderId="0" xfId="1" applyNumberFormat="1" applyFont="1" applyFill="1" applyBorder="1" applyAlignment="1">
      <alignment horizontal="right"/>
    </xf>
    <xf numFmtId="0" fontId="8" fillId="0" borderId="24" xfId="0" applyFont="1" applyBorder="1"/>
    <xf numFmtId="3" fontId="5" fillId="2" borderId="0" xfId="0" applyNumberFormat="1" applyFont="1" applyFill="1" applyBorder="1" applyAlignment="1">
      <alignment vertical="center"/>
    </xf>
    <xf numFmtId="1" fontId="5" fillId="2" borderId="0" xfId="0" applyNumberFormat="1" applyFont="1" applyFill="1"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9" fillId="3" borderId="0" xfId="0" applyFont="1" applyFill="1" applyBorder="1" applyAlignment="1">
      <alignment horizontal="center" vertical="center" wrapText="1"/>
    </xf>
    <xf numFmtId="0" fontId="9" fillId="3" borderId="23" xfId="0" applyFont="1" applyFill="1" applyBorder="1" applyAlignment="1">
      <alignment horizontal="center" vertical="center" wrapText="1"/>
    </xf>
    <xf numFmtId="0" fontId="12" fillId="3" borderId="0" xfId="0" applyFont="1" applyFill="1" applyBorder="1" applyAlignment="1">
      <alignment vertical="center" wrapText="1"/>
    </xf>
    <xf numFmtId="0" fontId="12" fillId="3" borderId="23" xfId="0" applyFont="1" applyFill="1" applyBorder="1" applyAlignment="1">
      <alignment vertical="center" wrapText="1"/>
    </xf>
    <xf numFmtId="0" fontId="11" fillId="0" borderId="25" xfId="0" applyFont="1" applyBorder="1" applyAlignment="1"/>
    <xf numFmtId="0" fontId="11" fillId="0" borderId="26" xfId="0" applyFont="1" applyBorder="1" applyAlignment="1"/>
    <xf numFmtId="0" fontId="10" fillId="0" borderId="19" xfId="0" applyFont="1" applyBorder="1" applyAlignment="1">
      <alignment horizontal="left" vertical="top" wrapText="1"/>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10" fillId="0" borderId="22" xfId="0" applyFont="1" applyBorder="1" applyAlignment="1">
      <alignment horizontal="left" vertical="top" wrapText="1"/>
    </xf>
    <xf numFmtId="0" fontId="10" fillId="0" borderId="0" xfId="0" applyFont="1" applyBorder="1" applyAlignment="1">
      <alignment horizontal="left" vertical="top" wrapText="1"/>
    </xf>
    <xf numFmtId="0" fontId="10" fillId="0" borderId="23" xfId="0" applyFont="1" applyBorder="1" applyAlignment="1">
      <alignment horizontal="left" vertical="top" wrapText="1"/>
    </xf>
    <xf numFmtId="0" fontId="10" fillId="0" borderId="24" xfId="0" applyFont="1" applyBorder="1" applyAlignment="1">
      <alignment horizontal="left" vertical="top" wrapText="1"/>
    </xf>
    <xf numFmtId="0" fontId="10" fillId="0" borderId="25" xfId="0" applyFont="1" applyBorder="1" applyAlignment="1">
      <alignment horizontal="left" vertical="top" wrapText="1"/>
    </xf>
    <xf numFmtId="0" fontId="10"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228-42A6-8C57-3E8FAD39BB5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6228-42A6-8C57-3E8FAD39BB5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BAD-4515-8BF6-E22809B1BD5F}"/>
                </c:ext>
              </c:extLst>
            </c:dLbl>
            <c:dLbl>
              <c:idx val="1"/>
              <c:layout>
                <c:manualLayout>
                  <c:x val="0.13204884587499369"/>
                  <c:y val="-2.29816272965879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BAD-4515-8BF6-E22809B1BD5F}"/>
                </c:ext>
              </c:extLst>
            </c:dLbl>
            <c:dLbl>
              <c:idx val="2"/>
              <c:layout>
                <c:manualLayout>
                  <c:x val="-0.19136303090593335"/>
                  <c:y val="3.1958705161854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BAD-4515-8BF6-E22809B1BD5F}"/>
                </c:ext>
              </c:extLst>
            </c:dLbl>
            <c:dLbl>
              <c:idx val="3"/>
              <c:layout>
                <c:manualLayout>
                  <c:x val="-8.5168439865787648E-2"/>
                  <c:y val="-4.47475065616797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BAD-4515-8BF6-E22809B1BD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-5.8069999999999997E-3</c:v>
                </c:pt>
                <c:pt idx="1">
                  <c:v>7.1374000000000007E-2</c:v>
                </c:pt>
                <c:pt idx="2">
                  <c:v>0.88680700000000001</c:v>
                </c:pt>
                <c:pt idx="3">
                  <c:v>4.7626000000000002E-2</c:v>
                </c:pt>
              </c:numCache>
            </c:numRef>
          </c:val>
          <c:extLst>
            <c:ext xmlns:c16="http://schemas.microsoft.com/office/drawing/2014/chart" uri="{C3380CC4-5D6E-409C-BE32-E72D297353CC}">
              <c16:uniqueId val="{0000000C-6BAD-4515-8BF6-E22809B1BD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54867256637168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EF-4FCF-8B03-2CC3E99A00E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03EF-4FCF-8B03-2CC3E99A00E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490-45DA-AA8F-27B493981F3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490-45DA-AA8F-27B493981F34}"/>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490-45DA-AA8F-27B493981F34}"/>
                </c:ext>
              </c:extLst>
            </c:dLbl>
            <c:dLbl>
              <c:idx val="3"/>
              <c:layout>
                <c:manualLayout>
                  <c:x val="0.17233463723886763"/>
                  <c:y val="7.44927082790147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490-45DA-AA8F-27B493981F34}"/>
                </c:ext>
              </c:extLst>
            </c:dLbl>
            <c:dLbl>
              <c:idx val="4"/>
              <c:layout>
                <c:manualLayout>
                  <c:x val="-7.1921630781163065E-3"/>
                  <c:y val="0.528016547600424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6490-45DA-AA8F-27B493981F3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6490-45DA-AA8F-27B493981F34}"/>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6490-45DA-AA8F-27B493981F34}"/>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6490-45DA-AA8F-27B493981F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CF'!$J$9:$J$16</c:f>
              <c:strCache>
                <c:ptCount val="8"/>
                <c:pt idx="0">
                  <c:v>Net Current Asset</c:v>
                </c:pt>
                <c:pt idx="1">
                  <c:v>Certificate of Deposit</c:v>
                </c:pt>
                <c:pt idx="2">
                  <c:v>Corporate Bond</c:v>
                </c:pt>
                <c:pt idx="3">
                  <c:v>Commercial Paper</c:v>
                </c:pt>
                <c:pt idx="4">
                  <c:v>Corporate Debt Market Development Fund</c:v>
                </c:pt>
                <c:pt idx="5">
                  <c:v>Government Bond</c:v>
                </c:pt>
                <c:pt idx="6">
                  <c:v>State Government Bond</c:v>
                </c:pt>
                <c:pt idx="7">
                  <c:v>Treasury Bill</c:v>
                </c:pt>
              </c:strCache>
            </c:strRef>
          </c:cat>
          <c:val>
            <c:numRef>
              <c:f>'BANDHAN CF'!$K$9:$K$16</c:f>
              <c:numCache>
                <c:formatCode>0.00%</c:formatCode>
                <c:ptCount val="8"/>
                <c:pt idx="0">
                  <c:v>-0.103267</c:v>
                </c:pt>
                <c:pt idx="1">
                  <c:v>0.28675400000000001</c:v>
                </c:pt>
                <c:pt idx="2">
                  <c:v>4.7787999999999997E-2</c:v>
                </c:pt>
                <c:pt idx="3">
                  <c:v>0.53579100000000002</c:v>
                </c:pt>
                <c:pt idx="4">
                  <c:v>2.1120000000000002E-3</c:v>
                </c:pt>
                <c:pt idx="5">
                  <c:v>3.7028999999999999E-2</c:v>
                </c:pt>
                <c:pt idx="6">
                  <c:v>7.4399999999999998E-4</c:v>
                </c:pt>
                <c:pt idx="7">
                  <c:v>0.193049</c:v>
                </c:pt>
              </c:numCache>
            </c:numRef>
          </c:val>
          <c:extLst>
            <c:ext xmlns:c16="http://schemas.microsoft.com/office/drawing/2014/chart" uri="{C3380CC4-5D6E-409C-BE32-E72D297353CC}">
              <c16:uniqueId val="{0000000C-6490-45DA-AA8F-27B493981F3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6782975602353776"/>
                  <c:y val="-2.98672566371681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92920353982302"/>
                    </c:manualLayout>
                  </c15:layout>
                </c:ext>
                <c:ext xmlns:c16="http://schemas.microsoft.com/office/drawing/2014/chart" uri="{C3380CC4-5D6E-409C-BE32-E72D297353CC}">
                  <c16:uniqueId val="{0000000D-ADCE-4022-A614-53328455CC55}"/>
                </c:ext>
              </c:extLst>
            </c:dLbl>
            <c:dLbl>
              <c:idx val="1"/>
              <c:layout>
                <c:manualLayout>
                  <c:x val="-4.6272656763728909E-2"/>
                  <c:y val="-3.19928924813601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DCE-4022-A614-53328455CC5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c:v>
                </c:pt>
                <c:pt idx="1">
                  <c:v>AA+</c:v>
                </c:pt>
              </c:strCache>
            </c:strRef>
          </c:cat>
          <c:val>
            <c:numRef>
              <c:f>'BANDHAN LDF'!$H$8:$H$9</c:f>
              <c:numCache>
                <c:formatCode>0.00%</c:formatCode>
                <c:ptCount val="2"/>
                <c:pt idx="0">
                  <c:v>0.98860999999999999</c:v>
                </c:pt>
                <c:pt idx="1">
                  <c:v>1.1390000000000001E-2</c:v>
                </c:pt>
              </c:numCache>
            </c:numRef>
          </c:val>
          <c:extLst>
            <c:ext xmlns:c16="http://schemas.microsoft.com/office/drawing/2014/chart" uri="{C3380CC4-5D6E-409C-BE32-E72D297353CC}">
              <c16:uniqueId val="{0000000C-ADCE-4022-A614-53328455CC5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26970156300055642"/>
                  <c:y val="-7.51501516855847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8C-4076-8697-C311C7A8FFC9}"/>
                </c:ext>
              </c:extLst>
            </c:dLbl>
            <c:dLbl>
              <c:idx val="1"/>
              <c:layout>
                <c:manualLayout>
                  <c:x val="0.24926646883272352"/>
                  <c:y val="0.6093826908000136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8C-4076-8697-C311C7A8FFC9}"/>
                </c:ext>
              </c:extLst>
            </c:dLbl>
            <c:dLbl>
              <c:idx val="2"/>
              <c:layout>
                <c:manualLayout>
                  <c:x val="-5.6894400512569686E-2"/>
                  <c:y val="0.6403135971639908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8C-4076-8697-C311C7A8FFC9}"/>
                </c:ext>
              </c:extLst>
            </c:dLbl>
            <c:dLbl>
              <c:idx val="3"/>
              <c:layout>
                <c:manualLayout>
                  <c:x val="-0.22443474009003692"/>
                  <c:y val="3.3848041722057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58C-4076-8697-C311C7A8FFC9}"/>
                </c:ext>
              </c:extLst>
            </c:dLbl>
            <c:dLbl>
              <c:idx val="4"/>
              <c:layout>
                <c:manualLayout>
                  <c:x val="-8.658289635637087E-2"/>
                  <c:y val="-4.77056277056277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58C-4076-8697-C311C7A8FFC9}"/>
                </c:ext>
              </c:extLst>
            </c:dLbl>
            <c:dLbl>
              <c:idx val="5"/>
              <c:layout>
                <c:manualLayout>
                  <c:x val="-0.10653846802340286"/>
                  <c:y val="0.481168831168831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58C-4076-8697-C311C7A8FFC9}"/>
                </c:ext>
              </c:extLst>
            </c:dLbl>
            <c:dLbl>
              <c:idx val="6"/>
              <c:layout>
                <c:manualLayout>
                  <c:x val="0.10116441012325279"/>
                  <c:y val="-8.54276170024201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58C-4076-8697-C311C7A8FFC9}"/>
                </c:ext>
              </c:extLst>
            </c:dLbl>
            <c:dLbl>
              <c:idx val="7"/>
              <c:layout>
                <c:manualLayout>
                  <c:x val="0.17910089531099832"/>
                  <c:y val="-6.89613798275215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58C-4076-8697-C311C7A8FFC9}"/>
                </c:ext>
              </c:extLst>
            </c:dLbl>
            <c:dLbl>
              <c:idx val="8"/>
              <c:layout>
                <c:manualLayout>
                  <c:x val="0.20927650103694212"/>
                  <c:y val="6.0742407199100112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58C-4076-8697-C311C7A8FF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LDF'!$J$9:$J$17</c:f>
              <c:strCache>
                <c:ptCount val="9"/>
                <c:pt idx="0">
                  <c:v>Net Current Asset</c:v>
                </c:pt>
                <c:pt idx="1">
                  <c:v>TRI Party Repo</c:v>
                </c:pt>
                <c:pt idx="2">
                  <c:v>Certificate of Deposit</c:v>
                </c:pt>
                <c:pt idx="3">
                  <c:v>Corporate Bond</c:v>
                </c:pt>
                <c:pt idx="4">
                  <c:v>Corporate Debt Market Development Fund</c:v>
                </c:pt>
                <c:pt idx="5">
                  <c:v>Government Bond</c:v>
                </c:pt>
                <c:pt idx="6">
                  <c:v>State Government Bond</c:v>
                </c:pt>
                <c:pt idx="7">
                  <c:v>Treasury Bill</c:v>
                </c:pt>
                <c:pt idx="8">
                  <c:v>Zero Coupon Bond</c:v>
                </c:pt>
              </c:strCache>
            </c:strRef>
          </c:cat>
          <c:val>
            <c:numRef>
              <c:f>'BANDHAN LDF'!$K$9:$K$17</c:f>
              <c:numCache>
                <c:formatCode>0.00%</c:formatCode>
                <c:ptCount val="9"/>
                <c:pt idx="0">
                  <c:v>3.0970000000000001E-2</c:v>
                </c:pt>
                <c:pt idx="1">
                  <c:v>2.2911000000000001E-2</c:v>
                </c:pt>
                <c:pt idx="2">
                  <c:v>8.6081000000000005E-2</c:v>
                </c:pt>
                <c:pt idx="3">
                  <c:v>0.72742200000000001</c:v>
                </c:pt>
                <c:pt idx="4">
                  <c:v>2.947E-3</c:v>
                </c:pt>
                <c:pt idx="5">
                  <c:v>8.6510000000000007E-3</c:v>
                </c:pt>
                <c:pt idx="6">
                  <c:v>1.2520000000000001E-3</c:v>
                </c:pt>
                <c:pt idx="7">
                  <c:v>0.115241</c:v>
                </c:pt>
                <c:pt idx="8">
                  <c:v>4.5250000000000004E-3</c:v>
                </c:pt>
              </c:numCache>
            </c:numRef>
          </c:val>
          <c:extLst>
            <c:ext xmlns:c16="http://schemas.microsoft.com/office/drawing/2014/chart" uri="{C3380CC4-5D6E-409C-BE32-E72D297353CC}">
              <c16:uniqueId val="{0000000C-358C-4076-8697-C311C7A8FF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599495860661956"/>
                  <c:y val="-1.10619469026548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2A9-43D1-AE8F-1F57D1159F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82A9-43D1-AE8F-1F57D1159F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2334590028494832"/>
                  <c:y val="-8.15662164366858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37-4096-9DEA-D9905EE698BC}"/>
                </c:ext>
              </c:extLst>
            </c:dLbl>
            <c:dLbl>
              <c:idx val="1"/>
              <c:layout>
                <c:manualLayout>
                  <c:x val="2.1366740292367174E-2"/>
                  <c:y val="-5.19643823148060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37-4096-9DEA-D9905EE698BC}"/>
                </c:ext>
              </c:extLst>
            </c:dLbl>
            <c:dLbl>
              <c:idx val="2"/>
              <c:layout>
                <c:manualLayout>
                  <c:x val="-1.7157598340892613E-3"/>
                  <c:y val="5.4524596639160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37-4096-9DEA-D9905EE698BC}"/>
                </c:ext>
              </c:extLst>
            </c:dLbl>
            <c:dLbl>
              <c:idx val="3"/>
              <c:layout>
                <c:manualLayout>
                  <c:x val="0"/>
                  <c:y val="-0.2278182021140487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37-4096-9DEA-D9905EE698BC}"/>
                </c:ext>
              </c:extLst>
            </c:dLbl>
            <c:dLbl>
              <c:idx val="4"/>
              <c:layout>
                <c:manualLayout>
                  <c:x val="-9.1191218870660465E-2"/>
                  <c:y val="0.595954284340411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737-4096-9DEA-D9905EE698BC}"/>
                </c:ext>
              </c:extLst>
            </c:dLbl>
            <c:dLbl>
              <c:idx val="5"/>
              <c:layout>
                <c:manualLayout>
                  <c:x val="-7.4647692593029724E-2"/>
                  <c:y val="-1.11077718338642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737-4096-9DEA-D9905EE698BC}"/>
                </c:ext>
              </c:extLst>
            </c:dLbl>
            <c:dLbl>
              <c:idx val="6"/>
              <c:layout>
                <c:manualLayout>
                  <c:x val="5.7311369269419439E-2"/>
                  <c:y val="-5.61265338015954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F737-4096-9DEA-D9905EE698BC}"/>
                </c:ext>
              </c:extLst>
            </c:dLbl>
            <c:dLbl>
              <c:idx val="7"/>
              <c:layout>
                <c:manualLayout>
                  <c:x val="0.1645531032389688"/>
                  <c:y val="-4.55793025871766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F737-4096-9DEA-D9905EE698B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MMF'!$J$9:$J$16</c:f>
              <c:strCache>
                <c:ptCount val="8"/>
                <c:pt idx="0">
                  <c:v>Net Current Asset</c:v>
                </c:pt>
                <c:pt idx="1">
                  <c:v>TRI Party Repo</c:v>
                </c:pt>
                <c:pt idx="2">
                  <c:v>Certificate of Deposit</c:v>
                </c:pt>
                <c:pt idx="3">
                  <c:v>Commercial Paper</c:v>
                </c:pt>
                <c:pt idx="4">
                  <c:v>Corporate Debt Market Development Fund</c:v>
                </c:pt>
                <c:pt idx="5">
                  <c:v>Government Bond Strips</c:v>
                </c:pt>
                <c:pt idx="6">
                  <c:v>State Government Bond</c:v>
                </c:pt>
                <c:pt idx="7">
                  <c:v>Treasury Bill</c:v>
                </c:pt>
              </c:strCache>
            </c:strRef>
          </c:cat>
          <c:val>
            <c:numRef>
              <c:f>'BANDHAN MMF'!$K$9:$K$16</c:f>
              <c:numCache>
                <c:formatCode>0.00%</c:formatCode>
                <c:ptCount val="8"/>
                <c:pt idx="0">
                  <c:v>-4.8587999999999999E-2</c:v>
                </c:pt>
                <c:pt idx="1">
                  <c:v>1.5980000000000001E-2</c:v>
                </c:pt>
                <c:pt idx="2">
                  <c:v>0.663412</c:v>
                </c:pt>
                <c:pt idx="3">
                  <c:v>0.24427599999999999</c:v>
                </c:pt>
                <c:pt idx="4">
                  <c:v>1.8090000000000001E-3</c:v>
                </c:pt>
                <c:pt idx="5">
                  <c:v>1.137E-3</c:v>
                </c:pt>
                <c:pt idx="6">
                  <c:v>7.5785000000000005E-2</c:v>
                </c:pt>
                <c:pt idx="7">
                  <c:v>4.6189000000000001E-2</c:v>
                </c:pt>
              </c:numCache>
            </c:numRef>
          </c:val>
          <c:extLst>
            <c:ext xmlns:c16="http://schemas.microsoft.com/office/drawing/2014/chart" uri="{C3380CC4-5D6E-409C-BE32-E72D297353CC}">
              <c16:uniqueId val="{0000000C-F737-4096-9DEA-D9905EE698B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5766688023740075"/>
                  <c:y val="-2.53303964757709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4B-4139-B61F-FBC56D701357}"/>
                </c:ext>
              </c:extLst>
            </c:dLbl>
            <c:dLbl>
              <c:idx val="1"/>
              <c:layout>
                <c:manualLayout>
                  <c:x val="-6.4049385422111318E-2"/>
                  <c:y val="-3.90055152797530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24B-4139-B61F-FBC56D70135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0.98992599999999997</c:v>
                </c:pt>
                <c:pt idx="1">
                  <c:v>1.0074E-2</c:v>
                </c:pt>
              </c:numCache>
            </c:numRef>
          </c:val>
          <c:extLst>
            <c:ext xmlns:c16="http://schemas.microsoft.com/office/drawing/2014/chart" uri="{C3380CC4-5D6E-409C-BE32-E72D297353CC}">
              <c16:uniqueId val="{0000000C-B24B-4139-B61F-FBC56D70135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9.4923198839973702E-2"/>
                  <c:y val="-4.1208158451559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3A-4447-B3CD-4AB51240F3E6}"/>
                </c:ext>
              </c:extLst>
            </c:dLbl>
            <c:dLbl>
              <c:idx val="1"/>
              <c:layout>
                <c:manualLayout>
                  <c:x val="0.20918351346338668"/>
                  <c:y val="-7.59287522980332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A3A-4447-B3CD-4AB51240F3E6}"/>
                </c:ext>
              </c:extLst>
            </c:dLbl>
            <c:dLbl>
              <c:idx val="2"/>
              <c:layout>
                <c:manualLayout>
                  <c:x val="-0.11948877910603779"/>
                  <c:y val="0.550250789135939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A3A-4447-B3CD-4AB51240F3E6}"/>
                </c:ext>
              </c:extLst>
            </c:dLbl>
            <c:dLbl>
              <c:idx val="3"/>
              <c:layout>
                <c:manualLayout>
                  <c:x val="-7.5990153265103107E-3"/>
                  <c:y val="0.13997016892712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A3A-4447-B3CD-4AB51240F3E6}"/>
                </c:ext>
              </c:extLst>
            </c:dLbl>
            <c:dLbl>
              <c:idx val="4"/>
              <c:layout>
                <c:manualLayout>
                  <c:x val="7.5285369842688299E-2"/>
                  <c:y val="0.649605258593777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A3A-4447-B3CD-4AB51240F3E6}"/>
                </c:ext>
              </c:extLst>
            </c:dLbl>
            <c:dLbl>
              <c:idx val="5"/>
              <c:layout>
                <c:manualLayout>
                  <c:x val="-0.14187796118632923"/>
                  <c:y val="-6.92965416767837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A3A-4447-B3CD-4AB51240F3E6}"/>
                </c:ext>
              </c:extLst>
            </c:dLbl>
            <c:dLbl>
              <c:idx val="6"/>
              <c:layout>
                <c:manualLayout>
                  <c:x val="-6.2451651520005397E-2"/>
                  <c:y val="-7.44240174823962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A3A-4447-B3CD-4AB51240F3E6}"/>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A3A-4447-B3CD-4AB51240F3E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Treasury Bill</c:v>
                </c:pt>
                <c:pt idx="7">
                  <c:v>Zero Coupon Bond</c:v>
                </c:pt>
              </c:strCache>
            </c:strRef>
          </c:cat>
          <c:val>
            <c:numRef>
              <c:f>'BANDHAN USTF'!$K$9:$K$16</c:f>
              <c:numCache>
                <c:formatCode>0.00%</c:formatCode>
                <c:ptCount val="8"/>
                <c:pt idx="0">
                  <c:v>-1.6626999999999999E-2</c:v>
                </c:pt>
                <c:pt idx="1">
                  <c:v>9.3498999999999999E-2</c:v>
                </c:pt>
                <c:pt idx="2">
                  <c:v>0.28024300000000002</c:v>
                </c:pt>
                <c:pt idx="3">
                  <c:v>0.50872899999999999</c:v>
                </c:pt>
                <c:pt idx="4">
                  <c:v>4.6727999999999999E-2</c:v>
                </c:pt>
                <c:pt idx="5">
                  <c:v>2.5349999999999999E-3</c:v>
                </c:pt>
                <c:pt idx="6">
                  <c:v>7.8921000000000005E-2</c:v>
                </c:pt>
                <c:pt idx="7">
                  <c:v>5.9719999999999999E-3</c:v>
                </c:pt>
              </c:numCache>
            </c:numRef>
          </c:val>
          <c:extLst>
            <c:ext xmlns:c16="http://schemas.microsoft.com/office/drawing/2014/chart" uri="{C3380CC4-5D6E-409C-BE32-E72D297353CC}">
              <c16:uniqueId val="{0000000C-4A3A-4447-B3CD-4AB51240F3E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091703056768558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C2F-4BFF-B477-BC30F48D91B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CC2F-4BFF-B477-BC30F48D91B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layout>
                <c:manualLayout>
                  <c:x val="-0.22762894333069181"/>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44-42A0-A092-39BB78EE3F7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44-42A0-A092-39BB78EE3F7D}"/>
                </c:ext>
              </c:extLst>
            </c:dLbl>
            <c:dLbl>
              <c:idx val="2"/>
              <c:layout>
                <c:manualLayout>
                  <c:x val="0.17251960073513295"/>
                  <c:y val="2.44944881889763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144-42A0-A092-39BB78EE3F7D}"/>
                </c:ext>
              </c:extLst>
            </c:dLbl>
            <c:dLbl>
              <c:idx val="3"/>
              <c:layout>
                <c:manualLayout>
                  <c:x val="-0.19975703518858859"/>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144-42A0-A092-39BB78EE3F7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2.4437E-2</c:v>
                </c:pt>
                <c:pt idx="1">
                  <c:v>1.823E-3</c:v>
                </c:pt>
                <c:pt idx="2">
                  <c:v>2.4320000000000001E-3</c:v>
                </c:pt>
                <c:pt idx="3">
                  <c:v>0.97130799999999995</c:v>
                </c:pt>
              </c:numCache>
            </c:numRef>
          </c:val>
          <c:extLst>
            <c:ext xmlns:c16="http://schemas.microsoft.com/office/drawing/2014/chart" uri="{C3380CC4-5D6E-409C-BE32-E72D297353CC}">
              <c16:uniqueId val="{0000000C-F144-42A0-A092-39BB78EE3F7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F71-44BE-A5D7-C27749E60CC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DF71-44BE-A5D7-C27749E60CC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layout>
                <c:manualLayout>
                  <c:x val="7.4506567300072504E-2"/>
                  <c:y val="-2.72284507482922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15-431C-A3D0-48479200F97B}"/>
                </c:ext>
              </c:extLst>
            </c:dLbl>
            <c:dLbl>
              <c:idx val="1"/>
              <c:layout>
                <c:manualLayout>
                  <c:x val="-0.18367279839484732"/>
                  <c:y val="-2.26462255132015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E15-431C-A3D0-48479200F97B}"/>
                </c:ext>
              </c:extLst>
            </c:dLbl>
            <c:dLbl>
              <c:idx val="2"/>
              <c:layout>
                <c:manualLayout>
                  <c:x val="1.6264647861201503E-2"/>
                  <c:y val="-6.5323738506196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E15-431C-A3D0-48479200F97B}"/>
                </c:ext>
              </c:extLst>
            </c:dLbl>
            <c:dLbl>
              <c:idx val="3"/>
              <c:layout>
                <c:manualLayout>
                  <c:x val="-3.6169721290192046E-2"/>
                  <c:y val="0.247910517807790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E15-431C-A3D0-48479200F97B}"/>
                </c:ext>
              </c:extLst>
            </c:dLbl>
            <c:dLbl>
              <c:idx val="4"/>
              <c:layout>
                <c:manualLayout>
                  <c:x val="2.5323896879057142E-2"/>
                  <c:y val="0.1267469711981366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E15-431C-A3D0-48479200F9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IP'!$J$9:$J$13</c:f>
              <c:strCache>
                <c:ptCount val="5"/>
                <c:pt idx="0">
                  <c:v>Net Current Asset</c:v>
                </c:pt>
                <c:pt idx="1">
                  <c:v>TRI Party Repo</c:v>
                </c:pt>
                <c:pt idx="2">
                  <c:v>Corporate Bond</c:v>
                </c:pt>
                <c:pt idx="3">
                  <c:v>Corporate Debt Market Development Fund</c:v>
                </c:pt>
                <c:pt idx="4">
                  <c:v>Government Bond</c:v>
                </c:pt>
              </c:strCache>
            </c:strRef>
          </c:cat>
          <c:val>
            <c:numRef>
              <c:f>'BANDHAN BOND IP'!$K$9:$K$13</c:f>
              <c:numCache>
                <c:formatCode>0.00%</c:formatCode>
                <c:ptCount val="5"/>
                <c:pt idx="0">
                  <c:v>2.3258000000000001E-2</c:v>
                </c:pt>
                <c:pt idx="1">
                  <c:v>2.1979999999999999E-3</c:v>
                </c:pt>
                <c:pt idx="2">
                  <c:v>0.26472400000000001</c:v>
                </c:pt>
                <c:pt idx="3">
                  <c:v>2.6080000000000001E-3</c:v>
                </c:pt>
                <c:pt idx="4">
                  <c:v>0.70721199999999995</c:v>
                </c:pt>
              </c:numCache>
            </c:numRef>
          </c:val>
          <c:extLst>
            <c:ext xmlns:c16="http://schemas.microsoft.com/office/drawing/2014/chart" uri="{C3380CC4-5D6E-409C-BE32-E72D297353CC}">
              <c16:uniqueId val="{0000000C-5E15-431C-A3D0-48479200F9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7BF-44BC-9D24-B9B670A0D37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87BF-44BC-9D24-B9B670A0D37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layout>
                <c:manualLayout>
                  <c:x val="8.4025527323003252E-2"/>
                  <c:y val="-1.887019024582711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6A9-4DCC-8785-CB26475DDC6B}"/>
                </c:ext>
              </c:extLst>
            </c:dLbl>
            <c:dLbl>
              <c:idx val="1"/>
              <c:layout>
                <c:manualLayout>
                  <c:x val="0.20312313476875349"/>
                  <c:y val="-8.93630453056113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6A9-4DCC-8785-CB26475DDC6B}"/>
                </c:ext>
              </c:extLst>
            </c:dLbl>
            <c:dLbl>
              <c:idx val="2"/>
              <c:layout>
                <c:manualLayout>
                  <c:x val="-5.8782140990406177E-2"/>
                  <c:y val="0.3108963340366767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6A9-4DCC-8785-CB26475DDC6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6A9-4DCC-8785-CB26475DDC6B}"/>
                </c:ext>
              </c:extLst>
            </c:dLbl>
            <c:dLbl>
              <c:idx val="4"/>
              <c:layout>
                <c:manualLayout>
                  <c:x val="-1.9780303158036723E-3"/>
                  <c:y val="-0.262744411850479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6A9-4DCC-8785-CB26475DDC6B}"/>
                </c:ext>
              </c:extLst>
            </c:dLbl>
            <c:dLbl>
              <c:idx val="5"/>
              <c:layout>
                <c:manualLayout>
                  <c:x val="-0.28866108010588615"/>
                  <c:y val="-1.2780265211946545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6A9-4DCC-8785-CB26475DDC6B}"/>
                </c:ext>
              </c:extLst>
            </c:dLbl>
            <c:dLbl>
              <c:idx val="6"/>
              <c:layout>
                <c:manualLayout>
                  <c:x val="-6.7184912913723083E-2"/>
                  <c:y val="-1.97965450397131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6A9-4DCC-8785-CB26475DDC6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Corporate Bond</c:v>
                </c:pt>
                <c:pt idx="3">
                  <c:v>Corporate Debt Market Development Fund</c:v>
                </c:pt>
                <c:pt idx="4">
                  <c:v>Government Bond</c:v>
                </c:pt>
                <c:pt idx="5">
                  <c:v>PTC</c:v>
                </c:pt>
                <c:pt idx="6">
                  <c:v>State Government Bond</c:v>
                </c:pt>
              </c:strCache>
            </c:strRef>
          </c:cat>
          <c:val>
            <c:numRef>
              <c:f>'BANDHAN BOND MT'!$K$9:$K$15</c:f>
              <c:numCache>
                <c:formatCode>0.00%</c:formatCode>
                <c:ptCount val="7"/>
                <c:pt idx="0">
                  <c:v>2.4396000000000001E-2</c:v>
                </c:pt>
                <c:pt idx="1">
                  <c:v>1.9469999999999999E-3</c:v>
                </c:pt>
                <c:pt idx="2">
                  <c:v>0.497641</c:v>
                </c:pt>
                <c:pt idx="3">
                  <c:v>3.2850000000000002E-3</c:v>
                </c:pt>
                <c:pt idx="4">
                  <c:v>0.46534599999999998</c:v>
                </c:pt>
                <c:pt idx="5">
                  <c:v>6.1130000000000004E-3</c:v>
                </c:pt>
                <c:pt idx="6">
                  <c:v>1.2719999999999999E-3</c:v>
                </c:pt>
              </c:numCache>
            </c:numRef>
          </c:val>
          <c:extLst>
            <c:ext xmlns:c16="http://schemas.microsoft.com/office/drawing/2014/chart" uri="{C3380CC4-5D6E-409C-BE32-E72D297353CC}">
              <c16:uniqueId val="{0000000C-86A9-4DCC-8785-CB26475DDC6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560-498B-9D65-BB990B2B575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0560-498B-9D65-BB990B2B575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1899585223153314"/>
                  <c:y val="-9.883912051977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52E-450A-BA29-45C16585408D}"/>
                </c:ext>
              </c:extLst>
            </c:dLbl>
            <c:dLbl>
              <c:idx val="1"/>
              <c:layout>
                <c:manualLayout>
                  <c:x val="7.3260719283751205E-2"/>
                  <c:y val="-1.31626005765672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52E-450A-BA29-45C16585408D}"/>
                </c:ext>
              </c:extLst>
            </c:dLbl>
            <c:dLbl>
              <c:idx val="2"/>
              <c:layout>
                <c:manualLayout>
                  <c:x val="-6.654445362423915E-2"/>
                  <c:y val="0.323125510950475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52E-450A-BA29-45C16585408D}"/>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52E-450A-BA29-45C16585408D}"/>
                </c:ext>
              </c:extLst>
            </c:dLbl>
            <c:dLbl>
              <c:idx val="4"/>
              <c:layout>
                <c:manualLayout>
                  <c:x val="4.2722183816958643E-2"/>
                  <c:y val="-0.217707327567660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52E-450A-BA29-45C16585408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52E-450A-BA29-45C16585408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BOND ST'!$K$9:$K$14</c:f>
              <c:numCache>
                <c:formatCode>0.00%</c:formatCode>
                <c:ptCount val="6"/>
                <c:pt idx="0">
                  <c:v>3.9849999999999998E-3</c:v>
                </c:pt>
                <c:pt idx="1">
                  <c:v>1.3214999999999999E-2</c:v>
                </c:pt>
                <c:pt idx="2">
                  <c:v>0.50584799999999996</c:v>
                </c:pt>
                <c:pt idx="3">
                  <c:v>2.81E-3</c:v>
                </c:pt>
                <c:pt idx="4">
                  <c:v>0.47201599999999999</c:v>
                </c:pt>
                <c:pt idx="5">
                  <c:v>2.1259999999999999E-3</c:v>
                </c:pt>
              </c:numCache>
            </c:numRef>
          </c:val>
          <c:extLst>
            <c:ext xmlns:c16="http://schemas.microsoft.com/office/drawing/2014/chart" uri="{C3380CC4-5D6E-409C-BE32-E72D297353CC}">
              <c16:uniqueId val="{0000000C-E52E-450A-BA29-45C16585408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208-4300-A999-BEA7F7FC769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9208-4300-A999-BEA7F7FC769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7B-4FD2-A7AA-1A0BF4D5CCC8}"/>
                </c:ext>
              </c:extLst>
            </c:dLbl>
            <c:dLbl>
              <c:idx val="1"/>
              <c:layout>
                <c:manualLayout>
                  <c:x val="0.10398447115952056"/>
                  <c:y val="-7.713766548412217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57B-4FD2-A7AA-1A0BF4D5CCC8}"/>
                </c:ext>
              </c:extLst>
            </c:dLbl>
            <c:dLbl>
              <c:idx val="2"/>
              <c:layout>
                <c:manualLayout>
                  <c:x val="0.20346507275455664"/>
                  <c:y val="-0.141577918144847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57B-4FD2-A7AA-1A0BF4D5CCC8}"/>
                </c:ext>
              </c:extLst>
            </c:dLbl>
            <c:dLbl>
              <c:idx val="3"/>
              <c:layout>
                <c:manualLayout>
                  <c:x val="1.8737544048963901E-2"/>
                  <c:y val="3.34017478584407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57B-4FD2-A7AA-1A0BF4D5CCC8}"/>
                </c:ext>
              </c:extLst>
            </c:dLbl>
            <c:dLbl>
              <c:idx val="4"/>
              <c:layout>
                <c:manualLayout>
                  <c:x val="-1.8388440203004604E-3"/>
                  <c:y val="0.518511378385394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57B-4FD2-A7AA-1A0BF4D5CCC8}"/>
                </c:ext>
              </c:extLst>
            </c:dLbl>
            <c:dLbl>
              <c:idx val="5"/>
              <c:layout>
                <c:manualLayout>
                  <c:x val="-0.12398421824680908"/>
                  <c:y val="-0.163156874621441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57B-4FD2-A7AA-1A0BF4D5CCC8}"/>
                </c:ext>
              </c:extLst>
            </c:dLbl>
            <c:dLbl>
              <c:idx val="6"/>
              <c:layout>
                <c:manualLayout>
                  <c:x val="-0.21547185081522197"/>
                  <c:y val="-2.54571255516137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57B-4FD2-A7AA-1A0BF4D5CC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2.4912E-2</c:v>
                </c:pt>
                <c:pt idx="1">
                  <c:v>2.6800000000000001E-4</c:v>
                </c:pt>
                <c:pt idx="2">
                  <c:v>5.3739000000000002E-2</c:v>
                </c:pt>
                <c:pt idx="3">
                  <c:v>0.71543599999999996</c:v>
                </c:pt>
                <c:pt idx="4">
                  <c:v>2.6189999999999998E-3</c:v>
                </c:pt>
                <c:pt idx="5">
                  <c:v>0.20294200000000001</c:v>
                </c:pt>
                <c:pt idx="6">
                  <c:v>8.3999999999999995E-5</c:v>
                </c:pt>
              </c:numCache>
            </c:numRef>
          </c:val>
          <c:extLst>
            <c:ext xmlns:c16="http://schemas.microsoft.com/office/drawing/2014/chart" uri="{C3380CC4-5D6E-409C-BE32-E72D297353CC}">
              <c16:uniqueId val="{0000000C-557B-4FD2-A7AA-1A0BF4D5CCC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4.64601769911504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F50-4F93-8B34-59A30BB9C06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6F50-4F93-8B34-59A30BB9C06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50A-4380-9767-90486F97F03A}"/>
                </c:ext>
              </c:extLst>
            </c:dLbl>
            <c:dLbl>
              <c:idx val="1"/>
              <c:layout>
                <c:manualLayout>
                  <c:x val="0.25877210878618762"/>
                  <c:y val="5.22491551301185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50A-4380-9767-90486F97F03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50A-4380-9767-90486F97F03A}"/>
                </c:ext>
              </c:extLst>
            </c:dLbl>
            <c:dLbl>
              <c:idx val="3"/>
              <c:layout>
                <c:manualLayout>
                  <c:x val="-0.15514188403109141"/>
                  <c:y val="0.132714391093270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50A-4380-9767-90486F97F03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50A-4380-9767-90486F97F03A}"/>
                </c:ext>
              </c:extLst>
            </c:dLbl>
            <c:dLbl>
              <c:idx val="5"/>
              <c:layout>
                <c:manualLayout>
                  <c:x val="-7.052277057444907E-2"/>
                  <c:y val="-0.1347571749609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50A-4380-9767-90486F97F03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B50A-4380-9767-90486F97F03A}"/>
                </c:ext>
              </c:extLst>
            </c:dLbl>
            <c:dLbl>
              <c:idx val="7"/>
              <c:layout>
                <c:manualLayout>
                  <c:x val="-0.2292198485895901"/>
                  <c:y val="-0.1069425145386238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B50A-4380-9767-90486F97F03A}"/>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B50A-4380-9767-90486F97F03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Corporate Debt Market Development Fund</c:v>
                </c:pt>
                <c:pt idx="5">
                  <c:v>Government Bond</c:v>
                </c:pt>
                <c:pt idx="7">
                  <c:v>State Government Bond</c:v>
                </c:pt>
                <c:pt idx="8">
                  <c:v>Zero Coupon Bond</c:v>
                </c:pt>
              </c:strCache>
            </c:strRef>
          </c:cat>
          <c:val>
            <c:numRef>
              <c:f>'BANDHAN CBF'!$K$9:$K$17</c:f>
              <c:numCache>
                <c:formatCode>0.00%</c:formatCode>
                <c:ptCount val="9"/>
                <c:pt idx="0">
                  <c:v>2.777E-2</c:v>
                </c:pt>
                <c:pt idx="1">
                  <c:v>8.34E-4</c:v>
                </c:pt>
                <c:pt idx="2">
                  <c:v>3.48E-4</c:v>
                </c:pt>
                <c:pt idx="3">
                  <c:v>0.69102399999999997</c:v>
                </c:pt>
                <c:pt idx="4">
                  <c:v>2.8660000000000001E-3</c:v>
                </c:pt>
                <c:pt idx="5">
                  <c:v>0.27033400000000002</c:v>
                </c:pt>
                <c:pt idx="7">
                  <c:v>9.1E-4</c:v>
                </c:pt>
                <c:pt idx="8">
                  <c:v>4.0610000000000004E-3</c:v>
                </c:pt>
              </c:numCache>
            </c:numRef>
          </c:val>
          <c:extLst>
            <c:ext xmlns:c16="http://schemas.microsoft.com/office/drawing/2014/chart" uri="{C3380CC4-5D6E-409C-BE32-E72D297353CC}">
              <c16:uniqueId val="{0000000C-B50A-4380-9767-90486F97F03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6258299752145544"/>
                  <c:y val="-0.5129320348114380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447368421052633"/>
                    </c:manualLayout>
                  </c15:layout>
                </c:ext>
                <c:ext xmlns:c16="http://schemas.microsoft.com/office/drawing/2014/chart" uri="{C3380CC4-5D6E-409C-BE32-E72D297353CC}">
                  <c16:uniqueId val="{0000000D-522A-4A0E-BA74-B758D5EC3EF0}"/>
                </c:ext>
              </c:extLst>
            </c:dLbl>
            <c:dLbl>
              <c:idx val="1"/>
              <c:layout>
                <c:manualLayout>
                  <c:x val="8.9106206477937589E-3"/>
                  <c:y val="0.4680497996960906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22A-4A0E-BA74-B758D5EC3EF0}"/>
                </c:ext>
              </c:extLst>
            </c:dLbl>
            <c:dLbl>
              <c:idx val="2"/>
              <c:layout>
                <c:manualLayout>
                  <c:x val="-1.970274325987624E-2"/>
                  <c:y val="-9.148397568724961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22A-4A0E-BA74-B758D5EC3E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0.66559000000000001</c:v>
                </c:pt>
                <c:pt idx="1">
                  <c:v>0.19153999999999999</c:v>
                </c:pt>
                <c:pt idx="2">
                  <c:v>0.14287</c:v>
                </c:pt>
              </c:numCache>
            </c:numRef>
          </c:val>
          <c:extLst>
            <c:ext xmlns:c16="http://schemas.microsoft.com/office/drawing/2014/chart" uri="{C3380CC4-5D6E-409C-BE32-E72D297353CC}">
              <c16:uniqueId val="{0000000C-522A-4A0E-BA74-B758D5EC3E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80A-4F5B-8F57-AEAEE1D01C2D}"/>
                </c:ext>
              </c:extLst>
            </c:dLbl>
            <c:dLbl>
              <c:idx val="1"/>
              <c:layout>
                <c:manualLayout>
                  <c:x val="0.24952755905511811"/>
                  <c:y val="2.48952996595949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80A-4F5B-8F57-AEAEE1D01C2D}"/>
                </c:ext>
              </c:extLst>
            </c:dLbl>
            <c:dLbl>
              <c:idx val="2"/>
              <c:layout>
                <c:manualLayout>
                  <c:x val="-1.493508573740924E-2"/>
                  <c:y val="-7.624591685864594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80A-4F5B-8F57-AEAEE1D01C2D}"/>
                </c:ext>
              </c:extLst>
            </c:dLbl>
            <c:dLbl>
              <c:idx val="3"/>
              <c:layout>
                <c:manualLayout>
                  <c:x val="-0.14818256925593079"/>
                  <c:y val="0.1633933913282673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80A-4F5B-8F57-AEAEE1D01C2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80A-4F5B-8F57-AEAEE1D01C2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80A-4F5B-8F57-AEAEE1D01C2D}"/>
                </c:ext>
              </c:extLst>
            </c:dLbl>
            <c:dLbl>
              <c:idx val="6"/>
              <c:layout>
                <c:manualLayout>
                  <c:x val="-0.15176735402721342"/>
                  <c:y val="-1.35587800433242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80A-4F5B-8F57-AEAEE1D01C2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FRF'!$K$9:$K$15</c:f>
              <c:numCache>
                <c:formatCode>0.00%</c:formatCode>
                <c:ptCount val="7"/>
                <c:pt idx="0">
                  <c:v>2.9807E-2</c:v>
                </c:pt>
                <c:pt idx="1">
                  <c:v>9.5820000000000002E-3</c:v>
                </c:pt>
                <c:pt idx="2">
                  <c:v>6.8245E-2</c:v>
                </c:pt>
                <c:pt idx="3">
                  <c:v>0.52039800000000003</c:v>
                </c:pt>
                <c:pt idx="4">
                  <c:v>4.2690000000000002E-3</c:v>
                </c:pt>
                <c:pt idx="5">
                  <c:v>0.36768400000000001</c:v>
                </c:pt>
              </c:numCache>
            </c:numRef>
          </c:val>
          <c:extLst>
            <c:ext xmlns:c16="http://schemas.microsoft.com/office/drawing/2014/chart" uri="{C3380CC4-5D6E-409C-BE32-E72D297353CC}">
              <c16:uniqueId val="{0000000C-A80A-4F5B-8F57-AEAEE1D01C2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5568792257498862"/>
                  <c:y val="-0.4149835235353290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17B-4536-8B81-559877FB629A}"/>
                </c:ext>
              </c:extLst>
            </c:dLbl>
            <c:dLbl>
              <c:idx val="1"/>
              <c:layout>
                <c:manualLayout>
                  <c:x val="3.9188993238800179E-2"/>
                  <c:y val="-0.386485483367442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17B-4536-8B81-559877FB629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17B-4536-8B81-559877FB629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0.59690200000000004</c:v>
                </c:pt>
                <c:pt idx="1">
                  <c:v>0.30322199999999999</c:v>
                </c:pt>
                <c:pt idx="2">
                  <c:v>9.9876000000000006E-2</c:v>
                </c:pt>
              </c:numCache>
            </c:numRef>
          </c:val>
          <c:extLst>
            <c:ext xmlns:c16="http://schemas.microsoft.com/office/drawing/2014/chart" uri="{C3380CC4-5D6E-409C-BE32-E72D297353CC}">
              <c16:uniqueId val="{0000000C-317B-4536-8B81-559877FB629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14E-4E04-A760-04222823324D}"/>
                </c:ext>
              </c:extLst>
            </c:dLbl>
            <c:dLbl>
              <c:idx val="1"/>
              <c:layout>
                <c:manualLayout>
                  <c:x val="0.11798226238850765"/>
                  <c:y val="-1.55896868544560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14E-4E04-A760-04222823324D}"/>
                </c:ext>
              </c:extLst>
            </c:dLbl>
            <c:dLbl>
              <c:idx val="2"/>
              <c:layout>
                <c:manualLayout>
                  <c:x val="-7.8810467214082178E-2"/>
                  <c:y val="9.67368211794601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14E-4E04-A760-04222823324D}"/>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14E-4E04-A760-04222823324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014E-4E04-A760-04222823324D}"/>
                </c:ext>
              </c:extLst>
            </c:dLbl>
            <c:dLbl>
              <c:idx val="5"/>
              <c:layout>
                <c:manualLayout>
                  <c:x val="7.3752718811647472E-3"/>
                  <c:y val="-3.88539028669714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014E-4E04-A760-04222823324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CRF'!$J$9:$J$14</c:f>
              <c:strCache>
                <c:ptCount val="6"/>
                <c:pt idx="0">
                  <c:v>Net Current Asset</c:v>
                </c:pt>
                <c:pt idx="1">
                  <c:v>TRI Party Repo</c:v>
                </c:pt>
                <c:pt idx="2">
                  <c:v>Corporate Bond</c:v>
                </c:pt>
                <c:pt idx="3">
                  <c:v>Corporate Debt Market Development Fund</c:v>
                </c:pt>
                <c:pt idx="4">
                  <c:v>Government Bond</c:v>
                </c:pt>
                <c:pt idx="5">
                  <c:v>PTC</c:v>
                </c:pt>
              </c:strCache>
            </c:strRef>
          </c:cat>
          <c:val>
            <c:numRef>
              <c:f>'BANDHAN CRF'!$K$9:$K$14</c:f>
              <c:numCache>
                <c:formatCode>0.00%</c:formatCode>
                <c:ptCount val="6"/>
                <c:pt idx="0">
                  <c:v>4.9172E-2</c:v>
                </c:pt>
                <c:pt idx="1">
                  <c:v>7.4650000000000003E-3</c:v>
                </c:pt>
                <c:pt idx="2">
                  <c:v>0.69677800000000001</c:v>
                </c:pt>
                <c:pt idx="3">
                  <c:v>4.1099999999999999E-3</c:v>
                </c:pt>
                <c:pt idx="4">
                  <c:v>0.19009200000000001</c:v>
                </c:pt>
                <c:pt idx="5">
                  <c:v>5.2382999999999999E-2</c:v>
                </c:pt>
              </c:numCache>
            </c:numRef>
          </c:val>
          <c:extLst>
            <c:ext xmlns:c16="http://schemas.microsoft.com/office/drawing/2014/chart" uri="{C3380CC4-5D6E-409C-BE32-E72D297353CC}">
              <c16:uniqueId val="{0000000C-014E-4E04-A760-04222823324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D58-4F6A-8685-6331965F53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 F'!$G$8</c:f>
              <c:strCache>
                <c:ptCount val="1"/>
                <c:pt idx="0">
                  <c:v>AAA EQUIVALENT</c:v>
                </c:pt>
              </c:strCache>
            </c:strRef>
          </c:cat>
          <c:val>
            <c:numRef>
              <c:f>'BANDHAN Long Dur F'!$H$8</c:f>
              <c:numCache>
                <c:formatCode>0%</c:formatCode>
                <c:ptCount val="1"/>
                <c:pt idx="0">
                  <c:v>1</c:v>
                </c:pt>
              </c:numCache>
            </c:numRef>
          </c:val>
          <c:extLst>
            <c:ext xmlns:c16="http://schemas.microsoft.com/office/drawing/2014/chart" uri="{C3380CC4-5D6E-409C-BE32-E72D297353CC}">
              <c16:uniqueId val="{0000000C-ED58-4F6A-8685-6331965F53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 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3ED-461C-87C6-81435AD3D3D3}"/>
                </c:ext>
              </c:extLst>
            </c:dLbl>
            <c:dLbl>
              <c:idx val="1"/>
              <c:layout>
                <c:manualLayout>
                  <c:x val="0.13065554974793026"/>
                  <c:y val="-8.83464566929133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3ED-461C-87C6-81435AD3D3D3}"/>
                </c:ext>
              </c:extLst>
            </c:dLbl>
            <c:dLbl>
              <c:idx val="2"/>
              <c:layout>
                <c:manualLayout>
                  <c:x val="-0.2092549191522366"/>
                  <c:y val="-6.80412948381452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3ED-461C-87C6-81435AD3D3D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 F'!$J$9:$J$11</c:f>
              <c:strCache>
                <c:ptCount val="3"/>
                <c:pt idx="0">
                  <c:v>Net Current Asset</c:v>
                </c:pt>
                <c:pt idx="1">
                  <c:v>TRI Party Repo</c:v>
                </c:pt>
                <c:pt idx="2">
                  <c:v>Government Bond</c:v>
                </c:pt>
              </c:strCache>
            </c:strRef>
          </c:cat>
          <c:val>
            <c:numRef>
              <c:f>'BANDHAN Long Dur F'!$K$9:$K$11</c:f>
              <c:numCache>
                <c:formatCode>0.00%</c:formatCode>
                <c:ptCount val="3"/>
                <c:pt idx="0">
                  <c:v>2.7722E-2</c:v>
                </c:pt>
                <c:pt idx="1">
                  <c:v>1.6213000000000002E-2</c:v>
                </c:pt>
                <c:pt idx="2">
                  <c:v>0.95606500000000005</c:v>
                </c:pt>
              </c:numCache>
            </c:numRef>
          </c:val>
          <c:extLst>
            <c:ext xmlns:c16="http://schemas.microsoft.com/office/drawing/2014/chart" uri="{C3380CC4-5D6E-409C-BE32-E72D297353CC}">
              <c16:uniqueId val="{0000000C-03ED-461C-87C6-81435AD3D3D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BB-4FCE-AD78-016171A847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D8BB-4FCE-AD78-016171A847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EC-421A-97BE-1E07F839A71C}"/>
                </c:ext>
              </c:extLst>
            </c:dLbl>
            <c:dLbl>
              <c:idx val="1"/>
              <c:layout>
                <c:manualLayout>
                  <c:x val="0.11173666728489774"/>
                  <c:y val="-1.14141732283464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3EC-421A-97BE-1E07F839A71C}"/>
                </c:ext>
              </c:extLst>
            </c:dLbl>
            <c:dLbl>
              <c:idx val="2"/>
              <c:layout>
                <c:manualLayout>
                  <c:x val="-0.23856927279165052"/>
                  <c:y val="-1.13746281714785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3EC-421A-97BE-1E07F839A71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2.5446E-2</c:v>
                </c:pt>
                <c:pt idx="1">
                  <c:v>2.2439999999999999E-3</c:v>
                </c:pt>
                <c:pt idx="2">
                  <c:v>0.97231000000000001</c:v>
                </c:pt>
              </c:numCache>
            </c:numRef>
          </c:val>
          <c:extLst>
            <c:ext xmlns:c16="http://schemas.microsoft.com/office/drawing/2014/chart" uri="{C3380CC4-5D6E-409C-BE32-E72D297353CC}">
              <c16:uniqueId val="{0000000C-B3EC-421A-97BE-1E07F839A71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C84-48F0-B744-0F6C500469A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AC84-48F0-B744-0F6C500469A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E0-4570-BB4B-9A9A61032934}"/>
                </c:ext>
              </c:extLst>
            </c:dLbl>
            <c:dLbl>
              <c:idx val="1"/>
              <c:layout>
                <c:manualLayout>
                  <c:x val="7.5019305670302905E-2"/>
                  <c:y val="-6.96972878390201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E0-4570-BB4B-9A9A61032934}"/>
                </c:ext>
              </c:extLst>
            </c:dLbl>
            <c:dLbl>
              <c:idx val="2"/>
              <c:layout>
                <c:manualLayout>
                  <c:x val="-0.24625200222563187"/>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E0-4570-BB4B-9A9A610329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1.7492000000000001E-2</c:v>
                </c:pt>
                <c:pt idx="1">
                  <c:v>1.6011000000000001E-2</c:v>
                </c:pt>
                <c:pt idx="2">
                  <c:v>0.96649700000000005</c:v>
                </c:pt>
              </c:numCache>
            </c:numRef>
          </c:val>
          <c:extLst>
            <c:ext xmlns:c16="http://schemas.microsoft.com/office/drawing/2014/chart" uri="{C3380CC4-5D6E-409C-BE32-E72D297353CC}">
              <c16:uniqueId val="{0000000C-41E0-4570-BB4B-9A9A6103293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3.17982456140350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D2B-4B03-AFEF-74A8C215C01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BD2B-4B03-AFEF-74A8C215C01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49-471E-9E6D-5B53782E0931}"/>
                </c:ext>
              </c:extLst>
            </c:dLbl>
            <c:dLbl>
              <c:idx val="1"/>
              <c:layout>
                <c:manualLayout>
                  <c:x val="0.11812406211536192"/>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B49-471E-9E6D-5B53782E0931}"/>
                </c:ext>
              </c:extLst>
            </c:dLbl>
            <c:dLbl>
              <c:idx val="2"/>
              <c:layout>
                <c:manualLayout>
                  <c:x val="-0.26227908074659834"/>
                  <c:y val="-5.69301837270341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B49-471E-9E6D-5B53782E093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8.8710000000000004E-3</c:v>
                </c:pt>
                <c:pt idx="1">
                  <c:v>8.175E-3</c:v>
                </c:pt>
                <c:pt idx="2">
                  <c:v>0.98295399999999999</c:v>
                </c:pt>
              </c:numCache>
            </c:numRef>
          </c:val>
          <c:extLst>
            <c:ext xmlns:c16="http://schemas.microsoft.com/office/drawing/2014/chart" uri="{C3380CC4-5D6E-409C-BE32-E72D297353CC}">
              <c16:uniqueId val="{0000000C-CB49-471E-9E6D-5B53782E093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3C-4A65-A7C1-56A38878FF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B23C-4A65-A7C1-56A38878FF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603-42F8-B020-F67C1076CF83}"/>
                </c:ext>
              </c:extLst>
            </c:dLbl>
            <c:dLbl>
              <c:idx val="1"/>
              <c:layout>
                <c:manualLayout>
                  <c:x val="0.13076531386467483"/>
                  <c:y val="-2.14141732283464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603-42F8-B020-F67C1076CF83}"/>
                </c:ext>
              </c:extLst>
            </c:dLbl>
            <c:dLbl>
              <c:idx val="2"/>
              <c:layout>
                <c:manualLayout>
                  <c:x val="-0.2379543576860173"/>
                  <c:y val="-5.1374628171478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603-42F8-B020-F67C1076CF8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2.5099E-2</c:v>
                </c:pt>
                <c:pt idx="1">
                  <c:v>9.5429999999999994E-3</c:v>
                </c:pt>
                <c:pt idx="2">
                  <c:v>0.96535800000000005</c:v>
                </c:pt>
              </c:numCache>
            </c:numRef>
          </c:val>
          <c:extLst>
            <c:ext xmlns:c16="http://schemas.microsoft.com/office/drawing/2014/chart" uri="{C3380CC4-5D6E-409C-BE32-E72D297353CC}">
              <c16:uniqueId val="{0000000C-A603-42F8-B020-F67C1076CF8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B8-4CD0-B3BA-3F459CE0A2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B7B8-4CD0-B3BA-3F459CE0A2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layout>
                <c:manualLayout>
                  <c:x val="0.13100406346422971"/>
                  <c:y val="-5.04780402449693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71-4121-92FF-B2F768435C6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271-4121-92FF-B2F768435C6C}"/>
                </c:ext>
              </c:extLst>
            </c:dLbl>
            <c:dLbl>
              <c:idx val="2"/>
              <c:layout>
                <c:manualLayout>
                  <c:x val="-0.21635299870171476"/>
                  <c:y val="-2.02635170603674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271-4121-92FF-B2F768435C6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1.8595E-2</c:v>
                </c:pt>
                <c:pt idx="1">
                  <c:v>8.7880000000000007E-3</c:v>
                </c:pt>
                <c:pt idx="2">
                  <c:v>0.97261699999999995</c:v>
                </c:pt>
              </c:numCache>
            </c:numRef>
          </c:val>
          <c:extLst>
            <c:ext xmlns:c16="http://schemas.microsoft.com/office/drawing/2014/chart" uri="{C3380CC4-5D6E-409C-BE32-E72D297353CC}">
              <c16:uniqueId val="{0000000C-3271-4121-92FF-B2F768435C6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46-4E95-BECC-BF17E6EE347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0946-4E95-BECC-BF17E6EE347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layout>
                <c:manualLayout>
                  <c:x val="0.12350941678328745"/>
                  <c:y val="6.188626421697288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7CF-4B3F-B671-5BA7C4E9AF03}"/>
                </c:ext>
              </c:extLst>
            </c:dLbl>
            <c:dLbl>
              <c:idx val="1"/>
              <c:layout>
                <c:manualLayout>
                  <c:x val="-9.20042489335514E-2"/>
                  <c:y val="-1.58586176727909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7CF-4B3F-B671-5BA7C4E9AF03}"/>
                </c:ext>
              </c:extLst>
            </c:dLbl>
            <c:dLbl>
              <c:idx val="2"/>
              <c:layout>
                <c:manualLayout>
                  <c:x val="-0.25088123219072989"/>
                  <c:y val="-8.248573928258967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7CF-4B3F-B671-5BA7C4E9AF0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1.8867999999999999E-2</c:v>
                </c:pt>
                <c:pt idx="1">
                  <c:v>1.1514E-2</c:v>
                </c:pt>
                <c:pt idx="2">
                  <c:v>0.96961799999999998</c:v>
                </c:pt>
              </c:numCache>
            </c:numRef>
          </c:val>
          <c:extLst>
            <c:ext xmlns:c16="http://schemas.microsoft.com/office/drawing/2014/chart" uri="{C3380CC4-5D6E-409C-BE32-E72D297353CC}">
              <c16:uniqueId val="{0000000C-B7CF-4B3F-B671-5BA7C4E9AF0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9.82532751091703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B0-4F26-9835-3B9672A833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90B0-4F26-9835-3B9672A833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AB3-44D9-B306-8C2D12608527}"/>
                </c:ext>
              </c:extLst>
            </c:dLbl>
            <c:dLbl>
              <c:idx val="1"/>
              <c:layout>
                <c:manualLayout>
                  <c:x val="0.10158972499957848"/>
                  <c:y val="-5.858617672790901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AB3-44D9-B306-8C2D12608527}"/>
                </c:ext>
              </c:extLst>
            </c:dLbl>
            <c:dLbl>
              <c:idx val="2"/>
              <c:layout>
                <c:manualLayout>
                  <c:x val="0.13383390379200458"/>
                  <c:y val="-4.03912510936133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AB3-44D9-B306-8C2D12608527}"/>
                </c:ext>
              </c:extLst>
            </c:dLbl>
            <c:dLbl>
              <c:idx val="3"/>
              <c:layout>
                <c:manualLayout>
                  <c:x val="1.9579827682139304E-2"/>
                  <c:y val="8.12430446194225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AB3-44D9-B306-8C2D1260852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1.9681000000000001E-2</c:v>
                </c:pt>
                <c:pt idx="1">
                  <c:v>1.9851000000000001E-2</c:v>
                </c:pt>
                <c:pt idx="2">
                  <c:v>0.127494</c:v>
                </c:pt>
                <c:pt idx="3">
                  <c:v>0.83297399999999999</c:v>
                </c:pt>
              </c:numCache>
            </c:numRef>
          </c:val>
          <c:extLst>
            <c:ext xmlns:c16="http://schemas.microsoft.com/office/drawing/2014/chart" uri="{C3380CC4-5D6E-409C-BE32-E72D297353CC}">
              <c16:uniqueId val="{0000000C-8AB3-44D9-B306-8C2D1260852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1.41921397379912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921-4077-8A74-0A253E4F00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A921-4077-8A74-0A253E4F00E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7DE-402A-9721-B321EFEA501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7DE-402A-9721-B321EFEA501D}"/>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7DE-402A-9721-B321EFEA501D}"/>
                </c:ext>
              </c:extLst>
            </c:dLbl>
            <c:dLbl>
              <c:idx val="3"/>
              <c:layout>
                <c:manualLayout>
                  <c:x val="3.751875769276164E-2"/>
                  <c:y val="0.1064850393700787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07DE-402A-9721-B321EFEA501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1.7184999999999999E-2</c:v>
                </c:pt>
                <c:pt idx="1">
                  <c:v>1.1957000000000001E-2</c:v>
                </c:pt>
                <c:pt idx="2">
                  <c:v>0.181252</c:v>
                </c:pt>
                <c:pt idx="3">
                  <c:v>0.78960600000000003</c:v>
                </c:pt>
              </c:numCache>
            </c:numRef>
          </c:val>
          <c:extLst>
            <c:ext xmlns:c16="http://schemas.microsoft.com/office/drawing/2014/chart" uri="{C3380CC4-5D6E-409C-BE32-E72D297353CC}">
              <c16:uniqueId val="{0000000C-07DE-402A-9721-B321EFEA501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6.22270742358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1E-4DBB-B985-35611F3010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091E-4DBB-B985-35611F3010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5AD-4F7D-991B-25E4149F3389}"/>
                </c:ext>
              </c:extLst>
            </c:dLbl>
            <c:dLbl>
              <c:idx val="1"/>
              <c:layout>
                <c:manualLayout>
                  <c:x val="0.25494090272977121"/>
                  <c:y val="3.39664041994750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5AD-4F7D-991B-25E4149F338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5AD-4F7D-991B-25E4149F3389}"/>
                </c:ext>
              </c:extLst>
            </c:dLbl>
            <c:dLbl>
              <c:idx val="3"/>
              <c:layout>
                <c:manualLayout>
                  <c:x val="-1.4567772176229577E-4"/>
                  <c:y val="2.72181977252843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5AD-4F7D-991B-25E4149F33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1.2789E-2</c:v>
                </c:pt>
                <c:pt idx="1">
                  <c:v>6.4270000000000004E-3</c:v>
                </c:pt>
                <c:pt idx="2">
                  <c:v>0.121748</c:v>
                </c:pt>
                <c:pt idx="3">
                  <c:v>0.85903600000000002</c:v>
                </c:pt>
              </c:numCache>
            </c:numRef>
          </c:val>
          <c:extLst>
            <c:ext xmlns:c16="http://schemas.microsoft.com/office/drawing/2014/chart" uri="{C3380CC4-5D6E-409C-BE32-E72D297353CC}">
              <c16:uniqueId val="{0000000C-75AD-4F7D-991B-25E4149F338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1.09649122807017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D75-4ADE-BAA9-85585A1B9A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4D75-4ADE-BAA9-85585A1B9A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B84-4B92-8945-6548BF3015FE}"/>
                </c:ext>
              </c:extLst>
            </c:dLbl>
            <c:dLbl>
              <c:idx val="1"/>
              <c:layout>
                <c:manualLayout>
                  <c:x val="0.11802997858672377"/>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B84-4B92-8945-6548BF3015FE}"/>
                </c:ext>
              </c:extLst>
            </c:dLbl>
            <c:dLbl>
              <c:idx val="2"/>
              <c:layout>
                <c:manualLayout>
                  <c:x val="-0.31632989934074085"/>
                  <c:y val="-7.02635170603674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B84-4B92-8945-6548BF3015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-5.2430000000000003E-3</c:v>
                </c:pt>
                <c:pt idx="1">
                  <c:v>6.9709999999999998E-3</c:v>
                </c:pt>
                <c:pt idx="2">
                  <c:v>0.99827200000000005</c:v>
                </c:pt>
              </c:numCache>
            </c:numRef>
          </c:val>
          <c:extLst>
            <c:ext xmlns:c16="http://schemas.microsoft.com/office/drawing/2014/chart" uri="{C3380CC4-5D6E-409C-BE32-E72D297353CC}">
              <c16:uniqueId val="{0000000C-3B84-4B92-8945-6548BF3015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610-42DB-81B6-A4E1144F6DC4}"/>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610-42DB-81B6-A4E1144F6DC4}"/>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610-42DB-81B6-A4E1144F6DC4}"/>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610-42DB-81B6-A4E1144F6DC4}"/>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0.96553999999999995</c:v>
                </c:pt>
                <c:pt idx="1">
                  <c:v>-5.6600000000000001E-3</c:v>
                </c:pt>
                <c:pt idx="2">
                  <c:v>4.0120000000000003E-2</c:v>
                </c:pt>
              </c:numCache>
            </c:numRef>
          </c:val>
          <c:extLst>
            <c:ext xmlns:c16="http://schemas.microsoft.com/office/drawing/2014/chart" uri="{C3380CC4-5D6E-409C-BE32-E72D297353CC}">
              <c16:uniqueId val="{00000004-0610-42DB-81B6-A4E1144F6DC4}"/>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85DAC5A-4124-4028-9C97-4FD0466DC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06FBA43-4D74-40F1-B9CD-B8698611E6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76F61C6-1F85-4CDC-A299-DF03A4F83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3397D598-6D9B-488E-8A7B-91DD208B65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506DDA1-867A-47D5-8179-C0D551FCE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6D86682-DB66-4282-8CB2-89D3D5ADE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0F38C00-AE9D-445D-8AAB-F0EA338DFF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5CE18107-F0C9-4E1A-8406-325F6B7A71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15C8403-49C2-46A0-B9DB-F740DE7BC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2438A53-E67E-4BD3-8EBB-AA70613F0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F302D24-9B37-49D9-BD3E-8FF972F79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525EEFC-34BE-4443-92D1-65E950E68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7A2CC3B-67E2-4C25-8842-90D857DD4E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29BB1FD5-461D-4226-9295-0B0F8F054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2E5412A-79FC-40CC-9C0B-5A106FA28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F692289C-77B5-4246-A0A1-7F50F39EAB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F998917-5580-4769-B21B-D41DC1F83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ADFA65C2-34F1-494A-86E9-659075BB44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A06BD608-155C-4EB1-A3F2-ED5DAAC97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053D5412-DFDC-4065-89A3-070712B7F3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50800</xdr:colOff>
      <xdr:row>7</xdr:row>
      <xdr:rowOff>12701</xdr:rowOff>
    </xdr:from>
    <xdr:to>
      <xdr:col>13</xdr:col>
      <xdr:colOff>596900</xdr:colOff>
      <xdr:row>22</xdr:row>
      <xdr:rowOff>12701</xdr:rowOff>
    </xdr:to>
    <xdr:graphicFrame macro="">
      <xdr:nvGraphicFramePr>
        <xdr:cNvPr id="2" name="Chart 1">
          <a:extLst>
            <a:ext uri="{FF2B5EF4-FFF2-40B4-BE49-F238E27FC236}">
              <a16:creationId xmlns:a16="http://schemas.microsoft.com/office/drawing/2014/main" id="{55E9E520-C6B5-4324-A017-FAB9D5960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E555C5B4-5F3B-42EC-91F0-B2231AB0CB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1</xdr:rowOff>
    </xdr:from>
    <xdr:to>
      <xdr:col>13</xdr:col>
      <xdr:colOff>546100</xdr:colOff>
      <xdr:row>22</xdr:row>
      <xdr:rowOff>1</xdr:rowOff>
    </xdr:to>
    <xdr:graphicFrame macro="">
      <xdr:nvGraphicFramePr>
        <xdr:cNvPr id="2" name="Chart 1">
          <a:extLst>
            <a:ext uri="{FF2B5EF4-FFF2-40B4-BE49-F238E27FC236}">
              <a16:creationId xmlns:a16="http://schemas.microsoft.com/office/drawing/2014/main" id="{ED382BA8-9081-469B-89D1-84C09331A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08F1AAC-EF1B-4FE6-91E6-BDD1A550B3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AB39A6D-EE99-4432-9BF5-1DCE755B21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B055EA04-6D48-4C00-9FBC-E49B178907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EB826C5-0D0F-4586-B45C-995A571FD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1173AE3-5E7F-484B-A696-62DF119092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B7B87C0-DCA0-4BB2-B4F4-CF8F242EF6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272ECE4-0DFF-4F00-9CD3-BFEBB346C9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67AD4B6-00F1-4E29-9B6A-C1BFF8CB9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0F4527F-4840-4AD3-A273-28F9EE20D0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65250F7-60DE-448B-8880-BB86204A1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3FB81D4-4A16-4A84-B196-5B33A99BB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3B6FB5B-788F-4E57-9FAA-5AE35270DB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204C23A-9E3C-4AAB-B287-8E713E12A0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362E9E6-9564-4CB5-86B9-40E2DE127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85B266A-C849-45B7-BA22-9CF0120A5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396B809-E184-47AD-9C5D-70BF017EA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E5F028D-95B1-40C0-B9D1-E18F9B367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4A2CBC6-E165-438E-B9F9-B6CBDEC5E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A09D01A-8884-43A6-9541-1B2DC89C8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9834098B-9732-46BB-A960-54D667CF8C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09BA9A2-5B85-4618-8096-127DA48DA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79C6C3D-9905-4F19-A2EC-A72DA66291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DE2705E-6F40-4BF8-B9DA-3608673D7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315F9AD-8AE3-47A2-B053-78CC91C61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546100</xdr:colOff>
      <xdr:row>26</xdr:row>
      <xdr:rowOff>50800</xdr:rowOff>
    </xdr:from>
    <xdr:to>
      <xdr:col>13</xdr:col>
      <xdr:colOff>482600</xdr:colOff>
      <xdr:row>41</xdr:row>
      <xdr:rowOff>50800</xdr:rowOff>
    </xdr:to>
    <xdr:graphicFrame macro="">
      <xdr:nvGraphicFramePr>
        <xdr:cNvPr id="3" name="Chart 2">
          <a:extLst>
            <a:ext uri="{FF2B5EF4-FFF2-40B4-BE49-F238E27FC236}">
              <a16:creationId xmlns:a16="http://schemas.microsoft.com/office/drawing/2014/main" id="{736FB3AC-86F0-4DA2-9872-A7E515E5C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ED1D5F2C-B768-421F-A8CD-04FFD09F9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77869-DB08-4EB5-AAA2-840DFA724D80}">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183</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184</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8</v>
      </c>
      <c r="D8" s="6"/>
      <c r="E8" s="11">
        <v>0.88680700000000001</v>
      </c>
      <c r="F8" s="1"/>
      <c r="G8" s="24" t="s">
        <v>15</v>
      </c>
      <c r="H8" s="25">
        <v>1</v>
      </c>
      <c r="I8" s="1"/>
      <c r="J8" s="24" t="s">
        <v>12</v>
      </c>
      <c r="K8" s="24" t="s">
        <v>5</v>
      </c>
      <c r="L8" s="1"/>
      <c r="M8" s="1"/>
      <c r="N8" s="18"/>
    </row>
    <row r="9" spans="2:14" ht="15.75" customHeight="1" x14ac:dyDescent="0.25">
      <c r="B9" s="20"/>
      <c r="C9" s="7" t="s">
        <v>185</v>
      </c>
      <c r="D9" s="8"/>
      <c r="E9" s="12">
        <v>0.88680700000000001</v>
      </c>
      <c r="F9" s="1"/>
      <c r="G9" s="1"/>
      <c r="H9" s="1"/>
      <c r="I9" s="1"/>
      <c r="J9" s="24" t="s">
        <v>10</v>
      </c>
      <c r="K9" s="29">
        <v>-5.8069999999999997E-3</v>
      </c>
      <c r="L9" s="1"/>
      <c r="M9" s="1"/>
      <c r="N9" s="18"/>
    </row>
    <row r="10" spans="2:14" ht="15" customHeight="1" x14ac:dyDescent="0.25">
      <c r="B10" s="20"/>
      <c r="C10" s="5" t="s">
        <v>186</v>
      </c>
      <c r="D10" s="6" t="s">
        <v>195</v>
      </c>
      <c r="E10" s="11">
        <v>2.2020000000000001E-2</v>
      </c>
      <c r="F10" s="1"/>
      <c r="G10" s="1"/>
      <c r="H10" s="1"/>
      <c r="I10" s="1"/>
      <c r="J10" s="24" t="s">
        <v>13</v>
      </c>
      <c r="K10" s="29">
        <v>7.1374000000000007E-2</v>
      </c>
      <c r="L10" s="1"/>
      <c r="M10" s="1"/>
      <c r="N10" s="18"/>
    </row>
    <row r="11" spans="2:14" ht="15" customHeight="1" x14ac:dyDescent="0.25">
      <c r="B11" s="20"/>
      <c r="C11" s="5" t="s">
        <v>187</v>
      </c>
      <c r="D11" s="6" t="s">
        <v>195</v>
      </c>
      <c r="E11" s="11">
        <v>7.3309999999999998E-3</v>
      </c>
      <c r="F11" s="1"/>
      <c r="G11" s="1"/>
      <c r="H11" s="1"/>
      <c r="I11" s="1"/>
      <c r="J11" s="24" t="s">
        <v>190</v>
      </c>
      <c r="K11" s="29">
        <v>0.88680700000000001</v>
      </c>
      <c r="L11" s="1"/>
      <c r="M11" s="1"/>
      <c r="N11" s="18"/>
    </row>
    <row r="12" spans="2:14" ht="15" customHeight="1" x14ac:dyDescent="0.25">
      <c r="B12" s="20"/>
      <c r="C12" s="5" t="s">
        <v>157</v>
      </c>
      <c r="D12" s="6" t="s">
        <v>195</v>
      </c>
      <c r="E12" s="11">
        <v>7.3130000000000001E-3</v>
      </c>
      <c r="F12" s="1"/>
      <c r="G12" s="1"/>
      <c r="H12" s="1"/>
      <c r="I12" s="1"/>
      <c r="J12" s="24" t="s">
        <v>162</v>
      </c>
      <c r="K12" s="29">
        <v>4.7626000000000002E-2</v>
      </c>
      <c r="L12" s="1"/>
      <c r="M12" s="1"/>
      <c r="N12" s="18"/>
    </row>
    <row r="13" spans="2:14" ht="15" customHeight="1" x14ac:dyDescent="0.25">
      <c r="B13" s="20"/>
      <c r="C13" s="5" t="s">
        <v>188</v>
      </c>
      <c r="D13" s="6" t="s">
        <v>195</v>
      </c>
      <c r="E13" s="11">
        <v>3.6600000000000001E-3</v>
      </c>
      <c r="F13" s="1"/>
      <c r="G13" s="1"/>
      <c r="H13" s="1"/>
      <c r="I13" s="1"/>
      <c r="J13" s="1"/>
      <c r="K13" s="1"/>
      <c r="L13" s="1"/>
      <c r="M13" s="1"/>
      <c r="N13" s="18"/>
    </row>
    <row r="14" spans="2:14" ht="15" customHeight="1" x14ac:dyDescent="0.25">
      <c r="B14" s="20"/>
      <c r="C14" s="5" t="s">
        <v>189</v>
      </c>
      <c r="D14" s="6" t="s">
        <v>195</v>
      </c>
      <c r="E14" s="11">
        <v>3.6510000000000002E-3</v>
      </c>
      <c r="F14" s="1"/>
      <c r="G14" s="1"/>
      <c r="H14" s="1"/>
      <c r="I14" s="1"/>
      <c r="J14" s="1"/>
      <c r="K14" s="1"/>
      <c r="L14" s="1"/>
      <c r="M14" s="1"/>
      <c r="N14" s="18"/>
    </row>
    <row r="15" spans="2:14" ht="15" customHeight="1" x14ac:dyDescent="0.25">
      <c r="B15" s="20"/>
      <c r="C15" s="5" t="s">
        <v>158</v>
      </c>
      <c r="D15" s="6" t="s">
        <v>195</v>
      </c>
      <c r="E15" s="11">
        <v>3.6510000000000002E-3</v>
      </c>
      <c r="F15" s="1"/>
      <c r="G15" s="1"/>
      <c r="H15" s="1"/>
      <c r="I15" s="1"/>
      <c r="J15" s="1"/>
      <c r="K15" s="1"/>
      <c r="L15" s="1"/>
      <c r="M15" s="1"/>
      <c r="N15" s="18"/>
    </row>
    <row r="16" spans="2:14" ht="15.75" customHeight="1" x14ac:dyDescent="0.25">
      <c r="B16" s="20"/>
      <c r="C16" s="7" t="s">
        <v>160</v>
      </c>
      <c r="D16" s="8"/>
      <c r="E16" s="12">
        <v>4.7626000000000002E-2</v>
      </c>
      <c r="F16" s="1"/>
      <c r="G16" s="1"/>
      <c r="H16" s="1"/>
      <c r="I16" s="1"/>
      <c r="J16" s="1"/>
      <c r="K16" s="1"/>
      <c r="L16" s="1"/>
      <c r="M16" s="1"/>
      <c r="N16" s="18"/>
    </row>
    <row r="17" spans="2:14" ht="15" customHeight="1" x14ac:dyDescent="0.25">
      <c r="B17" s="20"/>
      <c r="C17" s="5" t="s">
        <v>8</v>
      </c>
      <c r="D17" s="6"/>
      <c r="E17" s="11">
        <v>7.1374000000000007E-2</v>
      </c>
      <c r="F17" s="1"/>
      <c r="G17" s="1"/>
      <c r="H17" s="1"/>
      <c r="I17" s="1"/>
      <c r="J17" s="1"/>
      <c r="K17" s="1"/>
      <c r="L17" s="1"/>
      <c r="M17" s="1"/>
      <c r="N17" s="18"/>
    </row>
    <row r="18" spans="2:14" ht="15.75" customHeight="1" x14ac:dyDescent="0.25">
      <c r="B18" s="20"/>
      <c r="C18" s="7" t="s">
        <v>9</v>
      </c>
      <c r="D18" s="8"/>
      <c r="E18" s="12">
        <v>7.1374000000000007E-2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75" customHeight="1" x14ac:dyDescent="0.25">
      <c r="B20" s="20"/>
      <c r="C20" s="7" t="s">
        <v>10</v>
      </c>
      <c r="D20" s="8"/>
      <c r="E20" s="12">
        <v>-5.8069999999999997E-3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9" t="s">
        <v>11</v>
      </c>
      <c r="D22" s="10"/>
      <c r="E22" s="13">
        <v>1</v>
      </c>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120</v>
      </c>
      <c r="H24" s="84"/>
      <c r="I24" s="84"/>
      <c r="J24" s="84"/>
      <c r="K24" s="84"/>
      <c r="L24" s="64">
        <v>2.4725054072778629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6" t="s">
        <v>262</v>
      </c>
      <c r="C45" s="67"/>
      <c r="D45" s="67"/>
      <c r="E45" s="67"/>
      <c r="F45" s="67"/>
      <c r="G45" s="67"/>
      <c r="H45" s="67"/>
      <c r="I45" s="67"/>
      <c r="J45" s="67"/>
      <c r="K45" s="67"/>
      <c r="L45" s="67"/>
      <c r="M45" s="67"/>
      <c r="N45" s="68"/>
    </row>
    <row r="46" spans="2:14" x14ac:dyDescent="0.25">
      <c r="B46" s="69"/>
      <c r="C46" s="70"/>
      <c r="D46" s="70"/>
      <c r="E46" s="70"/>
      <c r="F46" s="70"/>
      <c r="G46" s="70"/>
      <c r="H46" s="70"/>
      <c r="I46" s="70"/>
      <c r="J46" s="70"/>
      <c r="K46" s="70"/>
      <c r="L46" s="70"/>
      <c r="M46" s="70"/>
      <c r="N46" s="71"/>
    </row>
    <row r="47" spans="2:14" ht="15.75" thickBot="1" x14ac:dyDescent="0.3">
      <c r="B47" s="72"/>
      <c r="C47" s="73"/>
      <c r="D47" s="73"/>
      <c r="E47" s="73"/>
      <c r="F47" s="73"/>
      <c r="G47" s="73"/>
      <c r="H47" s="73"/>
      <c r="I47" s="73"/>
      <c r="J47" s="73"/>
      <c r="K47" s="73"/>
      <c r="L47" s="73"/>
      <c r="M47" s="73"/>
      <c r="N47" s="74"/>
    </row>
    <row r="48" spans="2:14" ht="15.75" thickBot="1" x14ac:dyDescent="0.3"/>
    <row r="49" spans="2:14" ht="123.75" customHeight="1" thickBot="1" x14ac:dyDescent="0.3">
      <c r="B49" s="75" t="s">
        <v>263</v>
      </c>
      <c r="C49" s="76"/>
      <c r="D49" s="76"/>
      <c r="E49" s="76"/>
      <c r="F49" s="76"/>
      <c r="G49" s="76"/>
      <c r="H49" s="76"/>
      <c r="I49" s="76"/>
      <c r="J49" s="76"/>
      <c r="K49" s="76"/>
      <c r="L49" s="76"/>
      <c r="M49" s="76"/>
      <c r="N49" s="77"/>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E5D5-2D59-4638-B19E-E041EBD4F6C4}">
  <dimension ref="B1:N83"/>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135</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136</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137</v>
      </c>
      <c r="D8" s="6" t="s">
        <v>22</v>
      </c>
      <c r="E8" s="11">
        <v>0.104992</v>
      </c>
      <c r="F8" s="1"/>
      <c r="G8" s="24" t="s">
        <v>15</v>
      </c>
      <c r="H8" s="25">
        <v>1</v>
      </c>
      <c r="I8" s="1"/>
      <c r="J8" s="24" t="s">
        <v>12</v>
      </c>
      <c r="K8" s="24" t="s">
        <v>5</v>
      </c>
      <c r="L8" s="1"/>
      <c r="M8" s="1"/>
      <c r="N8" s="18"/>
    </row>
    <row r="9" spans="2:14" ht="15" customHeight="1" x14ac:dyDescent="0.25">
      <c r="B9" s="20"/>
      <c r="C9" s="5" t="s">
        <v>24</v>
      </c>
      <c r="D9" s="6" t="s">
        <v>22</v>
      </c>
      <c r="E9" s="11">
        <v>6.6254999999999994E-2</v>
      </c>
      <c r="F9" s="1"/>
      <c r="G9" s="1"/>
      <c r="H9" s="1"/>
      <c r="I9" s="1"/>
      <c r="J9" s="24" t="s">
        <v>10</v>
      </c>
      <c r="K9" s="29">
        <v>-0.103267</v>
      </c>
      <c r="L9" s="1"/>
      <c r="M9" s="1"/>
      <c r="N9" s="18"/>
    </row>
    <row r="10" spans="2:14" ht="15" customHeight="1" x14ac:dyDescent="0.25">
      <c r="B10" s="20"/>
      <c r="C10" s="5" t="s">
        <v>138</v>
      </c>
      <c r="D10" s="6" t="s">
        <v>22</v>
      </c>
      <c r="E10" s="11">
        <v>4.9333000000000002E-2</v>
      </c>
      <c r="F10" s="1"/>
      <c r="G10" s="1"/>
      <c r="H10" s="1"/>
      <c r="I10" s="1"/>
      <c r="J10" s="24" t="s">
        <v>53</v>
      </c>
      <c r="K10" s="29">
        <v>0.28675400000000001</v>
      </c>
      <c r="L10" s="1"/>
      <c r="M10" s="1"/>
      <c r="N10" s="18"/>
    </row>
    <row r="11" spans="2:14" ht="15" customHeight="1" x14ac:dyDescent="0.25">
      <c r="B11" s="20"/>
      <c r="C11" s="5" t="s">
        <v>27</v>
      </c>
      <c r="D11" s="6" t="s">
        <v>22</v>
      </c>
      <c r="E11" s="11">
        <v>2.9395999999999999E-2</v>
      </c>
      <c r="F11" s="1"/>
      <c r="G11" s="1"/>
      <c r="H11" s="1"/>
      <c r="I11" s="1"/>
      <c r="J11" s="24" t="s">
        <v>54</v>
      </c>
      <c r="K11" s="29">
        <v>4.7787999999999997E-2</v>
      </c>
      <c r="L11" s="1"/>
      <c r="M11" s="1"/>
      <c r="N11" s="18"/>
    </row>
    <row r="12" spans="2:14" ht="15" customHeight="1" x14ac:dyDescent="0.25">
      <c r="B12" s="20"/>
      <c r="C12" s="5" t="s">
        <v>21</v>
      </c>
      <c r="D12" s="6" t="s">
        <v>22</v>
      </c>
      <c r="E12" s="11">
        <v>1.8373E-2</v>
      </c>
      <c r="F12" s="1"/>
      <c r="G12" s="1"/>
      <c r="H12" s="1"/>
      <c r="I12" s="1"/>
      <c r="J12" s="24" t="s">
        <v>161</v>
      </c>
      <c r="K12" s="29">
        <v>0.53579100000000002</v>
      </c>
      <c r="L12" s="1"/>
      <c r="M12" s="1"/>
      <c r="N12" s="18"/>
    </row>
    <row r="13" spans="2:14" ht="15" customHeight="1" x14ac:dyDescent="0.25">
      <c r="B13" s="20"/>
      <c r="C13" s="5" t="s">
        <v>139</v>
      </c>
      <c r="D13" s="6" t="s">
        <v>22</v>
      </c>
      <c r="E13" s="11">
        <v>9.1889999999999993E-3</v>
      </c>
      <c r="F13" s="1"/>
      <c r="G13" s="1"/>
      <c r="H13" s="1"/>
      <c r="I13" s="1"/>
      <c r="J13" s="24" t="s">
        <v>43</v>
      </c>
      <c r="K13" s="29">
        <v>2.1120000000000002E-3</v>
      </c>
      <c r="L13" s="1"/>
      <c r="M13" s="1"/>
      <c r="N13" s="18"/>
    </row>
    <row r="14" spans="2:14" ht="15" customHeight="1" x14ac:dyDescent="0.25">
      <c r="B14" s="20"/>
      <c r="C14" s="5" t="s">
        <v>140</v>
      </c>
      <c r="D14" s="6" t="s">
        <v>22</v>
      </c>
      <c r="E14" s="11">
        <v>5.548E-3</v>
      </c>
      <c r="F14" s="1"/>
      <c r="G14" s="1"/>
      <c r="H14" s="1"/>
      <c r="I14" s="1"/>
      <c r="J14" s="24" t="s">
        <v>55</v>
      </c>
      <c r="K14" s="29">
        <v>3.7028999999999999E-2</v>
      </c>
      <c r="L14" s="1"/>
      <c r="M14" s="1"/>
      <c r="N14" s="18"/>
    </row>
    <row r="15" spans="2:14" ht="15" customHeight="1" x14ac:dyDescent="0.25">
      <c r="B15" s="20"/>
      <c r="C15" s="5" t="s">
        <v>25</v>
      </c>
      <c r="D15" s="6" t="s">
        <v>22</v>
      </c>
      <c r="E15" s="11">
        <v>3.6679999999999998E-3</v>
      </c>
      <c r="F15" s="1"/>
      <c r="G15" s="1"/>
      <c r="H15" s="1"/>
      <c r="I15" s="1"/>
      <c r="J15" s="24" t="s">
        <v>56</v>
      </c>
      <c r="K15" s="29">
        <v>7.4399999999999998E-4</v>
      </c>
      <c r="L15" s="1"/>
      <c r="M15" s="1"/>
      <c r="N15" s="18"/>
    </row>
    <row r="16" spans="2:14" ht="15.75" customHeight="1" x14ac:dyDescent="0.25">
      <c r="B16" s="20"/>
      <c r="C16" s="7" t="s">
        <v>26</v>
      </c>
      <c r="D16" s="8"/>
      <c r="E16" s="12">
        <v>0.28675400000000001</v>
      </c>
      <c r="F16" s="1"/>
      <c r="G16" s="1"/>
      <c r="H16" s="1"/>
      <c r="I16" s="1"/>
      <c r="J16" s="24" t="s">
        <v>162</v>
      </c>
      <c r="K16" s="29">
        <v>0.193049</v>
      </c>
      <c r="L16" s="1"/>
      <c r="M16" s="1"/>
      <c r="N16" s="18"/>
    </row>
    <row r="17" spans="2:14" ht="15" customHeight="1" x14ac:dyDescent="0.25">
      <c r="B17" s="20"/>
      <c r="C17" s="5" t="s">
        <v>25</v>
      </c>
      <c r="D17" s="6" t="s">
        <v>22</v>
      </c>
      <c r="E17" s="11">
        <v>9.1939000000000007E-2</v>
      </c>
      <c r="F17" s="1"/>
      <c r="G17" s="1"/>
      <c r="H17" s="1"/>
      <c r="I17" s="1"/>
      <c r="J17" s="1"/>
      <c r="K17" s="1"/>
      <c r="L17" s="1"/>
      <c r="M17" s="1"/>
      <c r="N17" s="18"/>
    </row>
    <row r="18" spans="2:14" ht="15" customHeight="1" x14ac:dyDescent="0.25">
      <c r="B18" s="20"/>
      <c r="C18" s="5" t="s">
        <v>29</v>
      </c>
      <c r="D18" s="6" t="s">
        <v>22</v>
      </c>
      <c r="E18" s="11">
        <v>8.1059000000000006E-2</v>
      </c>
      <c r="F18" s="1"/>
      <c r="G18" s="1"/>
      <c r="H18" s="1"/>
      <c r="I18" s="1"/>
      <c r="J18" s="1"/>
      <c r="K18" s="1"/>
      <c r="L18" s="1"/>
      <c r="M18" s="1"/>
      <c r="N18" s="18"/>
    </row>
    <row r="19" spans="2:14" ht="15" customHeight="1" x14ac:dyDescent="0.25">
      <c r="B19" s="20"/>
      <c r="C19" s="5" t="s">
        <v>77</v>
      </c>
      <c r="D19" s="6" t="s">
        <v>22</v>
      </c>
      <c r="E19" s="11">
        <v>7.3733999999999994E-2</v>
      </c>
      <c r="F19" s="1"/>
      <c r="G19" s="1"/>
      <c r="H19" s="1"/>
      <c r="I19" s="1"/>
      <c r="J19" s="1"/>
      <c r="K19" s="1"/>
      <c r="L19" s="1"/>
      <c r="M19" s="1"/>
      <c r="N19" s="18"/>
    </row>
    <row r="20" spans="2:14" ht="15" customHeight="1" x14ac:dyDescent="0.25">
      <c r="B20" s="20"/>
      <c r="C20" s="5" t="s">
        <v>141</v>
      </c>
      <c r="D20" s="6" t="s">
        <v>22</v>
      </c>
      <c r="E20" s="11">
        <v>5.5419000000000003E-2</v>
      </c>
      <c r="F20" s="1"/>
      <c r="G20" s="1"/>
      <c r="H20" s="1"/>
      <c r="I20" s="1"/>
      <c r="J20" s="1"/>
      <c r="K20" s="1"/>
      <c r="L20" s="1"/>
      <c r="M20" s="1"/>
      <c r="N20" s="18"/>
    </row>
    <row r="21" spans="2:14" ht="15" customHeight="1" x14ac:dyDescent="0.25">
      <c r="B21" s="20"/>
      <c r="C21" s="5" t="s">
        <v>72</v>
      </c>
      <c r="D21" s="6" t="s">
        <v>22</v>
      </c>
      <c r="E21" s="11">
        <v>5.3453000000000001E-2</v>
      </c>
      <c r="F21" s="1"/>
      <c r="G21" s="1"/>
      <c r="H21" s="1"/>
      <c r="I21" s="1"/>
      <c r="J21" s="1"/>
      <c r="K21" s="1"/>
      <c r="L21" s="1"/>
      <c r="M21" s="1"/>
      <c r="N21" s="18"/>
    </row>
    <row r="22" spans="2:14" ht="15" customHeight="1" x14ac:dyDescent="0.25">
      <c r="B22" s="20"/>
      <c r="C22" s="5" t="s">
        <v>142</v>
      </c>
      <c r="D22" s="6" t="s">
        <v>22</v>
      </c>
      <c r="E22" s="11">
        <v>2.7439999999999999E-2</v>
      </c>
      <c r="F22" s="1"/>
      <c r="G22" s="1"/>
      <c r="H22" s="1"/>
      <c r="I22" s="1"/>
      <c r="J22" s="1"/>
      <c r="K22" s="1"/>
      <c r="L22" s="1"/>
      <c r="M22" s="1"/>
      <c r="N22" s="18"/>
    </row>
    <row r="23" spans="2:14" ht="15" customHeight="1" x14ac:dyDescent="0.25">
      <c r="B23" s="20"/>
      <c r="C23" s="5" t="s">
        <v>143</v>
      </c>
      <c r="D23" s="6" t="s">
        <v>22</v>
      </c>
      <c r="E23" s="11">
        <v>2.5479000000000002E-2</v>
      </c>
      <c r="F23" s="1"/>
      <c r="G23" s="1"/>
      <c r="H23" s="1"/>
      <c r="I23" s="1"/>
      <c r="J23" s="1"/>
      <c r="K23" s="1"/>
      <c r="L23" s="1"/>
      <c r="M23" s="1"/>
      <c r="N23" s="18"/>
    </row>
    <row r="24" spans="2:14" ht="15" customHeight="1" x14ac:dyDescent="0.25">
      <c r="B24" s="20"/>
      <c r="C24" s="5" t="s">
        <v>144</v>
      </c>
      <c r="D24" s="6" t="s">
        <v>22</v>
      </c>
      <c r="E24" s="11">
        <v>2.4046000000000001E-2</v>
      </c>
      <c r="F24" s="1"/>
      <c r="G24" s="83" t="s">
        <v>120</v>
      </c>
      <c r="H24" s="84"/>
      <c r="I24" s="84"/>
      <c r="J24" s="84"/>
      <c r="K24" s="84"/>
      <c r="L24" s="65">
        <v>39.048908653386164</v>
      </c>
      <c r="M24" s="27"/>
      <c r="N24" s="28"/>
    </row>
    <row r="25" spans="2:14" ht="15" customHeight="1" x14ac:dyDescent="0.25">
      <c r="B25" s="20"/>
      <c r="C25" s="5" t="s">
        <v>32</v>
      </c>
      <c r="D25" s="6" t="s">
        <v>22</v>
      </c>
      <c r="E25" s="11">
        <v>1.8481999999999998E-2</v>
      </c>
      <c r="F25" s="1"/>
      <c r="G25" s="1"/>
      <c r="H25" s="1"/>
      <c r="I25" s="1"/>
      <c r="J25" s="1"/>
      <c r="K25" s="1"/>
      <c r="L25" s="1"/>
      <c r="M25" s="1"/>
      <c r="N25" s="18"/>
    </row>
    <row r="26" spans="2:14" ht="15" customHeight="1" x14ac:dyDescent="0.25">
      <c r="B26" s="20"/>
      <c r="C26" s="5" t="s">
        <v>128</v>
      </c>
      <c r="D26" s="6" t="s">
        <v>22</v>
      </c>
      <c r="E26" s="11">
        <v>1.6576E-2</v>
      </c>
      <c r="F26" s="1"/>
      <c r="G26" s="83" t="s">
        <v>18</v>
      </c>
      <c r="H26" s="84"/>
      <c r="I26" s="84"/>
      <c r="J26" s="84"/>
      <c r="K26" s="84"/>
      <c r="L26" s="84"/>
      <c r="M26" s="84"/>
      <c r="N26" s="85"/>
    </row>
    <row r="27" spans="2:14" ht="15" customHeight="1" x14ac:dyDescent="0.25">
      <c r="B27" s="20"/>
      <c r="C27" s="5" t="s">
        <v>145</v>
      </c>
      <c r="D27" s="6" t="s">
        <v>22</v>
      </c>
      <c r="E27" s="11">
        <v>1.6566999999999998E-2</v>
      </c>
      <c r="F27" s="1"/>
      <c r="G27" s="1"/>
      <c r="H27" s="1"/>
      <c r="I27" s="1"/>
      <c r="J27" s="1"/>
      <c r="K27" s="1"/>
      <c r="L27" s="1"/>
      <c r="M27" s="1"/>
      <c r="N27" s="18"/>
    </row>
    <row r="28" spans="2:14" ht="15" customHeight="1" x14ac:dyDescent="0.25">
      <c r="B28" s="20"/>
      <c r="C28" s="5" t="s">
        <v>146</v>
      </c>
      <c r="D28" s="6" t="s">
        <v>22</v>
      </c>
      <c r="E28" s="11">
        <v>1.4714E-2</v>
      </c>
      <c r="F28" s="1"/>
      <c r="G28" s="1"/>
      <c r="H28" s="1"/>
      <c r="I28" s="1"/>
      <c r="J28" s="1"/>
      <c r="K28" s="1"/>
      <c r="L28" s="1"/>
      <c r="M28" s="1"/>
      <c r="N28" s="18"/>
    </row>
    <row r="29" spans="2:14" ht="15" customHeight="1" x14ac:dyDescent="0.25">
      <c r="B29" s="20"/>
      <c r="C29" s="5" t="s">
        <v>147</v>
      </c>
      <c r="D29" s="6" t="s">
        <v>22</v>
      </c>
      <c r="E29" s="11">
        <v>1.2947999999999999E-2</v>
      </c>
      <c r="F29" s="1"/>
      <c r="G29" s="1"/>
      <c r="H29" s="1"/>
      <c r="I29" s="1"/>
      <c r="J29" s="1"/>
      <c r="K29" s="1"/>
      <c r="L29" s="1"/>
      <c r="M29" s="1"/>
      <c r="N29" s="18"/>
    </row>
    <row r="30" spans="2:14" ht="15" customHeight="1" x14ac:dyDescent="0.25">
      <c r="B30" s="20"/>
      <c r="C30" s="5" t="s">
        <v>27</v>
      </c>
      <c r="D30" s="6" t="s">
        <v>22</v>
      </c>
      <c r="E30" s="11">
        <v>1.1056E-2</v>
      </c>
      <c r="F30" s="1"/>
      <c r="G30" s="1"/>
      <c r="H30" s="1"/>
      <c r="I30" s="1"/>
      <c r="J30" s="1"/>
      <c r="K30" s="1"/>
      <c r="L30" s="1"/>
      <c r="M30" s="1"/>
      <c r="N30" s="18"/>
    </row>
    <row r="31" spans="2:14" ht="15" customHeight="1" x14ac:dyDescent="0.25">
      <c r="B31" s="20"/>
      <c r="C31" s="5" t="s">
        <v>73</v>
      </c>
      <c r="D31" s="6" t="s">
        <v>22</v>
      </c>
      <c r="E31" s="11">
        <v>9.195E-3</v>
      </c>
      <c r="F31" s="1"/>
      <c r="G31" s="1"/>
      <c r="H31" s="1"/>
      <c r="I31" s="1"/>
      <c r="J31" s="1"/>
      <c r="K31" s="1"/>
      <c r="L31" s="1"/>
      <c r="M31" s="1"/>
      <c r="N31" s="18"/>
    </row>
    <row r="32" spans="2:14" ht="15" customHeight="1" x14ac:dyDescent="0.25">
      <c r="B32" s="20"/>
      <c r="C32" s="5" t="s">
        <v>148</v>
      </c>
      <c r="D32" s="6" t="s">
        <v>22</v>
      </c>
      <c r="E32" s="11">
        <v>3.6840000000000002E-3</v>
      </c>
      <c r="F32" s="1"/>
      <c r="G32" s="1"/>
      <c r="H32" s="1"/>
      <c r="I32" s="1"/>
      <c r="J32" s="1"/>
      <c r="K32" s="1"/>
      <c r="L32" s="1"/>
      <c r="M32" s="1"/>
      <c r="N32" s="18"/>
    </row>
    <row r="33" spans="2:14" ht="15.75" customHeight="1" x14ac:dyDescent="0.25">
      <c r="B33" s="20"/>
      <c r="C33" s="7" t="s">
        <v>149</v>
      </c>
      <c r="D33" s="8"/>
      <c r="E33" s="12">
        <v>0.53579100000000002</v>
      </c>
      <c r="F33" s="1"/>
      <c r="G33" s="1"/>
      <c r="H33" s="1"/>
      <c r="I33" s="1"/>
      <c r="J33" s="1"/>
      <c r="K33" s="1"/>
      <c r="L33" s="1"/>
      <c r="M33" s="1"/>
      <c r="N33" s="18"/>
    </row>
    <row r="34" spans="2:14" ht="15" customHeight="1" x14ac:dyDescent="0.25">
      <c r="B34" s="20"/>
      <c r="C34" s="5" t="s">
        <v>144</v>
      </c>
      <c r="D34" s="6" t="s">
        <v>28</v>
      </c>
      <c r="E34" s="11">
        <v>1.8516999999999999E-2</v>
      </c>
      <c r="F34" s="1"/>
      <c r="G34" s="1"/>
      <c r="H34" s="1"/>
      <c r="I34" s="1"/>
      <c r="J34" s="1"/>
      <c r="K34" s="1"/>
      <c r="L34" s="1"/>
      <c r="M34" s="1"/>
      <c r="N34" s="18"/>
    </row>
    <row r="35" spans="2:14" ht="15" customHeight="1" x14ac:dyDescent="0.25">
      <c r="B35" s="20"/>
      <c r="C35" s="5" t="s">
        <v>29</v>
      </c>
      <c r="D35" s="6" t="s">
        <v>28</v>
      </c>
      <c r="E35" s="11">
        <v>1.5932999999999999E-2</v>
      </c>
      <c r="F35" s="1"/>
      <c r="G35" s="1"/>
      <c r="H35" s="1"/>
      <c r="I35" s="1"/>
      <c r="J35" s="1"/>
      <c r="K35" s="1"/>
      <c r="L35" s="1"/>
      <c r="M35" s="1"/>
      <c r="N35" s="18"/>
    </row>
    <row r="36" spans="2:14" ht="15" customHeight="1" x14ac:dyDescent="0.25">
      <c r="B36" s="20"/>
      <c r="C36" s="5" t="s">
        <v>33</v>
      </c>
      <c r="D36" s="6" t="s">
        <v>28</v>
      </c>
      <c r="E36" s="11">
        <v>5.9259999999999998E-3</v>
      </c>
      <c r="F36" s="1"/>
      <c r="G36" s="1"/>
      <c r="H36" s="1"/>
      <c r="I36" s="1"/>
      <c r="J36" s="1"/>
      <c r="K36" s="1"/>
      <c r="L36" s="1"/>
      <c r="M36" s="1"/>
      <c r="N36" s="18"/>
    </row>
    <row r="37" spans="2:14" ht="15" customHeight="1" x14ac:dyDescent="0.25">
      <c r="B37" s="20"/>
      <c r="C37" s="5" t="s">
        <v>72</v>
      </c>
      <c r="D37" s="6" t="s">
        <v>28</v>
      </c>
      <c r="E37" s="11">
        <v>5.5599999999999998E-3</v>
      </c>
      <c r="F37" s="1"/>
      <c r="G37" s="1"/>
      <c r="H37" s="1"/>
      <c r="I37" s="1"/>
      <c r="J37" s="1"/>
      <c r="K37" s="1"/>
      <c r="L37" s="1"/>
      <c r="M37" s="1"/>
      <c r="N37" s="18"/>
    </row>
    <row r="38" spans="2:14" ht="15" customHeight="1" x14ac:dyDescent="0.25">
      <c r="B38" s="20"/>
      <c r="C38" s="5" t="s">
        <v>73</v>
      </c>
      <c r="D38" s="6" t="s">
        <v>28</v>
      </c>
      <c r="E38" s="11">
        <v>1.8519999999999999E-3</v>
      </c>
      <c r="F38" s="1"/>
      <c r="G38" s="1"/>
      <c r="H38" s="1"/>
      <c r="I38" s="1"/>
      <c r="J38" s="1"/>
      <c r="K38" s="1"/>
      <c r="L38" s="1"/>
      <c r="M38" s="1"/>
      <c r="N38" s="18"/>
    </row>
    <row r="39" spans="2:14" ht="15.75" customHeight="1" x14ac:dyDescent="0.25">
      <c r="B39" s="20"/>
      <c r="C39" s="7" t="s">
        <v>42</v>
      </c>
      <c r="D39" s="8"/>
      <c r="E39" s="12">
        <v>4.7787999999999997E-2</v>
      </c>
      <c r="F39" s="1"/>
      <c r="G39" s="1"/>
      <c r="H39" s="1"/>
      <c r="I39" s="1"/>
      <c r="J39" s="1"/>
      <c r="K39" s="1"/>
      <c r="L39" s="1"/>
      <c r="M39" s="1"/>
      <c r="N39" s="18"/>
    </row>
    <row r="40" spans="2:14" ht="15" customHeight="1" x14ac:dyDescent="0.25">
      <c r="B40" s="20"/>
      <c r="C40" s="5" t="s">
        <v>43</v>
      </c>
      <c r="D40" s="6"/>
      <c r="E40" s="11">
        <v>2.1120000000000002E-3</v>
      </c>
      <c r="F40" s="1"/>
      <c r="G40" s="1"/>
      <c r="H40" s="1"/>
      <c r="I40" s="1"/>
      <c r="J40" s="1"/>
      <c r="K40" s="1"/>
      <c r="L40" s="1"/>
      <c r="M40" s="1"/>
      <c r="N40" s="18"/>
    </row>
    <row r="41" spans="2:14" ht="15.75" customHeight="1" x14ac:dyDescent="0.25">
      <c r="B41" s="20"/>
      <c r="C41" s="7" t="s">
        <v>44</v>
      </c>
      <c r="D41" s="8"/>
      <c r="E41" s="12">
        <v>2.1120000000000002E-3</v>
      </c>
      <c r="F41" s="1"/>
      <c r="G41" s="1"/>
      <c r="H41" s="1"/>
      <c r="I41" s="1"/>
      <c r="J41" s="1"/>
      <c r="K41" s="1"/>
      <c r="L41" s="1"/>
      <c r="M41" s="1"/>
      <c r="N41" s="18"/>
    </row>
    <row r="42" spans="2:14" ht="15" customHeight="1" x14ac:dyDescent="0.25">
      <c r="B42" s="20"/>
      <c r="C42" s="5" t="s">
        <v>150</v>
      </c>
      <c r="D42" s="6" t="s">
        <v>195</v>
      </c>
      <c r="E42" s="11">
        <v>3.7028999999999999E-2</v>
      </c>
      <c r="F42" s="1"/>
      <c r="G42" s="1"/>
      <c r="H42" s="1"/>
      <c r="I42" s="1"/>
      <c r="J42" s="1"/>
      <c r="K42" s="1"/>
      <c r="L42" s="1"/>
      <c r="M42" s="1"/>
      <c r="N42" s="18"/>
    </row>
    <row r="43" spans="2:14" ht="15.75" customHeight="1" x14ac:dyDescent="0.25">
      <c r="B43" s="20"/>
      <c r="C43" s="7" t="s">
        <v>51</v>
      </c>
      <c r="D43" s="8"/>
      <c r="E43" s="12">
        <v>3.7028999999999999E-2</v>
      </c>
      <c r="F43" s="1"/>
      <c r="G43" s="1"/>
      <c r="H43" s="1"/>
      <c r="I43" s="1"/>
      <c r="J43" s="1"/>
      <c r="K43" s="1"/>
      <c r="L43" s="1"/>
      <c r="M43" s="1"/>
      <c r="N43" s="18"/>
    </row>
    <row r="44" spans="2:14" ht="15" customHeight="1" x14ac:dyDescent="0.25">
      <c r="B44" s="20"/>
      <c r="C44" s="5" t="s">
        <v>196</v>
      </c>
      <c r="D44" s="6" t="s">
        <v>195</v>
      </c>
      <c r="E44" s="11">
        <v>7.4399999999999998E-4</v>
      </c>
      <c r="F44" s="1"/>
      <c r="G44" s="1"/>
      <c r="H44" s="1"/>
      <c r="I44" s="1"/>
      <c r="J44" s="1"/>
      <c r="K44" s="1"/>
      <c r="L44" s="1"/>
      <c r="M44" s="1"/>
      <c r="N44" s="18"/>
    </row>
    <row r="45" spans="2:14" ht="15.75" customHeight="1" x14ac:dyDescent="0.25">
      <c r="B45" s="20"/>
      <c r="C45" s="7" t="s">
        <v>52</v>
      </c>
      <c r="D45" s="8"/>
      <c r="E45" s="12">
        <v>7.4399999999999998E-4</v>
      </c>
      <c r="F45" s="1"/>
      <c r="G45" s="1"/>
      <c r="H45" s="1"/>
      <c r="I45" s="1"/>
      <c r="J45" s="1"/>
      <c r="K45" s="1"/>
      <c r="L45" s="1"/>
      <c r="M45" s="1"/>
      <c r="N45" s="18"/>
    </row>
    <row r="46" spans="2:14" ht="15" customHeight="1" x14ac:dyDescent="0.25">
      <c r="B46" s="20"/>
      <c r="C46" s="5" t="s">
        <v>151</v>
      </c>
      <c r="D46" s="6" t="s">
        <v>195</v>
      </c>
      <c r="E46" s="11">
        <v>7.3607000000000006E-2</v>
      </c>
      <c r="F46" s="1"/>
      <c r="G46" s="1"/>
      <c r="H46" s="1"/>
      <c r="I46" s="1"/>
      <c r="J46" s="1"/>
      <c r="K46" s="1"/>
      <c r="L46" s="1"/>
      <c r="M46" s="1"/>
      <c r="N46" s="18"/>
    </row>
    <row r="47" spans="2:14" ht="15" customHeight="1" x14ac:dyDescent="0.25">
      <c r="B47" s="20"/>
      <c r="C47" s="5" t="s">
        <v>152</v>
      </c>
      <c r="D47" s="6" t="s">
        <v>195</v>
      </c>
      <c r="E47" s="11">
        <v>2.2022E-2</v>
      </c>
      <c r="F47" s="1"/>
      <c r="G47" s="1"/>
      <c r="H47" s="1"/>
      <c r="I47" s="1"/>
      <c r="J47" s="1"/>
      <c r="K47" s="1"/>
      <c r="L47" s="1"/>
      <c r="M47" s="1"/>
      <c r="N47" s="18"/>
    </row>
    <row r="48" spans="2:14" ht="15" customHeight="1" x14ac:dyDescent="0.25">
      <c r="B48" s="20"/>
      <c r="C48" s="5" t="s">
        <v>153</v>
      </c>
      <c r="D48" s="6" t="s">
        <v>195</v>
      </c>
      <c r="E48" s="11">
        <v>2.0892999999999998E-2</v>
      </c>
      <c r="F48" s="1"/>
      <c r="G48" s="1"/>
      <c r="H48" s="1"/>
      <c r="I48" s="1"/>
      <c r="J48" s="1"/>
      <c r="K48" s="1"/>
      <c r="L48" s="1"/>
      <c r="M48" s="1"/>
      <c r="N48" s="18"/>
    </row>
    <row r="49" spans="2:14" ht="15" customHeight="1" x14ac:dyDescent="0.25">
      <c r="B49" s="20"/>
      <c r="C49" s="5" t="s">
        <v>154</v>
      </c>
      <c r="D49" s="6" t="s">
        <v>195</v>
      </c>
      <c r="E49" s="11">
        <v>1.8377999999999999E-2</v>
      </c>
      <c r="F49" s="1"/>
      <c r="G49" s="1"/>
      <c r="H49" s="1"/>
      <c r="I49" s="1"/>
      <c r="J49" s="1"/>
      <c r="K49" s="1"/>
      <c r="L49" s="1"/>
      <c r="M49" s="1"/>
      <c r="N49" s="18"/>
    </row>
    <row r="50" spans="2:14" ht="15" customHeight="1" x14ac:dyDescent="0.25">
      <c r="B50" s="20"/>
      <c r="C50" s="5" t="s">
        <v>155</v>
      </c>
      <c r="D50" s="6" t="s">
        <v>195</v>
      </c>
      <c r="E50" s="11">
        <v>1.4721E-2</v>
      </c>
      <c r="F50" s="1"/>
      <c r="G50" s="1"/>
      <c r="H50" s="1"/>
      <c r="I50" s="1"/>
      <c r="J50" s="1"/>
      <c r="K50" s="1"/>
      <c r="L50" s="1"/>
      <c r="M50" s="1"/>
      <c r="N50" s="18"/>
    </row>
    <row r="51" spans="2:14" ht="15" customHeight="1" x14ac:dyDescent="0.25">
      <c r="B51" s="20"/>
      <c r="C51" s="5" t="s">
        <v>156</v>
      </c>
      <c r="D51" s="6" t="s">
        <v>195</v>
      </c>
      <c r="E51" s="11">
        <v>1.4702E-2</v>
      </c>
      <c r="F51" s="1"/>
      <c r="G51" s="1"/>
      <c r="H51" s="1"/>
      <c r="I51" s="1"/>
      <c r="J51" s="1"/>
      <c r="K51" s="1"/>
      <c r="L51" s="1"/>
      <c r="M51" s="1"/>
      <c r="N51" s="18"/>
    </row>
    <row r="52" spans="2:14" ht="15" customHeight="1" x14ac:dyDescent="0.25">
      <c r="B52" s="20"/>
      <c r="C52" s="5" t="s">
        <v>157</v>
      </c>
      <c r="D52" s="6" t="s">
        <v>195</v>
      </c>
      <c r="E52" s="11">
        <v>1.1072E-2</v>
      </c>
      <c r="F52" s="1"/>
      <c r="G52" s="1"/>
      <c r="H52" s="1"/>
      <c r="I52" s="1"/>
      <c r="J52" s="1"/>
      <c r="K52" s="1"/>
      <c r="L52" s="1"/>
      <c r="M52" s="1"/>
      <c r="N52" s="18"/>
    </row>
    <row r="53" spans="2:14" ht="15" customHeight="1" x14ac:dyDescent="0.25">
      <c r="B53" s="20"/>
      <c r="C53" s="5" t="s">
        <v>158</v>
      </c>
      <c r="D53" s="6" t="s">
        <v>195</v>
      </c>
      <c r="E53" s="11">
        <v>1.1056E-2</v>
      </c>
      <c r="F53" s="1"/>
      <c r="G53" s="1"/>
      <c r="H53" s="1"/>
      <c r="I53" s="1"/>
      <c r="J53" s="1"/>
      <c r="K53" s="1"/>
      <c r="L53" s="1"/>
      <c r="M53" s="1"/>
      <c r="N53" s="18"/>
    </row>
    <row r="54" spans="2:14" ht="15" customHeight="1" x14ac:dyDescent="0.25">
      <c r="B54" s="20"/>
      <c r="C54" s="5" t="s">
        <v>159</v>
      </c>
      <c r="D54" s="6" t="s">
        <v>195</v>
      </c>
      <c r="E54" s="11">
        <v>6.5979999999999997E-3</v>
      </c>
      <c r="F54" s="1"/>
      <c r="G54" s="1"/>
      <c r="H54" s="1"/>
      <c r="I54" s="1"/>
      <c r="J54" s="1"/>
      <c r="K54" s="1"/>
      <c r="L54" s="1"/>
      <c r="M54" s="1"/>
      <c r="N54" s="18"/>
    </row>
    <row r="55" spans="2:14" ht="15.75" customHeight="1" x14ac:dyDescent="0.25">
      <c r="B55" s="20"/>
      <c r="C55" s="7" t="s">
        <v>160</v>
      </c>
      <c r="D55" s="8"/>
      <c r="E55" s="12">
        <v>0.193049</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75" customHeight="1" x14ac:dyDescent="0.25">
      <c r="B57" s="20"/>
      <c r="C57" s="7" t="s">
        <v>10</v>
      </c>
      <c r="D57" s="8"/>
      <c r="E57" s="12">
        <v>-0.103267</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11</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5" customHeight="1" x14ac:dyDescent="0.25">
      <c r="B63" s="66" t="s">
        <v>264</v>
      </c>
      <c r="C63" s="67"/>
      <c r="D63" s="67"/>
      <c r="E63" s="67"/>
      <c r="F63" s="67"/>
      <c r="G63" s="67"/>
      <c r="H63" s="67"/>
      <c r="I63" s="67"/>
      <c r="J63" s="67"/>
      <c r="K63" s="67"/>
      <c r="L63" s="67"/>
      <c r="M63" s="67"/>
      <c r="N63" s="68"/>
    </row>
    <row r="64" spans="2:14" ht="15" customHeight="1" x14ac:dyDescent="0.25">
      <c r="B64" s="69"/>
      <c r="C64" s="70"/>
      <c r="D64" s="70"/>
      <c r="E64" s="70"/>
      <c r="F64" s="70"/>
      <c r="G64" s="70"/>
      <c r="H64" s="70"/>
      <c r="I64" s="70"/>
      <c r="J64" s="70"/>
      <c r="K64" s="70"/>
      <c r="L64" s="70"/>
      <c r="M64" s="70"/>
      <c r="N64" s="71"/>
    </row>
    <row r="65" spans="2:14" ht="15" customHeight="1" x14ac:dyDescent="0.25">
      <c r="B65" s="69"/>
      <c r="C65" s="70"/>
      <c r="D65" s="70"/>
      <c r="E65" s="70"/>
      <c r="F65" s="70"/>
      <c r="G65" s="70"/>
      <c r="H65" s="70"/>
      <c r="I65" s="70"/>
      <c r="J65" s="70"/>
      <c r="K65" s="70"/>
      <c r="L65" s="70"/>
      <c r="M65" s="70"/>
      <c r="N65" s="71"/>
    </row>
    <row r="66" spans="2:14" ht="15" customHeight="1" thickBot="1" x14ac:dyDescent="0.3">
      <c r="B66" s="72"/>
      <c r="C66" s="73"/>
      <c r="D66" s="73"/>
      <c r="E66" s="73"/>
      <c r="F66" s="73"/>
      <c r="G66" s="73"/>
      <c r="H66" s="73"/>
      <c r="I66" s="73"/>
      <c r="J66" s="73"/>
      <c r="K66" s="73"/>
      <c r="L66" s="73"/>
      <c r="M66" s="73"/>
      <c r="N66" s="74"/>
    </row>
    <row r="67" spans="2:14" ht="15" customHeight="1" thickBot="1" x14ac:dyDescent="0.3"/>
    <row r="68" spans="2:14" ht="15" customHeight="1" thickBot="1" x14ac:dyDescent="0.3">
      <c r="B68" s="75" t="s">
        <v>263</v>
      </c>
      <c r="C68" s="76"/>
      <c r="D68" s="76"/>
      <c r="E68" s="76"/>
      <c r="F68" s="76"/>
      <c r="G68" s="76"/>
      <c r="H68" s="76"/>
      <c r="I68" s="76"/>
      <c r="J68" s="76"/>
      <c r="K68" s="76"/>
      <c r="L68" s="76"/>
      <c r="M68" s="76"/>
      <c r="N68" s="77"/>
    </row>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sheetData>
  <mergeCells count="7">
    <mergeCell ref="B63:N66"/>
    <mergeCell ref="B68:N68"/>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5AAF8-7B6D-4475-8903-039F90D3D9F8}">
  <dimension ref="B1:N66"/>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167</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168</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24</v>
      </c>
      <c r="D8" s="6" t="s">
        <v>22</v>
      </c>
      <c r="E8" s="11">
        <v>6.7607E-2</v>
      </c>
      <c r="F8" s="1"/>
      <c r="G8" s="24" t="s">
        <v>15</v>
      </c>
      <c r="H8" s="29">
        <v>0.98860999999999999</v>
      </c>
      <c r="I8" s="1"/>
      <c r="J8" s="24" t="s">
        <v>12</v>
      </c>
      <c r="K8" s="24" t="s">
        <v>5</v>
      </c>
      <c r="L8" s="1"/>
      <c r="M8" s="1"/>
      <c r="N8" s="18"/>
    </row>
    <row r="9" spans="2:14" ht="15" customHeight="1" x14ac:dyDescent="0.25">
      <c r="B9" s="20"/>
      <c r="C9" s="5" t="s">
        <v>138</v>
      </c>
      <c r="D9" s="6" t="s">
        <v>22</v>
      </c>
      <c r="E9" s="11">
        <v>1.8474000000000001E-2</v>
      </c>
      <c r="F9" s="1"/>
      <c r="G9" s="24" t="s">
        <v>98</v>
      </c>
      <c r="H9" s="29">
        <v>1.1390000000000001E-2</v>
      </c>
      <c r="I9" s="1"/>
      <c r="J9" s="24" t="s">
        <v>10</v>
      </c>
      <c r="K9" s="29">
        <v>3.0970000000000001E-2</v>
      </c>
      <c r="L9" s="1"/>
      <c r="M9" s="1"/>
      <c r="N9" s="18"/>
    </row>
    <row r="10" spans="2:14" ht="15.75" customHeight="1" x14ac:dyDescent="0.25">
      <c r="B10" s="20"/>
      <c r="C10" s="7" t="s">
        <v>26</v>
      </c>
      <c r="D10" s="8"/>
      <c r="E10" s="12">
        <v>8.6081000000000005E-2</v>
      </c>
      <c r="F10" s="1"/>
      <c r="G10" s="1"/>
      <c r="H10" s="1"/>
      <c r="I10" s="1"/>
      <c r="J10" s="24" t="s">
        <v>13</v>
      </c>
      <c r="K10" s="29">
        <v>2.2911000000000001E-2</v>
      </c>
      <c r="L10" s="1"/>
      <c r="M10" s="1"/>
      <c r="N10" s="18"/>
    </row>
    <row r="11" spans="2:14" ht="15" customHeight="1" x14ac:dyDescent="0.25">
      <c r="B11" s="20"/>
      <c r="C11" s="5" t="s">
        <v>25</v>
      </c>
      <c r="D11" s="6" t="s">
        <v>28</v>
      </c>
      <c r="E11" s="11">
        <v>0.11191</v>
      </c>
      <c r="F11" s="1"/>
      <c r="G11" s="1"/>
      <c r="H11" s="1"/>
      <c r="I11" s="1"/>
      <c r="J11" s="24" t="s">
        <v>53</v>
      </c>
      <c r="K11" s="29">
        <v>8.6081000000000005E-2</v>
      </c>
      <c r="L11" s="1"/>
      <c r="M11" s="1"/>
      <c r="N11" s="18"/>
    </row>
    <row r="12" spans="2:14" ht="15" customHeight="1" x14ac:dyDescent="0.25">
      <c r="B12" s="20"/>
      <c r="C12" s="5" t="s">
        <v>29</v>
      </c>
      <c r="D12" s="6" t="s">
        <v>28</v>
      </c>
      <c r="E12" s="11">
        <v>0.111208</v>
      </c>
      <c r="F12" s="1"/>
      <c r="G12" s="1"/>
      <c r="H12" s="1"/>
      <c r="I12" s="1"/>
      <c r="J12" s="24" t="s">
        <v>54</v>
      </c>
      <c r="K12" s="29">
        <v>0.72742200000000001</v>
      </c>
      <c r="L12" s="1"/>
      <c r="M12" s="1"/>
      <c r="N12" s="18"/>
    </row>
    <row r="13" spans="2:14" ht="15" customHeight="1" x14ac:dyDescent="0.25">
      <c r="B13" s="20"/>
      <c r="C13" s="5" t="s">
        <v>31</v>
      </c>
      <c r="D13" s="6" t="s">
        <v>28</v>
      </c>
      <c r="E13" s="11">
        <v>0.11119800000000001</v>
      </c>
      <c r="F13" s="1"/>
      <c r="G13" s="1"/>
      <c r="H13" s="1"/>
      <c r="I13" s="1"/>
      <c r="J13" s="24" t="s">
        <v>43</v>
      </c>
      <c r="K13" s="29">
        <v>2.947E-3</v>
      </c>
      <c r="L13" s="1"/>
      <c r="M13" s="1"/>
      <c r="N13" s="18"/>
    </row>
    <row r="14" spans="2:14" ht="15" customHeight="1" x14ac:dyDescent="0.25">
      <c r="B14" s="20"/>
      <c r="C14" s="5" t="s">
        <v>27</v>
      </c>
      <c r="D14" s="6" t="s">
        <v>28</v>
      </c>
      <c r="E14" s="11">
        <v>0.110263</v>
      </c>
      <c r="F14" s="1"/>
      <c r="G14" s="1"/>
      <c r="H14" s="1"/>
      <c r="I14" s="1"/>
      <c r="J14" s="24" t="s">
        <v>55</v>
      </c>
      <c r="K14" s="29">
        <v>8.6510000000000007E-3</v>
      </c>
      <c r="L14" s="1"/>
      <c r="M14" s="1"/>
      <c r="N14" s="18"/>
    </row>
    <row r="15" spans="2:14" ht="15" customHeight="1" x14ac:dyDescent="0.25">
      <c r="B15" s="20"/>
      <c r="C15" s="5" t="s">
        <v>33</v>
      </c>
      <c r="D15" s="6" t="s">
        <v>28</v>
      </c>
      <c r="E15" s="11">
        <v>0.108891</v>
      </c>
      <c r="F15" s="1"/>
      <c r="G15" s="1"/>
      <c r="H15" s="1"/>
      <c r="I15" s="1"/>
      <c r="J15" s="24" t="s">
        <v>56</v>
      </c>
      <c r="K15" s="29">
        <v>1.2520000000000001E-3</v>
      </c>
      <c r="L15" s="1"/>
      <c r="M15" s="1"/>
      <c r="N15" s="18"/>
    </row>
    <row r="16" spans="2:14" ht="15" customHeight="1" x14ac:dyDescent="0.25">
      <c r="B16" s="20"/>
      <c r="C16" s="5" t="s">
        <v>32</v>
      </c>
      <c r="D16" s="6" t="s">
        <v>28</v>
      </c>
      <c r="E16" s="11">
        <v>6.4635999999999999E-2</v>
      </c>
      <c r="F16" s="1"/>
      <c r="G16" s="1"/>
      <c r="H16" s="1"/>
      <c r="I16" s="1"/>
      <c r="J16" s="24" t="s">
        <v>162</v>
      </c>
      <c r="K16" s="29">
        <v>0.115241</v>
      </c>
      <c r="L16" s="1"/>
      <c r="M16" s="1"/>
      <c r="N16" s="18"/>
    </row>
    <row r="17" spans="2:14" ht="15" customHeight="1" x14ac:dyDescent="0.25">
      <c r="B17" s="20"/>
      <c r="C17" s="5" t="s">
        <v>72</v>
      </c>
      <c r="D17" s="6" t="s">
        <v>28</v>
      </c>
      <c r="E17" s="11">
        <v>3.8961000000000003E-2</v>
      </c>
      <c r="F17" s="1"/>
      <c r="G17" s="1"/>
      <c r="H17" s="1"/>
      <c r="I17" s="1"/>
      <c r="J17" s="24" t="s">
        <v>81</v>
      </c>
      <c r="K17" s="29">
        <v>4.5250000000000004E-3</v>
      </c>
      <c r="L17" s="1"/>
      <c r="M17" s="1"/>
      <c r="N17" s="18"/>
    </row>
    <row r="18" spans="2:14" ht="15" customHeight="1" x14ac:dyDescent="0.25">
      <c r="B18" s="20"/>
      <c r="C18" s="5" t="s">
        <v>78</v>
      </c>
      <c r="D18" s="6" t="s">
        <v>28</v>
      </c>
      <c r="E18" s="11">
        <v>1.9989E-2</v>
      </c>
      <c r="F18" s="1"/>
      <c r="G18" s="1"/>
      <c r="H18" s="1"/>
      <c r="I18" s="1"/>
      <c r="J18" s="1"/>
      <c r="K18" s="1"/>
      <c r="L18" s="1"/>
      <c r="M18" s="1"/>
      <c r="N18" s="18"/>
    </row>
    <row r="19" spans="2:14" ht="15" customHeight="1" x14ac:dyDescent="0.25">
      <c r="B19" s="20"/>
      <c r="C19" s="5" t="s">
        <v>169</v>
      </c>
      <c r="D19" s="6" t="s">
        <v>28</v>
      </c>
      <c r="E19" s="11">
        <v>1.8971999999999999E-2</v>
      </c>
      <c r="F19" s="1"/>
      <c r="G19" s="1"/>
      <c r="H19" s="1"/>
      <c r="I19" s="1"/>
      <c r="J19" s="1"/>
      <c r="K19" s="1"/>
      <c r="L19" s="1"/>
      <c r="M19" s="1"/>
      <c r="N19" s="18"/>
    </row>
    <row r="20" spans="2:14" ht="15" customHeight="1" x14ac:dyDescent="0.25">
      <c r="B20" s="20"/>
      <c r="C20" s="5" t="s">
        <v>128</v>
      </c>
      <c r="D20" s="6" t="s">
        <v>89</v>
      </c>
      <c r="E20" s="11">
        <v>1.1390000000000001E-2</v>
      </c>
      <c r="F20" s="1"/>
      <c r="G20" s="1"/>
      <c r="H20" s="1"/>
      <c r="I20" s="1"/>
      <c r="J20" s="1"/>
      <c r="K20" s="1"/>
      <c r="L20" s="1"/>
      <c r="M20" s="1"/>
      <c r="N20" s="18"/>
    </row>
    <row r="21" spans="2:14" ht="15" customHeight="1" x14ac:dyDescent="0.25">
      <c r="B21" s="20"/>
      <c r="C21" s="5" t="s">
        <v>170</v>
      </c>
      <c r="D21" s="6" t="s">
        <v>28</v>
      </c>
      <c r="E21" s="11">
        <v>9.5469999999999999E-3</v>
      </c>
      <c r="F21" s="1"/>
      <c r="G21" s="1"/>
      <c r="H21" s="1"/>
      <c r="I21" s="1"/>
      <c r="J21" s="1"/>
      <c r="K21" s="1"/>
      <c r="L21" s="1"/>
      <c r="M21" s="1"/>
      <c r="N21" s="18"/>
    </row>
    <row r="22" spans="2:14" ht="15" customHeight="1" x14ac:dyDescent="0.25">
      <c r="B22" s="20"/>
      <c r="C22" s="5" t="s">
        <v>77</v>
      </c>
      <c r="D22" s="6" t="s">
        <v>28</v>
      </c>
      <c r="E22" s="11">
        <v>5.6769999999999998E-3</v>
      </c>
      <c r="F22" s="1"/>
      <c r="G22" s="1"/>
      <c r="H22" s="1"/>
      <c r="I22" s="1"/>
      <c r="J22" s="1"/>
      <c r="K22" s="1"/>
      <c r="L22" s="1"/>
      <c r="M22" s="1"/>
      <c r="N22" s="18"/>
    </row>
    <row r="23" spans="2:14" ht="15" customHeight="1" x14ac:dyDescent="0.25">
      <c r="B23" s="20"/>
      <c r="C23" s="5" t="s">
        <v>73</v>
      </c>
      <c r="D23" s="6" t="s">
        <v>28</v>
      </c>
      <c r="E23" s="11">
        <v>4.7800000000000004E-3</v>
      </c>
      <c r="F23" s="1"/>
      <c r="G23" s="1"/>
      <c r="H23" s="1"/>
      <c r="I23" s="1"/>
      <c r="J23" s="1"/>
      <c r="K23" s="1"/>
      <c r="L23" s="1"/>
      <c r="M23" s="1"/>
      <c r="N23" s="18"/>
    </row>
    <row r="24" spans="2:14" ht="15.75" customHeight="1" x14ac:dyDescent="0.25">
      <c r="B24" s="20"/>
      <c r="C24" s="7" t="s">
        <v>42</v>
      </c>
      <c r="D24" s="8"/>
      <c r="E24" s="12">
        <v>0.72742200000000001</v>
      </c>
      <c r="F24" s="1"/>
      <c r="G24" s="83" t="s">
        <v>120</v>
      </c>
      <c r="H24" s="84"/>
      <c r="I24" s="84"/>
      <c r="J24" s="84"/>
      <c r="K24" s="84"/>
      <c r="L24" s="65">
        <v>361.80794146948324</v>
      </c>
      <c r="M24" s="27"/>
      <c r="N24" s="28"/>
    </row>
    <row r="25" spans="2:14" ht="15" customHeight="1" x14ac:dyDescent="0.25">
      <c r="B25" s="20"/>
      <c r="C25" s="5" t="s">
        <v>43</v>
      </c>
      <c r="D25" s="6"/>
      <c r="E25" s="11">
        <v>2.947E-3</v>
      </c>
      <c r="F25" s="1"/>
      <c r="G25" s="1"/>
      <c r="H25" s="1"/>
      <c r="I25" s="1"/>
      <c r="J25" s="1"/>
      <c r="K25" s="1"/>
      <c r="L25" s="1"/>
      <c r="M25" s="1"/>
      <c r="N25" s="18"/>
    </row>
    <row r="26" spans="2:14" ht="15.75" customHeight="1" x14ac:dyDescent="0.25">
      <c r="B26" s="20"/>
      <c r="C26" s="7" t="s">
        <v>44</v>
      </c>
      <c r="D26" s="8"/>
      <c r="E26" s="12">
        <v>2.947E-3</v>
      </c>
      <c r="F26" s="1"/>
      <c r="G26" s="83" t="s">
        <v>18</v>
      </c>
      <c r="H26" s="84"/>
      <c r="I26" s="84"/>
      <c r="J26" s="84"/>
      <c r="K26" s="84"/>
      <c r="L26" s="84"/>
      <c r="M26" s="84"/>
      <c r="N26" s="85"/>
    </row>
    <row r="27" spans="2:14" ht="15" customHeight="1" x14ac:dyDescent="0.25">
      <c r="B27" s="20"/>
      <c r="C27" s="5" t="s">
        <v>107</v>
      </c>
      <c r="D27" s="6" t="s">
        <v>195</v>
      </c>
      <c r="E27" s="11">
        <v>8.6510000000000007E-3</v>
      </c>
      <c r="F27" s="1"/>
      <c r="G27" s="1"/>
      <c r="H27" s="1"/>
      <c r="I27" s="1"/>
      <c r="J27" s="1"/>
      <c r="K27" s="1"/>
      <c r="L27" s="1"/>
      <c r="M27" s="1"/>
      <c r="N27" s="18"/>
    </row>
    <row r="28" spans="2:14" ht="15.75" customHeight="1" x14ac:dyDescent="0.25">
      <c r="B28" s="20"/>
      <c r="C28" s="7" t="s">
        <v>51</v>
      </c>
      <c r="D28" s="8"/>
      <c r="E28" s="12">
        <v>8.6510000000000007E-3</v>
      </c>
      <c r="F28" s="1"/>
      <c r="G28" s="1"/>
      <c r="H28" s="1"/>
      <c r="I28" s="1"/>
      <c r="J28" s="1"/>
      <c r="K28" s="1"/>
      <c r="L28" s="1"/>
      <c r="M28" s="1"/>
      <c r="N28" s="18"/>
    </row>
    <row r="29" spans="2:14" ht="15" customHeight="1" x14ac:dyDescent="0.25">
      <c r="B29" s="20"/>
      <c r="C29" s="5" t="s">
        <v>197</v>
      </c>
      <c r="D29" s="6" t="s">
        <v>195</v>
      </c>
      <c r="E29" s="11">
        <v>9.6500000000000004E-4</v>
      </c>
      <c r="F29" s="1"/>
      <c r="G29" s="1"/>
      <c r="H29" s="1"/>
      <c r="I29" s="1"/>
      <c r="J29" s="1"/>
      <c r="K29" s="1"/>
      <c r="L29" s="1"/>
      <c r="M29" s="1"/>
      <c r="N29" s="18"/>
    </row>
    <row r="30" spans="2:14" ht="15.75" customHeight="1" x14ac:dyDescent="0.25">
      <c r="B30" s="20"/>
      <c r="C30" s="5" t="s">
        <v>198</v>
      </c>
      <c r="D30" s="6" t="s">
        <v>195</v>
      </c>
      <c r="E30" s="11">
        <v>2.8699999999999998E-4</v>
      </c>
      <c r="F30" s="1"/>
      <c r="G30" s="1"/>
      <c r="H30" s="1"/>
      <c r="I30" s="1"/>
      <c r="J30" s="1"/>
      <c r="K30" s="1"/>
      <c r="L30" s="1"/>
      <c r="M30" s="1"/>
      <c r="N30" s="18"/>
    </row>
    <row r="31" spans="2:14" ht="15" customHeight="1" x14ac:dyDescent="0.25">
      <c r="B31" s="20"/>
      <c r="C31" s="7" t="s">
        <v>52</v>
      </c>
      <c r="D31" s="8"/>
      <c r="E31" s="12">
        <v>1.2520000000000001E-3</v>
      </c>
      <c r="F31" s="1"/>
      <c r="G31" s="1"/>
      <c r="H31" s="1"/>
      <c r="I31" s="1"/>
      <c r="J31" s="1"/>
      <c r="K31" s="1"/>
      <c r="L31" s="1"/>
      <c r="M31" s="1"/>
      <c r="N31" s="18"/>
    </row>
    <row r="32" spans="2:14" ht="15" customHeight="1" x14ac:dyDescent="0.25">
      <c r="B32" s="20"/>
      <c r="C32" s="5" t="s">
        <v>171</v>
      </c>
      <c r="D32" s="6" t="s">
        <v>195</v>
      </c>
      <c r="E32" s="11">
        <v>6.5865000000000007E-2</v>
      </c>
      <c r="F32" s="1"/>
      <c r="G32" s="1"/>
      <c r="H32" s="1"/>
      <c r="I32" s="1"/>
      <c r="J32" s="1"/>
      <c r="K32" s="1"/>
      <c r="L32" s="1"/>
      <c r="M32" s="1"/>
      <c r="N32" s="18"/>
    </row>
    <row r="33" spans="2:14" ht="15" customHeight="1" x14ac:dyDescent="0.25">
      <c r="B33" s="20"/>
      <c r="C33" s="5" t="s">
        <v>158</v>
      </c>
      <c r="D33" s="6" t="s">
        <v>195</v>
      </c>
      <c r="E33" s="11">
        <v>3.3287999999999998E-2</v>
      </c>
      <c r="F33" s="1"/>
      <c r="G33" s="1"/>
      <c r="H33" s="1"/>
      <c r="I33" s="1"/>
      <c r="J33" s="1"/>
      <c r="K33" s="1"/>
      <c r="L33" s="1"/>
      <c r="M33" s="1"/>
      <c r="N33" s="18"/>
    </row>
    <row r="34" spans="2:14" ht="15" customHeight="1" x14ac:dyDescent="0.25">
      <c r="B34" s="20"/>
      <c r="C34" s="5" t="s">
        <v>172</v>
      </c>
      <c r="D34" s="6" t="s">
        <v>195</v>
      </c>
      <c r="E34" s="11">
        <v>9.3720000000000001E-3</v>
      </c>
      <c r="F34" s="1"/>
      <c r="G34" s="1"/>
      <c r="H34" s="1"/>
      <c r="I34" s="1"/>
      <c r="J34" s="1"/>
      <c r="K34" s="1"/>
      <c r="L34" s="1"/>
      <c r="M34" s="1"/>
      <c r="N34" s="18"/>
    </row>
    <row r="35" spans="2:14" ht="15.75" customHeight="1" x14ac:dyDescent="0.25">
      <c r="B35" s="20"/>
      <c r="C35" s="5" t="s">
        <v>173</v>
      </c>
      <c r="D35" s="6" t="s">
        <v>195</v>
      </c>
      <c r="E35" s="11">
        <v>6.7159999999999997E-3</v>
      </c>
      <c r="F35" s="1"/>
      <c r="G35" s="1"/>
      <c r="H35" s="1"/>
      <c r="I35" s="1"/>
      <c r="J35" s="1"/>
      <c r="K35" s="1"/>
      <c r="L35" s="1"/>
      <c r="M35" s="1"/>
      <c r="N35" s="18"/>
    </row>
    <row r="36" spans="2:14" ht="15" customHeight="1" x14ac:dyDescent="0.25">
      <c r="B36" s="20"/>
      <c r="C36" s="7" t="s">
        <v>160</v>
      </c>
      <c r="D36" s="8"/>
      <c r="E36" s="12">
        <v>0.115241</v>
      </c>
      <c r="F36" s="1"/>
      <c r="G36" s="1"/>
      <c r="H36" s="1"/>
      <c r="I36" s="1"/>
      <c r="J36" s="1"/>
      <c r="K36" s="1"/>
      <c r="L36" s="1"/>
      <c r="M36" s="1"/>
      <c r="N36" s="18"/>
    </row>
    <row r="37" spans="2:14" ht="15.75" customHeight="1" x14ac:dyDescent="0.25">
      <c r="B37" s="20"/>
      <c r="C37" s="5" t="s">
        <v>8</v>
      </c>
      <c r="D37" s="6"/>
      <c r="E37" s="11">
        <v>2.2911000000000001E-2</v>
      </c>
      <c r="F37" s="1"/>
      <c r="G37" s="1"/>
      <c r="H37" s="1"/>
      <c r="I37" s="1"/>
      <c r="J37" s="1"/>
      <c r="K37" s="1"/>
      <c r="L37" s="1"/>
      <c r="M37" s="1"/>
      <c r="N37" s="18"/>
    </row>
    <row r="38" spans="2:14" ht="15" customHeight="1" x14ac:dyDescent="0.25">
      <c r="B38" s="20"/>
      <c r="C38" s="7" t="s">
        <v>9</v>
      </c>
      <c r="D38" s="8"/>
      <c r="E38" s="12">
        <v>2.2911000000000001E-2</v>
      </c>
      <c r="F38" s="1"/>
      <c r="G38" s="1"/>
      <c r="H38" s="1"/>
      <c r="I38" s="1"/>
      <c r="J38" s="1"/>
      <c r="K38" s="1"/>
      <c r="L38" s="1"/>
      <c r="M38" s="1"/>
      <c r="N38" s="18"/>
    </row>
    <row r="39" spans="2:14" ht="15.75" customHeight="1" x14ac:dyDescent="0.25">
      <c r="B39" s="20"/>
      <c r="C39" s="5" t="s">
        <v>78</v>
      </c>
      <c r="D39" s="6" t="s">
        <v>28</v>
      </c>
      <c r="E39" s="11">
        <v>4.5250000000000004E-3</v>
      </c>
      <c r="F39" s="1"/>
      <c r="G39" s="1"/>
      <c r="H39" s="1"/>
      <c r="I39" s="1"/>
      <c r="J39" s="1"/>
      <c r="K39" s="1"/>
      <c r="L39" s="1"/>
      <c r="M39" s="1"/>
      <c r="N39" s="18"/>
    </row>
    <row r="40" spans="2:14" ht="15" customHeight="1" x14ac:dyDescent="0.25">
      <c r="B40" s="20"/>
      <c r="C40" s="7" t="s">
        <v>80</v>
      </c>
      <c r="D40" s="8"/>
      <c r="E40" s="12">
        <v>4.5250000000000004E-3</v>
      </c>
      <c r="F40" s="1"/>
      <c r="G40" s="1"/>
      <c r="H40" s="1"/>
      <c r="I40" s="1"/>
      <c r="J40" s="1"/>
      <c r="K40" s="1"/>
      <c r="L40" s="1"/>
      <c r="M40" s="1"/>
      <c r="N40" s="18"/>
    </row>
    <row r="41" spans="2:14" ht="15.75" customHeight="1" x14ac:dyDescent="0.25">
      <c r="B41" s="20"/>
      <c r="C41" s="5"/>
      <c r="D41" s="6"/>
      <c r="E41" s="11"/>
      <c r="F41" s="1"/>
      <c r="G41" s="1"/>
      <c r="H41" s="1"/>
      <c r="I41" s="1"/>
      <c r="J41" s="1"/>
      <c r="K41" s="1"/>
      <c r="L41" s="1"/>
      <c r="M41" s="1"/>
      <c r="N41" s="18"/>
    </row>
    <row r="42" spans="2:14" ht="15" customHeight="1" x14ac:dyDescent="0.25">
      <c r="B42" s="20"/>
      <c r="C42" s="7" t="s">
        <v>10</v>
      </c>
      <c r="D42" s="8"/>
      <c r="E42" s="12">
        <v>3.0970000000000001E-2</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 customHeight="1" x14ac:dyDescent="0.25">
      <c r="B44" s="20"/>
      <c r="C44" s="9" t="s">
        <v>11</v>
      </c>
      <c r="D44" s="10"/>
      <c r="E44" s="13">
        <v>1</v>
      </c>
      <c r="F44" s="1"/>
      <c r="G44" s="1"/>
      <c r="H44" s="1"/>
      <c r="I44" s="1"/>
      <c r="J44" s="1"/>
      <c r="K44" s="1"/>
      <c r="L44" s="1"/>
      <c r="M44" s="1"/>
      <c r="N44" s="18"/>
    </row>
    <row r="45" spans="2:14" ht="15" customHeight="1" x14ac:dyDescent="0.25">
      <c r="B45" s="20"/>
      <c r="C45" s="1"/>
      <c r="D45" s="1"/>
      <c r="E45" s="1"/>
      <c r="F45" s="1"/>
      <c r="G45" s="1"/>
      <c r="H45" s="1"/>
      <c r="I45" s="1"/>
      <c r="J45" s="1"/>
      <c r="K45" s="1"/>
      <c r="L45" s="1"/>
      <c r="M45" s="1"/>
      <c r="N45" s="18"/>
    </row>
    <row r="46" spans="2:14" ht="15" customHeight="1" thickBot="1" x14ac:dyDescent="0.3">
      <c r="B46" s="21"/>
      <c r="C46" s="22"/>
      <c r="D46" s="22"/>
      <c r="E46" s="22"/>
      <c r="F46" s="22"/>
      <c r="G46" s="22"/>
      <c r="H46" s="22"/>
      <c r="I46" s="22"/>
      <c r="J46" s="22"/>
      <c r="K46" s="22"/>
      <c r="L46" s="22"/>
      <c r="M46" s="22"/>
      <c r="N46" s="23"/>
    </row>
    <row r="47" spans="2:14" ht="15" customHeight="1" thickBot="1" x14ac:dyDescent="0.3"/>
    <row r="48" spans="2:14" ht="15" customHeight="1" x14ac:dyDescent="0.25">
      <c r="B48" s="66" t="s">
        <v>264</v>
      </c>
      <c r="C48" s="67"/>
      <c r="D48" s="67"/>
      <c r="E48" s="67"/>
      <c r="F48" s="67"/>
      <c r="G48" s="67"/>
      <c r="H48" s="67"/>
      <c r="I48" s="67"/>
      <c r="J48" s="67"/>
      <c r="K48" s="67"/>
      <c r="L48" s="67"/>
      <c r="M48" s="67"/>
      <c r="N48" s="68"/>
    </row>
    <row r="49" spans="2:14" ht="15" customHeight="1" x14ac:dyDescent="0.25">
      <c r="B49" s="69"/>
      <c r="C49" s="70"/>
      <c r="D49" s="70"/>
      <c r="E49" s="70"/>
      <c r="F49" s="70"/>
      <c r="G49" s="70"/>
      <c r="H49" s="70"/>
      <c r="I49" s="70"/>
      <c r="J49" s="70"/>
      <c r="K49" s="70"/>
      <c r="L49" s="70"/>
      <c r="M49" s="70"/>
      <c r="N49" s="71"/>
    </row>
    <row r="50" spans="2:14" ht="15" customHeight="1" x14ac:dyDescent="0.25">
      <c r="B50" s="69"/>
      <c r="C50" s="70"/>
      <c r="D50" s="70"/>
      <c r="E50" s="70"/>
      <c r="F50" s="70"/>
      <c r="G50" s="70"/>
      <c r="H50" s="70"/>
      <c r="I50" s="70"/>
      <c r="J50" s="70"/>
      <c r="K50" s="70"/>
      <c r="L50" s="70"/>
      <c r="M50" s="70"/>
      <c r="N50" s="71"/>
    </row>
    <row r="51" spans="2:14" ht="15" customHeight="1" thickBot="1" x14ac:dyDescent="0.3">
      <c r="B51" s="72"/>
      <c r="C51" s="73"/>
      <c r="D51" s="73"/>
      <c r="E51" s="73"/>
      <c r="F51" s="73"/>
      <c r="G51" s="73"/>
      <c r="H51" s="73"/>
      <c r="I51" s="73"/>
      <c r="J51" s="73"/>
      <c r="K51" s="73"/>
      <c r="L51" s="73"/>
      <c r="M51" s="73"/>
      <c r="N51" s="74"/>
    </row>
    <row r="52" spans="2:14" ht="15" customHeight="1" thickBot="1" x14ac:dyDescent="0.3"/>
    <row r="53" spans="2:14" ht="120.75" customHeight="1" thickBot="1" x14ac:dyDescent="0.3">
      <c r="B53" s="75" t="s">
        <v>263</v>
      </c>
      <c r="C53" s="76"/>
      <c r="D53" s="76"/>
      <c r="E53" s="76"/>
      <c r="F53" s="76"/>
      <c r="G53" s="76"/>
      <c r="H53" s="76"/>
      <c r="I53" s="76"/>
      <c r="J53" s="76"/>
      <c r="K53" s="76"/>
      <c r="L53" s="76"/>
      <c r="M53" s="76"/>
      <c r="N53" s="77"/>
    </row>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sheetData>
  <mergeCells count="7">
    <mergeCell ref="B48:N51"/>
    <mergeCell ref="B53:N53"/>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9224-4C68-41EC-8326-E1C4751D5DAC}">
  <dimension ref="B1:N7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174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175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24</v>
      </c>
      <c r="D8" s="6" t="s">
        <v>22</v>
      </c>
      <c r="E8" s="11">
        <v>0.126052</v>
      </c>
      <c r="F8" s="1"/>
      <c r="G8" s="24" t="s">
        <v>15</v>
      </c>
      <c r="H8" s="25">
        <v>1</v>
      </c>
      <c r="I8" s="1"/>
      <c r="J8" s="24" t="s">
        <v>12</v>
      </c>
      <c r="K8" s="24" t="s">
        <v>5</v>
      </c>
      <c r="L8" s="1"/>
      <c r="M8" s="1"/>
      <c r="N8" s="18"/>
    </row>
    <row r="9" spans="2:14" ht="15" customHeight="1" x14ac:dyDescent="0.25">
      <c r="B9" s="20"/>
      <c r="C9" s="5" t="s">
        <v>27</v>
      </c>
      <c r="D9" s="6" t="s">
        <v>22</v>
      </c>
      <c r="E9" s="11">
        <v>0.114868</v>
      </c>
      <c r="F9" s="1"/>
      <c r="G9" s="1"/>
      <c r="H9" s="1"/>
      <c r="I9" s="1"/>
      <c r="J9" s="24" t="s">
        <v>10</v>
      </c>
      <c r="K9" s="29">
        <v>-4.8587999999999999E-2</v>
      </c>
      <c r="L9" s="1"/>
      <c r="M9" s="1"/>
      <c r="N9" s="18"/>
    </row>
    <row r="10" spans="2:14" ht="15" customHeight="1" x14ac:dyDescent="0.25">
      <c r="B10" s="20"/>
      <c r="C10" s="5" t="s">
        <v>29</v>
      </c>
      <c r="D10" s="6" t="s">
        <v>22</v>
      </c>
      <c r="E10" s="11">
        <v>0.109227</v>
      </c>
      <c r="F10" s="1"/>
      <c r="G10" s="1"/>
      <c r="H10" s="1"/>
      <c r="I10" s="1"/>
      <c r="J10" s="24" t="s">
        <v>13</v>
      </c>
      <c r="K10" s="29">
        <v>1.5980000000000001E-2</v>
      </c>
      <c r="L10" s="1"/>
      <c r="M10" s="1"/>
      <c r="N10" s="18"/>
    </row>
    <row r="11" spans="2:14" ht="15" customHeight="1" x14ac:dyDescent="0.25">
      <c r="B11" s="20"/>
      <c r="C11" s="5" t="s">
        <v>25</v>
      </c>
      <c r="D11" s="6" t="s">
        <v>22</v>
      </c>
      <c r="E11" s="11">
        <v>9.4268000000000005E-2</v>
      </c>
      <c r="F11" s="1"/>
      <c r="G11" s="1"/>
      <c r="H11" s="1"/>
      <c r="I11" s="1"/>
      <c r="J11" s="24" t="s">
        <v>53</v>
      </c>
      <c r="K11" s="29">
        <v>0.663412</v>
      </c>
      <c r="L11" s="1"/>
      <c r="M11" s="1"/>
      <c r="N11" s="18"/>
    </row>
    <row r="12" spans="2:14" ht="15" customHeight="1" x14ac:dyDescent="0.25">
      <c r="B12" s="20"/>
      <c r="C12" s="5" t="s">
        <v>21</v>
      </c>
      <c r="D12" s="6" t="s">
        <v>22</v>
      </c>
      <c r="E12" s="11">
        <v>6.7960999999999994E-2</v>
      </c>
      <c r="F12" s="1"/>
      <c r="G12" s="1"/>
      <c r="H12" s="1"/>
      <c r="I12" s="1"/>
      <c r="J12" s="24" t="s">
        <v>161</v>
      </c>
      <c r="K12" s="29">
        <v>0.24427599999999999</v>
      </c>
      <c r="L12" s="1"/>
      <c r="M12" s="1"/>
      <c r="N12" s="18"/>
    </row>
    <row r="13" spans="2:14" ht="15" customHeight="1" x14ac:dyDescent="0.25">
      <c r="B13" s="20"/>
      <c r="C13" s="5" t="s">
        <v>140</v>
      </c>
      <c r="D13" s="6" t="s">
        <v>22</v>
      </c>
      <c r="E13" s="11">
        <v>6.2584000000000001E-2</v>
      </c>
      <c r="F13" s="1"/>
      <c r="G13" s="1"/>
      <c r="H13" s="1"/>
      <c r="I13" s="1"/>
      <c r="J13" s="24" t="s">
        <v>43</v>
      </c>
      <c r="K13" s="29">
        <v>1.8090000000000001E-3</v>
      </c>
      <c r="L13" s="1"/>
      <c r="M13" s="1"/>
      <c r="N13" s="18"/>
    </row>
    <row r="14" spans="2:14" ht="15" customHeight="1" x14ac:dyDescent="0.25">
      <c r="B14" s="20"/>
      <c r="C14" s="5" t="s">
        <v>23</v>
      </c>
      <c r="D14" s="6" t="s">
        <v>22</v>
      </c>
      <c r="E14" s="11">
        <v>5.7053E-2</v>
      </c>
      <c r="F14" s="1"/>
      <c r="G14" s="1"/>
      <c r="H14" s="1"/>
      <c r="I14" s="1"/>
      <c r="J14" s="24" t="s">
        <v>182</v>
      </c>
      <c r="K14" s="29">
        <v>1.137E-3</v>
      </c>
      <c r="L14" s="1"/>
      <c r="M14" s="1"/>
      <c r="N14" s="18"/>
    </row>
    <row r="15" spans="2:14" ht="15" customHeight="1" x14ac:dyDescent="0.25">
      <c r="B15" s="20"/>
      <c r="C15" s="5" t="s">
        <v>139</v>
      </c>
      <c r="D15" s="6" t="s">
        <v>22</v>
      </c>
      <c r="E15" s="11">
        <v>2.0962999999999999E-2</v>
      </c>
      <c r="F15" s="1"/>
      <c r="G15" s="1"/>
      <c r="H15" s="1"/>
      <c r="I15" s="1"/>
      <c r="J15" s="24" t="s">
        <v>56</v>
      </c>
      <c r="K15" s="29">
        <v>7.5785000000000005E-2</v>
      </c>
      <c r="L15" s="1"/>
      <c r="M15" s="1"/>
      <c r="N15" s="18"/>
    </row>
    <row r="16" spans="2:14" ht="15" customHeight="1" x14ac:dyDescent="0.25">
      <c r="B16" s="20"/>
      <c r="C16" s="5" t="s">
        <v>137</v>
      </c>
      <c r="D16" s="6" t="s">
        <v>22</v>
      </c>
      <c r="E16" s="11">
        <v>5.2350000000000001E-3</v>
      </c>
      <c r="F16" s="1"/>
      <c r="G16" s="1"/>
      <c r="H16" s="1"/>
      <c r="I16" s="1"/>
      <c r="J16" s="24" t="s">
        <v>162</v>
      </c>
      <c r="K16" s="29">
        <v>4.6189000000000001E-2</v>
      </c>
      <c r="L16" s="1"/>
      <c r="M16" s="1"/>
      <c r="N16" s="18"/>
    </row>
    <row r="17" spans="2:14" ht="15" customHeight="1" x14ac:dyDescent="0.25">
      <c r="B17" s="20"/>
      <c r="C17" s="5" t="s">
        <v>138</v>
      </c>
      <c r="D17" s="6" t="s">
        <v>22</v>
      </c>
      <c r="E17" s="11">
        <v>5.2009999999999999E-3</v>
      </c>
      <c r="F17" s="1"/>
      <c r="G17" s="1"/>
      <c r="H17" s="1"/>
      <c r="I17" s="1"/>
      <c r="J17" s="1"/>
      <c r="K17" s="1"/>
      <c r="L17" s="1"/>
      <c r="M17" s="1"/>
      <c r="N17" s="18"/>
    </row>
    <row r="18" spans="2:14" ht="15.75" customHeight="1" x14ac:dyDescent="0.25">
      <c r="B18" s="20"/>
      <c r="C18" s="7" t="s">
        <v>26</v>
      </c>
      <c r="D18" s="8"/>
      <c r="E18" s="12">
        <v>0.663412</v>
      </c>
      <c r="F18" s="1"/>
      <c r="G18" s="1"/>
      <c r="H18" s="1"/>
      <c r="I18" s="1"/>
      <c r="J18" s="1"/>
      <c r="K18" s="1"/>
      <c r="L18" s="1"/>
      <c r="M18" s="1"/>
      <c r="N18" s="18"/>
    </row>
    <row r="19" spans="2:14" ht="15" customHeight="1" x14ac:dyDescent="0.25">
      <c r="B19" s="20"/>
      <c r="C19" s="5" t="s">
        <v>77</v>
      </c>
      <c r="D19" s="6" t="s">
        <v>22</v>
      </c>
      <c r="E19" s="11">
        <v>3.6275000000000002E-2</v>
      </c>
      <c r="F19" s="1"/>
      <c r="G19" s="1"/>
      <c r="H19" s="1"/>
      <c r="I19" s="1"/>
      <c r="J19" s="1"/>
      <c r="K19" s="1"/>
      <c r="L19" s="1"/>
      <c r="M19" s="1"/>
      <c r="N19" s="18"/>
    </row>
    <row r="20" spans="2:14" ht="15" customHeight="1" x14ac:dyDescent="0.25">
      <c r="B20" s="20"/>
      <c r="C20" s="5" t="s">
        <v>78</v>
      </c>
      <c r="D20" s="6" t="s">
        <v>22</v>
      </c>
      <c r="E20" s="11">
        <v>3.1334000000000001E-2</v>
      </c>
      <c r="F20" s="1"/>
      <c r="G20" s="1"/>
      <c r="H20" s="1"/>
      <c r="I20" s="1"/>
      <c r="J20" s="1"/>
      <c r="K20" s="1"/>
      <c r="L20" s="1"/>
      <c r="M20" s="1"/>
      <c r="N20" s="18"/>
    </row>
    <row r="21" spans="2:14" ht="15" customHeight="1" x14ac:dyDescent="0.25">
      <c r="B21" s="20"/>
      <c r="C21" s="5" t="s">
        <v>148</v>
      </c>
      <c r="D21" s="6" t="s">
        <v>22</v>
      </c>
      <c r="E21" s="11">
        <v>3.1130000000000001E-2</v>
      </c>
      <c r="F21" s="1"/>
      <c r="G21" s="1"/>
      <c r="H21" s="1"/>
      <c r="I21" s="1"/>
      <c r="J21" s="1"/>
      <c r="K21" s="1"/>
      <c r="L21" s="1"/>
      <c r="M21" s="1"/>
      <c r="N21" s="18"/>
    </row>
    <row r="22" spans="2:14" ht="15" customHeight="1" x14ac:dyDescent="0.25">
      <c r="B22" s="20"/>
      <c r="C22" s="5" t="s">
        <v>147</v>
      </c>
      <c r="D22" s="6" t="s">
        <v>22</v>
      </c>
      <c r="E22" s="11">
        <v>3.0994000000000001E-2</v>
      </c>
      <c r="F22" s="1"/>
      <c r="G22" s="1"/>
      <c r="H22" s="1"/>
      <c r="I22" s="1"/>
      <c r="J22" s="1"/>
      <c r="K22" s="1"/>
      <c r="L22" s="1"/>
      <c r="M22" s="1"/>
      <c r="N22" s="18"/>
    </row>
    <row r="23" spans="2:14" ht="15" customHeight="1" x14ac:dyDescent="0.25">
      <c r="B23" s="20"/>
      <c r="C23" s="5" t="s">
        <v>145</v>
      </c>
      <c r="D23" s="6" t="s">
        <v>22</v>
      </c>
      <c r="E23" s="11">
        <v>3.0984999999999999E-2</v>
      </c>
      <c r="F23" s="1"/>
      <c r="G23" s="1"/>
      <c r="H23" s="1"/>
      <c r="I23" s="1"/>
      <c r="J23" s="1"/>
      <c r="K23" s="1"/>
      <c r="L23" s="1"/>
      <c r="M23" s="1"/>
      <c r="N23" s="18"/>
    </row>
    <row r="24" spans="2:14" ht="15" customHeight="1" x14ac:dyDescent="0.25">
      <c r="B24" s="20"/>
      <c r="C24" s="5" t="s">
        <v>142</v>
      </c>
      <c r="D24" s="6" t="s">
        <v>22</v>
      </c>
      <c r="E24" s="11">
        <v>2.1160999999999999E-2</v>
      </c>
      <c r="F24" s="1"/>
      <c r="G24" s="83" t="s">
        <v>120</v>
      </c>
      <c r="H24" s="84"/>
      <c r="I24" s="84"/>
      <c r="J24" s="84"/>
      <c r="K24" s="84"/>
      <c r="L24" s="65">
        <v>284.21174157064024</v>
      </c>
      <c r="M24" s="27"/>
      <c r="N24" s="28"/>
    </row>
    <row r="25" spans="2:14" ht="15" customHeight="1" x14ac:dyDescent="0.25">
      <c r="B25" s="20"/>
      <c r="C25" s="5" t="s">
        <v>128</v>
      </c>
      <c r="D25" s="6" t="s">
        <v>22</v>
      </c>
      <c r="E25" s="11">
        <v>2.0719999999999999E-2</v>
      </c>
      <c r="F25" s="1"/>
      <c r="G25" s="1"/>
      <c r="H25" s="1"/>
      <c r="I25" s="1"/>
      <c r="J25" s="1"/>
      <c r="K25" s="1"/>
      <c r="L25" s="1"/>
      <c r="M25" s="1"/>
      <c r="N25" s="18"/>
    </row>
    <row r="26" spans="2:14" ht="15" customHeight="1" x14ac:dyDescent="0.25">
      <c r="B26" s="20"/>
      <c r="C26" s="5" t="s">
        <v>176</v>
      </c>
      <c r="D26" s="6" t="s">
        <v>22</v>
      </c>
      <c r="E26" s="11">
        <v>1.5657000000000001E-2</v>
      </c>
      <c r="F26" s="1"/>
      <c r="G26" s="83" t="s">
        <v>18</v>
      </c>
      <c r="H26" s="84"/>
      <c r="I26" s="84"/>
      <c r="J26" s="84"/>
      <c r="K26" s="84"/>
      <c r="L26" s="84"/>
      <c r="M26" s="84"/>
      <c r="N26" s="85"/>
    </row>
    <row r="27" spans="2:14" ht="15" customHeight="1" x14ac:dyDescent="0.25">
      <c r="B27" s="20"/>
      <c r="C27" s="5" t="s">
        <v>169</v>
      </c>
      <c r="D27" s="6" t="s">
        <v>22</v>
      </c>
      <c r="E27" s="11">
        <v>1.0432E-2</v>
      </c>
      <c r="F27" s="1"/>
      <c r="G27" s="1"/>
      <c r="H27" s="1"/>
      <c r="I27" s="1"/>
      <c r="J27" s="1"/>
      <c r="K27" s="1"/>
      <c r="L27" s="1"/>
      <c r="M27" s="1"/>
      <c r="N27" s="18"/>
    </row>
    <row r="28" spans="2:14" ht="15" customHeight="1" x14ac:dyDescent="0.25">
      <c r="B28" s="20"/>
      <c r="C28" s="5" t="s">
        <v>177</v>
      </c>
      <c r="D28" s="6" t="s">
        <v>22</v>
      </c>
      <c r="E28" s="11">
        <v>1.042E-2</v>
      </c>
      <c r="F28" s="1"/>
      <c r="G28" s="1"/>
      <c r="H28" s="1"/>
      <c r="I28" s="1"/>
      <c r="J28" s="1"/>
      <c r="K28" s="1"/>
      <c r="L28" s="1"/>
      <c r="M28" s="1"/>
      <c r="N28" s="18"/>
    </row>
    <row r="29" spans="2:14" ht="15" customHeight="1" x14ac:dyDescent="0.25">
      <c r="B29" s="20"/>
      <c r="C29" s="5" t="s">
        <v>72</v>
      </c>
      <c r="D29" s="6" t="s">
        <v>22</v>
      </c>
      <c r="E29" s="11">
        <v>5.1679999999999999E-3</v>
      </c>
      <c r="F29" s="1"/>
      <c r="G29" s="1"/>
      <c r="H29" s="1"/>
      <c r="I29" s="1"/>
      <c r="J29" s="1"/>
      <c r="K29" s="1"/>
      <c r="L29" s="1"/>
      <c r="M29" s="1"/>
      <c r="N29" s="18"/>
    </row>
    <row r="30" spans="2:14" ht="15.75" customHeight="1" x14ac:dyDescent="0.25">
      <c r="B30" s="20"/>
      <c r="C30" s="7" t="s">
        <v>149</v>
      </c>
      <c r="D30" s="8"/>
      <c r="E30" s="12">
        <v>0.24427599999999999</v>
      </c>
      <c r="F30" s="1"/>
      <c r="G30" s="1"/>
      <c r="H30" s="1"/>
      <c r="I30" s="1"/>
      <c r="J30" s="1"/>
      <c r="K30" s="1"/>
      <c r="L30" s="1"/>
      <c r="M30" s="1"/>
      <c r="N30" s="18"/>
    </row>
    <row r="31" spans="2:14" ht="15" customHeight="1" x14ac:dyDescent="0.25">
      <c r="B31" s="20"/>
      <c r="C31" s="5" t="s">
        <v>43</v>
      </c>
      <c r="D31" s="6"/>
      <c r="E31" s="11">
        <v>1.8090000000000001E-3</v>
      </c>
      <c r="F31" s="1"/>
      <c r="G31" s="1"/>
      <c r="H31" s="1"/>
      <c r="I31" s="1"/>
      <c r="J31" s="1"/>
      <c r="K31" s="1"/>
      <c r="L31" s="1"/>
      <c r="M31" s="1"/>
      <c r="N31" s="18"/>
    </row>
    <row r="32" spans="2:14" ht="15.75" customHeight="1" x14ac:dyDescent="0.25">
      <c r="B32" s="20"/>
      <c r="C32" s="7" t="s">
        <v>44</v>
      </c>
      <c r="D32" s="8"/>
      <c r="E32" s="12">
        <v>1.8090000000000001E-3</v>
      </c>
      <c r="F32" s="1"/>
      <c r="G32" s="1"/>
      <c r="H32" s="1"/>
      <c r="I32" s="1"/>
      <c r="J32" s="1"/>
      <c r="K32" s="1"/>
      <c r="L32" s="1"/>
      <c r="M32" s="1"/>
      <c r="N32" s="18"/>
    </row>
    <row r="33" spans="2:14" ht="15" customHeight="1" x14ac:dyDescent="0.25">
      <c r="B33" s="20"/>
      <c r="C33" s="5" t="s">
        <v>199</v>
      </c>
      <c r="D33" s="6" t="s">
        <v>195</v>
      </c>
      <c r="E33" s="11">
        <v>1.137E-3</v>
      </c>
      <c r="F33" s="1"/>
      <c r="G33" s="1"/>
      <c r="H33" s="1"/>
      <c r="I33" s="1"/>
      <c r="J33" s="1"/>
      <c r="K33" s="1"/>
      <c r="L33" s="1"/>
      <c r="M33" s="1"/>
      <c r="N33" s="18"/>
    </row>
    <row r="34" spans="2:14" ht="15.75" customHeight="1" x14ac:dyDescent="0.25">
      <c r="B34" s="20"/>
      <c r="C34" s="7" t="s">
        <v>178</v>
      </c>
      <c r="D34" s="8"/>
      <c r="E34" s="12">
        <v>1.137E-3</v>
      </c>
      <c r="F34" s="1"/>
      <c r="G34" s="1"/>
      <c r="H34" s="1"/>
      <c r="I34" s="1"/>
      <c r="J34" s="1"/>
      <c r="K34" s="1"/>
      <c r="L34" s="1"/>
      <c r="M34" s="1"/>
      <c r="N34" s="18"/>
    </row>
    <row r="35" spans="2:14" ht="15" customHeight="1" x14ac:dyDescent="0.25">
      <c r="B35" s="20"/>
      <c r="C35" s="5" t="s">
        <v>204</v>
      </c>
      <c r="D35" s="6" t="s">
        <v>195</v>
      </c>
      <c r="E35" s="11">
        <v>3.6054999999999997E-2</v>
      </c>
      <c r="F35" s="1"/>
      <c r="G35" s="1"/>
      <c r="H35" s="1"/>
      <c r="I35" s="1"/>
      <c r="J35" s="1"/>
      <c r="K35" s="1"/>
      <c r="L35" s="1"/>
      <c r="M35" s="1"/>
      <c r="N35" s="18"/>
    </row>
    <row r="36" spans="2:14" ht="15.75" customHeight="1" x14ac:dyDescent="0.25">
      <c r="B36" s="20"/>
      <c r="C36" s="5" t="s">
        <v>200</v>
      </c>
      <c r="D36" s="6" t="s">
        <v>195</v>
      </c>
      <c r="E36" s="11">
        <v>1.9991999999999999E-2</v>
      </c>
      <c r="F36" s="1"/>
      <c r="G36" s="1"/>
      <c r="H36" s="1"/>
      <c r="I36" s="1"/>
      <c r="J36" s="1"/>
      <c r="K36" s="1"/>
      <c r="L36" s="1"/>
      <c r="M36" s="1"/>
      <c r="N36" s="18"/>
    </row>
    <row r="37" spans="2:14" ht="15" customHeight="1" x14ac:dyDescent="0.25">
      <c r="B37" s="20"/>
      <c r="C37" s="5" t="s">
        <v>203</v>
      </c>
      <c r="D37" s="6" t="s">
        <v>195</v>
      </c>
      <c r="E37" s="11">
        <v>8.626E-3</v>
      </c>
      <c r="F37" s="1"/>
      <c r="G37" s="1"/>
      <c r="H37" s="1"/>
      <c r="I37" s="1"/>
      <c r="J37" s="1"/>
      <c r="K37" s="1"/>
      <c r="L37" s="1"/>
      <c r="M37" s="1"/>
      <c r="N37" s="18"/>
    </row>
    <row r="38" spans="2:14" ht="15" customHeight="1" x14ac:dyDescent="0.25">
      <c r="B38" s="20"/>
      <c r="C38" s="5" t="s">
        <v>201</v>
      </c>
      <c r="D38" s="6" t="s">
        <v>195</v>
      </c>
      <c r="E38" s="11">
        <v>5.5589999999999997E-3</v>
      </c>
      <c r="F38" s="1"/>
      <c r="G38" s="1"/>
      <c r="H38" s="1"/>
      <c r="I38" s="1"/>
      <c r="J38" s="1"/>
      <c r="K38" s="1"/>
      <c r="L38" s="1"/>
      <c r="M38" s="1"/>
      <c r="N38" s="18"/>
    </row>
    <row r="39" spans="2:14" ht="15" customHeight="1" x14ac:dyDescent="0.25">
      <c r="B39" s="20"/>
      <c r="C39" s="5" t="s">
        <v>202</v>
      </c>
      <c r="D39" s="6" t="s">
        <v>195</v>
      </c>
      <c r="E39" s="11">
        <v>3.3319999999999999E-3</v>
      </c>
      <c r="F39" s="1"/>
      <c r="G39" s="1"/>
      <c r="H39" s="1"/>
      <c r="I39" s="1"/>
      <c r="J39" s="1"/>
      <c r="K39" s="1"/>
      <c r="L39" s="1"/>
      <c r="M39" s="1"/>
      <c r="N39" s="18"/>
    </row>
    <row r="40" spans="2:14" ht="15.75" customHeight="1" x14ac:dyDescent="0.25">
      <c r="B40" s="20"/>
      <c r="C40" s="5" t="s">
        <v>205</v>
      </c>
      <c r="D40" s="6" t="s">
        <v>195</v>
      </c>
      <c r="E40" s="11">
        <v>2.2209999999999999E-3</v>
      </c>
      <c r="F40" s="1"/>
      <c r="G40" s="1"/>
      <c r="H40" s="1"/>
      <c r="I40" s="1"/>
      <c r="J40" s="1"/>
      <c r="K40" s="1"/>
      <c r="L40" s="1"/>
      <c r="M40" s="1"/>
      <c r="N40" s="18"/>
    </row>
    <row r="41" spans="2:14" ht="15" customHeight="1" x14ac:dyDescent="0.25">
      <c r="B41" s="20"/>
      <c r="C41" s="7" t="s">
        <v>52</v>
      </c>
      <c r="D41" s="8"/>
      <c r="E41" s="12">
        <v>7.5785000000000005E-2</v>
      </c>
      <c r="F41" s="1"/>
      <c r="G41" s="1"/>
      <c r="H41" s="1"/>
      <c r="I41" s="1"/>
      <c r="J41" s="1"/>
      <c r="K41" s="1"/>
      <c r="L41" s="1"/>
      <c r="M41" s="1"/>
      <c r="N41" s="18"/>
    </row>
    <row r="42" spans="2:14" ht="15.75" customHeight="1" x14ac:dyDescent="0.25">
      <c r="B42" s="20"/>
      <c r="C42" s="5" t="s">
        <v>179</v>
      </c>
      <c r="D42" s="6" t="s">
        <v>195</v>
      </c>
      <c r="E42" s="11">
        <v>2.2034999999999999E-2</v>
      </c>
      <c r="F42" s="1"/>
      <c r="G42" s="1"/>
      <c r="H42" s="1"/>
      <c r="I42" s="1"/>
      <c r="J42" s="1"/>
      <c r="K42" s="1"/>
      <c r="L42" s="1"/>
      <c r="M42" s="1"/>
      <c r="N42" s="18"/>
    </row>
    <row r="43" spans="2:14" ht="15" customHeight="1" x14ac:dyDescent="0.25">
      <c r="B43" s="20"/>
      <c r="C43" s="5" t="s">
        <v>180</v>
      </c>
      <c r="D43" s="6" t="s">
        <v>195</v>
      </c>
      <c r="E43" s="11">
        <v>1.477E-2</v>
      </c>
      <c r="F43" s="1"/>
      <c r="G43" s="1"/>
      <c r="H43" s="1"/>
      <c r="I43" s="1"/>
      <c r="J43" s="1"/>
      <c r="K43" s="1"/>
      <c r="L43" s="1"/>
      <c r="M43" s="1"/>
      <c r="N43" s="18"/>
    </row>
    <row r="44" spans="2:14" ht="15.75" customHeight="1" x14ac:dyDescent="0.25">
      <c r="B44" s="20"/>
      <c r="C44" s="5" t="s">
        <v>181</v>
      </c>
      <c r="D44" s="6" t="s">
        <v>195</v>
      </c>
      <c r="E44" s="11">
        <v>9.384E-3</v>
      </c>
      <c r="F44" s="1"/>
      <c r="G44" s="1"/>
      <c r="H44" s="1"/>
      <c r="I44" s="1"/>
      <c r="J44" s="1"/>
      <c r="K44" s="1"/>
      <c r="L44" s="1"/>
      <c r="M44" s="1"/>
      <c r="N44" s="18"/>
    </row>
    <row r="45" spans="2:14" ht="15" customHeight="1" x14ac:dyDescent="0.25">
      <c r="B45" s="20"/>
      <c r="C45" s="7" t="s">
        <v>160</v>
      </c>
      <c r="D45" s="8"/>
      <c r="E45" s="12">
        <v>4.6189000000000001E-2</v>
      </c>
      <c r="F45" s="1"/>
      <c r="G45" s="1"/>
      <c r="H45" s="1"/>
      <c r="I45" s="1"/>
      <c r="J45" s="1"/>
      <c r="K45" s="1"/>
      <c r="L45" s="1"/>
      <c r="M45" s="1"/>
      <c r="N45" s="18"/>
    </row>
    <row r="46" spans="2:14" ht="15" customHeight="1" x14ac:dyDescent="0.25">
      <c r="B46" s="20"/>
      <c r="C46" s="5" t="s">
        <v>8</v>
      </c>
      <c r="D46" s="6"/>
      <c r="E46" s="11">
        <v>1.5980000000000001E-2</v>
      </c>
      <c r="F46" s="1"/>
      <c r="G46" s="1"/>
      <c r="H46" s="1"/>
      <c r="I46" s="1"/>
      <c r="J46" s="1"/>
      <c r="K46" s="1"/>
      <c r="L46" s="1"/>
      <c r="M46" s="1"/>
      <c r="N46" s="18"/>
    </row>
    <row r="47" spans="2:14" ht="15" customHeight="1" x14ac:dyDescent="0.25">
      <c r="B47" s="20"/>
      <c r="C47" s="7" t="s">
        <v>9</v>
      </c>
      <c r="D47" s="8"/>
      <c r="E47" s="12">
        <v>1.5980000000000001E-2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7" t="s">
        <v>10</v>
      </c>
      <c r="D49" s="8"/>
      <c r="E49" s="12">
        <v>-4.8587999999999999E-2</v>
      </c>
      <c r="F49" s="1"/>
      <c r="G49" s="1"/>
      <c r="H49" s="1"/>
      <c r="I49" s="1"/>
      <c r="J49" s="1"/>
      <c r="K49" s="1"/>
      <c r="L49" s="1"/>
      <c r="M49" s="1"/>
      <c r="N49" s="18"/>
    </row>
    <row r="50" spans="2:14" ht="15" customHeight="1" x14ac:dyDescent="0.25">
      <c r="B50" s="20"/>
      <c r="C50" s="5"/>
      <c r="D50" s="6"/>
      <c r="E50" s="11"/>
      <c r="F50" s="1"/>
      <c r="G50" s="1"/>
      <c r="H50" s="1"/>
      <c r="I50" s="1"/>
      <c r="J50" s="1"/>
      <c r="K50" s="1"/>
      <c r="L50" s="1"/>
      <c r="M50" s="1"/>
      <c r="N50" s="18"/>
    </row>
    <row r="51" spans="2:14" ht="15" customHeight="1" x14ac:dyDescent="0.25">
      <c r="B51" s="20"/>
      <c r="C51" s="9" t="s">
        <v>11</v>
      </c>
      <c r="D51" s="10"/>
      <c r="E51" s="13">
        <v>1</v>
      </c>
      <c r="F51" s="1"/>
      <c r="G51" s="1"/>
      <c r="H51" s="1"/>
      <c r="I51" s="1"/>
      <c r="J51" s="1"/>
      <c r="K51" s="1"/>
      <c r="L51" s="1"/>
      <c r="M51" s="1"/>
      <c r="N51" s="18"/>
    </row>
    <row r="52" spans="2:14" ht="15" customHeight="1" x14ac:dyDescent="0.25">
      <c r="B52" s="20"/>
      <c r="F52" s="1"/>
      <c r="G52" s="1"/>
      <c r="H52" s="1"/>
      <c r="I52" s="1"/>
      <c r="J52" s="1"/>
      <c r="K52" s="1"/>
      <c r="L52" s="1"/>
      <c r="M52" s="1"/>
      <c r="N52" s="18"/>
    </row>
    <row r="53" spans="2:14" ht="15" customHeight="1" thickBot="1" x14ac:dyDescent="0.3">
      <c r="B53" s="21"/>
      <c r="C53" s="22"/>
      <c r="D53" s="22"/>
      <c r="E53" s="22"/>
      <c r="F53" s="22"/>
      <c r="G53" s="22"/>
      <c r="H53" s="22"/>
      <c r="I53" s="22"/>
      <c r="J53" s="22"/>
      <c r="K53" s="22"/>
      <c r="L53" s="22"/>
      <c r="M53" s="22"/>
      <c r="N53" s="23"/>
    </row>
    <row r="54" spans="2:14" ht="15" customHeight="1" thickBot="1" x14ac:dyDescent="0.3"/>
    <row r="55" spans="2:14" ht="15" customHeight="1" x14ac:dyDescent="0.25">
      <c r="B55" s="66" t="s">
        <v>264</v>
      </c>
      <c r="C55" s="67"/>
      <c r="D55" s="67"/>
      <c r="E55" s="67"/>
      <c r="F55" s="67"/>
      <c r="G55" s="67"/>
      <c r="H55" s="67"/>
      <c r="I55" s="67"/>
      <c r="J55" s="67"/>
      <c r="K55" s="67"/>
      <c r="L55" s="67"/>
      <c r="M55" s="67"/>
      <c r="N55" s="68"/>
    </row>
    <row r="56" spans="2:14" ht="15" customHeight="1" x14ac:dyDescent="0.25">
      <c r="B56" s="69"/>
      <c r="C56" s="70"/>
      <c r="D56" s="70"/>
      <c r="E56" s="70"/>
      <c r="F56" s="70"/>
      <c r="G56" s="70"/>
      <c r="H56" s="70"/>
      <c r="I56" s="70"/>
      <c r="J56" s="70"/>
      <c r="K56" s="70"/>
      <c r="L56" s="70"/>
      <c r="M56" s="70"/>
      <c r="N56" s="71"/>
    </row>
    <row r="57" spans="2:14" ht="15" customHeight="1" x14ac:dyDescent="0.25">
      <c r="B57" s="69"/>
      <c r="C57" s="70"/>
      <c r="D57" s="70"/>
      <c r="E57" s="70"/>
      <c r="F57" s="70"/>
      <c r="G57" s="70"/>
      <c r="H57" s="70"/>
      <c r="I57" s="70"/>
      <c r="J57" s="70"/>
      <c r="K57" s="70"/>
      <c r="L57" s="70"/>
      <c r="M57" s="70"/>
      <c r="N57" s="71"/>
    </row>
    <row r="58" spans="2:14" ht="15" customHeight="1" thickBot="1" x14ac:dyDescent="0.3">
      <c r="B58" s="72"/>
      <c r="C58" s="73"/>
      <c r="D58" s="73"/>
      <c r="E58" s="73"/>
      <c r="F58" s="73"/>
      <c r="G58" s="73"/>
      <c r="H58" s="73"/>
      <c r="I58" s="73"/>
      <c r="J58" s="73"/>
      <c r="K58" s="73"/>
      <c r="L58" s="73"/>
      <c r="M58" s="73"/>
      <c r="N58" s="74"/>
    </row>
    <row r="59" spans="2:14" ht="15" customHeight="1" thickBot="1" x14ac:dyDescent="0.3"/>
    <row r="60" spans="2:14" ht="123" customHeight="1" thickBot="1" x14ac:dyDescent="0.3">
      <c r="B60" s="75" t="s">
        <v>263</v>
      </c>
      <c r="C60" s="76"/>
      <c r="D60" s="76"/>
      <c r="E60" s="76"/>
      <c r="F60" s="76"/>
      <c r="G60" s="76"/>
      <c r="H60" s="76"/>
      <c r="I60" s="76"/>
      <c r="J60" s="76"/>
      <c r="K60" s="76"/>
      <c r="L60" s="76"/>
      <c r="M60" s="76"/>
      <c r="N60" s="77"/>
    </row>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sheetData>
  <sortState ref="C35:E40">
    <sortCondition descending="1" ref="E35"/>
  </sortState>
  <mergeCells count="7">
    <mergeCell ref="B55:N58"/>
    <mergeCell ref="B60:N60"/>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658E-E068-4EC8-B980-BD6750598974}">
  <dimension ref="B1:N74"/>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191</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192</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25</v>
      </c>
      <c r="D8" s="6" t="s">
        <v>22</v>
      </c>
      <c r="E8" s="11">
        <v>9.3258999999999995E-2</v>
      </c>
      <c r="F8" s="1"/>
      <c r="G8" s="24" t="s">
        <v>15</v>
      </c>
      <c r="H8" s="29">
        <v>0.98992599999999997</v>
      </c>
      <c r="I8" s="1"/>
      <c r="J8" s="24" t="s">
        <v>12</v>
      </c>
      <c r="K8" s="24" t="s">
        <v>5</v>
      </c>
      <c r="L8" s="1"/>
      <c r="M8" s="1"/>
      <c r="N8" s="18"/>
    </row>
    <row r="9" spans="2:14" ht="15" customHeight="1" x14ac:dyDescent="0.25">
      <c r="B9" s="20"/>
      <c r="C9" s="5" t="s">
        <v>138</v>
      </c>
      <c r="D9" s="6" t="s">
        <v>22</v>
      </c>
      <c r="E9" s="11">
        <v>8.5292999999999994E-2</v>
      </c>
      <c r="F9" s="1"/>
      <c r="G9" s="24" t="s">
        <v>98</v>
      </c>
      <c r="H9" s="29">
        <v>1.0074E-2</v>
      </c>
      <c r="I9" s="1"/>
      <c r="J9" s="24" t="s">
        <v>10</v>
      </c>
      <c r="K9" s="29">
        <v>-1.6626999999999999E-2</v>
      </c>
      <c r="L9" s="1"/>
      <c r="M9" s="1"/>
      <c r="N9" s="18"/>
    </row>
    <row r="10" spans="2:14" ht="15" customHeight="1" x14ac:dyDescent="0.25">
      <c r="B10" s="20"/>
      <c r="C10" s="5" t="s">
        <v>23</v>
      </c>
      <c r="D10" s="6" t="s">
        <v>22</v>
      </c>
      <c r="E10" s="11">
        <v>4.2882999999999998E-2</v>
      </c>
      <c r="F10" s="1"/>
      <c r="G10" s="1"/>
      <c r="H10" s="1"/>
      <c r="I10" s="1"/>
      <c r="J10" s="24" t="s">
        <v>13</v>
      </c>
      <c r="K10" s="29">
        <v>9.3498999999999999E-2</v>
      </c>
      <c r="L10" s="1"/>
      <c r="M10" s="1"/>
      <c r="N10" s="18"/>
    </row>
    <row r="11" spans="2:14" ht="15" customHeight="1" x14ac:dyDescent="0.25">
      <c r="B11" s="20"/>
      <c r="C11" s="5" t="s">
        <v>24</v>
      </c>
      <c r="D11" s="6" t="s">
        <v>22</v>
      </c>
      <c r="E11" s="11">
        <v>1.8525E-2</v>
      </c>
      <c r="F11" s="1"/>
      <c r="G11" s="1"/>
      <c r="H11" s="1"/>
      <c r="I11" s="1"/>
      <c r="J11" s="24" t="s">
        <v>53</v>
      </c>
      <c r="K11" s="29">
        <v>0.28024300000000002</v>
      </c>
      <c r="L11" s="1"/>
      <c r="M11" s="1"/>
      <c r="N11" s="18"/>
    </row>
    <row r="12" spans="2:14" ht="15" customHeight="1" x14ac:dyDescent="0.25">
      <c r="B12" s="20"/>
      <c r="C12" s="5" t="s">
        <v>27</v>
      </c>
      <c r="D12" s="6" t="s">
        <v>22</v>
      </c>
      <c r="E12" s="11">
        <v>1.8426999999999999E-2</v>
      </c>
      <c r="F12" s="1"/>
      <c r="G12" s="1"/>
      <c r="H12" s="1"/>
      <c r="I12" s="1"/>
      <c r="J12" s="24" t="s">
        <v>54</v>
      </c>
      <c r="K12" s="29">
        <v>0.50872899999999999</v>
      </c>
      <c r="L12" s="1"/>
      <c r="M12" s="1"/>
      <c r="N12" s="18"/>
    </row>
    <row r="13" spans="2:14" ht="15" customHeight="1" x14ac:dyDescent="0.25">
      <c r="B13" s="20"/>
      <c r="C13" s="5" t="s">
        <v>140</v>
      </c>
      <c r="D13" s="6" t="s">
        <v>22</v>
      </c>
      <c r="E13" s="11">
        <v>1.2078999999999999E-2</v>
      </c>
      <c r="F13" s="1"/>
      <c r="G13" s="1"/>
      <c r="H13" s="1"/>
      <c r="I13" s="1"/>
      <c r="J13" s="24" t="s">
        <v>161</v>
      </c>
      <c r="K13" s="29">
        <v>4.6727999999999999E-2</v>
      </c>
      <c r="L13" s="1"/>
      <c r="M13" s="1"/>
      <c r="N13" s="18"/>
    </row>
    <row r="14" spans="2:14" ht="15" customHeight="1" x14ac:dyDescent="0.25">
      <c r="B14" s="20"/>
      <c r="C14" s="5" t="s">
        <v>21</v>
      </c>
      <c r="D14" s="6" t="s">
        <v>22</v>
      </c>
      <c r="E14" s="11">
        <v>9.7769999999999992E-3</v>
      </c>
      <c r="F14" s="1"/>
      <c r="G14" s="1"/>
      <c r="H14" s="1"/>
      <c r="I14" s="1"/>
      <c r="J14" s="24" t="s">
        <v>43</v>
      </c>
      <c r="K14" s="29">
        <v>2.5349999999999999E-3</v>
      </c>
      <c r="L14" s="1"/>
      <c r="M14" s="1"/>
      <c r="N14" s="18"/>
    </row>
    <row r="15" spans="2:14" ht="15.75" customHeight="1" x14ac:dyDescent="0.25">
      <c r="B15" s="20"/>
      <c r="C15" s="7" t="s">
        <v>26</v>
      </c>
      <c r="D15" s="8"/>
      <c r="E15" s="12">
        <v>0.28024300000000002</v>
      </c>
      <c r="F15" s="1"/>
      <c r="G15" s="1"/>
      <c r="H15" s="1"/>
      <c r="I15" s="1"/>
      <c r="J15" s="24" t="s">
        <v>162</v>
      </c>
      <c r="K15" s="29">
        <v>7.8921000000000005E-2</v>
      </c>
      <c r="L15" s="1"/>
      <c r="M15" s="1"/>
      <c r="N15" s="18"/>
    </row>
    <row r="16" spans="2:14" ht="15" customHeight="1" x14ac:dyDescent="0.25">
      <c r="B16" s="20"/>
      <c r="C16" s="5" t="s">
        <v>78</v>
      </c>
      <c r="D16" s="6" t="s">
        <v>22</v>
      </c>
      <c r="E16" s="11">
        <v>4.3182999999999999E-2</v>
      </c>
      <c r="F16" s="1"/>
      <c r="G16" s="1"/>
      <c r="H16" s="1"/>
      <c r="I16" s="1"/>
      <c r="J16" s="24" t="s">
        <v>81</v>
      </c>
      <c r="K16" s="29">
        <v>5.9719999999999999E-3</v>
      </c>
      <c r="L16" s="1"/>
      <c r="M16" s="1"/>
      <c r="N16" s="18"/>
    </row>
    <row r="17" spans="2:14" ht="15" customHeight="1" x14ac:dyDescent="0.25">
      <c r="B17" s="20"/>
      <c r="C17" s="5" t="s">
        <v>147</v>
      </c>
      <c r="D17" s="6" t="s">
        <v>22</v>
      </c>
      <c r="E17" s="11">
        <v>3.545E-3</v>
      </c>
      <c r="F17" s="1"/>
      <c r="G17" s="1"/>
      <c r="H17" s="1"/>
      <c r="I17" s="1"/>
      <c r="J17" s="1"/>
      <c r="K17" s="1"/>
      <c r="L17" s="1"/>
      <c r="M17" s="1"/>
      <c r="N17" s="18"/>
    </row>
    <row r="18" spans="2:14" ht="15.75" customHeight="1" x14ac:dyDescent="0.25">
      <c r="B18" s="20"/>
      <c r="C18" s="7" t="s">
        <v>149</v>
      </c>
      <c r="D18" s="8"/>
      <c r="E18" s="12">
        <v>4.6727999999999999E-2</v>
      </c>
      <c r="F18" s="1"/>
      <c r="G18" s="1"/>
      <c r="H18" s="1"/>
      <c r="I18" s="1"/>
      <c r="J18" s="1"/>
      <c r="K18" s="1"/>
      <c r="L18" s="1"/>
      <c r="M18" s="1"/>
      <c r="N18" s="18"/>
    </row>
    <row r="19" spans="2:14" ht="15" customHeight="1" x14ac:dyDescent="0.25">
      <c r="B19" s="20"/>
      <c r="C19" s="5" t="s">
        <v>29</v>
      </c>
      <c r="D19" s="6" t="s">
        <v>28</v>
      </c>
      <c r="E19" s="11">
        <v>0.112094</v>
      </c>
      <c r="F19" s="1"/>
      <c r="G19" s="1"/>
      <c r="H19" s="1"/>
      <c r="I19" s="1"/>
      <c r="J19" s="1"/>
      <c r="K19" s="1"/>
      <c r="L19" s="1"/>
      <c r="M19" s="1"/>
      <c r="N19" s="18"/>
    </row>
    <row r="20" spans="2:14" ht="15" customHeight="1" x14ac:dyDescent="0.25">
      <c r="B20" s="20"/>
      <c r="C20" s="5" t="s">
        <v>33</v>
      </c>
      <c r="D20" s="6" t="s">
        <v>28</v>
      </c>
      <c r="E20" s="11">
        <v>0.111485</v>
      </c>
      <c r="F20" s="1"/>
      <c r="G20" s="1"/>
      <c r="H20" s="1"/>
      <c r="I20" s="1"/>
      <c r="J20" s="1"/>
      <c r="K20" s="1"/>
      <c r="L20" s="1"/>
      <c r="M20" s="1"/>
      <c r="N20" s="18"/>
    </row>
    <row r="21" spans="2:14" ht="15" customHeight="1" x14ac:dyDescent="0.25">
      <c r="B21" s="20"/>
      <c r="C21" s="5" t="s">
        <v>31</v>
      </c>
      <c r="D21" s="6" t="s">
        <v>28</v>
      </c>
      <c r="E21" s="11">
        <v>7.4177999999999994E-2</v>
      </c>
      <c r="F21" s="1"/>
      <c r="G21" s="1"/>
      <c r="H21" s="1"/>
      <c r="I21" s="1"/>
      <c r="J21" s="1"/>
      <c r="K21" s="1"/>
      <c r="L21" s="1"/>
      <c r="M21" s="1"/>
      <c r="N21" s="18"/>
    </row>
    <row r="22" spans="2:14" ht="15" customHeight="1" x14ac:dyDescent="0.25">
      <c r="B22" s="20"/>
      <c r="C22" s="5" t="s">
        <v>27</v>
      </c>
      <c r="D22" s="6" t="s">
        <v>28</v>
      </c>
      <c r="E22" s="11">
        <v>7.1698999999999999E-2</v>
      </c>
      <c r="F22" s="1"/>
      <c r="G22" s="1"/>
      <c r="H22" s="1"/>
      <c r="I22" s="1"/>
      <c r="J22" s="1"/>
      <c r="K22" s="1"/>
      <c r="L22" s="1"/>
      <c r="M22" s="1"/>
      <c r="N22" s="18"/>
    </row>
    <row r="23" spans="2:14" ht="15" customHeight="1" x14ac:dyDescent="0.25">
      <c r="B23" s="20"/>
      <c r="C23" s="5" t="s">
        <v>78</v>
      </c>
      <c r="D23" s="6" t="s">
        <v>28</v>
      </c>
      <c r="E23" s="11">
        <v>3.3737999999999997E-2</v>
      </c>
      <c r="F23" s="1"/>
      <c r="G23" s="1"/>
      <c r="H23" s="1"/>
      <c r="I23" s="1"/>
      <c r="J23" s="1"/>
      <c r="K23" s="1"/>
      <c r="L23" s="1"/>
      <c r="M23" s="1"/>
      <c r="N23" s="18"/>
    </row>
    <row r="24" spans="2:14" ht="15" customHeight="1" x14ac:dyDescent="0.25">
      <c r="B24" s="20"/>
      <c r="C24" s="5" t="s">
        <v>169</v>
      </c>
      <c r="D24" s="6" t="s">
        <v>28</v>
      </c>
      <c r="E24" s="11">
        <v>2.5037E-2</v>
      </c>
      <c r="F24" s="1"/>
      <c r="G24" s="83" t="s">
        <v>120</v>
      </c>
      <c r="H24" s="84"/>
      <c r="I24" s="84"/>
      <c r="J24" s="84"/>
      <c r="K24" s="84"/>
      <c r="L24" s="65">
        <v>177.93821715721916</v>
      </c>
      <c r="M24" s="27"/>
      <c r="N24" s="28"/>
    </row>
    <row r="25" spans="2:14" ht="15" customHeight="1" x14ac:dyDescent="0.25">
      <c r="B25" s="20"/>
      <c r="C25" s="5" t="s">
        <v>73</v>
      </c>
      <c r="D25" s="6" t="s">
        <v>28</v>
      </c>
      <c r="E25" s="11">
        <v>1.2616E-2</v>
      </c>
      <c r="F25" s="1"/>
      <c r="G25" s="1"/>
      <c r="H25" s="1"/>
      <c r="I25" s="1"/>
      <c r="J25" s="1"/>
      <c r="K25" s="1"/>
      <c r="L25" s="1"/>
      <c r="M25" s="1"/>
      <c r="N25" s="18"/>
    </row>
    <row r="26" spans="2:14" ht="15" customHeight="1" x14ac:dyDescent="0.25">
      <c r="B26" s="20"/>
      <c r="C26" s="5" t="s">
        <v>170</v>
      </c>
      <c r="D26" s="6" t="s">
        <v>28</v>
      </c>
      <c r="E26" s="11">
        <v>1.2599000000000001E-2</v>
      </c>
      <c r="F26" s="1"/>
      <c r="G26" s="83" t="s">
        <v>18</v>
      </c>
      <c r="H26" s="84"/>
      <c r="I26" s="84"/>
      <c r="J26" s="84"/>
      <c r="K26" s="84"/>
      <c r="L26" s="84"/>
      <c r="M26" s="84"/>
      <c r="N26" s="85"/>
    </row>
    <row r="27" spans="2:14" ht="15" customHeight="1" x14ac:dyDescent="0.25">
      <c r="B27" s="20"/>
      <c r="C27" s="5" t="s">
        <v>34</v>
      </c>
      <c r="D27" s="6" t="s">
        <v>28</v>
      </c>
      <c r="E27" s="11">
        <v>1.2592000000000001E-2</v>
      </c>
      <c r="F27" s="1"/>
      <c r="G27" s="1"/>
      <c r="H27" s="1"/>
      <c r="I27" s="1"/>
      <c r="J27" s="1"/>
      <c r="K27" s="1"/>
      <c r="L27" s="1"/>
      <c r="M27" s="1"/>
      <c r="N27" s="18"/>
    </row>
    <row r="28" spans="2:14" ht="15" customHeight="1" x14ac:dyDescent="0.25">
      <c r="B28" s="20"/>
      <c r="C28" s="5" t="s">
        <v>25</v>
      </c>
      <c r="D28" s="6" t="s">
        <v>28</v>
      </c>
      <c r="E28" s="11">
        <v>1.2524E-2</v>
      </c>
      <c r="F28" s="1"/>
      <c r="G28" s="1"/>
      <c r="H28" s="1"/>
      <c r="I28" s="1"/>
      <c r="J28" s="1"/>
      <c r="K28" s="1"/>
      <c r="L28" s="1"/>
      <c r="M28" s="1"/>
      <c r="N28" s="18"/>
    </row>
    <row r="29" spans="2:14" ht="15" customHeight="1" x14ac:dyDescent="0.25">
      <c r="B29" s="20"/>
      <c r="C29" s="5" t="s">
        <v>128</v>
      </c>
      <c r="D29" s="6" t="s">
        <v>89</v>
      </c>
      <c r="E29" s="11">
        <v>1.0074E-2</v>
      </c>
      <c r="F29" s="1"/>
      <c r="G29" s="1"/>
      <c r="H29" s="1"/>
      <c r="I29" s="1"/>
      <c r="J29" s="1"/>
      <c r="K29" s="1"/>
      <c r="L29" s="1"/>
      <c r="M29" s="1"/>
      <c r="N29" s="18"/>
    </row>
    <row r="30" spans="2:14" ht="15" customHeight="1" x14ac:dyDescent="0.25">
      <c r="B30" s="20"/>
      <c r="C30" s="5" t="s">
        <v>38</v>
      </c>
      <c r="D30" s="6" t="s">
        <v>28</v>
      </c>
      <c r="E30" s="11">
        <v>6.2680000000000001E-3</v>
      </c>
      <c r="F30" s="1"/>
      <c r="G30" s="1"/>
      <c r="H30" s="1"/>
      <c r="I30" s="1"/>
      <c r="J30" s="1"/>
      <c r="K30" s="1"/>
      <c r="L30" s="1"/>
      <c r="M30" s="1"/>
      <c r="N30" s="18"/>
    </row>
    <row r="31" spans="2:14" ht="15" customHeight="1" x14ac:dyDescent="0.25">
      <c r="B31" s="20"/>
      <c r="C31" s="5" t="s">
        <v>148</v>
      </c>
      <c r="D31" s="6" t="s">
        <v>28</v>
      </c>
      <c r="E31" s="11">
        <v>6.2610000000000001E-3</v>
      </c>
      <c r="F31" s="1"/>
      <c r="G31" s="1"/>
      <c r="H31" s="1"/>
      <c r="I31" s="1"/>
      <c r="J31" s="1"/>
      <c r="K31" s="1"/>
      <c r="L31" s="1"/>
      <c r="M31" s="1"/>
      <c r="N31" s="18"/>
    </row>
    <row r="32" spans="2:14" ht="15" customHeight="1" x14ac:dyDescent="0.25">
      <c r="B32" s="20"/>
      <c r="C32" s="5" t="s">
        <v>193</v>
      </c>
      <c r="D32" s="6" t="s">
        <v>28</v>
      </c>
      <c r="E32" s="11">
        <v>3.7929999999999999E-3</v>
      </c>
      <c r="F32" s="1"/>
      <c r="G32" s="1"/>
      <c r="H32" s="1"/>
      <c r="I32" s="1"/>
      <c r="J32" s="1"/>
      <c r="K32" s="1"/>
      <c r="L32" s="1"/>
      <c r="M32" s="1"/>
      <c r="N32" s="18"/>
    </row>
    <row r="33" spans="2:14" ht="15" customHeight="1" x14ac:dyDescent="0.25">
      <c r="B33" s="20"/>
      <c r="C33" s="5" t="s">
        <v>72</v>
      </c>
      <c r="D33" s="6" t="s">
        <v>28</v>
      </c>
      <c r="E33" s="11">
        <v>3.771E-3</v>
      </c>
      <c r="F33" s="1"/>
      <c r="G33" s="1"/>
      <c r="H33" s="1"/>
      <c r="I33" s="1"/>
      <c r="J33" s="1"/>
      <c r="K33" s="1"/>
      <c r="L33" s="1"/>
      <c r="M33" s="1"/>
      <c r="N33" s="18"/>
    </row>
    <row r="34" spans="2:14" ht="15.75" customHeight="1" x14ac:dyDescent="0.25">
      <c r="B34" s="20"/>
      <c r="C34" s="7" t="s">
        <v>42</v>
      </c>
      <c r="D34" s="8"/>
      <c r="E34" s="12">
        <v>0.50872899999999999</v>
      </c>
      <c r="F34" s="1"/>
      <c r="G34" s="1"/>
      <c r="H34" s="1"/>
      <c r="I34" s="1"/>
      <c r="J34" s="1"/>
      <c r="K34" s="1"/>
      <c r="L34" s="1"/>
      <c r="M34" s="1"/>
      <c r="N34" s="18"/>
    </row>
    <row r="35" spans="2:14" ht="15" customHeight="1" x14ac:dyDescent="0.25">
      <c r="B35" s="20"/>
      <c r="C35" s="5" t="s">
        <v>43</v>
      </c>
      <c r="D35" s="6"/>
      <c r="E35" s="11">
        <v>2.5349999999999999E-3</v>
      </c>
      <c r="F35" s="1"/>
      <c r="G35" s="1"/>
      <c r="H35" s="1"/>
      <c r="I35" s="1"/>
      <c r="J35" s="1"/>
      <c r="K35" s="1"/>
      <c r="L35" s="1"/>
      <c r="M35" s="1"/>
      <c r="N35" s="18"/>
    </row>
    <row r="36" spans="2:14" ht="15.75" customHeight="1" x14ac:dyDescent="0.25">
      <c r="B36" s="20"/>
      <c r="C36" s="7" t="s">
        <v>44</v>
      </c>
      <c r="D36" s="8"/>
      <c r="E36" s="12">
        <v>2.5349999999999999E-3</v>
      </c>
      <c r="F36" s="1"/>
      <c r="G36" s="1"/>
      <c r="H36" s="1"/>
      <c r="I36" s="1"/>
      <c r="J36" s="1"/>
      <c r="K36" s="1"/>
      <c r="L36" s="1"/>
      <c r="M36" s="1"/>
      <c r="N36" s="18"/>
    </row>
    <row r="37" spans="2:14" ht="15" customHeight="1" x14ac:dyDescent="0.25">
      <c r="B37" s="20"/>
      <c r="C37" s="5" t="s">
        <v>171</v>
      </c>
      <c r="D37" s="6" t="s">
        <v>195</v>
      </c>
      <c r="E37" s="11">
        <v>3.7253000000000001E-2</v>
      </c>
      <c r="F37" s="1"/>
      <c r="G37" s="1"/>
      <c r="H37" s="1"/>
      <c r="I37" s="1"/>
      <c r="J37" s="1"/>
      <c r="K37" s="1"/>
      <c r="L37" s="1"/>
      <c r="M37" s="1"/>
      <c r="N37" s="18"/>
    </row>
    <row r="38" spans="2:14" ht="15" customHeight="1" x14ac:dyDescent="0.25">
      <c r="B38" s="20"/>
      <c r="C38" s="5" t="s">
        <v>159</v>
      </c>
      <c r="D38" s="6" t="s">
        <v>195</v>
      </c>
      <c r="E38" s="11">
        <v>1.8726E-2</v>
      </c>
      <c r="F38" s="1"/>
      <c r="G38" s="1"/>
      <c r="H38" s="1"/>
      <c r="I38" s="1"/>
      <c r="J38" s="1"/>
      <c r="K38" s="1"/>
      <c r="L38" s="1"/>
      <c r="M38" s="1"/>
      <c r="N38" s="18"/>
    </row>
    <row r="39" spans="2:14" ht="15" customHeight="1" x14ac:dyDescent="0.25">
      <c r="B39" s="20"/>
      <c r="C39" s="5" t="s">
        <v>158</v>
      </c>
      <c r="D39" s="6" t="s">
        <v>195</v>
      </c>
      <c r="E39" s="11">
        <v>1.2552000000000001E-2</v>
      </c>
      <c r="F39" s="1"/>
      <c r="G39" s="1"/>
      <c r="H39" s="1"/>
      <c r="I39" s="1"/>
      <c r="J39" s="1"/>
      <c r="K39" s="1"/>
      <c r="L39" s="1"/>
      <c r="M39" s="1"/>
      <c r="N39" s="18"/>
    </row>
    <row r="40" spans="2:14" ht="15" customHeight="1" x14ac:dyDescent="0.25">
      <c r="B40" s="20"/>
      <c r="C40" s="5" t="s">
        <v>194</v>
      </c>
      <c r="D40" s="6" t="s">
        <v>195</v>
      </c>
      <c r="E40" s="11">
        <v>1.0015E-2</v>
      </c>
      <c r="F40" s="1"/>
      <c r="G40" s="1"/>
      <c r="H40" s="1"/>
      <c r="I40" s="1"/>
      <c r="J40" s="1"/>
      <c r="K40" s="1"/>
      <c r="L40" s="1"/>
      <c r="M40" s="1"/>
      <c r="N40" s="18"/>
    </row>
    <row r="41" spans="2:14" ht="15" customHeight="1" x14ac:dyDescent="0.25">
      <c r="B41" s="20"/>
      <c r="C41" s="5" t="s">
        <v>173</v>
      </c>
      <c r="D41" s="6" t="s">
        <v>195</v>
      </c>
      <c r="E41" s="11">
        <v>3.7500000000000001E-4</v>
      </c>
      <c r="F41" s="1"/>
      <c r="G41" s="1"/>
      <c r="H41" s="1"/>
      <c r="I41" s="1"/>
      <c r="J41" s="1"/>
      <c r="K41" s="1"/>
      <c r="L41" s="1"/>
      <c r="M41" s="1"/>
      <c r="N41" s="18"/>
    </row>
    <row r="42" spans="2:14" ht="15.75" customHeight="1" x14ac:dyDescent="0.25">
      <c r="B42" s="20"/>
      <c r="C42" s="7" t="s">
        <v>160</v>
      </c>
      <c r="D42" s="8"/>
      <c r="E42" s="12">
        <v>7.8921000000000005E-2</v>
      </c>
      <c r="F42" s="1"/>
      <c r="G42" s="1"/>
      <c r="H42" s="1"/>
      <c r="I42" s="1"/>
      <c r="J42" s="1"/>
      <c r="K42" s="1"/>
      <c r="L42" s="1"/>
      <c r="M42" s="1"/>
      <c r="N42" s="18"/>
    </row>
    <row r="43" spans="2:14" ht="15" customHeight="1" x14ac:dyDescent="0.25">
      <c r="B43" s="20"/>
      <c r="C43" s="5" t="s">
        <v>8</v>
      </c>
      <c r="D43" s="6"/>
      <c r="E43" s="11">
        <v>9.3498999999999999E-2</v>
      </c>
      <c r="F43" s="1"/>
      <c r="G43" s="1"/>
      <c r="H43" s="1"/>
      <c r="I43" s="1"/>
      <c r="J43" s="1"/>
      <c r="K43" s="1"/>
      <c r="L43" s="1"/>
      <c r="M43" s="1"/>
      <c r="N43" s="18"/>
    </row>
    <row r="44" spans="2:14" ht="15.75" customHeight="1" x14ac:dyDescent="0.25">
      <c r="B44" s="20"/>
      <c r="C44" s="7" t="s">
        <v>9</v>
      </c>
      <c r="D44" s="8"/>
      <c r="E44" s="12">
        <v>9.3498999999999999E-2</v>
      </c>
      <c r="F44" s="1"/>
      <c r="G44" s="1"/>
      <c r="H44" s="1"/>
      <c r="I44" s="1"/>
      <c r="J44" s="1"/>
      <c r="K44" s="1"/>
      <c r="L44" s="1"/>
      <c r="M44" s="1"/>
      <c r="N44" s="18"/>
    </row>
    <row r="45" spans="2:14" ht="15" customHeight="1" x14ac:dyDescent="0.25">
      <c r="B45" s="20"/>
      <c r="C45" s="5" t="s">
        <v>78</v>
      </c>
      <c r="D45" s="6" t="s">
        <v>28</v>
      </c>
      <c r="E45" s="11">
        <v>5.9719999999999999E-3</v>
      </c>
      <c r="F45" s="1"/>
      <c r="G45" s="1"/>
      <c r="H45" s="1"/>
      <c r="I45" s="1"/>
      <c r="J45" s="1"/>
      <c r="K45" s="1"/>
      <c r="L45" s="1"/>
      <c r="M45" s="1"/>
      <c r="N45" s="18"/>
    </row>
    <row r="46" spans="2:14" ht="15.75" customHeight="1" x14ac:dyDescent="0.25">
      <c r="B46" s="20"/>
      <c r="C46" s="7" t="s">
        <v>80</v>
      </c>
      <c r="D46" s="8"/>
      <c r="E46" s="12">
        <v>5.9719999999999999E-3</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75" customHeight="1" x14ac:dyDescent="0.25">
      <c r="B48" s="20"/>
      <c r="C48" s="7" t="s">
        <v>10</v>
      </c>
      <c r="D48" s="8"/>
      <c r="E48" s="12">
        <v>-1.6626999999999999E-2</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11</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5" customHeight="1" x14ac:dyDescent="0.25">
      <c r="B54" s="66" t="s">
        <v>264</v>
      </c>
      <c r="C54" s="67"/>
      <c r="D54" s="67"/>
      <c r="E54" s="67"/>
      <c r="F54" s="67"/>
      <c r="G54" s="67"/>
      <c r="H54" s="67"/>
      <c r="I54" s="67"/>
      <c r="J54" s="67"/>
      <c r="K54" s="67"/>
      <c r="L54" s="67"/>
      <c r="M54" s="67"/>
      <c r="N54" s="68"/>
    </row>
    <row r="55" spans="2:14" ht="15" customHeight="1" x14ac:dyDescent="0.25">
      <c r="B55" s="69"/>
      <c r="C55" s="70"/>
      <c r="D55" s="70"/>
      <c r="E55" s="70"/>
      <c r="F55" s="70"/>
      <c r="G55" s="70"/>
      <c r="H55" s="70"/>
      <c r="I55" s="70"/>
      <c r="J55" s="70"/>
      <c r="K55" s="70"/>
      <c r="L55" s="70"/>
      <c r="M55" s="70"/>
      <c r="N55" s="71"/>
    </row>
    <row r="56" spans="2:14" ht="15" customHeight="1" x14ac:dyDescent="0.25">
      <c r="B56" s="69"/>
      <c r="C56" s="70"/>
      <c r="D56" s="70"/>
      <c r="E56" s="70"/>
      <c r="F56" s="70"/>
      <c r="G56" s="70"/>
      <c r="H56" s="70"/>
      <c r="I56" s="70"/>
      <c r="J56" s="70"/>
      <c r="K56" s="70"/>
      <c r="L56" s="70"/>
      <c r="M56" s="70"/>
      <c r="N56" s="71"/>
    </row>
    <row r="57" spans="2:14" ht="15" customHeight="1" thickBot="1" x14ac:dyDescent="0.3">
      <c r="B57" s="72"/>
      <c r="C57" s="73"/>
      <c r="D57" s="73"/>
      <c r="E57" s="73"/>
      <c r="F57" s="73"/>
      <c r="G57" s="73"/>
      <c r="H57" s="73"/>
      <c r="I57" s="73"/>
      <c r="J57" s="73"/>
      <c r="K57" s="73"/>
      <c r="L57" s="73"/>
      <c r="M57" s="73"/>
      <c r="N57" s="74"/>
    </row>
    <row r="58" spans="2:14" ht="15" customHeight="1" thickBot="1" x14ac:dyDescent="0.3"/>
    <row r="59" spans="2:14" ht="117.75" customHeight="1" thickBot="1" x14ac:dyDescent="0.3">
      <c r="B59" s="75" t="s">
        <v>263</v>
      </c>
      <c r="C59" s="76"/>
      <c r="D59" s="76"/>
      <c r="E59" s="76"/>
      <c r="F59" s="76"/>
      <c r="G59" s="76"/>
      <c r="H59" s="76"/>
      <c r="I59" s="76"/>
      <c r="J59" s="76"/>
      <c r="K59" s="76"/>
      <c r="L59" s="76"/>
      <c r="M59" s="76"/>
      <c r="N59" s="77"/>
    </row>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sheetData>
  <mergeCells count="7">
    <mergeCell ref="B54:N57"/>
    <mergeCell ref="B59:N59"/>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1B117-D796-4AB4-A755-6C04566B0157}">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123</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124</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43</v>
      </c>
      <c r="D8" s="6"/>
      <c r="E8" s="11">
        <v>2.4320000000000001E-3</v>
      </c>
      <c r="F8" s="1"/>
      <c r="G8" s="24" t="s">
        <v>15</v>
      </c>
      <c r="H8" s="25">
        <v>1</v>
      </c>
      <c r="I8" s="1"/>
      <c r="J8" s="24" t="s">
        <v>12</v>
      </c>
      <c r="K8" s="24" t="s">
        <v>5</v>
      </c>
      <c r="L8" s="1"/>
      <c r="M8" s="1"/>
      <c r="N8" s="18"/>
    </row>
    <row r="9" spans="2:14" ht="15.75" customHeight="1" x14ac:dyDescent="0.25">
      <c r="B9" s="20"/>
      <c r="C9" s="7" t="s">
        <v>44</v>
      </c>
      <c r="D9" s="8"/>
      <c r="E9" s="12">
        <v>2.4320000000000001E-3</v>
      </c>
      <c r="F9" s="1"/>
      <c r="G9" s="1"/>
      <c r="H9" s="1"/>
      <c r="I9" s="1"/>
      <c r="J9" s="24" t="s">
        <v>10</v>
      </c>
      <c r="K9" s="29">
        <v>2.4437E-2</v>
      </c>
      <c r="L9" s="1"/>
      <c r="M9" s="1"/>
      <c r="N9" s="18"/>
    </row>
    <row r="10" spans="2:14" ht="15" customHeight="1" x14ac:dyDescent="0.25">
      <c r="B10" s="20"/>
      <c r="C10" s="5" t="s">
        <v>60</v>
      </c>
      <c r="D10" s="6" t="s">
        <v>195</v>
      </c>
      <c r="E10" s="11">
        <v>0.95920899999999998</v>
      </c>
      <c r="F10" s="1"/>
      <c r="G10" s="1"/>
      <c r="H10" s="1"/>
      <c r="I10" s="1"/>
      <c r="J10" s="24" t="s">
        <v>13</v>
      </c>
      <c r="K10" s="29">
        <v>1.823E-3</v>
      </c>
      <c r="L10" s="1"/>
      <c r="M10" s="1"/>
      <c r="N10" s="18"/>
    </row>
    <row r="11" spans="2:14" ht="15" customHeight="1" x14ac:dyDescent="0.25">
      <c r="B11" s="20"/>
      <c r="C11" s="5" t="s">
        <v>59</v>
      </c>
      <c r="D11" s="6" t="s">
        <v>195</v>
      </c>
      <c r="E11" s="11">
        <v>1.2012E-2</v>
      </c>
      <c r="F11" s="1"/>
      <c r="G11" s="1"/>
      <c r="H11" s="1"/>
      <c r="I11" s="1"/>
      <c r="J11" s="24" t="s">
        <v>43</v>
      </c>
      <c r="K11" s="29">
        <v>2.4320000000000001E-3</v>
      </c>
      <c r="L11" s="1"/>
      <c r="M11" s="1"/>
      <c r="N11" s="18"/>
    </row>
    <row r="12" spans="2:14" ht="15" customHeight="1" x14ac:dyDescent="0.25">
      <c r="B12" s="20"/>
      <c r="C12" s="5" t="s">
        <v>125</v>
      </c>
      <c r="D12" s="6" t="s">
        <v>195</v>
      </c>
      <c r="E12" s="30">
        <v>4.3999999999999999E-5</v>
      </c>
      <c r="F12" s="1"/>
      <c r="G12" s="1"/>
      <c r="H12" s="1"/>
      <c r="I12" s="1"/>
      <c r="J12" s="24" t="s">
        <v>55</v>
      </c>
      <c r="K12" s="29">
        <v>0.97130799999999995</v>
      </c>
      <c r="L12" s="1"/>
      <c r="M12" s="1"/>
      <c r="N12" s="18"/>
    </row>
    <row r="13" spans="2:14" ht="15" customHeight="1" x14ac:dyDescent="0.25">
      <c r="B13" s="20"/>
      <c r="C13" s="5" t="s">
        <v>116</v>
      </c>
      <c r="D13" s="6" t="s">
        <v>195</v>
      </c>
      <c r="E13" s="30">
        <v>4.3000000000000002E-5</v>
      </c>
      <c r="F13" s="1"/>
      <c r="G13" s="1"/>
      <c r="H13" s="1"/>
      <c r="I13" s="1"/>
      <c r="J13" s="1"/>
      <c r="K13" s="1"/>
      <c r="L13" s="1"/>
      <c r="M13" s="1"/>
      <c r="N13" s="18"/>
    </row>
    <row r="14" spans="2:14" ht="15.75" customHeight="1" x14ac:dyDescent="0.25">
      <c r="B14" s="20"/>
      <c r="C14" s="7" t="s">
        <v>51</v>
      </c>
      <c r="D14" s="8"/>
      <c r="E14" s="12">
        <v>0.97130799999999995</v>
      </c>
      <c r="F14" s="1"/>
      <c r="G14" s="1"/>
      <c r="H14" s="1"/>
      <c r="I14" s="1"/>
      <c r="J14" s="1"/>
      <c r="K14" s="1"/>
      <c r="L14" s="1"/>
      <c r="M14" s="1"/>
      <c r="N14" s="18"/>
    </row>
    <row r="15" spans="2:14" ht="15" customHeight="1" x14ac:dyDescent="0.25">
      <c r="B15" s="20"/>
      <c r="C15" s="5" t="s">
        <v>8</v>
      </c>
      <c r="D15" s="6"/>
      <c r="E15" s="11">
        <v>1.823E-3</v>
      </c>
      <c r="F15" s="1"/>
      <c r="G15" s="1"/>
      <c r="H15" s="1"/>
      <c r="I15" s="1"/>
      <c r="J15" s="1"/>
      <c r="K15" s="1"/>
      <c r="L15" s="1"/>
      <c r="M15" s="1"/>
      <c r="N15" s="18"/>
    </row>
    <row r="16" spans="2:14" ht="15.75" customHeight="1" x14ac:dyDescent="0.25">
      <c r="B16" s="20"/>
      <c r="C16" s="7" t="s">
        <v>9</v>
      </c>
      <c r="D16" s="8"/>
      <c r="E16" s="12">
        <v>1.823E-3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10</v>
      </c>
      <c r="D18" s="8"/>
      <c r="E18" s="12">
        <v>2.4437E-2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11</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28.94785267768733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6" t="s">
        <v>264</v>
      </c>
      <c r="C45" s="67"/>
      <c r="D45" s="67"/>
      <c r="E45" s="67"/>
      <c r="F45" s="67"/>
      <c r="G45" s="67"/>
      <c r="H45" s="67"/>
      <c r="I45" s="67"/>
      <c r="J45" s="67"/>
      <c r="K45" s="67"/>
      <c r="L45" s="67"/>
      <c r="M45" s="67"/>
      <c r="N45" s="68"/>
    </row>
    <row r="46" spans="2:14" x14ac:dyDescent="0.25">
      <c r="B46" s="69"/>
      <c r="C46" s="70"/>
      <c r="D46" s="70"/>
      <c r="E46" s="70"/>
      <c r="F46" s="70"/>
      <c r="G46" s="70"/>
      <c r="H46" s="70"/>
      <c r="I46" s="70"/>
      <c r="J46" s="70"/>
      <c r="K46" s="70"/>
      <c r="L46" s="70"/>
      <c r="M46" s="70"/>
      <c r="N46" s="71"/>
    </row>
    <row r="47" spans="2:14" x14ac:dyDescent="0.25">
      <c r="B47" s="69"/>
      <c r="C47" s="70"/>
      <c r="D47" s="70"/>
      <c r="E47" s="70"/>
      <c r="F47" s="70"/>
      <c r="G47" s="70"/>
      <c r="H47" s="70"/>
      <c r="I47" s="70"/>
      <c r="J47" s="70"/>
      <c r="K47" s="70"/>
      <c r="L47" s="70"/>
      <c r="M47" s="70"/>
      <c r="N47" s="71"/>
    </row>
    <row r="48" spans="2:14" ht="15.75" thickBot="1" x14ac:dyDescent="0.3">
      <c r="B48" s="72"/>
      <c r="C48" s="73"/>
      <c r="D48" s="73"/>
      <c r="E48" s="73"/>
      <c r="F48" s="73"/>
      <c r="G48" s="73"/>
      <c r="H48" s="73"/>
      <c r="I48" s="73"/>
      <c r="J48" s="73"/>
      <c r="K48" s="73"/>
      <c r="L48" s="73"/>
      <c r="M48" s="73"/>
      <c r="N48" s="74"/>
    </row>
    <row r="49" spans="2:14" ht="15.75" thickBot="1" x14ac:dyDescent="0.3"/>
    <row r="50" spans="2:14" ht="122.25" customHeight="1" thickBot="1" x14ac:dyDescent="0.3">
      <c r="B50" s="75" t="s">
        <v>263</v>
      </c>
      <c r="C50" s="76"/>
      <c r="D50" s="76"/>
      <c r="E50" s="76"/>
      <c r="F50" s="76"/>
      <c r="G50" s="76"/>
      <c r="H50" s="76"/>
      <c r="I50" s="76"/>
      <c r="J50" s="76"/>
      <c r="K50" s="76"/>
      <c r="L50" s="76"/>
      <c r="M50" s="76"/>
      <c r="N50" s="77"/>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20423-0650-4A7A-AD96-D8FC50133304}">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57</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58</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25</v>
      </c>
      <c r="D8" s="6" t="s">
        <v>28</v>
      </c>
      <c r="E8" s="11">
        <v>0.10875799999999999</v>
      </c>
      <c r="F8" s="1"/>
      <c r="G8" s="24" t="s">
        <v>15</v>
      </c>
      <c r="H8" s="25">
        <v>1</v>
      </c>
      <c r="I8" s="1"/>
      <c r="J8" s="24" t="s">
        <v>12</v>
      </c>
      <c r="K8" s="24" t="s">
        <v>5</v>
      </c>
      <c r="L8" s="1"/>
      <c r="M8" s="1"/>
      <c r="N8" s="18"/>
    </row>
    <row r="9" spans="2:14" ht="15" customHeight="1" x14ac:dyDescent="0.25">
      <c r="B9" s="20"/>
      <c r="C9" s="5" t="s">
        <v>29</v>
      </c>
      <c r="D9" s="6" t="s">
        <v>28</v>
      </c>
      <c r="E9" s="11">
        <v>0.10116799999999999</v>
      </c>
      <c r="F9" s="1"/>
      <c r="G9" s="1"/>
      <c r="H9" s="1"/>
      <c r="I9" s="1"/>
      <c r="J9" s="24" t="s">
        <v>10</v>
      </c>
      <c r="K9" s="29">
        <v>2.3258000000000001E-2</v>
      </c>
      <c r="L9" s="1"/>
      <c r="M9" s="1"/>
      <c r="N9" s="18"/>
    </row>
    <row r="10" spans="2:14" ht="15" customHeight="1" x14ac:dyDescent="0.25">
      <c r="B10" s="20"/>
      <c r="C10" s="5" t="s">
        <v>32</v>
      </c>
      <c r="D10" s="6" t="s">
        <v>28</v>
      </c>
      <c r="E10" s="11">
        <v>5.0841999999999998E-2</v>
      </c>
      <c r="F10" s="1"/>
      <c r="G10" s="1"/>
      <c r="H10" s="1"/>
      <c r="I10" s="1"/>
      <c r="J10" s="24" t="s">
        <v>13</v>
      </c>
      <c r="K10" s="29">
        <v>2.1979999999999999E-3</v>
      </c>
      <c r="L10" s="1"/>
      <c r="M10" s="1"/>
      <c r="N10" s="18"/>
    </row>
    <row r="11" spans="2:14" ht="15" customHeight="1" x14ac:dyDescent="0.25">
      <c r="B11" s="20"/>
      <c r="C11" s="5" t="s">
        <v>33</v>
      </c>
      <c r="D11" s="6" t="s">
        <v>28</v>
      </c>
      <c r="E11" s="11">
        <v>3.9560000000000003E-3</v>
      </c>
      <c r="F11" s="1"/>
      <c r="G11" s="1"/>
      <c r="H11" s="1"/>
      <c r="I11" s="1"/>
      <c r="J11" s="24" t="s">
        <v>54</v>
      </c>
      <c r="K11" s="29">
        <v>0.26472400000000001</v>
      </c>
      <c r="L11" s="1"/>
      <c r="M11" s="1"/>
      <c r="N11" s="18"/>
    </row>
    <row r="12" spans="2:14" ht="15.75" customHeight="1" x14ac:dyDescent="0.25">
      <c r="B12" s="20"/>
      <c r="C12" s="7" t="s">
        <v>42</v>
      </c>
      <c r="D12" s="8"/>
      <c r="E12" s="12">
        <v>0.26472400000000001</v>
      </c>
      <c r="F12" s="1"/>
      <c r="G12" s="1"/>
      <c r="H12" s="1"/>
      <c r="I12" s="1"/>
      <c r="J12" s="24" t="s">
        <v>43</v>
      </c>
      <c r="K12" s="29">
        <v>2.6080000000000001E-3</v>
      </c>
      <c r="L12" s="1"/>
      <c r="M12" s="1"/>
      <c r="N12" s="18"/>
    </row>
    <row r="13" spans="2:14" ht="15" customHeight="1" x14ac:dyDescent="0.25">
      <c r="B13" s="20"/>
      <c r="C13" s="5" t="s">
        <v>43</v>
      </c>
      <c r="D13" s="6"/>
      <c r="E13" s="11">
        <v>2.6080000000000001E-3</v>
      </c>
      <c r="F13" s="1"/>
      <c r="G13" s="1"/>
      <c r="H13" s="1"/>
      <c r="I13" s="1"/>
      <c r="J13" s="24" t="s">
        <v>55</v>
      </c>
      <c r="K13" s="29">
        <v>0.70721199999999995</v>
      </c>
      <c r="L13" s="1"/>
      <c r="M13" s="1"/>
      <c r="N13" s="18"/>
    </row>
    <row r="14" spans="2:14" ht="15.75" customHeight="1" x14ac:dyDescent="0.25">
      <c r="B14" s="20"/>
      <c r="C14" s="7" t="s">
        <v>44</v>
      </c>
      <c r="D14" s="8"/>
      <c r="E14" s="12">
        <v>2.6080000000000001E-3</v>
      </c>
      <c r="F14" s="1"/>
      <c r="G14" s="1"/>
      <c r="H14" s="1"/>
      <c r="I14" s="1"/>
      <c r="J14" s="1"/>
      <c r="K14" s="1"/>
      <c r="L14" s="1"/>
      <c r="M14" s="1"/>
      <c r="N14" s="18"/>
    </row>
    <row r="15" spans="2:14" ht="15" customHeight="1" x14ac:dyDescent="0.25">
      <c r="B15" s="20"/>
      <c r="C15" s="5" t="s">
        <v>59</v>
      </c>
      <c r="D15" s="6" t="s">
        <v>195</v>
      </c>
      <c r="E15" s="11">
        <v>0.48829099999999998</v>
      </c>
      <c r="F15" s="1"/>
      <c r="G15" s="1"/>
      <c r="H15" s="1"/>
      <c r="I15" s="1"/>
      <c r="J15" s="1"/>
      <c r="K15" s="1"/>
      <c r="L15" s="1"/>
      <c r="M15" s="1"/>
      <c r="N15" s="18"/>
    </row>
    <row r="16" spans="2:14" ht="15" customHeight="1" x14ac:dyDescent="0.25">
      <c r="B16" s="20"/>
      <c r="C16" s="5" t="s">
        <v>60</v>
      </c>
      <c r="D16" s="6" t="s">
        <v>195</v>
      </c>
      <c r="E16" s="11">
        <v>0.12629000000000001</v>
      </c>
      <c r="F16" s="1"/>
      <c r="G16" s="1"/>
      <c r="H16" s="1"/>
      <c r="I16" s="1"/>
      <c r="J16" s="1"/>
      <c r="K16" s="1"/>
      <c r="L16" s="1"/>
      <c r="M16" s="1"/>
      <c r="N16" s="18"/>
    </row>
    <row r="17" spans="2:14" ht="15" customHeight="1" x14ac:dyDescent="0.25">
      <c r="B17" s="20"/>
      <c r="C17" s="5" t="s">
        <v>50</v>
      </c>
      <c r="D17" s="6" t="s">
        <v>195</v>
      </c>
      <c r="E17" s="11">
        <v>8.1655000000000005E-2</v>
      </c>
      <c r="F17" s="1"/>
      <c r="G17" s="1"/>
      <c r="H17" s="1"/>
      <c r="I17" s="1"/>
      <c r="J17" s="1"/>
      <c r="K17" s="1"/>
      <c r="L17" s="1"/>
      <c r="M17" s="1"/>
      <c r="N17" s="18"/>
    </row>
    <row r="18" spans="2:14" ht="15" customHeight="1" x14ac:dyDescent="0.25">
      <c r="B18" s="20"/>
      <c r="C18" s="5" t="s">
        <v>49</v>
      </c>
      <c r="D18" s="6" t="s">
        <v>195</v>
      </c>
      <c r="E18" s="11">
        <v>6.1450000000000003E-3</v>
      </c>
      <c r="F18" s="1"/>
      <c r="G18" s="1"/>
      <c r="H18" s="1"/>
      <c r="I18" s="1"/>
      <c r="J18" s="1"/>
      <c r="K18" s="1"/>
      <c r="L18" s="1"/>
      <c r="M18" s="1"/>
      <c r="N18" s="18"/>
    </row>
    <row r="19" spans="2:14" ht="15" customHeight="1" x14ac:dyDescent="0.25">
      <c r="B19" s="20"/>
      <c r="C19" s="5" t="s">
        <v>61</v>
      </c>
      <c r="D19" s="6" t="s">
        <v>195</v>
      </c>
      <c r="E19" s="11">
        <v>2.0270000000000002E-3</v>
      </c>
      <c r="F19" s="1"/>
      <c r="G19" s="1"/>
      <c r="H19" s="1"/>
      <c r="I19" s="1"/>
      <c r="J19" s="1"/>
      <c r="K19" s="1"/>
      <c r="L19" s="1"/>
      <c r="M19" s="1"/>
      <c r="N19" s="18"/>
    </row>
    <row r="20" spans="2:14" ht="15" customHeight="1" x14ac:dyDescent="0.25">
      <c r="B20" s="20"/>
      <c r="C20" s="5" t="s">
        <v>62</v>
      </c>
      <c r="D20" s="6" t="s">
        <v>195</v>
      </c>
      <c r="E20" s="11">
        <v>2.013E-3</v>
      </c>
      <c r="F20" s="1"/>
      <c r="G20" s="1"/>
      <c r="H20" s="1"/>
      <c r="I20" s="1"/>
      <c r="J20" s="1"/>
      <c r="K20" s="1"/>
      <c r="L20" s="1"/>
      <c r="M20" s="1"/>
      <c r="N20" s="18"/>
    </row>
    <row r="21" spans="2:14" ht="15" customHeight="1" x14ac:dyDescent="0.25">
      <c r="B21" s="20"/>
      <c r="C21" s="5" t="s">
        <v>63</v>
      </c>
      <c r="D21" s="6" t="s">
        <v>195</v>
      </c>
      <c r="E21" s="11">
        <v>7.9100000000000004E-4</v>
      </c>
      <c r="F21" s="1"/>
      <c r="G21" s="1"/>
      <c r="H21" s="1"/>
      <c r="I21" s="1"/>
      <c r="J21" s="1"/>
      <c r="K21" s="1"/>
      <c r="L21" s="1"/>
      <c r="M21" s="1"/>
      <c r="N21" s="18"/>
    </row>
    <row r="22" spans="2:14" ht="15.75" customHeight="1" x14ac:dyDescent="0.25">
      <c r="B22" s="20"/>
      <c r="C22" s="7" t="s">
        <v>51</v>
      </c>
      <c r="D22" s="8"/>
      <c r="E22" s="12">
        <v>0.70721199999999995</v>
      </c>
      <c r="F22" s="1"/>
      <c r="G22" s="1"/>
      <c r="H22" s="1"/>
      <c r="I22" s="1"/>
      <c r="J22" s="1"/>
      <c r="K22" s="1"/>
      <c r="L22" s="1"/>
      <c r="M22" s="1"/>
      <c r="N22" s="18"/>
    </row>
    <row r="23" spans="2:14" ht="15" customHeight="1" x14ac:dyDescent="0.25">
      <c r="B23" s="20"/>
      <c r="C23" s="5" t="s">
        <v>8</v>
      </c>
      <c r="D23" s="6"/>
      <c r="E23" s="11">
        <v>2.1979999999999999E-3</v>
      </c>
      <c r="F23" s="1"/>
      <c r="G23" s="1"/>
      <c r="H23" s="1"/>
      <c r="I23" s="1"/>
      <c r="J23" s="1"/>
      <c r="K23" s="1"/>
      <c r="L23" s="1"/>
      <c r="M23" s="1"/>
      <c r="N23" s="18"/>
    </row>
    <row r="24" spans="2:14" ht="15.75" customHeight="1" x14ac:dyDescent="0.25">
      <c r="B24" s="20"/>
      <c r="C24" s="7" t="s">
        <v>9</v>
      </c>
      <c r="D24" s="8"/>
      <c r="E24" s="12">
        <v>2.1979999999999999E-3</v>
      </c>
      <c r="F24" s="1"/>
      <c r="G24" s="83" t="s">
        <v>17</v>
      </c>
      <c r="H24" s="84"/>
      <c r="I24" s="84"/>
      <c r="J24" s="84"/>
      <c r="K24" s="84"/>
      <c r="L24" s="26">
        <v>11.7740191379899</v>
      </c>
      <c r="M24" s="27"/>
      <c r="N24" s="28"/>
    </row>
    <row r="25" spans="2:14" ht="15" customHeight="1" x14ac:dyDescent="0.25">
      <c r="B25" s="20"/>
      <c r="C25" s="5"/>
      <c r="D25" s="6"/>
      <c r="E25" s="11"/>
      <c r="F25" s="1"/>
      <c r="G25" s="1"/>
      <c r="H25" s="1"/>
      <c r="I25" s="1"/>
      <c r="J25" s="1"/>
      <c r="K25" s="1"/>
      <c r="L25" s="1"/>
      <c r="M25" s="1"/>
      <c r="N25" s="18"/>
    </row>
    <row r="26" spans="2:14" ht="15.75" customHeight="1" x14ac:dyDescent="0.25">
      <c r="B26" s="20"/>
      <c r="C26" s="7" t="s">
        <v>10</v>
      </c>
      <c r="D26" s="8"/>
      <c r="E26" s="12">
        <v>2.3258000000000001E-2</v>
      </c>
      <c r="F26" s="1"/>
      <c r="G26" s="83" t="s">
        <v>18</v>
      </c>
      <c r="H26" s="84"/>
      <c r="I26" s="84"/>
      <c r="J26" s="84"/>
      <c r="K26" s="84"/>
      <c r="L26" s="84"/>
      <c r="M26" s="84"/>
      <c r="N26" s="85"/>
    </row>
    <row r="27" spans="2:14" ht="15" customHeight="1" x14ac:dyDescent="0.25">
      <c r="B27" s="20"/>
      <c r="C27" s="5"/>
      <c r="D27" s="6"/>
      <c r="E27" s="11"/>
      <c r="F27" s="1"/>
      <c r="G27" s="1"/>
      <c r="H27" s="1"/>
      <c r="I27" s="1"/>
      <c r="J27" s="1"/>
      <c r="K27" s="1"/>
      <c r="L27" s="1"/>
      <c r="M27" s="1"/>
      <c r="N27" s="18"/>
    </row>
    <row r="28" spans="2:14" ht="15" customHeight="1" x14ac:dyDescent="0.25">
      <c r="B28" s="20"/>
      <c r="C28" s="9" t="s">
        <v>11</v>
      </c>
      <c r="D28" s="10"/>
      <c r="E28" s="13">
        <v>1</v>
      </c>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264</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75" thickBot="1" x14ac:dyDescent="0.3"/>
    <row r="50" spans="2:14" ht="124.5" customHeight="1" thickBot="1" x14ac:dyDescent="0.3">
      <c r="B50" s="75" t="s">
        <v>263</v>
      </c>
      <c r="C50" s="76"/>
      <c r="D50" s="76"/>
      <c r="E50" s="76"/>
      <c r="F50" s="76"/>
      <c r="G50" s="76"/>
      <c r="H50" s="76"/>
      <c r="I50" s="76"/>
      <c r="J50" s="76"/>
      <c r="K50" s="76"/>
      <c r="L50" s="76"/>
      <c r="M50" s="76"/>
      <c r="N50" s="77"/>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3988-2762-4757-8985-CDCB3C767159}">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64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65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29</v>
      </c>
      <c r="D8" s="6" t="s">
        <v>28</v>
      </c>
      <c r="E8" s="11">
        <v>0.110654</v>
      </c>
      <c r="F8" s="1"/>
      <c r="G8" s="24" t="s">
        <v>15</v>
      </c>
      <c r="H8" s="25">
        <v>1</v>
      </c>
      <c r="I8" s="1"/>
      <c r="J8" s="24" t="s">
        <v>12</v>
      </c>
      <c r="K8" s="24" t="s">
        <v>5</v>
      </c>
      <c r="L8" s="1"/>
      <c r="M8" s="1"/>
      <c r="N8" s="18"/>
    </row>
    <row r="9" spans="2:14" ht="15" customHeight="1" x14ac:dyDescent="0.25">
      <c r="B9" s="20"/>
      <c r="C9" s="5" t="s">
        <v>25</v>
      </c>
      <c r="D9" s="6" t="s">
        <v>28</v>
      </c>
      <c r="E9" s="11">
        <v>0.109905</v>
      </c>
      <c r="F9" s="1"/>
      <c r="G9" s="1"/>
      <c r="H9" s="1"/>
      <c r="I9" s="1"/>
      <c r="J9" s="24" t="s">
        <v>10</v>
      </c>
      <c r="K9" s="29">
        <v>2.4396000000000001E-2</v>
      </c>
      <c r="L9" s="1"/>
      <c r="M9" s="1"/>
      <c r="N9" s="18"/>
    </row>
    <row r="10" spans="2:14" ht="15" customHeight="1" x14ac:dyDescent="0.25">
      <c r="B10" s="20"/>
      <c r="C10" s="5" t="s">
        <v>33</v>
      </c>
      <c r="D10" s="6" t="s">
        <v>28</v>
      </c>
      <c r="E10" s="11">
        <v>0.104377</v>
      </c>
      <c r="F10" s="1"/>
      <c r="G10" s="1"/>
      <c r="H10" s="1"/>
      <c r="I10" s="1"/>
      <c r="J10" s="24" t="s">
        <v>13</v>
      </c>
      <c r="K10" s="29">
        <v>1.9469999999999999E-3</v>
      </c>
      <c r="L10" s="1"/>
      <c r="M10" s="1"/>
      <c r="N10" s="18"/>
    </row>
    <row r="11" spans="2:14" ht="15" customHeight="1" x14ac:dyDescent="0.25">
      <c r="B11" s="20"/>
      <c r="C11" s="5" t="s">
        <v>30</v>
      </c>
      <c r="D11" s="6" t="s">
        <v>28</v>
      </c>
      <c r="E11" s="11">
        <v>7.9098000000000002E-2</v>
      </c>
      <c r="F11" s="1"/>
      <c r="G11" s="1"/>
      <c r="H11" s="1"/>
      <c r="I11" s="1"/>
      <c r="J11" s="24" t="s">
        <v>54</v>
      </c>
      <c r="K11" s="29">
        <v>0.497641</v>
      </c>
      <c r="L11" s="1"/>
      <c r="M11" s="1"/>
      <c r="N11" s="18"/>
    </row>
    <row r="12" spans="2:14" ht="15" customHeight="1" x14ac:dyDescent="0.25">
      <c r="B12" s="20"/>
      <c r="C12" s="5" t="s">
        <v>32</v>
      </c>
      <c r="D12" s="6" t="s">
        <v>28</v>
      </c>
      <c r="E12" s="11">
        <v>6.3166E-2</v>
      </c>
      <c r="F12" s="1"/>
      <c r="G12" s="1"/>
      <c r="H12" s="1"/>
      <c r="I12" s="1"/>
      <c r="J12" s="24" t="s">
        <v>43</v>
      </c>
      <c r="K12" s="29">
        <v>3.2850000000000002E-3</v>
      </c>
      <c r="L12" s="1"/>
      <c r="M12" s="1"/>
      <c r="N12" s="18"/>
    </row>
    <row r="13" spans="2:14" ht="15" customHeight="1" x14ac:dyDescent="0.25">
      <c r="B13" s="20"/>
      <c r="C13" s="5" t="s">
        <v>27</v>
      </c>
      <c r="D13" s="6" t="s">
        <v>28</v>
      </c>
      <c r="E13" s="11">
        <v>3.0440999999999999E-2</v>
      </c>
      <c r="F13" s="1"/>
      <c r="G13" s="1"/>
      <c r="H13" s="1"/>
      <c r="I13" s="1"/>
      <c r="J13" s="24" t="s">
        <v>55</v>
      </c>
      <c r="K13" s="29">
        <v>0.46534599999999998</v>
      </c>
      <c r="L13" s="1"/>
      <c r="M13" s="1"/>
      <c r="N13" s="18"/>
    </row>
    <row r="14" spans="2:14" ht="15.75" customHeight="1" x14ac:dyDescent="0.25">
      <c r="B14" s="20"/>
      <c r="C14" s="7" t="s">
        <v>42</v>
      </c>
      <c r="D14" s="8"/>
      <c r="E14" s="12">
        <v>0.497641</v>
      </c>
      <c r="F14" s="1"/>
      <c r="G14" s="1"/>
      <c r="H14" s="1"/>
      <c r="I14" s="1"/>
      <c r="J14" s="24" t="s">
        <v>69</v>
      </c>
      <c r="K14" s="29">
        <v>6.1130000000000004E-3</v>
      </c>
      <c r="L14" s="1"/>
      <c r="M14" s="1"/>
      <c r="N14" s="18"/>
    </row>
    <row r="15" spans="2:14" ht="15" customHeight="1" x14ac:dyDescent="0.25">
      <c r="B15" s="20"/>
      <c r="C15" s="5" t="s">
        <v>43</v>
      </c>
      <c r="D15" s="6"/>
      <c r="E15" s="11">
        <v>3.2850000000000002E-3</v>
      </c>
      <c r="F15" s="1"/>
      <c r="G15" s="1"/>
      <c r="H15" s="1"/>
      <c r="I15" s="1"/>
      <c r="J15" s="24" t="s">
        <v>56</v>
      </c>
      <c r="K15" s="29">
        <v>1.2719999999999999E-3</v>
      </c>
      <c r="L15" s="1"/>
      <c r="M15" s="1"/>
      <c r="N15" s="18"/>
    </row>
    <row r="16" spans="2:14" ht="15.75" customHeight="1" x14ac:dyDescent="0.25">
      <c r="B16" s="20"/>
      <c r="C16" s="7" t="s">
        <v>44</v>
      </c>
      <c r="D16" s="8"/>
      <c r="E16" s="12">
        <v>3.2850000000000002E-3</v>
      </c>
      <c r="F16" s="1"/>
      <c r="G16" s="1"/>
      <c r="H16" s="1"/>
      <c r="I16" s="1"/>
      <c r="J16" s="1"/>
      <c r="K16" s="1"/>
      <c r="L16" s="1"/>
      <c r="M16" s="1"/>
      <c r="N16" s="18"/>
    </row>
    <row r="17" spans="2:14" ht="15" customHeight="1" x14ac:dyDescent="0.25">
      <c r="B17" s="20"/>
      <c r="C17" s="5" t="s">
        <v>50</v>
      </c>
      <c r="D17" s="6" t="s">
        <v>195</v>
      </c>
      <c r="E17" s="11">
        <v>0.32653399999999999</v>
      </c>
      <c r="F17" s="1"/>
      <c r="G17" s="1"/>
      <c r="H17" s="1"/>
      <c r="I17" s="1"/>
      <c r="J17" s="1"/>
      <c r="K17" s="1"/>
      <c r="L17" s="1"/>
      <c r="M17" s="1"/>
      <c r="N17" s="18"/>
    </row>
    <row r="18" spans="2:14" ht="15" customHeight="1" x14ac:dyDescent="0.25">
      <c r="B18" s="20"/>
      <c r="C18" s="5" t="s">
        <v>45</v>
      </c>
      <c r="D18" s="6" t="s">
        <v>195</v>
      </c>
      <c r="E18" s="11">
        <v>8.5023000000000001E-2</v>
      </c>
      <c r="F18" s="1"/>
      <c r="G18" s="1"/>
      <c r="H18" s="1"/>
      <c r="I18" s="1"/>
      <c r="J18" s="1"/>
      <c r="K18" s="1"/>
      <c r="L18" s="1"/>
      <c r="M18" s="1"/>
      <c r="N18" s="18"/>
    </row>
    <row r="19" spans="2:14" ht="15" customHeight="1" x14ac:dyDescent="0.25">
      <c r="B19" s="20"/>
      <c r="C19" s="5" t="s">
        <v>48</v>
      </c>
      <c r="D19" s="6" t="s">
        <v>195</v>
      </c>
      <c r="E19" s="11">
        <v>3.3403000000000002E-2</v>
      </c>
      <c r="F19" s="1"/>
      <c r="G19" s="1"/>
      <c r="H19" s="1"/>
      <c r="I19" s="1"/>
      <c r="J19" s="1"/>
      <c r="K19" s="1"/>
      <c r="L19" s="1"/>
      <c r="M19" s="1"/>
      <c r="N19" s="18"/>
    </row>
    <row r="20" spans="2:14" ht="15" customHeight="1" x14ac:dyDescent="0.25">
      <c r="B20" s="20"/>
      <c r="C20" s="5" t="s">
        <v>46</v>
      </c>
      <c r="D20" s="6" t="s">
        <v>195</v>
      </c>
      <c r="E20" s="11">
        <v>1.8931E-2</v>
      </c>
      <c r="F20" s="1"/>
      <c r="G20" s="1"/>
      <c r="H20" s="1"/>
      <c r="I20" s="1"/>
      <c r="J20" s="1"/>
      <c r="K20" s="1"/>
      <c r="L20" s="1"/>
      <c r="M20" s="1"/>
      <c r="N20" s="18"/>
    </row>
    <row r="21" spans="2:14" ht="15" customHeight="1" x14ac:dyDescent="0.25">
      <c r="B21" s="20"/>
      <c r="C21" s="5" t="s">
        <v>61</v>
      </c>
      <c r="D21" s="6" t="s">
        <v>195</v>
      </c>
      <c r="E21" s="11">
        <v>1.2589999999999999E-3</v>
      </c>
      <c r="F21" s="1"/>
      <c r="G21" s="1"/>
      <c r="H21" s="1"/>
      <c r="I21" s="1"/>
      <c r="J21" s="1"/>
      <c r="K21" s="1"/>
      <c r="L21" s="1"/>
      <c r="M21" s="1"/>
      <c r="N21" s="18"/>
    </row>
    <row r="22" spans="2:14" ht="15" customHeight="1" x14ac:dyDescent="0.25">
      <c r="B22" s="20"/>
      <c r="C22" s="5" t="s">
        <v>62</v>
      </c>
      <c r="D22" s="6" t="s">
        <v>195</v>
      </c>
      <c r="E22" s="11">
        <v>1.25E-4</v>
      </c>
      <c r="F22" s="1"/>
      <c r="G22" s="1"/>
      <c r="H22" s="1"/>
      <c r="I22" s="1"/>
      <c r="J22" s="1"/>
      <c r="K22" s="1"/>
      <c r="L22" s="1"/>
      <c r="M22" s="1"/>
      <c r="N22" s="18"/>
    </row>
    <row r="23" spans="2:14" ht="15" customHeight="1" x14ac:dyDescent="0.25">
      <c r="B23" s="20"/>
      <c r="C23" s="5" t="s">
        <v>66</v>
      </c>
      <c r="D23" s="6" t="s">
        <v>195</v>
      </c>
      <c r="E23" s="11">
        <v>7.1000000000000005E-5</v>
      </c>
      <c r="F23" s="1"/>
      <c r="G23" s="1"/>
      <c r="H23" s="1"/>
      <c r="I23" s="1"/>
      <c r="J23" s="1"/>
      <c r="K23" s="1"/>
      <c r="L23" s="1"/>
      <c r="M23" s="1"/>
      <c r="N23" s="18"/>
    </row>
    <row r="24" spans="2:14" ht="15.75" customHeight="1" x14ac:dyDescent="0.25">
      <c r="B24" s="20"/>
      <c r="C24" s="7" t="s">
        <v>51</v>
      </c>
      <c r="D24" s="8"/>
      <c r="E24" s="12">
        <v>0.46534599999999998</v>
      </c>
      <c r="F24" s="1"/>
      <c r="G24" s="83" t="s">
        <v>17</v>
      </c>
      <c r="H24" s="84"/>
      <c r="I24" s="84"/>
      <c r="J24" s="84"/>
      <c r="K24" s="84"/>
      <c r="L24" s="26">
        <v>5.0243462706067827</v>
      </c>
      <c r="M24" s="27"/>
      <c r="N24" s="28"/>
    </row>
    <row r="25" spans="2:14" ht="15" customHeight="1" x14ac:dyDescent="0.25">
      <c r="B25" s="20"/>
      <c r="C25" s="5" t="s">
        <v>265</v>
      </c>
      <c r="D25" s="6" t="s">
        <v>67</v>
      </c>
      <c r="E25" s="11">
        <v>6.1130000000000004E-3</v>
      </c>
      <c r="F25" s="1"/>
      <c r="G25" s="1"/>
      <c r="H25" s="1"/>
      <c r="I25" s="1"/>
      <c r="J25" s="1"/>
      <c r="K25" s="1"/>
      <c r="L25" s="1"/>
      <c r="M25" s="1"/>
      <c r="N25" s="18"/>
    </row>
    <row r="26" spans="2:14" ht="15.75" customHeight="1" x14ac:dyDescent="0.25">
      <c r="B26" s="20"/>
      <c r="C26" s="7" t="s">
        <v>68</v>
      </c>
      <c r="D26" s="8"/>
      <c r="E26" s="12">
        <v>6.1130000000000004E-3</v>
      </c>
      <c r="F26" s="1"/>
      <c r="G26" s="83" t="s">
        <v>18</v>
      </c>
      <c r="H26" s="84"/>
      <c r="I26" s="84"/>
      <c r="J26" s="84"/>
      <c r="K26" s="84"/>
      <c r="L26" s="84"/>
      <c r="M26" s="84"/>
      <c r="N26" s="85"/>
    </row>
    <row r="27" spans="2:14" ht="15" customHeight="1" x14ac:dyDescent="0.25">
      <c r="B27" s="20"/>
      <c r="C27" s="5" t="s">
        <v>206</v>
      </c>
      <c r="D27" s="6" t="s">
        <v>195</v>
      </c>
      <c r="E27" s="11">
        <v>1.2719999999999999E-3</v>
      </c>
      <c r="F27" s="1"/>
      <c r="G27" s="1"/>
      <c r="H27" s="1"/>
      <c r="I27" s="1"/>
      <c r="J27" s="1"/>
      <c r="K27" s="1"/>
      <c r="L27" s="1"/>
      <c r="M27" s="1"/>
      <c r="N27" s="18"/>
    </row>
    <row r="28" spans="2:14" ht="15.75" customHeight="1" x14ac:dyDescent="0.25">
      <c r="B28" s="20"/>
      <c r="C28" s="7" t="s">
        <v>52</v>
      </c>
      <c r="D28" s="8"/>
      <c r="E28" s="12">
        <v>1.2719999999999999E-3</v>
      </c>
      <c r="F28" s="1"/>
      <c r="G28" s="1"/>
      <c r="H28" s="1"/>
      <c r="I28" s="1"/>
      <c r="J28" s="1"/>
      <c r="K28" s="1"/>
      <c r="L28" s="1"/>
      <c r="M28" s="1"/>
      <c r="N28" s="18"/>
    </row>
    <row r="29" spans="2:14" ht="15" customHeight="1" x14ac:dyDescent="0.25">
      <c r="B29" s="20"/>
      <c r="C29" s="5" t="s">
        <v>8</v>
      </c>
      <c r="D29" s="6"/>
      <c r="E29" s="11">
        <v>1.9469999999999999E-3</v>
      </c>
      <c r="F29" s="1"/>
      <c r="G29" s="1"/>
      <c r="H29" s="1"/>
      <c r="I29" s="1"/>
      <c r="J29" s="1"/>
      <c r="K29" s="1"/>
      <c r="L29" s="1"/>
      <c r="M29" s="1"/>
      <c r="N29" s="18"/>
    </row>
    <row r="30" spans="2:14" ht="15.75" customHeight="1" x14ac:dyDescent="0.25">
      <c r="B30" s="20"/>
      <c r="C30" s="7" t="s">
        <v>9</v>
      </c>
      <c r="D30" s="8"/>
      <c r="E30" s="12">
        <v>1.9469999999999999E-3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10</v>
      </c>
      <c r="D32" s="8"/>
      <c r="E32" s="12">
        <v>2.4396000000000001E-2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266</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264</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 customHeight="1" thickBot="1" x14ac:dyDescent="0.3"/>
    <row r="50" spans="2:14" ht="132" customHeight="1" thickBot="1" x14ac:dyDescent="0.3">
      <c r="B50" s="75" t="s">
        <v>263</v>
      </c>
      <c r="C50" s="76"/>
      <c r="D50" s="76"/>
      <c r="E50" s="76"/>
      <c r="F50" s="76"/>
      <c r="G50" s="76"/>
      <c r="H50" s="76"/>
      <c r="I50" s="76"/>
      <c r="J50" s="76"/>
      <c r="K50" s="76"/>
      <c r="L50" s="76"/>
      <c r="M50" s="76"/>
      <c r="N50" s="77"/>
    </row>
    <row r="51" spans="2:14" ht="15" customHeight="1" x14ac:dyDescent="0.25"/>
    <row r="52" spans="2:14" ht="15" customHeight="1" x14ac:dyDescent="0.25"/>
    <row r="53" spans="2:14" ht="15" customHeight="1" x14ac:dyDescent="0.25"/>
    <row r="54"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F21AF-801B-45E0-B662-27414D3F0018}">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70</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71</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29</v>
      </c>
      <c r="D8" s="6" t="s">
        <v>28</v>
      </c>
      <c r="E8" s="11">
        <v>0.11409</v>
      </c>
      <c r="F8" s="1"/>
      <c r="G8" s="24" t="s">
        <v>15</v>
      </c>
      <c r="H8" s="25">
        <v>1</v>
      </c>
      <c r="I8" s="1"/>
      <c r="J8" s="24" t="s">
        <v>12</v>
      </c>
      <c r="K8" s="24" t="s">
        <v>5</v>
      </c>
      <c r="L8" s="1"/>
      <c r="M8" s="1"/>
      <c r="N8" s="18"/>
    </row>
    <row r="9" spans="2:14" ht="15" customHeight="1" x14ac:dyDescent="0.25">
      <c r="B9" s="20"/>
      <c r="C9" s="5" t="s">
        <v>25</v>
      </c>
      <c r="D9" s="6" t="s">
        <v>28</v>
      </c>
      <c r="E9" s="11">
        <v>0.108524</v>
      </c>
      <c r="F9" s="1"/>
      <c r="G9" s="1"/>
      <c r="H9" s="1"/>
      <c r="I9" s="1"/>
      <c r="J9" s="24" t="s">
        <v>10</v>
      </c>
      <c r="K9" s="29">
        <v>3.9849999999999998E-3</v>
      </c>
      <c r="L9" s="1"/>
      <c r="M9" s="1"/>
      <c r="N9" s="18"/>
    </row>
    <row r="10" spans="2:14" ht="15" customHeight="1" x14ac:dyDescent="0.25">
      <c r="B10" s="20"/>
      <c r="C10" s="5" t="s">
        <v>27</v>
      </c>
      <c r="D10" s="6" t="s">
        <v>28</v>
      </c>
      <c r="E10" s="11">
        <v>0.106534</v>
      </c>
      <c r="F10" s="1"/>
      <c r="G10" s="1"/>
      <c r="H10" s="1"/>
      <c r="I10" s="1"/>
      <c r="J10" s="24" t="s">
        <v>13</v>
      </c>
      <c r="K10" s="29">
        <v>1.3214999999999999E-2</v>
      </c>
      <c r="L10" s="1"/>
      <c r="M10" s="1"/>
      <c r="N10" s="18"/>
    </row>
    <row r="11" spans="2:14" ht="15" customHeight="1" x14ac:dyDescent="0.25">
      <c r="B11" s="20"/>
      <c r="C11" s="5" t="s">
        <v>32</v>
      </c>
      <c r="D11" s="6" t="s">
        <v>28</v>
      </c>
      <c r="E11" s="11">
        <v>6.0628000000000001E-2</v>
      </c>
      <c r="F11" s="1"/>
      <c r="G11" s="1"/>
      <c r="H11" s="1"/>
      <c r="I11" s="1"/>
      <c r="J11" s="24" t="s">
        <v>54</v>
      </c>
      <c r="K11" s="29">
        <v>0.50584799999999996</v>
      </c>
      <c r="L11" s="1"/>
      <c r="M11" s="1"/>
      <c r="N11" s="18"/>
    </row>
    <row r="12" spans="2:14" ht="15" customHeight="1" x14ac:dyDescent="0.25">
      <c r="B12" s="20"/>
      <c r="C12" s="5" t="s">
        <v>72</v>
      </c>
      <c r="D12" s="6" t="s">
        <v>28</v>
      </c>
      <c r="E12" s="11">
        <v>4.9639999999999997E-2</v>
      </c>
      <c r="F12" s="1"/>
      <c r="G12" s="1"/>
      <c r="H12" s="1"/>
      <c r="I12" s="1"/>
      <c r="J12" s="24" t="s">
        <v>43</v>
      </c>
      <c r="K12" s="29">
        <v>2.81E-3</v>
      </c>
      <c r="L12" s="1"/>
      <c r="M12" s="1"/>
      <c r="N12" s="18"/>
    </row>
    <row r="13" spans="2:14" ht="15" customHeight="1" x14ac:dyDescent="0.25">
      <c r="B13" s="20"/>
      <c r="C13" s="5" t="s">
        <v>33</v>
      </c>
      <c r="D13" s="6" t="s">
        <v>28</v>
      </c>
      <c r="E13" s="11">
        <v>2.3642E-2</v>
      </c>
      <c r="F13" s="1"/>
      <c r="G13" s="1"/>
      <c r="H13" s="1"/>
      <c r="I13" s="1"/>
      <c r="J13" s="24" t="s">
        <v>55</v>
      </c>
      <c r="K13" s="29">
        <v>0.47201599999999999</v>
      </c>
      <c r="L13" s="1"/>
      <c r="M13" s="1"/>
      <c r="N13" s="18"/>
    </row>
    <row r="14" spans="2:14" ht="15" customHeight="1" x14ac:dyDescent="0.25">
      <c r="B14" s="20"/>
      <c r="C14" s="5" t="s">
        <v>31</v>
      </c>
      <c r="D14" s="6" t="s">
        <v>28</v>
      </c>
      <c r="E14" s="11">
        <v>1.7857999999999999E-2</v>
      </c>
      <c r="F14" s="1"/>
      <c r="G14" s="1"/>
      <c r="H14" s="1"/>
      <c r="I14" s="1"/>
      <c r="J14" s="24" t="s">
        <v>69</v>
      </c>
      <c r="K14" s="29">
        <v>2.1259999999999999E-3</v>
      </c>
      <c r="L14" s="1"/>
      <c r="M14" s="1"/>
      <c r="N14" s="18"/>
    </row>
    <row r="15" spans="2:14" ht="15" customHeight="1" x14ac:dyDescent="0.25">
      <c r="B15" s="20"/>
      <c r="C15" s="5" t="s">
        <v>73</v>
      </c>
      <c r="D15" s="6" t="s">
        <v>28</v>
      </c>
      <c r="E15" s="11">
        <v>1.7368999999999999E-2</v>
      </c>
      <c r="F15" s="1"/>
      <c r="G15" s="1"/>
      <c r="H15" s="1"/>
      <c r="I15" s="1"/>
      <c r="J15" s="1"/>
      <c r="K15" s="1"/>
      <c r="L15" s="1"/>
      <c r="M15" s="1"/>
      <c r="N15" s="18"/>
    </row>
    <row r="16" spans="2:14" ht="15" customHeight="1" x14ac:dyDescent="0.25">
      <c r="B16" s="20"/>
      <c r="C16" s="5" t="s">
        <v>30</v>
      </c>
      <c r="D16" s="6" t="s">
        <v>28</v>
      </c>
      <c r="E16" s="11">
        <v>7.5630000000000003E-3</v>
      </c>
      <c r="F16" s="1"/>
      <c r="G16" s="1"/>
      <c r="H16" s="1"/>
      <c r="I16" s="1"/>
      <c r="J16" s="1"/>
      <c r="K16" s="1"/>
      <c r="L16" s="1"/>
      <c r="M16" s="1"/>
      <c r="N16" s="18"/>
    </row>
    <row r="17" spans="2:14" ht="15.75" customHeight="1" x14ac:dyDescent="0.25">
      <c r="B17" s="20"/>
      <c r="C17" s="7" t="s">
        <v>42</v>
      </c>
      <c r="D17" s="8"/>
      <c r="E17" s="12">
        <v>0.50584799999999996</v>
      </c>
      <c r="F17" s="1"/>
      <c r="G17" s="1"/>
      <c r="H17" s="1"/>
      <c r="I17" s="1"/>
      <c r="J17" s="1"/>
      <c r="K17" s="1"/>
      <c r="L17" s="1"/>
      <c r="M17" s="1"/>
      <c r="N17" s="18"/>
    </row>
    <row r="18" spans="2:14" ht="15" customHeight="1" x14ac:dyDescent="0.25">
      <c r="B18" s="20"/>
      <c r="C18" s="5" t="s">
        <v>43</v>
      </c>
      <c r="D18" s="6"/>
      <c r="E18" s="11">
        <v>2.81E-3</v>
      </c>
      <c r="F18" s="1"/>
      <c r="G18" s="1"/>
      <c r="H18" s="1"/>
      <c r="I18" s="1"/>
      <c r="J18" s="1"/>
      <c r="K18" s="1"/>
      <c r="L18" s="1"/>
      <c r="M18" s="1"/>
      <c r="N18" s="18"/>
    </row>
    <row r="19" spans="2:14" ht="15.75" customHeight="1" x14ac:dyDescent="0.25">
      <c r="B19" s="20"/>
      <c r="C19" s="7" t="s">
        <v>44</v>
      </c>
      <c r="D19" s="8"/>
      <c r="E19" s="12">
        <v>2.81E-3</v>
      </c>
      <c r="F19" s="1"/>
      <c r="G19" s="1"/>
      <c r="H19" s="1"/>
      <c r="I19" s="1"/>
      <c r="J19" s="1"/>
      <c r="K19" s="1"/>
      <c r="L19" s="1"/>
      <c r="M19" s="1"/>
      <c r="N19" s="18"/>
    </row>
    <row r="20" spans="2:14" ht="15" customHeight="1" x14ac:dyDescent="0.25">
      <c r="B20" s="20"/>
      <c r="C20" s="5" t="s">
        <v>45</v>
      </c>
      <c r="D20" s="6" t="s">
        <v>195</v>
      </c>
      <c r="E20" s="11">
        <v>0.38747100000000001</v>
      </c>
      <c r="F20" s="1"/>
      <c r="G20" s="1"/>
      <c r="H20" s="1"/>
      <c r="I20" s="1"/>
      <c r="J20" s="1"/>
      <c r="K20" s="1"/>
      <c r="L20" s="1"/>
      <c r="M20" s="1"/>
      <c r="N20" s="18"/>
    </row>
    <row r="21" spans="2:14" ht="15" customHeight="1" x14ac:dyDescent="0.25">
      <c r="B21" s="20"/>
      <c r="C21" s="5" t="s">
        <v>46</v>
      </c>
      <c r="D21" s="6" t="s">
        <v>195</v>
      </c>
      <c r="E21" s="11">
        <v>4.2687999999999997E-2</v>
      </c>
      <c r="F21" s="1"/>
      <c r="G21" s="1"/>
      <c r="H21" s="1"/>
      <c r="I21" s="1"/>
      <c r="J21" s="1"/>
      <c r="K21" s="1"/>
      <c r="L21" s="1"/>
      <c r="M21" s="1"/>
      <c r="N21" s="18"/>
    </row>
    <row r="22" spans="2:14" ht="15" customHeight="1" x14ac:dyDescent="0.25">
      <c r="B22" s="20"/>
      <c r="C22" s="5" t="s">
        <v>49</v>
      </c>
      <c r="D22" s="6" t="s">
        <v>195</v>
      </c>
      <c r="E22" s="11">
        <v>4.1529000000000003E-2</v>
      </c>
      <c r="F22" s="1"/>
      <c r="G22" s="1"/>
      <c r="H22" s="1"/>
      <c r="I22" s="1"/>
      <c r="J22" s="1"/>
      <c r="K22" s="1"/>
      <c r="L22" s="1"/>
      <c r="M22" s="1"/>
      <c r="N22" s="18"/>
    </row>
    <row r="23" spans="2:14" ht="15" customHeight="1" x14ac:dyDescent="0.25">
      <c r="B23" s="20"/>
      <c r="C23" s="5" t="s">
        <v>66</v>
      </c>
      <c r="D23" s="6" t="s">
        <v>195</v>
      </c>
      <c r="E23" s="11">
        <v>1.1900000000000001E-4</v>
      </c>
      <c r="F23" s="1"/>
      <c r="G23" s="1"/>
      <c r="H23" s="1"/>
      <c r="I23" s="1"/>
      <c r="J23" s="1"/>
      <c r="K23" s="1"/>
      <c r="L23" s="1"/>
      <c r="M23" s="1"/>
      <c r="N23" s="18"/>
    </row>
    <row r="24" spans="2:14" ht="15" customHeight="1" x14ac:dyDescent="0.25">
      <c r="B24" s="20"/>
      <c r="C24" s="5" t="s">
        <v>74</v>
      </c>
      <c r="D24" s="6" t="s">
        <v>195</v>
      </c>
      <c r="E24" s="11">
        <v>1.12E-4</v>
      </c>
      <c r="F24" s="1"/>
      <c r="G24" s="83" t="s">
        <v>17</v>
      </c>
      <c r="H24" s="84"/>
      <c r="I24" s="84"/>
      <c r="J24" s="84"/>
      <c r="K24" s="84"/>
      <c r="L24" s="26">
        <v>3.4746710476391436</v>
      </c>
      <c r="M24" s="27"/>
      <c r="N24" s="28"/>
    </row>
    <row r="25" spans="2:14" ht="15" customHeight="1" x14ac:dyDescent="0.25">
      <c r="B25" s="20"/>
      <c r="C25" s="5" t="s">
        <v>62</v>
      </c>
      <c r="D25" s="6" t="s">
        <v>195</v>
      </c>
      <c r="E25" s="11">
        <v>9.7E-5</v>
      </c>
      <c r="F25" s="1"/>
      <c r="G25" s="1"/>
      <c r="H25" s="1"/>
      <c r="I25" s="1"/>
      <c r="J25" s="1"/>
      <c r="K25" s="1"/>
      <c r="L25" s="1"/>
      <c r="M25" s="1"/>
      <c r="N25" s="18"/>
    </row>
    <row r="26" spans="2:14" ht="15.75" customHeight="1" x14ac:dyDescent="0.25">
      <c r="B26" s="20"/>
      <c r="C26" s="7" t="s">
        <v>51</v>
      </c>
      <c r="D26" s="8"/>
      <c r="E26" s="12">
        <v>0.47201599999999999</v>
      </c>
      <c r="F26" s="1"/>
      <c r="G26" s="83" t="s">
        <v>18</v>
      </c>
      <c r="H26" s="84"/>
      <c r="I26" s="84"/>
      <c r="J26" s="84"/>
      <c r="K26" s="84"/>
      <c r="L26" s="84"/>
      <c r="M26" s="84"/>
      <c r="N26" s="85"/>
    </row>
    <row r="27" spans="2:14" ht="15" customHeight="1" x14ac:dyDescent="0.25">
      <c r="B27" s="20"/>
      <c r="C27" s="5" t="s">
        <v>265</v>
      </c>
      <c r="D27" s="6" t="s">
        <v>67</v>
      </c>
      <c r="E27" s="11">
        <v>2.1259999999999999E-3</v>
      </c>
      <c r="F27" s="1"/>
      <c r="G27" s="1"/>
      <c r="H27" s="1"/>
      <c r="I27" s="1"/>
      <c r="J27" s="1"/>
      <c r="K27" s="1"/>
      <c r="L27" s="1"/>
      <c r="M27" s="1"/>
      <c r="N27" s="18"/>
    </row>
    <row r="28" spans="2:14" ht="15.75" customHeight="1" x14ac:dyDescent="0.25">
      <c r="B28" s="20"/>
      <c r="C28" s="7" t="s">
        <v>68</v>
      </c>
      <c r="D28" s="8"/>
      <c r="E28" s="12">
        <v>2.1259999999999999E-3</v>
      </c>
      <c r="F28" s="1"/>
      <c r="G28" s="1"/>
      <c r="H28" s="1"/>
      <c r="I28" s="1"/>
      <c r="J28" s="1"/>
      <c r="K28" s="1"/>
      <c r="L28" s="1"/>
      <c r="M28" s="1"/>
      <c r="N28" s="18"/>
    </row>
    <row r="29" spans="2:14" ht="15" customHeight="1" x14ac:dyDescent="0.25">
      <c r="B29" s="20"/>
      <c r="C29" s="5" t="s">
        <v>8</v>
      </c>
      <c r="D29" s="6"/>
      <c r="E29" s="11">
        <v>1.3214999999999999E-2</v>
      </c>
      <c r="F29" s="1"/>
      <c r="G29" s="1"/>
      <c r="H29" s="1"/>
      <c r="I29" s="1"/>
      <c r="J29" s="1"/>
      <c r="K29" s="1"/>
      <c r="L29" s="1"/>
      <c r="M29" s="1"/>
      <c r="N29" s="18"/>
    </row>
    <row r="30" spans="2:14" ht="15.75" customHeight="1" x14ac:dyDescent="0.25">
      <c r="B30" s="20"/>
      <c r="C30" s="7" t="s">
        <v>9</v>
      </c>
      <c r="D30" s="8"/>
      <c r="E30" s="12">
        <v>1.3214999999999999E-2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10</v>
      </c>
      <c r="D32" s="8"/>
      <c r="E32" s="12">
        <v>3.9849999999999998E-3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11</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t="s">
        <v>266</v>
      </c>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264</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 customHeight="1" thickBot="1" x14ac:dyDescent="0.3"/>
    <row r="50" spans="2:14" ht="123.75" customHeight="1" thickBot="1" x14ac:dyDescent="0.3">
      <c r="B50" s="75" t="s">
        <v>263</v>
      </c>
      <c r="C50" s="76"/>
      <c r="D50" s="76"/>
      <c r="E50" s="76"/>
      <c r="F50" s="76"/>
      <c r="G50" s="76"/>
      <c r="H50" s="76"/>
      <c r="I50" s="76"/>
      <c r="J50" s="76"/>
      <c r="K50" s="76"/>
      <c r="L50" s="76"/>
      <c r="M50" s="76"/>
      <c r="N50" s="77"/>
    </row>
    <row r="51" spans="2:14" ht="15" customHeight="1" x14ac:dyDescent="0.25"/>
    <row r="52" spans="2:14" ht="15" customHeight="1" x14ac:dyDescent="0.25"/>
    <row r="53" spans="2:14" ht="15" customHeight="1" x14ac:dyDescent="0.25"/>
    <row r="54"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949CD-47CA-488B-AAD5-F176297C4599}">
  <dimension ref="B1:N7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19</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20</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21</v>
      </c>
      <c r="D8" s="6" t="s">
        <v>22</v>
      </c>
      <c r="E8" s="11">
        <v>1.9879000000000001E-2</v>
      </c>
      <c r="F8" s="1"/>
      <c r="G8" s="24" t="s">
        <v>15</v>
      </c>
      <c r="H8" s="25">
        <v>1</v>
      </c>
      <c r="I8" s="1"/>
      <c r="J8" s="24" t="s">
        <v>12</v>
      </c>
      <c r="K8" s="24" t="s">
        <v>5</v>
      </c>
      <c r="L8" s="1"/>
      <c r="M8" s="1"/>
      <c r="N8" s="18"/>
    </row>
    <row r="9" spans="2:14" ht="15" customHeight="1" x14ac:dyDescent="0.25">
      <c r="B9" s="20"/>
      <c r="C9" s="5" t="s">
        <v>23</v>
      </c>
      <c r="D9" s="6" t="s">
        <v>22</v>
      </c>
      <c r="E9" s="11">
        <v>1.9869999999999999E-2</v>
      </c>
      <c r="F9" s="1"/>
      <c r="G9" s="1"/>
      <c r="H9" s="1"/>
      <c r="I9" s="1"/>
      <c r="J9" s="24" t="s">
        <v>10</v>
      </c>
      <c r="K9" s="29">
        <v>2.4912E-2</v>
      </c>
      <c r="L9" s="1"/>
      <c r="M9" s="1"/>
      <c r="N9" s="18"/>
    </row>
    <row r="10" spans="2:14" ht="15" customHeight="1" x14ac:dyDescent="0.25">
      <c r="B10" s="20"/>
      <c r="C10" s="5" t="s">
        <v>24</v>
      </c>
      <c r="D10" s="6" t="s">
        <v>22</v>
      </c>
      <c r="E10" s="11">
        <v>1.332E-2</v>
      </c>
      <c r="F10" s="1"/>
      <c r="G10" s="1"/>
      <c r="H10" s="1"/>
      <c r="I10" s="1"/>
      <c r="J10" s="24" t="s">
        <v>13</v>
      </c>
      <c r="K10" s="29">
        <v>2.6800000000000001E-4</v>
      </c>
      <c r="L10" s="1"/>
      <c r="M10" s="1"/>
      <c r="N10" s="18"/>
    </row>
    <row r="11" spans="2:14" ht="15" customHeight="1" x14ac:dyDescent="0.25">
      <c r="B11" s="20"/>
      <c r="C11" s="5" t="s">
        <v>25</v>
      </c>
      <c r="D11" s="6" t="s">
        <v>22</v>
      </c>
      <c r="E11" s="11">
        <v>6.7000000000000002E-4</v>
      </c>
      <c r="F11" s="1"/>
      <c r="G11" s="1"/>
      <c r="H11" s="1"/>
      <c r="I11" s="1"/>
      <c r="J11" s="24" t="s">
        <v>53</v>
      </c>
      <c r="K11" s="29">
        <v>5.3739000000000002E-2</v>
      </c>
      <c r="L11" s="1"/>
      <c r="M11" s="1"/>
      <c r="N11" s="18"/>
    </row>
    <row r="12" spans="2:14" ht="15.75" customHeight="1" x14ac:dyDescent="0.25">
      <c r="B12" s="20"/>
      <c r="C12" s="7" t="s">
        <v>26</v>
      </c>
      <c r="D12" s="8"/>
      <c r="E12" s="12">
        <v>5.3739000000000002E-2</v>
      </c>
      <c r="F12" s="1"/>
      <c r="G12" s="1"/>
      <c r="H12" s="1"/>
      <c r="I12" s="1"/>
      <c r="J12" s="24" t="s">
        <v>54</v>
      </c>
      <c r="K12" s="29">
        <v>0.71543599999999996</v>
      </c>
      <c r="L12" s="1"/>
      <c r="M12" s="1"/>
      <c r="N12" s="18"/>
    </row>
    <row r="13" spans="2:14" ht="15" customHeight="1" x14ac:dyDescent="0.25">
      <c r="B13" s="20"/>
      <c r="C13" s="5" t="s">
        <v>27</v>
      </c>
      <c r="D13" s="6" t="s">
        <v>28</v>
      </c>
      <c r="E13" s="11">
        <v>0.117496</v>
      </c>
      <c r="F13" s="1"/>
      <c r="G13" s="1"/>
      <c r="H13" s="1"/>
      <c r="I13" s="1"/>
      <c r="J13" s="24" t="s">
        <v>43</v>
      </c>
      <c r="K13" s="29">
        <v>2.6189999999999998E-3</v>
      </c>
      <c r="L13" s="1"/>
      <c r="M13" s="1"/>
      <c r="N13" s="18"/>
    </row>
    <row r="14" spans="2:14" ht="15" customHeight="1" x14ac:dyDescent="0.25">
      <c r="B14" s="20"/>
      <c r="C14" s="5" t="s">
        <v>29</v>
      </c>
      <c r="D14" s="6" t="s">
        <v>28</v>
      </c>
      <c r="E14" s="11">
        <v>0.104694</v>
      </c>
      <c r="F14" s="1"/>
      <c r="G14" s="1"/>
      <c r="H14" s="1"/>
      <c r="I14" s="1"/>
      <c r="J14" s="24" t="s">
        <v>55</v>
      </c>
      <c r="K14" s="29">
        <v>0.20294200000000001</v>
      </c>
      <c r="L14" s="1"/>
      <c r="M14" s="1"/>
      <c r="N14" s="18"/>
    </row>
    <row r="15" spans="2:14" ht="15" customHeight="1" x14ac:dyDescent="0.25">
      <c r="B15" s="20"/>
      <c r="C15" s="5" t="s">
        <v>30</v>
      </c>
      <c r="D15" s="6" t="s">
        <v>28</v>
      </c>
      <c r="E15" s="11">
        <v>9.2226000000000002E-2</v>
      </c>
      <c r="F15" s="1"/>
      <c r="G15" s="1"/>
      <c r="H15" s="1"/>
      <c r="I15" s="1"/>
      <c r="J15" s="24" t="s">
        <v>56</v>
      </c>
      <c r="K15" s="29">
        <v>8.3999999999999995E-5</v>
      </c>
      <c r="L15" s="1"/>
      <c r="M15" s="1"/>
      <c r="N15" s="18"/>
    </row>
    <row r="16" spans="2:14" ht="15" customHeight="1" x14ac:dyDescent="0.25">
      <c r="B16" s="20"/>
      <c r="C16" s="5" t="s">
        <v>31</v>
      </c>
      <c r="D16" s="6" t="s">
        <v>28</v>
      </c>
      <c r="E16" s="11">
        <v>8.4344000000000002E-2</v>
      </c>
      <c r="F16" s="1"/>
      <c r="G16" s="1"/>
      <c r="H16" s="1"/>
      <c r="I16" s="1"/>
      <c r="J16" s="1"/>
      <c r="K16" s="1"/>
      <c r="L16" s="1"/>
      <c r="M16" s="1"/>
      <c r="N16" s="18"/>
    </row>
    <row r="17" spans="2:14" ht="15" customHeight="1" x14ac:dyDescent="0.25">
      <c r="B17" s="20"/>
      <c r="C17" s="5" t="s">
        <v>32</v>
      </c>
      <c r="D17" s="6" t="s">
        <v>28</v>
      </c>
      <c r="E17" s="11">
        <v>6.8486000000000005E-2</v>
      </c>
      <c r="F17" s="1"/>
      <c r="G17" s="1"/>
      <c r="H17" s="1"/>
      <c r="I17" s="1"/>
      <c r="J17" s="1"/>
      <c r="K17" s="1"/>
      <c r="L17" s="1"/>
      <c r="M17" s="1"/>
      <c r="N17" s="18"/>
    </row>
    <row r="18" spans="2:14" ht="15" customHeight="1" x14ac:dyDescent="0.25">
      <c r="B18" s="20"/>
      <c r="C18" s="5" t="s">
        <v>33</v>
      </c>
      <c r="D18" s="6" t="s">
        <v>28</v>
      </c>
      <c r="E18" s="11">
        <v>5.5980000000000002E-2</v>
      </c>
      <c r="F18" s="1"/>
      <c r="G18" s="1"/>
      <c r="H18" s="1"/>
      <c r="I18" s="1"/>
      <c r="J18" s="1"/>
      <c r="K18" s="1"/>
      <c r="L18" s="1"/>
      <c r="M18" s="1"/>
      <c r="N18" s="18"/>
    </row>
    <row r="19" spans="2:14" ht="15" customHeight="1" x14ac:dyDescent="0.25">
      <c r="B19" s="20"/>
      <c r="C19" s="5" t="s">
        <v>25</v>
      </c>
      <c r="D19" s="6" t="s">
        <v>28</v>
      </c>
      <c r="E19" s="11">
        <v>5.4095999999999998E-2</v>
      </c>
      <c r="F19" s="1"/>
      <c r="G19" s="1"/>
      <c r="H19" s="1"/>
      <c r="I19" s="1"/>
      <c r="J19" s="1"/>
      <c r="K19" s="1"/>
      <c r="L19" s="1"/>
      <c r="M19" s="1"/>
      <c r="N19" s="18"/>
    </row>
    <row r="20" spans="2:14" ht="15" customHeight="1" x14ac:dyDescent="0.25">
      <c r="B20" s="20"/>
      <c r="C20" s="5" t="s">
        <v>34</v>
      </c>
      <c r="D20" s="6" t="s">
        <v>28</v>
      </c>
      <c r="E20" s="11">
        <v>3.9107999999999997E-2</v>
      </c>
      <c r="F20" s="1"/>
      <c r="G20" s="1"/>
      <c r="H20" s="1"/>
      <c r="I20" s="1"/>
      <c r="J20" s="1"/>
      <c r="K20" s="1"/>
      <c r="L20" s="1"/>
      <c r="M20" s="1"/>
      <c r="N20" s="18"/>
    </row>
    <row r="21" spans="2:14" ht="15" customHeight="1" x14ac:dyDescent="0.25">
      <c r="B21" s="20"/>
      <c r="C21" s="5" t="s">
        <v>35</v>
      </c>
      <c r="D21" s="6" t="s">
        <v>28</v>
      </c>
      <c r="E21" s="11">
        <v>3.4758999999999998E-2</v>
      </c>
      <c r="F21" s="1"/>
      <c r="G21" s="1"/>
      <c r="H21" s="1"/>
      <c r="I21" s="1"/>
      <c r="J21" s="1"/>
      <c r="K21" s="1"/>
      <c r="L21" s="1"/>
      <c r="M21" s="1"/>
      <c r="N21" s="18"/>
    </row>
    <row r="22" spans="2:14" ht="15" customHeight="1" x14ac:dyDescent="0.25">
      <c r="B22" s="20"/>
      <c r="C22" s="5" t="s">
        <v>36</v>
      </c>
      <c r="D22" s="6" t="s">
        <v>28</v>
      </c>
      <c r="E22" s="11">
        <v>2.2214999999999999E-2</v>
      </c>
      <c r="F22" s="1"/>
      <c r="G22" s="1"/>
      <c r="H22" s="1"/>
      <c r="I22" s="1"/>
      <c r="J22" s="1"/>
      <c r="K22" s="1"/>
      <c r="L22" s="1"/>
      <c r="M22" s="1"/>
      <c r="N22" s="18"/>
    </row>
    <row r="23" spans="2:14" ht="15" customHeight="1" x14ac:dyDescent="0.25">
      <c r="B23" s="20"/>
      <c r="C23" s="5" t="s">
        <v>37</v>
      </c>
      <c r="D23" s="6" t="s">
        <v>28</v>
      </c>
      <c r="E23" s="11">
        <v>2.1696E-2</v>
      </c>
      <c r="F23" s="1"/>
      <c r="G23" s="1"/>
      <c r="H23" s="1"/>
      <c r="I23" s="1"/>
      <c r="J23" s="1"/>
      <c r="K23" s="1"/>
      <c r="L23" s="1"/>
      <c r="M23" s="1"/>
      <c r="N23" s="18"/>
    </row>
    <row r="24" spans="2:14" ht="15" customHeight="1" x14ac:dyDescent="0.25">
      <c r="B24" s="20"/>
      <c r="C24" s="5" t="s">
        <v>21</v>
      </c>
      <c r="D24" s="6" t="s">
        <v>28</v>
      </c>
      <c r="E24" s="11">
        <v>7.7840000000000001E-3</v>
      </c>
      <c r="F24" s="1"/>
      <c r="G24" s="83" t="s">
        <v>17</v>
      </c>
      <c r="H24" s="84"/>
      <c r="I24" s="84"/>
      <c r="J24" s="84"/>
      <c r="K24" s="84"/>
      <c r="L24" s="26">
        <v>2.9869677849359397</v>
      </c>
      <c r="M24" s="27"/>
      <c r="N24" s="28"/>
    </row>
    <row r="25" spans="2:14" ht="15" customHeight="1" x14ac:dyDescent="0.25">
      <c r="B25" s="20"/>
      <c r="C25" s="5" t="s">
        <v>38</v>
      </c>
      <c r="D25" s="6" t="s">
        <v>28</v>
      </c>
      <c r="E25" s="11">
        <v>6.313E-3</v>
      </c>
      <c r="F25" s="1"/>
      <c r="G25" s="1"/>
      <c r="H25" s="1"/>
      <c r="I25" s="1"/>
      <c r="J25" s="1"/>
      <c r="K25" s="1"/>
      <c r="L25" s="1"/>
      <c r="M25" s="1"/>
      <c r="N25" s="18"/>
    </row>
    <row r="26" spans="2:14" ht="15" customHeight="1" x14ac:dyDescent="0.25">
      <c r="B26" s="20"/>
      <c r="C26" s="5" t="s">
        <v>39</v>
      </c>
      <c r="D26" s="6" t="s">
        <v>28</v>
      </c>
      <c r="E26" s="11">
        <v>3.3609999999999998E-3</v>
      </c>
      <c r="F26" s="1"/>
      <c r="G26" s="83" t="s">
        <v>18</v>
      </c>
      <c r="H26" s="84"/>
      <c r="I26" s="84"/>
      <c r="J26" s="84"/>
      <c r="K26" s="84"/>
      <c r="L26" s="84"/>
      <c r="M26" s="84"/>
      <c r="N26" s="85"/>
    </row>
    <row r="27" spans="2:14" ht="15" customHeight="1" x14ac:dyDescent="0.25">
      <c r="B27" s="20"/>
      <c r="C27" s="5" t="s">
        <v>40</v>
      </c>
      <c r="D27" s="6" t="s">
        <v>28</v>
      </c>
      <c r="E27" s="11">
        <v>1.755E-3</v>
      </c>
      <c r="F27" s="1"/>
      <c r="G27" s="1"/>
      <c r="H27" s="1"/>
      <c r="I27" s="1"/>
      <c r="J27" s="1"/>
      <c r="K27" s="1"/>
      <c r="L27" s="1"/>
      <c r="M27" s="1"/>
      <c r="N27" s="18"/>
    </row>
    <row r="28" spans="2:14" ht="15" customHeight="1" x14ac:dyDescent="0.25">
      <c r="B28" s="20"/>
      <c r="C28" s="5" t="s">
        <v>41</v>
      </c>
      <c r="D28" s="6" t="s">
        <v>28</v>
      </c>
      <c r="E28" s="11">
        <v>1.0169999999999999E-3</v>
      </c>
      <c r="F28" s="1"/>
      <c r="G28" s="1"/>
      <c r="H28" s="1"/>
      <c r="I28" s="1"/>
      <c r="J28" s="1"/>
      <c r="K28" s="1"/>
      <c r="L28" s="1"/>
      <c r="M28" s="1"/>
      <c r="N28" s="18"/>
    </row>
    <row r="29" spans="2:14" ht="15" customHeight="1" x14ac:dyDescent="0.25">
      <c r="B29" s="20"/>
      <c r="C29" s="5" t="s">
        <v>24</v>
      </c>
      <c r="D29" s="6" t="s">
        <v>28</v>
      </c>
      <c r="E29" s="11">
        <v>1.06E-4</v>
      </c>
      <c r="F29" s="1"/>
      <c r="G29" s="1"/>
      <c r="H29" s="1"/>
      <c r="I29" s="1"/>
      <c r="J29" s="1"/>
      <c r="K29" s="1"/>
      <c r="L29" s="1"/>
      <c r="M29" s="1"/>
      <c r="N29" s="18"/>
    </row>
    <row r="30" spans="2:14" ht="15.75" customHeight="1" x14ac:dyDescent="0.25">
      <c r="B30" s="20"/>
      <c r="C30" s="7" t="s">
        <v>42</v>
      </c>
      <c r="D30" s="8"/>
      <c r="E30" s="12">
        <v>0.71543599999999996</v>
      </c>
      <c r="F30" s="1"/>
      <c r="G30" s="1"/>
      <c r="H30" s="1"/>
      <c r="I30" s="1"/>
      <c r="J30" s="1"/>
      <c r="K30" s="1"/>
      <c r="L30" s="1"/>
      <c r="M30" s="1"/>
      <c r="N30" s="18"/>
    </row>
    <row r="31" spans="2:14" ht="15" customHeight="1" x14ac:dyDescent="0.25">
      <c r="B31" s="20"/>
      <c r="C31" s="5" t="s">
        <v>43</v>
      </c>
      <c r="D31" s="6"/>
      <c r="E31" s="11">
        <v>2.6189999999999998E-3</v>
      </c>
      <c r="F31" s="1"/>
      <c r="G31" s="1"/>
      <c r="H31" s="1"/>
      <c r="I31" s="1"/>
      <c r="J31" s="1"/>
      <c r="K31" s="1"/>
      <c r="L31" s="1"/>
      <c r="M31" s="1"/>
      <c r="N31" s="18"/>
    </row>
    <row r="32" spans="2:14" ht="15.75" customHeight="1" x14ac:dyDescent="0.25">
      <c r="B32" s="20"/>
      <c r="C32" s="7" t="s">
        <v>44</v>
      </c>
      <c r="D32" s="8"/>
      <c r="E32" s="12">
        <v>2.6189999999999998E-3</v>
      </c>
      <c r="F32" s="1"/>
      <c r="G32" s="1"/>
      <c r="H32" s="1"/>
      <c r="I32" s="1"/>
      <c r="J32" s="1"/>
      <c r="K32" s="1"/>
      <c r="L32" s="1"/>
      <c r="M32" s="1"/>
      <c r="N32" s="18"/>
    </row>
    <row r="33" spans="2:14" ht="15" customHeight="1" x14ac:dyDescent="0.25">
      <c r="B33" s="20"/>
      <c r="C33" s="5" t="s">
        <v>45</v>
      </c>
      <c r="D33" s="6" t="s">
        <v>195</v>
      </c>
      <c r="E33" s="11">
        <v>6.1688E-2</v>
      </c>
      <c r="F33" s="1"/>
      <c r="G33" s="1"/>
      <c r="H33" s="1"/>
      <c r="I33" s="1"/>
      <c r="J33" s="1"/>
      <c r="K33" s="1"/>
      <c r="L33" s="1"/>
      <c r="M33" s="1"/>
      <c r="N33" s="18"/>
    </row>
    <row r="34" spans="2:14" ht="15" customHeight="1" x14ac:dyDescent="0.25">
      <c r="B34" s="20"/>
      <c r="C34" s="5" t="s">
        <v>46</v>
      </c>
      <c r="D34" s="6" t="s">
        <v>195</v>
      </c>
      <c r="E34" s="11">
        <v>4.9167000000000002E-2</v>
      </c>
      <c r="F34" s="1"/>
      <c r="G34" s="1"/>
      <c r="H34" s="1"/>
      <c r="I34" s="1"/>
      <c r="J34" s="1"/>
      <c r="K34" s="1"/>
      <c r="L34" s="1"/>
      <c r="M34" s="1"/>
      <c r="N34" s="18"/>
    </row>
    <row r="35" spans="2:14" ht="15" customHeight="1" x14ac:dyDescent="0.25">
      <c r="B35" s="20"/>
      <c r="C35" s="5" t="s">
        <v>47</v>
      </c>
      <c r="D35" s="6" t="s">
        <v>195</v>
      </c>
      <c r="E35" s="11">
        <v>3.4236000000000003E-2</v>
      </c>
      <c r="F35" s="1"/>
      <c r="G35" s="1"/>
      <c r="H35" s="1"/>
      <c r="I35" s="1"/>
      <c r="J35" s="1"/>
      <c r="K35" s="1"/>
      <c r="L35" s="1"/>
      <c r="M35" s="1"/>
      <c r="N35" s="18"/>
    </row>
    <row r="36" spans="2:14" ht="15" customHeight="1" x14ac:dyDescent="0.25">
      <c r="B36" s="20"/>
      <c r="C36" s="5" t="s">
        <v>48</v>
      </c>
      <c r="D36" s="6" t="s">
        <v>195</v>
      </c>
      <c r="E36" s="11">
        <v>2.6025E-2</v>
      </c>
      <c r="F36" s="1"/>
      <c r="G36" s="1"/>
      <c r="H36" s="1"/>
      <c r="I36" s="1"/>
      <c r="J36" s="1"/>
      <c r="K36" s="1"/>
      <c r="L36" s="1"/>
      <c r="M36" s="1"/>
      <c r="N36" s="18"/>
    </row>
    <row r="37" spans="2:14" ht="15" customHeight="1" x14ac:dyDescent="0.25">
      <c r="B37" s="20"/>
      <c r="C37" s="5" t="s">
        <v>49</v>
      </c>
      <c r="D37" s="6" t="s">
        <v>195</v>
      </c>
      <c r="E37" s="11">
        <v>1.9828999999999999E-2</v>
      </c>
      <c r="F37" s="1"/>
      <c r="G37" s="1"/>
      <c r="H37" s="1"/>
      <c r="I37" s="1"/>
      <c r="J37" s="1"/>
      <c r="K37" s="1"/>
      <c r="L37" s="1"/>
      <c r="M37" s="1"/>
      <c r="N37" s="18"/>
    </row>
    <row r="38" spans="2:14" ht="15" customHeight="1" x14ac:dyDescent="0.25">
      <c r="B38" s="20"/>
      <c r="C38" s="5" t="s">
        <v>50</v>
      </c>
      <c r="D38" s="6" t="s">
        <v>195</v>
      </c>
      <c r="E38" s="11">
        <v>1.1997000000000001E-2</v>
      </c>
      <c r="F38" s="1"/>
      <c r="G38" s="1"/>
      <c r="H38" s="1"/>
      <c r="I38" s="1"/>
      <c r="J38" s="1"/>
      <c r="K38" s="1"/>
      <c r="L38" s="1"/>
      <c r="M38" s="1"/>
      <c r="N38" s="18"/>
    </row>
    <row r="39" spans="2:14" ht="15.75" customHeight="1" x14ac:dyDescent="0.25">
      <c r="B39" s="20"/>
      <c r="C39" s="7" t="s">
        <v>51</v>
      </c>
      <c r="D39" s="8"/>
      <c r="E39" s="12">
        <v>0.20294200000000001</v>
      </c>
      <c r="F39" s="1"/>
      <c r="G39" s="1"/>
      <c r="H39" s="1"/>
      <c r="I39" s="1"/>
      <c r="J39" s="1"/>
      <c r="K39" s="1"/>
      <c r="L39" s="1"/>
      <c r="M39" s="1"/>
      <c r="N39" s="18"/>
    </row>
    <row r="40" spans="2:14" ht="15" customHeight="1" x14ac:dyDescent="0.25">
      <c r="B40" s="20"/>
      <c r="C40" s="5" t="s">
        <v>207</v>
      </c>
      <c r="D40" s="6" t="s">
        <v>195</v>
      </c>
      <c r="E40" s="11">
        <v>8.3999999999999995E-5</v>
      </c>
      <c r="F40" s="1"/>
      <c r="G40" s="1"/>
      <c r="H40" s="1"/>
      <c r="I40" s="1"/>
      <c r="J40" s="1"/>
      <c r="K40" s="1"/>
      <c r="L40" s="1"/>
      <c r="M40" s="1"/>
      <c r="N40" s="18"/>
    </row>
    <row r="41" spans="2:14" ht="15.75" customHeight="1" x14ac:dyDescent="0.25">
      <c r="B41" s="20"/>
      <c r="C41" s="7" t="s">
        <v>52</v>
      </c>
      <c r="D41" s="8"/>
      <c r="E41" s="12">
        <v>8.3999999999999995E-5</v>
      </c>
      <c r="F41" s="1"/>
      <c r="G41" s="1"/>
      <c r="H41" s="1"/>
      <c r="I41" s="1"/>
      <c r="J41" s="1"/>
      <c r="K41" s="1"/>
      <c r="L41" s="1"/>
      <c r="M41" s="1"/>
      <c r="N41" s="18"/>
    </row>
    <row r="42" spans="2:14" ht="15" customHeight="1" x14ac:dyDescent="0.25">
      <c r="B42" s="20"/>
      <c r="C42" s="5" t="s">
        <v>8</v>
      </c>
      <c r="D42" s="6"/>
      <c r="E42" s="11">
        <v>2.6800000000000001E-4</v>
      </c>
      <c r="F42" s="1"/>
      <c r="G42" s="1"/>
      <c r="H42" s="1"/>
      <c r="I42" s="1"/>
      <c r="J42" s="1"/>
      <c r="K42" s="1"/>
      <c r="L42" s="1"/>
      <c r="M42" s="1"/>
      <c r="N42" s="18"/>
    </row>
    <row r="43" spans="2:14" ht="15.75" customHeight="1" x14ac:dyDescent="0.25">
      <c r="B43" s="20"/>
      <c r="C43" s="7" t="s">
        <v>9</v>
      </c>
      <c r="D43" s="8"/>
      <c r="E43" s="12">
        <v>2.6800000000000001E-4</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75" customHeight="1" x14ac:dyDescent="0.25">
      <c r="B45" s="20"/>
      <c r="C45" s="7" t="s">
        <v>10</v>
      </c>
      <c r="D45" s="8"/>
      <c r="E45" s="12">
        <v>2.4912E-2</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9" t="s">
        <v>11</v>
      </c>
      <c r="D47" s="10"/>
      <c r="E47" s="13">
        <v>1</v>
      </c>
      <c r="F47" s="1"/>
      <c r="G47" s="1"/>
      <c r="H47" s="1"/>
      <c r="I47" s="1"/>
      <c r="J47" s="1"/>
      <c r="K47" s="1"/>
      <c r="L47" s="1"/>
      <c r="M47" s="1"/>
      <c r="N47" s="18"/>
    </row>
    <row r="48" spans="2:14" ht="15" customHeight="1" x14ac:dyDescent="0.25">
      <c r="B48" s="20"/>
      <c r="C48" s="1"/>
      <c r="D48" s="1"/>
      <c r="E48" s="1"/>
      <c r="F48" s="1"/>
      <c r="G48" s="1"/>
      <c r="H48" s="1"/>
      <c r="I48" s="1"/>
      <c r="J48" s="1"/>
      <c r="K48" s="1"/>
      <c r="L48" s="1"/>
      <c r="M48" s="1"/>
      <c r="N48" s="18"/>
    </row>
    <row r="49" spans="2:14" ht="15" customHeight="1" thickBot="1" x14ac:dyDescent="0.3">
      <c r="B49" s="21"/>
      <c r="C49" s="22"/>
      <c r="D49" s="22"/>
      <c r="E49" s="22"/>
      <c r="F49" s="22"/>
      <c r="G49" s="22"/>
      <c r="H49" s="22"/>
      <c r="I49" s="22"/>
      <c r="J49" s="22"/>
      <c r="K49" s="22"/>
      <c r="L49" s="22"/>
      <c r="M49" s="22"/>
      <c r="N49" s="23"/>
    </row>
    <row r="50" spans="2:14" ht="15" customHeight="1" thickBot="1" x14ac:dyDescent="0.3"/>
    <row r="51" spans="2:14" ht="15" customHeight="1" x14ac:dyDescent="0.25">
      <c r="B51" s="66" t="s">
        <v>264</v>
      </c>
      <c r="C51" s="67"/>
      <c r="D51" s="67"/>
      <c r="E51" s="67"/>
      <c r="F51" s="67"/>
      <c r="G51" s="67"/>
      <c r="H51" s="67"/>
      <c r="I51" s="67"/>
      <c r="J51" s="67"/>
      <c r="K51" s="67"/>
      <c r="L51" s="67"/>
      <c r="M51" s="67"/>
      <c r="N51" s="68"/>
    </row>
    <row r="52" spans="2:14" ht="15" customHeight="1" x14ac:dyDescent="0.25">
      <c r="B52" s="69"/>
      <c r="C52" s="70"/>
      <c r="D52" s="70"/>
      <c r="E52" s="70"/>
      <c r="F52" s="70"/>
      <c r="G52" s="70"/>
      <c r="H52" s="70"/>
      <c r="I52" s="70"/>
      <c r="J52" s="70"/>
      <c r="K52" s="70"/>
      <c r="L52" s="70"/>
      <c r="M52" s="70"/>
      <c r="N52" s="71"/>
    </row>
    <row r="53" spans="2:14" ht="15" customHeight="1" x14ac:dyDescent="0.25">
      <c r="B53" s="69"/>
      <c r="C53" s="70"/>
      <c r="D53" s="70"/>
      <c r="E53" s="70"/>
      <c r="F53" s="70"/>
      <c r="G53" s="70"/>
      <c r="H53" s="70"/>
      <c r="I53" s="70"/>
      <c r="J53" s="70"/>
      <c r="K53" s="70"/>
      <c r="L53" s="70"/>
      <c r="M53" s="70"/>
      <c r="N53" s="71"/>
    </row>
    <row r="54" spans="2:14" ht="15" customHeight="1" thickBot="1" x14ac:dyDescent="0.3">
      <c r="B54" s="72"/>
      <c r="C54" s="73"/>
      <c r="D54" s="73"/>
      <c r="E54" s="73"/>
      <c r="F54" s="73"/>
      <c r="G54" s="73"/>
      <c r="H54" s="73"/>
      <c r="I54" s="73"/>
      <c r="J54" s="73"/>
      <c r="K54" s="73"/>
      <c r="L54" s="73"/>
      <c r="M54" s="73"/>
      <c r="N54" s="74"/>
    </row>
    <row r="55" spans="2:14" ht="15" customHeight="1" thickBot="1" x14ac:dyDescent="0.3"/>
    <row r="56" spans="2:14" ht="127.5" customHeight="1" thickBot="1" x14ac:dyDescent="0.3">
      <c r="B56" s="75" t="s">
        <v>263</v>
      </c>
      <c r="C56" s="76"/>
      <c r="D56" s="76"/>
      <c r="E56" s="76"/>
      <c r="F56" s="76"/>
      <c r="G56" s="76"/>
      <c r="H56" s="76"/>
      <c r="I56" s="76"/>
      <c r="J56" s="76"/>
      <c r="K56" s="76"/>
      <c r="L56" s="76"/>
      <c r="M56" s="76"/>
      <c r="N56" s="77"/>
    </row>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mergeCells count="7">
    <mergeCell ref="B51:N54"/>
    <mergeCell ref="B56:N56"/>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6604-F802-4100-970E-B383BAFB3C70}">
  <dimension ref="B1:N71"/>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75</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76</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25</v>
      </c>
      <c r="D8" s="6" t="s">
        <v>22</v>
      </c>
      <c r="E8" s="11">
        <v>3.48E-4</v>
      </c>
      <c r="F8" s="1"/>
      <c r="G8" s="24" t="s">
        <v>15</v>
      </c>
      <c r="H8" s="25">
        <v>1</v>
      </c>
      <c r="I8" s="1"/>
      <c r="J8" s="24" t="s">
        <v>12</v>
      </c>
      <c r="K8" s="24" t="s">
        <v>5</v>
      </c>
      <c r="L8" s="1"/>
      <c r="M8" s="1"/>
      <c r="N8" s="18"/>
    </row>
    <row r="9" spans="2:14" ht="15.75" customHeight="1" x14ac:dyDescent="0.25">
      <c r="B9" s="20"/>
      <c r="C9" s="7" t="s">
        <v>26</v>
      </c>
      <c r="D9" s="8"/>
      <c r="E9" s="12">
        <v>3.48E-4</v>
      </c>
      <c r="F9" s="1"/>
      <c r="G9" s="1"/>
      <c r="H9" s="1"/>
      <c r="I9" s="1"/>
      <c r="J9" s="24" t="s">
        <v>10</v>
      </c>
      <c r="K9" s="29">
        <v>2.777E-2</v>
      </c>
      <c r="L9" s="1"/>
      <c r="M9" s="1"/>
      <c r="N9" s="18"/>
    </row>
    <row r="10" spans="2:14" ht="15" customHeight="1" x14ac:dyDescent="0.25">
      <c r="B10" s="20"/>
      <c r="C10" s="5" t="s">
        <v>32</v>
      </c>
      <c r="D10" s="6" t="s">
        <v>28</v>
      </c>
      <c r="E10" s="11">
        <v>8.5233000000000003E-2</v>
      </c>
      <c r="F10" s="1"/>
      <c r="G10" s="1"/>
      <c r="H10" s="1"/>
      <c r="I10" s="1"/>
      <c r="J10" s="24" t="s">
        <v>13</v>
      </c>
      <c r="K10" s="29">
        <v>8.34E-4</v>
      </c>
      <c r="L10" s="1"/>
      <c r="M10" s="1"/>
      <c r="N10" s="18"/>
    </row>
    <row r="11" spans="2:14" ht="15" customHeight="1" x14ac:dyDescent="0.25">
      <c r="B11" s="20"/>
      <c r="C11" s="5" t="s">
        <v>77</v>
      </c>
      <c r="D11" s="6" t="s">
        <v>28</v>
      </c>
      <c r="E11" s="11">
        <v>8.3787E-2</v>
      </c>
      <c r="F11" s="1"/>
      <c r="G11" s="1"/>
      <c r="H11" s="1"/>
      <c r="I11" s="1"/>
      <c r="J11" s="24" t="s">
        <v>53</v>
      </c>
      <c r="K11" s="29">
        <v>3.48E-4</v>
      </c>
      <c r="L11" s="1"/>
      <c r="M11" s="1"/>
      <c r="N11" s="18"/>
    </row>
    <row r="12" spans="2:14" ht="15" customHeight="1" x14ac:dyDescent="0.25">
      <c r="B12" s="20"/>
      <c r="C12" s="5" t="s">
        <v>33</v>
      </c>
      <c r="D12" s="6" t="s">
        <v>28</v>
      </c>
      <c r="E12" s="11">
        <v>8.1193000000000001E-2</v>
      </c>
      <c r="F12" s="1"/>
      <c r="G12" s="1"/>
      <c r="H12" s="1"/>
      <c r="I12" s="1"/>
      <c r="J12" s="24" t="s">
        <v>54</v>
      </c>
      <c r="K12" s="29">
        <v>0.69102399999999997</v>
      </c>
      <c r="L12" s="1"/>
      <c r="M12" s="1"/>
      <c r="N12" s="18"/>
    </row>
    <row r="13" spans="2:14" ht="15" customHeight="1" x14ac:dyDescent="0.25">
      <c r="B13" s="20"/>
      <c r="C13" s="5" t="s">
        <v>29</v>
      </c>
      <c r="D13" s="6" t="s">
        <v>28</v>
      </c>
      <c r="E13" s="11">
        <v>7.5614000000000001E-2</v>
      </c>
      <c r="F13" s="1"/>
      <c r="G13" s="1"/>
      <c r="H13" s="1"/>
      <c r="I13" s="1"/>
      <c r="J13" s="24" t="s">
        <v>43</v>
      </c>
      <c r="K13" s="29">
        <v>2.8660000000000001E-3</v>
      </c>
      <c r="L13" s="1"/>
      <c r="M13" s="1"/>
      <c r="N13" s="18"/>
    </row>
    <row r="14" spans="2:14" ht="15" customHeight="1" x14ac:dyDescent="0.25">
      <c r="B14" s="20"/>
      <c r="C14" s="5" t="s">
        <v>25</v>
      </c>
      <c r="D14" s="6" t="s">
        <v>28</v>
      </c>
      <c r="E14" s="11">
        <v>7.1296999999999999E-2</v>
      </c>
      <c r="F14" s="1"/>
      <c r="G14" s="1"/>
      <c r="H14" s="1"/>
      <c r="I14" s="1"/>
      <c r="J14" s="24" t="s">
        <v>55</v>
      </c>
      <c r="K14" s="29">
        <v>0.27033400000000002</v>
      </c>
      <c r="L14" s="1"/>
      <c r="M14" s="1"/>
      <c r="N14" s="18"/>
    </row>
    <row r="15" spans="2:14" ht="15" customHeight="1" x14ac:dyDescent="0.25">
      <c r="B15" s="20"/>
      <c r="C15" s="5" t="s">
        <v>38</v>
      </c>
      <c r="D15" s="6" t="s">
        <v>28</v>
      </c>
      <c r="E15" s="11">
        <v>7.0382E-2</v>
      </c>
      <c r="F15" s="1"/>
      <c r="G15" s="1"/>
      <c r="H15" s="1"/>
      <c r="I15" s="1"/>
      <c r="J15" s="24"/>
      <c r="K15" s="29"/>
      <c r="L15" s="1"/>
      <c r="M15" s="1"/>
      <c r="N15" s="18"/>
    </row>
    <row r="16" spans="2:14" ht="15" customHeight="1" x14ac:dyDescent="0.25">
      <c r="B16" s="20"/>
      <c r="C16" s="5" t="s">
        <v>78</v>
      </c>
      <c r="D16" s="6" t="s">
        <v>28</v>
      </c>
      <c r="E16" s="11">
        <v>6.4264000000000002E-2</v>
      </c>
      <c r="F16" s="1"/>
      <c r="G16" s="1"/>
      <c r="H16" s="1"/>
      <c r="I16" s="1"/>
      <c r="J16" s="24" t="s">
        <v>56</v>
      </c>
      <c r="K16" s="29">
        <v>9.1E-4</v>
      </c>
      <c r="L16" s="1"/>
      <c r="M16" s="1"/>
      <c r="N16" s="18"/>
    </row>
    <row r="17" spans="2:14" ht="15" customHeight="1" x14ac:dyDescent="0.25">
      <c r="B17" s="20"/>
      <c r="C17" s="5" t="s">
        <v>27</v>
      </c>
      <c r="D17" s="6" t="s">
        <v>28</v>
      </c>
      <c r="E17" s="11">
        <v>4.9262E-2</v>
      </c>
      <c r="F17" s="1"/>
      <c r="G17" s="1"/>
      <c r="H17" s="1"/>
      <c r="I17" s="1"/>
      <c r="J17" s="24" t="s">
        <v>81</v>
      </c>
      <c r="K17" s="29">
        <v>4.0610000000000004E-3</v>
      </c>
      <c r="L17" s="1"/>
      <c r="M17" s="1"/>
      <c r="N17" s="18"/>
    </row>
    <row r="18" spans="2:14" ht="15" customHeight="1" x14ac:dyDescent="0.25">
      <c r="B18" s="20"/>
      <c r="C18" s="5" t="s">
        <v>31</v>
      </c>
      <c r="D18" s="6" t="s">
        <v>28</v>
      </c>
      <c r="E18" s="11">
        <v>4.1481999999999998E-2</v>
      </c>
      <c r="F18" s="1"/>
      <c r="G18" s="1"/>
      <c r="H18" s="1"/>
      <c r="I18" s="1"/>
      <c r="J18" s="1"/>
      <c r="K18" s="1"/>
      <c r="L18" s="1"/>
      <c r="M18" s="1"/>
      <c r="N18" s="18"/>
    </row>
    <row r="19" spans="2:14" ht="15" customHeight="1" x14ac:dyDescent="0.25">
      <c r="B19" s="20"/>
      <c r="C19" s="5" t="s">
        <v>72</v>
      </c>
      <c r="D19" s="6" t="s">
        <v>28</v>
      </c>
      <c r="E19" s="11">
        <v>1.7474E-2</v>
      </c>
      <c r="F19" s="1"/>
      <c r="G19" s="1"/>
      <c r="H19" s="1"/>
      <c r="I19" s="1"/>
      <c r="J19" s="1"/>
      <c r="K19" s="1"/>
      <c r="L19" s="1"/>
      <c r="M19" s="1"/>
      <c r="N19" s="18"/>
    </row>
    <row r="20" spans="2:14" ht="15" customHeight="1" x14ac:dyDescent="0.25">
      <c r="B20" s="20"/>
      <c r="C20" s="5" t="s">
        <v>30</v>
      </c>
      <c r="D20" s="6" t="s">
        <v>28</v>
      </c>
      <c r="E20" s="11">
        <v>1.4612E-2</v>
      </c>
      <c r="F20" s="1"/>
      <c r="G20" s="1"/>
      <c r="H20" s="1"/>
      <c r="I20" s="1"/>
      <c r="J20" s="1"/>
      <c r="K20" s="1"/>
      <c r="L20" s="1"/>
      <c r="M20" s="1"/>
      <c r="N20" s="18"/>
    </row>
    <row r="21" spans="2:14" ht="15" customHeight="1" x14ac:dyDescent="0.25">
      <c r="B21" s="20"/>
      <c r="C21" s="5" t="s">
        <v>39</v>
      </c>
      <c r="D21" s="6" t="s">
        <v>28</v>
      </c>
      <c r="E21" s="11">
        <v>1.0482E-2</v>
      </c>
      <c r="F21" s="1"/>
      <c r="G21" s="1"/>
      <c r="H21" s="1"/>
      <c r="I21" s="1"/>
      <c r="J21" s="1"/>
      <c r="K21" s="1"/>
      <c r="L21" s="1"/>
      <c r="M21" s="1"/>
      <c r="N21" s="18"/>
    </row>
    <row r="22" spans="2:14" ht="15" customHeight="1" x14ac:dyDescent="0.25">
      <c r="B22" s="20"/>
      <c r="C22" s="5" t="s">
        <v>35</v>
      </c>
      <c r="D22" s="6" t="s">
        <v>28</v>
      </c>
      <c r="E22" s="11">
        <v>9.9019999999999993E-3</v>
      </c>
      <c r="F22" s="1"/>
      <c r="G22" s="1"/>
      <c r="H22" s="1"/>
      <c r="I22" s="1"/>
      <c r="J22" s="1"/>
      <c r="K22" s="1"/>
      <c r="L22" s="1"/>
      <c r="M22" s="1"/>
      <c r="N22" s="18"/>
    </row>
    <row r="23" spans="2:14" ht="15" customHeight="1" x14ac:dyDescent="0.25">
      <c r="B23" s="20"/>
      <c r="C23" s="5" t="s">
        <v>34</v>
      </c>
      <c r="D23" s="6" t="s">
        <v>28</v>
      </c>
      <c r="E23" s="11">
        <v>6.1850000000000004E-3</v>
      </c>
      <c r="F23" s="1"/>
      <c r="G23" s="1"/>
      <c r="H23" s="1"/>
      <c r="I23" s="1"/>
      <c r="J23" s="1"/>
      <c r="K23" s="1"/>
      <c r="L23" s="1"/>
      <c r="M23" s="1"/>
      <c r="N23" s="18"/>
    </row>
    <row r="24" spans="2:14" ht="15" customHeight="1" x14ac:dyDescent="0.25">
      <c r="B24" s="20"/>
      <c r="C24" s="5" t="s">
        <v>21</v>
      </c>
      <c r="D24" s="6" t="s">
        <v>28</v>
      </c>
      <c r="E24" s="11">
        <v>5.1359999999999999E-3</v>
      </c>
      <c r="F24" s="1"/>
      <c r="G24" s="83" t="s">
        <v>17</v>
      </c>
      <c r="H24" s="84"/>
      <c r="I24" s="84"/>
      <c r="J24" s="84"/>
      <c r="K24" s="84"/>
      <c r="L24" s="26">
        <v>3.9568093277985135</v>
      </c>
      <c r="M24" s="27"/>
      <c r="N24" s="28"/>
    </row>
    <row r="25" spans="2:14" ht="15" customHeight="1" x14ac:dyDescent="0.25">
      <c r="B25" s="20"/>
      <c r="C25" s="5" t="s">
        <v>210</v>
      </c>
      <c r="D25" s="6" t="s">
        <v>28</v>
      </c>
      <c r="E25" s="11">
        <v>1.853E-3</v>
      </c>
      <c r="F25" s="1"/>
      <c r="G25" s="1"/>
      <c r="H25" s="1"/>
      <c r="I25" s="1"/>
      <c r="J25" s="1"/>
      <c r="K25" s="1"/>
      <c r="L25" s="1"/>
      <c r="M25" s="1"/>
      <c r="N25" s="18"/>
    </row>
    <row r="26" spans="2:14" ht="15" customHeight="1" x14ac:dyDescent="0.25">
      <c r="B26" s="20"/>
      <c r="C26" s="5" t="s">
        <v>79</v>
      </c>
      <c r="D26" s="6" t="s">
        <v>28</v>
      </c>
      <c r="E26" s="11">
        <v>1.817E-3</v>
      </c>
      <c r="F26" s="1"/>
      <c r="G26" s="83" t="s">
        <v>18</v>
      </c>
      <c r="H26" s="84"/>
      <c r="I26" s="84"/>
      <c r="J26" s="84"/>
      <c r="K26" s="84"/>
      <c r="L26" s="84"/>
      <c r="M26" s="84"/>
      <c r="N26" s="85"/>
    </row>
    <row r="27" spans="2:14" ht="15" customHeight="1" x14ac:dyDescent="0.25">
      <c r="B27" s="20"/>
      <c r="C27" s="5" t="s">
        <v>73</v>
      </c>
      <c r="D27" s="6" t="s">
        <v>28</v>
      </c>
      <c r="E27" s="11">
        <v>1.8159999999999999E-3</v>
      </c>
      <c r="F27" s="1"/>
      <c r="G27" s="1"/>
      <c r="H27" s="1"/>
      <c r="I27" s="1"/>
      <c r="J27" s="1"/>
      <c r="K27" s="1"/>
      <c r="L27" s="1"/>
      <c r="M27" s="1"/>
      <c r="N27" s="18"/>
    </row>
    <row r="28" spans="2:14" ht="15.75" customHeight="1" x14ac:dyDescent="0.25">
      <c r="B28" s="20"/>
      <c r="C28" s="5" t="s">
        <v>36</v>
      </c>
      <c r="D28" s="6" t="s">
        <v>28</v>
      </c>
      <c r="E28" s="11">
        <v>1.0859999999999999E-3</v>
      </c>
      <c r="F28" s="1"/>
      <c r="G28" s="1"/>
      <c r="H28" s="1"/>
      <c r="I28" s="1"/>
      <c r="J28" s="1"/>
      <c r="K28" s="1"/>
      <c r="L28" s="1"/>
      <c r="M28" s="1"/>
      <c r="N28" s="18"/>
    </row>
    <row r="29" spans="2:14" ht="15" customHeight="1" x14ac:dyDescent="0.25">
      <c r="B29" s="20"/>
      <c r="C29" s="7" t="s">
        <v>42</v>
      </c>
      <c r="D29" s="8"/>
      <c r="E29" s="12">
        <v>0.69287700000000008</v>
      </c>
      <c r="F29" s="1"/>
      <c r="G29" s="1"/>
      <c r="H29" s="1"/>
      <c r="I29" s="1"/>
      <c r="J29" s="1"/>
      <c r="K29" s="1"/>
      <c r="L29" s="1"/>
      <c r="M29" s="1"/>
      <c r="N29" s="18"/>
    </row>
    <row r="30" spans="2:14" ht="15.75" customHeight="1" x14ac:dyDescent="0.25">
      <c r="B30" s="20"/>
      <c r="C30" s="5" t="s">
        <v>43</v>
      </c>
      <c r="D30" s="6"/>
      <c r="E30" s="11">
        <v>2.8660000000000001E-3</v>
      </c>
      <c r="F30" s="1"/>
      <c r="G30" s="1"/>
      <c r="H30" s="1"/>
      <c r="I30" s="1"/>
      <c r="J30" s="1"/>
      <c r="K30" s="1"/>
      <c r="L30" s="1"/>
      <c r="M30" s="1"/>
      <c r="N30" s="18"/>
    </row>
    <row r="31" spans="2:14" ht="15" customHeight="1" x14ac:dyDescent="0.25">
      <c r="B31" s="20"/>
      <c r="C31" s="7" t="s">
        <v>44</v>
      </c>
      <c r="D31" s="8"/>
      <c r="E31" s="12">
        <v>2.8660000000000001E-3</v>
      </c>
      <c r="F31" s="1"/>
      <c r="G31" s="1"/>
      <c r="H31" s="1"/>
      <c r="I31" s="1"/>
      <c r="J31" s="1"/>
      <c r="K31" s="1"/>
      <c r="L31" s="1"/>
      <c r="M31" s="1"/>
      <c r="N31" s="18"/>
    </row>
    <row r="32" spans="2:14" ht="15" customHeight="1" x14ac:dyDescent="0.25">
      <c r="B32" s="20"/>
      <c r="C32" s="5" t="s">
        <v>48</v>
      </c>
      <c r="D32" s="6" t="s">
        <v>195</v>
      </c>
      <c r="E32" s="11">
        <v>0.140683</v>
      </c>
      <c r="F32" s="1"/>
      <c r="G32" s="1"/>
      <c r="H32" s="1"/>
      <c r="I32" s="1"/>
      <c r="J32" s="1"/>
      <c r="K32" s="1"/>
      <c r="L32" s="1"/>
      <c r="M32" s="1"/>
      <c r="N32" s="18"/>
    </row>
    <row r="33" spans="2:14" ht="15" customHeight="1" x14ac:dyDescent="0.25">
      <c r="B33" s="20"/>
      <c r="C33" s="5" t="s">
        <v>50</v>
      </c>
      <c r="D33" s="6" t="s">
        <v>195</v>
      </c>
      <c r="E33" s="11">
        <v>9.8645999999999998E-2</v>
      </c>
      <c r="F33" s="1"/>
      <c r="G33" s="1"/>
      <c r="H33" s="1"/>
      <c r="I33" s="1"/>
      <c r="J33" s="1"/>
      <c r="K33" s="1"/>
      <c r="L33" s="1"/>
      <c r="M33" s="1"/>
      <c r="N33" s="18"/>
    </row>
    <row r="34" spans="2:14" ht="15" customHeight="1" x14ac:dyDescent="0.25">
      <c r="B34" s="20"/>
      <c r="C34" s="5" t="s">
        <v>47</v>
      </c>
      <c r="D34" s="6" t="s">
        <v>195</v>
      </c>
      <c r="E34" s="11">
        <v>2.2658000000000001E-2</v>
      </c>
      <c r="F34" s="1"/>
      <c r="G34" s="1"/>
      <c r="H34" s="1"/>
      <c r="I34" s="1"/>
      <c r="J34" s="1"/>
      <c r="K34" s="1"/>
      <c r="L34" s="1"/>
      <c r="M34" s="1"/>
      <c r="N34" s="18"/>
    </row>
    <row r="35" spans="2:14" ht="15.75" customHeight="1" x14ac:dyDescent="0.25">
      <c r="B35" s="20"/>
      <c r="C35" s="5" t="s">
        <v>45</v>
      </c>
      <c r="D35" s="6" t="s">
        <v>195</v>
      </c>
      <c r="E35" s="11">
        <v>8.3470000000000003E-3</v>
      </c>
      <c r="F35" s="1"/>
      <c r="G35" s="1"/>
      <c r="H35" s="1"/>
      <c r="I35" s="1"/>
      <c r="J35" s="1"/>
      <c r="K35" s="1"/>
      <c r="L35" s="1"/>
      <c r="M35" s="1"/>
      <c r="N35" s="18"/>
    </row>
    <row r="36" spans="2:14" ht="15" customHeight="1" x14ac:dyDescent="0.25">
      <c r="B36" s="20"/>
      <c r="C36" s="7" t="s">
        <v>51</v>
      </c>
      <c r="D36" s="8"/>
      <c r="E36" s="12">
        <v>0.27033400000000002</v>
      </c>
      <c r="F36" s="1"/>
      <c r="G36" s="1"/>
      <c r="H36" s="1"/>
      <c r="I36" s="1"/>
      <c r="J36" s="1"/>
      <c r="K36" s="1"/>
      <c r="L36" s="1"/>
      <c r="M36" s="1"/>
      <c r="N36" s="18"/>
    </row>
    <row r="37" spans="2:14" ht="15.75" customHeight="1" x14ac:dyDescent="0.25">
      <c r="B37" s="20"/>
      <c r="C37" s="5" t="s">
        <v>208</v>
      </c>
      <c r="D37" s="6" t="s">
        <v>195</v>
      </c>
      <c r="E37" s="11">
        <v>7.3099999999999999E-4</v>
      </c>
      <c r="F37" s="1"/>
      <c r="G37" s="1"/>
      <c r="H37" s="1"/>
      <c r="I37" s="1"/>
      <c r="J37" s="1"/>
      <c r="K37" s="1"/>
      <c r="L37" s="1"/>
      <c r="M37" s="1"/>
      <c r="N37" s="18"/>
    </row>
    <row r="38" spans="2:14" ht="15" customHeight="1" x14ac:dyDescent="0.25">
      <c r="B38" s="20"/>
      <c r="C38" s="5" t="s">
        <v>209</v>
      </c>
      <c r="D38" s="6" t="s">
        <v>195</v>
      </c>
      <c r="E38" s="11">
        <v>1.7899999999999999E-4</v>
      </c>
      <c r="F38" s="1"/>
      <c r="G38" s="1"/>
      <c r="H38" s="1"/>
      <c r="I38" s="1"/>
      <c r="J38" s="1"/>
      <c r="K38" s="1"/>
      <c r="L38" s="1"/>
      <c r="M38" s="1"/>
      <c r="N38" s="18"/>
    </row>
    <row r="39" spans="2:14" ht="15.75" customHeight="1" x14ac:dyDescent="0.25">
      <c r="B39" s="20"/>
      <c r="C39" s="7" t="s">
        <v>52</v>
      </c>
      <c r="D39" s="8"/>
      <c r="E39" s="12">
        <v>9.1E-4</v>
      </c>
      <c r="F39" s="1"/>
      <c r="G39" s="1"/>
      <c r="H39" s="1"/>
      <c r="I39" s="1"/>
      <c r="J39" s="1"/>
      <c r="K39" s="1"/>
      <c r="L39" s="1"/>
      <c r="M39" s="1"/>
      <c r="N39" s="18"/>
    </row>
    <row r="40" spans="2:14" ht="15" customHeight="1" x14ac:dyDescent="0.25">
      <c r="B40" s="20"/>
      <c r="C40" s="5" t="s">
        <v>8</v>
      </c>
      <c r="D40" s="6"/>
      <c r="E40" s="11">
        <v>8.34E-4</v>
      </c>
      <c r="F40" s="1"/>
      <c r="G40" s="1"/>
      <c r="H40" s="1"/>
      <c r="I40" s="1"/>
      <c r="J40" s="1"/>
      <c r="K40" s="1"/>
      <c r="L40" s="1"/>
      <c r="M40" s="1"/>
      <c r="N40" s="18"/>
    </row>
    <row r="41" spans="2:14" ht="15.75" customHeight="1" x14ac:dyDescent="0.25">
      <c r="B41" s="20"/>
      <c r="C41" s="7" t="s">
        <v>9</v>
      </c>
      <c r="D41" s="8"/>
      <c r="E41" s="12">
        <v>8.34E-4</v>
      </c>
      <c r="F41" s="1"/>
      <c r="G41" s="1"/>
      <c r="H41" s="1"/>
      <c r="I41" s="1"/>
      <c r="J41" s="1"/>
      <c r="K41" s="1"/>
      <c r="L41" s="1"/>
      <c r="M41" s="1"/>
      <c r="N41" s="18"/>
    </row>
    <row r="42" spans="2:14" ht="15" customHeight="1" x14ac:dyDescent="0.25">
      <c r="B42" s="20"/>
      <c r="C42" s="5" t="s">
        <v>72</v>
      </c>
      <c r="D42" s="6" t="s">
        <v>28</v>
      </c>
      <c r="E42" s="11">
        <v>4.0610000000000004E-3</v>
      </c>
      <c r="F42" s="1"/>
      <c r="G42" s="1"/>
      <c r="H42" s="1"/>
      <c r="I42" s="1"/>
      <c r="J42" s="1"/>
      <c r="K42" s="1"/>
      <c r="L42" s="1"/>
      <c r="M42" s="1"/>
      <c r="N42" s="18"/>
    </row>
    <row r="43" spans="2:14" ht="15.75" customHeight="1" x14ac:dyDescent="0.25">
      <c r="B43" s="20"/>
      <c r="C43" s="7" t="s">
        <v>80</v>
      </c>
      <c r="D43" s="8"/>
      <c r="E43" s="12">
        <v>4.0610000000000004E-3</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75" customHeight="1" x14ac:dyDescent="0.25">
      <c r="B45" s="20"/>
      <c r="C45" s="7" t="s">
        <v>10</v>
      </c>
      <c r="D45" s="8"/>
      <c r="E45" s="12">
        <v>2.777E-2</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 customHeight="1" x14ac:dyDescent="0.25">
      <c r="B47" s="20"/>
      <c r="C47" s="9" t="s">
        <v>11</v>
      </c>
      <c r="D47" s="10"/>
      <c r="E47" s="13">
        <v>1</v>
      </c>
      <c r="F47" s="1"/>
      <c r="G47" s="1"/>
      <c r="H47" s="1"/>
      <c r="I47" s="1"/>
      <c r="J47" s="1"/>
      <c r="K47" s="1"/>
      <c r="L47" s="1"/>
      <c r="M47" s="1"/>
      <c r="N47" s="18"/>
    </row>
    <row r="48" spans="2:14" ht="15" customHeight="1" x14ac:dyDescent="0.25">
      <c r="B48" s="20"/>
      <c r="C48" t="s">
        <v>267</v>
      </c>
      <c r="D48" s="1"/>
      <c r="E48" s="1"/>
      <c r="F48" s="1"/>
      <c r="G48" s="1"/>
      <c r="H48" s="1"/>
      <c r="I48" s="1"/>
      <c r="J48" s="1"/>
      <c r="K48" s="1"/>
      <c r="L48" s="1"/>
      <c r="M48" s="1"/>
      <c r="N48" s="18"/>
    </row>
    <row r="49" spans="2:14" ht="15" customHeight="1" thickBot="1" x14ac:dyDescent="0.3">
      <c r="B49" s="21"/>
      <c r="C49" s="22"/>
      <c r="D49" s="22"/>
      <c r="E49" s="22"/>
      <c r="F49" s="22"/>
      <c r="G49" s="22"/>
      <c r="H49" s="22"/>
      <c r="I49" s="22"/>
      <c r="J49" s="22"/>
      <c r="K49" s="22"/>
      <c r="L49" s="22"/>
      <c r="M49" s="22"/>
      <c r="N49" s="23"/>
    </row>
    <row r="50" spans="2:14" ht="15" customHeight="1" thickBot="1" x14ac:dyDescent="0.3"/>
    <row r="51" spans="2:14" ht="15" customHeight="1" x14ac:dyDescent="0.25">
      <c r="B51" s="66" t="s">
        <v>264</v>
      </c>
      <c r="C51" s="67"/>
      <c r="D51" s="67"/>
      <c r="E51" s="67"/>
      <c r="F51" s="67"/>
      <c r="G51" s="67"/>
      <c r="H51" s="67"/>
      <c r="I51" s="67"/>
      <c r="J51" s="67"/>
      <c r="K51" s="67"/>
      <c r="L51" s="67"/>
      <c r="M51" s="67"/>
      <c r="N51" s="68"/>
    </row>
    <row r="52" spans="2:14" ht="15" customHeight="1" x14ac:dyDescent="0.25">
      <c r="B52" s="69"/>
      <c r="C52" s="70"/>
      <c r="D52" s="70"/>
      <c r="E52" s="70"/>
      <c r="F52" s="70"/>
      <c r="G52" s="70"/>
      <c r="H52" s="70"/>
      <c r="I52" s="70"/>
      <c r="J52" s="70"/>
      <c r="K52" s="70"/>
      <c r="L52" s="70"/>
      <c r="M52" s="70"/>
      <c r="N52" s="71"/>
    </row>
    <row r="53" spans="2:14" ht="15" customHeight="1" x14ac:dyDescent="0.25">
      <c r="B53" s="69"/>
      <c r="C53" s="70"/>
      <c r="D53" s="70"/>
      <c r="E53" s="70"/>
      <c r="F53" s="70"/>
      <c r="G53" s="70"/>
      <c r="H53" s="70"/>
      <c r="I53" s="70"/>
      <c r="J53" s="70"/>
      <c r="K53" s="70"/>
      <c r="L53" s="70"/>
      <c r="M53" s="70"/>
      <c r="N53" s="71"/>
    </row>
    <row r="54" spans="2:14" ht="15" customHeight="1" thickBot="1" x14ac:dyDescent="0.3">
      <c r="B54" s="72"/>
      <c r="C54" s="73"/>
      <c r="D54" s="73"/>
      <c r="E54" s="73"/>
      <c r="F54" s="73"/>
      <c r="G54" s="73"/>
      <c r="H54" s="73"/>
      <c r="I54" s="73"/>
      <c r="J54" s="73"/>
      <c r="K54" s="73"/>
      <c r="L54" s="73"/>
      <c r="M54" s="73"/>
      <c r="N54" s="74"/>
    </row>
    <row r="55" spans="2:14" ht="15" customHeight="1" thickBot="1" x14ac:dyDescent="0.3"/>
    <row r="56" spans="2:14" ht="130.5" customHeight="1" thickBot="1" x14ac:dyDescent="0.3">
      <c r="B56" s="75" t="s">
        <v>263</v>
      </c>
      <c r="C56" s="76"/>
      <c r="D56" s="76"/>
      <c r="E56" s="76"/>
      <c r="F56" s="76"/>
      <c r="G56" s="76"/>
      <c r="H56" s="76"/>
      <c r="I56" s="76"/>
      <c r="J56" s="76"/>
      <c r="K56" s="76"/>
      <c r="L56" s="76"/>
      <c r="M56" s="76"/>
      <c r="N56" s="77"/>
    </row>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sheetData>
  <sortState ref="C10:E28">
    <sortCondition descending="1" ref="E10"/>
  </sortState>
  <mergeCells count="7">
    <mergeCell ref="B51:N54"/>
    <mergeCell ref="B56:N56"/>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F36C1-D69B-42C7-982F-C8FD148D149A}">
  <dimension ref="B1:N5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126</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127</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25</v>
      </c>
      <c r="D8" s="6" t="s">
        <v>22</v>
      </c>
      <c r="E8" s="11">
        <v>6.8245E-2</v>
      </c>
      <c r="F8" s="1"/>
      <c r="G8" s="24" t="s">
        <v>15</v>
      </c>
      <c r="H8" s="29">
        <v>0.66559000000000001</v>
      </c>
      <c r="I8" s="1"/>
      <c r="J8" s="24" t="s">
        <v>12</v>
      </c>
      <c r="K8" s="24" t="s">
        <v>5</v>
      </c>
      <c r="L8" s="1"/>
      <c r="M8" s="1"/>
      <c r="N8" s="18"/>
    </row>
    <row r="9" spans="2:14" ht="15.75" customHeight="1" x14ac:dyDescent="0.25">
      <c r="B9" s="20"/>
      <c r="C9" s="7" t="s">
        <v>26</v>
      </c>
      <c r="D9" s="8"/>
      <c r="E9" s="12">
        <v>6.8245E-2</v>
      </c>
      <c r="F9" s="1"/>
      <c r="G9" s="24" t="s">
        <v>98</v>
      </c>
      <c r="H9" s="29">
        <v>0.19153999999999999</v>
      </c>
      <c r="I9" s="1"/>
      <c r="J9" s="24" t="s">
        <v>10</v>
      </c>
      <c r="K9" s="29">
        <v>2.9807E-2</v>
      </c>
      <c r="L9" s="1"/>
      <c r="M9" s="1"/>
      <c r="N9" s="18"/>
    </row>
    <row r="10" spans="2:14" ht="15" customHeight="1" x14ac:dyDescent="0.25">
      <c r="B10" s="20"/>
      <c r="C10" s="5" t="s">
        <v>29</v>
      </c>
      <c r="D10" s="6" t="s">
        <v>28</v>
      </c>
      <c r="E10" s="11">
        <v>0.11409999999999999</v>
      </c>
      <c r="F10" s="1"/>
      <c r="G10" s="24" t="s">
        <v>97</v>
      </c>
      <c r="H10" s="29">
        <v>0.14287</v>
      </c>
      <c r="I10" s="1"/>
      <c r="J10" s="24" t="s">
        <v>13</v>
      </c>
      <c r="K10" s="29">
        <v>9.5820000000000002E-3</v>
      </c>
      <c r="L10" s="1"/>
      <c r="M10" s="1"/>
      <c r="N10" s="18"/>
    </row>
    <row r="11" spans="2:14" ht="15" customHeight="1" x14ac:dyDescent="0.25">
      <c r="B11" s="20"/>
      <c r="C11" s="5" t="s">
        <v>88</v>
      </c>
      <c r="D11" s="6" t="s">
        <v>89</v>
      </c>
      <c r="E11" s="11">
        <v>9.6014000000000002E-2</v>
      </c>
      <c r="F11" s="1"/>
      <c r="G11" s="1"/>
      <c r="H11" s="1"/>
      <c r="I11" s="1"/>
      <c r="J11" s="24" t="s">
        <v>53</v>
      </c>
      <c r="K11" s="29">
        <v>6.8245E-2</v>
      </c>
      <c r="L11" s="1"/>
      <c r="M11" s="1"/>
      <c r="N11" s="18"/>
    </row>
    <row r="12" spans="2:14" ht="15" customHeight="1" x14ac:dyDescent="0.25">
      <c r="B12" s="20"/>
      <c r="C12" s="5" t="s">
        <v>33</v>
      </c>
      <c r="D12" s="6" t="s">
        <v>28</v>
      </c>
      <c r="E12" s="11">
        <v>7.1887999999999994E-2</v>
      </c>
      <c r="F12" s="1"/>
      <c r="G12" s="1"/>
      <c r="H12" s="1"/>
      <c r="I12" s="1"/>
      <c r="J12" s="24" t="s">
        <v>54</v>
      </c>
      <c r="K12" s="29">
        <v>0.52039800000000003</v>
      </c>
      <c r="L12" s="1"/>
      <c r="M12" s="1"/>
      <c r="N12" s="18"/>
    </row>
    <row r="13" spans="2:14" ht="15" customHeight="1" x14ac:dyDescent="0.25">
      <c r="B13" s="20"/>
      <c r="C13" s="5" t="s">
        <v>95</v>
      </c>
      <c r="D13" s="6" t="s">
        <v>89</v>
      </c>
      <c r="E13" s="11">
        <v>4.7917000000000001E-2</v>
      </c>
      <c r="F13" s="1"/>
      <c r="G13" s="1"/>
      <c r="H13" s="1"/>
      <c r="I13" s="1"/>
      <c r="J13" s="24" t="s">
        <v>43</v>
      </c>
      <c r="K13" s="29">
        <v>4.2690000000000002E-3</v>
      </c>
      <c r="L13" s="1"/>
      <c r="M13" s="1"/>
      <c r="N13" s="18"/>
    </row>
    <row r="14" spans="2:14" ht="15" customHeight="1" x14ac:dyDescent="0.25">
      <c r="B14" s="20"/>
      <c r="C14" s="5" t="s">
        <v>87</v>
      </c>
      <c r="D14" s="6" t="s">
        <v>85</v>
      </c>
      <c r="E14" s="11">
        <v>4.7910000000000001E-2</v>
      </c>
      <c r="F14" s="1"/>
      <c r="G14" s="1"/>
      <c r="H14" s="1"/>
      <c r="I14" s="1"/>
      <c r="J14" s="24" t="s">
        <v>55</v>
      </c>
      <c r="K14" s="29">
        <v>0.36768400000000001</v>
      </c>
      <c r="L14" s="1"/>
      <c r="M14" s="1"/>
      <c r="N14" s="18"/>
    </row>
    <row r="15" spans="2:14" ht="15" customHeight="1" x14ac:dyDescent="0.25">
      <c r="B15" s="20"/>
      <c r="C15" s="5" t="s">
        <v>128</v>
      </c>
      <c r="D15" s="6" t="s">
        <v>89</v>
      </c>
      <c r="E15" s="11">
        <v>4.7608999999999999E-2</v>
      </c>
      <c r="F15" s="1"/>
      <c r="G15" s="1"/>
      <c r="H15" s="1"/>
      <c r="I15" s="1"/>
      <c r="J15" s="24"/>
      <c r="K15" s="29"/>
      <c r="L15" s="1"/>
      <c r="M15" s="1"/>
      <c r="N15" s="18"/>
    </row>
    <row r="16" spans="2:14" ht="15" customHeight="1" x14ac:dyDescent="0.25">
      <c r="B16" s="20"/>
      <c r="C16" s="5" t="s">
        <v>90</v>
      </c>
      <c r="D16" s="6" t="s">
        <v>85</v>
      </c>
      <c r="E16" s="11">
        <v>4.7586999999999997E-2</v>
      </c>
      <c r="F16" s="1"/>
      <c r="G16" s="1"/>
      <c r="H16" s="1"/>
      <c r="I16" s="1"/>
      <c r="J16" s="1"/>
      <c r="K16" s="1"/>
      <c r="L16" s="1"/>
      <c r="M16" s="1"/>
      <c r="N16" s="18"/>
    </row>
    <row r="17" spans="2:14" ht="15" customHeight="1" x14ac:dyDescent="0.25">
      <c r="B17" s="20"/>
      <c r="C17" s="5" t="s">
        <v>86</v>
      </c>
      <c r="D17" s="6" t="s">
        <v>85</v>
      </c>
      <c r="E17" s="11">
        <v>4.7372999999999998E-2</v>
      </c>
      <c r="F17" s="1"/>
      <c r="G17" s="1"/>
      <c r="H17" s="1"/>
      <c r="I17" s="1"/>
      <c r="J17" s="1"/>
      <c r="K17" s="1"/>
      <c r="L17" s="1"/>
      <c r="M17" s="1"/>
      <c r="N17" s="18"/>
    </row>
    <row r="18" spans="2:14" ht="15.75" customHeight="1" x14ac:dyDescent="0.25">
      <c r="B18" s="20"/>
      <c r="C18" s="7" t="s">
        <v>42</v>
      </c>
      <c r="D18" s="8"/>
      <c r="E18" s="12">
        <v>0.52039800000000003</v>
      </c>
      <c r="F18" s="1"/>
      <c r="G18" s="1"/>
      <c r="H18" s="1"/>
      <c r="I18" s="1"/>
      <c r="J18" s="1"/>
      <c r="K18" s="1"/>
      <c r="L18" s="1"/>
      <c r="M18" s="1"/>
      <c r="N18" s="18"/>
    </row>
    <row r="19" spans="2:14" ht="15" customHeight="1" x14ac:dyDescent="0.25">
      <c r="B19" s="20"/>
      <c r="C19" s="5" t="s">
        <v>43</v>
      </c>
      <c r="D19" s="6"/>
      <c r="E19" s="11">
        <v>4.2690000000000002E-3</v>
      </c>
      <c r="F19" s="1"/>
      <c r="G19" s="1"/>
      <c r="H19" s="1"/>
      <c r="I19" s="1"/>
      <c r="J19" s="1"/>
      <c r="K19" s="1"/>
      <c r="L19" s="1"/>
      <c r="M19" s="1"/>
      <c r="N19" s="18"/>
    </row>
    <row r="20" spans="2:14" ht="15.75" customHeight="1" x14ac:dyDescent="0.25">
      <c r="B20" s="20"/>
      <c r="C20" s="7" t="s">
        <v>44</v>
      </c>
      <c r="D20" s="8"/>
      <c r="E20" s="12">
        <v>4.2690000000000002E-3</v>
      </c>
      <c r="F20" s="1"/>
      <c r="G20" s="1"/>
      <c r="H20" s="1"/>
      <c r="I20" s="1"/>
      <c r="J20" s="1"/>
      <c r="K20" s="1"/>
      <c r="L20" s="1"/>
      <c r="M20" s="1"/>
      <c r="N20" s="18"/>
    </row>
    <row r="21" spans="2:14" ht="15" customHeight="1" x14ac:dyDescent="0.25">
      <c r="B21" s="20"/>
      <c r="C21" s="5" t="s">
        <v>48</v>
      </c>
      <c r="D21" s="6" t="s">
        <v>195</v>
      </c>
      <c r="E21" s="11">
        <v>0.15643099999999999</v>
      </c>
      <c r="F21" s="1"/>
      <c r="G21" s="1"/>
      <c r="H21" s="1"/>
      <c r="I21" s="1"/>
      <c r="J21" s="1"/>
      <c r="K21" s="1"/>
      <c r="L21" s="1"/>
      <c r="M21" s="1"/>
      <c r="N21" s="18"/>
    </row>
    <row r="22" spans="2:14" ht="15" customHeight="1" x14ac:dyDescent="0.25">
      <c r="B22" s="20"/>
      <c r="C22" s="5" t="s">
        <v>129</v>
      </c>
      <c r="D22" s="6" t="s">
        <v>195</v>
      </c>
      <c r="E22" s="11">
        <v>7.2322999999999998E-2</v>
      </c>
      <c r="F22" s="1"/>
      <c r="G22" s="1"/>
      <c r="H22" s="1"/>
      <c r="I22" s="1"/>
      <c r="J22" s="1"/>
      <c r="K22" s="1"/>
      <c r="L22" s="1"/>
      <c r="M22" s="1"/>
      <c r="N22" s="18"/>
    </row>
    <row r="23" spans="2:14" ht="15" customHeight="1" x14ac:dyDescent="0.25">
      <c r="B23" s="20"/>
      <c r="C23" s="5" t="s">
        <v>50</v>
      </c>
      <c r="D23" s="6" t="s">
        <v>195</v>
      </c>
      <c r="E23" s="11">
        <v>7.2050000000000003E-2</v>
      </c>
      <c r="F23" s="1"/>
      <c r="G23" s="1"/>
      <c r="H23" s="1"/>
      <c r="I23" s="1"/>
      <c r="J23" s="1"/>
      <c r="K23" s="1"/>
      <c r="L23" s="1"/>
      <c r="M23" s="1"/>
      <c r="N23" s="18"/>
    </row>
    <row r="24" spans="2:14" ht="15" customHeight="1" x14ac:dyDescent="0.25">
      <c r="B24" s="20"/>
      <c r="C24" s="5" t="s">
        <v>45</v>
      </c>
      <c r="D24" s="6" t="s">
        <v>195</v>
      </c>
      <c r="E24" s="11">
        <v>4.7711999999999997E-2</v>
      </c>
      <c r="F24" s="1"/>
      <c r="G24" s="83" t="s">
        <v>17</v>
      </c>
      <c r="H24" s="84"/>
      <c r="I24" s="84"/>
      <c r="J24" s="84"/>
      <c r="K24" s="84"/>
      <c r="L24" s="26">
        <v>3.5635845041674887</v>
      </c>
      <c r="M24" s="27"/>
      <c r="N24" s="28"/>
    </row>
    <row r="25" spans="2:14" ht="15" customHeight="1" x14ac:dyDescent="0.25">
      <c r="B25" s="20"/>
      <c r="C25" s="5" t="s">
        <v>107</v>
      </c>
      <c r="D25" s="6" t="s">
        <v>195</v>
      </c>
      <c r="E25" s="11">
        <v>9.6310000000000007E-3</v>
      </c>
      <c r="F25" s="1"/>
      <c r="G25" s="1"/>
      <c r="H25" s="1"/>
      <c r="I25" s="1"/>
      <c r="J25" s="1"/>
      <c r="K25" s="1"/>
      <c r="L25" s="1"/>
      <c r="M25" s="1"/>
      <c r="N25" s="18"/>
    </row>
    <row r="26" spans="2:14" ht="15" customHeight="1" x14ac:dyDescent="0.25">
      <c r="B26" s="20"/>
      <c r="C26" s="5" t="s">
        <v>61</v>
      </c>
      <c r="D26" s="6" t="s">
        <v>195</v>
      </c>
      <c r="E26" s="11">
        <v>9.5370000000000003E-3</v>
      </c>
      <c r="F26" s="1"/>
      <c r="G26" s="83" t="s">
        <v>18</v>
      </c>
      <c r="H26" s="84"/>
      <c r="I26" s="84"/>
      <c r="J26" s="84"/>
      <c r="K26" s="84"/>
      <c r="L26" s="84"/>
      <c r="M26" s="84"/>
      <c r="N26" s="85"/>
    </row>
    <row r="27" spans="2:14" ht="15.75" customHeight="1" x14ac:dyDescent="0.25">
      <c r="B27" s="20"/>
      <c r="C27" s="7" t="s">
        <v>51</v>
      </c>
      <c r="D27" s="8"/>
      <c r="E27" s="12">
        <v>0.36768400000000001</v>
      </c>
      <c r="F27" s="1"/>
      <c r="G27" s="1"/>
      <c r="H27" s="1"/>
      <c r="I27" s="1"/>
      <c r="J27" s="1"/>
      <c r="K27" s="1"/>
      <c r="L27" s="1"/>
      <c r="M27" s="1"/>
      <c r="N27" s="18"/>
    </row>
    <row r="28" spans="2:14" ht="15" customHeight="1" x14ac:dyDescent="0.25">
      <c r="B28" s="20"/>
      <c r="C28" s="5" t="s">
        <v>8</v>
      </c>
      <c r="D28" s="6"/>
      <c r="E28" s="11">
        <v>9.5820000000000002E-3</v>
      </c>
      <c r="F28" s="1"/>
      <c r="G28" s="1"/>
      <c r="H28" s="1"/>
      <c r="I28" s="1"/>
      <c r="J28" s="1"/>
      <c r="K28" s="1"/>
      <c r="L28" s="1"/>
      <c r="M28" s="1"/>
      <c r="N28" s="18"/>
    </row>
    <row r="29" spans="2:14" ht="15.75" customHeight="1" x14ac:dyDescent="0.25">
      <c r="B29" s="20"/>
      <c r="C29" s="7" t="s">
        <v>9</v>
      </c>
      <c r="D29" s="8"/>
      <c r="E29" s="12">
        <v>9.5820000000000002E-3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10</v>
      </c>
      <c r="D31" s="8"/>
      <c r="E31" s="12">
        <v>2.9807E-2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75" customHeight="1" x14ac:dyDescent="0.25">
      <c r="B33" s="20"/>
      <c r="C33" s="9" t="s">
        <v>11</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31" t="s">
        <v>130</v>
      </c>
      <c r="D35" s="31"/>
      <c r="E35" s="32">
        <v>0.62277799999999994</v>
      </c>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264</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 customHeight="1" thickBot="1" x14ac:dyDescent="0.3"/>
    <row r="50" spans="2:14" ht="77.25" customHeight="1" thickBot="1" x14ac:dyDescent="0.3">
      <c r="B50" s="75" t="s">
        <v>268</v>
      </c>
      <c r="C50" s="76"/>
      <c r="D50" s="76"/>
      <c r="E50" s="76"/>
      <c r="F50" s="76"/>
      <c r="G50" s="76"/>
      <c r="H50" s="76"/>
      <c r="I50" s="76"/>
      <c r="J50" s="76"/>
      <c r="K50" s="76"/>
      <c r="L50" s="76"/>
      <c r="M50" s="76"/>
      <c r="N50" s="77"/>
    </row>
    <row r="51" spans="2:14" ht="15" customHeight="1" thickBot="1" x14ac:dyDescent="0.3"/>
    <row r="52" spans="2:14" ht="133.5" customHeight="1" thickBot="1" x14ac:dyDescent="0.3">
      <c r="B52" s="75" t="s">
        <v>263</v>
      </c>
      <c r="C52" s="76"/>
      <c r="D52" s="76"/>
      <c r="E52" s="76"/>
      <c r="F52" s="76"/>
      <c r="G52" s="76"/>
      <c r="H52" s="76"/>
      <c r="I52" s="76"/>
      <c r="J52" s="76"/>
      <c r="K52" s="76"/>
      <c r="L52" s="76"/>
      <c r="M52" s="76"/>
      <c r="N52" s="77"/>
    </row>
    <row r="53" spans="2:14" ht="15" customHeight="1" x14ac:dyDescent="0.25"/>
    <row r="54" spans="2:14" ht="15" customHeight="1" x14ac:dyDescent="0.25"/>
    <row r="55"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815E0-D3B0-4A19-A586-202CA658831B}">
  <dimension ref="B1:N51"/>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82</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83</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84</v>
      </c>
      <c r="D8" s="6" t="s">
        <v>85</v>
      </c>
      <c r="E8" s="11">
        <v>0.11371199999999999</v>
      </c>
      <c r="F8" s="1"/>
      <c r="G8" s="24" t="s">
        <v>97</v>
      </c>
      <c r="H8" s="29">
        <v>0.59690200000000004</v>
      </c>
      <c r="I8" s="1"/>
      <c r="J8" s="24" t="s">
        <v>12</v>
      </c>
      <c r="K8" s="24" t="s">
        <v>5</v>
      </c>
      <c r="L8" s="1"/>
      <c r="M8" s="1"/>
      <c r="N8" s="18"/>
    </row>
    <row r="9" spans="2:14" ht="15" customHeight="1" x14ac:dyDescent="0.25">
      <c r="B9" s="20"/>
      <c r="C9" s="5" t="s">
        <v>86</v>
      </c>
      <c r="D9" s="6" t="s">
        <v>85</v>
      </c>
      <c r="E9" s="11">
        <v>0.112696</v>
      </c>
      <c r="F9" s="1"/>
      <c r="G9" s="24" t="s">
        <v>15</v>
      </c>
      <c r="H9" s="29">
        <v>0.30322199999999999</v>
      </c>
      <c r="I9" s="1"/>
      <c r="J9" s="24" t="s">
        <v>10</v>
      </c>
      <c r="K9" s="29">
        <v>4.9172E-2</v>
      </c>
      <c r="L9" s="1"/>
      <c r="M9" s="1"/>
      <c r="N9" s="18"/>
    </row>
    <row r="10" spans="2:14" ht="15" customHeight="1" x14ac:dyDescent="0.25">
      <c r="B10" s="20"/>
      <c r="C10" s="5" t="s">
        <v>87</v>
      </c>
      <c r="D10" s="6" t="s">
        <v>85</v>
      </c>
      <c r="E10" s="11">
        <v>8.5463999999999998E-2</v>
      </c>
      <c r="F10" s="1"/>
      <c r="G10" s="24" t="s">
        <v>98</v>
      </c>
      <c r="H10" s="29">
        <v>9.9876000000000006E-2</v>
      </c>
      <c r="I10" s="1"/>
      <c r="J10" s="24" t="s">
        <v>13</v>
      </c>
      <c r="K10" s="29">
        <v>7.4650000000000003E-3</v>
      </c>
      <c r="L10" s="1"/>
      <c r="M10" s="1"/>
      <c r="N10" s="18"/>
    </row>
    <row r="11" spans="2:14" ht="15" customHeight="1" x14ac:dyDescent="0.25">
      <c r="B11" s="20"/>
      <c r="C11" s="5" t="s">
        <v>88</v>
      </c>
      <c r="D11" s="6" t="s">
        <v>89</v>
      </c>
      <c r="E11" s="11">
        <v>7.1377999999999997E-2</v>
      </c>
      <c r="F11" s="1"/>
      <c r="G11" s="1"/>
      <c r="H11" s="1"/>
      <c r="I11" s="1"/>
      <c r="J11" s="24" t="s">
        <v>54</v>
      </c>
      <c r="K11" s="29">
        <v>0.69677800000000001</v>
      </c>
      <c r="L11" s="1"/>
      <c r="M11" s="1"/>
      <c r="N11" s="18"/>
    </row>
    <row r="12" spans="2:14" ht="15" customHeight="1" x14ac:dyDescent="0.25">
      <c r="B12" s="20"/>
      <c r="C12" s="5" t="s">
        <v>90</v>
      </c>
      <c r="D12" s="6" t="s">
        <v>85</v>
      </c>
      <c r="E12" s="11">
        <v>7.0751999999999995E-2</v>
      </c>
      <c r="F12" s="1"/>
      <c r="G12" s="1"/>
      <c r="H12" s="1"/>
      <c r="I12" s="1"/>
      <c r="J12" s="24" t="s">
        <v>43</v>
      </c>
      <c r="K12" s="29">
        <v>4.1099999999999999E-3</v>
      </c>
      <c r="L12" s="1"/>
      <c r="M12" s="1"/>
      <c r="N12" s="18"/>
    </row>
    <row r="13" spans="2:14" ht="15" customHeight="1" x14ac:dyDescent="0.25">
      <c r="B13" s="20"/>
      <c r="C13" s="5" t="s">
        <v>91</v>
      </c>
      <c r="D13" s="6" t="s">
        <v>85</v>
      </c>
      <c r="E13" s="11">
        <v>5.7949000000000001E-2</v>
      </c>
      <c r="F13" s="1"/>
      <c r="G13" s="1"/>
      <c r="H13" s="1"/>
      <c r="I13" s="1"/>
      <c r="J13" s="24" t="s">
        <v>55</v>
      </c>
      <c r="K13" s="29">
        <v>0.19009200000000001</v>
      </c>
      <c r="L13" s="1"/>
      <c r="M13" s="1"/>
      <c r="N13" s="18"/>
    </row>
    <row r="14" spans="2:14" ht="15" customHeight="1" x14ac:dyDescent="0.25">
      <c r="B14" s="20"/>
      <c r="C14" s="5" t="s">
        <v>92</v>
      </c>
      <c r="D14" s="6" t="s">
        <v>85</v>
      </c>
      <c r="E14" s="11">
        <v>5.7015999999999997E-2</v>
      </c>
      <c r="F14" s="1"/>
      <c r="G14" s="1"/>
      <c r="H14" s="1"/>
      <c r="I14" s="1"/>
      <c r="J14" s="24" t="s">
        <v>69</v>
      </c>
      <c r="K14" s="29">
        <v>5.2382999999999999E-2</v>
      </c>
      <c r="L14" s="1"/>
      <c r="M14" s="1"/>
      <c r="N14" s="18"/>
    </row>
    <row r="15" spans="2:14" ht="15" customHeight="1" x14ac:dyDescent="0.25">
      <c r="B15" s="20"/>
      <c r="C15" s="5" t="s">
        <v>93</v>
      </c>
      <c r="D15" s="6" t="s">
        <v>85</v>
      </c>
      <c r="E15" s="11">
        <v>5.6662999999999998E-2</v>
      </c>
      <c r="F15" s="1"/>
      <c r="G15" s="1"/>
      <c r="H15" s="1"/>
      <c r="I15" s="1"/>
      <c r="J15" s="1"/>
      <c r="K15" s="1"/>
      <c r="L15" s="1"/>
      <c r="M15" s="1"/>
      <c r="N15" s="18"/>
    </row>
    <row r="16" spans="2:14" ht="15" customHeight="1" x14ac:dyDescent="0.25">
      <c r="B16" s="20"/>
      <c r="C16" s="5" t="s">
        <v>94</v>
      </c>
      <c r="D16" s="6" t="s">
        <v>85</v>
      </c>
      <c r="E16" s="11">
        <v>4.265E-2</v>
      </c>
      <c r="F16" s="1"/>
      <c r="G16" s="1"/>
      <c r="H16" s="1"/>
      <c r="I16" s="1"/>
      <c r="J16" s="1"/>
      <c r="K16" s="1"/>
      <c r="L16" s="1"/>
      <c r="M16" s="1"/>
      <c r="N16" s="18"/>
    </row>
    <row r="17" spans="2:14" ht="15" customHeight="1" x14ac:dyDescent="0.25">
      <c r="B17" s="20"/>
      <c r="C17" s="5" t="s">
        <v>95</v>
      </c>
      <c r="D17" s="6" t="s">
        <v>89</v>
      </c>
      <c r="E17" s="11">
        <v>2.8497999999999999E-2</v>
      </c>
      <c r="F17" s="1"/>
      <c r="G17" s="1"/>
      <c r="H17" s="1"/>
      <c r="I17" s="1"/>
      <c r="J17" s="1"/>
      <c r="K17" s="1"/>
      <c r="L17" s="1"/>
      <c r="M17" s="1"/>
      <c r="N17" s="18"/>
    </row>
    <row r="18" spans="2:14" ht="15.75" customHeight="1" x14ac:dyDescent="0.25">
      <c r="B18" s="20"/>
      <c r="C18" s="7" t="s">
        <v>42</v>
      </c>
      <c r="D18" s="8"/>
      <c r="E18" s="12">
        <v>0.69677800000000001</v>
      </c>
      <c r="F18" s="1"/>
      <c r="G18" s="1"/>
      <c r="H18" s="1"/>
      <c r="I18" s="1"/>
      <c r="J18" s="1"/>
      <c r="K18" s="1"/>
      <c r="L18" s="1"/>
      <c r="M18" s="1"/>
      <c r="N18" s="18"/>
    </row>
    <row r="19" spans="2:14" ht="15" customHeight="1" x14ac:dyDescent="0.25">
      <c r="B19" s="20"/>
      <c r="C19" s="5" t="s">
        <v>43</v>
      </c>
      <c r="D19" s="6"/>
      <c r="E19" s="11">
        <v>4.1099999999999999E-3</v>
      </c>
      <c r="F19" s="1"/>
      <c r="G19" s="1"/>
      <c r="H19" s="1"/>
      <c r="I19" s="1"/>
      <c r="J19" s="1"/>
      <c r="K19" s="1"/>
      <c r="L19" s="1"/>
      <c r="M19" s="1"/>
      <c r="N19" s="18"/>
    </row>
    <row r="20" spans="2:14" ht="15.75" customHeight="1" x14ac:dyDescent="0.25">
      <c r="B20" s="20"/>
      <c r="C20" s="7" t="s">
        <v>44</v>
      </c>
      <c r="D20" s="8"/>
      <c r="E20" s="12">
        <v>4.1099999999999999E-3</v>
      </c>
      <c r="F20" s="1"/>
      <c r="G20" s="1"/>
      <c r="H20" s="1"/>
      <c r="I20" s="1"/>
      <c r="J20" s="1"/>
      <c r="K20" s="1"/>
      <c r="L20" s="1"/>
      <c r="M20" s="1"/>
      <c r="N20" s="18"/>
    </row>
    <row r="21" spans="2:14" ht="15" customHeight="1" x14ac:dyDescent="0.25">
      <c r="B21" s="20"/>
      <c r="C21" s="5" t="s">
        <v>59</v>
      </c>
      <c r="D21" s="6" t="s">
        <v>195</v>
      </c>
      <c r="E21" s="11">
        <v>0.155943</v>
      </c>
      <c r="F21" s="1"/>
      <c r="G21" s="1"/>
      <c r="H21" s="1"/>
      <c r="I21" s="1"/>
      <c r="J21" s="1"/>
      <c r="K21" s="1"/>
      <c r="L21" s="1"/>
      <c r="M21" s="1"/>
      <c r="N21" s="18"/>
    </row>
    <row r="22" spans="2:14" ht="15" customHeight="1" x14ac:dyDescent="0.25">
      <c r="B22" s="20"/>
      <c r="C22" s="5" t="s">
        <v>96</v>
      </c>
      <c r="D22" s="6" t="s">
        <v>195</v>
      </c>
      <c r="E22" s="11">
        <v>3.4148999999999999E-2</v>
      </c>
      <c r="F22" s="1"/>
      <c r="G22" s="1"/>
      <c r="H22" s="1"/>
      <c r="I22" s="1"/>
      <c r="J22" s="1"/>
      <c r="K22" s="1"/>
      <c r="L22" s="1"/>
      <c r="M22" s="1"/>
      <c r="N22" s="18"/>
    </row>
    <row r="23" spans="2:14" ht="15.75" customHeight="1" x14ac:dyDescent="0.25">
      <c r="B23" s="20"/>
      <c r="C23" s="7" t="s">
        <v>51</v>
      </c>
      <c r="D23" s="8"/>
      <c r="E23" s="12">
        <v>0.19009200000000001</v>
      </c>
      <c r="F23" s="1"/>
      <c r="G23" s="1"/>
      <c r="H23" s="1"/>
      <c r="I23" s="1"/>
      <c r="J23" s="1"/>
      <c r="K23" s="1"/>
      <c r="L23" s="1"/>
      <c r="M23" s="1"/>
      <c r="N23" s="18"/>
    </row>
    <row r="24" spans="2:14" ht="15" customHeight="1" x14ac:dyDescent="0.25">
      <c r="B24" s="20"/>
      <c r="C24" s="5" t="s">
        <v>265</v>
      </c>
      <c r="D24" s="6" t="s">
        <v>67</v>
      </c>
      <c r="E24" s="11">
        <v>5.2382999999999999E-2</v>
      </c>
      <c r="F24" s="1"/>
      <c r="G24" s="83" t="s">
        <v>17</v>
      </c>
      <c r="H24" s="84"/>
      <c r="I24" s="84"/>
      <c r="J24" s="84"/>
      <c r="K24" s="84"/>
      <c r="L24" s="26">
        <v>3.5704066909541581</v>
      </c>
      <c r="M24" s="27"/>
      <c r="N24" s="28"/>
    </row>
    <row r="25" spans="2:14" ht="15.75" customHeight="1" x14ac:dyDescent="0.25">
      <c r="B25" s="20"/>
      <c r="C25" s="7" t="s">
        <v>68</v>
      </c>
      <c r="D25" s="8"/>
      <c r="E25" s="12">
        <v>5.2382999999999999E-2</v>
      </c>
      <c r="F25" s="1"/>
      <c r="G25" s="1"/>
      <c r="H25" s="1"/>
      <c r="I25" s="1"/>
      <c r="J25" s="1"/>
      <c r="K25" s="1"/>
      <c r="L25" s="1"/>
      <c r="M25" s="1"/>
      <c r="N25" s="18"/>
    </row>
    <row r="26" spans="2:14" ht="15" customHeight="1" x14ac:dyDescent="0.25">
      <c r="B26" s="20"/>
      <c r="C26" s="5" t="s">
        <v>8</v>
      </c>
      <c r="D26" s="6"/>
      <c r="E26" s="11">
        <v>7.4650000000000003E-3</v>
      </c>
      <c r="F26" s="1"/>
      <c r="G26" s="83" t="s">
        <v>18</v>
      </c>
      <c r="H26" s="84"/>
      <c r="I26" s="84"/>
      <c r="J26" s="84"/>
      <c r="K26" s="84"/>
      <c r="L26" s="84"/>
      <c r="M26" s="84"/>
      <c r="N26" s="85"/>
    </row>
    <row r="27" spans="2:14" ht="15.75" customHeight="1" x14ac:dyDescent="0.25">
      <c r="B27" s="20"/>
      <c r="C27" s="7" t="s">
        <v>9</v>
      </c>
      <c r="D27" s="8"/>
      <c r="E27" s="12">
        <v>7.4650000000000003E-3</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10</v>
      </c>
      <c r="D29" s="8"/>
      <c r="E29" s="12">
        <v>4.9172E-2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9" t="s">
        <v>11</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t="s">
        <v>266</v>
      </c>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6" t="s">
        <v>264</v>
      </c>
      <c r="C45" s="67"/>
      <c r="D45" s="67"/>
      <c r="E45" s="67"/>
      <c r="F45" s="67"/>
      <c r="G45" s="67"/>
      <c r="H45" s="67"/>
      <c r="I45" s="67"/>
      <c r="J45" s="67"/>
      <c r="K45" s="67"/>
      <c r="L45" s="67"/>
      <c r="M45" s="67"/>
      <c r="N45" s="68"/>
    </row>
    <row r="46" spans="2:14" ht="15" customHeight="1" x14ac:dyDescent="0.25">
      <c r="B46" s="69"/>
      <c r="C46" s="70"/>
      <c r="D46" s="70"/>
      <c r="E46" s="70"/>
      <c r="F46" s="70"/>
      <c r="G46" s="70"/>
      <c r="H46" s="70"/>
      <c r="I46" s="70"/>
      <c r="J46" s="70"/>
      <c r="K46" s="70"/>
      <c r="L46" s="70"/>
      <c r="M46" s="70"/>
      <c r="N46" s="71"/>
    </row>
    <row r="47" spans="2:14" ht="15" customHeight="1" x14ac:dyDescent="0.25">
      <c r="B47" s="69"/>
      <c r="C47" s="70"/>
      <c r="D47" s="70"/>
      <c r="E47" s="70"/>
      <c r="F47" s="70"/>
      <c r="G47" s="70"/>
      <c r="H47" s="70"/>
      <c r="I47" s="70"/>
      <c r="J47" s="70"/>
      <c r="K47" s="70"/>
      <c r="L47" s="70"/>
      <c r="M47" s="70"/>
      <c r="N47" s="71"/>
    </row>
    <row r="48" spans="2:14" ht="15" customHeight="1" thickBot="1" x14ac:dyDescent="0.3">
      <c r="B48" s="72"/>
      <c r="C48" s="73"/>
      <c r="D48" s="73"/>
      <c r="E48" s="73"/>
      <c r="F48" s="73"/>
      <c r="G48" s="73"/>
      <c r="H48" s="73"/>
      <c r="I48" s="73"/>
      <c r="J48" s="73"/>
      <c r="K48" s="73"/>
      <c r="L48" s="73"/>
      <c r="M48" s="73"/>
      <c r="N48" s="74"/>
    </row>
    <row r="49" spans="2:14" ht="15" customHeight="1" thickBot="1" x14ac:dyDescent="0.3"/>
    <row r="50" spans="2:14" ht="141" customHeight="1" thickBot="1" x14ac:dyDescent="0.3">
      <c r="B50" s="75" t="s">
        <v>263</v>
      </c>
      <c r="C50" s="76"/>
      <c r="D50" s="76"/>
      <c r="E50" s="76"/>
      <c r="F50" s="76"/>
      <c r="G50" s="76"/>
      <c r="H50" s="76"/>
      <c r="I50" s="76"/>
      <c r="J50" s="76"/>
      <c r="K50" s="76"/>
      <c r="L50" s="76"/>
      <c r="M50" s="76"/>
      <c r="N50" s="77"/>
    </row>
    <row r="51"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1AE4-4549-49B6-B9EE-6736C42E0840}">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163</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164</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60</v>
      </c>
      <c r="D8" s="6" t="s">
        <v>195</v>
      </c>
      <c r="E8" s="11">
        <v>0.65474299999999996</v>
      </c>
      <c r="F8" s="1"/>
      <c r="G8" s="24" t="s">
        <v>15</v>
      </c>
      <c r="H8" s="25">
        <v>1</v>
      </c>
      <c r="I8" s="1"/>
      <c r="J8" s="24" t="s">
        <v>12</v>
      </c>
      <c r="K8" s="24" t="s">
        <v>5</v>
      </c>
      <c r="L8" s="1"/>
      <c r="M8" s="1"/>
      <c r="N8" s="18"/>
    </row>
    <row r="9" spans="2:14" ht="15" customHeight="1" x14ac:dyDescent="0.25">
      <c r="B9" s="20"/>
      <c r="C9" s="5" t="s">
        <v>165</v>
      </c>
      <c r="D9" s="6" t="s">
        <v>195</v>
      </c>
      <c r="E9" s="11">
        <v>0.22756999999999999</v>
      </c>
      <c r="F9" s="1"/>
      <c r="G9" s="1"/>
      <c r="H9" s="1"/>
      <c r="I9" s="1"/>
      <c r="J9" s="24" t="s">
        <v>10</v>
      </c>
      <c r="K9" s="29">
        <v>2.7722E-2</v>
      </c>
      <c r="L9" s="1"/>
      <c r="M9" s="1"/>
      <c r="N9" s="18"/>
    </row>
    <row r="10" spans="2:14" ht="15" customHeight="1" x14ac:dyDescent="0.25">
      <c r="B10" s="20"/>
      <c r="C10" s="5" t="s">
        <v>166</v>
      </c>
      <c r="D10" s="6" t="s">
        <v>195</v>
      </c>
      <c r="E10" s="11">
        <v>7.3751999999999998E-2</v>
      </c>
      <c r="F10" s="1"/>
      <c r="G10" s="1"/>
      <c r="H10" s="1"/>
      <c r="I10" s="1"/>
      <c r="J10" s="24" t="s">
        <v>13</v>
      </c>
      <c r="K10" s="29">
        <v>1.6213000000000002E-2</v>
      </c>
      <c r="L10" s="1"/>
      <c r="M10" s="1"/>
      <c r="N10" s="18"/>
    </row>
    <row r="11" spans="2:14" ht="15.75" customHeight="1" x14ac:dyDescent="0.25">
      <c r="B11" s="20"/>
      <c r="C11" s="7" t="s">
        <v>51</v>
      </c>
      <c r="D11" s="8"/>
      <c r="E11" s="12">
        <v>0.95606500000000005</v>
      </c>
      <c r="F11" s="1"/>
      <c r="G11" s="1"/>
      <c r="H11" s="1"/>
      <c r="I11" s="1"/>
      <c r="J11" s="24" t="s">
        <v>55</v>
      </c>
      <c r="K11" s="29">
        <v>0.95606500000000005</v>
      </c>
      <c r="L11" s="1"/>
      <c r="M11" s="1"/>
      <c r="N11" s="18"/>
    </row>
    <row r="12" spans="2:14" ht="15" customHeight="1" x14ac:dyDescent="0.25">
      <c r="B12" s="20"/>
      <c r="C12" s="5" t="s">
        <v>8</v>
      </c>
      <c r="D12" s="6"/>
      <c r="E12" s="11">
        <v>1.6213000000000002E-2</v>
      </c>
      <c r="F12" s="1"/>
      <c r="G12" s="1"/>
      <c r="H12" s="1"/>
      <c r="I12" s="1"/>
      <c r="J12" s="1"/>
      <c r="K12" s="1"/>
      <c r="L12" s="1"/>
      <c r="M12" s="1"/>
      <c r="N12" s="18"/>
    </row>
    <row r="13" spans="2:14" ht="15.75" customHeight="1" x14ac:dyDescent="0.25">
      <c r="B13" s="20"/>
      <c r="C13" s="7" t="s">
        <v>9</v>
      </c>
      <c r="D13" s="8"/>
      <c r="E13" s="12">
        <v>1.6213000000000002E-2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2.7722E-2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34.24673564957147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BAC23-C878-49E4-B2E1-8538F6718419}">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133</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134</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60</v>
      </c>
      <c r="D8" s="6" t="s">
        <v>195</v>
      </c>
      <c r="E8" s="11">
        <v>0.96276799999999996</v>
      </c>
      <c r="F8" s="1"/>
      <c r="G8" s="24" t="s">
        <v>15</v>
      </c>
      <c r="H8" s="25">
        <v>1</v>
      </c>
      <c r="I8" s="1"/>
      <c r="J8" s="24" t="s">
        <v>12</v>
      </c>
      <c r="K8" s="24" t="s">
        <v>5</v>
      </c>
      <c r="L8" s="1"/>
      <c r="M8" s="1"/>
      <c r="N8" s="18"/>
    </row>
    <row r="9" spans="2:14" ht="15" customHeight="1" x14ac:dyDescent="0.25">
      <c r="B9" s="20"/>
      <c r="C9" s="5" t="s">
        <v>59</v>
      </c>
      <c r="D9" s="6" t="s">
        <v>195</v>
      </c>
      <c r="E9" s="11">
        <v>9.5130000000000006E-3</v>
      </c>
      <c r="F9" s="1"/>
      <c r="G9" s="1"/>
      <c r="H9" s="1"/>
      <c r="I9" s="1"/>
      <c r="J9" s="24" t="s">
        <v>10</v>
      </c>
      <c r="K9" s="29">
        <v>2.5446E-2</v>
      </c>
      <c r="L9" s="1"/>
      <c r="M9" s="1"/>
      <c r="N9" s="18"/>
    </row>
    <row r="10" spans="2:14" ht="15" customHeight="1" x14ac:dyDescent="0.25">
      <c r="B10" s="20"/>
      <c r="C10" s="5" t="s">
        <v>116</v>
      </c>
      <c r="D10" s="6" t="s">
        <v>195</v>
      </c>
      <c r="E10" s="30">
        <v>2.9E-5</v>
      </c>
      <c r="F10" s="1"/>
      <c r="G10" s="1"/>
      <c r="H10" s="1"/>
      <c r="I10" s="1"/>
      <c r="J10" s="24" t="s">
        <v>13</v>
      </c>
      <c r="K10" s="29">
        <v>2.2439999999999999E-3</v>
      </c>
      <c r="L10" s="1"/>
      <c r="M10" s="1"/>
      <c r="N10" s="18"/>
    </row>
    <row r="11" spans="2:14" ht="15.75" customHeight="1" x14ac:dyDescent="0.25">
      <c r="B11" s="20"/>
      <c r="C11" s="7" t="s">
        <v>51</v>
      </c>
      <c r="D11" s="8"/>
      <c r="E11" s="12">
        <v>0.97231000000000001</v>
      </c>
      <c r="F11" s="1"/>
      <c r="G11" s="1"/>
      <c r="H11" s="1"/>
      <c r="I11" s="1"/>
      <c r="J11" s="24" t="s">
        <v>55</v>
      </c>
      <c r="K11" s="29">
        <v>0.97231000000000001</v>
      </c>
      <c r="L11" s="1"/>
      <c r="M11" s="1"/>
      <c r="N11" s="18"/>
    </row>
    <row r="12" spans="2:14" ht="15" customHeight="1" x14ac:dyDescent="0.25">
      <c r="B12" s="20"/>
      <c r="C12" s="5" t="s">
        <v>8</v>
      </c>
      <c r="D12" s="6"/>
      <c r="E12" s="11">
        <v>2.2439999999999999E-3</v>
      </c>
      <c r="F12" s="1"/>
      <c r="G12" s="1"/>
      <c r="H12" s="1"/>
      <c r="I12" s="1"/>
      <c r="J12" s="1"/>
      <c r="K12" s="1"/>
      <c r="L12" s="1"/>
      <c r="M12" s="1"/>
      <c r="N12" s="18"/>
    </row>
    <row r="13" spans="2:14" ht="15.75" customHeight="1" x14ac:dyDescent="0.25">
      <c r="B13" s="20"/>
      <c r="C13" s="7" t="s">
        <v>9</v>
      </c>
      <c r="D13" s="8"/>
      <c r="E13" s="12">
        <v>2.2439999999999999E-3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2.5446E-2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28.950137947413044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1"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E329-D99C-480B-A99E-F41729DBE0FC}">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131</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132</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59</v>
      </c>
      <c r="D8" s="6" t="s">
        <v>195</v>
      </c>
      <c r="E8" s="11">
        <v>0.43478299999999998</v>
      </c>
      <c r="F8" s="1"/>
      <c r="G8" s="24" t="s">
        <v>15</v>
      </c>
      <c r="H8" s="25">
        <v>1</v>
      </c>
      <c r="I8" s="1"/>
      <c r="J8" s="24" t="s">
        <v>12</v>
      </c>
      <c r="K8" s="24" t="s">
        <v>5</v>
      </c>
      <c r="L8" s="1"/>
      <c r="M8" s="1"/>
      <c r="N8" s="18"/>
    </row>
    <row r="9" spans="2:14" ht="15" customHeight="1" x14ac:dyDescent="0.25">
      <c r="B9" s="20"/>
      <c r="C9" s="5" t="s">
        <v>48</v>
      </c>
      <c r="D9" s="6" t="s">
        <v>195</v>
      </c>
      <c r="E9" s="11">
        <v>0.33890300000000001</v>
      </c>
      <c r="F9" s="1"/>
      <c r="G9" s="1"/>
      <c r="H9" s="1"/>
      <c r="I9" s="1"/>
      <c r="J9" s="24" t="s">
        <v>10</v>
      </c>
      <c r="K9" s="29">
        <v>1.7492000000000001E-2</v>
      </c>
      <c r="L9" s="1"/>
      <c r="M9" s="1"/>
      <c r="N9" s="18"/>
    </row>
    <row r="10" spans="2:14" ht="15" customHeight="1" x14ac:dyDescent="0.25">
      <c r="B10" s="20"/>
      <c r="C10" s="5" t="s">
        <v>47</v>
      </c>
      <c r="D10" s="6" t="s">
        <v>195</v>
      </c>
      <c r="E10" s="11">
        <v>0.18384600000000001</v>
      </c>
      <c r="F10" s="1"/>
      <c r="G10" s="1"/>
      <c r="H10" s="1"/>
      <c r="I10" s="1"/>
      <c r="J10" s="24" t="s">
        <v>13</v>
      </c>
      <c r="K10" s="29">
        <v>1.6011000000000001E-2</v>
      </c>
      <c r="L10" s="1"/>
      <c r="M10" s="1"/>
      <c r="N10" s="18"/>
    </row>
    <row r="11" spans="2:14" ht="15" customHeight="1" x14ac:dyDescent="0.25">
      <c r="B11" s="20"/>
      <c r="C11" s="5" t="s">
        <v>66</v>
      </c>
      <c r="D11" s="6" t="s">
        <v>195</v>
      </c>
      <c r="E11" s="11">
        <v>6.7980000000000002E-3</v>
      </c>
      <c r="F11" s="1"/>
      <c r="G11" s="1"/>
      <c r="H11" s="1"/>
      <c r="I11" s="1"/>
      <c r="J11" s="24" t="s">
        <v>55</v>
      </c>
      <c r="K11" s="29">
        <v>0.96649700000000005</v>
      </c>
      <c r="L11" s="1"/>
      <c r="M11" s="1"/>
      <c r="N11" s="18"/>
    </row>
    <row r="12" spans="2:14" ht="15" customHeight="1" x14ac:dyDescent="0.25">
      <c r="B12" s="20"/>
      <c r="C12" s="5" t="s">
        <v>116</v>
      </c>
      <c r="D12" s="6" t="s">
        <v>195</v>
      </c>
      <c r="E12" s="11">
        <v>2.1670000000000001E-3</v>
      </c>
      <c r="F12" s="1"/>
      <c r="G12" s="1"/>
      <c r="H12" s="1"/>
      <c r="I12" s="1"/>
      <c r="J12" s="1"/>
      <c r="K12" s="1"/>
      <c r="L12" s="1"/>
      <c r="M12" s="1"/>
      <c r="N12" s="18"/>
    </row>
    <row r="13" spans="2:14" ht="15.75" customHeight="1" x14ac:dyDescent="0.25">
      <c r="B13" s="20"/>
      <c r="C13" s="7" t="s">
        <v>51</v>
      </c>
      <c r="D13" s="8"/>
      <c r="E13" s="12">
        <v>0.96649700000000005</v>
      </c>
      <c r="F13" s="1"/>
      <c r="G13" s="1"/>
      <c r="H13" s="1"/>
      <c r="I13" s="1"/>
      <c r="J13" s="1"/>
      <c r="K13" s="1"/>
      <c r="L13" s="1"/>
      <c r="M13" s="1"/>
      <c r="N13" s="18"/>
    </row>
    <row r="14" spans="2:14" ht="15" customHeight="1" x14ac:dyDescent="0.25">
      <c r="B14" s="20"/>
      <c r="C14" s="5" t="s">
        <v>8</v>
      </c>
      <c r="D14" s="6"/>
      <c r="E14" s="11">
        <v>1.6011000000000001E-2</v>
      </c>
      <c r="F14" s="1"/>
      <c r="G14" s="1"/>
      <c r="H14" s="1"/>
      <c r="I14" s="1"/>
      <c r="J14" s="1"/>
      <c r="K14" s="1"/>
      <c r="L14" s="1"/>
      <c r="M14" s="1"/>
      <c r="N14" s="18"/>
    </row>
    <row r="15" spans="2:14" ht="15.75" customHeight="1" x14ac:dyDescent="0.25">
      <c r="B15" s="20"/>
      <c r="C15" s="7" t="s">
        <v>9</v>
      </c>
      <c r="D15" s="8"/>
      <c r="E15" s="12">
        <v>1.6011000000000001E-2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1.7492000000000001E-2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10.114932926492557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B471-59CC-461D-8FF9-AA96FA7292BC}">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108</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109</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110</v>
      </c>
      <c r="D8" s="6" t="s">
        <v>195</v>
      </c>
      <c r="E8" s="11">
        <v>0.32078800000000002</v>
      </c>
      <c r="F8" s="1"/>
      <c r="G8" s="24" t="s">
        <v>15</v>
      </c>
      <c r="H8" s="25">
        <v>1</v>
      </c>
      <c r="I8" s="1"/>
      <c r="J8" s="24" t="s">
        <v>12</v>
      </c>
      <c r="K8" s="24" t="s">
        <v>5</v>
      </c>
      <c r="L8" s="1"/>
      <c r="M8" s="1"/>
      <c r="N8" s="18"/>
    </row>
    <row r="9" spans="2:14" ht="15" customHeight="1" x14ac:dyDescent="0.25">
      <c r="B9" s="20"/>
      <c r="C9" s="5" t="s">
        <v>74</v>
      </c>
      <c r="D9" s="6" t="s">
        <v>195</v>
      </c>
      <c r="E9" s="11">
        <v>0.31087300000000001</v>
      </c>
      <c r="F9" s="1"/>
      <c r="G9" s="1"/>
      <c r="H9" s="1"/>
      <c r="I9" s="1"/>
      <c r="J9" s="24" t="s">
        <v>10</v>
      </c>
      <c r="K9" s="29">
        <v>8.8710000000000004E-3</v>
      </c>
      <c r="L9" s="1"/>
      <c r="M9" s="1"/>
      <c r="N9" s="18"/>
    </row>
    <row r="10" spans="2:14" ht="15" customHeight="1" x14ac:dyDescent="0.25">
      <c r="B10" s="20"/>
      <c r="C10" s="5" t="s">
        <v>111</v>
      </c>
      <c r="D10" s="6" t="s">
        <v>195</v>
      </c>
      <c r="E10" s="11">
        <v>0.18800800000000001</v>
      </c>
      <c r="F10" s="1"/>
      <c r="G10" s="1"/>
      <c r="H10" s="1"/>
      <c r="I10" s="1"/>
      <c r="J10" s="24" t="s">
        <v>13</v>
      </c>
      <c r="K10" s="29">
        <v>8.175E-3</v>
      </c>
      <c r="L10" s="1"/>
      <c r="M10" s="1"/>
      <c r="N10" s="18"/>
    </row>
    <row r="11" spans="2:14" ht="15" customHeight="1" x14ac:dyDescent="0.25">
      <c r="B11" s="20"/>
      <c r="C11" s="5" t="s">
        <v>112</v>
      </c>
      <c r="D11" s="6" t="s">
        <v>195</v>
      </c>
      <c r="E11" s="11">
        <v>0.100908</v>
      </c>
      <c r="F11" s="1"/>
      <c r="G11" s="1"/>
      <c r="H11" s="1"/>
      <c r="I11" s="1"/>
      <c r="J11" s="24" t="s">
        <v>55</v>
      </c>
      <c r="K11" s="29">
        <v>0.98295399999999999</v>
      </c>
      <c r="L11" s="1"/>
      <c r="M11" s="1"/>
      <c r="N11" s="18"/>
    </row>
    <row r="12" spans="2:14" ht="15" customHeight="1" x14ac:dyDescent="0.25">
      <c r="B12" s="20"/>
      <c r="C12" s="5" t="s">
        <v>113</v>
      </c>
      <c r="D12" s="6" t="s">
        <v>195</v>
      </c>
      <c r="E12" s="11">
        <v>6.2377000000000002E-2</v>
      </c>
      <c r="F12" s="1"/>
      <c r="G12" s="1"/>
      <c r="H12" s="1"/>
      <c r="I12" s="1"/>
      <c r="J12" s="1"/>
      <c r="K12" s="1"/>
      <c r="L12" s="1"/>
      <c r="M12" s="1"/>
      <c r="N12" s="18"/>
    </row>
    <row r="13" spans="2:14" ht="15.75" customHeight="1" x14ac:dyDescent="0.25">
      <c r="B13" s="20"/>
      <c r="C13" s="7" t="s">
        <v>51</v>
      </c>
      <c r="D13" s="8"/>
      <c r="E13" s="12">
        <v>0.98295399999999999</v>
      </c>
      <c r="F13" s="1"/>
      <c r="G13" s="1"/>
      <c r="H13" s="1"/>
      <c r="I13" s="1"/>
      <c r="J13" s="1"/>
      <c r="K13" s="1"/>
      <c r="L13" s="1"/>
      <c r="M13" s="1"/>
      <c r="N13" s="18"/>
    </row>
    <row r="14" spans="2:14" ht="15" customHeight="1" x14ac:dyDescent="0.25">
      <c r="B14" s="20"/>
      <c r="C14" s="5" t="s">
        <v>8</v>
      </c>
      <c r="D14" s="6"/>
      <c r="E14" s="11">
        <v>8.175E-3</v>
      </c>
      <c r="F14" s="1"/>
      <c r="G14" s="1"/>
      <c r="H14" s="1"/>
      <c r="I14" s="1"/>
      <c r="J14" s="1"/>
      <c r="K14" s="1"/>
      <c r="L14" s="1"/>
      <c r="M14" s="1"/>
      <c r="N14" s="18"/>
    </row>
    <row r="15" spans="2:14" ht="15.75" customHeight="1" x14ac:dyDescent="0.25">
      <c r="B15" s="20"/>
      <c r="C15" s="7" t="s">
        <v>9</v>
      </c>
      <c r="D15" s="8"/>
      <c r="E15" s="12">
        <v>8.175E-3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10</v>
      </c>
      <c r="D17" s="8"/>
      <c r="E17" s="12">
        <v>8.8710000000000004E-3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11</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1.8471402382133331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DCCEE-620C-4A0D-9578-7447BC0C9A3D}">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121</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122</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107</v>
      </c>
      <c r="D8" s="6" t="s">
        <v>195</v>
      </c>
      <c r="E8" s="11">
        <v>0.77794099999999999</v>
      </c>
      <c r="F8" s="1"/>
      <c r="G8" s="24" t="s">
        <v>15</v>
      </c>
      <c r="H8" s="25">
        <v>1</v>
      </c>
      <c r="I8" s="1"/>
      <c r="J8" s="24" t="s">
        <v>12</v>
      </c>
      <c r="K8" s="24" t="s">
        <v>5</v>
      </c>
      <c r="L8" s="1"/>
      <c r="M8" s="1"/>
      <c r="N8" s="18"/>
    </row>
    <row r="9" spans="2:14" ht="15" customHeight="1" x14ac:dyDescent="0.25">
      <c r="B9" s="20"/>
      <c r="C9" s="5" t="s">
        <v>66</v>
      </c>
      <c r="D9" s="6" t="s">
        <v>195</v>
      </c>
      <c r="E9" s="11">
        <v>9.8595000000000002E-2</v>
      </c>
      <c r="F9" s="1"/>
      <c r="G9" s="1"/>
      <c r="H9" s="1"/>
      <c r="I9" s="1"/>
      <c r="J9" s="24" t="s">
        <v>10</v>
      </c>
      <c r="K9" s="29">
        <v>2.5099E-2</v>
      </c>
      <c r="L9" s="1"/>
      <c r="M9" s="1"/>
      <c r="N9" s="18"/>
    </row>
    <row r="10" spans="2:14" ht="15" customHeight="1" x14ac:dyDescent="0.25">
      <c r="B10" s="20"/>
      <c r="C10" s="5" t="s">
        <v>62</v>
      </c>
      <c r="D10" s="6" t="s">
        <v>195</v>
      </c>
      <c r="E10" s="11">
        <v>8.8821999999999998E-2</v>
      </c>
      <c r="F10" s="1"/>
      <c r="G10" s="1"/>
      <c r="H10" s="1"/>
      <c r="I10" s="1"/>
      <c r="J10" s="24" t="s">
        <v>13</v>
      </c>
      <c r="K10" s="29">
        <v>9.5429999999999994E-3</v>
      </c>
      <c r="L10" s="1"/>
      <c r="M10" s="1"/>
      <c r="N10" s="18"/>
    </row>
    <row r="11" spans="2:14" ht="15.75" customHeight="1" x14ac:dyDescent="0.25">
      <c r="B11" s="20"/>
      <c r="C11" s="7" t="s">
        <v>51</v>
      </c>
      <c r="D11" s="8"/>
      <c r="E11" s="12">
        <v>0.96535800000000005</v>
      </c>
      <c r="F11" s="1"/>
      <c r="G11" s="1"/>
      <c r="H11" s="1"/>
      <c r="I11" s="1"/>
      <c r="J11" s="24" t="s">
        <v>55</v>
      </c>
      <c r="K11" s="29">
        <v>0.96535800000000005</v>
      </c>
      <c r="L11" s="1"/>
      <c r="M11" s="1"/>
      <c r="N11" s="18"/>
    </row>
    <row r="12" spans="2:14" ht="15" customHeight="1" x14ac:dyDescent="0.25">
      <c r="B12" s="20"/>
      <c r="C12" s="5" t="s">
        <v>8</v>
      </c>
      <c r="D12" s="6"/>
      <c r="E12" s="11">
        <v>9.5429999999999994E-3</v>
      </c>
      <c r="F12" s="1"/>
      <c r="G12" s="1"/>
      <c r="H12" s="1"/>
      <c r="I12" s="1"/>
      <c r="J12" s="1"/>
      <c r="K12" s="1"/>
      <c r="L12" s="1"/>
      <c r="M12" s="1"/>
      <c r="N12" s="18"/>
    </row>
    <row r="13" spans="2:14" ht="15.75" customHeight="1" x14ac:dyDescent="0.25">
      <c r="B13" s="20"/>
      <c r="C13" s="7" t="s">
        <v>9</v>
      </c>
      <c r="D13" s="8"/>
      <c r="E13" s="12">
        <v>9.5429999999999994E-3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2.5099E-2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3.0669765986712187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75"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F197B-1D50-433A-869D-79F404BC8E16}">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114</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115</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116</v>
      </c>
      <c r="D8" s="6" t="s">
        <v>195</v>
      </c>
      <c r="E8" s="11">
        <v>0.61829599999999996</v>
      </c>
      <c r="F8" s="1"/>
      <c r="G8" s="24" t="s">
        <v>15</v>
      </c>
      <c r="H8" s="25">
        <v>1</v>
      </c>
      <c r="I8" s="1"/>
      <c r="J8" s="24" t="s">
        <v>12</v>
      </c>
      <c r="K8" s="24" t="s">
        <v>5</v>
      </c>
      <c r="L8" s="1"/>
      <c r="M8" s="1"/>
      <c r="N8" s="18"/>
    </row>
    <row r="9" spans="2:14" ht="15" customHeight="1" x14ac:dyDescent="0.25">
      <c r="B9" s="20"/>
      <c r="C9" s="5" t="s">
        <v>117</v>
      </c>
      <c r="D9" s="6" t="s">
        <v>195</v>
      </c>
      <c r="E9" s="11">
        <v>0.25878299999999999</v>
      </c>
      <c r="F9" s="1"/>
      <c r="G9" s="1"/>
      <c r="H9" s="1"/>
      <c r="I9" s="1"/>
      <c r="J9" s="24" t="s">
        <v>10</v>
      </c>
      <c r="K9" s="29">
        <v>1.8595E-2</v>
      </c>
      <c r="L9" s="1"/>
      <c r="M9" s="1"/>
      <c r="N9" s="18"/>
    </row>
    <row r="10" spans="2:14" ht="15" customHeight="1" x14ac:dyDescent="0.25">
      <c r="B10" s="20"/>
      <c r="C10" s="5" t="s">
        <v>107</v>
      </c>
      <c r="D10" s="6" t="s">
        <v>195</v>
      </c>
      <c r="E10" s="11">
        <v>9.5537999999999998E-2</v>
      </c>
      <c r="F10" s="1"/>
      <c r="G10" s="1"/>
      <c r="H10" s="1"/>
      <c r="I10" s="1"/>
      <c r="J10" s="24" t="s">
        <v>13</v>
      </c>
      <c r="K10" s="29">
        <v>8.7880000000000007E-3</v>
      </c>
      <c r="L10" s="1"/>
      <c r="M10" s="1"/>
      <c r="N10" s="18"/>
    </row>
    <row r="11" spans="2:14" ht="15.75" customHeight="1" x14ac:dyDescent="0.25">
      <c r="B11" s="20"/>
      <c r="C11" s="7" t="s">
        <v>51</v>
      </c>
      <c r="D11" s="8"/>
      <c r="E11" s="12">
        <v>0.97261699999999995</v>
      </c>
      <c r="F11" s="1"/>
      <c r="G11" s="1"/>
      <c r="H11" s="1"/>
      <c r="I11" s="1"/>
      <c r="J11" s="24" t="s">
        <v>55</v>
      </c>
      <c r="K11" s="29">
        <v>0.97261699999999995</v>
      </c>
      <c r="L11" s="1"/>
      <c r="M11" s="1"/>
      <c r="N11" s="18"/>
    </row>
    <row r="12" spans="2:14" ht="15" customHeight="1" x14ac:dyDescent="0.25">
      <c r="B12" s="20"/>
      <c r="C12" s="5" t="s">
        <v>8</v>
      </c>
      <c r="D12" s="6"/>
      <c r="E12" s="11">
        <v>8.7880000000000007E-3</v>
      </c>
      <c r="F12" s="1"/>
      <c r="G12" s="1"/>
      <c r="H12" s="1"/>
      <c r="I12" s="1"/>
      <c r="J12" s="1"/>
      <c r="K12" s="1"/>
      <c r="L12" s="1"/>
      <c r="M12" s="1"/>
      <c r="N12" s="18"/>
    </row>
    <row r="13" spans="2:14" ht="15.75" customHeight="1" x14ac:dyDescent="0.25">
      <c r="B13" s="20"/>
      <c r="C13" s="7" t="s">
        <v>9</v>
      </c>
      <c r="D13" s="8"/>
      <c r="E13" s="12">
        <v>8.7880000000000007E-3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10</v>
      </c>
      <c r="D15" s="8"/>
      <c r="E15" s="12">
        <v>1.8595E-2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11</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3.5292164424453296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8.25"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BCD53-4BE1-475D-9E49-988CAAA6B17B}">
  <dimension ref="B1:N45"/>
  <sheetViews>
    <sheetView showGridLines="0" zoomScale="75" zoomScaleNormal="75" workbookViewId="0"/>
  </sheetViews>
  <sheetFormatPr defaultRowHeight="15" x14ac:dyDescent="0.25"/>
  <cols>
    <col min="1" max="1" width="2.85546875" customWidth="1"/>
    <col min="2" max="2" width="3.85546875" customWidth="1"/>
    <col min="3" max="3" width="47.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118</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119</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48</v>
      </c>
      <c r="D8" s="6" t="s">
        <v>195</v>
      </c>
      <c r="E8" s="11">
        <v>0.76000400000000001</v>
      </c>
      <c r="F8" s="1"/>
      <c r="G8" s="24" t="s">
        <v>15</v>
      </c>
      <c r="H8" s="25">
        <v>1</v>
      </c>
      <c r="I8" s="1"/>
      <c r="J8" s="24" t="s">
        <v>12</v>
      </c>
      <c r="K8" s="24" t="s">
        <v>5</v>
      </c>
      <c r="L8" s="1"/>
      <c r="M8" s="1"/>
      <c r="N8" s="18"/>
    </row>
    <row r="9" spans="2:14" ht="15" customHeight="1" x14ac:dyDescent="0.25">
      <c r="B9" s="20"/>
      <c r="C9" s="5" t="s">
        <v>101</v>
      </c>
      <c r="D9" s="6" t="s">
        <v>195</v>
      </c>
      <c r="E9" s="11">
        <v>0.20961399999999999</v>
      </c>
      <c r="F9" s="1"/>
      <c r="G9" s="1"/>
      <c r="H9" s="1"/>
      <c r="I9" s="1"/>
      <c r="J9" s="24" t="s">
        <v>10</v>
      </c>
      <c r="K9" s="29">
        <v>1.8867999999999999E-2</v>
      </c>
      <c r="L9" s="1"/>
      <c r="M9" s="1"/>
      <c r="N9" s="18"/>
    </row>
    <row r="10" spans="2:14" ht="15.75" customHeight="1" x14ac:dyDescent="0.25">
      <c r="B10" s="20"/>
      <c r="C10" s="7" t="s">
        <v>51</v>
      </c>
      <c r="D10" s="8"/>
      <c r="E10" s="12">
        <v>0.96961799999999998</v>
      </c>
      <c r="F10" s="1"/>
      <c r="G10" s="1"/>
      <c r="H10" s="1"/>
      <c r="I10" s="1"/>
      <c r="J10" s="24" t="s">
        <v>13</v>
      </c>
      <c r="K10" s="29">
        <v>1.1514E-2</v>
      </c>
      <c r="L10" s="1"/>
      <c r="M10" s="1"/>
      <c r="N10" s="18"/>
    </row>
    <row r="11" spans="2:14" ht="15" customHeight="1" x14ac:dyDescent="0.25">
      <c r="B11" s="20"/>
      <c r="C11" s="5" t="s">
        <v>8</v>
      </c>
      <c r="D11" s="6"/>
      <c r="E11" s="11">
        <v>1.1514E-2</v>
      </c>
      <c r="F11" s="1"/>
      <c r="G11" s="1"/>
      <c r="H11" s="1"/>
      <c r="I11" s="1"/>
      <c r="J11" s="24" t="s">
        <v>55</v>
      </c>
      <c r="K11" s="29">
        <v>0.96961799999999998</v>
      </c>
      <c r="L11" s="1"/>
      <c r="M11" s="1"/>
      <c r="N11" s="18"/>
    </row>
    <row r="12" spans="2:14" ht="15.75" customHeight="1" x14ac:dyDescent="0.25">
      <c r="B12" s="20"/>
      <c r="C12" s="7" t="s">
        <v>9</v>
      </c>
      <c r="D12" s="8"/>
      <c r="E12" s="12">
        <v>1.1514E-2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1.8867999999999999E-2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7.5226751784905934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A37-73A9-440C-B32E-2BBFF2D98E1E}">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102</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103</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104</v>
      </c>
      <c r="D8" s="6" t="s">
        <v>195</v>
      </c>
      <c r="E8" s="11">
        <v>0.127494</v>
      </c>
      <c r="F8" s="1"/>
      <c r="G8" s="24" t="s">
        <v>15</v>
      </c>
      <c r="H8" s="25">
        <v>1</v>
      </c>
      <c r="I8" s="1"/>
      <c r="J8" s="24" t="s">
        <v>12</v>
      </c>
      <c r="K8" s="24" t="s">
        <v>5</v>
      </c>
      <c r="L8" s="1"/>
      <c r="M8" s="1"/>
      <c r="N8" s="18"/>
    </row>
    <row r="9" spans="2:14" ht="15.75" customHeight="1" x14ac:dyDescent="0.25">
      <c r="B9" s="20"/>
      <c r="C9" s="7" t="s">
        <v>51</v>
      </c>
      <c r="D9" s="8"/>
      <c r="E9" s="12">
        <v>0.127494</v>
      </c>
      <c r="F9" s="1"/>
      <c r="G9" s="1"/>
      <c r="H9" s="1"/>
      <c r="I9" s="1"/>
      <c r="J9" s="24" t="s">
        <v>10</v>
      </c>
      <c r="K9" s="29">
        <v>1.9681000000000001E-2</v>
      </c>
      <c r="L9" s="1"/>
      <c r="M9" s="1"/>
      <c r="N9" s="18"/>
    </row>
    <row r="10" spans="2:14" ht="15" customHeight="1" x14ac:dyDescent="0.25">
      <c r="B10" s="20"/>
      <c r="C10" s="5" t="s">
        <v>220</v>
      </c>
      <c r="D10" s="6" t="s">
        <v>195</v>
      </c>
      <c r="E10" s="11">
        <v>0.154277</v>
      </c>
      <c r="F10" s="1"/>
      <c r="G10" s="1"/>
      <c r="H10" s="1"/>
      <c r="I10" s="1"/>
      <c r="J10" s="24" t="s">
        <v>13</v>
      </c>
      <c r="K10" s="29">
        <v>1.9851000000000001E-2</v>
      </c>
      <c r="L10" s="1"/>
      <c r="M10" s="1"/>
      <c r="N10" s="18"/>
    </row>
    <row r="11" spans="2:14" ht="15.75" customHeight="1" x14ac:dyDescent="0.25">
      <c r="B11" s="20"/>
      <c r="C11" s="5" t="s">
        <v>215</v>
      </c>
      <c r="D11" s="6" t="s">
        <v>195</v>
      </c>
      <c r="E11" s="11">
        <v>0.12862000000000001</v>
      </c>
      <c r="F11" s="1"/>
      <c r="G11" s="1"/>
      <c r="H11" s="1"/>
      <c r="I11" s="1"/>
      <c r="J11" s="24" t="s">
        <v>55</v>
      </c>
      <c r="K11" s="29">
        <v>0.127494</v>
      </c>
      <c r="L11" s="1"/>
      <c r="M11" s="1"/>
      <c r="N11" s="18"/>
    </row>
    <row r="12" spans="2:14" ht="15" customHeight="1" x14ac:dyDescent="0.25">
      <c r="B12" s="20"/>
      <c r="C12" s="5" t="s">
        <v>217</v>
      </c>
      <c r="D12" s="6" t="s">
        <v>195</v>
      </c>
      <c r="E12" s="11">
        <v>8.7834999999999996E-2</v>
      </c>
      <c r="F12" s="1"/>
      <c r="G12" s="1"/>
      <c r="H12" s="1"/>
      <c r="I12" s="1"/>
      <c r="J12" s="24" t="s">
        <v>56</v>
      </c>
      <c r="K12" s="29">
        <v>0.83297399999999999</v>
      </c>
      <c r="L12" s="1"/>
      <c r="M12" s="1"/>
      <c r="N12" s="18"/>
    </row>
    <row r="13" spans="2:14" ht="15.75" customHeight="1" x14ac:dyDescent="0.25">
      <c r="B13" s="20"/>
      <c r="C13" s="5" t="s">
        <v>223</v>
      </c>
      <c r="D13" s="6" t="s">
        <v>195</v>
      </c>
      <c r="E13" s="11">
        <v>5.3873999999999998E-2</v>
      </c>
      <c r="F13" s="1"/>
      <c r="G13" s="1"/>
      <c r="H13" s="1"/>
      <c r="I13" s="1"/>
      <c r="J13" s="1"/>
      <c r="K13" s="1"/>
      <c r="L13" s="1"/>
      <c r="M13" s="1"/>
      <c r="N13" s="18"/>
    </row>
    <row r="14" spans="2:14" ht="15" customHeight="1" x14ac:dyDescent="0.25">
      <c r="B14" s="20"/>
      <c r="C14" s="5" t="s">
        <v>228</v>
      </c>
      <c r="D14" s="6" t="s">
        <v>195</v>
      </c>
      <c r="E14" s="11">
        <v>4.4066000000000001E-2</v>
      </c>
      <c r="F14" s="1"/>
      <c r="G14" s="1"/>
      <c r="H14" s="1"/>
      <c r="I14" s="1"/>
      <c r="J14" s="1"/>
      <c r="K14" s="1"/>
      <c r="L14" s="1"/>
      <c r="M14" s="1"/>
      <c r="N14" s="18"/>
    </row>
    <row r="15" spans="2:14" ht="15.75" customHeight="1" x14ac:dyDescent="0.25">
      <c r="B15" s="20"/>
      <c r="C15" s="5" t="s">
        <v>213</v>
      </c>
      <c r="D15" s="6" t="s">
        <v>195</v>
      </c>
      <c r="E15" s="11">
        <v>4.3749000000000003E-2</v>
      </c>
      <c r="F15" s="1"/>
      <c r="G15" s="1"/>
      <c r="H15" s="1"/>
      <c r="I15" s="1"/>
      <c r="J15" s="1"/>
      <c r="K15" s="1"/>
      <c r="L15" s="1"/>
      <c r="M15" s="1"/>
      <c r="N15" s="18"/>
    </row>
    <row r="16" spans="2:14" ht="15" customHeight="1" x14ac:dyDescent="0.25">
      <c r="B16" s="20"/>
      <c r="C16" s="5" t="s">
        <v>218</v>
      </c>
      <c r="D16" s="6" t="s">
        <v>195</v>
      </c>
      <c r="E16" s="11">
        <v>4.3687999999999998E-2</v>
      </c>
      <c r="F16" s="1"/>
      <c r="G16" s="1"/>
      <c r="H16" s="1"/>
      <c r="I16" s="1"/>
      <c r="J16" s="1"/>
      <c r="K16" s="1"/>
      <c r="L16" s="1"/>
      <c r="M16" s="1"/>
      <c r="N16" s="18"/>
    </row>
    <row r="17" spans="2:14" ht="15" customHeight="1" x14ac:dyDescent="0.25">
      <c r="B17" s="20"/>
      <c r="C17" s="5" t="s">
        <v>212</v>
      </c>
      <c r="D17" s="6" t="s">
        <v>195</v>
      </c>
      <c r="E17" s="11">
        <v>4.3594000000000001E-2</v>
      </c>
      <c r="F17" s="1"/>
      <c r="G17" s="1"/>
      <c r="H17" s="1"/>
      <c r="I17" s="1"/>
      <c r="J17" s="1"/>
      <c r="K17" s="1"/>
      <c r="L17" s="1"/>
      <c r="M17" s="1"/>
      <c r="N17" s="18"/>
    </row>
    <row r="18" spans="2:14" ht="15" customHeight="1" x14ac:dyDescent="0.25">
      <c r="B18" s="20"/>
      <c r="C18" s="5" t="s">
        <v>219</v>
      </c>
      <c r="D18" s="6" t="s">
        <v>195</v>
      </c>
      <c r="E18" s="11">
        <v>3.5747000000000001E-2</v>
      </c>
      <c r="F18" s="1"/>
      <c r="G18" s="1"/>
      <c r="H18" s="1"/>
      <c r="I18" s="1"/>
      <c r="J18" s="1"/>
      <c r="K18" s="1"/>
      <c r="L18" s="1"/>
      <c r="M18" s="1"/>
      <c r="N18" s="18"/>
    </row>
    <row r="19" spans="2:14" ht="15" customHeight="1" x14ac:dyDescent="0.25">
      <c r="B19" s="20"/>
      <c r="C19" s="5" t="s">
        <v>224</v>
      </c>
      <c r="D19" s="6" t="s">
        <v>195</v>
      </c>
      <c r="E19" s="11">
        <v>3.5477000000000002E-2</v>
      </c>
      <c r="F19" s="1"/>
      <c r="G19" s="1"/>
      <c r="H19" s="1"/>
      <c r="I19" s="1"/>
      <c r="J19" s="1"/>
      <c r="K19" s="1"/>
      <c r="L19" s="1"/>
      <c r="M19" s="1"/>
      <c r="N19" s="18"/>
    </row>
    <row r="20" spans="2:14" ht="15" customHeight="1" x14ac:dyDescent="0.25">
      <c r="B20" s="20"/>
      <c r="C20" s="5" t="s">
        <v>221</v>
      </c>
      <c r="D20" s="6" t="s">
        <v>195</v>
      </c>
      <c r="E20" s="11">
        <v>3.5262000000000002E-2</v>
      </c>
      <c r="F20" s="1"/>
      <c r="G20" s="1"/>
      <c r="H20" s="1"/>
      <c r="I20" s="1"/>
      <c r="J20" s="1"/>
      <c r="K20" s="1"/>
      <c r="L20" s="1"/>
      <c r="M20" s="1"/>
      <c r="N20" s="18"/>
    </row>
    <row r="21" spans="2:14" ht="15" customHeight="1" x14ac:dyDescent="0.25">
      <c r="B21" s="20"/>
      <c r="C21" s="5" t="s">
        <v>198</v>
      </c>
      <c r="D21" s="6" t="s">
        <v>195</v>
      </c>
      <c r="E21" s="11">
        <v>3.0731000000000001E-2</v>
      </c>
      <c r="F21" s="1"/>
      <c r="G21" s="1"/>
      <c r="H21" s="1"/>
      <c r="I21" s="1"/>
      <c r="J21" s="1"/>
      <c r="K21" s="1"/>
      <c r="L21" s="1"/>
      <c r="M21" s="1"/>
      <c r="N21" s="18"/>
    </row>
    <row r="22" spans="2:14" ht="15" customHeight="1" x14ac:dyDescent="0.25">
      <c r="B22" s="20"/>
      <c r="C22" s="5" t="s">
        <v>222</v>
      </c>
      <c r="D22" s="6" t="s">
        <v>195</v>
      </c>
      <c r="E22" s="11">
        <v>3.0020999999999999E-2</v>
      </c>
      <c r="F22" s="1"/>
      <c r="G22" s="1"/>
      <c r="H22" s="1"/>
      <c r="I22" s="1"/>
      <c r="J22" s="1"/>
      <c r="K22" s="1"/>
      <c r="L22" s="1"/>
      <c r="M22" s="1"/>
      <c r="N22" s="18"/>
    </row>
    <row r="23" spans="2:14" ht="15" customHeight="1" x14ac:dyDescent="0.25">
      <c r="B23" s="20"/>
      <c r="C23" s="5" t="s">
        <v>211</v>
      </c>
      <c r="D23" s="6" t="s">
        <v>195</v>
      </c>
      <c r="E23" s="11">
        <v>2.1666000000000001E-2</v>
      </c>
      <c r="F23" s="1"/>
      <c r="G23" s="1"/>
      <c r="H23" s="1"/>
      <c r="I23" s="1"/>
      <c r="J23" s="1"/>
      <c r="K23" s="1"/>
      <c r="L23" s="1"/>
      <c r="M23" s="1"/>
      <c r="N23" s="18"/>
    </row>
    <row r="24" spans="2:14" ht="15" customHeight="1" x14ac:dyDescent="0.25">
      <c r="B24" s="20"/>
      <c r="C24" s="5" t="s">
        <v>226</v>
      </c>
      <c r="D24" s="6" t="s">
        <v>195</v>
      </c>
      <c r="E24" s="11">
        <v>1.7475999999999998E-2</v>
      </c>
      <c r="F24" s="1"/>
      <c r="G24" s="83" t="s">
        <v>17</v>
      </c>
      <c r="H24" s="84"/>
      <c r="I24" s="84"/>
      <c r="J24" s="84"/>
      <c r="K24" s="84"/>
      <c r="L24" s="26">
        <v>2.3759369611109395</v>
      </c>
      <c r="M24" s="27"/>
      <c r="N24" s="28"/>
    </row>
    <row r="25" spans="2:14" ht="15" customHeight="1" x14ac:dyDescent="0.25">
      <c r="B25" s="20"/>
      <c r="C25" s="5" t="s">
        <v>225</v>
      </c>
      <c r="D25" s="6" t="s">
        <v>195</v>
      </c>
      <c r="E25" s="11">
        <v>8.7399999999999995E-3</v>
      </c>
      <c r="F25" s="1"/>
      <c r="G25" s="1"/>
      <c r="H25" s="1"/>
      <c r="I25" s="1"/>
      <c r="J25" s="1"/>
      <c r="K25" s="1"/>
      <c r="L25" s="1"/>
      <c r="M25" s="1"/>
      <c r="N25" s="18"/>
    </row>
    <row r="26" spans="2:14" ht="15" customHeight="1" x14ac:dyDescent="0.25">
      <c r="B26" s="20"/>
      <c r="C26" s="5" t="s">
        <v>227</v>
      </c>
      <c r="D26" s="6" t="s">
        <v>195</v>
      </c>
      <c r="E26" s="11">
        <v>8.7349999999999997E-3</v>
      </c>
      <c r="F26" s="1"/>
      <c r="G26" s="83" t="s">
        <v>18</v>
      </c>
      <c r="H26" s="84"/>
      <c r="I26" s="84"/>
      <c r="J26" s="84"/>
      <c r="K26" s="84"/>
      <c r="L26" s="84"/>
      <c r="M26" s="84"/>
      <c r="N26" s="85"/>
    </row>
    <row r="27" spans="2:14" ht="15" customHeight="1" x14ac:dyDescent="0.25">
      <c r="B27" s="20"/>
      <c r="C27" s="5" t="s">
        <v>216</v>
      </c>
      <c r="D27" s="6" t="s">
        <v>195</v>
      </c>
      <c r="E27" s="11">
        <v>5.0819999999999997E-3</v>
      </c>
      <c r="F27" s="1"/>
      <c r="G27" s="1"/>
      <c r="H27" s="1"/>
      <c r="I27" s="1"/>
      <c r="J27" s="1"/>
      <c r="K27" s="1"/>
      <c r="L27" s="1"/>
      <c r="M27" s="1"/>
      <c r="N27" s="18"/>
    </row>
    <row r="28" spans="2:14" ht="15" customHeight="1" x14ac:dyDescent="0.25">
      <c r="B28" s="20"/>
      <c r="C28" s="5" t="s">
        <v>214</v>
      </c>
      <c r="D28" s="6" t="s">
        <v>195</v>
      </c>
      <c r="E28" s="11">
        <v>4.3340000000000002E-3</v>
      </c>
      <c r="F28" s="1"/>
      <c r="G28" s="1"/>
      <c r="H28" s="1"/>
      <c r="I28" s="1"/>
      <c r="J28" s="1"/>
      <c r="K28" s="1"/>
      <c r="L28" s="1"/>
      <c r="M28" s="1"/>
      <c r="N28" s="18"/>
    </row>
    <row r="29" spans="2:14" ht="15" customHeight="1" x14ac:dyDescent="0.25">
      <c r="B29" s="20"/>
      <c r="C29" s="7" t="s">
        <v>52</v>
      </c>
      <c r="D29" s="8"/>
      <c r="E29" s="12">
        <v>0.83297399999999999</v>
      </c>
      <c r="F29" s="1"/>
      <c r="G29" s="1"/>
      <c r="H29" s="1"/>
      <c r="I29" s="1"/>
      <c r="J29" s="1"/>
      <c r="K29" s="1"/>
      <c r="L29" s="1"/>
      <c r="M29" s="1"/>
      <c r="N29" s="18"/>
    </row>
    <row r="30" spans="2:14" ht="15" customHeight="1" x14ac:dyDescent="0.25">
      <c r="B30" s="20"/>
      <c r="C30" s="5" t="s">
        <v>8</v>
      </c>
      <c r="D30" s="6"/>
      <c r="E30" s="11">
        <v>1.9851000000000001E-2</v>
      </c>
      <c r="F30" s="1"/>
      <c r="G30" s="1"/>
      <c r="H30" s="1"/>
      <c r="I30" s="1"/>
      <c r="J30" s="1"/>
      <c r="K30" s="1"/>
      <c r="L30" s="1"/>
      <c r="M30" s="1"/>
      <c r="N30" s="18"/>
    </row>
    <row r="31" spans="2:14" ht="15" customHeight="1" x14ac:dyDescent="0.25">
      <c r="B31" s="20"/>
      <c r="C31" s="7" t="s">
        <v>9</v>
      </c>
      <c r="D31" s="8"/>
      <c r="E31" s="12">
        <v>1.9851000000000001E-2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10</v>
      </c>
      <c r="D33" s="8"/>
      <c r="E33" s="12">
        <v>1.9681000000000001E-2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11</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5" t="s">
        <v>263</v>
      </c>
      <c r="C45" s="76"/>
      <c r="D45" s="76"/>
      <c r="E45" s="76"/>
      <c r="F45" s="76"/>
      <c r="G45" s="76"/>
      <c r="H45" s="76"/>
      <c r="I45" s="76"/>
      <c r="J45" s="76"/>
      <c r="K45" s="76"/>
      <c r="L45" s="76"/>
      <c r="M45" s="76"/>
      <c r="N45" s="77"/>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4B146-B0BA-479F-BABE-653B564DA556}">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105</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106</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107</v>
      </c>
      <c r="D8" s="6" t="s">
        <v>195</v>
      </c>
      <c r="E8" s="11">
        <v>0.181252</v>
      </c>
      <c r="F8" s="1"/>
      <c r="G8" s="24" t="s">
        <v>15</v>
      </c>
      <c r="H8" s="25">
        <v>1</v>
      </c>
      <c r="I8" s="1"/>
      <c r="J8" s="24" t="s">
        <v>12</v>
      </c>
      <c r="K8" s="24" t="s">
        <v>5</v>
      </c>
      <c r="L8" s="1"/>
      <c r="M8" s="1"/>
      <c r="N8" s="18"/>
    </row>
    <row r="9" spans="2:14" ht="15.75" customHeight="1" x14ac:dyDescent="0.25">
      <c r="B9" s="20"/>
      <c r="C9" s="7" t="s">
        <v>51</v>
      </c>
      <c r="D9" s="8"/>
      <c r="E9" s="12">
        <v>0.181252</v>
      </c>
      <c r="F9" s="1"/>
      <c r="G9" s="1"/>
      <c r="H9" s="1"/>
      <c r="I9" s="1"/>
      <c r="J9" s="24" t="s">
        <v>10</v>
      </c>
      <c r="K9" s="29">
        <v>1.7184999999999999E-2</v>
      </c>
      <c r="L9" s="1"/>
      <c r="M9" s="1"/>
      <c r="N9" s="18"/>
    </row>
    <row r="10" spans="2:14" ht="15" customHeight="1" x14ac:dyDescent="0.25">
      <c r="B10" s="20"/>
      <c r="C10" s="5" t="s">
        <v>232</v>
      </c>
      <c r="D10" s="6" t="s">
        <v>195</v>
      </c>
      <c r="E10" s="11">
        <v>0.172208</v>
      </c>
      <c r="F10" s="1"/>
      <c r="G10" s="1"/>
      <c r="H10" s="1"/>
      <c r="I10" s="1"/>
      <c r="J10" s="24" t="s">
        <v>13</v>
      </c>
      <c r="K10" s="29">
        <v>1.1957000000000001E-2</v>
      </c>
      <c r="L10" s="1"/>
      <c r="M10" s="1"/>
      <c r="N10" s="18"/>
    </row>
    <row r="11" spans="2:14" ht="15.75" customHeight="1" x14ac:dyDescent="0.25">
      <c r="B11" s="20"/>
      <c r="C11" s="5" t="s">
        <v>207</v>
      </c>
      <c r="D11" s="6" t="s">
        <v>195</v>
      </c>
      <c r="E11" s="11">
        <v>0.15052099999999999</v>
      </c>
      <c r="F11" s="1"/>
      <c r="G11" s="1"/>
      <c r="H11" s="1"/>
      <c r="I11" s="1"/>
      <c r="J11" s="24" t="s">
        <v>55</v>
      </c>
      <c r="K11" s="29">
        <v>0.181252</v>
      </c>
      <c r="L11" s="1"/>
      <c r="M11" s="1"/>
      <c r="N11" s="18"/>
    </row>
    <row r="12" spans="2:14" ht="15" customHeight="1" x14ac:dyDescent="0.25">
      <c r="B12" s="20"/>
      <c r="C12" s="5" t="s">
        <v>230</v>
      </c>
      <c r="D12" s="6" t="s">
        <v>195</v>
      </c>
      <c r="E12" s="11">
        <v>0.13015499999999999</v>
      </c>
      <c r="F12" s="1"/>
      <c r="G12" s="1"/>
      <c r="H12" s="1"/>
      <c r="I12" s="1"/>
      <c r="J12" s="24" t="s">
        <v>56</v>
      </c>
      <c r="K12" s="29">
        <v>0.78960600000000003</v>
      </c>
      <c r="L12" s="1"/>
      <c r="M12" s="1"/>
      <c r="N12" s="18"/>
    </row>
    <row r="13" spans="2:14" ht="15.75" customHeight="1" x14ac:dyDescent="0.25">
      <c r="B13" s="20"/>
      <c r="C13" s="5" t="s">
        <v>238</v>
      </c>
      <c r="D13" s="6" t="s">
        <v>195</v>
      </c>
      <c r="E13" s="11">
        <v>0.118544</v>
      </c>
      <c r="F13" s="1"/>
      <c r="G13" s="1"/>
      <c r="H13" s="1"/>
      <c r="I13" s="1"/>
      <c r="J13" s="1"/>
      <c r="K13" s="1"/>
      <c r="L13" s="1"/>
      <c r="M13" s="1"/>
      <c r="N13" s="18"/>
    </row>
    <row r="14" spans="2:14" ht="15" customHeight="1" x14ac:dyDescent="0.25">
      <c r="B14" s="20"/>
      <c r="C14" s="5" t="s">
        <v>235</v>
      </c>
      <c r="D14" s="6" t="s">
        <v>195</v>
      </c>
      <c r="E14" s="11">
        <v>5.9249000000000003E-2</v>
      </c>
      <c r="F14" s="1"/>
      <c r="G14" s="1"/>
      <c r="H14" s="1"/>
      <c r="I14" s="1"/>
      <c r="J14" s="1"/>
      <c r="K14" s="1"/>
      <c r="L14" s="1"/>
      <c r="M14" s="1"/>
      <c r="N14" s="18"/>
    </row>
    <row r="15" spans="2:14" ht="15.75" customHeight="1" x14ac:dyDescent="0.25">
      <c r="B15" s="20"/>
      <c r="C15" s="5" t="s">
        <v>233</v>
      </c>
      <c r="D15" s="6" t="s">
        <v>195</v>
      </c>
      <c r="E15" s="11">
        <v>5.7482999999999999E-2</v>
      </c>
      <c r="F15" s="1"/>
      <c r="G15" s="1"/>
      <c r="H15" s="1"/>
      <c r="I15" s="1"/>
      <c r="J15" s="1"/>
      <c r="K15" s="1"/>
      <c r="L15" s="1"/>
      <c r="M15" s="1"/>
      <c r="N15" s="18"/>
    </row>
    <row r="16" spans="2:14" ht="15" customHeight="1" x14ac:dyDescent="0.25">
      <c r="B16" s="20"/>
      <c r="C16" s="5" t="s">
        <v>234</v>
      </c>
      <c r="D16" s="6" t="s">
        <v>195</v>
      </c>
      <c r="E16" s="11">
        <v>3.5569999999999997E-2</v>
      </c>
      <c r="F16" s="1"/>
      <c r="G16" s="1"/>
      <c r="H16" s="1"/>
      <c r="I16" s="1"/>
      <c r="J16" s="1"/>
      <c r="K16" s="1"/>
      <c r="L16" s="1"/>
      <c r="M16" s="1"/>
      <c r="N16" s="18"/>
    </row>
    <row r="17" spans="2:14" ht="15" customHeight="1" x14ac:dyDescent="0.25">
      <c r="B17" s="20"/>
      <c r="C17" s="5" t="s">
        <v>237</v>
      </c>
      <c r="D17" s="6" t="s">
        <v>195</v>
      </c>
      <c r="E17" s="11">
        <v>2.9589000000000001E-2</v>
      </c>
      <c r="F17" s="1"/>
      <c r="G17" s="1"/>
      <c r="H17" s="1"/>
      <c r="I17" s="1"/>
      <c r="J17" s="1"/>
      <c r="K17" s="1"/>
      <c r="L17" s="1"/>
      <c r="M17" s="1"/>
      <c r="N17" s="18"/>
    </row>
    <row r="18" spans="2:14" ht="15" customHeight="1" x14ac:dyDescent="0.25">
      <c r="B18" s="20"/>
      <c r="C18" s="5" t="s">
        <v>236</v>
      </c>
      <c r="D18" s="6" t="s">
        <v>195</v>
      </c>
      <c r="E18" s="11">
        <v>2.6721999999999999E-2</v>
      </c>
      <c r="F18" s="1"/>
      <c r="G18" s="1"/>
      <c r="H18" s="1"/>
      <c r="I18" s="1"/>
      <c r="J18" s="1"/>
      <c r="K18" s="1"/>
      <c r="L18" s="1"/>
      <c r="M18" s="1"/>
      <c r="N18" s="18"/>
    </row>
    <row r="19" spans="2:14" ht="15" customHeight="1" x14ac:dyDescent="0.25">
      <c r="B19" s="20"/>
      <c r="C19" s="5" t="s">
        <v>229</v>
      </c>
      <c r="D19" s="6" t="s">
        <v>195</v>
      </c>
      <c r="E19" s="11">
        <v>5.9630000000000004E-3</v>
      </c>
      <c r="F19" s="1"/>
      <c r="G19" s="1"/>
      <c r="H19" s="1"/>
      <c r="I19" s="1"/>
      <c r="J19" s="1"/>
      <c r="K19" s="1"/>
      <c r="L19" s="1"/>
      <c r="M19" s="1"/>
      <c r="N19" s="18"/>
    </row>
    <row r="20" spans="2:14" ht="15" customHeight="1" x14ac:dyDescent="0.25">
      <c r="B20" s="20"/>
      <c r="C20" s="5" t="s">
        <v>231</v>
      </c>
      <c r="D20" s="6" t="s">
        <v>195</v>
      </c>
      <c r="E20" s="11">
        <v>3.6020000000000002E-3</v>
      </c>
      <c r="F20" s="1"/>
      <c r="G20" s="1"/>
      <c r="H20" s="1"/>
      <c r="I20" s="1"/>
      <c r="J20" s="1"/>
      <c r="K20" s="1"/>
      <c r="L20" s="1"/>
      <c r="M20" s="1"/>
      <c r="N20" s="18"/>
    </row>
    <row r="21" spans="2:14" ht="15" customHeight="1" x14ac:dyDescent="0.25">
      <c r="B21" s="20"/>
      <c r="C21" s="7" t="s">
        <v>52</v>
      </c>
      <c r="D21" s="8"/>
      <c r="E21" s="12">
        <v>0.78960600000000003</v>
      </c>
      <c r="F21" s="1"/>
      <c r="G21" s="1"/>
      <c r="H21" s="1"/>
      <c r="I21" s="1"/>
      <c r="J21" s="1"/>
      <c r="K21" s="1"/>
      <c r="L21" s="1"/>
      <c r="M21" s="1"/>
      <c r="N21" s="18"/>
    </row>
    <row r="22" spans="2:14" ht="15" customHeight="1" x14ac:dyDescent="0.25">
      <c r="B22" s="20"/>
      <c r="C22" s="5" t="s">
        <v>8</v>
      </c>
      <c r="D22" s="6"/>
      <c r="E22" s="11">
        <v>1.1957000000000001E-2</v>
      </c>
      <c r="F22" s="1"/>
      <c r="G22" s="1"/>
      <c r="H22" s="1"/>
      <c r="I22" s="1"/>
      <c r="J22" s="1"/>
      <c r="K22" s="1"/>
      <c r="L22" s="1"/>
      <c r="M22" s="1"/>
      <c r="N22" s="18"/>
    </row>
    <row r="23" spans="2:14" ht="15" customHeight="1" x14ac:dyDescent="0.25">
      <c r="B23" s="20"/>
      <c r="C23" s="7" t="s">
        <v>9</v>
      </c>
      <c r="D23" s="8"/>
      <c r="E23" s="12">
        <v>1.1957000000000001E-2</v>
      </c>
      <c r="F23" s="1"/>
      <c r="G23" s="1"/>
      <c r="H23" s="1"/>
      <c r="I23" s="1"/>
      <c r="J23" s="1"/>
      <c r="K23" s="1"/>
      <c r="L23" s="1"/>
      <c r="M23" s="1"/>
      <c r="N23" s="18"/>
    </row>
    <row r="24" spans="2:14" ht="15" customHeight="1" x14ac:dyDescent="0.25">
      <c r="B24" s="20"/>
      <c r="C24" s="5"/>
      <c r="D24" s="6"/>
      <c r="E24" s="11"/>
      <c r="F24" s="1"/>
      <c r="G24" s="83" t="s">
        <v>17</v>
      </c>
      <c r="H24" s="84"/>
      <c r="I24" s="84"/>
      <c r="J24" s="84"/>
      <c r="K24" s="84"/>
      <c r="L24" s="26">
        <v>3.2189348742143027</v>
      </c>
      <c r="M24" s="27"/>
      <c r="N24" s="28"/>
    </row>
    <row r="25" spans="2:14" ht="15" customHeight="1" x14ac:dyDescent="0.25">
      <c r="B25" s="20"/>
      <c r="C25" s="7" t="s">
        <v>10</v>
      </c>
      <c r="D25" s="8"/>
      <c r="E25" s="12">
        <v>1.7184999999999999E-2</v>
      </c>
      <c r="F25" s="1"/>
      <c r="G25" s="1"/>
      <c r="H25" s="1"/>
      <c r="I25" s="1"/>
      <c r="J25" s="1"/>
      <c r="K25" s="1"/>
      <c r="L25" s="1"/>
      <c r="M25" s="1"/>
      <c r="N25" s="18"/>
    </row>
    <row r="26" spans="2:14" ht="15" customHeight="1" x14ac:dyDescent="0.25">
      <c r="B26" s="20"/>
      <c r="C26" s="5"/>
      <c r="D26" s="6"/>
      <c r="E26" s="11"/>
      <c r="F26" s="1"/>
      <c r="G26" s="83" t="s">
        <v>18</v>
      </c>
      <c r="H26" s="84"/>
      <c r="I26" s="84"/>
      <c r="J26" s="84"/>
      <c r="K26" s="84"/>
      <c r="L26" s="84"/>
      <c r="M26" s="84"/>
      <c r="N26" s="85"/>
    </row>
    <row r="27" spans="2:14" ht="15" customHeight="1" x14ac:dyDescent="0.25">
      <c r="B27" s="20"/>
      <c r="C27" s="9" t="s">
        <v>11</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1" customHeight="1" thickBot="1" x14ac:dyDescent="0.3">
      <c r="B45" s="75" t="s">
        <v>263</v>
      </c>
      <c r="C45" s="76"/>
      <c r="D45" s="76"/>
      <c r="E45" s="76"/>
      <c r="F45" s="76"/>
      <c r="G45" s="76"/>
      <c r="H45" s="76"/>
      <c r="I45" s="76"/>
      <c r="J45" s="76"/>
      <c r="K45" s="76"/>
      <c r="L45" s="76"/>
      <c r="M45" s="76"/>
      <c r="N45" s="77"/>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56109-281D-417A-AF98-144C716C39A4}">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99</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100</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48</v>
      </c>
      <c r="D8" s="6" t="s">
        <v>195</v>
      </c>
      <c r="E8" s="11">
        <v>0.108358</v>
      </c>
      <c r="F8" s="1"/>
      <c r="G8" s="24" t="s">
        <v>15</v>
      </c>
      <c r="H8" s="25">
        <v>1</v>
      </c>
      <c r="I8" s="1"/>
      <c r="J8" s="24" t="s">
        <v>12</v>
      </c>
      <c r="K8" s="24" t="s">
        <v>5</v>
      </c>
      <c r="L8" s="1"/>
      <c r="M8" s="1"/>
      <c r="N8" s="18"/>
    </row>
    <row r="9" spans="2:14" ht="15" customHeight="1" x14ac:dyDescent="0.25">
      <c r="B9" s="20"/>
      <c r="C9" s="5" t="s">
        <v>101</v>
      </c>
      <c r="D9" s="6" t="s">
        <v>195</v>
      </c>
      <c r="E9" s="11">
        <v>1.3390000000000001E-2</v>
      </c>
      <c r="F9" s="1"/>
      <c r="G9" s="1"/>
      <c r="H9" s="1"/>
      <c r="I9" s="1"/>
      <c r="J9" s="24" t="s">
        <v>10</v>
      </c>
      <c r="K9" s="29">
        <v>1.2789E-2</v>
      </c>
      <c r="L9" s="1"/>
      <c r="M9" s="1"/>
      <c r="N9" s="18"/>
    </row>
    <row r="10" spans="2:14" ht="15.75" customHeight="1" x14ac:dyDescent="0.25">
      <c r="B10" s="20"/>
      <c r="C10" s="7" t="s">
        <v>51</v>
      </c>
      <c r="D10" s="8"/>
      <c r="E10" s="12">
        <v>0.121748</v>
      </c>
      <c r="F10" s="1"/>
      <c r="G10" s="1"/>
      <c r="H10" s="1"/>
      <c r="I10" s="1"/>
      <c r="J10" s="24" t="s">
        <v>13</v>
      </c>
      <c r="K10" s="29">
        <v>6.4270000000000004E-3</v>
      </c>
      <c r="L10" s="1"/>
      <c r="M10" s="1"/>
      <c r="N10" s="18"/>
    </row>
    <row r="11" spans="2:14" ht="15" customHeight="1" x14ac:dyDescent="0.25">
      <c r="B11" s="20"/>
      <c r="C11" s="5" t="s">
        <v>260</v>
      </c>
      <c r="D11" s="6" t="s">
        <v>195</v>
      </c>
      <c r="E11" s="11">
        <v>0.1449</v>
      </c>
      <c r="F11" s="1"/>
      <c r="G11" s="1"/>
      <c r="H11" s="1"/>
      <c r="I11" s="1"/>
      <c r="J11" s="24" t="s">
        <v>55</v>
      </c>
      <c r="K11" s="29">
        <v>0.121748</v>
      </c>
      <c r="L11" s="1"/>
      <c r="M11" s="1"/>
      <c r="N11" s="18"/>
    </row>
    <row r="12" spans="2:14" ht="15.75" customHeight="1" x14ac:dyDescent="0.25">
      <c r="B12" s="20"/>
      <c r="C12" s="5" t="s">
        <v>261</v>
      </c>
      <c r="D12" s="6" t="s">
        <v>195</v>
      </c>
      <c r="E12" s="11">
        <v>0.144541</v>
      </c>
      <c r="F12" s="1"/>
      <c r="G12" s="1"/>
      <c r="H12" s="1"/>
      <c r="I12" s="1"/>
      <c r="J12" s="24" t="s">
        <v>56</v>
      </c>
      <c r="K12" s="29">
        <v>0.85903600000000002</v>
      </c>
      <c r="L12" s="1"/>
      <c r="M12" s="1"/>
      <c r="N12" s="18"/>
    </row>
    <row r="13" spans="2:14" ht="15" customHeight="1" x14ac:dyDescent="0.25">
      <c r="B13" s="20"/>
      <c r="C13" s="5" t="s">
        <v>258</v>
      </c>
      <c r="D13" s="6" t="s">
        <v>195</v>
      </c>
      <c r="E13" s="11">
        <v>0.121683</v>
      </c>
      <c r="F13" s="1"/>
      <c r="G13" s="1"/>
      <c r="H13" s="1"/>
      <c r="I13" s="1"/>
      <c r="J13" s="1"/>
      <c r="K13" s="1"/>
      <c r="L13" s="1"/>
      <c r="M13" s="1"/>
      <c r="N13" s="18"/>
    </row>
    <row r="14" spans="2:14" ht="15.75" customHeight="1" x14ac:dyDescent="0.25">
      <c r="B14" s="20"/>
      <c r="C14" s="5" t="s">
        <v>259</v>
      </c>
      <c r="D14" s="6" t="s">
        <v>195</v>
      </c>
      <c r="E14" s="11">
        <v>8.1171999999999994E-2</v>
      </c>
      <c r="F14" s="1"/>
      <c r="G14" s="1"/>
      <c r="H14" s="1"/>
      <c r="I14" s="1"/>
      <c r="J14" s="1"/>
      <c r="K14" s="1"/>
      <c r="L14" s="1"/>
      <c r="M14" s="1"/>
      <c r="N14" s="18"/>
    </row>
    <row r="15" spans="2:14" ht="15" customHeight="1" x14ac:dyDescent="0.25">
      <c r="B15" s="20"/>
      <c r="C15" s="5" t="s">
        <v>256</v>
      </c>
      <c r="D15" s="6" t="s">
        <v>195</v>
      </c>
      <c r="E15" s="11">
        <v>6.6244999999999998E-2</v>
      </c>
      <c r="F15" s="1"/>
      <c r="G15" s="1"/>
      <c r="H15" s="1"/>
      <c r="I15" s="1"/>
      <c r="J15" s="1"/>
      <c r="K15" s="1"/>
      <c r="L15" s="1"/>
      <c r="M15" s="1"/>
      <c r="N15" s="18"/>
    </row>
    <row r="16" spans="2:14" ht="15.75" customHeight="1" x14ac:dyDescent="0.25">
      <c r="B16" s="20"/>
      <c r="C16" s="5" t="s">
        <v>249</v>
      </c>
      <c r="D16" s="6" t="s">
        <v>195</v>
      </c>
      <c r="E16" s="11">
        <v>4.2408000000000001E-2</v>
      </c>
      <c r="F16" s="1"/>
      <c r="G16" s="1"/>
      <c r="H16" s="1"/>
      <c r="I16" s="1"/>
      <c r="J16" s="1"/>
      <c r="K16" s="1"/>
      <c r="L16" s="1"/>
      <c r="M16" s="1"/>
      <c r="N16" s="18"/>
    </row>
    <row r="17" spans="2:14" ht="15" customHeight="1" x14ac:dyDescent="0.25">
      <c r="B17" s="20"/>
      <c r="C17" s="5" t="s">
        <v>251</v>
      </c>
      <c r="D17" s="6" t="s">
        <v>195</v>
      </c>
      <c r="E17" s="11">
        <v>3.2666000000000001E-2</v>
      </c>
      <c r="F17" s="1"/>
      <c r="G17" s="1"/>
      <c r="H17" s="1"/>
      <c r="I17" s="1"/>
      <c r="J17" s="1"/>
      <c r="K17" s="1"/>
      <c r="L17" s="1"/>
      <c r="M17" s="1"/>
      <c r="N17" s="18"/>
    </row>
    <row r="18" spans="2:14" ht="15" customHeight="1" x14ac:dyDescent="0.25">
      <c r="B18" s="20"/>
      <c r="C18" s="5" t="s">
        <v>252</v>
      </c>
      <c r="D18" s="6" t="s">
        <v>195</v>
      </c>
      <c r="E18" s="11">
        <v>2.8847999999999999E-2</v>
      </c>
      <c r="F18" s="1"/>
      <c r="G18" s="1"/>
      <c r="H18" s="1"/>
      <c r="I18" s="1"/>
      <c r="J18" s="1"/>
      <c r="K18" s="1"/>
      <c r="L18" s="1"/>
      <c r="M18" s="1"/>
      <c r="N18" s="18"/>
    </row>
    <row r="19" spans="2:14" ht="15" customHeight="1" x14ac:dyDescent="0.25">
      <c r="B19" s="20"/>
      <c r="C19" s="5" t="s">
        <v>245</v>
      </c>
      <c r="D19" s="6" t="s">
        <v>195</v>
      </c>
      <c r="E19" s="11">
        <v>2.7897000000000002E-2</v>
      </c>
      <c r="F19" s="1"/>
      <c r="G19" s="1"/>
      <c r="H19" s="1"/>
      <c r="I19" s="1"/>
      <c r="J19" s="1"/>
      <c r="K19" s="1"/>
      <c r="L19" s="1"/>
      <c r="M19" s="1"/>
      <c r="N19" s="18"/>
    </row>
    <row r="20" spans="2:14" ht="15" customHeight="1" x14ac:dyDescent="0.25">
      <c r="B20" s="20"/>
      <c r="C20" s="5" t="s">
        <v>242</v>
      </c>
      <c r="D20" s="6" t="s">
        <v>195</v>
      </c>
      <c r="E20" s="11">
        <v>2.6126E-2</v>
      </c>
      <c r="F20" s="1"/>
      <c r="G20" s="1"/>
      <c r="H20" s="1"/>
      <c r="I20" s="1"/>
      <c r="J20" s="1"/>
      <c r="K20" s="1"/>
      <c r="L20" s="1"/>
      <c r="M20" s="1"/>
      <c r="N20" s="18"/>
    </row>
    <row r="21" spans="2:14" ht="15" customHeight="1" x14ac:dyDescent="0.25">
      <c r="B21" s="20"/>
      <c r="C21" s="5" t="s">
        <v>247</v>
      </c>
      <c r="D21" s="6" t="s">
        <v>195</v>
      </c>
      <c r="E21" s="11">
        <v>1.5485000000000001E-2</v>
      </c>
      <c r="F21" s="1"/>
      <c r="G21" s="1"/>
      <c r="H21" s="1"/>
      <c r="I21" s="1"/>
      <c r="J21" s="1"/>
      <c r="K21" s="1"/>
      <c r="L21" s="1"/>
      <c r="M21" s="1"/>
      <c r="N21" s="18"/>
    </row>
    <row r="22" spans="2:14" ht="15" customHeight="1" x14ac:dyDescent="0.25">
      <c r="B22" s="20"/>
      <c r="C22" s="5" t="s">
        <v>239</v>
      </c>
      <c r="D22" s="6" t="s">
        <v>195</v>
      </c>
      <c r="E22" s="11">
        <v>1.4600999999999999E-2</v>
      </c>
      <c r="F22" s="1"/>
      <c r="G22" s="1"/>
      <c r="H22" s="1"/>
      <c r="I22" s="1"/>
      <c r="J22" s="1"/>
      <c r="K22" s="1"/>
      <c r="L22" s="1"/>
      <c r="M22" s="1"/>
      <c r="N22" s="18"/>
    </row>
    <row r="23" spans="2:14" ht="15" customHeight="1" x14ac:dyDescent="0.25">
      <c r="B23" s="20"/>
      <c r="C23" s="5" t="s">
        <v>250</v>
      </c>
      <c r="D23" s="6" t="s">
        <v>195</v>
      </c>
      <c r="E23" s="11">
        <v>1.4501999999999999E-2</v>
      </c>
      <c r="F23" s="1"/>
      <c r="G23" s="1"/>
      <c r="H23" s="1"/>
      <c r="I23" s="1"/>
      <c r="J23" s="1"/>
      <c r="K23" s="1"/>
      <c r="L23" s="1"/>
      <c r="M23" s="1"/>
      <c r="N23" s="18"/>
    </row>
    <row r="24" spans="2:14" ht="15" customHeight="1" x14ac:dyDescent="0.25">
      <c r="B24" s="20"/>
      <c r="C24" s="5" t="s">
        <v>257</v>
      </c>
      <c r="D24" s="6" t="s">
        <v>195</v>
      </c>
      <c r="E24" s="11">
        <v>1.4496999999999999E-2</v>
      </c>
      <c r="F24" s="1"/>
      <c r="G24" s="83" t="s">
        <v>17</v>
      </c>
      <c r="H24" s="84"/>
      <c r="I24" s="84"/>
      <c r="J24" s="84"/>
      <c r="K24" s="84"/>
      <c r="L24" s="26">
        <v>7.7404112546406241</v>
      </c>
      <c r="M24" s="27"/>
      <c r="N24" s="28"/>
    </row>
    <row r="25" spans="2:14" ht="15" customHeight="1" x14ac:dyDescent="0.25">
      <c r="B25" s="20"/>
      <c r="C25" s="5" t="s">
        <v>248</v>
      </c>
      <c r="D25" s="6" t="s">
        <v>195</v>
      </c>
      <c r="E25" s="11">
        <v>1.4130999999999999E-2</v>
      </c>
      <c r="F25" s="1"/>
      <c r="G25" s="1"/>
      <c r="H25" s="1"/>
      <c r="I25" s="1"/>
      <c r="J25" s="1"/>
      <c r="K25" s="1"/>
      <c r="L25" s="1"/>
      <c r="M25" s="1"/>
      <c r="N25" s="18"/>
    </row>
    <row r="26" spans="2:14" ht="15" customHeight="1" x14ac:dyDescent="0.25">
      <c r="B26" s="20"/>
      <c r="C26" s="5" t="s">
        <v>244</v>
      </c>
      <c r="D26" s="6" t="s">
        <v>195</v>
      </c>
      <c r="E26" s="11">
        <v>1.4009000000000001E-2</v>
      </c>
      <c r="F26" s="1"/>
      <c r="G26" s="83" t="s">
        <v>18</v>
      </c>
      <c r="H26" s="84"/>
      <c r="I26" s="84"/>
      <c r="J26" s="84"/>
      <c r="K26" s="84"/>
      <c r="L26" s="84"/>
      <c r="M26" s="84"/>
      <c r="N26" s="85"/>
    </row>
    <row r="27" spans="2:14" ht="15" customHeight="1" x14ac:dyDescent="0.25">
      <c r="B27" s="20"/>
      <c r="C27" s="5" t="s">
        <v>243</v>
      </c>
      <c r="D27" s="6" t="s">
        <v>195</v>
      </c>
      <c r="E27" s="11">
        <v>1.3989E-2</v>
      </c>
      <c r="F27" s="1"/>
      <c r="G27" s="1"/>
      <c r="H27" s="1"/>
      <c r="I27" s="1"/>
      <c r="J27" s="1"/>
      <c r="K27" s="1"/>
      <c r="L27" s="1"/>
      <c r="M27" s="1"/>
      <c r="N27" s="18"/>
    </row>
    <row r="28" spans="2:14" ht="15" customHeight="1" x14ac:dyDescent="0.25">
      <c r="B28" s="20"/>
      <c r="C28" s="5" t="s">
        <v>241</v>
      </c>
      <c r="D28" s="6" t="s">
        <v>195</v>
      </c>
      <c r="E28" s="11">
        <v>1.3764999999999999E-2</v>
      </c>
      <c r="F28" s="1"/>
      <c r="G28" s="1"/>
      <c r="H28" s="1"/>
      <c r="I28" s="1"/>
      <c r="J28" s="1"/>
      <c r="K28" s="1"/>
      <c r="L28" s="1"/>
      <c r="M28" s="1"/>
      <c r="N28" s="18"/>
    </row>
    <row r="29" spans="2:14" ht="15" customHeight="1" x14ac:dyDescent="0.25">
      <c r="B29" s="20"/>
      <c r="C29" s="5" t="s">
        <v>255</v>
      </c>
      <c r="D29" s="6" t="s">
        <v>195</v>
      </c>
      <c r="E29" s="11">
        <v>8.6110000000000006E-3</v>
      </c>
      <c r="F29" s="1"/>
      <c r="G29" s="1"/>
      <c r="H29" s="1"/>
      <c r="I29" s="1"/>
      <c r="J29" s="1"/>
      <c r="K29" s="1"/>
      <c r="L29" s="1"/>
      <c r="M29" s="1"/>
      <c r="N29" s="18"/>
    </row>
    <row r="30" spans="2:14" ht="15" customHeight="1" x14ac:dyDescent="0.25">
      <c r="B30" s="20"/>
      <c r="C30" s="5" t="s">
        <v>254</v>
      </c>
      <c r="D30" s="6" t="s">
        <v>195</v>
      </c>
      <c r="E30" s="11">
        <v>7.0159999999999997E-3</v>
      </c>
      <c r="F30" s="1"/>
      <c r="G30" s="1"/>
      <c r="H30" s="1"/>
      <c r="I30" s="1"/>
      <c r="J30" s="1"/>
      <c r="K30" s="1"/>
      <c r="L30" s="1"/>
      <c r="M30" s="1"/>
      <c r="N30" s="18"/>
    </row>
    <row r="31" spans="2:14" ht="15" customHeight="1" x14ac:dyDescent="0.25">
      <c r="B31" s="20"/>
      <c r="C31" s="5" t="s">
        <v>253</v>
      </c>
      <c r="D31" s="6" t="s">
        <v>195</v>
      </c>
      <c r="E31" s="11">
        <v>5.5259999999999997E-3</v>
      </c>
      <c r="F31" s="1"/>
      <c r="G31" s="1"/>
      <c r="H31" s="1"/>
      <c r="I31" s="1"/>
      <c r="J31" s="1"/>
      <c r="K31" s="1"/>
      <c r="L31" s="1"/>
      <c r="M31" s="1"/>
      <c r="N31" s="18"/>
    </row>
    <row r="32" spans="2:14" ht="15" customHeight="1" x14ac:dyDescent="0.25">
      <c r="B32" s="20"/>
      <c r="C32" s="5" t="s">
        <v>246</v>
      </c>
      <c r="D32" s="6" t="s">
        <v>195</v>
      </c>
      <c r="E32" s="11">
        <v>3.9350000000000001E-3</v>
      </c>
      <c r="F32" s="1"/>
      <c r="G32" s="1"/>
      <c r="H32" s="1"/>
      <c r="I32" s="1"/>
      <c r="J32" s="1"/>
      <c r="K32" s="1"/>
      <c r="L32" s="1"/>
      <c r="M32" s="1"/>
      <c r="N32" s="18"/>
    </row>
    <row r="33" spans="2:14" ht="15" customHeight="1" x14ac:dyDescent="0.25">
      <c r="B33" s="20"/>
      <c r="C33" s="5" t="s">
        <v>240</v>
      </c>
      <c r="D33" s="6" t="s">
        <v>195</v>
      </c>
      <c r="E33" s="11">
        <v>2.483E-3</v>
      </c>
      <c r="F33" s="1"/>
      <c r="G33" s="1"/>
      <c r="H33" s="1"/>
      <c r="I33" s="1"/>
      <c r="J33" s="1"/>
      <c r="K33" s="1"/>
      <c r="L33" s="1"/>
      <c r="M33" s="1"/>
      <c r="N33" s="18"/>
    </row>
    <row r="34" spans="2:14" ht="15" customHeight="1" x14ac:dyDescent="0.25">
      <c r="B34" s="20"/>
      <c r="C34" s="7" t="s">
        <v>52</v>
      </c>
      <c r="D34" s="8"/>
      <c r="E34" s="12">
        <v>0.85903600000000002</v>
      </c>
      <c r="F34" s="1"/>
      <c r="G34" s="1"/>
      <c r="H34" s="1"/>
      <c r="I34" s="1"/>
      <c r="J34" s="1"/>
      <c r="K34" s="1"/>
      <c r="L34" s="1"/>
      <c r="M34" s="1"/>
      <c r="N34" s="18"/>
    </row>
    <row r="35" spans="2:14" ht="15" customHeight="1" x14ac:dyDescent="0.25">
      <c r="B35" s="20"/>
      <c r="C35" s="5" t="s">
        <v>8</v>
      </c>
      <c r="D35" s="6"/>
      <c r="E35" s="11">
        <v>6.4270000000000004E-3</v>
      </c>
      <c r="F35" s="1"/>
      <c r="G35" s="1"/>
      <c r="H35" s="1"/>
      <c r="I35" s="1"/>
      <c r="J35" s="1"/>
      <c r="K35" s="1"/>
      <c r="L35" s="1"/>
      <c r="M35" s="1"/>
      <c r="N35" s="18"/>
    </row>
    <row r="36" spans="2:14" ht="15" customHeight="1" x14ac:dyDescent="0.25">
      <c r="B36" s="20"/>
      <c r="C36" s="7" t="s">
        <v>9</v>
      </c>
      <c r="D36" s="8"/>
      <c r="E36" s="12">
        <v>6.4270000000000004E-3</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10</v>
      </c>
      <c r="D38" s="8"/>
      <c r="E38" s="12">
        <v>1.2789E-2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11</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5" t="s">
        <v>263</v>
      </c>
      <c r="C45" s="76"/>
      <c r="D45" s="76"/>
      <c r="E45" s="76"/>
      <c r="F45" s="76"/>
      <c r="G45" s="76"/>
      <c r="H45" s="76"/>
      <c r="I45" s="76"/>
      <c r="J45" s="76"/>
      <c r="K45" s="76"/>
      <c r="L45" s="76"/>
      <c r="M45" s="76"/>
      <c r="N45" s="77"/>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A9D1-3293-4A1E-A175-0D6C6C2677DB}">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78" t="s">
        <v>0</v>
      </c>
      <c r="D3" s="79"/>
      <c r="E3" s="79"/>
      <c r="F3" s="79"/>
      <c r="G3" s="79"/>
      <c r="H3" s="79"/>
      <c r="I3" s="79"/>
      <c r="J3" s="79"/>
      <c r="K3" s="79"/>
      <c r="L3" s="79"/>
      <c r="M3" s="79"/>
      <c r="N3" s="80"/>
    </row>
    <row r="4" spans="2:14" ht="15.75" customHeight="1" x14ac:dyDescent="0.25">
      <c r="B4" s="20"/>
      <c r="C4" s="14"/>
      <c r="D4" s="1"/>
      <c r="E4" s="1"/>
      <c r="F4" s="1"/>
      <c r="G4" s="1"/>
      <c r="H4" s="1"/>
      <c r="I4" s="1"/>
      <c r="J4" s="1"/>
      <c r="K4" s="1"/>
      <c r="L4" s="1"/>
      <c r="M4" s="1"/>
      <c r="N4" s="18"/>
    </row>
    <row r="5" spans="2:14" ht="18" customHeight="1" x14ac:dyDescent="0.25">
      <c r="B5" s="20"/>
      <c r="C5" s="15" t="s">
        <v>1</v>
      </c>
      <c r="D5" s="81" t="s">
        <v>2</v>
      </c>
      <c r="E5" s="82"/>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3" t="s">
        <v>16</v>
      </c>
      <c r="H7" s="84"/>
      <c r="I7" s="84"/>
      <c r="J7" s="84"/>
      <c r="K7" s="84"/>
      <c r="L7" s="84"/>
      <c r="M7" s="84"/>
      <c r="N7" s="85"/>
    </row>
    <row r="8" spans="2:14" ht="15" customHeight="1" x14ac:dyDescent="0.25">
      <c r="B8" s="20"/>
      <c r="C8" s="5" t="s">
        <v>6</v>
      </c>
      <c r="D8" s="6"/>
      <c r="E8" s="11">
        <v>0.62649600000000005</v>
      </c>
      <c r="F8" s="1"/>
      <c r="G8" s="24" t="s">
        <v>15</v>
      </c>
      <c r="H8" s="25">
        <v>1</v>
      </c>
      <c r="I8" s="1"/>
      <c r="J8" s="24" t="s">
        <v>12</v>
      </c>
      <c r="K8" s="24" t="s">
        <v>5</v>
      </c>
      <c r="L8" s="1"/>
      <c r="M8" s="1"/>
      <c r="N8" s="18"/>
    </row>
    <row r="9" spans="2:14" ht="15" customHeight="1" x14ac:dyDescent="0.25">
      <c r="B9" s="20"/>
      <c r="C9" s="5" t="s">
        <v>269</v>
      </c>
      <c r="D9" s="6"/>
      <c r="E9" s="11">
        <v>0.371776</v>
      </c>
      <c r="F9" s="1"/>
      <c r="G9" s="1"/>
      <c r="H9" s="1"/>
      <c r="I9" s="1"/>
      <c r="J9" s="24" t="s">
        <v>10</v>
      </c>
      <c r="K9" s="29">
        <v>-5.2430000000000003E-3</v>
      </c>
      <c r="L9" s="1"/>
      <c r="M9" s="1"/>
      <c r="N9" s="18"/>
    </row>
    <row r="10" spans="2:14" ht="15.75" customHeight="1" x14ac:dyDescent="0.25">
      <c r="B10" s="20"/>
      <c r="C10" s="7" t="s">
        <v>7</v>
      </c>
      <c r="D10" s="8"/>
      <c r="E10" s="12">
        <v>0.99827200000000005</v>
      </c>
      <c r="F10" s="1"/>
      <c r="G10" s="1"/>
      <c r="H10" s="1"/>
      <c r="I10" s="1"/>
      <c r="J10" s="24" t="s">
        <v>13</v>
      </c>
      <c r="K10" s="29">
        <v>6.9709999999999998E-3</v>
      </c>
      <c r="L10" s="1"/>
      <c r="M10" s="1"/>
      <c r="N10" s="18"/>
    </row>
    <row r="11" spans="2:14" ht="15" customHeight="1" x14ac:dyDescent="0.25">
      <c r="B11" s="20"/>
      <c r="C11" s="5" t="s">
        <v>8</v>
      </c>
      <c r="D11" s="6"/>
      <c r="E11" s="11">
        <v>6.9709999999999998E-3</v>
      </c>
      <c r="F11" s="1"/>
      <c r="G11" s="1"/>
      <c r="H11" s="1"/>
      <c r="I11" s="1"/>
      <c r="J11" s="24" t="s">
        <v>14</v>
      </c>
      <c r="K11" s="29">
        <v>0.99827200000000005</v>
      </c>
      <c r="L11" s="1"/>
      <c r="M11" s="1"/>
      <c r="N11" s="18"/>
    </row>
    <row r="12" spans="2:14" ht="15.75" customHeight="1" x14ac:dyDescent="0.25">
      <c r="B12" s="20"/>
      <c r="C12" s="7" t="s">
        <v>9</v>
      </c>
      <c r="D12" s="8"/>
      <c r="E12" s="12">
        <v>6.9709999999999998E-3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10</v>
      </c>
      <c r="D14" s="8"/>
      <c r="E14" s="12">
        <v>-5.2430000000000003E-3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11</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3" t="s">
        <v>17</v>
      </c>
      <c r="H24" s="84"/>
      <c r="I24" s="84"/>
      <c r="J24" s="84"/>
      <c r="K24" s="84"/>
      <c r="L24" s="26">
        <v>3.2873886756405275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3" t="s">
        <v>18</v>
      </c>
      <c r="H26" s="84"/>
      <c r="I26" s="84"/>
      <c r="J26" s="84"/>
      <c r="K26" s="84"/>
      <c r="L26" s="84"/>
      <c r="M26" s="84"/>
      <c r="N26" s="85"/>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75" t="s">
        <v>263</v>
      </c>
      <c r="C45" s="76"/>
      <c r="D45" s="76"/>
      <c r="E45" s="76"/>
      <c r="F45" s="76"/>
      <c r="G45" s="76"/>
      <c r="H45" s="76"/>
      <c r="I45" s="76"/>
      <c r="J45" s="76"/>
      <c r="K45" s="76"/>
      <c r="L45" s="76"/>
      <c r="M45" s="76"/>
      <c r="N45" s="77"/>
    </row>
  </sheetData>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75E4D-309C-43A9-99CD-7249CA3A66C9}">
  <sheetPr>
    <tabColor rgb="FFE5E3E3"/>
    <pageSetUpPr fitToPage="1"/>
  </sheetPr>
  <dimension ref="B1:X691"/>
  <sheetViews>
    <sheetView showGridLines="0" zoomScale="75" zoomScaleNormal="75" workbookViewId="0"/>
  </sheetViews>
  <sheetFormatPr defaultRowHeight="15" x14ac:dyDescent="0.2"/>
  <cols>
    <col min="1" max="1" width="2.85546875" style="33" customWidth="1"/>
    <col min="2" max="2" width="3.85546875" style="33" customWidth="1"/>
    <col min="3" max="3" width="60.5703125" style="33" customWidth="1"/>
    <col min="4" max="4" width="15.42578125" style="33" bestFit="1" customWidth="1"/>
    <col min="5" max="5" width="9.140625" style="33"/>
    <col min="6" max="6" width="10.7109375" style="33" customWidth="1"/>
    <col min="7" max="7" width="10.5703125" style="33" bestFit="1" customWidth="1"/>
    <col min="8" max="9" width="9.140625" style="33"/>
    <col min="10" max="11" width="16.42578125" style="33" customWidth="1"/>
    <col min="12" max="18" width="9.140625" style="33"/>
    <col min="19" max="19" width="9.85546875" style="33" customWidth="1"/>
    <col min="20" max="21" width="9.28515625" style="33" bestFit="1" customWidth="1"/>
    <col min="22" max="16384" width="9.140625" style="33"/>
  </cols>
  <sheetData>
    <row r="1" spans="2:24" ht="15.75" thickBot="1" x14ac:dyDescent="0.25"/>
    <row r="2" spans="2:24" x14ac:dyDescent="0.2">
      <c r="B2" s="34"/>
      <c r="C2" s="35"/>
      <c r="D2" s="35"/>
      <c r="E2" s="35"/>
      <c r="F2" s="35"/>
      <c r="G2" s="35"/>
      <c r="H2" s="35"/>
      <c r="I2" s="35"/>
      <c r="J2" s="35"/>
      <c r="K2" s="35"/>
      <c r="L2" s="35"/>
      <c r="M2" s="36"/>
    </row>
    <row r="3" spans="2:24" ht="20.25" customHeight="1" x14ac:dyDescent="0.2">
      <c r="B3" s="37"/>
      <c r="C3" s="86" t="s">
        <v>288</v>
      </c>
      <c r="D3" s="86"/>
      <c r="E3" s="86"/>
      <c r="F3" s="86"/>
      <c r="G3" s="86"/>
      <c r="H3" s="86"/>
      <c r="I3" s="86"/>
      <c r="J3" s="86"/>
      <c r="K3" s="86"/>
      <c r="L3" s="86"/>
      <c r="M3" s="87"/>
    </row>
    <row r="4" spans="2:24" ht="15.75" x14ac:dyDescent="0.25">
      <c r="B4" s="37"/>
      <c r="C4" s="14"/>
      <c r="D4" s="38"/>
      <c r="E4" s="38"/>
      <c r="F4" s="39"/>
      <c r="G4" s="39"/>
      <c r="H4" s="39"/>
      <c r="I4" s="39"/>
      <c r="J4" s="39"/>
      <c r="K4" s="39"/>
      <c r="L4" s="39"/>
      <c r="M4" s="40"/>
    </row>
    <row r="5" spans="2:24" ht="20.25" customHeight="1" x14ac:dyDescent="0.25">
      <c r="B5" s="37"/>
      <c r="C5" s="15" t="s">
        <v>1</v>
      </c>
      <c r="D5" s="41" t="s">
        <v>289</v>
      </c>
      <c r="E5" s="42"/>
      <c r="F5" s="39"/>
      <c r="G5" s="39"/>
      <c r="H5" s="39"/>
      <c r="I5" s="39"/>
      <c r="J5" s="39"/>
      <c r="K5" s="39"/>
      <c r="L5" s="39"/>
      <c r="M5" s="40"/>
    </row>
    <row r="6" spans="2:24" x14ac:dyDescent="0.2">
      <c r="B6" s="37"/>
      <c r="C6" s="39"/>
      <c r="D6" s="39"/>
      <c r="E6" s="39"/>
      <c r="F6" s="39"/>
      <c r="G6" s="39"/>
      <c r="H6" s="39"/>
      <c r="I6" s="39"/>
      <c r="J6" s="39"/>
      <c r="K6" s="39"/>
      <c r="L6" s="39"/>
      <c r="M6" s="40"/>
    </row>
    <row r="7" spans="2:24" ht="15.75" x14ac:dyDescent="0.2">
      <c r="B7" s="37"/>
      <c r="C7" s="43" t="s">
        <v>3</v>
      </c>
      <c r="D7" s="44" t="s">
        <v>5</v>
      </c>
      <c r="E7" s="39"/>
      <c r="F7" s="88" t="s">
        <v>18</v>
      </c>
      <c r="G7" s="88"/>
      <c r="H7" s="88"/>
      <c r="I7" s="88"/>
      <c r="J7" s="88"/>
      <c r="K7" s="88"/>
      <c r="L7" s="88"/>
      <c r="M7" s="89"/>
    </row>
    <row r="8" spans="2:24" x14ac:dyDescent="0.2">
      <c r="B8" s="37"/>
      <c r="C8" s="45" t="s">
        <v>270</v>
      </c>
      <c r="D8" s="46">
        <v>0.96553999999999995</v>
      </c>
      <c r="E8" s="39"/>
      <c r="F8" s="39"/>
      <c r="G8" s="47"/>
      <c r="H8" s="39"/>
      <c r="I8" s="39" t="s">
        <v>271</v>
      </c>
      <c r="J8" s="48">
        <f>D9</f>
        <v>0.96553999999999995</v>
      </c>
      <c r="K8" s="39"/>
      <c r="L8" s="39"/>
      <c r="M8" s="40"/>
      <c r="S8" s="49"/>
      <c r="W8" s="33" t="s">
        <v>272</v>
      </c>
      <c r="X8" s="33">
        <v>0.25058799999999998</v>
      </c>
    </row>
    <row r="9" spans="2:24" ht="15.75" x14ac:dyDescent="0.25">
      <c r="B9" s="37"/>
      <c r="C9" s="50" t="s">
        <v>271</v>
      </c>
      <c r="D9" s="51">
        <v>0.96553999999999995</v>
      </c>
      <c r="E9" s="39"/>
      <c r="F9" s="39"/>
      <c r="G9" s="39"/>
      <c r="H9" s="39"/>
      <c r="I9" s="39" t="s">
        <v>10</v>
      </c>
      <c r="J9" s="48">
        <f>D13</f>
        <v>-5.6600000000000001E-3</v>
      </c>
      <c r="K9" s="39"/>
      <c r="L9" s="39"/>
      <c r="M9" s="40"/>
      <c r="S9" s="49"/>
      <c r="W9" s="33" t="s">
        <v>273</v>
      </c>
      <c r="X9" s="33">
        <v>6.1296999999999997E-2</v>
      </c>
    </row>
    <row r="10" spans="2:24" x14ac:dyDescent="0.2">
      <c r="B10" s="37"/>
      <c r="C10" s="52" t="s">
        <v>8</v>
      </c>
      <c r="D10" s="53">
        <v>4.0120000000000003E-2</v>
      </c>
      <c r="E10" s="39"/>
      <c r="F10" s="39"/>
      <c r="G10" s="39"/>
      <c r="I10" s="33" t="s">
        <v>9</v>
      </c>
      <c r="J10" s="48">
        <f>D11</f>
        <v>4.0120000000000003E-2</v>
      </c>
      <c r="K10" s="39"/>
      <c r="L10" s="39"/>
      <c r="M10" s="40"/>
      <c r="S10" s="49"/>
      <c r="W10" s="33" t="s">
        <v>274</v>
      </c>
      <c r="X10" s="33">
        <v>3.0130999999999998E-2</v>
      </c>
    </row>
    <row r="11" spans="2:24" ht="15.75" x14ac:dyDescent="0.2">
      <c r="B11" s="37"/>
      <c r="C11" s="54" t="s">
        <v>9</v>
      </c>
      <c r="D11" s="55">
        <v>4.0120000000000003E-2</v>
      </c>
      <c r="E11" s="39"/>
      <c r="F11" s="39"/>
      <c r="G11" s="39"/>
      <c r="J11" s="39"/>
      <c r="K11" s="39"/>
      <c r="L11" s="39"/>
      <c r="M11" s="40"/>
      <c r="S11" s="49"/>
      <c r="W11" s="33" t="s">
        <v>275</v>
      </c>
      <c r="X11" s="33">
        <v>2.7299E-2</v>
      </c>
    </row>
    <row r="12" spans="2:24" x14ac:dyDescent="0.2">
      <c r="B12" s="37"/>
      <c r="C12" s="52"/>
      <c r="D12" s="56"/>
      <c r="E12" s="39"/>
      <c r="F12" s="39"/>
      <c r="G12" s="39"/>
      <c r="J12" s="39"/>
      <c r="K12" s="39"/>
      <c r="L12" s="39"/>
      <c r="M12" s="40"/>
      <c r="S12" s="49"/>
      <c r="W12" s="33" t="s">
        <v>276</v>
      </c>
      <c r="X12" s="33">
        <v>2.5925E-2</v>
      </c>
    </row>
    <row r="13" spans="2:24" ht="15.75" x14ac:dyDescent="0.2">
      <c r="B13" s="37"/>
      <c r="C13" s="54" t="s">
        <v>10</v>
      </c>
      <c r="D13" s="55">
        <v>-5.6600000000000001E-3</v>
      </c>
      <c r="E13" s="39"/>
      <c r="F13" s="39"/>
      <c r="G13" s="39"/>
      <c r="J13" s="39"/>
      <c r="K13" s="39"/>
      <c r="L13" s="39"/>
      <c r="M13" s="40"/>
      <c r="S13" s="49"/>
      <c r="W13" s="33" t="s">
        <v>277</v>
      </c>
      <c r="X13" s="33">
        <v>2.3822000000000003E-2</v>
      </c>
    </row>
    <row r="14" spans="2:24" x14ac:dyDescent="0.2">
      <c r="B14" s="37"/>
      <c r="C14" s="52"/>
      <c r="D14" s="56"/>
      <c r="E14" s="39"/>
      <c r="F14" s="39"/>
      <c r="G14" s="39"/>
      <c r="H14" s="39"/>
      <c r="I14" s="39"/>
      <c r="J14" s="39"/>
      <c r="K14" s="39"/>
      <c r="L14" s="39"/>
      <c r="M14" s="40"/>
      <c r="S14" s="49"/>
      <c r="W14" s="33" t="s">
        <v>278</v>
      </c>
      <c r="X14" s="33">
        <v>2.3753E-2</v>
      </c>
    </row>
    <row r="15" spans="2:24" ht="15.75" x14ac:dyDescent="0.2">
      <c r="B15" s="37"/>
      <c r="C15" s="57" t="s">
        <v>11</v>
      </c>
      <c r="D15" s="58">
        <f>D13+D11+D9</f>
        <v>1</v>
      </c>
      <c r="E15" s="39"/>
      <c r="F15" s="39"/>
      <c r="G15" s="39"/>
      <c r="H15" s="39"/>
      <c r="I15" s="39"/>
      <c r="J15" s="39"/>
      <c r="K15" s="39"/>
      <c r="L15" s="39"/>
      <c r="M15" s="40"/>
      <c r="S15" s="49"/>
      <c r="W15" s="33" t="s">
        <v>279</v>
      </c>
      <c r="X15" s="33">
        <v>1.8620999999999999E-2</v>
      </c>
    </row>
    <row r="16" spans="2:24" x14ac:dyDescent="0.2">
      <c r="B16" s="37"/>
      <c r="E16" s="39"/>
      <c r="F16" s="39"/>
      <c r="G16" s="39"/>
      <c r="H16" s="39"/>
      <c r="I16" s="39"/>
      <c r="J16" s="39"/>
      <c r="K16" s="39"/>
      <c r="L16" s="39"/>
      <c r="M16" s="40"/>
      <c r="S16" s="49"/>
      <c r="W16" s="33" t="s">
        <v>280</v>
      </c>
      <c r="X16" s="33">
        <v>1.7219000000000002E-2</v>
      </c>
    </row>
    <row r="17" spans="2:24" ht="15.75" x14ac:dyDescent="0.25">
      <c r="B17" s="37"/>
      <c r="C17" s="59"/>
      <c r="D17" s="60"/>
      <c r="E17" s="39"/>
      <c r="F17" s="39"/>
      <c r="G17" s="39"/>
      <c r="H17" s="39"/>
      <c r="I17" s="39"/>
      <c r="J17" s="39"/>
      <c r="K17" s="39"/>
      <c r="L17" s="39"/>
      <c r="M17" s="40"/>
      <c r="S17" s="49"/>
      <c r="W17" s="33" t="s">
        <v>281</v>
      </c>
      <c r="X17" s="33">
        <v>1.6056000000000001E-2</v>
      </c>
    </row>
    <row r="18" spans="2:24" x14ac:dyDescent="0.2">
      <c r="B18" s="37"/>
      <c r="C18" s="61"/>
      <c r="D18" s="61"/>
      <c r="E18" s="39"/>
      <c r="F18" s="39"/>
      <c r="G18" s="39"/>
      <c r="H18" s="39"/>
      <c r="I18" s="39"/>
      <c r="J18" s="39"/>
      <c r="K18" s="39"/>
      <c r="L18" s="39"/>
      <c r="M18" s="40"/>
      <c r="S18" s="49"/>
      <c r="W18" s="33" t="s">
        <v>282</v>
      </c>
      <c r="X18" s="33">
        <v>1.41E-2</v>
      </c>
    </row>
    <row r="19" spans="2:24" ht="15.75" x14ac:dyDescent="0.25">
      <c r="B19" s="37"/>
      <c r="C19" s="59"/>
      <c r="D19" s="62"/>
      <c r="E19" s="39"/>
      <c r="F19" s="39"/>
      <c r="G19" s="39"/>
      <c r="H19" s="39"/>
      <c r="I19" s="39"/>
      <c r="J19" s="39"/>
      <c r="K19" s="39"/>
      <c r="L19" s="39"/>
      <c r="M19" s="40"/>
      <c r="S19" s="49"/>
      <c r="W19" s="33" t="s">
        <v>283</v>
      </c>
      <c r="X19" s="33">
        <v>1.1167E-2</v>
      </c>
    </row>
    <row r="20" spans="2:24" x14ac:dyDescent="0.2">
      <c r="B20" s="37"/>
      <c r="E20" s="39"/>
      <c r="F20" s="39"/>
      <c r="G20" s="39"/>
      <c r="H20" s="39"/>
      <c r="I20" s="39"/>
      <c r="J20" s="39"/>
      <c r="K20" s="39"/>
      <c r="L20" s="39"/>
      <c r="M20" s="40"/>
      <c r="S20" s="49"/>
      <c r="W20" s="33" t="s">
        <v>284</v>
      </c>
      <c r="X20" s="33">
        <v>1.1159000000000001E-2</v>
      </c>
    </row>
    <row r="21" spans="2:24" x14ac:dyDescent="0.2">
      <c r="B21" s="37"/>
      <c r="E21" s="39"/>
      <c r="F21" s="39"/>
      <c r="G21" s="39"/>
      <c r="H21" s="39"/>
      <c r="I21" s="39"/>
      <c r="J21" s="39"/>
      <c r="K21" s="39"/>
      <c r="L21" s="39"/>
      <c r="M21" s="40"/>
      <c r="S21" s="49"/>
      <c r="W21" s="33" t="s">
        <v>285</v>
      </c>
      <c r="X21" s="33">
        <v>1.0543E-2</v>
      </c>
    </row>
    <row r="22" spans="2:24" ht="16.5" thickBot="1" x14ac:dyDescent="0.3">
      <c r="B22" s="63"/>
      <c r="C22" s="90"/>
      <c r="D22" s="90"/>
      <c r="E22" s="90"/>
      <c r="F22" s="90"/>
      <c r="G22" s="90"/>
      <c r="H22" s="90"/>
      <c r="I22" s="90"/>
      <c r="J22" s="90"/>
      <c r="K22" s="90"/>
      <c r="L22" s="90"/>
      <c r="M22" s="91"/>
      <c r="S22" s="49"/>
    </row>
    <row r="23" spans="2:24" ht="15.75" thickBot="1" x14ac:dyDescent="0.25">
      <c r="S23" s="49"/>
    </row>
    <row r="24" spans="2:24" ht="15" customHeight="1" x14ac:dyDescent="0.2">
      <c r="B24" s="92" t="s">
        <v>286</v>
      </c>
      <c r="C24" s="93"/>
      <c r="D24" s="93"/>
      <c r="E24" s="93"/>
      <c r="F24" s="93"/>
      <c r="G24" s="93"/>
      <c r="H24" s="93"/>
      <c r="I24" s="93"/>
      <c r="J24" s="93"/>
      <c r="K24" s="93"/>
      <c r="L24" s="93"/>
      <c r="M24" s="93"/>
      <c r="N24" s="94"/>
      <c r="S24" s="49"/>
    </row>
    <row r="25" spans="2:24" ht="15.75" customHeight="1" x14ac:dyDescent="0.2">
      <c r="B25" s="95"/>
      <c r="C25" s="96"/>
      <c r="D25" s="96"/>
      <c r="E25" s="96"/>
      <c r="F25" s="96"/>
      <c r="G25" s="96"/>
      <c r="H25" s="96"/>
      <c r="I25" s="96"/>
      <c r="J25" s="96"/>
      <c r="K25" s="96"/>
      <c r="L25" s="96"/>
      <c r="M25" s="96"/>
      <c r="N25" s="97"/>
      <c r="S25" s="49"/>
    </row>
    <row r="26" spans="2:24" ht="15.75" customHeight="1" x14ac:dyDescent="0.2">
      <c r="B26" s="95"/>
      <c r="C26" s="96"/>
      <c r="D26" s="96"/>
      <c r="E26" s="96"/>
      <c r="F26" s="96"/>
      <c r="G26" s="96"/>
      <c r="H26" s="96"/>
      <c r="I26" s="96"/>
      <c r="J26" s="96"/>
      <c r="K26" s="96"/>
      <c r="L26" s="96"/>
      <c r="M26" s="96"/>
      <c r="N26" s="97"/>
      <c r="S26" s="49"/>
    </row>
    <row r="27" spans="2:24" ht="15.75" customHeight="1" x14ac:dyDescent="0.2">
      <c r="B27" s="95"/>
      <c r="C27" s="96"/>
      <c r="D27" s="96"/>
      <c r="E27" s="96"/>
      <c r="F27" s="96"/>
      <c r="G27" s="96"/>
      <c r="H27" s="96"/>
      <c r="I27" s="96"/>
      <c r="J27" s="96"/>
      <c r="K27" s="96"/>
      <c r="L27" s="96"/>
      <c r="M27" s="96"/>
      <c r="N27" s="97"/>
      <c r="S27" s="49"/>
    </row>
    <row r="28" spans="2:24" ht="15.75" customHeight="1" x14ac:dyDescent="0.2">
      <c r="B28" s="95"/>
      <c r="C28" s="96"/>
      <c r="D28" s="96"/>
      <c r="E28" s="96"/>
      <c r="F28" s="96"/>
      <c r="G28" s="96"/>
      <c r="H28" s="96"/>
      <c r="I28" s="96"/>
      <c r="J28" s="96"/>
      <c r="K28" s="96"/>
      <c r="L28" s="96"/>
      <c r="M28" s="96"/>
      <c r="N28" s="97"/>
      <c r="S28" s="49"/>
    </row>
    <row r="29" spans="2:24" ht="15.75" customHeight="1" x14ac:dyDescent="0.2">
      <c r="B29" s="95"/>
      <c r="C29" s="96"/>
      <c r="D29" s="96"/>
      <c r="E29" s="96"/>
      <c r="F29" s="96"/>
      <c r="G29" s="96"/>
      <c r="H29" s="96"/>
      <c r="I29" s="96"/>
      <c r="J29" s="96"/>
      <c r="K29" s="96"/>
      <c r="L29" s="96"/>
      <c r="M29" s="96"/>
      <c r="N29" s="97"/>
      <c r="S29" s="49"/>
    </row>
    <row r="30" spans="2:24" ht="28.5" customHeight="1" thickBot="1" x14ac:dyDescent="0.25">
      <c r="B30" s="98"/>
      <c r="C30" s="99"/>
      <c r="D30" s="99"/>
      <c r="E30" s="99"/>
      <c r="F30" s="99"/>
      <c r="G30" s="99"/>
      <c r="H30" s="99"/>
      <c r="I30" s="99"/>
      <c r="J30" s="99"/>
      <c r="K30" s="99"/>
      <c r="L30" s="99"/>
      <c r="M30" s="99"/>
      <c r="N30" s="100"/>
      <c r="S30" s="49"/>
    </row>
    <row r="31" spans="2:24" ht="15.75" thickBot="1" x14ac:dyDescent="0.25">
      <c r="S31" s="49"/>
    </row>
    <row r="32" spans="2:24" x14ac:dyDescent="0.2">
      <c r="B32" s="92" t="s">
        <v>287</v>
      </c>
      <c r="C32" s="93"/>
      <c r="D32" s="93"/>
      <c r="E32" s="93"/>
      <c r="F32" s="93"/>
      <c r="G32" s="93"/>
      <c r="H32" s="93"/>
      <c r="I32" s="93"/>
      <c r="J32" s="93"/>
      <c r="K32" s="93"/>
      <c r="L32" s="93"/>
      <c r="M32" s="93"/>
      <c r="N32" s="94"/>
      <c r="S32" s="49"/>
    </row>
    <row r="33" spans="2:19" x14ac:dyDescent="0.2">
      <c r="B33" s="95"/>
      <c r="C33" s="96"/>
      <c r="D33" s="96"/>
      <c r="E33" s="96"/>
      <c r="F33" s="96"/>
      <c r="G33" s="96"/>
      <c r="H33" s="96"/>
      <c r="I33" s="96"/>
      <c r="J33" s="96"/>
      <c r="K33" s="96"/>
      <c r="L33" s="96"/>
      <c r="M33" s="96"/>
      <c r="N33" s="97"/>
      <c r="S33" s="49"/>
    </row>
    <row r="34" spans="2:19" x14ac:dyDescent="0.2">
      <c r="B34" s="95"/>
      <c r="C34" s="96"/>
      <c r="D34" s="96"/>
      <c r="E34" s="96"/>
      <c r="F34" s="96"/>
      <c r="G34" s="96"/>
      <c r="H34" s="96"/>
      <c r="I34" s="96"/>
      <c r="J34" s="96"/>
      <c r="K34" s="96"/>
      <c r="L34" s="96"/>
      <c r="M34" s="96"/>
      <c r="N34" s="97"/>
      <c r="S34" s="49"/>
    </row>
    <row r="35" spans="2:19" x14ac:dyDescent="0.2">
      <c r="B35" s="95"/>
      <c r="C35" s="96"/>
      <c r="D35" s="96"/>
      <c r="E35" s="96"/>
      <c r="F35" s="96"/>
      <c r="G35" s="96"/>
      <c r="H35" s="96"/>
      <c r="I35" s="96"/>
      <c r="J35" s="96"/>
      <c r="K35" s="96"/>
      <c r="L35" s="96"/>
      <c r="M35" s="96"/>
      <c r="N35" s="97"/>
      <c r="S35" s="49"/>
    </row>
    <row r="36" spans="2:19" x14ac:dyDescent="0.2">
      <c r="B36" s="95"/>
      <c r="C36" s="96"/>
      <c r="D36" s="96"/>
      <c r="E36" s="96"/>
      <c r="F36" s="96"/>
      <c r="G36" s="96"/>
      <c r="H36" s="96"/>
      <c r="I36" s="96"/>
      <c r="J36" s="96"/>
      <c r="K36" s="96"/>
      <c r="L36" s="96"/>
      <c r="M36" s="96"/>
      <c r="N36" s="97"/>
      <c r="S36" s="49"/>
    </row>
    <row r="37" spans="2:19" x14ac:dyDescent="0.2">
      <c r="B37" s="95"/>
      <c r="C37" s="96"/>
      <c r="D37" s="96"/>
      <c r="E37" s="96"/>
      <c r="F37" s="96"/>
      <c r="G37" s="96"/>
      <c r="H37" s="96"/>
      <c r="I37" s="96"/>
      <c r="J37" s="96"/>
      <c r="K37" s="96"/>
      <c r="L37" s="96"/>
      <c r="M37" s="96"/>
      <c r="N37" s="97"/>
      <c r="S37" s="49"/>
    </row>
    <row r="38" spans="2:19" ht="15.75" thickBot="1" x14ac:dyDescent="0.25">
      <c r="B38" s="98"/>
      <c r="C38" s="99"/>
      <c r="D38" s="99"/>
      <c r="E38" s="99"/>
      <c r="F38" s="99"/>
      <c r="G38" s="99"/>
      <c r="H38" s="99"/>
      <c r="I38" s="99"/>
      <c r="J38" s="99"/>
      <c r="K38" s="99"/>
      <c r="L38" s="99"/>
      <c r="M38" s="99"/>
      <c r="N38" s="100"/>
      <c r="S38" s="49"/>
    </row>
    <row r="39" spans="2:19" x14ac:dyDescent="0.2">
      <c r="S39" s="49"/>
    </row>
    <row r="40" spans="2:19" x14ac:dyDescent="0.2">
      <c r="S40" s="49"/>
    </row>
    <row r="41" spans="2:19" x14ac:dyDescent="0.2">
      <c r="S41" s="49"/>
    </row>
    <row r="42" spans="2:19" x14ac:dyDescent="0.2">
      <c r="S42" s="49"/>
    </row>
    <row r="43" spans="2:19" x14ac:dyDescent="0.2">
      <c r="S43" s="49"/>
    </row>
    <row r="44" spans="2:19" x14ac:dyDescent="0.2">
      <c r="S44" s="49"/>
    </row>
    <row r="45" spans="2:19" x14ac:dyDescent="0.2">
      <c r="S45" s="49"/>
    </row>
    <row r="46" spans="2:19" x14ac:dyDescent="0.2">
      <c r="S46" s="49"/>
    </row>
    <row r="47" spans="2:19" x14ac:dyDescent="0.2">
      <c r="S47" s="49"/>
    </row>
    <row r="48" spans="2:19" x14ac:dyDescent="0.2">
      <c r="S48" s="49"/>
    </row>
    <row r="49" spans="19:19" x14ac:dyDescent="0.2">
      <c r="S49" s="49"/>
    </row>
    <row r="50" spans="19:19" x14ac:dyDescent="0.2">
      <c r="S50" s="49"/>
    </row>
    <row r="51" spans="19:19" x14ac:dyDescent="0.2">
      <c r="S51" s="49"/>
    </row>
    <row r="52" spans="19:19" x14ac:dyDescent="0.2">
      <c r="S52" s="49"/>
    </row>
    <row r="53" spans="19:19" x14ac:dyDescent="0.2">
      <c r="S53" s="49"/>
    </row>
    <row r="54" spans="19:19" x14ac:dyDescent="0.2">
      <c r="S54" s="49"/>
    </row>
    <row r="55" spans="19:19" x14ac:dyDescent="0.2">
      <c r="S55" s="49"/>
    </row>
    <row r="56" spans="19:19" x14ac:dyDescent="0.2">
      <c r="S56" s="49"/>
    </row>
    <row r="57" spans="19:19" x14ac:dyDescent="0.2">
      <c r="S57" s="49"/>
    </row>
    <row r="58" spans="19:19" x14ac:dyDescent="0.2">
      <c r="S58" s="49"/>
    </row>
    <row r="59" spans="19:19" x14ac:dyDescent="0.2">
      <c r="S59" s="49"/>
    </row>
    <row r="60" spans="19:19" x14ac:dyDescent="0.2">
      <c r="S60" s="49"/>
    </row>
    <row r="61" spans="19:19" x14ac:dyDescent="0.2">
      <c r="S61" s="49"/>
    </row>
    <row r="62" spans="19:19" x14ac:dyDescent="0.2">
      <c r="S62" s="49"/>
    </row>
    <row r="63" spans="19:19" x14ac:dyDescent="0.2">
      <c r="S63" s="49"/>
    </row>
    <row r="64" spans="19:19" x14ac:dyDescent="0.2">
      <c r="S64" s="49"/>
    </row>
    <row r="65" spans="19:19" x14ac:dyDescent="0.2">
      <c r="S65" s="49"/>
    </row>
    <row r="66" spans="19:19" x14ac:dyDescent="0.2">
      <c r="S66" s="49"/>
    </row>
    <row r="67" spans="19:19" x14ac:dyDescent="0.2">
      <c r="S67" s="49"/>
    </row>
    <row r="68" spans="19:19" x14ac:dyDescent="0.2">
      <c r="S68" s="49"/>
    </row>
    <row r="69" spans="19:19" x14ac:dyDescent="0.2">
      <c r="S69" s="49"/>
    </row>
    <row r="70" spans="19:19" x14ac:dyDescent="0.2">
      <c r="S70" s="49"/>
    </row>
    <row r="71" spans="19:19" x14ac:dyDescent="0.2">
      <c r="S71" s="49"/>
    </row>
    <row r="72" spans="19:19" x14ac:dyDescent="0.2">
      <c r="S72" s="49"/>
    </row>
    <row r="73" spans="19:19" x14ac:dyDescent="0.2">
      <c r="S73" s="49"/>
    </row>
    <row r="74" spans="19:19" x14ac:dyDescent="0.2">
      <c r="S74" s="49"/>
    </row>
    <row r="75" spans="19:19" x14ac:dyDescent="0.2">
      <c r="S75" s="49"/>
    </row>
    <row r="76" spans="19:19" x14ac:dyDescent="0.2">
      <c r="S76" s="49"/>
    </row>
    <row r="77" spans="19:19" x14ac:dyDescent="0.2">
      <c r="S77" s="49"/>
    </row>
    <row r="78" spans="19:19" x14ac:dyDescent="0.2">
      <c r="S78" s="49"/>
    </row>
    <row r="79" spans="19:19" x14ac:dyDescent="0.2">
      <c r="S79" s="49"/>
    </row>
    <row r="80" spans="19:19" x14ac:dyDescent="0.2">
      <c r="S80" s="49"/>
    </row>
    <row r="81" spans="19:19" x14ac:dyDescent="0.2">
      <c r="S81" s="49"/>
    </row>
    <row r="82" spans="19:19" x14ac:dyDescent="0.2">
      <c r="S82" s="49"/>
    </row>
    <row r="83" spans="19:19" x14ac:dyDescent="0.2">
      <c r="S83" s="49"/>
    </row>
    <row r="84" spans="19:19" x14ac:dyDescent="0.2">
      <c r="S84" s="49"/>
    </row>
    <row r="85" spans="19:19" x14ac:dyDescent="0.2">
      <c r="S85" s="49"/>
    </row>
    <row r="86" spans="19:19" x14ac:dyDescent="0.2">
      <c r="S86" s="49"/>
    </row>
    <row r="87" spans="19:19" x14ac:dyDescent="0.2">
      <c r="S87" s="49"/>
    </row>
    <row r="88" spans="19:19" x14ac:dyDescent="0.2">
      <c r="S88" s="49"/>
    </row>
    <row r="89" spans="19:19" x14ac:dyDescent="0.2">
      <c r="S89" s="49"/>
    </row>
    <row r="90" spans="19:19" x14ac:dyDescent="0.2">
      <c r="S90" s="49"/>
    </row>
    <row r="91" spans="19:19" x14ac:dyDescent="0.2">
      <c r="S91" s="49"/>
    </row>
    <row r="92" spans="19:19" x14ac:dyDescent="0.2">
      <c r="S92" s="49"/>
    </row>
    <row r="93" spans="19:19" x14ac:dyDescent="0.2">
      <c r="S93" s="49"/>
    </row>
    <row r="94" spans="19:19" x14ac:dyDescent="0.2">
      <c r="S94" s="49"/>
    </row>
    <row r="95" spans="19:19" x14ac:dyDescent="0.2">
      <c r="S95" s="49"/>
    </row>
    <row r="96" spans="19:19" x14ac:dyDescent="0.2">
      <c r="S96" s="49"/>
    </row>
    <row r="97" spans="19:19" x14ac:dyDescent="0.2">
      <c r="S97" s="49"/>
    </row>
    <row r="98" spans="19:19" x14ac:dyDescent="0.2">
      <c r="S98" s="49"/>
    </row>
    <row r="99" spans="19:19" x14ac:dyDescent="0.2">
      <c r="S99" s="49"/>
    </row>
    <row r="100" spans="19:19" x14ac:dyDescent="0.2">
      <c r="S100" s="49"/>
    </row>
    <row r="101" spans="19:19" x14ac:dyDescent="0.2">
      <c r="S101" s="49"/>
    </row>
    <row r="102" spans="19:19" x14ac:dyDescent="0.2">
      <c r="S102" s="49"/>
    </row>
    <row r="103" spans="19:19" x14ac:dyDescent="0.2">
      <c r="S103" s="49"/>
    </row>
    <row r="104" spans="19:19" x14ac:dyDescent="0.2">
      <c r="S104" s="49"/>
    </row>
    <row r="105" spans="19:19" x14ac:dyDescent="0.2">
      <c r="S105" s="49"/>
    </row>
    <row r="106" spans="19:19" x14ac:dyDescent="0.2">
      <c r="S106" s="49"/>
    </row>
    <row r="107" spans="19:19" x14ac:dyDescent="0.2">
      <c r="S107" s="49"/>
    </row>
    <row r="108" spans="19:19" x14ac:dyDescent="0.2">
      <c r="S108" s="49"/>
    </row>
    <row r="109" spans="19:19" x14ac:dyDescent="0.2">
      <c r="S109" s="49"/>
    </row>
    <row r="110" spans="19:19" x14ac:dyDescent="0.2">
      <c r="S110" s="49"/>
    </row>
    <row r="111" spans="19:19" x14ac:dyDescent="0.2">
      <c r="S111" s="49"/>
    </row>
    <row r="112" spans="19:19" x14ac:dyDescent="0.2">
      <c r="S112" s="49"/>
    </row>
    <row r="113" spans="19:19" x14ac:dyDescent="0.2">
      <c r="S113" s="49"/>
    </row>
    <row r="114" spans="19:19" x14ac:dyDescent="0.2">
      <c r="S114" s="49"/>
    </row>
    <row r="115" spans="19:19" x14ac:dyDescent="0.2">
      <c r="S115" s="49"/>
    </row>
    <row r="116" spans="19:19" x14ac:dyDescent="0.2">
      <c r="S116" s="49"/>
    </row>
    <row r="117" spans="19:19" x14ac:dyDescent="0.2">
      <c r="S117" s="49"/>
    </row>
    <row r="118" spans="19:19" x14ac:dyDescent="0.2">
      <c r="S118" s="49"/>
    </row>
    <row r="119" spans="19:19" x14ac:dyDescent="0.2">
      <c r="S119" s="49"/>
    </row>
    <row r="120" spans="19:19" x14ac:dyDescent="0.2">
      <c r="S120" s="49"/>
    </row>
    <row r="121" spans="19:19" x14ac:dyDescent="0.2">
      <c r="S121" s="49"/>
    </row>
    <row r="122" spans="19:19" x14ac:dyDescent="0.2">
      <c r="S122" s="49"/>
    </row>
    <row r="123" spans="19:19" x14ac:dyDescent="0.2">
      <c r="S123" s="49"/>
    </row>
    <row r="124" spans="19:19" x14ac:dyDescent="0.2">
      <c r="S124" s="49"/>
    </row>
    <row r="125" spans="19:19" x14ac:dyDescent="0.2">
      <c r="S125" s="49"/>
    </row>
    <row r="126" spans="19:19" x14ac:dyDescent="0.2">
      <c r="S126" s="49"/>
    </row>
    <row r="127" spans="19:19" x14ac:dyDescent="0.2">
      <c r="S127" s="49"/>
    </row>
    <row r="128" spans="19:19" x14ac:dyDescent="0.2">
      <c r="S128" s="49"/>
    </row>
    <row r="129" spans="19:19" x14ac:dyDescent="0.2">
      <c r="S129" s="49"/>
    </row>
    <row r="130" spans="19:19" x14ac:dyDescent="0.2">
      <c r="S130" s="49"/>
    </row>
    <row r="131" spans="19:19" x14ac:dyDescent="0.2">
      <c r="S131" s="49"/>
    </row>
    <row r="132" spans="19:19" x14ac:dyDescent="0.2">
      <c r="S132" s="49"/>
    </row>
    <row r="133" spans="19:19" x14ac:dyDescent="0.2">
      <c r="S133" s="49"/>
    </row>
    <row r="134" spans="19:19" x14ac:dyDescent="0.2">
      <c r="S134" s="49"/>
    </row>
    <row r="135" spans="19:19" x14ac:dyDescent="0.2">
      <c r="S135" s="49"/>
    </row>
    <row r="136" spans="19:19" x14ac:dyDescent="0.2">
      <c r="S136" s="49"/>
    </row>
    <row r="137" spans="19:19" x14ac:dyDescent="0.2">
      <c r="S137" s="49"/>
    </row>
    <row r="138" spans="19:19" x14ac:dyDescent="0.2">
      <c r="S138" s="49"/>
    </row>
    <row r="139" spans="19:19" x14ac:dyDescent="0.2">
      <c r="S139" s="49"/>
    </row>
    <row r="140" spans="19:19" x14ac:dyDescent="0.2">
      <c r="S140" s="49"/>
    </row>
    <row r="141" spans="19:19" x14ac:dyDescent="0.2">
      <c r="S141" s="49"/>
    </row>
    <row r="142" spans="19:19" x14ac:dyDescent="0.2">
      <c r="S142" s="49"/>
    </row>
    <row r="143" spans="19:19" x14ac:dyDescent="0.2">
      <c r="S143" s="49"/>
    </row>
    <row r="144" spans="19:19" x14ac:dyDescent="0.2">
      <c r="S144" s="49"/>
    </row>
    <row r="145" spans="19:19" x14ac:dyDescent="0.2">
      <c r="S145" s="49"/>
    </row>
    <row r="146" spans="19:19" x14ac:dyDescent="0.2">
      <c r="S146" s="49"/>
    </row>
    <row r="147" spans="19:19" x14ac:dyDescent="0.2">
      <c r="S147" s="49"/>
    </row>
    <row r="148" spans="19:19" x14ac:dyDescent="0.2">
      <c r="S148" s="49"/>
    </row>
    <row r="149" spans="19:19" x14ac:dyDescent="0.2">
      <c r="S149" s="49"/>
    </row>
    <row r="150" spans="19:19" x14ac:dyDescent="0.2">
      <c r="S150" s="49"/>
    </row>
    <row r="151" spans="19:19" x14ac:dyDescent="0.2">
      <c r="S151" s="49"/>
    </row>
    <row r="152" spans="19:19" x14ac:dyDescent="0.2">
      <c r="S152" s="49"/>
    </row>
    <row r="153" spans="19:19" x14ac:dyDescent="0.2">
      <c r="S153" s="49"/>
    </row>
    <row r="154" spans="19:19" x14ac:dyDescent="0.2">
      <c r="S154" s="49"/>
    </row>
    <row r="155" spans="19:19" x14ac:dyDescent="0.2">
      <c r="S155" s="49"/>
    </row>
    <row r="156" spans="19:19" x14ac:dyDescent="0.2">
      <c r="S156" s="49"/>
    </row>
    <row r="157" spans="19:19" x14ac:dyDescent="0.2">
      <c r="S157" s="49"/>
    </row>
    <row r="158" spans="19:19" x14ac:dyDescent="0.2">
      <c r="S158" s="49"/>
    </row>
    <row r="159" spans="19:19" x14ac:dyDescent="0.2">
      <c r="S159" s="49"/>
    </row>
    <row r="160" spans="19:19" x14ac:dyDescent="0.2">
      <c r="S160" s="49"/>
    </row>
    <row r="161" spans="19:19" x14ac:dyDescent="0.2">
      <c r="S161" s="49"/>
    </row>
    <row r="162" spans="19:19" x14ac:dyDescent="0.2">
      <c r="S162" s="49"/>
    </row>
    <row r="163" spans="19:19" x14ac:dyDescent="0.2">
      <c r="S163" s="49"/>
    </row>
    <row r="164" spans="19:19" x14ac:dyDescent="0.2">
      <c r="S164" s="49"/>
    </row>
    <row r="165" spans="19:19" x14ac:dyDescent="0.2">
      <c r="S165" s="49"/>
    </row>
    <row r="166" spans="19:19" x14ac:dyDescent="0.2">
      <c r="S166" s="49"/>
    </row>
    <row r="167" spans="19:19" x14ac:dyDescent="0.2">
      <c r="S167" s="49"/>
    </row>
    <row r="168" spans="19:19" x14ac:dyDescent="0.2">
      <c r="S168" s="49"/>
    </row>
    <row r="169" spans="19:19" x14ac:dyDescent="0.2">
      <c r="S169" s="49"/>
    </row>
    <row r="170" spans="19:19" x14ac:dyDescent="0.2">
      <c r="S170" s="49"/>
    </row>
    <row r="171" spans="19:19" x14ac:dyDescent="0.2">
      <c r="S171" s="49"/>
    </row>
    <row r="172" spans="19:19" x14ac:dyDescent="0.2">
      <c r="S172" s="49"/>
    </row>
    <row r="173" spans="19:19" x14ac:dyDescent="0.2">
      <c r="S173" s="49"/>
    </row>
    <row r="174" spans="19:19" x14ac:dyDescent="0.2">
      <c r="S174" s="49"/>
    </row>
    <row r="175" spans="19:19" x14ac:dyDescent="0.2">
      <c r="S175" s="49"/>
    </row>
    <row r="176" spans="19:19" x14ac:dyDescent="0.2">
      <c r="S176" s="49"/>
    </row>
    <row r="177" spans="19:19" x14ac:dyDescent="0.2">
      <c r="S177" s="49"/>
    </row>
    <row r="178" spans="19:19" x14ac:dyDescent="0.2">
      <c r="S178" s="49"/>
    </row>
    <row r="179" spans="19:19" x14ac:dyDescent="0.2">
      <c r="S179" s="49"/>
    </row>
    <row r="180" spans="19:19" x14ac:dyDescent="0.2">
      <c r="S180" s="49"/>
    </row>
    <row r="181" spans="19:19" x14ac:dyDescent="0.2">
      <c r="S181" s="49"/>
    </row>
    <row r="182" spans="19:19" x14ac:dyDescent="0.2">
      <c r="S182" s="49"/>
    </row>
    <row r="183" spans="19:19" x14ac:dyDescent="0.2">
      <c r="S183" s="49"/>
    </row>
    <row r="184" spans="19:19" x14ac:dyDescent="0.2">
      <c r="S184" s="49"/>
    </row>
    <row r="185" spans="19:19" x14ac:dyDescent="0.2">
      <c r="S185" s="49"/>
    </row>
    <row r="186" spans="19:19" x14ac:dyDescent="0.2">
      <c r="S186" s="49"/>
    </row>
    <row r="187" spans="19:19" x14ac:dyDescent="0.2">
      <c r="S187" s="49"/>
    </row>
    <row r="188" spans="19:19" x14ac:dyDescent="0.2">
      <c r="S188" s="49"/>
    </row>
    <row r="189" spans="19:19" x14ac:dyDescent="0.2">
      <c r="S189" s="49"/>
    </row>
    <row r="190" spans="19:19" x14ac:dyDescent="0.2">
      <c r="S190" s="49"/>
    </row>
    <row r="191" spans="19:19" x14ac:dyDescent="0.2">
      <c r="S191" s="49"/>
    </row>
    <row r="192" spans="19:19" x14ac:dyDescent="0.2">
      <c r="S192" s="49"/>
    </row>
    <row r="193" spans="19:19" x14ac:dyDescent="0.2">
      <c r="S193" s="49"/>
    </row>
    <row r="194" spans="19:19" x14ac:dyDescent="0.2">
      <c r="S194" s="49"/>
    </row>
    <row r="195" spans="19:19" x14ac:dyDescent="0.2">
      <c r="S195" s="49"/>
    </row>
    <row r="196" spans="19:19" x14ac:dyDescent="0.2">
      <c r="S196" s="49"/>
    </row>
    <row r="197" spans="19:19" x14ac:dyDescent="0.2">
      <c r="S197" s="49"/>
    </row>
    <row r="198" spans="19:19" x14ac:dyDescent="0.2">
      <c r="S198" s="49"/>
    </row>
    <row r="199" spans="19:19" x14ac:dyDescent="0.2">
      <c r="S199" s="49"/>
    </row>
    <row r="200" spans="19:19" x14ac:dyDescent="0.2">
      <c r="S200" s="49"/>
    </row>
    <row r="201" spans="19:19" x14ac:dyDescent="0.2">
      <c r="S201" s="49"/>
    </row>
    <row r="202" spans="19:19" x14ac:dyDescent="0.2">
      <c r="S202" s="49"/>
    </row>
    <row r="203" spans="19:19" x14ac:dyDescent="0.2">
      <c r="S203" s="49"/>
    </row>
    <row r="204" spans="19:19" x14ac:dyDescent="0.2">
      <c r="S204" s="49"/>
    </row>
    <row r="205" spans="19:19" x14ac:dyDescent="0.2">
      <c r="S205" s="49"/>
    </row>
    <row r="206" spans="19:19" x14ac:dyDescent="0.2">
      <c r="S206" s="49"/>
    </row>
    <row r="207" spans="19:19" x14ac:dyDescent="0.2">
      <c r="S207" s="49"/>
    </row>
    <row r="208" spans="19:19" x14ac:dyDescent="0.2">
      <c r="S208" s="49"/>
    </row>
    <row r="209" spans="19:19" x14ac:dyDescent="0.2">
      <c r="S209" s="49"/>
    </row>
    <row r="210" spans="19:19" x14ac:dyDescent="0.2">
      <c r="S210" s="49"/>
    </row>
    <row r="211" spans="19:19" x14ac:dyDescent="0.2">
      <c r="S211" s="49"/>
    </row>
    <row r="212" spans="19:19" x14ac:dyDescent="0.2">
      <c r="S212" s="49"/>
    </row>
    <row r="213" spans="19:19" x14ac:dyDescent="0.2">
      <c r="S213" s="49"/>
    </row>
    <row r="214" spans="19:19" x14ac:dyDescent="0.2">
      <c r="S214" s="49"/>
    </row>
    <row r="215" spans="19:19" x14ac:dyDescent="0.2">
      <c r="S215" s="49"/>
    </row>
    <row r="216" spans="19:19" x14ac:dyDescent="0.2">
      <c r="S216" s="49"/>
    </row>
    <row r="217" spans="19:19" x14ac:dyDescent="0.2">
      <c r="S217" s="49"/>
    </row>
    <row r="218" spans="19:19" x14ac:dyDescent="0.2">
      <c r="S218" s="49"/>
    </row>
    <row r="219" spans="19:19" x14ac:dyDescent="0.2">
      <c r="S219" s="49"/>
    </row>
    <row r="220" spans="19:19" x14ac:dyDescent="0.2">
      <c r="S220" s="49"/>
    </row>
    <row r="221" spans="19:19" x14ac:dyDescent="0.2">
      <c r="S221" s="49"/>
    </row>
    <row r="222" spans="19:19" x14ac:dyDescent="0.2">
      <c r="S222" s="49"/>
    </row>
    <row r="223" spans="19:19" x14ac:dyDescent="0.2">
      <c r="S223" s="49"/>
    </row>
    <row r="224" spans="19:19" x14ac:dyDescent="0.2">
      <c r="S224" s="49"/>
    </row>
    <row r="225" spans="19:19" x14ac:dyDescent="0.2">
      <c r="S225" s="49"/>
    </row>
    <row r="226" spans="19:19" x14ac:dyDescent="0.2">
      <c r="S226" s="49"/>
    </row>
    <row r="227" spans="19:19" x14ac:dyDescent="0.2">
      <c r="S227" s="49"/>
    </row>
    <row r="228" spans="19:19" x14ac:dyDescent="0.2">
      <c r="S228" s="49"/>
    </row>
    <row r="229" spans="19:19" x14ac:dyDescent="0.2">
      <c r="S229" s="49"/>
    </row>
    <row r="230" spans="19:19" x14ac:dyDescent="0.2">
      <c r="S230" s="49"/>
    </row>
    <row r="231" spans="19:19" x14ac:dyDescent="0.2">
      <c r="S231" s="49"/>
    </row>
    <row r="232" spans="19:19" x14ac:dyDescent="0.2">
      <c r="S232" s="49"/>
    </row>
    <row r="233" spans="19:19" x14ac:dyDescent="0.2">
      <c r="S233" s="49"/>
    </row>
    <row r="234" spans="19:19" x14ac:dyDescent="0.2">
      <c r="S234" s="49"/>
    </row>
    <row r="235" spans="19:19" x14ac:dyDescent="0.2">
      <c r="S235" s="49"/>
    </row>
    <row r="236" spans="19:19" x14ac:dyDescent="0.2">
      <c r="S236" s="49"/>
    </row>
    <row r="237" spans="19:19" x14ac:dyDescent="0.2">
      <c r="S237" s="49"/>
    </row>
    <row r="238" spans="19:19" x14ac:dyDescent="0.2">
      <c r="S238" s="49"/>
    </row>
    <row r="239" spans="19:19" x14ac:dyDescent="0.2">
      <c r="S239" s="49"/>
    </row>
    <row r="240" spans="19:19" x14ac:dyDescent="0.2">
      <c r="S240" s="49"/>
    </row>
    <row r="241" spans="19:19" x14ac:dyDescent="0.2">
      <c r="S241" s="49"/>
    </row>
    <row r="242" spans="19:19" x14ac:dyDescent="0.2">
      <c r="S242" s="49"/>
    </row>
    <row r="243" spans="19:19" x14ac:dyDescent="0.2">
      <c r="S243" s="49"/>
    </row>
    <row r="244" spans="19:19" x14ac:dyDescent="0.2">
      <c r="S244" s="49"/>
    </row>
    <row r="245" spans="19:19" x14ac:dyDescent="0.2">
      <c r="S245" s="49"/>
    </row>
    <row r="246" spans="19:19" x14ac:dyDescent="0.2">
      <c r="S246" s="49"/>
    </row>
    <row r="247" spans="19:19" x14ac:dyDescent="0.2">
      <c r="S247" s="49"/>
    </row>
    <row r="248" spans="19:19" x14ac:dyDescent="0.2">
      <c r="S248" s="49"/>
    </row>
    <row r="249" spans="19:19" x14ac:dyDescent="0.2">
      <c r="S249" s="49"/>
    </row>
    <row r="250" spans="19:19" x14ac:dyDescent="0.2">
      <c r="S250" s="49"/>
    </row>
    <row r="251" spans="19:19" x14ac:dyDescent="0.2">
      <c r="S251" s="49"/>
    </row>
    <row r="252" spans="19:19" x14ac:dyDescent="0.2">
      <c r="S252" s="49"/>
    </row>
    <row r="253" spans="19:19" x14ac:dyDescent="0.2">
      <c r="S253" s="49"/>
    </row>
    <row r="254" spans="19:19" x14ac:dyDescent="0.2">
      <c r="S254" s="49"/>
    </row>
    <row r="255" spans="19:19" x14ac:dyDescent="0.2">
      <c r="S255" s="49"/>
    </row>
    <row r="256" spans="19:19" x14ac:dyDescent="0.2">
      <c r="S256" s="49"/>
    </row>
    <row r="257" spans="19:19" x14ac:dyDescent="0.2">
      <c r="S257" s="49"/>
    </row>
    <row r="258" spans="19:19" x14ac:dyDescent="0.2">
      <c r="S258" s="49"/>
    </row>
    <row r="259" spans="19:19" x14ac:dyDescent="0.2">
      <c r="S259" s="49"/>
    </row>
    <row r="260" spans="19:19" x14ac:dyDescent="0.2">
      <c r="S260" s="49"/>
    </row>
    <row r="261" spans="19:19" x14ac:dyDescent="0.2">
      <c r="S261" s="49"/>
    </row>
    <row r="262" spans="19:19" x14ac:dyDescent="0.2">
      <c r="S262" s="49"/>
    </row>
    <row r="263" spans="19:19" x14ac:dyDescent="0.2">
      <c r="S263" s="49"/>
    </row>
    <row r="264" spans="19:19" x14ac:dyDescent="0.2">
      <c r="S264" s="49"/>
    </row>
    <row r="265" spans="19:19" x14ac:dyDescent="0.2">
      <c r="S265" s="49"/>
    </row>
    <row r="266" spans="19:19" x14ac:dyDescent="0.2">
      <c r="S266" s="49"/>
    </row>
    <row r="267" spans="19:19" x14ac:dyDescent="0.2">
      <c r="S267" s="49"/>
    </row>
    <row r="268" spans="19:19" x14ac:dyDescent="0.2">
      <c r="S268" s="49"/>
    </row>
    <row r="269" spans="19:19" x14ac:dyDescent="0.2">
      <c r="S269" s="49"/>
    </row>
    <row r="270" spans="19:19" x14ac:dyDescent="0.2">
      <c r="S270" s="49"/>
    </row>
    <row r="271" spans="19:19" x14ac:dyDescent="0.2">
      <c r="S271" s="49"/>
    </row>
    <row r="272" spans="19:19" x14ac:dyDescent="0.2">
      <c r="S272" s="49"/>
    </row>
    <row r="273" spans="19:19" x14ac:dyDescent="0.2">
      <c r="S273" s="49"/>
    </row>
    <row r="274" spans="19:19" x14ac:dyDescent="0.2">
      <c r="S274" s="49"/>
    </row>
    <row r="275" spans="19:19" x14ac:dyDescent="0.2">
      <c r="S275" s="49"/>
    </row>
    <row r="276" spans="19:19" x14ac:dyDescent="0.2">
      <c r="S276" s="49"/>
    </row>
    <row r="277" spans="19:19" x14ac:dyDescent="0.2">
      <c r="S277" s="49"/>
    </row>
    <row r="278" spans="19:19" x14ac:dyDescent="0.2">
      <c r="S278" s="49"/>
    </row>
    <row r="279" spans="19:19" x14ac:dyDescent="0.2">
      <c r="S279" s="49"/>
    </row>
    <row r="280" spans="19:19" x14ac:dyDescent="0.2">
      <c r="S280" s="49"/>
    </row>
    <row r="281" spans="19:19" x14ac:dyDescent="0.2">
      <c r="S281" s="49"/>
    </row>
    <row r="282" spans="19:19" x14ac:dyDescent="0.2">
      <c r="S282" s="49"/>
    </row>
    <row r="283" spans="19:19" x14ac:dyDescent="0.2">
      <c r="S283" s="49"/>
    </row>
    <row r="284" spans="19:19" x14ac:dyDescent="0.2">
      <c r="S284" s="49"/>
    </row>
    <row r="285" spans="19:19" x14ac:dyDescent="0.2">
      <c r="S285" s="49"/>
    </row>
    <row r="286" spans="19:19" x14ac:dyDescent="0.2">
      <c r="S286" s="49"/>
    </row>
    <row r="287" spans="19:19" x14ac:dyDescent="0.2">
      <c r="S287" s="49"/>
    </row>
    <row r="288" spans="19:19" x14ac:dyDescent="0.2">
      <c r="S288" s="49"/>
    </row>
    <row r="289" spans="19:19" x14ac:dyDescent="0.2">
      <c r="S289" s="49"/>
    </row>
    <row r="290" spans="19:19" x14ac:dyDescent="0.2">
      <c r="S290" s="49"/>
    </row>
    <row r="291" spans="19:19" x14ac:dyDescent="0.2">
      <c r="S291" s="49"/>
    </row>
    <row r="292" spans="19:19" x14ac:dyDescent="0.2">
      <c r="S292" s="49"/>
    </row>
    <row r="293" spans="19:19" x14ac:dyDescent="0.2">
      <c r="S293" s="49"/>
    </row>
    <row r="294" spans="19:19" x14ac:dyDescent="0.2">
      <c r="S294" s="49"/>
    </row>
    <row r="295" spans="19:19" x14ac:dyDescent="0.2">
      <c r="S295" s="49"/>
    </row>
    <row r="296" spans="19:19" x14ac:dyDescent="0.2">
      <c r="S296" s="49"/>
    </row>
    <row r="297" spans="19:19" x14ac:dyDescent="0.2">
      <c r="S297" s="49"/>
    </row>
    <row r="298" spans="19:19" x14ac:dyDescent="0.2">
      <c r="S298" s="49"/>
    </row>
    <row r="299" spans="19:19" x14ac:dyDescent="0.2">
      <c r="S299" s="49"/>
    </row>
    <row r="300" spans="19:19" x14ac:dyDescent="0.2">
      <c r="S300" s="49"/>
    </row>
    <row r="301" spans="19:19" x14ac:dyDescent="0.2">
      <c r="S301" s="49"/>
    </row>
    <row r="302" spans="19:19" x14ac:dyDescent="0.2">
      <c r="S302" s="49"/>
    </row>
    <row r="303" spans="19:19" x14ac:dyDescent="0.2">
      <c r="S303" s="49"/>
    </row>
    <row r="304" spans="19:19" x14ac:dyDescent="0.2">
      <c r="S304" s="49"/>
    </row>
    <row r="305" spans="19:19" x14ac:dyDescent="0.2">
      <c r="S305" s="49"/>
    </row>
    <row r="306" spans="19:19" x14ac:dyDescent="0.2">
      <c r="S306" s="49"/>
    </row>
    <row r="307" spans="19:19" x14ac:dyDescent="0.2">
      <c r="S307" s="49"/>
    </row>
    <row r="308" spans="19:19" x14ac:dyDescent="0.2">
      <c r="S308" s="49"/>
    </row>
    <row r="309" spans="19:19" x14ac:dyDescent="0.2">
      <c r="S309" s="49"/>
    </row>
    <row r="310" spans="19:19" x14ac:dyDescent="0.2">
      <c r="S310" s="49"/>
    </row>
    <row r="311" spans="19:19" x14ac:dyDescent="0.2">
      <c r="S311" s="49"/>
    </row>
    <row r="312" spans="19:19" x14ac:dyDescent="0.2">
      <c r="S312" s="49"/>
    </row>
    <row r="313" spans="19:19" x14ac:dyDescent="0.2">
      <c r="S313" s="49"/>
    </row>
    <row r="314" spans="19:19" x14ac:dyDescent="0.2">
      <c r="S314" s="49"/>
    </row>
    <row r="315" spans="19:19" x14ac:dyDescent="0.2">
      <c r="S315" s="49"/>
    </row>
    <row r="316" spans="19:19" x14ac:dyDescent="0.2">
      <c r="S316" s="49"/>
    </row>
    <row r="317" spans="19:19" x14ac:dyDescent="0.2">
      <c r="S317" s="49"/>
    </row>
    <row r="318" spans="19:19" x14ac:dyDescent="0.2">
      <c r="S318" s="49"/>
    </row>
    <row r="319" spans="19:19" x14ac:dyDescent="0.2">
      <c r="S319" s="49"/>
    </row>
    <row r="320" spans="19:19" x14ac:dyDescent="0.2">
      <c r="S320" s="49"/>
    </row>
    <row r="321" spans="19:19" x14ac:dyDescent="0.2">
      <c r="S321" s="49"/>
    </row>
    <row r="322" spans="19:19" x14ac:dyDescent="0.2">
      <c r="S322" s="49"/>
    </row>
    <row r="323" spans="19:19" x14ac:dyDescent="0.2">
      <c r="S323" s="49"/>
    </row>
    <row r="324" spans="19:19" x14ac:dyDescent="0.2">
      <c r="S324" s="49"/>
    </row>
    <row r="325" spans="19:19" x14ac:dyDescent="0.2">
      <c r="S325" s="49"/>
    </row>
    <row r="326" spans="19:19" x14ac:dyDescent="0.2">
      <c r="S326" s="49"/>
    </row>
    <row r="327" spans="19:19" x14ac:dyDescent="0.2">
      <c r="S327" s="49"/>
    </row>
    <row r="328" spans="19:19" x14ac:dyDescent="0.2">
      <c r="S328" s="49"/>
    </row>
    <row r="329" spans="19:19" x14ac:dyDescent="0.2">
      <c r="S329" s="49"/>
    </row>
    <row r="330" spans="19:19" x14ac:dyDescent="0.2">
      <c r="S330" s="49"/>
    </row>
    <row r="331" spans="19:19" x14ac:dyDescent="0.2">
      <c r="S331" s="49"/>
    </row>
    <row r="332" spans="19:19" x14ac:dyDescent="0.2">
      <c r="S332" s="49"/>
    </row>
    <row r="333" spans="19:19" x14ac:dyDescent="0.2">
      <c r="S333" s="49"/>
    </row>
    <row r="334" spans="19:19" x14ac:dyDescent="0.2">
      <c r="S334" s="49"/>
    </row>
    <row r="335" spans="19:19" x14ac:dyDescent="0.2">
      <c r="S335" s="49"/>
    </row>
    <row r="336" spans="19:19" x14ac:dyDescent="0.2">
      <c r="S336" s="49"/>
    </row>
    <row r="337" spans="19:19" x14ac:dyDescent="0.2">
      <c r="S337" s="49"/>
    </row>
    <row r="338" spans="19:19" x14ac:dyDescent="0.2">
      <c r="S338" s="49"/>
    </row>
    <row r="339" spans="19:19" x14ac:dyDescent="0.2">
      <c r="S339" s="49"/>
    </row>
    <row r="340" spans="19:19" x14ac:dyDescent="0.2">
      <c r="S340" s="49"/>
    </row>
    <row r="341" spans="19:19" x14ac:dyDescent="0.2">
      <c r="S341" s="49"/>
    </row>
    <row r="342" spans="19:19" x14ac:dyDescent="0.2">
      <c r="S342" s="49"/>
    </row>
    <row r="343" spans="19:19" x14ac:dyDescent="0.2">
      <c r="S343" s="49"/>
    </row>
    <row r="344" spans="19:19" x14ac:dyDescent="0.2">
      <c r="S344" s="49"/>
    </row>
    <row r="345" spans="19:19" x14ac:dyDescent="0.2">
      <c r="S345" s="49"/>
    </row>
    <row r="346" spans="19:19" x14ac:dyDescent="0.2">
      <c r="S346" s="49"/>
    </row>
    <row r="347" spans="19:19" x14ac:dyDescent="0.2">
      <c r="S347" s="49"/>
    </row>
    <row r="348" spans="19:19" x14ac:dyDescent="0.2">
      <c r="S348" s="49"/>
    </row>
    <row r="349" spans="19:19" x14ac:dyDescent="0.2">
      <c r="S349" s="49"/>
    </row>
    <row r="350" spans="19:19" x14ac:dyDescent="0.2">
      <c r="S350" s="49"/>
    </row>
    <row r="351" spans="19:19" x14ac:dyDescent="0.2">
      <c r="S351" s="49"/>
    </row>
    <row r="352" spans="19:19" x14ac:dyDescent="0.2">
      <c r="S352" s="49"/>
    </row>
    <row r="353" spans="19:19" x14ac:dyDescent="0.2">
      <c r="S353" s="49"/>
    </row>
    <row r="354" spans="19:19" x14ac:dyDescent="0.2">
      <c r="S354" s="49"/>
    </row>
    <row r="355" spans="19:19" x14ac:dyDescent="0.2">
      <c r="S355" s="49"/>
    </row>
    <row r="356" spans="19:19" x14ac:dyDescent="0.2">
      <c r="S356" s="49"/>
    </row>
    <row r="357" spans="19:19" x14ac:dyDescent="0.2">
      <c r="S357" s="49"/>
    </row>
    <row r="358" spans="19:19" x14ac:dyDescent="0.2">
      <c r="S358" s="49"/>
    </row>
    <row r="359" spans="19:19" x14ac:dyDescent="0.2">
      <c r="S359" s="49"/>
    </row>
    <row r="360" spans="19:19" x14ac:dyDescent="0.2">
      <c r="S360" s="49"/>
    </row>
    <row r="361" spans="19:19" x14ac:dyDescent="0.2">
      <c r="S361" s="49"/>
    </row>
    <row r="362" spans="19:19" x14ac:dyDescent="0.2">
      <c r="S362" s="49"/>
    </row>
    <row r="363" spans="19:19" x14ac:dyDescent="0.2">
      <c r="S363" s="49"/>
    </row>
    <row r="364" spans="19:19" x14ac:dyDescent="0.2">
      <c r="S364" s="49"/>
    </row>
    <row r="365" spans="19:19" x14ac:dyDescent="0.2">
      <c r="S365" s="49"/>
    </row>
    <row r="366" spans="19:19" x14ac:dyDescent="0.2">
      <c r="S366" s="49"/>
    </row>
    <row r="367" spans="19:19" x14ac:dyDescent="0.2">
      <c r="S367" s="49"/>
    </row>
    <row r="368" spans="19:19" x14ac:dyDescent="0.2">
      <c r="S368" s="49"/>
    </row>
    <row r="369" spans="19:19" x14ac:dyDescent="0.2">
      <c r="S369" s="49"/>
    </row>
    <row r="370" spans="19:19" x14ac:dyDescent="0.2">
      <c r="S370" s="49"/>
    </row>
    <row r="371" spans="19:19" x14ac:dyDescent="0.2">
      <c r="S371" s="49"/>
    </row>
    <row r="372" spans="19:19" x14ac:dyDescent="0.2">
      <c r="S372" s="49"/>
    </row>
    <row r="373" spans="19:19" x14ac:dyDescent="0.2">
      <c r="S373" s="49"/>
    </row>
    <row r="374" spans="19:19" x14ac:dyDescent="0.2">
      <c r="S374" s="49"/>
    </row>
    <row r="375" spans="19:19" x14ac:dyDescent="0.2">
      <c r="S375" s="49"/>
    </row>
    <row r="376" spans="19:19" x14ac:dyDescent="0.2">
      <c r="S376" s="49"/>
    </row>
    <row r="377" spans="19:19" x14ac:dyDescent="0.2">
      <c r="S377" s="49"/>
    </row>
    <row r="378" spans="19:19" x14ac:dyDescent="0.2">
      <c r="S378" s="49"/>
    </row>
    <row r="379" spans="19:19" x14ac:dyDescent="0.2">
      <c r="S379" s="49"/>
    </row>
    <row r="380" spans="19:19" x14ac:dyDescent="0.2">
      <c r="S380" s="49"/>
    </row>
    <row r="381" spans="19:19" x14ac:dyDescent="0.2">
      <c r="S381" s="49"/>
    </row>
    <row r="382" spans="19:19" x14ac:dyDescent="0.2">
      <c r="S382" s="49"/>
    </row>
    <row r="383" spans="19:19" x14ac:dyDescent="0.2">
      <c r="S383" s="49"/>
    </row>
    <row r="384" spans="19:19" x14ac:dyDescent="0.2">
      <c r="S384" s="49"/>
    </row>
    <row r="385" spans="19:19" x14ac:dyDescent="0.2">
      <c r="S385" s="49"/>
    </row>
    <row r="386" spans="19:19" x14ac:dyDescent="0.2">
      <c r="S386" s="49"/>
    </row>
    <row r="387" spans="19:19" x14ac:dyDescent="0.2">
      <c r="S387" s="49"/>
    </row>
    <row r="388" spans="19:19" x14ac:dyDescent="0.2">
      <c r="S388" s="49"/>
    </row>
    <row r="389" spans="19:19" x14ac:dyDescent="0.2">
      <c r="S389" s="49"/>
    </row>
    <row r="390" spans="19:19" x14ac:dyDescent="0.2">
      <c r="S390" s="49"/>
    </row>
    <row r="391" spans="19:19" x14ac:dyDescent="0.2">
      <c r="S391" s="49"/>
    </row>
    <row r="392" spans="19:19" x14ac:dyDescent="0.2">
      <c r="S392" s="49"/>
    </row>
    <row r="393" spans="19:19" x14ac:dyDescent="0.2">
      <c r="S393" s="49"/>
    </row>
    <row r="394" spans="19:19" x14ac:dyDescent="0.2">
      <c r="S394" s="49"/>
    </row>
    <row r="395" spans="19:19" x14ac:dyDescent="0.2">
      <c r="S395" s="49"/>
    </row>
    <row r="396" spans="19:19" x14ac:dyDescent="0.2">
      <c r="S396" s="49"/>
    </row>
    <row r="397" spans="19:19" x14ac:dyDescent="0.2">
      <c r="S397" s="49"/>
    </row>
    <row r="398" spans="19:19" x14ac:dyDescent="0.2">
      <c r="S398" s="49"/>
    </row>
    <row r="399" spans="19:19" x14ac:dyDescent="0.2">
      <c r="S399" s="49"/>
    </row>
    <row r="400" spans="19:19" x14ac:dyDescent="0.2">
      <c r="S400" s="49"/>
    </row>
    <row r="401" spans="19:19" x14ac:dyDescent="0.2">
      <c r="S401" s="49"/>
    </row>
    <row r="402" spans="19:19" x14ac:dyDescent="0.2">
      <c r="S402" s="49"/>
    </row>
    <row r="403" spans="19:19" x14ac:dyDescent="0.2">
      <c r="S403" s="49"/>
    </row>
    <row r="404" spans="19:19" x14ac:dyDescent="0.2">
      <c r="S404" s="49"/>
    </row>
    <row r="405" spans="19:19" x14ac:dyDescent="0.2">
      <c r="S405" s="49"/>
    </row>
    <row r="406" spans="19:19" x14ac:dyDescent="0.2">
      <c r="S406" s="49"/>
    </row>
    <row r="407" spans="19:19" x14ac:dyDescent="0.2">
      <c r="S407" s="49"/>
    </row>
    <row r="408" spans="19:19" x14ac:dyDescent="0.2">
      <c r="S408" s="49"/>
    </row>
    <row r="409" spans="19:19" x14ac:dyDescent="0.2">
      <c r="S409" s="49"/>
    </row>
    <row r="410" spans="19:19" x14ac:dyDescent="0.2">
      <c r="S410" s="49"/>
    </row>
    <row r="411" spans="19:19" x14ac:dyDescent="0.2">
      <c r="S411" s="49"/>
    </row>
    <row r="412" spans="19:19" x14ac:dyDescent="0.2">
      <c r="S412" s="49"/>
    </row>
    <row r="413" spans="19:19" x14ac:dyDescent="0.2">
      <c r="S413" s="49"/>
    </row>
    <row r="414" spans="19:19" x14ac:dyDescent="0.2">
      <c r="S414" s="49"/>
    </row>
    <row r="415" spans="19:19" x14ac:dyDescent="0.2">
      <c r="S415" s="49"/>
    </row>
    <row r="416" spans="19:19" x14ac:dyDescent="0.2">
      <c r="S416" s="49"/>
    </row>
    <row r="417" spans="19:19" x14ac:dyDescent="0.2">
      <c r="S417" s="49"/>
    </row>
    <row r="418" spans="19:19" x14ac:dyDescent="0.2">
      <c r="S418" s="49"/>
    </row>
    <row r="419" spans="19:19" x14ac:dyDescent="0.2">
      <c r="S419" s="49"/>
    </row>
    <row r="420" spans="19:19" x14ac:dyDescent="0.2">
      <c r="S420" s="49"/>
    </row>
    <row r="421" spans="19:19" x14ac:dyDescent="0.2">
      <c r="S421" s="49"/>
    </row>
    <row r="422" spans="19:19" x14ac:dyDescent="0.2">
      <c r="S422" s="49"/>
    </row>
    <row r="423" spans="19:19" x14ac:dyDescent="0.2">
      <c r="S423" s="49"/>
    </row>
    <row r="424" spans="19:19" x14ac:dyDescent="0.2">
      <c r="S424" s="49"/>
    </row>
    <row r="425" spans="19:19" x14ac:dyDescent="0.2">
      <c r="S425" s="49"/>
    </row>
    <row r="426" spans="19:19" x14ac:dyDescent="0.2">
      <c r="S426" s="49"/>
    </row>
    <row r="427" spans="19:19" x14ac:dyDescent="0.2">
      <c r="S427" s="49"/>
    </row>
    <row r="428" spans="19:19" x14ac:dyDescent="0.2">
      <c r="S428" s="49"/>
    </row>
    <row r="429" spans="19:19" x14ac:dyDescent="0.2">
      <c r="S429" s="49"/>
    </row>
    <row r="430" spans="19:19" x14ac:dyDescent="0.2">
      <c r="S430" s="49"/>
    </row>
    <row r="431" spans="19:19" x14ac:dyDescent="0.2">
      <c r="S431" s="49"/>
    </row>
    <row r="432" spans="19:19" x14ac:dyDescent="0.2">
      <c r="S432" s="49"/>
    </row>
    <row r="433" spans="19:19" x14ac:dyDescent="0.2">
      <c r="S433" s="49"/>
    </row>
    <row r="434" spans="19:19" x14ac:dyDescent="0.2">
      <c r="S434" s="49"/>
    </row>
    <row r="435" spans="19:19" x14ac:dyDescent="0.2">
      <c r="S435" s="49"/>
    </row>
    <row r="436" spans="19:19" x14ac:dyDescent="0.2">
      <c r="S436" s="49"/>
    </row>
    <row r="437" spans="19:19" x14ac:dyDescent="0.2">
      <c r="S437" s="49"/>
    </row>
    <row r="438" spans="19:19" x14ac:dyDescent="0.2">
      <c r="S438" s="49"/>
    </row>
    <row r="439" spans="19:19" x14ac:dyDescent="0.2">
      <c r="S439" s="49"/>
    </row>
    <row r="440" spans="19:19" x14ac:dyDescent="0.2">
      <c r="S440" s="49"/>
    </row>
    <row r="441" spans="19:19" x14ac:dyDescent="0.2">
      <c r="S441" s="49"/>
    </row>
    <row r="442" spans="19:19" x14ac:dyDescent="0.2">
      <c r="S442" s="49"/>
    </row>
    <row r="443" spans="19:19" x14ac:dyDescent="0.2">
      <c r="S443" s="49"/>
    </row>
    <row r="444" spans="19:19" x14ac:dyDescent="0.2">
      <c r="S444" s="49"/>
    </row>
    <row r="445" spans="19:19" x14ac:dyDescent="0.2">
      <c r="S445" s="49"/>
    </row>
    <row r="446" spans="19:19" x14ac:dyDescent="0.2">
      <c r="S446" s="49"/>
    </row>
    <row r="447" spans="19:19" x14ac:dyDescent="0.2">
      <c r="S447" s="49"/>
    </row>
    <row r="448" spans="19:19" x14ac:dyDescent="0.2">
      <c r="S448" s="49"/>
    </row>
    <row r="449" spans="19:19" x14ac:dyDescent="0.2">
      <c r="S449" s="49"/>
    </row>
    <row r="450" spans="19:19" x14ac:dyDescent="0.2">
      <c r="S450" s="49"/>
    </row>
    <row r="451" spans="19:19" x14ac:dyDescent="0.2">
      <c r="S451" s="49"/>
    </row>
    <row r="452" spans="19:19" x14ac:dyDescent="0.2">
      <c r="S452" s="49"/>
    </row>
    <row r="453" spans="19:19" x14ac:dyDescent="0.2">
      <c r="S453" s="49"/>
    </row>
    <row r="454" spans="19:19" x14ac:dyDescent="0.2">
      <c r="S454" s="49"/>
    </row>
    <row r="455" spans="19:19" x14ac:dyDescent="0.2">
      <c r="S455" s="49"/>
    </row>
    <row r="456" spans="19:19" x14ac:dyDescent="0.2">
      <c r="S456" s="49"/>
    </row>
    <row r="457" spans="19:19" x14ac:dyDescent="0.2">
      <c r="S457" s="49"/>
    </row>
    <row r="458" spans="19:19" x14ac:dyDescent="0.2">
      <c r="S458" s="49"/>
    </row>
    <row r="459" spans="19:19" x14ac:dyDescent="0.2">
      <c r="S459" s="49"/>
    </row>
    <row r="460" spans="19:19" x14ac:dyDescent="0.2">
      <c r="S460" s="49"/>
    </row>
    <row r="461" spans="19:19" x14ac:dyDescent="0.2">
      <c r="S461" s="49"/>
    </row>
    <row r="462" spans="19:19" x14ac:dyDescent="0.2">
      <c r="S462" s="49"/>
    </row>
    <row r="463" spans="19:19" x14ac:dyDescent="0.2">
      <c r="S463" s="49"/>
    </row>
    <row r="464" spans="19:19" x14ac:dyDescent="0.2">
      <c r="S464" s="49"/>
    </row>
    <row r="465" spans="19:19" x14ac:dyDescent="0.2">
      <c r="S465" s="49"/>
    </row>
    <row r="466" spans="19:19" x14ac:dyDescent="0.2">
      <c r="S466" s="49"/>
    </row>
    <row r="467" spans="19:19" x14ac:dyDescent="0.2">
      <c r="S467" s="49"/>
    </row>
    <row r="468" spans="19:19" x14ac:dyDescent="0.2">
      <c r="S468" s="49"/>
    </row>
    <row r="469" spans="19:19" x14ac:dyDescent="0.2">
      <c r="S469" s="49"/>
    </row>
    <row r="470" spans="19:19" x14ac:dyDescent="0.2">
      <c r="S470" s="49"/>
    </row>
    <row r="471" spans="19:19" x14ac:dyDescent="0.2">
      <c r="S471" s="49"/>
    </row>
    <row r="472" spans="19:19" x14ac:dyDescent="0.2">
      <c r="S472" s="49"/>
    </row>
    <row r="473" spans="19:19" x14ac:dyDescent="0.2">
      <c r="S473" s="49"/>
    </row>
    <row r="474" spans="19:19" x14ac:dyDescent="0.2">
      <c r="S474" s="49"/>
    </row>
    <row r="475" spans="19:19" x14ac:dyDescent="0.2">
      <c r="S475" s="49"/>
    </row>
    <row r="476" spans="19:19" x14ac:dyDescent="0.2">
      <c r="S476" s="49"/>
    </row>
    <row r="477" spans="19:19" x14ac:dyDescent="0.2">
      <c r="S477" s="49"/>
    </row>
    <row r="478" spans="19:19" x14ac:dyDescent="0.2">
      <c r="S478" s="49"/>
    </row>
    <row r="479" spans="19:19" x14ac:dyDescent="0.2">
      <c r="S479" s="49"/>
    </row>
    <row r="480" spans="19:19" x14ac:dyDescent="0.2">
      <c r="S480" s="49"/>
    </row>
    <row r="481" spans="19:19" x14ac:dyDescent="0.2">
      <c r="S481" s="49"/>
    </row>
    <row r="482" spans="19:19" x14ac:dyDescent="0.2">
      <c r="S482" s="49"/>
    </row>
    <row r="483" spans="19:19" x14ac:dyDescent="0.2">
      <c r="S483" s="49"/>
    </row>
    <row r="484" spans="19:19" x14ac:dyDescent="0.2">
      <c r="S484" s="49"/>
    </row>
    <row r="485" spans="19:19" x14ac:dyDescent="0.2">
      <c r="S485" s="49"/>
    </row>
    <row r="486" spans="19:19" x14ac:dyDescent="0.2">
      <c r="S486" s="49"/>
    </row>
    <row r="487" spans="19:19" x14ac:dyDescent="0.2">
      <c r="S487" s="49"/>
    </row>
    <row r="488" spans="19:19" x14ac:dyDescent="0.2">
      <c r="S488" s="49"/>
    </row>
    <row r="489" spans="19:19" x14ac:dyDescent="0.2">
      <c r="S489" s="49"/>
    </row>
    <row r="490" spans="19:19" x14ac:dyDescent="0.2">
      <c r="S490" s="49"/>
    </row>
    <row r="491" spans="19:19" x14ac:dyDescent="0.2">
      <c r="S491" s="49"/>
    </row>
    <row r="492" spans="19:19" x14ac:dyDescent="0.2">
      <c r="S492" s="49"/>
    </row>
    <row r="493" spans="19:19" x14ac:dyDescent="0.2">
      <c r="S493" s="49"/>
    </row>
    <row r="494" spans="19:19" x14ac:dyDescent="0.2">
      <c r="S494" s="49"/>
    </row>
    <row r="495" spans="19:19" x14ac:dyDescent="0.2">
      <c r="S495" s="49"/>
    </row>
    <row r="496" spans="19:19" x14ac:dyDescent="0.2">
      <c r="S496" s="49"/>
    </row>
    <row r="497" spans="19:19" x14ac:dyDescent="0.2">
      <c r="S497" s="49"/>
    </row>
    <row r="498" spans="19:19" x14ac:dyDescent="0.2">
      <c r="S498" s="49"/>
    </row>
    <row r="499" spans="19:19" x14ac:dyDescent="0.2">
      <c r="S499" s="49"/>
    </row>
    <row r="500" spans="19:19" x14ac:dyDescent="0.2">
      <c r="S500" s="49"/>
    </row>
    <row r="501" spans="19:19" x14ac:dyDescent="0.2">
      <c r="S501" s="49"/>
    </row>
    <row r="502" spans="19:19" x14ac:dyDescent="0.2">
      <c r="S502" s="49"/>
    </row>
    <row r="503" spans="19:19" x14ac:dyDescent="0.2">
      <c r="S503" s="49"/>
    </row>
    <row r="504" spans="19:19" x14ac:dyDescent="0.2">
      <c r="S504" s="49"/>
    </row>
    <row r="505" spans="19:19" x14ac:dyDescent="0.2">
      <c r="S505" s="49"/>
    </row>
    <row r="506" spans="19:19" x14ac:dyDescent="0.2">
      <c r="S506" s="49"/>
    </row>
    <row r="507" spans="19:19" x14ac:dyDescent="0.2">
      <c r="S507" s="49"/>
    </row>
    <row r="508" spans="19:19" x14ac:dyDescent="0.2">
      <c r="S508" s="49"/>
    </row>
    <row r="509" spans="19:19" x14ac:dyDescent="0.2">
      <c r="S509" s="49"/>
    </row>
    <row r="510" spans="19:19" x14ac:dyDescent="0.2">
      <c r="S510" s="49"/>
    </row>
    <row r="511" spans="19:19" x14ac:dyDescent="0.2">
      <c r="S511" s="49"/>
    </row>
    <row r="512" spans="19:19" x14ac:dyDescent="0.2">
      <c r="S512" s="49"/>
    </row>
    <row r="513" spans="19:19" x14ac:dyDescent="0.2">
      <c r="S513" s="49"/>
    </row>
    <row r="514" spans="19:19" x14ac:dyDescent="0.2">
      <c r="S514" s="49"/>
    </row>
    <row r="515" spans="19:19" x14ac:dyDescent="0.2">
      <c r="S515" s="49"/>
    </row>
    <row r="516" spans="19:19" x14ac:dyDescent="0.2">
      <c r="S516" s="49"/>
    </row>
    <row r="517" spans="19:19" x14ac:dyDescent="0.2">
      <c r="S517" s="49"/>
    </row>
    <row r="518" spans="19:19" x14ac:dyDescent="0.2">
      <c r="S518" s="49"/>
    </row>
    <row r="519" spans="19:19" x14ac:dyDescent="0.2">
      <c r="S519" s="49"/>
    </row>
    <row r="520" spans="19:19" x14ac:dyDescent="0.2">
      <c r="S520" s="49"/>
    </row>
    <row r="521" spans="19:19" x14ac:dyDescent="0.2">
      <c r="S521" s="49"/>
    </row>
    <row r="522" spans="19:19" x14ac:dyDescent="0.2">
      <c r="S522" s="49"/>
    </row>
    <row r="523" spans="19:19" x14ac:dyDescent="0.2">
      <c r="S523" s="49"/>
    </row>
    <row r="524" spans="19:19" x14ac:dyDescent="0.2">
      <c r="S524" s="49"/>
    </row>
    <row r="525" spans="19:19" x14ac:dyDescent="0.2">
      <c r="S525" s="49"/>
    </row>
    <row r="526" spans="19:19" x14ac:dyDescent="0.2">
      <c r="S526" s="49"/>
    </row>
    <row r="527" spans="19:19" x14ac:dyDescent="0.2">
      <c r="S527" s="49"/>
    </row>
    <row r="528" spans="19:19" x14ac:dyDescent="0.2">
      <c r="S528" s="49"/>
    </row>
    <row r="529" spans="19:19" x14ac:dyDescent="0.2">
      <c r="S529" s="49"/>
    </row>
    <row r="530" spans="19:19" x14ac:dyDescent="0.2">
      <c r="S530" s="49"/>
    </row>
    <row r="531" spans="19:19" x14ac:dyDescent="0.2">
      <c r="S531" s="49"/>
    </row>
    <row r="532" spans="19:19" x14ac:dyDescent="0.2">
      <c r="S532" s="49"/>
    </row>
    <row r="533" spans="19:19" x14ac:dyDescent="0.2">
      <c r="S533" s="49"/>
    </row>
    <row r="534" spans="19:19" x14ac:dyDescent="0.2">
      <c r="S534" s="49"/>
    </row>
    <row r="535" spans="19:19" x14ac:dyDescent="0.2">
      <c r="S535" s="49"/>
    </row>
    <row r="536" spans="19:19" x14ac:dyDescent="0.2">
      <c r="S536" s="49"/>
    </row>
    <row r="537" spans="19:19" x14ac:dyDescent="0.2">
      <c r="S537" s="49"/>
    </row>
    <row r="538" spans="19:19" x14ac:dyDescent="0.2">
      <c r="S538" s="49"/>
    </row>
    <row r="539" spans="19:19" x14ac:dyDescent="0.2">
      <c r="S539" s="49"/>
    </row>
    <row r="540" spans="19:19" x14ac:dyDescent="0.2">
      <c r="S540" s="49"/>
    </row>
    <row r="541" spans="19:19" x14ac:dyDescent="0.2">
      <c r="S541" s="49"/>
    </row>
    <row r="542" spans="19:19" x14ac:dyDescent="0.2">
      <c r="S542" s="49"/>
    </row>
    <row r="543" spans="19:19" x14ac:dyDescent="0.2">
      <c r="S543" s="49"/>
    </row>
    <row r="544" spans="19:19" x14ac:dyDescent="0.2">
      <c r="S544" s="49"/>
    </row>
    <row r="545" spans="19:19" x14ac:dyDescent="0.2">
      <c r="S545" s="49"/>
    </row>
    <row r="546" spans="19:19" x14ac:dyDescent="0.2">
      <c r="S546" s="49"/>
    </row>
    <row r="547" spans="19:19" x14ac:dyDescent="0.2">
      <c r="S547" s="49"/>
    </row>
    <row r="548" spans="19:19" x14ac:dyDescent="0.2">
      <c r="S548" s="49"/>
    </row>
    <row r="549" spans="19:19" x14ac:dyDescent="0.2">
      <c r="S549" s="49"/>
    </row>
    <row r="550" spans="19:19" x14ac:dyDescent="0.2">
      <c r="S550" s="49"/>
    </row>
    <row r="551" spans="19:19" x14ac:dyDescent="0.2">
      <c r="S551" s="49"/>
    </row>
    <row r="552" spans="19:19" x14ac:dyDescent="0.2">
      <c r="S552" s="49"/>
    </row>
    <row r="553" spans="19:19" x14ac:dyDescent="0.2">
      <c r="S553" s="49"/>
    </row>
    <row r="554" spans="19:19" x14ac:dyDescent="0.2">
      <c r="S554" s="49"/>
    </row>
    <row r="555" spans="19:19" x14ac:dyDescent="0.2">
      <c r="S555" s="49"/>
    </row>
    <row r="556" spans="19:19" x14ac:dyDescent="0.2">
      <c r="S556" s="49"/>
    </row>
    <row r="557" spans="19:19" x14ac:dyDescent="0.2">
      <c r="S557" s="49"/>
    </row>
    <row r="558" spans="19:19" x14ac:dyDescent="0.2">
      <c r="S558" s="49"/>
    </row>
    <row r="559" spans="19:19" x14ac:dyDescent="0.2">
      <c r="S559" s="49"/>
    </row>
    <row r="560" spans="19:19" x14ac:dyDescent="0.2">
      <c r="S560" s="49"/>
    </row>
    <row r="561" spans="19:19" x14ac:dyDescent="0.2">
      <c r="S561" s="49"/>
    </row>
    <row r="562" spans="19:19" x14ac:dyDescent="0.2">
      <c r="S562" s="49"/>
    </row>
    <row r="563" spans="19:19" x14ac:dyDescent="0.2">
      <c r="S563" s="49"/>
    </row>
    <row r="564" spans="19:19" x14ac:dyDescent="0.2">
      <c r="S564" s="49"/>
    </row>
    <row r="565" spans="19:19" x14ac:dyDescent="0.2">
      <c r="S565" s="49"/>
    </row>
    <row r="566" spans="19:19" x14ac:dyDescent="0.2">
      <c r="S566" s="49"/>
    </row>
    <row r="567" spans="19:19" x14ac:dyDescent="0.2">
      <c r="S567" s="49"/>
    </row>
    <row r="568" spans="19:19" x14ac:dyDescent="0.2">
      <c r="S568" s="49"/>
    </row>
    <row r="569" spans="19:19" x14ac:dyDescent="0.2">
      <c r="S569" s="49"/>
    </row>
    <row r="570" spans="19:19" x14ac:dyDescent="0.2">
      <c r="S570" s="49"/>
    </row>
    <row r="571" spans="19:19" x14ac:dyDescent="0.2">
      <c r="S571" s="49"/>
    </row>
    <row r="572" spans="19:19" x14ac:dyDescent="0.2">
      <c r="S572" s="49"/>
    </row>
    <row r="573" spans="19:19" x14ac:dyDescent="0.2">
      <c r="S573" s="49"/>
    </row>
    <row r="574" spans="19:19" x14ac:dyDescent="0.2">
      <c r="S574" s="49"/>
    </row>
    <row r="575" spans="19:19" x14ac:dyDescent="0.2">
      <c r="S575" s="49"/>
    </row>
    <row r="576" spans="19:19" x14ac:dyDescent="0.2">
      <c r="S576" s="49"/>
    </row>
    <row r="577" spans="19:19" x14ac:dyDescent="0.2">
      <c r="S577" s="49"/>
    </row>
    <row r="578" spans="19:19" x14ac:dyDescent="0.2">
      <c r="S578" s="49"/>
    </row>
    <row r="579" spans="19:19" x14ac:dyDescent="0.2">
      <c r="S579" s="49"/>
    </row>
    <row r="580" spans="19:19" x14ac:dyDescent="0.2">
      <c r="S580" s="49"/>
    </row>
    <row r="581" spans="19:19" x14ac:dyDescent="0.2">
      <c r="S581" s="49"/>
    </row>
    <row r="582" spans="19:19" x14ac:dyDescent="0.2">
      <c r="S582" s="49"/>
    </row>
    <row r="583" spans="19:19" x14ac:dyDescent="0.2">
      <c r="S583" s="49"/>
    </row>
    <row r="584" spans="19:19" x14ac:dyDescent="0.2">
      <c r="S584" s="49"/>
    </row>
    <row r="585" spans="19:19" x14ac:dyDescent="0.2">
      <c r="S585" s="49"/>
    </row>
    <row r="586" spans="19:19" x14ac:dyDescent="0.2">
      <c r="S586" s="49"/>
    </row>
    <row r="587" spans="19:19" x14ac:dyDescent="0.2">
      <c r="S587" s="49"/>
    </row>
    <row r="588" spans="19:19" x14ac:dyDescent="0.2">
      <c r="S588" s="49"/>
    </row>
    <row r="589" spans="19:19" x14ac:dyDescent="0.2">
      <c r="S589" s="49"/>
    </row>
    <row r="590" spans="19:19" x14ac:dyDescent="0.2">
      <c r="S590" s="49"/>
    </row>
    <row r="591" spans="19:19" x14ac:dyDescent="0.2">
      <c r="S591" s="49"/>
    </row>
    <row r="592" spans="19:19" x14ac:dyDescent="0.2">
      <c r="S592" s="49"/>
    </row>
    <row r="593" spans="19:19" x14ac:dyDescent="0.2">
      <c r="S593" s="49"/>
    </row>
    <row r="594" spans="19:19" x14ac:dyDescent="0.2">
      <c r="S594" s="49"/>
    </row>
    <row r="595" spans="19:19" x14ac:dyDescent="0.2">
      <c r="S595" s="49"/>
    </row>
    <row r="596" spans="19:19" x14ac:dyDescent="0.2">
      <c r="S596" s="49"/>
    </row>
    <row r="597" spans="19:19" x14ac:dyDescent="0.2">
      <c r="S597" s="49"/>
    </row>
    <row r="598" spans="19:19" x14ac:dyDescent="0.2">
      <c r="S598" s="49"/>
    </row>
    <row r="599" spans="19:19" x14ac:dyDescent="0.2">
      <c r="S599" s="49"/>
    </row>
    <row r="600" spans="19:19" x14ac:dyDescent="0.2">
      <c r="S600" s="49"/>
    </row>
    <row r="601" spans="19:19" x14ac:dyDescent="0.2">
      <c r="S601" s="49"/>
    </row>
    <row r="602" spans="19:19" x14ac:dyDescent="0.2">
      <c r="S602" s="49"/>
    </row>
    <row r="603" spans="19:19" x14ac:dyDescent="0.2">
      <c r="S603" s="49"/>
    </row>
    <row r="604" spans="19:19" x14ac:dyDescent="0.2">
      <c r="S604" s="49"/>
    </row>
    <row r="605" spans="19:19" x14ac:dyDescent="0.2">
      <c r="S605" s="49"/>
    </row>
    <row r="606" spans="19:19" x14ac:dyDescent="0.2">
      <c r="S606" s="49"/>
    </row>
    <row r="607" spans="19:19" x14ac:dyDescent="0.2">
      <c r="S607" s="49"/>
    </row>
    <row r="608" spans="19:19" x14ac:dyDescent="0.2">
      <c r="S608" s="49"/>
    </row>
    <row r="609" spans="19:19" x14ac:dyDescent="0.2">
      <c r="S609" s="49"/>
    </row>
    <row r="610" spans="19:19" x14ac:dyDescent="0.2">
      <c r="S610" s="49"/>
    </row>
    <row r="611" spans="19:19" x14ac:dyDescent="0.2">
      <c r="S611" s="49"/>
    </row>
    <row r="612" spans="19:19" x14ac:dyDescent="0.2">
      <c r="S612" s="49"/>
    </row>
    <row r="613" spans="19:19" x14ac:dyDescent="0.2">
      <c r="S613" s="49"/>
    </row>
    <row r="614" spans="19:19" x14ac:dyDescent="0.2">
      <c r="S614" s="49"/>
    </row>
    <row r="615" spans="19:19" x14ac:dyDescent="0.2">
      <c r="S615" s="49"/>
    </row>
    <row r="616" spans="19:19" x14ac:dyDescent="0.2">
      <c r="S616" s="49"/>
    </row>
    <row r="617" spans="19:19" x14ac:dyDescent="0.2">
      <c r="S617" s="49"/>
    </row>
    <row r="618" spans="19:19" x14ac:dyDescent="0.2">
      <c r="S618" s="49"/>
    </row>
    <row r="619" spans="19:19" x14ac:dyDescent="0.2">
      <c r="S619" s="49"/>
    </row>
    <row r="620" spans="19:19" x14ac:dyDescent="0.2">
      <c r="S620" s="49"/>
    </row>
    <row r="621" spans="19:19" x14ac:dyDescent="0.2">
      <c r="S621" s="49"/>
    </row>
    <row r="622" spans="19:19" x14ac:dyDescent="0.2">
      <c r="S622" s="49"/>
    </row>
    <row r="623" spans="19:19" x14ac:dyDescent="0.2">
      <c r="S623" s="49"/>
    </row>
    <row r="624" spans="19:19" x14ac:dyDescent="0.2">
      <c r="S624" s="49"/>
    </row>
    <row r="625" spans="19:19" x14ac:dyDescent="0.2">
      <c r="S625" s="49"/>
    </row>
    <row r="626" spans="19:19" x14ac:dyDescent="0.2">
      <c r="S626" s="49"/>
    </row>
    <row r="627" spans="19:19" x14ac:dyDescent="0.2">
      <c r="S627" s="49"/>
    </row>
    <row r="628" spans="19:19" x14ac:dyDescent="0.2">
      <c r="S628" s="49"/>
    </row>
    <row r="629" spans="19:19" x14ac:dyDescent="0.2">
      <c r="S629" s="49"/>
    </row>
    <row r="630" spans="19:19" x14ac:dyDescent="0.2">
      <c r="S630" s="49"/>
    </row>
    <row r="631" spans="19:19" x14ac:dyDescent="0.2">
      <c r="S631" s="49"/>
    </row>
    <row r="632" spans="19:19" x14ac:dyDescent="0.2">
      <c r="S632" s="49"/>
    </row>
    <row r="633" spans="19:19" x14ac:dyDescent="0.2">
      <c r="S633" s="49"/>
    </row>
    <row r="634" spans="19:19" x14ac:dyDescent="0.2">
      <c r="S634" s="49"/>
    </row>
    <row r="635" spans="19:19" x14ac:dyDescent="0.2">
      <c r="S635" s="49"/>
    </row>
    <row r="636" spans="19:19" x14ac:dyDescent="0.2">
      <c r="S636" s="49"/>
    </row>
    <row r="637" spans="19:19" x14ac:dyDescent="0.2">
      <c r="S637" s="49"/>
    </row>
    <row r="638" spans="19:19" x14ac:dyDescent="0.2">
      <c r="S638" s="49"/>
    </row>
    <row r="639" spans="19:19" x14ac:dyDescent="0.2">
      <c r="S639" s="49"/>
    </row>
    <row r="640" spans="19:19" x14ac:dyDescent="0.2">
      <c r="S640" s="49"/>
    </row>
    <row r="641" spans="19:19" x14ac:dyDescent="0.2">
      <c r="S641" s="49"/>
    </row>
    <row r="642" spans="19:19" x14ac:dyDescent="0.2">
      <c r="S642" s="49"/>
    </row>
    <row r="643" spans="19:19" x14ac:dyDescent="0.2">
      <c r="S643" s="49"/>
    </row>
    <row r="644" spans="19:19" x14ac:dyDescent="0.2">
      <c r="S644" s="49"/>
    </row>
    <row r="645" spans="19:19" x14ac:dyDescent="0.2">
      <c r="S645" s="49"/>
    </row>
    <row r="646" spans="19:19" x14ac:dyDescent="0.2">
      <c r="S646" s="49"/>
    </row>
    <row r="647" spans="19:19" x14ac:dyDescent="0.2">
      <c r="S647" s="49"/>
    </row>
    <row r="648" spans="19:19" x14ac:dyDescent="0.2">
      <c r="S648" s="49"/>
    </row>
    <row r="649" spans="19:19" x14ac:dyDescent="0.2">
      <c r="S649" s="49"/>
    </row>
    <row r="650" spans="19:19" x14ac:dyDescent="0.2">
      <c r="S650" s="49"/>
    </row>
    <row r="651" spans="19:19" x14ac:dyDescent="0.2">
      <c r="S651" s="49"/>
    </row>
    <row r="652" spans="19:19" x14ac:dyDescent="0.2">
      <c r="S652" s="49"/>
    </row>
    <row r="653" spans="19:19" x14ac:dyDescent="0.2">
      <c r="S653" s="49"/>
    </row>
    <row r="654" spans="19:19" x14ac:dyDescent="0.2">
      <c r="S654" s="49"/>
    </row>
    <row r="655" spans="19:19" x14ac:dyDescent="0.2">
      <c r="S655" s="49"/>
    </row>
    <row r="656" spans="19:19" x14ac:dyDescent="0.2">
      <c r="S656" s="49"/>
    </row>
    <row r="657" spans="19:19" x14ac:dyDescent="0.2">
      <c r="S657" s="49"/>
    </row>
    <row r="658" spans="19:19" x14ac:dyDescent="0.2">
      <c r="S658" s="49"/>
    </row>
    <row r="659" spans="19:19" x14ac:dyDescent="0.2">
      <c r="S659" s="49"/>
    </row>
    <row r="660" spans="19:19" x14ac:dyDescent="0.2">
      <c r="S660" s="49"/>
    </row>
    <row r="661" spans="19:19" x14ac:dyDescent="0.2">
      <c r="S661" s="49"/>
    </row>
    <row r="662" spans="19:19" x14ac:dyDescent="0.2">
      <c r="S662" s="49"/>
    </row>
    <row r="663" spans="19:19" x14ac:dyDescent="0.2">
      <c r="S663" s="49"/>
    </row>
    <row r="664" spans="19:19" x14ac:dyDescent="0.2">
      <c r="S664" s="49"/>
    </row>
    <row r="665" spans="19:19" x14ac:dyDescent="0.2">
      <c r="S665" s="49"/>
    </row>
    <row r="666" spans="19:19" x14ac:dyDescent="0.2">
      <c r="S666" s="49"/>
    </row>
    <row r="667" spans="19:19" x14ac:dyDescent="0.2">
      <c r="S667" s="49"/>
    </row>
    <row r="668" spans="19:19" x14ac:dyDescent="0.2">
      <c r="S668" s="49"/>
    </row>
    <row r="669" spans="19:19" x14ac:dyDescent="0.2">
      <c r="S669" s="49"/>
    </row>
    <row r="670" spans="19:19" x14ac:dyDescent="0.2">
      <c r="S670" s="49"/>
    </row>
    <row r="671" spans="19:19" x14ac:dyDescent="0.2">
      <c r="S671" s="49"/>
    </row>
    <row r="672" spans="19:19" x14ac:dyDescent="0.2">
      <c r="S672" s="49"/>
    </row>
    <row r="673" spans="19:19" x14ac:dyDescent="0.2">
      <c r="S673" s="49"/>
    </row>
    <row r="674" spans="19:19" x14ac:dyDescent="0.2">
      <c r="S674" s="49"/>
    </row>
    <row r="675" spans="19:19" x14ac:dyDescent="0.2">
      <c r="S675" s="49"/>
    </row>
    <row r="676" spans="19:19" x14ac:dyDescent="0.2">
      <c r="S676" s="49"/>
    </row>
    <row r="677" spans="19:19" x14ac:dyDescent="0.2">
      <c r="S677" s="49"/>
    </row>
    <row r="678" spans="19:19" x14ac:dyDescent="0.2">
      <c r="S678" s="49"/>
    </row>
    <row r="679" spans="19:19" x14ac:dyDescent="0.2">
      <c r="S679" s="49"/>
    </row>
    <row r="680" spans="19:19" x14ac:dyDescent="0.2">
      <c r="S680" s="49"/>
    </row>
    <row r="681" spans="19:19" x14ac:dyDescent="0.2">
      <c r="S681" s="49"/>
    </row>
    <row r="682" spans="19:19" x14ac:dyDescent="0.2">
      <c r="S682" s="49"/>
    </row>
    <row r="683" spans="19:19" x14ac:dyDescent="0.2">
      <c r="S683" s="49"/>
    </row>
    <row r="684" spans="19:19" x14ac:dyDescent="0.2">
      <c r="S684" s="49"/>
    </row>
    <row r="685" spans="19:19" x14ac:dyDescent="0.2">
      <c r="S685" s="49"/>
    </row>
    <row r="686" spans="19:19" x14ac:dyDescent="0.2">
      <c r="S686" s="49"/>
    </row>
    <row r="687" spans="19:19" x14ac:dyDescent="0.2">
      <c r="S687" s="49"/>
    </row>
    <row r="688" spans="19:19" x14ac:dyDescent="0.2">
      <c r="S688" s="49"/>
    </row>
    <row r="689" spans="19:19" x14ac:dyDescent="0.2">
      <c r="S689" s="49"/>
    </row>
    <row r="690" spans="19:19" x14ac:dyDescent="0.2">
      <c r="S690" s="49"/>
    </row>
    <row r="691" spans="19:19" x14ac:dyDescent="0.2">
      <c r="S691" s="49"/>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Long Dur 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2024-05-02T04:12:04Z</dcterms:created>
  <dcterms:modified xsi:type="dcterms:W3CDTF">2024-05-03T09:26:26Z</dcterms:modified>
</cp:coreProperties>
</file>