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Z:\MONTH END DELIVERABLES-1\Portfolios_All\2024\Feb 2024\"/>
    </mc:Choice>
  </mc:AlternateContent>
  <xr:revisionPtr revIDLastSave="0" documentId="13_ncr:1_{A8752851-6D3C-4EA1-A3FB-D777B422E690}" xr6:coauthVersionLast="36" xr6:coauthVersionMax="36" xr10:uidLastSave="{00000000-0000-0000-0000-000000000000}"/>
  <bookViews>
    <workbookView xWindow="0" yWindow="0" windowWidth="20490" windowHeight="7545" tabRatio="967" xr2:uid="{733B0340-ACD2-4113-B3BB-05B47448C293}"/>
  </bookViews>
  <sheets>
    <sheet name="BANDHAN OF" sheetId="23" r:id="rId1"/>
    <sheet name="BANDHAN C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 ASBF" sheetId="2" r:id="rId23"/>
    <sheet name="BANDHAN US TB 0-1yr FOF" sheetId="25" r:id="rId2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5" l="1"/>
  <c r="J10" i="25"/>
  <c r="J9" i="25"/>
  <c r="J8" i="25"/>
</calcChain>
</file>

<file path=xl/sharedStrings.xml><?xml version="1.0" encoding="utf-8"?>
<sst xmlns="http://schemas.openxmlformats.org/spreadsheetml/2006/main" count="1424" uniqueCount="316">
  <si>
    <t>Bandhan All Seasons Bond Fund (31 January, 2024 )</t>
  </si>
  <si>
    <t>Net Assets as on 31 January, 2024</t>
  </si>
  <si>
    <t>119.69 crs</t>
  </si>
  <si>
    <t>Name</t>
  </si>
  <si>
    <t>Rating</t>
  </si>
  <si>
    <t>Total</t>
  </si>
  <si>
    <t>Bandhan Bond Fund -Short Term Pl Direct Pl-Growth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</si>
  <si>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</si>
  <si>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</si>
  <si>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</si>
  <si>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</si>
  <si>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</si>
  <si>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</si>
  <si>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</si>
  <si>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</si>
  <si>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</si>
  <si>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</si>
  <si>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</si>
  <si>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</si>
  <si>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(31 January, 2024 )</t>
  </si>
  <si>
    <t>14537.15 crs</t>
  </si>
  <si>
    <t>State Bank of India</t>
  </si>
  <si>
    <t xml:space="preserve"> A1+</t>
  </si>
  <si>
    <t>Export Import Bank of India</t>
  </si>
  <si>
    <t>Axis Bank Limited</t>
  </si>
  <si>
    <t>Kotak Mahindra Bank Limited</t>
  </si>
  <si>
    <t>Bank of Baroda</t>
  </si>
  <si>
    <t>Certificate of Deposit Total</t>
  </si>
  <si>
    <t>Commercial Paper Total</t>
  </si>
  <si>
    <t>Indian Railway Finance Corporation Limited</t>
  </si>
  <si>
    <t xml:space="preserve"> AAA</t>
  </si>
  <si>
    <t>HDFC Bank Limited</t>
  </si>
  <si>
    <t>National Bank For Agriculture and Rural Development</t>
  </si>
  <si>
    <t>Small Industries Dev Bank of India</t>
  </si>
  <si>
    <t>Power Finance Corporation Limited</t>
  </si>
  <si>
    <t>REC Limited</t>
  </si>
  <si>
    <t>Bajaj Housing Finance Limited</t>
  </si>
  <si>
    <t>Hindustan Petroleum Corporation Limited</t>
  </si>
  <si>
    <t>NTPC Limited</t>
  </si>
  <si>
    <t>Indian Oil Corporation Limited</t>
  </si>
  <si>
    <t>Nuclear Power Corporation Of India Limited</t>
  </si>
  <si>
    <t>National Housing Bank</t>
  </si>
  <si>
    <t>ICICI Bank Limited</t>
  </si>
  <si>
    <t>NHPC Limited</t>
  </si>
  <si>
    <t>Power Grid Corporation of India Limited</t>
  </si>
  <si>
    <t>Reliance Jio Infocomm Limited</t>
  </si>
  <si>
    <t>Corporate Bond Total</t>
  </si>
  <si>
    <t>Corporate Debt Market Development Fund</t>
  </si>
  <si>
    <t>Corporate Debt Market Development Fund Total</t>
  </si>
  <si>
    <t>7.38% GOI (MD 20/06/2027)</t>
  </si>
  <si>
    <t>Government Bond Total</t>
  </si>
  <si>
    <t>State Government Bond Total</t>
  </si>
  <si>
    <t>Certificate of Deposit</t>
  </si>
  <si>
    <t>Corporate Bond</t>
  </si>
  <si>
    <t>Commercial Paper</t>
  </si>
  <si>
    <t>Government Bond</t>
  </si>
  <si>
    <t>State Government Bond</t>
  </si>
  <si>
    <t>Bandhan Bond Fund - Income Plan (31 January, 2024 )</t>
  </si>
  <si>
    <t>493.59 crs</t>
  </si>
  <si>
    <t>7.18% GOI (MD 24/07/2037)</t>
  </si>
  <si>
    <t>7.26% GOI (MD 06/02/2033)</t>
  </si>
  <si>
    <t>7.3% GOI (MD 19/06/2053)</t>
  </si>
  <si>
    <t>7.18% GOI (MD 14/08/2033)</t>
  </si>
  <si>
    <t>7.1% GOI (MD 18/04/2029)</t>
  </si>
  <si>
    <t>7.06% GOI (MD 10/04/2028)</t>
  </si>
  <si>
    <t>6.79% GOI (MD 15/05/2027)</t>
  </si>
  <si>
    <t>7.73% GOI (MD 19/12/2034)</t>
  </si>
  <si>
    <t>Bandhan Bond Fund - Medium Term Plan (31 January, 2024 )</t>
  </si>
  <si>
    <t>1611.04 crs</t>
  </si>
  <si>
    <t>7.32% GOI (MD 13/11/2030)</t>
  </si>
  <si>
    <t>8.24% GOI (MD 15/02/2027)</t>
  </si>
  <si>
    <t xml:space="preserve"> AAA(SO)</t>
  </si>
  <si>
    <t>PTC Total</t>
  </si>
  <si>
    <t>PTC</t>
  </si>
  <si>
    <t>Bandhan Bond Fund - Short Term Plan (31 January, 2024 )</t>
  </si>
  <si>
    <t>8553.98 crs</t>
  </si>
  <si>
    <t>Canara Bank</t>
  </si>
  <si>
    <t>Bajaj Finance Limited</t>
  </si>
  <si>
    <t>Sundaram Finance Limited</t>
  </si>
  <si>
    <t>Kotak Mahindra Prime Limited</t>
  </si>
  <si>
    <t>7.17% GOI (MD 17/04/2030)</t>
  </si>
  <si>
    <t>5.63% GOI (MD 12/04/2026)</t>
  </si>
  <si>
    <t>Bandhan Corporate Bond Fund (31 January, 2024 )</t>
  </si>
  <si>
    <t>13916.59 crs</t>
  </si>
  <si>
    <t>Grasim Industries Limited</t>
  </si>
  <si>
    <t>Larsen &amp; Toubro Limited</t>
  </si>
  <si>
    <t>Tata Capital Limited</t>
  </si>
  <si>
    <t>UltraTech Cement Limited</t>
  </si>
  <si>
    <t>Oil &amp; Natural Gas Corporation Limited</t>
  </si>
  <si>
    <t>364 Days Tbill (MD 14/03/2024)</t>
  </si>
  <si>
    <t>364 Days Tbill (MD 07/03/2024)</t>
  </si>
  <si>
    <t>364 Days Tbill (MD 22/03/2024)</t>
  </si>
  <si>
    <t>Treasury Bill Total</t>
  </si>
  <si>
    <t>Treasury Bill</t>
  </si>
  <si>
    <t>Bandhan Credit Risk Fund (31 January, 2024 )</t>
  </si>
  <si>
    <t>373.86 crs</t>
  </si>
  <si>
    <t>Century Textiles &amp; Industries Limited</t>
  </si>
  <si>
    <t xml:space="preserve"> AA</t>
  </si>
  <si>
    <t>Godrej Industries Limited</t>
  </si>
  <si>
    <t>Bharti Telecom Limited</t>
  </si>
  <si>
    <t xml:space="preserve"> AA+</t>
  </si>
  <si>
    <t>Tata Power Company Limited</t>
  </si>
  <si>
    <t>Tata Projects Limited</t>
  </si>
  <si>
    <t>AU Small Finance Bank Limited</t>
  </si>
  <si>
    <t>Aadhar Housing Finance Limited</t>
  </si>
  <si>
    <t>Godrej Housing Finance Limited</t>
  </si>
  <si>
    <t>TVS Credit Services Limited</t>
  </si>
  <si>
    <t>Tata Motors Limited</t>
  </si>
  <si>
    <t>AA</t>
  </si>
  <si>
    <t>AA+</t>
  </si>
  <si>
    <t>Bandhan CRISIL IBX 90:10 SDL+Gilt Apr32 Index Fund (31 January, 2024 )</t>
  </si>
  <si>
    <t>333.95 crs</t>
  </si>
  <si>
    <t>6.54% GOI (MD 17/01/2032)</t>
  </si>
  <si>
    <t>6.1% GOI (MD 12/07/2031)</t>
  </si>
  <si>
    <t>Bandhan CRISIL IBX 90:10 SDL+Gilt Nov26 Index Fund (31 January, 2024 )</t>
  </si>
  <si>
    <t>109.35 crs</t>
  </si>
  <si>
    <t>5.74% GOI (MD 15/11/2026)</t>
  </si>
  <si>
    <t>Bandhan CRISIL IBX 90:10 SDL+Gilt Sep27 Index Fund (31 January, 2024 )</t>
  </si>
  <si>
    <t>165.88 crs</t>
  </si>
  <si>
    <t>Bandhan CRISIL IBX Gilt April 2026 Index Fund (31 January, 2024 )</t>
  </si>
  <si>
    <t>480.75 crs</t>
  </si>
  <si>
    <t>6.99% GOI (MD 17/04/2026)</t>
  </si>
  <si>
    <t>7.59% GOI(MD 11/01/2026)</t>
  </si>
  <si>
    <t>5.15% GOI (MD 09/11/2025)</t>
  </si>
  <si>
    <t>7.27% GOI (MD 08/04/2026)</t>
  </si>
  <si>
    <t>Bandhan CRISIL IBX Gilt April 2028 Index Fund (31 January, 2024 )</t>
  </si>
  <si>
    <t>4881.18 crs</t>
  </si>
  <si>
    <t>7.17% GOI (MD 08/01/2028)</t>
  </si>
  <si>
    <t>8.28% GOI (M/D 21/09/2027)</t>
  </si>
  <si>
    <t>Bandhan CRISIL IBX GILT APRIL 2032 INDEX FUND (31 January, 2024 )</t>
  </si>
  <si>
    <t>342.26 crs</t>
  </si>
  <si>
    <t>Average Maturity in Days</t>
  </si>
  <si>
    <t>Bandhan CRISIL IBX Gilt June 2027 Index Fund (31 January, 2024 )</t>
  </si>
  <si>
    <t>8346.60 crs</t>
  </si>
  <si>
    <t>Bandhan Dynamic Bond Fund (31 January, 2024 )</t>
  </si>
  <si>
    <t>2123.27 crs</t>
  </si>
  <si>
    <t>8.20% GOI (MD 24/09/2025)</t>
  </si>
  <si>
    <t>Bandhan Floating Rate Fund (31 January, 2024 )</t>
  </si>
  <si>
    <t>204.92 crs</t>
  </si>
  <si>
    <t>IndusInd Bank Limited</t>
  </si>
  <si>
    <t>Interest Rate Swaps</t>
  </si>
  <si>
    <t>Bandhan Government Sec Fund-Constant Maturity Plan (31 January, 2024 )</t>
  </si>
  <si>
    <t>327.27 crs</t>
  </si>
  <si>
    <t>7.26% GOI (MD 22/08/2032)</t>
  </si>
  <si>
    <t>Bandhan Government Securities Fund-Investment Plan (31 January, 2024 )</t>
  </si>
  <si>
    <t>1499.57 crs</t>
  </si>
  <si>
    <t>Bandhan Liquid Fund (31 January, 2024 )</t>
  </si>
  <si>
    <t>11186.87 crs</t>
  </si>
  <si>
    <t>Union Bank of India</t>
  </si>
  <si>
    <t>Punjab National Bank</t>
  </si>
  <si>
    <t>Indian Bank</t>
  </si>
  <si>
    <t>Reliance Retail Ventures Limited</t>
  </si>
  <si>
    <t>Kotak Securities Limited</t>
  </si>
  <si>
    <t>HDFC Securities Limited</t>
  </si>
  <si>
    <t>Godrej Consumer Products Limited</t>
  </si>
  <si>
    <t>Tata Capital Housing Finance Limited</t>
  </si>
  <si>
    <t>ICICI Securities Limited</t>
  </si>
  <si>
    <t>L&amp;T Finance Holdings Limited</t>
  </si>
  <si>
    <t>Mahindra &amp; Mahindra Financial Services Limited</t>
  </si>
  <si>
    <t>91 Days Tbill (MD 14/03/2024)</t>
  </si>
  <si>
    <t>91 Days Tbill (MD 07/03/2024)</t>
  </si>
  <si>
    <t>91 Days Tbill (MD 08/02/2024)</t>
  </si>
  <si>
    <t>364 Days Tbill (MD 15/02/2024)</t>
  </si>
  <si>
    <t>Bandhan Low Duration Fund (31 January, 2024 )</t>
  </si>
  <si>
    <t>5362.41 crs</t>
  </si>
  <si>
    <t>182 Days Tbill (MD 29/02/2024)</t>
  </si>
  <si>
    <t>Bandhan Money Manager Fund (31 January, 2024 )</t>
  </si>
  <si>
    <t>3947.63 crs</t>
  </si>
  <si>
    <t>The Federal Bank Limited</t>
  </si>
  <si>
    <t>Kotak Mahindra Investments Limited</t>
  </si>
  <si>
    <t>Bandhan Overnight Fund (31 January, 2024 )</t>
  </si>
  <si>
    <t>2402.73 crs</t>
  </si>
  <si>
    <t>REPO Total</t>
  </si>
  <si>
    <t>182 Days Tbill (MD 01/02/2024)</t>
  </si>
  <si>
    <t>364 Days Tbill (MD 08/02/2024)</t>
  </si>
  <si>
    <t>182 Days Tbill (MD 16/02/2024)</t>
  </si>
  <si>
    <t>REPO</t>
  </si>
  <si>
    <t>Bandhan Ultra Short Term Fund (31 January, 2024 )</t>
  </si>
  <si>
    <t>3703.66 crs</t>
  </si>
  <si>
    <t>Reliance Industries Limited</t>
  </si>
  <si>
    <t>364 Days Tbill (MD 13/06/2024)</t>
  </si>
  <si>
    <t xml:space="preserve">SOV </t>
  </si>
  <si>
    <t>7.68% Chattisgarh SDL (MD 20/03/2024)</t>
  </si>
  <si>
    <t>8.05% Karnataka SDL (MD 25/02/2025)</t>
  </si>
  <si>
    <t>8.25% Gujarat SDL  ( MD 24/12/2024)</t>
  </si>
  <si>
    <t>8.05% Maharashtra SDL (MD 28/01/2025)</t>
  </si>
  <si>
    <t>8.24% Maharashtra SDL (MD 24/12/2024)</t>
  </si>
  <si>
    <t>8.27% Haryana SDL (MD 13/05/2025)</t>
  </si>
  <si>
    <t>8.08% Haryana SDL (MD 28/01/2025)</t>
  </si>
  <si>
    <t>8.05% Haryana SDL (MD 25/02/2025)</t>
  </si>
  <si>
    <t>8.08% Uttar Pradesh SDL (MD 25/02/2025)</t>
  </si>
  <si>
    <t>5.8% Maharashtra SDL (MD 02/02/2025)</t>
  </si>
  <si>
    <t>7.41% Uttar Pradesh SDL (MD 09/11/2026)</t>
  </si>
  <si>
    <t>8.08% Madhya Pradesh SDL (MD 11/02/2025)</t>
  </si>
  <si>
    <t>8.72% Tamil Nadu SDL (MD 29/10/2024)</t>
  </si>
  <si>
    <t>5.41% Andhra Pradesh SDL (MD 12/08/2024)</t>
  </si>
  <si>
    <t>5.6% Maharashtra SDL (MD 09/09/2024)</t>
  </si>
  <si>
    <t>5.68% Maharashtra SDL (MD 23/09/2024)</t>
  </si>
  <si>
    <t>5.46% Tamilnadu SDL (MD 03/06/2024)</t>
  </si>
  <si>
    <t>8.05% Gujarat SDL (MD 28/01/2025)</t>
  </si>
  <si>
    <t>8.43% Maharashtra SDL (MD 12/11/2024)</t>
  </si>
  <si>
    <t>6.80% GOI (MD15/12/2060)-Strips (C)-(MD15/06/2024)</t>
  </si>
  <si>
    <t>8.83% GOI (MD12/12/2041)-Strips (C)-(MD12/06/2024)</t>
  </si>
  <si>
    <t>8.96% Maharashtra SDL  (MD 09/07/2024)</t>
  </si>
  <si>
    <t>8.99% Madhya Pradesh SDL  (MD 09/07/2024)</t>
  </si>
  <si>
    <t>8.07% Gujrat SDL (MD 11/02/2025)</t>
  </si>
  <si>
    <t>8.2% Rajasthan SDL (MD 24/06/2025)</t>
  </si>
  <si>
    <t>8.25% Maharastra SDL  ( MD 13/05/2025)</t>
  </si>
  <si>
    <t>8.2% Gujarat SDL (MD 24/06/2025)</t>
  </si>
  <si>
    <t>8.37% Tamil Nadu SDL (MD 05/12/2028)</t>
  </si>
  <si>
    <t>8.26% Maharashtra SDL (MD 12/08/2025)</t>
  </si>
  <si>
    <t>7.96% Gujarat SDL (14/10/2025)</t>
  </si>
  <si>
    <t>8.27% Tamilnadu SDL (MD 13/01/2026)</t>
  </si>
  <si>
    <t>8.27% Gujarat SDL (MD 13/01/2026)</t>
  </si>
  <si>
    <t>8.36% Maharashtra SDL (MD 27/01/2026)</t>
  </si>
  <si>
    <t>8.51% Maharashtra SDL (MD 09/03/2026)</t>
  </si>
  <si>
    <t>8.53% Tamil Nadu SDL (MD 09/03/2026)</t>
  </si>
  <si>
    <t>8.3% Madhya Pradesh SDL (MD  13/01/2026)</t>
  </si>
  <si>
    <t>8.20% GUJARAT SDL (MD 09/12/2025)</t>
  </si>
  <si>
    <t>7.99% Karnatak SDL (MD 28/10/2025)</t>
  </si>
  <si>
    <t>7.18% Tamilnadu SDL (MD 26/07/2027)</t>
  </si>
  <si>
    <t>7.93% Chattisgarh SDL (MD 13/02/2024)</t>
  </si>
  <si>
    <t>8.03% Gujarat SDL (MD 16/04/2025)</t>
  </si>
  <si>
    <t>8.27% Haryana SDL (MD 09/12/2025)</t>
  </si>
  <si>
    <t>8.27% Haryana SDL (MD 23/12/2025)</t>
  </si>
  <si>
    <t>6.18% Gujarat SDL (MD 25/01/2026)</t>
  </si>
  <si>
    <t>7.47% Gujarat SDL (MD 27/10/2025)</t>
  </si>
  <si>
    <t>9.55% Karnataka SDL (MD 12/02/2024)</t>
  </si>
  <si>
    <t>9.63% Andhra Pradesh SDL (MD 12/02/2024)</t>
  </si>
  <si>
    <t>9.71% Haryana SDL (MD 12/03/2024)</t>
  </si>
  <si>
    <t>9.47% Tamilnadu SDL (MD 26/03/2024)</t>
  </si>
  <si>
    <t>9.45% Rahasthan SDL (MD 26/03/2024)</t>
  </si>
  <si>
    <t>9.47% Haryana SDL (MD 26/03/2024)</t>
  </si>
  <si>
    <t>9.11% Maharashtra SDL (MD 28/05/2024)</t>
  </si>
  <si>
    <t>8.83% Tamilnadu SDL (MD 11/06/2024)</t>
  </si>
  <si>
    <t>8.83% Maharashtra SDL (MD 11/06/2024)</t>
  </si>
  <si>
    <t>9.48% Andhra Pradesh SDL (MD 26/03/2024)</t>
  </si>
  <si>
    <t>5.6% Haryana SDL (MD 20/05/2024)</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</si>
  <si>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</si>
  <si>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</si>
  <si>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</si>
  <si>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</si>
  <si>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</si>
  <si>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</si>
  <si>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</si>
  <si>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</si>
  <si>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</si>
  <si>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</si>
  <si>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</si>
  <si>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</si>
  <si>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</si>
  <si>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</si>
  <si>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</si>
  <si>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</si>
  <si>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</si>
  <si>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</si>
  <si>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</si>
  <si>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</si>
  <si>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</si>
  <si>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</si>
  <si>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</si>
  <si>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</si>
  <si>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</si>
  <si>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</si>
  <si>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</si>
  <si>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</si>
  <si>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</si>
  <si>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</si>
  <si>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</si>
  <si>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</si>
  <si>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</si>
  <si>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</si>
  <si>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</si>
  <si>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</si>
  <si>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</si>
  <si>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</si>
  <si>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</si>
  <si>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</si>
  <si>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</si>
  <si>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</si>
  <si>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</si>
  <si>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</si>
  <si>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</si>
  <si>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</si>
  <si>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</si>
  <si>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</si>
  <si>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</si>
  <si>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</si>
  <si>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</si>
  <si>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</si>
  <si>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</si>
  <si>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</si>
  <si>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First Business Receivables Trust^</t>
  </si>
  <si>
    <t>^PTC originated by Reliance Industries Limited</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</si>
  <si>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</si>
  <si>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BANDHAN US TREASURY BOND 0-1 YEAR FUND OF FUND</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</si>
  <si>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</si>
  <si>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</si>
  <si>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</si>
  <si>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</si>
  <si>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</si>
  <si>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</si>
  <si>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</si>
  <si>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</si>
  <si>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</si>
  <si>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</si>
  <si>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</si>
  <si>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</si>
  <si>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</si>
  <si>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</si>
  <si>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</si>
  <si>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</si>
  <si>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</si>
  <si>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</si>
  <si>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162.05 crs</t>
  </si>
  <si>
    <t>Average Maturity in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</si>
</sst>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4"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1"/>
      <name val="Calibri"/>
      <family val="2"/>
      <scheme val="minor"/>
    </font>
    <font>
      <sz val="12"/>
      <name val="Arial"/>
      <family val="2"/>
    </font>
    <font>
      <b/>
      <sz val="16"/>
      <name val="Arial"/>
      <family val="2"/>
    </font>
    <font>
      <b/>
      <sz val="12"/>
      <name val="Arial"/>
      <family val="2"/>
    </font>
    <font>
      <sz val="11"/>
      <name val="Calibri"/>
      <family val="2"/>
      <scheme val="minor"/>
    </font>
    <font>
      <b/>
      <sz val="11"/>
      <name val="Arial"/>
      <family val="2"/>
    </font>
    <font>
      <sz val="10"/>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9" fontId="7" fillId="0" borderId="0" applyFont="0" applyFill="0" applyBorder="0" applyAlignment="0" applyProtection="0"/>
    <xf numFmtId="0" fontId="13" fillId="0" borderId="0" applyNumberFormat="0" applyFont="0" applyFill="0" applyBorder="0" applyAlignment="0" applyProtection="0"/>
  </cellStyleXfs>
  <cellXfs count="101">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8" fillId="0" borderId="0" xfId="0" applyFont="1"/>
    <xf numFmtId="0" fontId="8" fillId="0" borderId="19" xfId="0" applyFont="1" applyBorder="1"/>
    <xf numFmtId="0" fontId="8" fillId="0" borderId="20" xfId="0" applyFont="1" applyBorder="1"/>
    <xf numFmtId="0" fontId="8" fillId="0" borderId="21" xfId="0" applyFont="1" applyBorder="1"/>
    <xf numFmtId="0" fontId="8" fillId="0" borderId="22" xfId="0" applyFont="1" applyBorder="1"/>
    <xf numFmtId="0" fontId="10" fillId="0" borderId="0" xfId="0" applyFont="1" applyBorder="1" applyAlignment="1">
      <alignment horizontal="left"/>
    </xf>
    <xf numFmtId="0" fontId="11" fillId="0" borderId="0" xfId="0" applyFont="1" applyBorder="1"/>
    <xf numFmtId="0" fontId="8" fillId="0" borderId="0" xfId="0" applyFont="1" applyBorder="1"/>
    <xf numFmtId="0" fontId="8" fillId="0" borderId="23" xfId="0" applyFont="1" applyBorder="1"/>
    <xf numFmtId="0" fontId="9" fillId="3" borderId="0" xfId="0" applyFont="1" applyFill="1" applyBorder="1" applyAlignment="1">
      <alignment vertical="center"/>
    </xf>
    <xf numFmtId="0" fontId="11" fillId="0" borderId="0" xfId="0" applyFont="1"/>
    <xf numFmtId="0" fontId="10" fillId="3" borderId="30" xfId="0" applyFont="1" applyFill="1" applyBorder="1" applyAlignment="1">
      <alignment horizontal="center" vertical="center" wrapText="1"/>
    </xf>
    <xf numFmtId="0" fontId="10" fillId="3" borderId="31" xfId="0" applyFont="1" applyFill="1" applyBorder="1" applyAlignment="1">
      <alignment horizontal="center" vertical="center" wrapText="1"/>
    </xf>
    <xf numFmtId="0" fontId="8" fillId="0" borderId="32" xfId="0" applyFont="1" applyBorder="1" applyAlignment="1">
      <alignment horizontal="left" vertical="center" wrapText="1"/>
    </xf>
    <xf numFmtId="166" fontId="8" fillId="0" borderId="33" xfId="1" applyNumberFormat="1" applyFont="1" applyBorder="1" applyAlignment="1">
      <alignment horizontal="right"/>
    </xf>
    <xf numFmtId="10" fontId="8" fillId="0" borderId="0" xfId="0" applyNumberFormat="1" applyFont="1" applyBorder="1"/>
    <xf numFmtId="10" fontId="8" fillId="0" borderId="0" xfId="1" applyNumberFormat="1" applyFont="1" applyBorder="1"/>
    <xf numFmtId="14" fontId="8" fillId="0" borderId="0" xfId="0" applyNumberFormat="1" applyFont="1"/>
    <xf numFmtId="0" fontId="10" fillId="3" borderId="32" xfId="0" applyFont="1" applyFill="1" applyBorder="1" applyAlignment="1">
      <alignment horizontal="left"/>
    </xf>
    <xf numFmtId="166" fontId="10" fillId="3" borderId="33" xfId="0" applyNumberFormat="1" applyFont="1" applyFill="1" applyBorder="1" applyAlignment="1">
      <alignment horizontal="right"/>
    </xf>
    <xf numFmtId="0" fontId="8" fillId="0" borderId="8" xfId="0" applyFont="1" applyBorder="1" applyAlignment="1">
      <alignment vertical="center"/>
    </xf>
    <xf numFmtId="166" fontId="8" fillId="0" borderId="33" xfId="0" applyNumberFormat="1" applyFont="1" applyBorder="1" applyAlignment="1">
      <alignment vertical="center"/>
    </xf>
    <xf numFmtId="0" fontId="10" fillId="2" borderId="8" xfId="0" applyFont="1" applyFill="1" applyBorder="1" applyAlignment="1">
      <alignment horizontal="left" vertical="center"/>
    </xf>
    <xf numFmtId="166" fontId="10" fillId="2" borderId="33" xfId="0" applyNumberFormat="1" applyFont="1" applyFill="1" applyBorder="1" applyAlignment="1">
      <alignment horizontal="right" vertical="center"/>
    </xf>
    <xf numFmtId="164" fontId="8" fillId="0" borderId="33" xfId="0" applyNumberFormat="1" applyFont="1" applyBorder="1" applyAlignment="1">
      <alignment vertical="center"/>
    </xf>
    <xf numFmtId="0" fontId="10" fillId="2" borderId="9" xfId="0" applyFont="1" applyFill="1" applyBorder="1" applyAlignment="1">
      <alignment horizontal="left" vertical="center"/>
    </xf>
    <xf numFmtId="164" fontId="10" fillId="2" borderId="34" xfId="0" applyNumberFormat="1" applyFont="1" applyFill="1" applyBorder="1" applyAlignment="1">
      <alignment horizontal="right" vertical="center"/>
    </xf>
    <xf numFmtId="0" fontId="10" fillId="0" borderId="0" xfId="0" applyFont="1" applyFill="1" applyBorder="1" applyAlignment="1">
      <alignment horizontal="left"/>
    </xf>
    <xf numFmtId="167" fontId="10" fillId="0" borderId="0" xfId="0" applyNumberFormat="1" applyFont="1" applyFill="1" applyBorder="1" applyAlignment="1">
      <alignment horizontal="right"/>
    </xf>
    <xf numFmtId="0" fontId="8" fillId="0" borderId="0" xfId="0" applyFont="1" applyFill="1" applyBorder="1"/>
    <xf numFmtId="10" fontId="10" fillId="0" borderId="0" xfId="1" applyNumberFormat="1" applyFont="1" applyFill="1" applyBorder="1" applyAlignment="1">
      <alignment horizontal="right"/>
    </xf>
    <xf numFmtId="0" fontId="8" fillId="0" borderId="24" xfId="0" applyFont="1" applyBorder="1"/>
    <xf numFmtId="1" fontId="5" fillId="2" borderId="0" xfId="0" applyNumberFormat="1" applyFont="1" applyFill="1" applyBorder="1" applyAlignment="1">
      <alignment horizontal="center" vertical="center"/>
    </xf>
    <xf numFmtId="2" fontId="5" fillId="2" borderId="0" xfId="0" applyNumberFormat="1" applyFont="1" applyFill="1" applyBorder="1" applyAlignment="1">
      <alignment horizontal="center"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9" fillId="3" borderId="0"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12" fillId="3" borderId="0" xfId="0" applyFont="1" applyFill="1" applyBorder="1" applyAlignment="1">
      <alignment vertical="center" wrapText="1"/>
    </xf>
    <xf numFmtId="0" fontId="12" fillId="3" borderId="23" xfId="0" applyFont="1" applyFill="1" applyBorder="1" applyAlignment="1">
      <alignment vertical="center" wrapText="1"/>
    </xf>
    <xf numFmtId="0" fontId="10" fillId="0" borderId="25" xfId="0" applyFont="1" applyBorder="1" applyAlignment="1"/>
    <xf numFmtId="0" fontId="10" fillId="0" borderId="26" xfId="0" applyFont="1" applyBorder="1" applyAlignment="1"/>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21" xfId="0" applyFont="1" applyBorder="1" applyAlignment="1">
      <alignment horizontal="left" vertical="top" wrapText="1"/>
    </xf>
    <xf numFmtId="0" fontId="11" fillId="0" borderId="22" xfId="0" applyFont="1" applyBorder="1" applyAlignment="1">
      <alignment horizontal="left" vertical="top" wrapText="1"/>
    </xf>
    <xf numFmtId="0" fontId="11" fillId="0" borderId="0" xfId="0" applyFont="1" applyBorder="1" applyAlignment="1">
      <alignment horizontal="left" vertical="top" wrapText="1"/>
    </xf>
    <xf numFmtId="0" fontId="11" fillId="0" borderId="23" xfId="0" applyFont="1" applyBorder="1" applyAlignment="1">
      <alignment horizontal="left" vertical="top"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cellXfs>
  <cellStyles count="3">
    <cellStyle name="Normal" xfId="0" builtinId="0"/>
    <cellStyle name="Normal 2 2" xfId="2" xr:uid="{1518F7EC-EBDE-4D2A-9D38-654843A5B43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3BC-48C2-B34F-CF6DC4D11C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D3BC-48C2-B34F-CF6DC4D11C2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D07-4BBA-8A93-326B7BFF9771}"/>
                </c:ext>
              </c:extLst>
            </c:dLbl>
            <c:dLbl>
              <c:idx val="1"/>
              <c:layout>
                <c:manualLayout>
                  <c:x val="-0.20781854355999932"/>
                  <c:y val="-0.150747156605424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D07-4BBA-8A93-326B7BFF9771}"/>
                </c:ext>
              </c:extLst>
            </c:dLbl>
            <c:dLbl>
              <c:idx val="2"/>
              <c:layout>
                <c:manualLayout>
                  <c:x val="6.869648788548112E-2"/>
                  <c:y val="0.246173578302712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D07-4BBA-8A93-326B7BFF9771}"/>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D07-4BBA-8A93-326B7BFF97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1.477E-3</c:v>
                </c:pt>
                <c:pt idx="1">
                  <c:v>0.39926299999999998</c:v>
                </c:pt>
                <c:pt idx="2">
                  <c:v>0.557697</c:v>
                </c:pt>
                <c:pt idx="3">
                  <c:v>4.1563000000000003E-2</c:v>
                </c:pt>
              </c:numCache>
            </c:numRef>
          </c:val>
          <c:extLst>
            <c:ext xmlns:c16="http://schemas.microsoft.com/office/drawing/2014/chart" uri="{C3380CC4-5D6E-409C-BE32-E72D297353CC}">
              <c16:uniqueId val="{0000000C-5D07-4BBA-8A93-326B7BFF977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580223912053817"/>
                  <c:y val="-4.6460176991150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1B0-4B33-AD98-B46AE0C9D98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21B0-4B33-AD98-B46AE0C9D98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layout>
                <c:manualLayout>
                  <c:x val="6.1082129187812979E-2"/>
                  <c:y val="-3.38276755140706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12-4337-A301-0A9687058A94}"/>
                </c:ext>
              </c:extLst>
            </c:dLbl>
            <c:dLbl>
              <c:idx val="1"/>
              <c:layout>
                <c:manualLayout>
                  <c:x val="-0.1416134987944494"/>
                  <c:y val="-6.4609341050911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412-4337-A301-0A9687058A94}"/>
                </c:ext>
              </c:extLst>
            </c:dLbl>
            <c:dLbl>
              <c:idx val="2"/>
              <c:layout>
                <c:manualLayout>
                  <c:x val="-7.6044107976866917E-3"/>
                  <c:y val="-0.3409827745041803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412-4337-A301-0A9687058A94}"/>
                </c:ext>
              </c:extLst>
            </c:dLbl>
            <c:dLbl>
              <c:idx val="3"/>
              <c:layout>
                <c:manualLayout>
                  <c:x val="2.4462644792527195E-2"/>
                  <c:y val="2.4057638490552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412-4337-A301-0A9687058A94}"/>
                </c:ext>
              </c:extLst>
            </c:dLbl>
            <c:dLbl>
              <c:idx val="4"/>
              <c:layout>
                <c:manualLayout>
                  <c:x val="8.1983425786980049E-2"/>
                  <c:y val="0.2081211868384001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412-4337-A301-0A9687058A94}"/>
                </c:ext>
              </c:extLst>
            </c:dLbl>
            <c:dLbl>
              <c:idx val="5"/>
              <c:layout>
                <c:manualLayout>
                  <c:x val="-8.5398253216206643E-2"/>
                  <c:y val="-0.1160417861674575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412-4337-A301-0A9687058A94}"/>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412-4337-A301-0A9687058A94}"/>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412-4337-A301-0A9687058A9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CF'!$K$9:$K$16</c:f>
              <c:numCache>
                <c:formatCode>0.00%</c:formatCode>
                <c:ptCount val="8"/>
                <c:pt idx="0">
                  <c:v>-7.8967999999999997E-2</c:v>
                </c:pt>
                <c:pt idx="1">
                  <c:v>1.8799999999999999E-4</c:v>
                </c:pt>
                <c:pt idx="2">
                  <c:v>0.41726099999999999</c:v>
                </c:pt>
                <c:pt idx="3">
                  <c:v>5.0879000000000001E-2</c:v>
                </c:pt>
                <c:pt idx="4">
                  <c:v>0.47090700000000002</c:v>
                </c:pt>
                <c:pt idx="5">
                  <c:v>2.5240000000000002E-3</c:v>
                </c:pt>
                <c:pt idx="6">
                  <c:v>4.4739999999999997E-3</c:v>
                </c:pt>
                <c:pt idx="7">
                  <c:v>0.13273499999999999</c:v>
                </c:pt>
              </c:numCache>
            </c:numRef>
          </c:val>
          <c:extLst>
            <c:ext xmlns:c16="http://schemas.microsoft.com/office/drawing/2014/chart" uri="{C3380CC4-5D6E-409C-BE32-E72D297353CC}">
              <c16:uniqueId val="{0000000C-A412-4337-A301-0A9687058A9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01B-4506-B936-38ABDE0875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301B-4506-B936-38ABDE0875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7EA-4ED6-B16D-147BB98E80D6}"/>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7EA-4ED6-B16D-147BB98E80D6}"/>
                </c:ext>
              </c:extLst>
            </c:dLbl>
            <c:dLbl>
              <c:idx val="2"/>
              <c:layout>
                <c:manualLayout>
                  <c:x val="-1.563438938441046E-2"/>
                  <c:y val="-0.19396933996468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7EA-4ED6-B16D-147BB98E80D6}"/>
                </c:ext>
              </c:extLst>
            </c:dLbl>
            <c:dLbl>
              <c:idx val="3"/>
              <c:layout>
                <c:manualLayout>
                  <c:x val="-6.4003102395926423E-2"/>
                  <c:y val="8.91393180402828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7EA-4ED6-B16D-147BB98E80D6}"/>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7EA-4ED6-B16D-147BB98E80D6}"/>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7EA-4ED6-B16D-147BB98E80D6}"/>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7EA-4ED6-B16D-147BB98E80D6}"/>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7EA-4ED6-B16D-147BB98E80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LDF'!$K$9:$K$16</c:f>
              <c:numCache>
                <c:formatCode>0.00%</c:formatCode>
                <c:ptCount val="8"/>
                <c:pt idx="0">
                  <c:v>3.1053999999999998E-2</c:v>
                </c:pt>
                <c:pt idx="1">
                  <c:v>4.0847000000000001E-2</c:v>
                </c:pt>
                <c:pt idx="2">
                  <c:v>0.207146</c:v>
                </c:pt>
                <c:pt idx="3">
                  <c:v>0.56958600000000004</c:v>
                </c:pt>
                <c:pt idx="4">
                  <c:v>5.4036000000000001E-2</c:v>
                </c:pt>
                <c:pt idx="5">
                  <c:v>2.8470000000000001E-3</c:v>
                </c:pt>
                <c:pt idx="6">
                  <c:v>9.4309000000000004E-2</c:v>
                </c:pt>
                <c:pt idx="7">
                  <c:v>1.75E-4</c:v>
                </c:pt>
              </c:numCache>
            </c:numRef>
          </c:val>
          <c:extLst>
            <c:ext xmlns:c16="http://schemas.microsoft.com/office/drawing/2014/chart" uri="{C3380CC4-5D6E-409C-BE32-E72D297353CC}">
              <c16:uniqueId val="{0000000C-87EA-4ED6-B16D-147BB98E80D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4.6460176991150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563-480D-817D-23EB2B7F23A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4563-480D-817D-23EB2B7F23A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9F2-4B10-A9DD-08B10BE1BA09}"/>
                </c:ext>
              </c:extLst>
            </c:dLbl>
            <c:dLbl>
              <c:idx val="1"/>
              <c:layout>
                <c:manualLayout>
                  <c:x val="2.0225935355510968E-2"/>
                  <c:y val="-0.183123761608573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9F2-4B10-A9DD-08B10BE1BA09}"/>
                </c:ext>
              </c:extLst>
            </c:dLbl>
            <c:dLbl>
              <c:idx val="2"/>
              <c:layout>
                <c:manualLayout>
                  <c:x val="6.6736077155237827E-2"/>
                  <c:y val="1.5850031875118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9F2-4B10-A9DD-08B10BE1BA09}"/>
                </c:ext>
              </c:extLst>
            </c:dLbl>
            <c:dLbl>
              <c:idx val="3"/>
              <c:layout>
                <c:manualLayout>
                  <c:x val="-3.9373450909642718E-3"/>
                  <c:y val="-1.56997880735367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9F2-4B10-A9DD-08B10BE1BA09}"/>
                </c:ext>
              </c:extLst>
            </c:dLbl>
            <c:dLbl>
              <c:idx val="4"/>
              <c:layout>
                <c:manualLayout>
                  <c:x val="-5.922229341246691E-2"/>
                  <c:y val="-0.106773031926807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9F2-4B10-A9DD-08B10BE1BA0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9F2-4B10-A9DD-08B10BE1BA09}"/>
                </c:ext>
              </c:extLst>
            </c:dLbl>
            <c:dLbl>
              <c:idx val="6"/>
              <c:layout>
                <c:manualLayout>
                  <c:x val="0.45463159048373769"/>
                  <c:y val="3.01049294439945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9F2-4B10-A9DD-08B10BE1BA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MMF'!$J$9:$J$15</c:f>
              <c:strCache>
                <c:ptCount val="7"/>
                <c:pt idx="0">
                  <c:v>Net Current Asset</c:v>
                </c:pt>
                <c:pt idx="1">
                  <c:v>TRI Party Repo</c:v>
                </c:pt>
                <c:pt idx="2">
                  <c:v>Certificate of Deposit</c:v>
                </c:pt>
                <c:pt idx="3">
                  <c:v>Commercial Paper</c:v>
                </c:pt>
                <c:pt idx="4">
                  <c:v>Corporate Debt Market Development Fund</c:v>
                </c:pt>
                <c:pt idx="5">
                  <c:v>Government Bond</c:v>
                </c:pt>
                <c:pt idx="6">
                  <c:v>State Government Bond</c:v>
                </c:pt>
              </c:strCache>
            </c:strRef>
          </c:cat>
          <c:val>
            <c:numRef>
              <c:f>'BANDHAN MMF'!$K$9:$K$15</c:f>
              <c:numCache>
                <c:formatCode>0.00%</c:formatCode>
                <c:ptCount val="7"/>
                <c:pt idx="0">
                  <c:v>-9.3206999999999998E-2</c:v>
                </c:pt>
                <c:pt idx="1">
                  <c:v>0.16636999999999999</c:v>
                </c:pt>
                <c:pt idx="2">
                  <c:v>0.57397600000000004</c:v>
                </c:pt>
                <c:pt idx="3">
                  <c:v>0.25462899999999999</c:v>
                </c:pt>
                <c:pt idx="4">
                  <c:v>2.0569999999999998E-3</c:v>
                </c:pt>
                <c:pt idx="5">
                  <c:v>1.6237000000000001E-2</c:v>
                </c:pt>
                <c:pt idx="6">
                  <c:v>7.9937999999999995E-2</c:v>
                </c:pt>
              </c:numCache>
            </c:numRef>
          </c:val>
          <c:extLst>
            <c:ext xmlns:c16="http://schemas.microsoft.com/office/drawing/2014/chart" uri="{C3380CC4-5D6E-409C-BE32-E72D297353CC}">
              <c16:uniqueId val="{0000000C-B9F2-4B10-A9DD-08B10BE1BA0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E5C-4A8E-B6EA-9DF34516884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7E5C-4A8E-B6EA-9DF34516884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40-4B9C-8C50-8D6106B85FA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040-4B9C-8C50-8D6106B85FA9}"/>
                </c:ext>
              </c:extLst>
            </c:dLbl>
            <c:dLbl>
              <c:idx val="2"/>
              <c:layout>
                <c:manualLayout>
                  <c:x val="-2.7679357264496114E-2"/>
                  <c:y val="-0.198662193512776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040-4B9C-8C50-8D6106B85FA9}"/>
                </c:ext>
              </c:extLst>
            </c:dLbl>
            <c:dLbl>
              <c:idx val="3"/>
              <c:layout>
                <c:manualLayout>
                  <c:x val="-4.3029725674012375E-3"/>
                  <c:y val="6.4130537899630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040-4B9C-8C50-8D6106B85FA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040-4B9C-8C50-8D6106B85FA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040-4B9C-8C50-8D6106B85FA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040-4B9C-8C50-8D6106B85FA9}"/>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040-4B9C-8C50-8D6106B85F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USTF'!$K$9:$K$16</c:f>
              <c:numCache>
                <c:formatCode>0.00%</c:formatCode>
                <c:ptCount val="8"/>
                <c:pt idx="0">
                  <c:v>3.0609999999999999E-3</c:v>
                </c:pt>
                <c:pt idx="1">
                  <c:v>5.8881000000000003E-2</c:v>
                </c:pt>
                <c:pt idx="2">
                  <c:v>0.33533099999999999</c:v>
                </c:pt>
                <c:pt idx="3">
                  <c:v>0.37754500000000002</c:v>
                </c:pt>
                <c:pt idx="4">
                  <c:v>0.120862</c:v>
                </c:pt>
                <c:pt idx="5">
                  <c:v>2.6879999999999999E-3</c:v>
                </c:pt>
                <c:pt idx="6">
                  <c:v>4.2611000000000003E-2</c:v>
                </c:pt>
                <c:pt idx="7">
                  <c:v>5.9020999999999997E-2</c:v>
                </c:pt>
              </c:numCache>
            </c:numRef>
          </c:val>
          <c:extLst>
            <c:ext xmlns:c16="http://schemas.microsoft.com/office/drawing/2014/chart" uri="{C3380CC4-5D6E-409C-BE32-E72D297353CC}">
              <c16:uniqueId val="{0000000C-9040-4B9C-8C50-8D6106B85F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687-4BF3-B6EA-CB6FE1DF835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D687-4BF3-B6EA-CB6FE1DF835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18342030720464012"/>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BAC-4310-80C7-C64D2F6948F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BAC-4310-80C7-C64D2F6948F3}"/>
                </c:ext>
              </c:extLst>
            </c:dLbl>
            <c:dLbl>
              <c:idx val="2"/>
              <c:layout>
                <c:manualLayout>
                  <c:x val="0.17080569559426056"/>
                  <c:y val="2.8410848643919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BAC-4310-80C7-C64D2F6948F3}"/>
                </c:ext>
              </c:extLst>
            </c:dLbl>
            <c:dLbl>
              <c:idx val="3"/>
              <c:layout>
                <c:manualLayout>
                  <c:x val="-0.27350115496804872"/>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BAC-4310-80C7-C64D2F6948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6.3480000000000003E-3</c:v>
                </c:pt>
                <c:pt idx="1">
                  <c:v>1.4499999999999999E-3</c:v>
                </c:pt>
                <c:pt idx="2">
                  <c:v>2.6329999999999999E-3</c:v>
                </c:pt>
                <c:pt idx="3">
                  <c:v>0.98956900000000003</c:v>
                </c:pt>
              </c:numCache>
            </c:numRef>
          </c:val>
          <c:extLst>
            <c:ext xmlns:c16="http://schemas.microsoft.com/office/drawing/2014/chart" uri="{C3380CC4-5D6E-409C-BE32-E72D297353CC}">
              <c16:uniqueId val="{0000000C-DBAC-4310-80C7-C64D2F6948F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333-48C5-A4F4-4BF61061E6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A333-48C5-A4F4-4BF61061E6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0.26353698426882938"/>
                  <c:y val="-7.3838452312666213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05-4330-9750-CDE014BF4BD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E05-4330-9750-CDE014BF4BD1}"/>
                </c:ext>
              </c:extLst>
            </c:dLbl>
            <c:dLbl>
              <c:idx val="2"/>
              <c:layout>
                <c:manualLayout>
                  <c:x val="-9.0610194068353869E-2"/>
                  <c:y val="-0.123128052702021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E05-4330-9750-CDE014BF4BD1}"/>
                </c:ext>
              </c:extLst>
            </c:dLbl>
            <c:dLbl>
              <c:idx val="3"/>
              <c:layout>
                <c:manualLayout>
                  <c:x val="-6.3766038881114165E-2"/>
                  <c:y val="0.2788524447689071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5524625267665954"/>
                      <c:h val="0.21523178807947019"/>
                    </c:manualLayout>
                  </c15:layout>
                </c:ext>
                <c:ext xmlns:c16="http://schemas.microsoft.com/office/drawing/2014/chart" uri="{C3380CC4-5D6E-409C-BE32-E72D297353CC}">
                  <c16:uniqueId val="{00000010-9E05-4330-9750-CDE014BF4BD1}"/>
                </c:ext>
              </c:extLst>
            </c:dLbl>
            <c:dLbl>
              <c:idx val="4"/>
              <c:layout>
                <c:manualLayout>
                  <c:x val="4.9949164545010034E-2"/>
                  <c:y val="0.1110354417618327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E05-4330-9750-CDE014BF4BD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IP'!$J$9:$J$13</c:f>
              <c:strCache>
                <c:ptCount val="5"/>
                <c:pt idx="0">
                  <c:v>Net Current Asset</c:v>
                </c:pt>
                <c:pt idx="1">
                  <c:v>TRI Party Repo</c:v>
                </c:pt>
                <c:pt idx="2">
                  <c:v>Corporate Bond</c:v>
                </c:pt>
                <c:pt idx="3">
                  <c:v>Corporate Debt Market Development Fund</c:v>
                </c:pt>
                <c:pt idx="4">
                  <c:v>Government Bond</c:v>
                </c:pt>
              </c:strCache>
            </c:strRef>
          </c:cat>
          <c:val>
            <c:numRef>
              <c:f>'BANDHAN BOND IP'!$K$9:$K$13</c:f>
              <c:numCache>
                <c:formatCode>0.00%</c:formatCode>
                <c:ptCount val="5"/>
                <c:pt idx="0">
                  <c:v>9.2479999999999993E-3</c:v>
                </c:pt>
                <c:pt idx="1">
                  <c:v>1.2274E-2</c:v>
                </c:pt>
                <c:pt idx="2">
                  <c:v>0.25935000000000002</c:v>
                </c:pt>
                <c:pt idx="3">
                  <c:v>2.5709999999999999E-3</c:v>
                </c:pt>
                <c:pt idx="4">
                  <c:v>0.716557</c:v>
                </c:pt>
              </c:numCache>
            </c:numRef>
          </c:val>
          <c:extLst>
            <c:ext xmlns:c16="http://schemas.microsoft.com/office/drawing/2014/chart" uri="{C3380CC4-5D6E-409C-BE32-E72D297353CC}">
              <c16:uniqueId val="{0000000C-9E05-4330-9750-CDE014BF4BD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BF8-4A26-A704-F4700518AC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4BF8-4A26-A704-F4700518AC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0.18675133622215853"/>
                  <c:y val="-8.903298852349339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220-45E5-90F8-28FBAD9E539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220-45E5-90F8-28FBAD9E5397}"/>
                </c:ext>
              </c:extLst>
            </c:dLbl>
            <c:dLbl>
              <c:idx val="2"/>
              <c:layout>
                <c:manualLayout>
                  <c:x val="-4.8343168827665275E-2"/>
                  <c:y val="0.310453399207452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220-45E5-90F8-28FBAD9E5397}"/>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220-45E5-90F8-28FBAD9E5397}"/>
                </c:ext>
              </c:extLst>
            </c:dLbl>
            <c:dLbl>
              <c:idx val="4"/>
              <c:layout>
                <c:manualLayout>
                  <c:x val="5.24895041224772E-3"/>
                  <c:y val="-0.134013689465287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220-45E5-90F8-28FBAD9E539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220-45E5-90F8-28FBAD9E5397}"/>
                </c:ext>
              </c:extLst>
            </c:dLbl>
            <c:dLbl>
              <c:idx val="6"/>
              <c:layout>
                <c:manualLayout>
                  <c:x val="-0.15928729197929489"/>
                  <c:y val="-5.57442574580138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220-45E5-90F8-28FBAD9E539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Corporate Bond</c:v>
                </c:pt>
                <c:pt idx="3">
                  <c:v>Corporate Debt Market Development Fund</c:v>
                </c:pt>
                <c:pt idx="4">
                  <c:v>Government Bond</c:v>
                </c:pt>
                <c:pt idx="5">
                  <c:v>PTC</c:v>
                </c:pt>
                <c:pt idx="6">
                  <c:v>State Government Bond</c:v>
                </c:pt>
              </c:strCache>
            </c:strRef>
          </c:cat>
          <c:val>
            <c:numRef>
              <c:f>'BANDHAN BOND MT'!$K$9:$K$15</c:f>
              <c:numCache>
                <c:formatCode>0.00%</c:formatCode>
                <c:ptCount val="7"/>
                <c:pt idx="0">
                  <c:v>2.1194999999999999E-2</c:v>
                </c:pt>
                <c:pt idx="1">
                  <c:v>2.4529999999999999E-3</c:v>
                </c:pt>
                <c:pt idx="2">
                  <c:v>0.50992899999999997</c:v>
                </c:pt>
                <c:pt idx="3">
                  <c:v>3.1949999999999999E-3</c:v>
                </c:pt>
                <c:pt idx="4">
                  <c:v>0.43544899999999997</c:v>
                </c:pt>
                <c:pt idx="5">
                  <c:v>7.7130000000000002E-3</c:v>
                </c:pt>
                <c:pt idx="6">
                  <c:v>2.0066000000000001E-2</c:v>
                </c:pt>
              </c:numCache>
            </c:numRef>
          </c:val>
          <c:extLst>
            <c:ext xmlns:c16="http://schemas.microsoft.com/office/drawing/2014/chart" uri="{C3380CC4-5D6E-409C-BE32-E72D297353CC}">
              <c16:uniqueId val="{0000000C-A220-45E5-90F8-28FBAD9E539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9C9-4270-9821-84489FACB24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B9C9-4270-9821-84489FACB24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EBF-41F0-96B8-61E51BFB2220}"/>
                </c:ext>
              </c:extLst>
            </c:dLbl>
            <c:dLbl>
              <c:idx val="1"/>
              <c:layout>
                <c:manualLayout>
                  <c:x val="1.8232814581260855E-2"/>
                  <c:y val="-2.488739125949867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EBF-41F0-96B8-61E51BFB2220}"/>
                </c:ext>
              </c:extLst>
            </c:dLbl>
            <c:dLbl>
              <c:idx val="2"/>
              <c:layout>
                <c:manualLayout>
                  <c:x val="0.12477111399618945"/>
                  <c:y val="-2.4822748684798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EBF-41F0-96B8-61E51BFB2220}"/>
                </c:ext>
              </c:extLst>
            </c:dLbl>
            <c:dLbl>
              <c:idx val="3"/>
              <c:layout>
                <c:manualLayout>
                  <c:x val="-8.9831391525738088E-2"/>
                  <c:y val="0.25014097582780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EBF-41F0-96B8-61E51BFB2220}"/>
                </c:ext>
              </c:extLst>
            </c:dLbl>
            <c:dLbl>
              <c:idx val="4"/>
              <c:layout>
                <c:manualLayout>
                  <c:x val="0.2188249675428687"/>
                  <c:y val="0.13471925179658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EBF-41F0-96B8-61E51BFB222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EBF-41F0-96B8-61E51BFB2220}"/>
                </c:ext>
              </c:extLst>
            </c:dLbl>
            <c:dLbl>
              <c:idx val="6"/>
              <c:layout>
                <c:manualLayout>
                  <c:x val="-1.6363452427118987E-4"/>
                  <c:y val="-0.166545060688374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EBF-41F0-96B8-61E51BFB2220}"/>
                </c:ext>
              </c:extLst>
            </c:dLbl>
            <c:dLbl>
              <c:idx val="7"/>
              <c:layout>
                <c:manualLayout>
                  <c:x val="-0.16354465595440826"/>
                  <c:y val="-3.75762472922325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EBF-41F0-96B8-61E51BFB222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PTC</c:v>
                </c:pt>
              </c:strCache>
            </c:strRef>
          </c:cat>
          <c:val>
            <c:numRef>
              <c:f>'BANDHAN BOND ST'!$K$9:$K$16</c:f>
              <c:numCache>
                <c:formatCode>0.00%</c:formatCode>
                <c:ptCount val="8"/>
                <c:pt idx="0">
                  <c:v>2.0678999999999999E-2</c:v>
                </c:pt>
                <c:pt idx="1">
                  <c:v>1.2737999999999999E-2</c:v>
                </c:pt>
                <c:pt idx="2">
                  <c:v>5.9402999999999997E-2</c:v>
                </c:pt>
                <c:pt idx="3">
                  <c:v>0.483844</c:v>
                </c:pt>
                <c:pt idx="4">
                  <c:v>8.3740999999999996E-2</c:v>
                </c:pt>
                <c:pt idx="5">
                  <c:v>2.8149999999999998E-3</c:v>
                </c:pt>
                <c:pt idx="6">
                  <c:v>0.333984</c:v>
                </c:pt>
                <c:pt idx="7">
                  <c:v>2.7959999999999999E-3</c:v>
                </c:pt>
              </c:numCache>
            </c:numRef>
          </c:val>
          <c:extLst>
            <c:ext xmlns:c16="http://schemas.microsoft.com/office/drawing/2014/chart" uri="{C3380CC4-5D6E-409C-BE32-E72D297353CC}">
              <c16:uniqueId val="{0000000C-2EBF-41F0-96B8-61E51BFB222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CC3-40B7-BD52-C0C354651AB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BCC3-40B7-BD52-C0C354651AB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FB-4607-8962-3B35DE9DA727}"/>
                </c:ext>
              </c:extLst>
            </c:dLbl>
            <c:dLbl>
              <c:idx val="1"/>
              <c:layout>
                <c:manualLayout>
                  <c:x val="3.2025915122494059E-2"/>
                  <c:y val="-4.08996903864563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CFB-4607-8962-3B35DE9DA727}"/>
                </c:ext>
              </c:extLst>
            </c:dLbl>
            <c:dLbl>
              <c:idx val="2"/>
              <c:layout>
                <c:manualLayout>
                  <c:x val="0.12100052268627021"/>
                  <c:y val="-4.67042112616536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CFB-4607-8962-3B35DE9DA727}"/>
                </c:ext>
              </c:extLst>
            </c:dLbl>
            <c:dLbl>
              <c:idx val="3"/>
              <c:layout>
                <c:manualLayout>
                  <c:x val="0.10589067426528857"/>
                  <c:y val="4.71723400401893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CFB-4607-8962-3B35DE9DA727}"/>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CFB-4607-8962-3B35DE9DA727}"/>
                </c:ext>
              </c:extLst>
            </c:dLbl>
            <c:dLbl>
              <c:idx val="5"/>
              <c:layout>
                <c:manualLayout>
                  <c:x val="1.1342292063599119E-2"/>
                  <c:y val="0.5442312701054755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286398354381292"/>
                      <c:h val="0.21467688937568455"/>
                    </c:manualLayout>
                  </c15:layout>
                </c:ext>
                <c:ext xmlns:c16="http://schemas.microsoft.com/office/drawing/2014/chart" uri="{C3380CC4-5D6E-409C-BE32-E72D297353CC}">
                  <c16:uniqueId val="{00000012-5CFB-4607-8962-3B35DE9DA727}"/>
                </c:ext>
              </c:extLst>
            </c:dLbl>
            <c:dLbl>
              <c:idx val="6"/>
              <c:layout>
                <c:manualLayout>
                  <c:x val="-0.12883238631573624"/>
                  <c:y val="-0.151079680209743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CFB-4607-8962-3B35DE9DA727}"/>
                </c:ext>
              </c:extLst>
            </c:dLbl>
            <c:dLbl>
              <c:idx val="7"/>
              <c:layout>
                <c:manualLayout>
                  <c:x val="-5.2385472693857592E-2"/>
                  <c:y val="7.754999956878336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5CFB-4607-8962-3B35DE9DA72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strCache>
            </c:strRef>
          </c:cat>
          <c:val>
            <c:numRef>
              <c:f>'BANDHAN BPDF'!$K$9:$K$16</c:f>
              <c:numCache>
                <c:formatCode>0.00%</c:formatCode>
                <c:ptCount val="8"/>
                <c:pt idx="0">
                  <c:v>2.7640999999999999E-2</c:v>
                </c:pt>
                <c:pt idx="1">
                  <c:v>2.6571000000000001E-2</c:v>
                </c:pt>
                <c:pt idx="2">
                  <c:v>5.7764999999999997E-2</c:v>
                </c:pt>
                <c:pt idx="3">
                  <c:v>0.69426900000000002</c:v>
                </c:pt>
                <c:pt idx="4">
                  <c:v>1.9779000000000001E-2</c:v>
                </c:pt>
                <c:pt idx="5">
                  <c:v>2.5360000000000001E-3</c:v>
                </c:pt>
                <c:pt idx="6">
                  <c:v>0.12681999999999999</c:v>
                </c:pt>
                <c:pt idx="7">
                  <c:v>4.4618999999999999E-2</c:v>
                </c:pt>
              </c:numCache>
            </c:numRef>
          </c:val>
          <c:extLst>
            <c:ext xmlns:c16="http://schemas.microsoft.com/office/drawing/2014/chart" uri="{C3380CC4-5D6E-409C-BE32-E72D297353CC}">
              <c16:uniqueId val="{0000000C-5CFB-4607-8962-3B35DE9DA72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423906995565598"/>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A9B-4709-9D5E-24CA77BE03F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0A9B-4709-9D5E-24CA77BE03F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0C-4667-A334-BD78614643A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40C-4667-A334-BD78614643AD}"/>
                </c:ext>
              </c:extLst>
            </c:dLbl>
            <c:dLbl>
              <c:idx val="2"/>
              <c:layout>
                <c:manualLayout>
                  <c:x val="0.11046013252626077"/>
                  <c:y val="-5.044619422572178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40C-4667-A334-BD78614643AD}"/>
                </c:ext>
              </c:extLst>
            </c:dLbl>
            <c:dLbl>
              <c:idx val="3"/>
              <c:layout>
                <c:manualLayout>
                  <c:x val="5.4735200391171579E-2"/>
                  <c:y val="2.26358705161854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40C-4667-A334-BD78614643AD}"/>
                </c:ext>
              </c:extLst>
            </c:dLbl>
            <c:dLbl>
              <c:idx val="4"/>
              <c:layout>
                <c:manualLayout>
                  <c:x val="-4.7143013707868955E-2"/>
                  <c:y val="0.616191076115485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40C-4667-A334-BD78614643AD}"/>
                </c:ext>
              </c:extLst>
            </c:dLbl>
            <c:dLbl>
              <c:idx val="5"/>
              <c:layout>
                <c:manualLayout>
                  <c:x val="-0.15233800940835288"/>
                  <c:y val="-8.85760279965004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40C-4667-A334-BD78614643AD}"/>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40C-4667-A334-BD78614643AD}"/>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40C-4667-A334-BD78614643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CBF'!$K$9:$K$16</c:f>
              <c:numCache>
                <c:formatCode>0.00%</c:formatCode>
                <c:ptCount val="8"/>
                <c:pt idx="0">
                  <c:v>3.5383999999999999E-2</c:v>
                </c:pt>
                <c:pt idx="1">
                  <c:v>4.1265000000000003E-2</c:v>
                </c:pt>
                <c:pt idx="2">
                  <c:v>3.9136999999999998E-2</c:v>
                </c:pt>
                <c:pt idx="3">
                  <c:v>0.69464300000000001</c:v>
                </c:pt>
                <c:pt idx="4">
                  <c:v>8.9177000000000006E-2</c:v>
                </c:pt>
                <c:pt idx="5">
                  <c:v>2.8E-3</c:v>
                </c:pt>
                <c:pt idx="6">
                  <c:v>2.4514999999999999E-2</c:v>
                </c:pt>
                <c:pt idx="7">
                  <c:v>7.3079000000000005E-2</c:v>
                </c:pt>
              </c:numCache>
            </c:numRef>
          </c:val>
          <c:extLst>
            <c:ext xmlns:c16="http://schemas.microsoft.com/office/drawing/2014/chart" uri="{C3380CC4-5D6E-409C-BE32-E72D297353CC}">
              <c16:uniqueId val="{0000000C-A40C-4667-A334-BD78614643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2.430111787418434E-2"/>
                  <c:y val="-3.867246857300732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7119374799777435"/>
                      <c:h val="0.16447368421052633"/>
                    </c:manualLayout>
                  </c15:layout>
                </c:ext>
                <c:ext xmlns:c16="http://schemas.microsoft.com/office/drawing/2014/chart" uri="{C3380CC4-5D6E-409C-BE32-E72D297353CC}">
                  <c16:uniqueId val="{0000000D-E032-4126-9EC1-A8E8891F91BA}"/>
                </c:ext>
              </c:extLst>
            </c:dLbl>
            <c:dLbl>
              <c:idx val="1"/>
              <c:layout>
                <c:manualLayout>
                  <c:x val="-2.9711595204774992E-2"/>
                  <c:y val="-6.12173642768338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032-4126-9EC1-A8E8891F91B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0.90263300000000002</c:v>
                </c:pt>
                <c:pt idx="1">
                  <c:v>9.7366999999999995E-2</c:v>
                </c:pt>
              </c:numCache>
            </c:numRef>
          </c:val>
          <c:extLst>
            <c:ext xmlns:c16="http://schemas.microsoft.com/office/drawing/2014/chart" uri="{C3380CC4-5D6E-409C-BE32-E72D297353CC}">
              <c16:uniqueId val="{0000000C-E032-4126-9EC1-A8E8891F91B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E09-4BCF-82BD-B53DF15FA15C}"/>
                </c:ext>
              </c:extLst>
            </c:dLbl>
            <c:dLbl>
              <c:idx val="1"/>
              <c:layout>
                <c:manualLayout>
                  <c:x val="9.7860442765853414E-2"/>
                  <c:y val="-5.50434962005295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E09-4BCF-82BD-B53DF15FA15C}"/>
                </c:ext>
              </c:extLst>
            </c:dLbl>
            <c:dLbl>
              <c:idx val="2"/>
              <c:layout>
                <c:manualLayout>
                  <c:x val="-2.741169131160532E-2"/>
                  <c:y val="-7.12880376852456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E09-4BCF-82BD-B53DF15FA15C}"/>
                </c:ext>
              </c:extLst>
            </c:dLbl>
            <c:dLbl>
              <c:idx val="3"/>
              <c:layout>
                <c:manualLayout>
                  <c:x val="2.8209799524524102E-2"/>
                  <c:y val="3.15070659835642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E09-4BCF-82BD-B53DF15FA15C}"/>
                </c:ext>
              </c:extLst>
            </c:dLbl>
            <c:dLbl>
              <c:idx val="4"/>
              <c:layout>
                <c:manualLayout>
                  <c:x val="-9.0858975872127337E-2"/>
                  <c:y val="1.43124849568476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E09-4BCF-82BD-B53DF15FA15C}"/>
                </c:ext>
              </c:extLst>
            </c:dLbl>
            <c:dLbl>
              <c:idx val="5"/>
              <c:layout>
                <c:manualLayout>
                  <c:x val="-3.9676103120942857E-2"/>
                  <c:y val="-0.1110029914382972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
                      <c:h val="0.21288209606986899"/>
                    </c:manualLayout>
                  </c15:layout>
                </c:ext>
                <c:ext xmlns:c16="http://schemas.microsoft.com/office/drawing/2014/chart" uri="{C3380CC4-5D6E-409C-BE32-E72D297353CC}">
                  <c16:uniqueId val="{00000012-1E09-4BCF-82BD-B53DF15FA15C}"/>
                </c:ext>
              </c:extLst>
            </c:dLbl>
            <c:dLbl>
              <c:idx val="6"/>
              <c:layout>
                <c:manualLayout>
                  <c:x val="1.0907366504240503E-2"/>
                  <c:y val="-2.50393700787401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E09-4BCF-82BD-B53DF15FA15C}"/>
                </c:ext>
              </c:extLst>
            </c:dLbl>
            <c:dLbl>
              <c:idx val="7"/>
              <c:layout>
                <c:manualLayout>
                  <c:x val="-0.15497934546190292"/>
                  <c:y val="0.713515455764536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E09-4BCF-82BD-B53DF15FA15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FRF'!$J$9:$J$16</c:f>
              <c:strCache>
                <c:ptCount val="7"/>
                <c:pt idx="0">
                  <c:v>Net Current Asset</c:v>
                </c:pt>
                <c:pt idx="1">
                  <c:v>TRI Party Repo</c:v>
                </c:pt>
                <c:pt idx="2">
                  <c:v>Certificate of Deposit</c:v>
                </c:pt>
                <c:pt idx="3">
                  <c:v>Corporate Bond</c:v>
                </c:pt>
                <c:pt idx="4">
                  <c:v>Commercial Paper</c:v>
                </c:pt>
                <c:pt idx="5">
                  <c:v>Corporate Debt Market Development Fund</c:v>
                </c:pt>
                <c:pt idx="6">
                  <c:v>Government Bond</c:v>
                </c:pt>
              </c:strCache>
            </c:strRef>
          </c:cat>
          <c:val>
            <c:numRef>
              <c:f>'BANDHAN FRF'!$K$9:$K$16</c:f>
              <c:numCache>
                <c:formatCode>0.00%</c:formatCode>
                <c:ptCount val="8"/>
                <c:pt idx="0">
                  <c:v>1.4334E-2</c:v>
                </c:pt>
                <c:pt idx="1">
                  <c:v>1.1757E-2</c:v>
                </c:pt>
                <c:pt idx="2">
                  <c:v>0.333976</c:v>
                </c:pt>
                <c:pt idx="3">
                  <c:v>0.50357099999999999</c:v>
                </c:pt>
                <c:pt idx="4">
                  <c:v>2.4188999999999999E-2</c:v>
                </c:pt>
                <c:pt idx="5">
                  <c:v>4.3080000000000002E-3</c:v>
                </c:pt>
                <c:pt idx="6">
                  <c:v>0.107901</c:v>
                </c:pt>
              </c:numCache>
            </c:numRef>
          </c:val>
          <c:extLst>
            <c:ext xmlns:c16="http://schemas.microsoft.com/office/drawing/2014/chart" uri="{C3380CC4-5D6E-409C-BE32-E72D297353CC}">
              <c16:uniqueId val="{0000000C-1E09-4BCF-82BD-B53DF15FA15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0831104891331839"/>
                  <c:y val="-0.3921349633927337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79-46F0-8CF1-6598D34F3BA9}"/>
                </c:ext>
              </c:extLst>
            </c:dLbl>
            <c:dLbl>
              <c:idx val="1"/>
              <c:layout>
                <c:manualLayout>
                  <c:x val="1.2690063902611744E-2"/>
                  <c:y val="-0.362316272965879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447368421052633"/>
                    </c:manualLayout>
                  </c15:layout>
                </c:ext>
                <c:ext xmlns:c16="http://schemas.microsoft.com/office/drawing/2014/chart" uri="{C3380CC4-5D6E-409C-BE32-E72D297353CC}">
                  <c16:uniqueId val="{0000000E-EB79-46F0-8CF1-6598D34F3BA9}"/>
                </c:ext>
              </c:extLst>
            </c:dLbl>
            <c:dLbl>
              <c:idx val="2"/>
              <c:layout>
                <c:manualLayout>
                  <c:x val="0.10139152573808359"/>
                  <c:y val="-5.98570244508910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B79-46F0-8CF1-6598D34F3B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0.58334399999999997</c:v>
                </c:pt>
                <c:pt idx="1">
                  <c:v>0.32306400000000002</c:v>
                </c:pt>
                <c:pt idx="2">
                  <c:v>9.3591999999999995E-2</c:v>
                </c:pt>
              </c:numCache>
            </c:numRef>
          </c:val>
          <c:extLst>
            <c:ext xmlns:c16="http://schemas.microsoft.com/office/drawing/2014/chart" uri="{C3380CC4-5D6E-409C-BE32-E72D297353CC}">
              <c16:uniqueId val="{0000000C-EB79-46F0-8CF1-6598D34F3B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layout>
                <c:manualLayout>
                  <c:x val="-0.13994739415603027"/>
                  <c:y val="-4.419431177660169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982-436D-9383-1C8F36EC5425}"/>
                </c:ext>
              </c:extLst>
            </c:dLbl>
            <c:dLbl>
              <c:idx val="1"/>
              <c:layout>
                <c:manualLayout>
                  <c:x val="4.1611475492758267E-2"/>
                  <c:y val="-3.23690030549459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982-436D-9383-1C8F36EC5425}"/>
                </c:ext>
              </c:extLst>
            </c:dLbl>
            <c:dLbl>
              <c:idx val="2"/>
              <c:layout>
                <c:manualLayout>
                  <c:x val="0.16089969481866159"/>
                  <c:y val="-4.439051675917579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982-436D-9383-1C8F36EC5425}"/>
                </c:ext>
              </c:extLst>
            </c:dLbl>
            <c:dLbl>
              <c:idx val="3"/>
              <c:layout>
                <c:manualLayout>
                  <c:x val="-0.12242197642853522"/>
                  <c:y val="9.1438406264790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982-436D-9383-1C8F36EC5425}"/>
                </c:ext>
              </c:extLst>
            </c:dLbl>
            <c:dLbl>
              <c:idx val="4"/>
              <c:layout>
                <c:manualLayout>
                  <c:x val="-7.1921630781163065E-3"/>
                  <c:y val="0.49766189062432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982-436D-9383-1C8F36EC5425}"/>
                </c:ext>
              </c:extLst>
            </c:dLbl>
            <c:dLbl>
              <c:idx val="5"/>
              <c:layout>
                <c:manualLayout>
                  <c:x val="-2.8297981756563086E-2"/>
                  <c:y val="-0.142643087646831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982-436D-9383-1C8F36EC5425}"/>
                </c:ext>
              </c:extLst>
            </c:dLbl>
            <c:dLbl>
              <c:idx val="6"/>
              <c:layout>
                <c:manualLayout>
                  <c:x val="-8.9501424741607508E-2"/>
                  <c:y val="-4.63773503721871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982-436D-9383-1C8F36EC542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CRF'!$J$9:$J$15</c:f>
              <c:strCache>
                <c:ptCount val="7"/>
                <c:pt idx="0">
                  <c:v>Net Current Asset</c:v>
                </c:pt>
                <c:pt idx="1">
                  <c:v>TRI Party Repo</c:v>
                </c:pt>
                <c:pt idx="2">
                  <c:v>Certificate of Deposit</c:v>
                </c:pt>
                <c:pt idx="3">
                  <c:v>Corporate Bond</c:v>
                </c:pt>
                <c:pt idx="4">
                  <c:v>Corporate Debt Market Development Fund</c:v>
                </c:pt>
                <c:pt idx="5">
                  <c:v>Government Bond</c:v>
                </c:pt>
                <c:pt idx="6">
                  <c:v>PTC</c:v>
                </c:pt>
              </c:strCache>
            </c:strRef>
          </c:cat>
          <c:val>
            <c:numRef>
              <c:f>'BANDHAN CRF'!$K$9:$K$15</c:f>
              <c:numCache>
                <c:formatCode>0.00%</c:formatCode>
                <c:ptCount val="7"/>
                <c:pt idx="0">
                  <c:v>2.7588999999999999E-2</c:v>
                </c:pt>
                <c:pt idx="1">
                  <c:v>8.6890000000000005E-3</c:v>
                </c:pt>
                <c:pt idx="2">
                  <c:v>3.9777E-2</c:v>
                </c:pt>
                <c:pt idx="3">
                  <c:v>0.67693599999999998</c:v>
                </c:pt>
                <c:pt idx="4">
                  <c:v>3.8240000000000001E-3</c:v>
                </c:pt>
                <c:pt idx="5">
                  <c:v>0.179198</c:v>
                </c:pt>
                <c:pt idx="6">
                  <c:v>6.3987000000000002E-2</c:v>
                </c:pt>
              </c:numCache>
            </c:numRef>
          </c:val>
          <c:extLst>
            <c:ext xmlns:c16="http://schemas.microsoft.com/office/drawing/2014/chart" uri="{C3380CC4-5D6E-409C-BE32-E72D297353CC}">
              <c16:uniqueId val="{0000000C-D982-436D-9383-1C8F36EC542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471-4836-A0B1-AC37D440972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5471-4836-A0B1-AC37D440972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A7A-4CB7-8B6B-F605650412DA}"/>
                </c:ext>
              </c:extLst>
            </c:dLbl>
            <c:dLbl>
              <c:idx val="1"/>
              <c:layout>
                <c:manualLayout>
                  <c:x val="9.4297492791987722E-2"/>
                  <c:y val="-8.255818022747156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A7A-4CB7-8B6B-F605650412DA}"/>
                </c:ext>
              </c:extLst>
            </c:dLbl>
            <c:dLbl>
              <c:idx val="2"/>
              <c:layout>
                <c:manualLayout>
                  <c:x val="-0.2714340150735976"/>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A7A-4CB7-8B6B-F605650412D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6.9189999999999998E-3</c:v>
                </c:pt>
                <c:pt idx="1">
                  <c:v>2.9500000000000001E-4</c:v>
                </c:pt>
                <c:pt idx="2">
                  <c:v>0.99278599999999995</c:v>
                </c:pt>
              </c:numCache>
            </c:numRef>
          </c:val>
          <c:extLst>
            <c:ext xmlns:c16="http://schemas.microsoft.com/office/drawing/2014/chart" uri="{C3380CC4-5D6E-409C-BE32-E72D297353CC}">
              <c16:uniqueId val="{0000000C-0A7A-4CB7-8B6B-F605650412D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49D-46D5-8D01-92A14C9512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549D-46D5-8D01-92A14C9512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032-4213-9635-B6224A1C628D}"/>
                </c:ext>
              </c:extLst>
            </c:dLbl>
            <c:dLbl>
              <c:idx val="1"/>
              <c:layout>
                <c:manualLayout>
                  <c:x val="6.8259033199008584E-2"/>
                  <c:y val="-2.67027121609798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032-4213-9635-B6224A1C628D}"/>
                </c:ext>
              </c:extLst>
            </c:dLbl>
            <c:dLbl>
              <c:idx val="2"/>
              <c:layout>
                <c:manualLayout>
                  <c:x val="-0.17071363536731357"/>
                  <c:y val="-3.25746281714785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032-4213-9635-B6224A1C62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1.1694E-2</c:v>
                </c:pt>
                <c:pt idx="1">
                  <c:v>5.0665000000000002E-2</c:v>
                </c:pt>
                <c:pt idx="2">
                  <c:v>0.93764099999999995</c:v>
                </c:pt>
              </c:numCache>
            </c:numRef>
          </c:val>
          <c:extLst>
            <c:ext xmlns:c16="http://schemas.microsoft.com/office/drawing/2014/chart" uri="{C3380CC4-5D6E-409C-BE32-E72D297353CC}">
              <c16:uniqueId val="{0000000C-D032-4213-9635-B6224A1C628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E1-4A65-83CC-0C464E2061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5CE1-4A65-83CC-0C464E2061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501-4FEC-BD43-EDDD74BD4EC8}"/>
                </c:ext>
              </c:extLst>
            </c:dLbl>
            <c:dLbl>
              <c:idx val="1"/>
              <c:layout>
                <c:manualLayout>
                  <c:x val="0.16317118818391813"/>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501-4FEC-BD43-EDDD74BD4EC8}"/>
                </c:ext>
              </c:extLst>
            </c:dLbl>
            <c:dLbl>
              <c:idx val="2"/>
              <c:layout>
                <c:manualLayout>
                  <c:x val="-0.24168852956549597"/>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501-4FEC-BD43-EDDD74BD4E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1.4815999999999999E-2</c:v>
                </c:pt>
                <c:pt idx="1">
                  <c:v>8.8369999999999994E-3</c:v>
                </c:pt>
                <c:pt idx="2">
                  <c:v>0.97634699999999996</c:v>
                </c:pt>
              </c:numCache>
            </c:numRef>
          </c:val>
          <c:extLst>
            <c:ext xmlns:c16="http://schemas.microsoft.com/office/drawing/2014/chart" uri="{C3380CC4-5D6E-409C-BE32-E72D297353CC}">
              <c16:uniqueId val="{0000000C-7501-4FEC-BD43-EDDD74BD4EC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8918562106931492"/>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EBC-42F1-8792-FA3F2D56903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EEBC-42F1-8792-FA3F2D56903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6ED-4F34-9AD4-A31242593733}"/>
                </c:ext>
              </c:extLst>
            </c:dLbl>
            <c:dLbl>
              <c:idx val="1"/>
              <c:layout>
                <c:manualLayout>
                  <c:x val="0.11195290765313864"/>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6ED-4F34-9AD4-A31242593733}"/>
                </c:ext>
              </c:extLst>
            </c:dLbl>
            <c:dLbl>
              <c:idx val="2"/>
              <c:layout>
                <c:manualLayout>
                  <c:x val="-0.28556601864809728"/>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6ED-4F34-9AD4-A312425937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1.1963E-2</c:v>
                </c:pt>
                <c:pt idx="1">
                  <c:v>6.6569999999999997E-3</c:v>
                </c:pt>
                <c:pt idx="2">
                  <c:v>0.98138000000000003</c:v>
                </c:pt>
              </c:numCache>
            </c:numRef>
          </c:val>
          <c:extLst>
            <c:ext xmlns:c16="http://schemas.microsoft.com/office/drawing/2014/chart" uri="{C3380CC4-5D6E-409C-BE32-E72D297353CC}">
              <c16:uniqueId val="{0000000C-76ED-4F34-9AD4-A3124259373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FF6-4D30-A532-9B05973541D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6FF6-4D30-A532-9B05973541D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B23-4601-A027-37B621AD3D8C}"/>
                </c:ext>
              </c:extLst>
            </c:dLbl>
            <c:dLbl>
              <c:idx val="1"/>
              <c:layout>
                <c:manualLayout>
                  <c:x val="7.9044832993306238E-2"/>
                  <c:y val="-7.14470691163604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B23-4601-A027-37B621AD3D8C}"/>
                </c:ext>
              </c:extLst>
            </c:dLbl>
            <c:dLbl>
              <c:idx val="2"/>
              <c:layout>
                <c:manualLayout>
                  <c:x val="-0.26132087878736787"/>
                  <c:y val="-4.693018372703412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B23-4601-A027-37B621AD3D8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-6.2500000000000001E-4</c:v>
                </c:pt>
                <c:pt idx="1">
                  <c:v>2.6644000000000001E-2</c:v>
                </c:pt>
                <c:pt idx="2">
                  <c:v>0.97398099999999999</c:v>
                </c:pt>
              </c:numCache>
            </c:numRef>
          </c:val>
          <c:extLst>
            <c:ext xmlns:c16="http://schemas.microsoft.com/office/drawing/2014/chart" uri="{C3380CC4-5D6E-409C-BE32-E72D297353CC}">
              <c16:uniqueId val="{0000000C-0B23-4601-A027-37B621AD3D8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D3D-428D-98DA-88FD732BBAA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6D3D-428D-98DA-88FD732BBAA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5F6-45CB-B680-B43C127133F7}"/>
                </c:ext>
              </c:extLst>
            </c:dLbl>
            <c:dLbl>
              <c:idx val="1"/>
              <c:layout>
                <c:manualLayout>
                  <c:x val="0.10544967880085661"/>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5F6-45CB-B680-B43C127133F7}"/>
                </c:ext>
              </c:extLst>
            </c:dLbl>
            <c:dLbl>
              <c:idx val="2"/>
              <c:layout>
                <c:manualLayout>
                  <c:x val="-0.2928663440624526"/>
                  <c:y val="2.30698162729658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5F6-45CB-B680-B43C127133F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2.3349999999999998E-3</c:v>
                </c:pt>
                <c:pt idx="1">
                  <c:v>1.3583E-2</c:v>
                </c:pt>
                <c:pt idx="2">
                  <c:v>0.98408200000000001</c:v>
                </c:pt>
              </c:numCache>
            </c:numRef>
          </c:val>
          <c:extLst>
            <c:ext xmlns:c16="http://schemas.microsoft.com/office/drawing/2014/chart" uri="{C3380CC4-5D6E-409C-BE32-E72D297353CC}">
              <c16:uniqueId val="{0000000C-C5F6-45CB-B680-B43C127133F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82F-40FE-A45C-20761D63BBE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482F-40FE-A45C-20761D63BBE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045-4894-B341-BC6084E64542}"/>
                </c:ext>
              </c:extLst>
            </c:dLbl>
            <c:dLbl>
              <c:idx val="1"/>
              <c:layout>
                <c:manualLayout>
                  <c:x val="6.3461531976597221E-2"/>
                  <c:y val="-2.29357830271216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045-4894-B341-BC6084E64542}"/>
                </c:ext>
              </c:extLst>
            </c:dLbl>
            <c:dLbl>
              <c:idx val="2"/>
              <c:layout>
                <c:manualLayout>
                  <c:x val="7.7717547083916441E-2"/>
                  <c:y val="-4.52440944881889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045-4894-B341-BC6084E64542}"/>
                </c:ext>
              </c:extLst>
            </c:dLbl>
            <c:dLbl>
              <c:idx val="3"/>
              <c:layout>
                <c:manualLayout>
                  <c:x val="1.7983274039353219E-2"/>
                  <c:y val="3.33704286964129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045-4894-B341-BC6084E6454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1.8703999999999998E-2</c:v>
                </c:pt>
                <c:pt idx="1">
                  <c:v>2.7616000000000002E-2</c:v>
                </c:pt>
                <c:pt idx="2">
                  <c:v>0.13275400000000001</c:v>
                </c:pt>
                <c:pt idx="3">
                  <c:v>0.82092600000000004</c:v>
                </c:pt>
              </c:numCache>
            </c:numRef>
          </c:val>
          <c:extLst>
            <c:ext xmlns:c16="http://schemas.microsoft.com/office/drawing/2014/chart" uri="{C3380CC4-5D6E-409C-BE32-E72D297353CC}">
              <c16:uniqueId val="{0000000C-4045-4894-B341-BC6084E6454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0D7-4DE9-96E8-66F0BA28BB8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60D7-4DE9-96E8-66F0BA28BB8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2704948658719587"/>
                  <c:y val="1.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05-4D2E-AE6B-042E724FAC3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05-4D2E-AE6B-042E724FAC3C}"/>
                </c:ext>
              </c:extLst>
            </c:dLbl>
            <c:dLbl>
              <c:idx val="2"/>
              <c:layout>
                <c:manualLayout>
                  <c:x val="-2.8167563101721492E-2"/>
                  <c:y val="-8.21704286964129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05-4D2E-AE6B-042E724FAC3C}"/>
                </c:ext>
              </c:extLst>
            </c:dLbl>
            <c:dLbl>
              <c:idx val="3"/>
              <c:layout>
                <c:manualLayout>
                  <c:x val="5.4114046771990762E-2"/>
                  <c:y val="6.95814523184601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105-4D2E-AE6B-042E724FAC3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1.7103E-2</c:v>
                </c:pt>
                <c:pt idx="1">
                  <c:v>7.8930000000000007E-3</c:v>
                </c:pt>
                <c:pt idx="2">
                  <c:v>0.18156900000000001</c:v>
                </c:pt>
                <c:pt idx="3">
                  <c:v>0.793435</c:v>
                </c:pt>
              </c:numCache>
            </c:numRef>
          </c:val>
          <c:extLst>
            <c:ext xmlns:c16="http://schemas.microsoft.com/office/drawing/2014/chart" uri="{C3380CC4-5D6E-409C-BE32-E72D297353CC}">
              <c16:uniqueId val="{0000000C-4105-4D2E-AE6B-042E724FAC3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B3D-4396-8818-7A47A939366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EB3D-4396-8818-7A47A939366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40-4083-B182-2E9B85BA454B}"/>
                </c:ext>
              </c:extLst>
            </c:dLbl>
            <c:dLbl>
              <c:idx val="1"/>
              <c:layout>
                <c:manualLayout>
                  <c:x val="0.23727199919067932"/>
                  <c:y val="3.52524934383202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F40-4083-B182-2E9B85BA454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F40-4083-B182-2E9B85BA454B}"/>
                </c:ext>
              </c:extLst>
            </c:dLbl>
            <c:dLbl>
              <c:idx val="3"/>
              <c:layout>
                <c:manualLayout>
                  <c:x val="-2.389569879782158E-2"/>
                  <c:y val="6.40153980752405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F40-4083-B182-2E9B85BA454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2.0650000000000002E-2</c:v>
                </c:pt>
                <c:pt idx="1">
                  <c:v>1.0088E-2</c:v>
                </c:pt>
                <c:pt idx="2">
                  <c:v>9.9063999999999999E-2</c:v>
                </c:pt>
                <c:pt idx="3">
                  <c:v>0.87019800000000003</c:v>
                </c:pt>
              </c:numCache>
            </c:numRef>
          </c:val>
          <c:extLst>
            <c:ext xmlns:c16="http://schemas.microsoft.com/office/drawing/2014/chart" uri="{C3380CC4-5D6E-409C-BE32-E72D297353CC}">
              <c16:uniqueId val="{0000000C-DF40-4083-B182-2E9B85BA454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BE-4972-96E8-67104E398A7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9FBE-4972-96E8-67104E398A7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2A-4FA2-9770-A68FA27848A3}"/>
                </c:ext>
              </c:extLst>
            </c:dLbl>
            <c:dLbl>
              <c:idx val="1"/>
              <c:layout>
                <c:manualLayout>
                  <c:x val="0.14429150719115141"/>
                  <c:y val="1.61886264216972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62A-4FA2-9770-A68FA27848A3}"/>
                </c:ext>
              </c:extLst>
            </c:dLbl>
            <c:dLbl>
              <c:idx val="2"/>
              <c:layout>
                <c:manualLayout>
                  <c:x val="-0.30134060597885648"/>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62A-4FA2-9770-A68FA27848A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-2.72E-4</c:v>
                </c:pt>
                <c:pt idx="1">
                  <c:v>1.1794000000000001E-2</c:v>
                </c:pt>
                <c:pt idx="2">
                  <c:v>0.98847799999999997</c:v>
                </c:pt>
              </c:numCache>
            </c:numRef>
          </c:val>
          <c:extLst>
            <c:ext xmlns:c16="http://schemas.microsoft.com/office/drawing/2014/chart" uri="{C3380CC4-5D6E-409C-BE32-E72D297353CC}">
              <c16:uniqueId val="{0000000C-962A-4FA2-9770-A68FA27848A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3068-4B55-BB1D-A2A22706932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068-4B55-BB1D-A2A22706932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3068-4B55-BB1D-A2A22706932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068-4B55-BB1D-A2A22706932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0.99157700000000004</c:v>
                </c:pt>
                <c:pt idx="1">
                  <c:v>-9.7380000000000001E-3</c:v>
                </c:pt>
                <c:pt idx="2">
                  <c:v>1.8161E-2</c:v>
                </c:pt>
              </c:numCache>
            </c:numRef>
          </c:val>
          <c:extLst>
            <c:ext xmlns:c16="http://schemas.microsoft.com/office/drawing/2014/chart" uri="{C3380CC4-5D6E-409C-BE32-E72D297353CC}">
              <c16:uniqueId val="{00000004-3068-4B55-BB1D-A2A22706932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6706867-9EDC-44B1-AACD-BB1313D43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395A5F3-A935-4647-8525-A0457958C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26DE027-8BCC-46C8-A8C6-3DFC205CA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BCC194B7-4945-40BE-9672-068C78590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471369D-09C9-4380-A1E4-595F71800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73469500-08CF-4EBE-BE65-CA0DAF9BD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558800</xdr:colOff>
      <xdr:row>7</xdr:row>
      <xdr:rowOff>50801</xdr:rowOff>
    </xdr:from>
    <xdr:to>
      <xdr:col>13</xdr:col>
      <xdr:colOff>495300</xdr:colOff>
      <xdr:row>22</xdr:row>
      <xdr:rowOff>50801</xdr:rowOff>
    </xdr:to>
    <xdr:graphicFrame macro="">
      <xdr:nvGraphicFramePr>
        <xdr:cNvPr id="2" name="Chart 1">
          <a:extLst>
            <a:ext uri="{FF2B5EF4-FFF2-40B4-BE49-F238E27FC236}">
              <a16:creationId xmlns:a16="http://schemas.microsoft.com/office/drawing/2014/main" id="{9C79B9AE-D788-4F20-950D-EE6CA9206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D0B73D21-911C-4D04-B319-268D7A9AB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0970950-6AD7-4CDB-93A9-F4879F739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345C615B-A0D8-4C04-92D6-6048DDBA0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CD54C26-0BFF-4089-8EAF-C1C3AB09A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3B41AC5-AD4B-4E51-8046-4CCC99F7C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D4405C0-FF80-4356-B57E-C2A4C9B28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D847B764-8D6B-4B73-A27B-1F8FFB652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D2B6C7A-6291-4486-B074-4AD41B5B4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F19063AD-A4FA-486B-AAC5-7AD2187CE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1FBB1E7-3426-4AB2-92E5-D7747FC32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BE84372-C3FF-46D2-A072-4C48729F4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332B6B0-45BF-44C0-A60B-890C82632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BDAA4B1E-AE6D-4DC3-8683-77A221B54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A64772A-40E3-4383-942F-86E2D044B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9409798-97C8-49A1-A732-C1A2C26A9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571500</xdr:colOff>
      <xdr:row>7</xdr:row>
      <xdr:rowOff>25401</xdr:rowOff>
    </xdr:from>
    <xdr:to>
      <xdr:col>13</xdr:col>
      <xdr:colOff>508000</xdr:colOff>
      <xdr:row>22</xdr:row>
      <xdr:rowOff>25401</xdr:rowOff>
    </xdr:to>
    <xdr:graphicFrame macro="">
      <xdr:nvGraphicFramePr>
        <xdr:cNvPr id="2" name="Chart 1">
          <a:extLst>
            <a:ext uri="{FF2B5EF4-FFF2-40B4-BE49-F238E27FC236}">
              <a16:creationId xmlns:a16="http://schemas.microsoft.com/office/drawing/2014/main" id="{DEA590DA-9052-41C9-975E-B65902B1E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A45E3B3-4A0F-4844-9DA6-2836C03BF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4B140E3-7CD0-45CE-8C1E-FB8FB3146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8C67FB3F-AC70-425D-890F-E8A088794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0606271-85E9-4B2A-A3FE-B2D6A2C65A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1E6279F-AB15-4786-AA33-7D4CA98DD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B446019-C3F0-425A-9918-A97556F96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9845743-152D-4DBD-B4A2-EB9DF92CC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6BD37AE-4C67-467E-A39E-5044AA06A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F7E0CC0-77BE-4FA7-B635-E119EE8A0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9EA94CA-3617-4DF1-95BB-F934F393E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0842C9A-82CD-48AD-BB09-AB44ECA13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B533B84-4CFD-491E-A353-C063D4799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E79E574-F542-4947-B1D3-4194AC420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2C2F1D2-AD7F-46AF-91E0-E38CCC554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B27D91F-4537-47FE-8EFB-EA387004B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A5BA76B-9EAE-4958-9B26-6717DD962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59E51A9-EAFE-46E2-8DEE-B18C45811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A475DC4-DD23-4366-8953-85D90F001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5638A3F-8EB5-4C28-A3E4-4AF97F23A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C20967E-DC23-4C77-927E-AFC0301A3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DE1D4DB-F6B5-438C-A766-F78B2E788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B2CBD15-3365-431F-90F9-BF52A3BF6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A243F4F-4809-4BC0-A86F-AC1E4B0C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8F5BDB22-B30C-4758-A385-43920469D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20E5C-C931-4458-8515-BE3D2FE029E4}">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170</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171</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8</v>
      </c>
      <c r="D8" s="6"/>
      <c r="E8" s="11">
        <v>0.557697</v>
      </c>
      <c r="F8" s="1"/>
      <c r="G8" s="24" t="s">
        <v>15</v>
      </c>
      <c r="H8" s="25">
        <v>1</v>
      </c>
      <c r="I8" s="1"/>
      <c r="J8" s="24" t="s">
        <v>12</v>
      </c>
      <c r="K8" s="24" t="s">
        <v>5</v>
      </c>
      <c r="L8" s="1"/>
      <c r="M8" s="1"/>
      <c r="N8" s="18"/>
    </row>
    <row r="9" spans="2:14" ht="15.75" customHeight="1" x14ac:dyDescent="0.25">
      <c r="B9" s="20"/>
      <c r="C9" s="7" t="s">
        <v>172</v>
      </c>
      <c r="D9" s="8"/>
      <c r="E9" s="12">
        <v>0.557697</v>
      </c>
      <c r="F9" s="1"/>
      <c r="G9" s="1"/>
      <c r="H9" s="1"/>
      <c r="I9" s="1"/>
      <c r="J9" s="24" t="s">
        <v>10</v>
      </c>
      <c r="K9" s="28">
        <v>1.477E-3</v>
      </c>
      <c r="L9" s="1"/>
      <c r="M9" s="1"/>
      <c r="N9" s="18"/>
    </row>
    <row r="10" spans="2:14" ht="15" customHeight="1" x14ac:dyDescent="0.25">
      <c r="B10" s="20"/>
      <c r="C10" s="5" t="s">
        <v>173</v>
      </c>
      <c r="D10" s="6" t="s">
        <v>181</v>
      </c>
      <c r="E10" s="11">
        <v>1.0404999999999999E-2</v>
      </c>
      <c r="F10" s="1"/>
      <c r="G10" s="1"/>
      <c r="H10" s="1"/>
      <c r="I10" s="1"/>
      <c r="J10" s="24" t="s">
        <v>13</v>
      </c>
      <c r="K10" s="28">
        <v>0.39926299999999998</v>
      </c>
      <c r="L10" s="1"/>
      <c r="M10" s="1"/>
      <c r="N10" s="18"/>
    </row>
    <row r="11" spans="2:14" ht="15" customHeight="1" x14ac:dyDescent="0.25">
      <c r="B11" s="20"/>
      <c r="C11" s="5" t="s">
        <v>174</v>
      </c>
      <c r="D11" s="6" t="s">
        <v>181</v>
      </c>
      <c r="E11" s="11">
        <v>1.0390999999999999E-2</v>
      </c>
      <c r="F11" s="1"/>
      <c r="G11" s="1"/>
      <c r="H11" s="1"/>
      <c r="I11" s="1"/>
      <c r="J11" s="24" t="s">
        <v>176</v>
      </c>
      <c r="K11" s="28">
        <v>0.557697</v>
      </c>
      <c r="L11" s="1"/>
      <c r="M11" s="1"/>
      <c r="N11" s="18"/>
    </row>
    <row r="12" spans="2:14" ht="15" customHeight="1" x14ac:dyDescent="0.25">
      <c r="B12" s="20"/>
      <c r="C12" s="5" t="s">
        <v>161</v>
      </c>
      <c r="D12" s="6" t="s">
        <v>181</v>
      </c>
      <c r="E12" s="11">
        <v>1.0390999999999999E-2</v>
      </c>
      <c r="F12" s="1"/>
      <c r="G12" s="1"/>
      <c r="H12" s="1"/>
      <c r="I12" s="1"/>
      <c r="J12" s="24" t="s">
        <v>93</v>
      </c>
      <c r="K12" s="28">
        <v>4.1563000000000003E-2</v>
      </c>
      <c r="L12" s="1"/>
      <c r="M12" s="1"/>
      <c r="N12" s="18"/>
    </row>
    <row r="13" spans="2:14" ht="15" customHeight="1" x14ac:dyDescent="0.25">
      <c r="B13" s="20"/>
      <c r="C13" s="5" t="s">
        <v>175</v>
      </c>
      <c r="D13" s="6" t="s">
        <v>181</v>
      </c>
      <c r="E13" s="11">
        <v>1.0376E-2</v>
      </c>
      <c r="F13" s="1"/>
      <c r="G13" s="1"/>
      <c r="H13" s="1"/>
      <c r="I13" s="1"/>
      <c r="J13" s="1"/>
      <c r="K13" s="1"/>
      <c r="L13" s="1"/>
      <c r="M13" s="1"/>
      <c r="N13" s="18"/>
    </row>
    <row r="14" spans="2:14" ht="15.75" customHeight="1" x14ac:dyDescent="0.25">
      <c r="B14" s="20"/>
      <c r="C14" s="7" t="s">
        <v>92</v>
      </c>
      <c r="D14" s="8"/>
      <c r="E14" s="12">
        <v>4.1563000000000003E-2</v>
      </c>
      <c r="F14" s="1"/>
      <c r="G14" s="1"/>
      <c r="H14" s="1"/>
      <c r="I14" s="1"/>
      <c r="J14" s="1"/>
      <c r="K14" s="1"/>
      <c r="L14" s="1"/>
      <c r="M14" s="1"/>
      <c r="N14" s="18"/>
    </row>
    <row r="15" spans="2:14" ht="15" customHeight="1" x14ac:dyDescent="0.25">
      <c r="B15" s="20"/>
      <c r="C15" s="5" t="s">
        <v>8</v>
      </c>
      <c r="D15" s="6"/>
      <c r="E15" s="11">
        <v>0.39926299999999998</v>
      </c>
      <c r="F15" s="1"/>
      <c r="G15" s="1"/>
      <c r="H15" s="1"/>
      <c r="I15" s="1"/>
      <c r="J15" s="1"/>
      <c r="K15" s="1"/>
      <c r="L15" s="1"/>
      <c r="M15" s="1"/>
      <c r="N15" s="18"/>
    </row>
    <row r="16" spans="2:14" ht="15.75" customHeight="1" x14ac:dyDescent="0.25">
      <c r="B16" s="20"/>
      <c r="C16" s="7" t="s">
        <v>9</v>
      </c>
      <c r="D16" s="8"/>
      <c r="E16" s="12">
        <v>0.39926299999999998</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10</v>
      </c>
      <c r="D18" s="8"/>
      <c r="E18" s="12">
        <v>1.477E-3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11</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315</v>
      </c>
      <c r="H24" s="84"/>
      <c r="I24" s="84"/>
      <c r="J24" s="84"/>
      <c r="K24" s="84"/>
      <c r="L24" s="64">
        <v>1.2997416853227117</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6" t="s">
        <v>289</v>
      </c>
      <c r="C45" s="67"/>
      <c r="D45" s="67"/>
      <c r="E45" s="67"/>
      <c r="F45" s="67"/>
      <c r="G45" s="67"/>
      <c r="H45" s="67"/>
      <c r="I45" s="67"/>
      <c r="J45" s="67"/>
      <c r="K45" s="67"/>
      <c r="L45" s="67"/>
      <c r="M45" s="67"/>
      <c r="N45" s="68"/>
    </row>
    <row r="46" spans="2:14" x14ac:dyDescent="0.25">
      <c r="B46" s="69"/>
      <c r="C46" s="70"/>
      <c r="D46" s="70"/>
      <c r="E46" s="70"/>
      <c r="F46" s="70"/>
      <c r="G46" s="70"/>
      <c r="H46" s="70"/>
      <c r="I46" s="70"/>
      <c r="J46" s="70"/>
      <c r="K46" s="70"/>
      <c r="L46" s="70"/>
      <c r="M46" s="70"/>
      <c r="N46" s="71"/>
    </row>
    <row r="47" spans="2:14" ht="15.75" thickBot="1" x14ac:dyDescent="0.3">
      <c r="B47" s="72"/>
      <c r="C47" s="73"/>
      <c r="D47" s="73"/>
      <c r="E47" s="73"/>
      <c r="F47" s="73"/>
      <c r="G47" s="73"/>
      <c r="H47" s="73"/>
      <c r="I47" s="73"/>
      <c r="J47" s="73"/>
      <c r="K47" s="73"/>
      <c r="L47" s="73"/>
      <c r="M47" s="73"/>
      <c r="N47" s="74"/>
    </row>
    <row r="48" spans="2:14" ht="15.75" thickBot="1" x14ac:dyDescent="0.3"/>
    <row r="49" spans="2:14" ht="126" customHeight="1" thickBot="1" x14ac:dyDescent="0.3">
      <c r="B49" s="75" t="s">
        <v>290</v>
      </c>
      <c r="C49" s="76"/>
      <c r="D49" s="76"/>
      <c r="E49" s="76"/>
      <c r="F49" s="76"/>
      <c r="G49" s="76"/>
      <c r="H49" s="76"/>
      <c r="I49" s="76"/>
      <c r="J49" s="76"/>
      <c r="K49" s="76"/>
      <c r="L49" s="76"/>
      <c r="M49" s="76"/>
      <c r="N49" s="77"/>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D1C0-63C2-423A-85B3-8A4ECE71FBDE}">
  <dimension ref="B1:N7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146</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147</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31</v>
      </c>
      <c r="D8" s="6" t="s">
        <v>22</v>
      </c>
      <c r="E8" s="11">
        <v>7.9948000000000005E-2</v>
      </c>
      <c r="F8" s="1"/>
      <c r="G8" s="24" t="s">
        <v>15</v>
      </c>
      <c r="H8" s="25">
        <v>1</v>
      </c>
      <c r="I8" s="1"/>
      <c r="J8" s="24" t="s">
        <v>12</v>
      </c>
      <c r="K8" s="24" t="s">
        <v>5</v>
      </c>
      <c r="L8" s="1"/>
      <c r="M8" s="1"/>
      <c r="N8" s="18"/>
    </row>
    <row r="9" spans="2:14" ht="15" customHeight="1" x14ac:dyDescent="0.25">
      <c r="B9" s="20"/>
      <c r="C9" s="5" t="s">
        <v>76</v>
      </c>
      <c r="D9" s="6" t="s">
        <v>22</v>
      </c>
      <c r="E9" s="11">
        <v>5.9884E-2</v>
      </c>
      <c r="F9" s="1"/>
      <c r="G9" s="1"/>
      <c r="H9" s="1"/>
      <c r="I9" s="1"/>
      <c r="J9" s="24" t="s">
        <v>10</v>
      </c>
      <c r="K9" s="28">
        <v>-7.8967999999999997E-2</v>
      </c>
      <c r="L9" s="1"/>
      <c r="M9" s="1"/>
      <c r="N9" s="18"/>
    </row>
    <row r="10" spans="2:14" ht="15" customHeight="1" x14ac:dyDescent="0.25">
      <c r="B10" s="20"/>
      <c r="C10" s="5" t="s">
        <v>24</v>
      </c>
      <c r="D10" s="6" t="s">
        <v>22</v>
      </c>
      <c r="E10" s="11">
        <v>5.7648999999999999E-2</v>
      </c>
      <c r="F10" s="1"/>
      <c r="G10" s="1"/>
      <c r="H10" s="1"/>
      <c r="I10" s="1"/>
      <c r="J10" s="24" t="s">
        <v>13</v>
      </c>
      <c r="K10" s="28">
        <v>1.8799999999999999E-4</v>
      </c>
      <c r="L10" s="1"/>
      <c r="M10" s="1"/>
      <c r="N10" s="18"/>
    </row>
    <row r="11" spans="2:14" ht="15" customHeight="1" x14ac:dyDescent="0.25">
      <c r="B11" s="20"/>
      <c r="C11" s="5" t="s">
        <v>148</v>
      </c>
      <c r="D11" s="6" t="s">
        <v>22</v>
      </c>
      <c r="E11" s="11">
        <v>3.5451000000000003E-2</v>
      </c>
      <c r="F11" s="1"/>
      <c r="G11" s="1"/>
      <c r="H11" s="1"/>
      <c r="I11" s="1"/>
      <c r="J11" s="24" t="s">
        <v>52</v>
      </c>
      <c r="K11" s="28">
        <v>0.41726099999999999</v>
      </c>
      <c r="L11" s="1"/>
      <c r="M11" s="1"/>
      <c r="N11" s="18"/>
    </row>
    <row r="12" spans="2:14" ht="15" customHeight="1" x14ac:dyDescent="0.25">
      <c r="B12" s="20"/>
      <c r="C12" s="5" t="s">
        <v>32</v>
      </c>
      <c r="D12" s="6" t="s">
        <v>22</v>
      </c>
      <c r="E12" s="11">
        <v>3.4978000000000002E-2</v>
      </c>
      <c r="F12" s="1"/>
      <c r="G12" s="1"/>
      <c r="H12" s="1"/>
      <c r="I12" s="1"/>
      <c r="J12" s="24" t="s">
        <v>53</v>
      </c>
      <c r="K12" s="28">
        <v>5.0879000000000001E-2</v>
      </c>
      <c r="L12" s="1"/>
      <c r="M12" s="1"/>
      <c r="N12" s="18"/>
    </row>
    <row r="13" spans="2:14" ht="15" customHeight="1" x14ac:dyDescent="0.25">
      <c r="B13" s="20"/>
      <c r="C13" s="5" t="s">
        <v>149</v>
      </c>
      <c r="D13" s="6" t="s">
        <v>22</v>
      </c>
      <c r="E13" s="11">
        <v>3.3295999999999999E-2</v>
      </c>
      <c r="F13" s="1"/>
      <c r="G13" s="1"/>
      <c r="H13" s="1"/>
      <c r="I13" s="1"/>
      <c r="J13" s="24" t="s">
        <v>54</v>
      </c>
      <c r="K13" s="28">
        <v>0.47090700000000002</v>
      </c>
      <c r="L13" s="1"/>
      <c r="M13" s="1"/>
      <c r="N13" s="18"/>
    </row>
    <row r="14" spans="2:14" ht="15" customHeight="1" x14ac:dyDescent="0.25">
      <c r="B14" s="20"/>
      <c r="C14" s="5" t="s">
        <v>33</v>
      </c>
      <c r="D14" s="6" t="s">
        <v>22</v>
      </c>
      <c r="E14" s="11">
        <v>3.209E-2</v>
      </c>
      <c r="F14" s="1"/>
      <c r="G14" s="1"/>
      <c r="H14" s="1"/>
      <c r="I14" s="1"/>
      <c r="J14" s="24" t="s">
        <v>47</v>
      </c>
      <c r="K14" s="28">
        <v>2.5240000000000002E-3</v>
      </c>
      <c r="L14" s="1"/>
      <c r="M14" s="1"/>
      <c r="N14" s="18"/>
    </row>
    <row r="15" spans="2:14" ht="15" customHeight="1" x14ac:dyDescent="0.25">
      <c r="B15" s="20"/>
      <c r="C15" s="5" t="s">
        <v>139</v>
      </c>
      <c r="D15" s="6" t="s">
        <v>22</v>
      </c>
      <c r="E15" s="11">
        <v>2.6585000000000001E-2</v>
      </c>
      <c r="F15" s="1"/>
      <c r="G15" s="1"/>
      <c r="H15" s="1"/>
      <c r="I15" s="1"/>
      <c r="J15" s="24" t="s">
        <v>56</v>
      </c>
      <c r="K15" s="28">
        <v>4.4739999999999997E-3</v>
      </c>
      <c r="L15" s="1"/>
      <c r="M15" s="1"/>
      <c r="N15" s="18"/>
    </row>
    <row r="16" spans="2:14" ht="15" customHeight="1" x14ac:dyDescent="0.25">
      <c r="B16" s="20"/>
      <c r="C16" s="5" t="s">
        <v>26</v>
      </c>
      <c r="D16" s="6" t="s">
        <v>22</v>
      </c>
      <c r="E16" s="11">
        <v>2.4514000000000001E-2</v>
      </c>
      <c r="F16" s="1"/>
      <c r="G16" s="1"/>
      <c r="H16" s="1"/>
      <c r="I16" s="1"/>
      <c r="J16" s="24" t="s">
        <v>93</v>
      </c>
      <c r="K16" s="28">
        <v>0.13273499999999999</v>
      </c>
      <c r="L16" s="1"/>
      <c r="M16" s="1"/>
      <c r="N16" s="18"/>
    </row>
    <row r="17" spans="2:14" ht="15" customHeight="1" x14ac:dyDescent="0.25">
      <c r="B17" s="20"/>
      <c r="C17" s="5" t="s">
        <v>150</v>
      </c>
      <c r="D17" s="6" t="s">
        <v>22</v>
      </c>
      <c r="E17" s="11">
        <v>2.4421000000000002E-2</v>
      </c>
      <c r="F17" s="1"/>
      <c r="G17" s="1"/>
      <c r="H17" s="1"/>
      <c r="I17" s="1"/>
      <c r="J17" s="1"/>
      <c r="K17" s="1"/>
      <c r="L17" s="1"/>
      <c r="M17" s="1"/>
      <c r="N17" s="18"/>
    </row>
    <row r="18" spans="2:14" ht="15" customHeight="1" x14ac:dyDescent="0.25">
      <c r="B18" s="20"/>
      <c r="C18" s="5" t="s">
        <v>25</v>
      </c>
      <c r="D18" s="6" t="s">
        <v>22</v>
      </c>
      <c r="E18" s="11">
        <v>8.4449999999999994E-3</v>
      </c>
      <c r="F18" s="1"/>
      <c r="G18" s="1"/>
      <c r="H18" s="1"/>
      <c r="I18" s="1"/>
      <c r="J18" s="1"/>
      <c r="K18" s="1"/>
      <c r="L18" s="1"/>
      <c r="M18" s="1"/>
      <c r="N18" s="18"/>
    </row>
    <row r="19" spans="2:14" ht="15.75" customHeight="1" x14ac:dyDescent="0.25">
      <c r="B19" s="20"/>
      <c r="C19" s="7" t="s">
        <v>27</v>
      </c>
      <c r="D19" s="8"/>
      <c r="E19" s="12">
        <v>0.41726099999999999</v>
      </c>
      <c r="F19" s="1"/>
      <c r="G19" s="1"/>
      <c r="H19" s="1"/>
      <c r="I19" s="1"/>
      <c r="J19" s="1"/>
      <c r="K19" s="1"/>
      <c r="L19" s="1"/>
      <c r="M19" s="1"/>
      <c r="N19" s="18"/>
    </row>
    <row r="20" spans="2:14" ht="15" customHeight="1" x14ac:dyDescent="0.25">
      <c r="B20" s="20"/>
      <c r="C20" s="5" t="s">
        <v>77</v>
      </c>
      <c r="D20" s="6" t="s">
        <v>22</v>
      </c>
      <c r="E20" s="11">
        <v>0.122395</v>
      </c>
      <c r="F20" s="1"/>
      <c r="G20" s="1"/>
      <c r="H20" s="1"/>
      <c r="I20" s="1"/>
      <c r="J20" s="1"/>
      <c r="K20" s="1"/>
      <c r="L20" s="1"/>
      <c r="M20" s="1"/>
      <c r="N20" s="18"/>
    </row>
    <row r="21" spans="2:14" ht="15" customHeight="1" x14ac:dyDescent="0.25">
      <c r="B21" s="20"/>
      <c r="C21" s="5" t="s">
        <v>151</v>
      </c>
      <c r="D21" s="6" t="s">
        <v>22</v>
      </c>
      <c r="E21" s="11">
        <v>8.0086000000000004E-2</v>
      </c>
      <c r="F21" s="1"/>
      <c r="G21" s="1"/>
      <c r="H21" s="1"/>
      <c r="I21" s="1"/>
      <c r="J21" s="1"/>
      <c r="K21" s="1"/>
      <c r="L21" s="1"/>
      <c r="M21" s="1"/>
      <c r="N21" s="18"/>
    </row>
    <row r="22" spans="2:14" ht="15" customHeight="1" x14ac:dyDescent="0.25">
      <c r="B22" s="20"/>
      <c r="C22" s="5" t="s">
        <v>32</v>
      </c>
      <c r="D22" s="6" t="s">
        <v>22</v>
      </c>
      <c r="E22" s="11">
        <v>6.4463000000000006E-2</v>
      </c>
      <c r="F22" s="1"/>
      <c r="G22" s="1"/>
      <c r="H22" s="1"/>
      <c r="I22" s="1"/>
      <c r="J22" s="1"/>
      <c r="K22" s="1"/>
      <c r="L22" s="1"/>
      <c r="M22" s="1"/>
      <c r="N22" s="18"/>
    </row>
    <row r="23" spans="2:14" ht="15" customHeight="1" x14ac:dyDescent="0.25">
      <c r="B23" s="20"/>
      <c r="C23" s="5" t="s">
        <v>152</v>
      </c>
      <c r="D23" s="6" t="s">
        <v>22</v>
      </c>
      <c r="E23" s="11">
        <v>3.9899999999999998E-2</v>
      </c>
      <c r="F23" s="1"/>
      <c r="G23" s="1"/>
      <c r="H23" s="1"/>
      <c r="I23" s="1"/>
      <c r="J23" s="1"/>
      <c r="K23" s="1"/>
      <c r="L23" s="1"/>
      <c r="M23" s="1"/>
      <c r="N23" s="18"/>
    </row>
    <row r="24" spans="2:14" ht="15" customHeight="1" x14ac:dyDescent="0.25">
      <c r="B24" s="20"/>
      <c r="C24" s="5" t="s">
        <v>153</v>
      </c>
      <c r="D24" s="6" t="s">
        <v>22</v>
      </c>
      <c r="E24" s="11">
        <v>3.9719999999999998E-2</v>
      </c>
      <c r="F24" s="1"/>
      <c r="G24" s="83" t="s">
        <v>131</v>
      </c>
      <c r="H24" s="84"/>
      <c r="I24" s="84"/>
      <c r="J24" s="84"/>
      <c r="K24" s="84"/>
      <c r="L24" s="64">
        <v>37.480005975303605</v>
      </c>
      <c r="M24" s="26"/>
      <c r="N24" s="27"/>
    </row>
    <row r="25" spans="2:14" ht="15" customHeight="1" x14ac:dyDescent="0.25">
      <c r="B25" s="20"/>
      <c r="C25" s="5" t="s">
        <v>84</v>
      </c>
      <c r="D25" s="6" t="s">
        <v>22</v>
      </c>
      <c r="E25" s="11">
        <v>2.2190000000000001E-2</v>
      </c>
      <c r="F25" s="1"/>
      <c r="G25" s="1"/>
      <c r="H25" s="1"/>
      <c r="I25" s="1"/>
      <c r="J25" s="1"/>
      <c r="K25" s="1"/>
      <c r="L25" s="1"/>
      <c r="M25" s="1"/>
      <c r="N25" s="18"/>
    </row>
    <row r="26" spans="2:14" ht="15" customHeight="1" x14ac:dyDescent="0.25">
      <c r="B26" s="20"/>
      <c r="C26" s="5" t="s">
        <v>154</v>
      </c>
      <c r="D26" s="6" t="s">
        <v>22</v>
      </c>
      <c r="E26" s="11">
        <v>2.2133E-2</v>
      </c>
      <c r="F26" s="1"/>
      <c r="G26" s="83" t="s">
        <v>18</v>
      </c>
      <c r="H26" s="84"/>
      <c r="I26" s="84"/>
      <c r="J26" s="84"/>
      <c r="K26" s="84"/>
      <c r="L26" s="84"/>
      <c r="M26" s="84"/>
      <c r="N26" s="85"/>
    </row>
    <row r="27" spans="2:14" ht="15" customHeight="1" x14ac:dyDescent="0.25">
      <c r="B27" s="20"/>
      <c r="C27" s="5" t="s">
        <v>33</v>
      </c>
      <c r="D27" s="6" t="s">
        <v>22</v>
      </c>
      <c r="E27" s="11">
        <v>1.9991999999999999E-2</v>
      </c>
      <c r="F27" s="1"/>
      <c r="G27" s="1"/>
      <c r="H27" s="1"/>
      <c r="I27" s="1"/>
      <c r="J27" s="1"/>
      <c r="K27" s="1"/>
      <c r="L27" s="1"/>
      <c r="M27" s="1"/>
      <c r="N27" s="18"/>
    </row>
    <row r="28" spans="2:14" ht="15" customHeight="1" x14ac:dyDescent="0.25">
      <c r="B28" s="20"/>
      <c r="C28" s="5" t="s">
        <v>155</v>
      </c>
      <c r="D28" s="6" t="s">
        <v>22</v>
      </c>
      <c r="E28" s="11">
        <v>1.7784000000000001E-2</v>
      </c>
      <c r="F28" s="1"/>
      <c r="G28" s="1"/>
      <c r="H28" s="1"/>
      <c r="I28" s="1"/>
      <c r="J28" s="1"/>
      <c r="K28" s="1"/>
      <c r="L28" s="1"/>
      <c r="M28" s="1"/>
      <c r="N28" s="18"/>
    </row>
    <row r="29" spans="2:14" ht="15" customHeight="1" x14ac:dyDescent="0.25">
      <c r="B29" s="20"/>
      <c r="C29" s="5" t="s">
        <v>156</v>
      </c>
      <c r="D29" s="6" t="s">
        <v>22</v>
      </c>
      <c r="E29" s="11">
        <v>1.5606E-2</v>
      </c>
      <c r="F29" s="1"/>
      <c r="G29" s="1"/>
      <c r="H29" s="1"/>
      <c r="I29" s="1"/>
      <c r="J29" s="1"/>
      <c r="K29" s="1"/>
      <c r="L29" s="1"/>
      <c r="M29" s="1"/>
      <c r="N29" s="18"/>
    </row>
    <row r="30" spans="2:14" ht="15" customHeight="1" x14ac:dyDescent="0.25">
      <c r="B30" s="20"/>
      <c r="C30" s="5" t="s">
        <v>157</v>
      </c>
      <c r="D30" s="6" t="s">
        <v>22</v>
      </c>
      <c r="E30" s="11">
        <v>1.5575E-2</v>
      </c>
      <c r="F30" s="1"/>
      <c r="G30" s="1"/>
      <c r="H30" s="1"/>
      <c r="I30" s="1"/>
      <c r="J30" s="1"/>
      <c r="K30" s="1"/>
      <c r="L30" s="1"/>
      <c r="M30" s="1"/>
      <c r="N30" s="18"/>
    </row>
    <row r="31" spans="2:14" ht="15" customHeight="1" x14ac:dyDescent="0.25">
      <c r="B31" s="20"/>
      <c r="C31" s="5" t="s">
        <v>31</v>
      </c>
      <c r="D31" s="6" t="s">
        <v>22</v>
      </c>
      <c r="E31" s="11">
        <v>8.8450000000000004E-3</v>
      </c>
      <c r="F31" s="1"/>
      <c r="G31" s="1"/>
      <c r="H31" s="1"/>
      <c r="I31" s="1"/>
      <c r="J31" s="1"/>
      <c r="K31" s="1"/>
      <c r="L31" s="1"/>
      <c r="M31" s="1"/>
      <c r="N31" s="18"/>
    </row>
    <row r="32" spans="2:14" ht="15" customHeight="1" x14ac:dyDescent="0.25">
      <c r="B32" s="20"/>
      <c r="C32" s="5" t="s">
        <v>158</v>
      </c>
      <c r="D32" s="6" t="s">
        <v>22</v>
      </c>
      <c r="E32" s="11">
        <v>2.2179999999999999E-3</v>
      </c>
      <c r="F32" s="1"/>
      <c r="G32" s="1"/>
      <c r="H32" s="1"/>
      <c r="I32" s="1"/>
      <c r="J32" s="1"/>
      <c r="K32" s="1"/>
      <c r="L32" s="1"/>
      <c r="M32" s="1"/>
      <c r="N32" s="18"/>
    </row>
    <row r="33" spans="2:14" ht="15.75" customHeight="1" x14ac:dyDescent="0.25">
      <c r="B33" s="20"/>
      <c r="C33" s="7" t="s">
        <v>28</v>
      </c>
      <c r="D33" s="8"/>
      <c r="E33" s="12">
        <v>0.47090700000000002</v>
      </c>
      <c r="F33" s="1"/>
      <c r="G33" s="1"/>
      <c r="H33" s="1"/>
      <c r="I33" s="1"/>
      <c r="J33" s="1"/>
      <c r="K33" s="1"/>
      <c r="L33" s="1"/>
      <c r="M33" s="1"/>
      <c r="N33" s="18"/>
    </row>
    <row r="34" spans="2:14" ht="15" customHeight="1" x14ac:dyDescent="0.25">
      <c r="B34" s="20"/>
      <c r="C34" s="5" t="s">
        <v>32</v>
      </c>
      <c r="D34" s="6" t="s">
        <v>30</v>
      </c>
      <c r="E34" s="11">
        <v>2.2318999999999999E-2</v>
      </c>
      <c r="F34" s="1"/>
      <c r="G34" s="1"/>
      <c r="H34" s="1"/>
      <c r="I34" s="1"/>
      <c r="J34" s="1"/>
      <c r="K34" s="1"/>
      <c r="L34" s="1"/>
      <c r="M34" s="1"/>
      <c r="N34" s="18"/>
    </row>
    <row r="35" spans="2:14" ht="15" customHeight="1" x14ac:dyDescent="0.25">
      <c r="B35" s="20"/>
      <c r="C35" s="5" t="s">
        <v>79</v>
      </c>
      <c r="D35" s="6" t="s">
        <v>30</v>
      </c>
      <c r="E35" s="11">
        <v>1.2043999999999999E-2</v>
      </c>
      <c r="F35" s="1"/>
      <c r="G35" s="1"/>
      <c r="H35" s="1"/>
      <c r="I35" s="1"/>
      <c r="J35" s="1"/>
      <c r="K35" s="1"/>
      <c r="L35" s="1"/>
      <c r="M35" s="1"/>
      <c r="N35" s="18"/>
    </row>
    <row r="36" spans="2:14" ht="15" customHeight="1" x14ac:dyDescent="0.25">
      <c r="B36" s="20"/>
      <c r="C36" s="5" t="s">
        <v>35</v>
      </c>
      <c r="D36" s="6" t="s">
        <v>30</v>
      </c>
      <c r="E36" s="11">
        <v>8.0239999999999999E-3</v>
      </c>
      <c r="F36" s="1"/>
      <c r="G36" s="1"/>
      <c r="H36" s="1"/>
      <c r="I36" s="1"/>
      <c r="J36" s="1"/>
      <c r="K36" s="1"/>
      <c r="L36" s="1"/>
      <c r="M36" s="1"/>
      <c r="N36" s="18"/>
    </row>
    <row r="37" spans="2:14" ht="15" customHeight="1" x14ac:dyDescent="0.25">
      <c r="B37" s="20"/>
      <c r="C37" s="5" t="s">
        <v>29</v>
      </c>
      <c r="D37" s="6" t="s">
        <v>30</v>
      </c>
      <c r="E37" s="11">
        <v>6.2599999999999999E-3</v>
      </c>
      <c r="F37" s="1"/>
      <c r="G37" s="1"/>
      <c r="H37" s="1"/>
      <c r="I37" s="1"/>
      <c r="J37" s="1"/>
      <c r="K37" s="1"/>
      <c r="L37" s="1"/>
      <c r="M37" s="1"/>
      <c r="N37" s="18"/>
    </row>
    <row r="38" spans="2:14" ht="15" customHeight="1" x14ac:dyDescent="0.25">
      <c r="B38" s="20"/>
      <c r="C38" s="5" t="s">
        <v>155</v>
      </c>
      <c r="D38" s="6" t="s">
        <v>30</v>
      </c>
      <c r="E38" s="11">
        <v>2.232E-3</v>
      </c>
      <c r="F38" s="1"/>
      <c r="G38" s="1"/>
      <c r="H38" s="1"/>
      <c r="I38" s="1"/>
      <c r="J38" s="1"/>
      <c r="K38" s="1"/>
      <c r="L38" s="1"/>
      <c r="M38" s="1"/>
      <c r="N38" s="18"/>
    </row>
    <row r="39" spans="2:14" ht="15.75" customHeight="1" x14ac:dyDescent="0.25">
      <c r="B39" s="20"/>
      <c r="C39" s="7" t="s">
        <v>46</v>
      </c>
      <c r="D39" s="8"/>
      <c r="E39" s="12">
        <v>5.0879000000000001E-2</v>
      </c>
      <c r="F39" s="1"/>
      <c r="G39" s="1"/>
      <c r="H39" s="1"/>
      <c r="I39" s="1"/>
      <c r="J39" s="1"/>
      <c r="K39" s="1"/>
      <c r="L39" s="1"/>
      <c r="M39" s="1"/>
      <c r="N39" s="18"/>
    </row>
    <row r="40" spans="2:14" ht="15" customHeight="1" x14ac:dyDescent="0.25">
      <c r="B40" s="20"/>
      <c r="C40" s="5" t="s">
        <v>47</v>
      </c>
      <c r="D40" s="6"/>
      <c r="E40" s="11">
        <v>2.5240000000000002E-3</v>
      </c>
      <c r="F40" s="1"/>
      <c r="G40" s="1"/>
      <c r="H40" s="1"/>
      <c r="I40" s="1"/>
      <c r="J40" s="1"/>
      <c r="K40" s="1"/>
      <c r="L40" s="1"/>
      <c r="M40" s="1"/>
      <c r="N40" s="18"/>
    </row>
    <row r="41" spans="2:14" ht="15.75" customHeight="1" x14ac:dyDescent="0.25">
      <c r="B41" s="20"/>
      <c r="C41" s="7" t="s">
        <v>48</v>
      </c>
      <c r="D41" s="8"/>
      <c r="E41" s="12">
        <v>2.5240000000000002E-3</v>
      </c>
      <c r="F41" s="1"/>
      <c r="G41" s="1"/>
      <c r="H41" s="1"/>
      <c r="I41" s="1"/>
      <c r="J41" s="1"/>
      <c r="K41" s="1"/>
      <c r="L41" s="1"/>
      <c r="M41" s="1"/>
      <c r="N41" s="18"/>
    </row>
    <row r="42" spans="2:14" ht="15" customHeight="1" x14ac:dyDescent="0.25">
      <c r="B42" s="20"/>
      <c r="C42" s="5" t="s">
        <v>182</v>
      </c>
      <c r="D42" s="6" t="s">
        <v>181</v>
      </c>
      <c r="E42" s="11">
        <v>4.4739999999999997E-3</v>
      </c>
      <c r="F42" s="1"/>
      <c r="G42" s="1"/>
      <c r="H42" s="1"/>
      <c r="I42" s="1"/>
      <c r="J42" s="1"/>
      <c r="K42" s="1"/>
      <c r="L42" s="1"/>
      <c r="M42" s="1"/>
      <c r="N42" s="18"/>
    </row>
    <row r="43" spans="2:14" ht="15.75" customHeight="1" x14ac:dyDescent="0.25">
      <c r="B43" s="20"/>
      <c r="C43" s="7" t="s">
        <v>51</v>
      </c>
      <c r="D43" s="8"/>
      <c r="E43" s="12">
        <v>4.4739999999999997E-3</v>
      </c>
      <c r="F43" s="1"/>
      <c r="G43" s="1"/>
      <c r="H43" s="1"/>
      <c r="I43" s="1"/>
      <c r="J43" s="1"/>
      <c r="K43" s="1"/>
      <c r="L43" s="1"/>
      <c r="M43" s="1"/>
      <c r="N43" s="18"/>
    </row>
    <row r="44" spans="2:14" ht="15" customHeight="1" x14ac:dyDescent="0.25">
      <c r="B44" s="20"/>
      <c r="C44" s="5" t="s">
        <v>159</v>
      </c>
      <c r="D44" s="6" t="s">
        <v>181</v>
      </c>
      <c r="E44" s="11">
        <v>9.2684000000000002E-2</v>
      </c>
      <c r="F44" s="1"/>
      <c r="G44" s="1"/>
      <c r="H44" s="1"/>
      <c r="I44" s="1"/>
      <c r="J44" s="1"/>
      <c r="K44" s="1"/>
      <c r="L44" s="1"/>
      <c r="M44" s="1"/>
      <c r="N44" s="18"/>
    </row>
    <row r="45" spans="2:14" ht="15" customHeight="1" x14ac:dyDescent="0.25">
      <c r="B45" s="20"/>
      <c r="C45" s="5" t="s">
        <v>160</v>
      </c>
      <c r="D45" s="6" t="s">
        <v>181</v>
      </c>
      <c r="E45" s="11">
        <v>2.2202E-2</v>
      </c>
      <c r="F45" s="1"/>
      <c r="G45" s="1"/>
      <c r="H45" s="1"/>
      <c r="I45" s="1"/>
      <c r="J45" s="1"/>
      <c r="K45" s="1"/>
      <c r="L45" s="1"/>
      <c r="M45" s="1"/>
      <c r="N45" s="18"/>
    </row>
    <row r="46" spans="2:14" ht="15" customHeight="1" x14ac:dyDescent="0.25">
      <c r="B46" s="20"/>
      <c r="C46" s="5" t="s">
        <v>161</v>
      </c>
      <c r="D46" s="6" t="s">
        <v>181</v>
      </c>
      <c r="E46" s="11">
        <v>1.3391E-2</v>
      </c>
      <c r="F46" s="1"/>
      <c r="G46" s="1"/>
      <c r="H46" s="1"/>
      <c r="I46" s="1"/>
      <c r="J46" s="1"/>
      <c r="K46" s="1"/>
      <c r="L46" s="1"/>
      <c r="M46" s="1"/>
      <c r="N46" s="18"/>
    </row>
    <row r="47" spans="2:14" ht="15" customHeight="1" x14ac:dyDescent="0.25">
      <c r="B47" s="20"/>
      <c r="C47" s="5" t="s">
        <v>162</v>
      </c>
      <c r="D47" s="6" t="s">
        <v>181</v>
      </c>
      <c r="E47" s="11">
        <v>4.4580000000000002E-3</v>
      </c>
      <c r="F47" s="1"/>
      <c r="G47" s="1"/>
      <c r="H47" s="1"/>
      <c r="I47" s="1"/>
      <c r="J47" s="1"/>
      <c r="K47" s="1"/>
      <c r="L47" s="1"/>
      <c r="M47" s="1"/>
      <c r="N47" s="18"/>
    </row>
    <row r="48" spans="2:14" ht="15.75" customHeight="1" x14ac:dyDescent="0.25">
      <c r="B48" s="20"/>
      <c r="C48" s="7" t="s">
        <v>92</v>
      </c>
      <c r="D48" s="8"/>
      <c r="E48" s="12">
        <v>0.13273499999999999</v>
      </c>
      <c r="F48" s="1"/>
      <c r="G48" s="1"/>
      <c r="H48" s="1"/>
      <c r="I48" s="1"/>
      <c r="J48" s="1"/>
      <c r="K48" s="1"/>
      <c r="L48" s="1"/>
      <c r="M48" s="1"/>
      <c r="N48" s="18"/>
    </row>
    <row r="49" spans="2:14" ht="15" customHeight="1" x14ac:dyDescent="0.25">
      <c r="B49" s="20"/>
      <c r="C49" s="5" t="s">
        <v>8</v>
      </c>
      <c r="D49" s="6"/>
      <c r="E49" s="11">
        <v>1.8799999999999999E-4</v>
      </c>
      <c r="F49" s="1"/>
      <c r="G49" s="1"/>
      <c r="H49" s="1"/>
      <c r="I49" s="1"/>
      <c r="J49" s="1"/>
      <c r="K49" s="1"/>
      <c r="L49" s="1"/>
      <c r="M49" s="1"/>
      <c r="N49" s="18"/>
    </row>
    <row r="50" spans="2:14" ht="15.75" customHeight="1" x14ac:dyDescent="0.25">
      <c r="B50" s="20"/>
      <c r="C50" s="7" t="s">
        <v>9</v>
      </c>
      <c r="D50" s="8"/>
      <c r="E50" s="12">
        <v>1.8799999999999999E-4</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75" customHeight="1" x14ac:dyDescent="0.25">
      <c r="B52" s="20"/>
      <c r="C52" s="7" t="s">
        <v>10</v>
      </c>
      <c r="D52" s="8"/>
      <c r="E52" s="12">
        <v>-7.8967999999999997E-2</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 customHeight="1" x14ac:dyDescent="0.25">
      <c r="B54" s="20"/>
      <c r="C54" s="9" t="s">
        <v>11</v>
      </c>
      <c r="D54" s="10"/>
      <c r="E54" s="13">
        <v>1</v>
      </c>
      <c r="F54" s="1"/>
      <c r="G54" s="1"/>
      <c r="H54" s="1"/>
      <c r="I54" s="1"/>
      <c r="J54" s="1"/>
      <c r="K54" s="1"/>
      <c r="L54" s="1"/>
      <c r="M54" s="1"/>
      <c r="N54" s="18"/>
    </row>
    <row r="55" spans="2:14" ht="15" customHeight="1" x14ac:dyDescent="0.25">
      <c r="B55" s="20"/>
      <c r="C55" s="1"/>
      <c r="D55" s="1"/>
      <c r="E55" s="1"/>
      <c r="F55" s="1"/>
      <c r="G55" s="1"/>
      <c r="H55" s="1"/>
      <c r="I55" s="1"/>
      <c r="J55" s="1"/>
      <c r="K55" s="1"/>
      <c r="L55" s="1"/>
      <c r="M55" s="1"/>
      <c r="N55" s="18"/>
    </row>
    <row r="56" spans="2:14" ht="15" customHeight="1" thickBot="1" x14ac:dyDescent="0.3">
      <c r="B56" s="21"/>
      <c r="C56" s="22"/>
      <c r="D56" s="22"/>
      <c r="E56" s="22"/>
      <c r="F56" s="22"/>
      <c r="G56" s="22"/>
      <c r="H56" s="22"/>
      <c r="I56" s="22"/>
      <c r="J56" s="22"/>
      <c r="K56" s="22"/>
      <c r="L56" s="22"/>
      <c r="M56" s="22"/>
      <c r="N56" s="23"/>
    </row>
    <row r="57" spans="2:14" ht="15" customHeight="1" thickBot="1" x14ac:dyDescent="0.3"/>
    <row r="58" spans="2:14" ht="15" customHeight="1" x14ac:dyDescent="0.25">
      <c r="B58" s="66" t="s">
        <v>291</v>
      </c>
      <c r="C58" s="67"/>
      <c r="D58" s="67"/>
      <c r="E58" s="67"/>
      <c r="F58" s="67"/>
      <c r="G58" s="67"/>
      <c r="H58" s="67"/>
      <c r="I58" s="67"/>
      <c r="J58" s="67"/>
      <c r="K58" s="67"/>
      <c r="L58" s="67"/>
      <c r="M58" s="67"/>
      <c r="N58" s="68"/>
    </row>
    <row r="59" spans="2:14" ht="15" customHeight="1" x14ac:dyDescent="0.25">
      <c r="B59" s="69"/>
      <c r="C59" s="70"/>
      <c r="D59" s="70"/>
      <c r="E59" s="70"/>
      <c r="F59" s="70"/>
      <c r="G59" s="70"/>
      <c r="H59" s="70"/>
      <c r="I59" s="70"/>
      <c r="J59" s="70"/>
      <c r="K59" s="70"/>
      <c r="L59" s="70"/>
      <c r="M59" s="70"/>
      <c r="N59" s="71"/>
    </row>
    <row r="60" spans="2:14" ht="15" customHeight="1" x14ac:dyDescent="0.25">
      <c r="B60" s="69"/>
      <c r="C60" s="70"/>
      <c r="D60" s="70"/>
      <c r="E60" s="70"/>
      <c r="F60" s="70"/>
      <c r="G60" s="70"/>
      <c r="H60" s="70"/>
      <c r="I60" s="70"/>
      <c r="J60" s="70"/>
      <c r="K60" s="70"/>
      <c r="L60" s="70"/>
      <c r="M60" s="70"/>
      <c r="N60" s="71"/>
    </row>
    <row r="61" spans="2:14" ht="15" customHeight="1" thickBot="1" x14ac:dyDescent="0.3">
      <c r="B61" s="72"/>
      <c r="C61" s="73"/>
      <c r="D61" s="73"/>
      <c r="E61" s="73"/>
      <c r="F61" s="73"/>
      <c r="G61" s="73"/>
      <c r="H61" s="73"/>
      <c r="I61" s="73"/>
      <c r="J61" s="73"/>
      <c r="K61" s="73"/>
      <c r="L61" s="73"/>
      <c r="M61" s="73"/>
      <c r="N61" s="74"/>
    </row>
    <row r="62" spans="2:14" ht="15" customHeight="1" thickBot="1" x14ac:dyDescent="0.3"/>
    <row r="63" spans="2:14" ht="126" customHeight="1" thickBot="1" x14ac:dyDescent="0.3">
      <c r="B63" s="75" t="s">
        <v>290</v>
      </c>
      <c r="C63" s="76"/>
      <c r="D63" s="76"/>
      <c r="E63" s="76"/>
      <c r="F63" s="76"/>
      <c r="G63" s="76"/>
      <c r="H63" s="76"/>
      <c r="I63" s="76"/>
      <c r="J63" s="76"/>
      <c r="K63" s="76"/>
      <c r="L63" s="76"/>
      <c r="M63" s="76"/>
      <c r="N63" s="77"/>
    </row>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sheetData>
  <mergeCells count="7">
    <mergeCell ref="B58:N61"/>
    <mergeCell ref="B63:N63"/>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CD7B-79E8-4A93-B8A9-502A3C9FC17C}">
  <dimension ref="B1:N6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163</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164</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24</v>
      </c>
      <c r="D8" s="6" t="s">
        <v>22</v>
      </c>
      <c r="E8" s="11">
        <v>0.108585</v>
      </c>
      <c r="F8" s="1"/>
      <c r="G8" s="24" t="s">
        <v>15</v>
      </c>
      <c r="H8" s="25">
        <v>1</v>
      </c>
      <c r="I8" s="1"/>
      <c r="J8" s="24" t="s">
        <v>12</v>
      </c>
      <c r="K8" s="24" t="s">
        <v>5</v>
      </c>
      <c r="L8" s="1"/>
      <c r="M8" s="1"/>
      <c r="N8" s="18"/>
    </row>
    <row r="9" spans="2:14" ht="15" customHeight="1" x14ac:dyDescent="0.25">
      <c r="B9" s="20"/>
      <c r="C9" s="5" t="s">
        <v>25</v>
      </c>
      <c r="D9" s="6" t="s">
        <v>22</v>
      </c>
      <c r="E9" s="11">
        <v>4.9598999999999997E-2</v>
      </c>
      <c r="F9" s="1"/>
      <c r="G9" s="1"/>
      <c r="H9" s="1"/>
      <c r="I9" s="1"/>
      <c r="J9" s="24" t="s">
        <v>10</v>
      </c>
      <c r="K9" s="28">
        <v>3.1053999999999998E-2</v>
      </c>
      <c r="L9" s="1"/>
      <c r="M9" s="1"/>
      <c r="N9" s="18"/>
    </row>
    <row r="10" spans="2:14" ht="15" customHeight="1" x14ac:dyDescent="0.25">
      <c r="B10" s="20"/>
      <c r="C10" s="5" t="s">
        <v>31</v>
      </c>
      <c r="D10" s="6" t="s">
        <v>22</v>
      </c>
      <c r="E10" s="11">
        <v>3.1722E-2</v>
      </c>
      <c r="F10" s="1"/>
      <c r="G10" s="1"/>
      <c r="H10" s="1"/>
      <c r="I10" s="1"/>
      <c r="J10" s="24" t="s">
        <v>13</v>
      </c>
      <c r="K10" s="28">
        <v>4.0847000000000001E-2</v>
      </c>
      <c r="L10" s="1"/>
      <c r="M10" s="1"/>
      <c r="N10" s="18"/>
    </row>
    <row r="11" spans="2:14" ht="15" customHeight="1" x14ac:dyDescent="0.25">
      <c r="B11" s="20"/>
      <c r="C11" s="5" t="s">
        <v>33</v>
      </c>
      <c r="D11" s="6" t="s">
        <v>22</v>
      </c>
      <c r="E11" s="11">
        <v>1.7239999999999998E-2</v>
      </c>
      <c r="F11" s="1"/>
      <c r="G11" s="1"/>
      <c r="H11" s="1"/>
      <c r="I11" s="1"/>
      <c r="J11" s="24" t="s">
        <v>52</v>
      </c>
      <c r="K11" s="28">
        <v>0.207146</v>
      </c>
      <c r="L11" s="1"/>
      <c r="M11" s="1"/>
      <c r="N11" s="18"/>
    </row>
    <row r="12" spans="2:14" ht="15.75" customHeight="1" x14ac:dyDescent="0.25">
      <c r="B12" s="20"/>
      <c r="C12" s="7" t="s">
        <v>27</v>
      </c>
      <c r="D12" s="8"/>
      <c r="E12" s="12">
        <v>0.207146</v>
      </c>
      <c r="F12" s="1"/>
      <c r="G12" s="1"/>
      <c r="H12" s="1"/>
      <c r="I12" s="1"/>
      <c r="J12" s="24" t="s">
        <v>53</v>
      </c>
      <c r="K12" s="28">
        <v>0.56958600000000004</v>
      </c>
      <c r="L12" s="1"/>
      <c r="M12" s="1"/>
      <c r="N12" s="18"/>
    </row>
    <row r="13" spans="2:14" ht="15" customHeight="1" x14ac:dyDescent="0.25">
      <c r="B13" s="20"/>
      <c r="C13" s="5" t="s">
        <v>31</v>
      </c>
      <c r="D13" s="6" t="s">
        <v>22</v>
      </c>
      <c r="E13" s="11">
        <v>4.9655999999999999E-2</v>
      </c>
      <c r="F13" s="1"/>
      <c r="G13" s="1"/>
      <c r="H13" s="1"/>
      <c r="I13" s="1"/>
      <c r="J13" s="24" t="s">
        <v>54</v>
      </c>
      <c r="K13" s="28">
        <v>5.4036000000000001E-2</v>
      </c>
      <c r="L13" s="1"/>
      <c r="M13" s="1"/>
      <c r="N13" s="18"/>
    </row>
    <row r="14" spans="2:14" ht="15" customHeight="1" x14ac:dyDescent="0.25">
      <c r="B14" s="20"/>
      <c r="C14" s="5" t="s">
        <v>79</v>
      </c>
      <c r="D14" s="6" t="s">
        <v>22</v>
      </c>
      <c r="E14" s="11">
        <v>4.3800000000000002E-3</v>
      </c>
      <c r="F14" s="1"/>
      <c r="G14" s="1"/>
      <c r="H14" s="1"/>
      <c r="I14" s="1"/>
      <c r="J14" s="24" t="s">
        <v>47</v>
      </c>
      <c r="K14" s="28">
        <v>2.8470000000000001E-3</v>
      </c>
      <c r="L14" s="1"/>
      <c r="M14" s="1"/>
      <c r="N14" s="18"/>
    </row>
    <row r="15" spans="2:14" ht="15.75" customHeight="1" x14ac:dyDescent="0.25">
      <c r="B15" s="20"/>
      <c r="C15" s="7" t="s">
        <v>28</v>
      </c>
      <c r="D15" s="8"/>
      <c r="E15" s="12">
        <v>5.4036000000000001E-2</v>
      </c>
      <c r="F15" s="1"/>
      <c r="G15" s="1"/>
      <c r="H15" s="1"/>
      <c r="I15" s="1"/>
      <c r="J15" s="24" t="s">
        <v>56</v>
      </c>
      <c r="K15" s="28">
        <v>9.4309000000000004E-2</v>
      </c>
      <c r="L15" s="1"/>
      <c r="M15" s="1"/>
      <c r="N15" s="18"/>
    </row>
    <row r="16" spans="2:14" ht="15" customHeight="1" x14ac:dyDescent="0.25">
      <c r="B16" s="20"/>
      <c r="C16" s="5" t="s">
        <v>34</v>
      </c>
      <c r="D16" s="6" t="s">
        <v>30</v>
      </c>
      <c r="E16" s="11">
        <v>0.115754</v>
      </c>
      <c r="F16" s="1"/>
      <c r="G16" s="1"/>
      <c r="H16" s="1"/>
      <c r="I16" s="1"/>
      <c r="J16" s="24" t="s">
        <v>93</v>
      </c>
      <c r="K16" s="28">
        <v>1.75E-4</v>
      </c>
      <c r="L16" s="1"/>
      <c r="M16" s="1"/>
      <c r="N16" s="18"/>
    </row>
    <row r="17" spans="2:14" ht="15" customHeight="1" x14ac:dyDescent="0.25">
      <c r="B17" s="20"/>
      <c r="C17" s="5" t="s">
        <v>35</v>
      </c>
      <c r="D17" s="6" t="s">
        <v>30</v>
      </c>
      <c r="E17" s="11">
        <v>0.11261699999999999</v>
      </c>
      <c r="F17" s="1"/>
      <c r="G17" s="1"/>
      <c r="H17" s="1"/>
      <c r="I17" s="1"/>
      <c r="J17" s="1"/>
      <c r="K17" s="1"/>
      <c r="L17" s="1"/>
      <c r="M17" s="1"/>
      <c r="N17" s="18"/>
    </row>
    <row r="18" spans="2:14" ht="15" customHeight="1" x14ac:dyDescent="0.25">
      <c r="B18" s="20"/>
      <c r="C18" s="5" t="s">
        <v>33</v>
      </c>
      <c r="D18" s="6" t="s">
        <v>30</v>
      </c>
      <c r="E18" s="11">
        <v>9.6908999999999995E-2</v>
      </c>
      <c r="F18" s="1"/>
      <c r="G18" s="1"/>
      <c r="H18" s="1"/>
      <c r="I18" s="1"/>
      <c r="J18" s="1"/>
      <c r="K18" s="1"/>
      <c r="L18" s="1"/>
      <c r="M18" s="1"/>
      <c r="N18" s="18"/>
    </row>
    <row r="19" spans="2:14" ht="15" customHeight="1" x14ac:dyDescent="0.25">
      <c r="B19" s="20"/>
      <c r="C19" s="5" t="s">
        <v>32</v>
      </c>
      <c r="D19" s="6" t="s">
        <v>30</v>
      </c>
      <c r="E19" s="11">
        <v>9.1421000000000002E-2</v>
      </c>
      <c r="F19" s="1"/>
      <c r="G19" s="1"/>
      <c r="H19" s="1"/>
      <c r="I19" s="1"/>
      <c r="J19" s="1"/>
      <c r="K19" s="1"/>
      <c r="L19" s="1"/>
      <c r="M19" s="1"/>
      <c r="N19" s="18"/>
    </row>
    <row r="20" spans="2:14" ht="15" customHeight="1" x14ac:dyDescent="0.25">
      <c r="B20" s="20"/>
      <c r="C20" s="5" t="s">
        <v>85</v>
      </c>
      <c r="D20" s="6" t="s">
        <v>30</v>
      </c>
      <c r="E20" s="11">
        <v>4.6450999999999999E-2</v>
      </c>
      <c r="F20" s="1"/>
      <c r="G20" s="1"/>
      <c r="H20" s="1"/>
      <c r="I20" s="1"/>
      <c r="J20" s="1"/>
      <c r="K20" s="1"/>
      <c r="L20" s="1"/>
      <c r="M20" s="1"/>
      <c r="N20" s="18"/>
    </row>
    <row r="21" spans="2:14" ht="15" customHeight="1" x14ac:dyDescent="0.25">
      <c r="B21" s="20"/>
      <c r="C21" s="5" t="s">
        <v>77</v>
      </c>
      <c r="D21" s="6" t="s">
        <v>30</v>
      </c>
      <c r="E21" s="11">
        <v>3.8814000000000001E-2</v>
      </c>
      <c r="F21" s="1"/>
      <c r="G21" s="1"/>
      <c r="H21" s="1"/>
      <c r="I21" s="1"/>
      <c r="J21" s="1"/>
      <c r="K21" s="1"/>
      <c r="L21" s="1"/>
      <c r="M21" s="1"/>
      <c r="N21" s="18"/>
    </row>
    <row r="22" spans="2:14" ht="15" customHeight="1" x14ac:dyDescent="0.25">
      <c r="B22" s="20"/>
      <c r="C22" s="5" t="s">
        <v>31</v>
      </c>
      <c r="D22" s="6" t="s">
        <v>30</v>
      </c>
      <c r="E22" s="11">
        <v>3.2488000000000003E-2</v>
      </c>
      <c r="F22" s="1"/>
      <c r="G22" s="1"/>
      <c r="H22" s="1"/>
      <c r="I22" s="1"/>
      <c r="J22" s="1"/>
      <c r="K22" s="1"/>
      <c r="L22" s="1"/>
      <c r="M22" s="1"/>
      <c r="N22" s="18"/>
    </row>
    <row r="23" spans="2:14" ht="15" customHeight="1" x14ac:dyDescent="0.25">
      <c r="B23" s="20"/>
      <c r="C23" s="5" t="s">
        <v>79</v>
      </c>
      <c r="D23" s="6" t="s">
        <v>30</v>
      </c>
      <c r="E23" s="11">
        <v>2.588E-2</v>
      </c>
      <c r="F23" s="1"/>
      <c r="G23" s="1"/>
      <c r="H23" s="1"/>
      <c r="I23" s="1"/>
      <c r="J23" s="1"/>
      <c r="K23" s="1"/>
      <c r="L23" s="1"/>
      <c r="M23" s="1"/>
      <c r="N23" s="18"/>
    </row>
    <row r="24" spans="2:14" ht="15" customHeight="1" x14ac:dyDescent="0.25">
      <c r="B24" s="20"/>
      <c r="C24" s="5" t="s">
        <v>78</v>
      </c>
      <c r="D24" s="6" t="s">
        <v>30</v>
      </c>
      <c r="E24" s="11">
        <v>9.2519999999999998E-3</v>
      </c>
      <c r="F24" s="1"/>
      <c r="G24" s="83" t="s">
        <v>131</v>
      </c>
      <c r="H24" s="84"/>
      <c r="I24" s="84"/>
      <c r="J24" s="84"/>
      <c r="K24" s="84"/>
      <c r="L24" s="64">
        <v>366.59543426645729</v>
      </c>
      <c r="M24" s="26"/>
      <c r="N24" s="27"/>
    </row>
    <row r="25" spans="2:14" ht="15.75" customHeight="1" x14ac:dyDescent="0.25">
      <c r="B25" s="20"/>
      <c r="C25" s="7" t="s">
        <v>46</v>
      </c>
      <c r="D25" s="8"/>
      <c r="E25" s="12">
        <v>0.56958600000000004</v>
      </c>
      <c r="F25" s="1"/>
      <c r="G25" s="1"/>
      <c r="H25" s="1"/>
      <c r="I25" s="1"/>
      <c r="J25" s="1"/>
      <c r="K25" s="1"/>
      <c r="L25" s="1"/>
      <c r="M25" s="1"/>
      <c r="N25" s="18"/>
    </row>
    <row r="26" spans="2:14" ht="15" customHeight="1" x14ac:dyDescent="0.25">
      <c r="B26" s="20"/>
      <c r="C26" s="5" t="s">
        <v>47</v>
      </c>
      <c r="D26" s="6"/>
      <c r="E26" s="11">
        <v>2.8470000000000001E-3</v>
      </c>
      <c r="F26" s="1"/>
      <c r="G26" s="83" t="s">
        <v>18</v>
      </c>
      <c r="H26" s="84"/>
      <c r="I26" s="84"/>
      <c r="J26" s="84"/>
      <c r="K26" s="84"/>
      <c r="L26" s="84"/>
      <c r="M26" s="84"/>
      <c r="N26" s="85"/>
    </row>
    <row r="27" spans="2:14" ht="15.75" customHeight="1" x14ac:dyDescent="0.25">
      <c r="B27" s="20"/>
      <c r="C27" s="7" t="s">
        <v>48</v>
      </c>
      <c r="D27" s="8"/>
      <c r="E27" s="12">
        <v>2.8470000000000001E-3</v>
      </c>
      <c r="F27" s="1"/>
      <c r="G27" s="1"/>
      <c r="H27" s="1"/>
      <c r="I27" s="1"/>
      <c r="J27" s="1"/>
      <c r="K27" s="1"/>
      <c r="L27" s="1"/>
      <c r="M27" s="1"/>
      <c r="N27" s="18"/>
    </row>
    <row r="28" spans="2:14" ht="15" customHeight="1" x14ac:dyDescent="0.25">
      <c r="B28" s="20"/>
      <c r="C28" s="5" t="s">
        <v>191</v>
      </c>
      <c r="D28" s="6" t="s">
        <v>181</v>
      </c>
      <c r="E28" s="11">
        <v>3.6752E-2</v>
      </c>
      <c r="F28" s="1"/>
      <c r="G28" s="1"/>
      <c r="H28" s="1"/>
      <c r="I28" s="1"/>
      <c r="J28" s="1"/>
      <c r="K28" s="1"/>
      <c r="L28" s="1"/>
      <c r="M28" s="1"/>
      <c r="N28" s="18"/>
    </row>
    <row r="29" spans="2:14" ht="15.75" customHeight="1" x14ac:dyDescent="0.25">
      <c r="B29" s="20"/>
      <c r="C29" s="5" t="s">
        <v>190</v>
      </c>
      <c r="D29" s="6" t="s">
        <v>181</v>
      </c>
      <c r="E29" s="11">
        <v>1.4083999999999999E-2</v>
      </c>
      <c r="F29" s="1"/>
      <c r="G29" s="1"/>
      <c r="H29" s="1"/>
      <c r="I29" s="1"/>
      <c r="J29" s="1"/>
      <c r="K29" s="1"/>
      <c r="L29" s="1"/>
      <c r="M29" s="1"/>
      <c r="N29" s="18"/>
    </row>
    <row r="30" spans="2:14" ht="15" customHeight="1" x14ac:dyDescent="0.25">
      <c r="B30" s="20"/>
      <c r="C30" s="5" t="s">
        <v>184</v>
      </c>
      <c r="D30" s="6" t="s">
        <v>181</v>
      </c>
      <c r="E30" s="11">
        <v>9.3959999999999998E-3</v>
      </c>
      <c r="F30" s="1"/>
      <c r="G30" s="1"/>
      <c r="H30" s="1"/>
      <c r="I30" s="1"/>
      <c r="J30" s="1"/>
      <c r="K30" s="1"/>
      <c r="L30" s="1"/>
      <c r="M30" s="1"/>
      <c r="N30" s="18"/>
    </row>
    <row r="31" spans="2:14" ht="15.75" customHeight="1" x14ac:dyDescent="0.25">
      <c r="B31" s="20"/>
      <c r="C31" s="5" t="s">
        <v>193</v>
      </c>
      <c r="D31" s="6" t="s">
        <v>181</v>
      </c>
      <c r="E31" s="11">
        <v>9.3869999999999995E-3</v>
      </c>
      <c r="F31" s="1"/>
      <c r="G31" s="1"/>
      <c r="H31" s="1"/>
      <c r="I31" s="1"/>
      <c r="J31" s="1"/>
      <c r="K31" s="1"/>
      <c r="L31" s="1"/>
      <c r="M31" s="1"/>
      <c r="N31" s="18"/>
    </row>
    <row r="32" spans="2:14" ht="15" customHeight="1" x14ac:dyDescent="0.25">
      <c r="B32" s="20"/>
      <c r="C32" s="5" t="s">
        <v>183</v>
      </c>
      <c r="D32" s="6" t="s">
        <v>181</v>
      </c>
      <c r="E32" s="11">
        <v>6.5709999999999996E-3</v>
      </c>
      <c r="F32" s="1"/>
      <c r="G32" s="1"/>
      <c r="H32" s="1"/>
      <c r="I32" s="1"/>
      <c r="J32" s="1"/>
      <c r="K32" s="1"/>
      <c r="L32" s="1"/>
      <c r="M32" s="1"/>
      <c r="N32" s="18"/>
    </row>
    <row r="33" spans="2:14" ht="15.75" customHeight="1" x14ac:dyDescent="0.25">
      <c r="B33" s="20"/>
      <c r="C33" s="5" t="s">
        <v>188</v>
      </c>
      <c r="D33" s="6" t="s">
        <v>181</v>
      </c>
      <c r="E33" s="11">
        <v>6.5709999999999996E-3</v>
      </c>
      <c r="F33" s="1"/>
      <c r="G33" s="1"/>
      <c r="H33" s="1"/>
      <c r="I33" s="1"/>
      <c r="J33" s="1"/>
      <c r="K33" s="1"/>
      <c r="L33" s="1"/>
      <c r="M33" s="1"/>
      <c r="N33" s="18"/>
    </row>
    <row r="34" spans="2:14" ht="15" customHeight="1" x14ac:dyDescent="0.25">
      <c r="B34" s="20"/>
      <c r="C34" s="5" t="s">
        <v>189</v>
      </c>
      <c r="D34" s="6" t="s">
        <v>181</v>
      </c>
      <c r="E34" s="11">
        <v>6.5700000000000003E-3</v>
      </c>
      <c r="F34" s="1"/>
      <c r="G34" s="1"/>
      <c r="H34" s="1"/>
      <c r="I34" s="1"/>
      <c r="J34" s="1"/>
      <c r="K34" s="1"/>
      <c r="L34" s="1"/>
      <c r="M34" s="1"/>
      <c r="N34" s="18"/>
    </row>
    <row r="35" spans="2:14" ht="15.75" customHeight="1" x14ac:dyDescent="0.25">
      <c r="B35" s="20"/>
      <c r="C35" s="5" t="s">
        <v>186</v>
      </c>
      <c r="D35" s="6" t="s">
        <v>181</v>
      </c>
      <c r="E35" s="11">
        <v>1.879E-3</v>
      </c>
      <c r="F35" s="1"/>
      <c r="G35" s="1"/>
      <c r="H35" s="1"/>
      <c r="I35" s="1"/>
      <c r="J35" s="1"/>
      <c r="K35" s="1"/>
      <c r="L35" s="1"/>
      <c r="M35" s="1"/>
      <c r="N35" s="18"/>
    </row>
    <row r="36" spans="2:14" ht="15" customHeight="1" x14ac:dyDescent="0.25">
      <c r="B36" s="20"/>
      <c r="C36" s="5" t="s">
        <v>185</v>
      </c>
      <c r="D36" s="6" t="s">
        <v>181</v>
      </c>
      <c r="E36" s="11">
        <v>1.877E-3</v>
      </c>
      <c r="F36" s="1"/>
      <c r="G36" s="1"/>
      <c r="H36" s="1"/>
      <c r="I36" s="1"/>
      <c r="J36" s="1"/>
      <c r="K36" s="1"/>
      <c r="L36" s="1"/>
      <c r="M36" s="1"/>
      <c r="N36" s="18"/>
    </row>
    <row r="37" spans="2:14" ht="15" customHeight="1" x14ac:dyDescent="0.25">
      <c r="B37" s="20"/>
      <c r="C37" s="5" t="s">
        <v>187</v>
      </c>
      <c r="D37" s="6" t="s">
        <v>181</v>
      </c>
      <c r="E37" s="11">
        <v>9.4200000000000002E-4</v>
      </c>
      <c r="F37" s="1"/>
      <c r="G37" s="1"/>
      <c r="H37" s="1"/>
      <c r="I37" s="1"/>
      <c r="J37" s="1"/>
      <c r="K37" s="1"/>
      <c r="L37" s="1"/>
      <c r="M37" s="1"/>
      <c r="N37" s="18"/>
    </row>
    <row r="38" spans="2:14" ht="15" customHeight="1" x14ac:dyDescent="0.25">
      <c r="B38" s="20"/>
      <c r="C38" s="5" t="s">
        <v>192</v>
      </c>
      <c r="D38" s="6" t="s">
        <v>181</v>
      </c>
      <c r="E38" s="11">
        <v>2.7999999999999998E-4</v>
      </c>
      <c r="F38" s="1"/>
      <c r="G38" s="1"/>
      <c r="H38" s="1"/>
      <c r="I38" s="1"/>
      <c r="J38" s="1"/>
      <c r="K38" s="1"/>
      <c r="L38" s="1"/>
      <c r="M38" s="1"/>
      <c r="N38" s="18"/>
    </row>
    <row r="39" spans="2:14" ht="15" customHeight="1" x14ac:dyDescent="0.25">
      <c r="B39" s="20"/>
      <c r="C39" s="7" t="s">
        <v>51</v>
      </c>
      <c r="D39" s="8"/>
      <c r="E39" s="12">
        <v>9.4309000000000004E-2</v>
      </c>
      <c r="F39" s="1"/>
      <c r="G39" s="1"/>
      <c r="H39" s="1"/>
      <c r="I39" s="1"/>
      <c r="J39" s="1"/>
      <c r="K39" s="1"/>
      <c r="L39" s="1"/>
      <c r="M39" s="1"/>
      <c r="N39" s="18"/>
    </row>
    <row r="40" spans="2:14" ht="15" customHeight="1" x14ac:dyDescent="0.25">
      <c r="B40" s="20"/>
      <c r="C40" s="5" t="s">
        <v>165</v>
      </c>
      <c r="D40" s="6" t="s">
        <v>181</v>
      </c>
      <c r="E40" s="11">
        <v>1.75E-4</v>
      </c>
      <c r="F40" s="1"/>
      <c r="G40" s="1"/>
      <c r="H40" s="1"/>
      <c r="I40" s="1"/>
      <c r="J40" s="1"/>
      <c r="K40" s="1"/>
      <c r="L40" s="1"/>
      <c r="M40" s="1"/>
      <c r="N40" s="18"/>
    </row>
    <row r="41" spans="2:14" ht="15" customHeight="1" x14ac:dyDescent="0.25">
      <c r="B41" s="20"/>
      <c r="C41" s="7" t="s">
        <v>92</v>
      </c>
      <c r="D41" s="8"/>
      <c r="E41" s="12">
        <v>1.75E-4</v>
      </c>
      <c r="F41" s="1"/>
      <c r="G41" s="1"/>
      <c r="H41" s="1"/>
      <c r="I41" s="1"/>
      <c r="J41" s="1"/>
      <c r="K41" s="1"/>
      <c r="L41" s="1"/>
      <c r="M41" s="1"/>
      <c r="N41" s="18"/>
    </row>
    <row r="42" spans="2:14" ht="15" customHeight="1" x14ac:dyDescent="0.25">
      <c r="B42" s="20"/>
      <c r="C42" s="5" t="s">
        <v>8</v>
      </c>
      <c r="D42" s="6"/>
      <c r="E42" s="11">
        <v>4.0847000000000001E-2</v>
      </c>
      <c r="F42" s="1"/>
      <c r="G42" s="1"/>
      <c r="H42" s="1"/>
      <c r="I42" s="1"/>
      <c r="J42" s="1"/>
      <c r="K42" s="1"/>
      <c r="L42" s="1"/>
      <c r="M42" s="1"/>
      <c r="N42" s="18"/>
    </row>
    <row r="43" spans="2:14" ht="15" customHeight="1" x14ac:dyDescent="0.25">
      <c r="B43" s="20"/>
      <c r="C43" s="7" t="s">
        <v>9</v>
      </c>
      <c r="D43" s="8"/>
      <c r="E43" s="12">
        <v>4.0847000000000001E-2</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7" t="s">
        <v>10</v>
      </c>
      <c r="D45" s="8"/>
      <c r="E45" s="12">
        <v>3.1053999999999998E-2</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 customHeight="1" x14ac:dyDescent="0.25">
      <c r="B47" s="20"/>
      <c r="C47" s="9" t="s">
        <v>11</v>
      </c>
      <c r="D47" s="10"/>
      <c r="E47" s="13">
        <v>1</v>
      </c>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thickBot="1" x14ac:dyDescent="0.3">
      <c r="B49" s="21"/>
      <c r="C49" s="22"/>
      <c r="D49" s="22"/>
      <c r="E49" s="22"/>
      <c r="F49" s="22"/>
      <c r="G49" s="22"/>
      <c r="H49" s="22"/>
      <c r="I49" s="22"/>
      <c r="J49" s="22"/>
      <c r="K49" s="22"/>
      <c r="L49" s="22"/>
      <c r="M49" s="22"/>
      <c r="N49" s="23"/>
    </row>
    <row r="50" spans="2:14" ht="15" customHeight="1" thickBot="1" x14ac:dyDescent="0.3"/>
    <row r="51" spans="2:14" ht="15" customHeight="1" x14ac:dyDescent="0.25">
      <c r="B51" s="66" t="s">
        <v>291</v>
      </c>
      <c r="C51" s="67"/>
      <c r="D51" s="67"/>
      <c r="E51" s="67"/>
      <c r="F51" s="67"/>
      <c r="G51" s="67"/>
      <c r="H51" s="67"/>
      <c r="I51" s="67"/>
      <c r="J51" s="67"/>
      <c r="K51" s="67"/>
      <c r="L51" s="67"/>
      <c r="M51" s="67"/>
      <c r="N51" s="68"/>
    </row>
    <row r="52" spans="2:14" ht="15" customHeight="1" x14ac:dyDescent="0.25">
      <c r="B52" s="69"/>
      <c r="C52" s="70"/>
      <c r="D52" s="70"/>
      <c r="E52" s="70"/>
      <c r="F52" s="70"/>
      <c r="G52" s="70"/>
      <c r="H52" s="70"/>
      <c r="I52" s="70"/>
      <c r="J52" s="70"/>
      <c r="K52" s="70"/>
      <c r="L52" s="70"/>
      <c r="M52" s="70"/>
      <c r="N52" s="71"/>
    </row>
    <row r="53" spans="2:14" ht="15" customHeight="1" x14ac:dyDescent="0.25">
      <c r="B53" s="69"/>
      <c r="C53" s="70"/>
      <c r="D53" s="70"/>
      <c r="E53" s="70"/>
      <c r="F53" s="70"/>
      <c r="G53" s="70"/>
      <c r="H53" s="70"/>
      <c r="I53" s="70"/>
      <c r="J53" s="70"/>
      <c r="K53" s="70"/>
      <c r="L53" s="70"/>
      <c r="M53" s="70"/>
      <c r="N53" s="71"/>
    </row>
    <row r="54" spans="2:14" ht="15" customHeight="1" thickBot="1" x14ac:dyDescent="0.3">
      <c r="B54" s="72"/>
      <c r="C54" s="73"/>
      <c r="D54" s="73"/>
      <c r="E54" s="73"/>
      <c r="F54" s="73"/>
      <c r="G54" s="73"/>
      <c r="H54" s="73"/>
      <c r="I54" s="73"/>
      <c r="J54" s="73"/>
      <c r="K54" s="73"/>
      <c r="L54" s="73"/>
      <c r="M54" s="73"/>
      <c r="N54" s="74"/>
    </row>
    <row r="55" spans="2:14" ht="15" customHeight="1" thickBot="1" x14ac:dyDescent="0.3"/>
    <row r="56" spans="2:14" ht="128.25" customHeight="1" thickBot="1" x14ac:dyDescent="0.3">
      <c r="B56" s="75" t="s">
        <v>290</v>
      </c>
      <c r="C56" s="76"/>
      <c r="D56" s="76"/>
      <c r="E56" s="76"/>
      <c r="F56" s="76"/>
      <c r="G56" s="76"/>
      <c r="H56" s="76"/>
      <c r="I56" s="76"/>
      <c r="J56" s="76"/>
      <c r="K56" s="76"/>
      <c r="L56" s="76"/>
      <c r="M56" s="76"/>
      <c r="N56" s="77"/>
    </row>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sheetData>
  <sortState ref="C28:E38">
    <sortCondition descending="1" ref="E28"/>
  </sortState>
  <mergeCells count="7">
    <mergeCell ref="B51:N54"/>
    <mergeCell ref="B56:N56"/>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F750-3A81-439C-BF1D-20D30E86F116}">
  <dimension ref="B1:N7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166</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167</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33</v>
      </c>
      <c r="D8" s="6" t="s">
        <v>22</v>
      </c>
      <c r="E8" s="11">
        <v>0.10071099999999999</v>
      </c>
      <c r="F8" s="1"/>
      <c r="G8" s="24" t="s">
        <v>15</v>
      </c>
      <c r="H8" s="25">
        <v>1</v>
      </c>
      <c r="I8" s="1"/>
      <c r="J8" s="24" t="s">
        <v>12</v>
      </c>
      <c r="K8" s="24" t="s">
        <v>5</v>
      </c>
      <c r="L8" s="1"/>
      <c r="M8" s="1"/>
      <c r="N8" s="18"/>
    </row>
    <row r="9" spans="2:14" ht="15" customHeight="1" x14ac:dyDescent="0.25">
      <c r="B9" s="20"/>
      <c r="C9" s="5" t="s">
        <v>24</v>
      </c>
      <c r="D9" s="6" t="s">
        <v>22</v>
      </c>
      <c r="E9" s="11">
        <v>7.7557000000000001E-2</v>
      </c>
      <c r="F9" s="1"/>
      <c r="G9" s="1"/>
      <c r="H9" s="1"/>
      <c r="I9" s="1"/>
      <c r="J9" s="24" t="s">
        <v>10</v>
      </c>
      <c r="K9" s="28">
        <v>-9.3206999999999998E-2</v>
      </c>
      <c r="L9" s="1"/>
      <c r="M9" s="1"/>
      <c r="N9" s="18"/>
    </row>
    <row r="10" spans="2:14" ht="15" customHeight="1" x14ac:dyDescent="0.25">
      <c r="B10" s="20"/>
      <c r="C10" s="5" t="s">
        <v>76</v>
      </c>
      <c r="D10" s="6" t="s">
        <v>22</v>
      </c>
      <c r="E10" s="11">
        <v>7.4579999999999994E-2</v>
      </c>
      <c r="F10" s="1"/>
      <c r="G10" s="1"/>
      <c r="H10" s="1"/>
      <c r="I10" s="1"/>
      <c r="J10" s="24" t="s">
        <v>13</v>
      </c>
      <c r="K10" s="28">
        <v>0.16636999999999999</v>
      </c>
      <c r="L10" s="1"/>
      <c r="M10" s="1"/>
      <c r="N10" s="18"/>
    </row>
    <row r="11" spans="2:14" ht="15" customHeight="1" x14ac:dyDescent="0.25">
      <c r="B11" s="20"/>
      <c r="C11" s="5" t="s">
        <v>25</v>
      </c>
      <c r="D11" s="6" t="s">
        <v>22</v>
      </c>
      <c r="E11" s="11">
        <v>5.6683999999999998E-2</v>
      </c>
      <c r="F11" s="1"/>
      <c r="G11" s="1"/>
      <c r="H11" s="1"/>
      <c r="I11" s="1"/>
      <c r="J11" s="24" t="s">
        <v>52</v>
      </c>
      <c r="K11" s="28">
        <v>0.57397600000000004</v>
      </c>
      <c r="L11" s="1"/>
      <c r="M11" s="1"/>
      <c r="N11" s="18"/>
    </row>
    <row r="12" spans="2:14" ht="15" customHeight="1" x14ac:dyDescent="0.25">
      <c r="B12" s="20"/>
      <c r="C12" s="5" t="s">
        <v>21</v>
      </c>
      <c r="D12" s="6" t="s">
        <v>22</v>
      </c>
      <c r="E12" s="11">
        <v>5.1047000000000002E-2</v>
      </c>
      <c r="F12" s="1"/>
      <c r="G12" s="1"/>
      <c r="H12" s="1"/>
      <c r="I12" s="1"/>
      <c r="J12" s="24" t="s">
        <v>54</v>
      </c>
      <c r="K12" s="28">
        <v>0.25462899999999999</v>
      </c>
      <c r="L12" s="1"/>
      <c r="M12" s="1"/>
      <c r="N12" s="18"/>
    </row>
    <row r="13" spans="2:14" ht="15" customHeight="1" x14ac:dyDescent="0.25">
      <c r="B13" s="20"/>
      <c r="C13" s="5" t="s">
        <v>32</v>
      </c>
      <c r="D13" s="6" t="s">
        <v>22</v>
      </c>
      <c r="E13" s="11">
        <v>4.947E-2</v>
      </c>
      <c r="F13" s="1"/>
      <c r="G13" s="1"/>
      <c r="H13" s="1"/>
      <c r="I13" s="1"/>
      <c r="J13" s="24" t="s">
        <v>47</v>
      </c>
      <c r="K13" s="28">
        <v>2.0569999999999998E-3</v>
      </c>
      <c r="L13" s="1"/>
      <c r="M13" s="1"/>
      <c r="N13" s="18"/>
    </row>
    <row r="14" spans="2:14" ht="15" customHeight="1" x14ac:dyDescent="0.25">
      <c r="B14" s="20"/>
      <c r="C14" s="5" t="s">
        <v>148</v>
      </c>
      <c r="D14" s="6" t="s">
        <v>22</v>
      </c>
      <c r="E14" s="11">
        <v>4.1771999999999997E-2</v>
      </c>
      <c r="F14" s="1"/>
      <c r="G14" s="1"/>
      <c r="H14" s="1"/>
      <c r="I14" s="1"/>
      <c r="J14" s="24" t="s">
        <v>55</v>
      </c>
      <c r="K14" s="28">
        <v>1.6237000000000001E-2</v>
      </c>
      <c r="L14" s="1"/>
      <c r="M14" s="1"/>
      <c r="N14" s="18"/>
    </row>
    <row r="15" spans="2:14" ht="15" customHeight="1" x14ac:dyDescent="0.25">
      <c r="B15" s="20"/>
      <c r="C15" s="5" t="s">
        <v>31</v>
      </c>
      <c r="D15" s="6" t="s">
        <v>22</v>
      </c>
      <c r="E15" s="11">
        <v>3.6922999999999997E-2</v>
      </c>
      <c r="F15" s="1"/>
      <c r="G15" s="1"/>
      <c r="H15" s="1"/>
      <c r="I15" s="1"/>
      <c r="J15" s="24" t="s">
        <v>56</v>
      </c>
      <c r="K15" s="28">
        <v>7.9937999999999995E-2</v>
      </c>
      <c r="L15" s="1"/>
      <c r="M15" s="1"/>
      <c r="N15" s="18"/>
    </row>
    <row r="16" spans="2:14" ht="15" customHeight="1" x14ac:dyDescent="0.25">
      <c r="B16" s="20"/>
      <c r="C16" s="5" t="s">
        <v>42</v>
      </c>
      <c r="D16" s="6" t="s">
        <v>22</v>
      </c>
      <c r="E16" s="11">
        <v>3.107E-2</v>
      </c>
      <c r="F16" s="1"/>
      <c r="G16" s="1"/>
      <c r="H16" s="1"/>
      <c r="I16" s="1"/>
      <c r="J16" s="1"/>
      <c r="K16" s="1"/>
      <c r="L16" s="1"/>
      <c r="M16" s="1"/>
      <c r="N16" s="18"/>
    </row>
    <row r="17" spans="2:14" ht="15" customHeight="1" x14ac:dyDescent="0.25">
      <c r="B17" s="20"/>
      <c r="C17" s="5" t="s">
        <v>139</v>
      </c>
      <c r="D17" s="6" t="s">
        <v>22</v>
      </c>
      <c r="E17" s="11">
        <v>2.3560999999999999E-2</v>
      </c>
      <c r="F17" s="1"/>
      <c r="G17" s="1"/>
      <c r="H17" s="1"/>
      <c r="I17" s="1"/>
      <c r="J17" s="1"/>
      <c r="K17" s="1"/>
      <c r="L17" s="1"/>
      <c r="M17" s="1"/>
      <c r="N17" s="18"/>
    </row>
    <row r="18" spans="2:14" ht="15" customHeight="1" x14ac:dyDescent="0.25">
      <c r="B18" s="20"/>
      <c r="C18" s="5" t="s">
        <v>23</v>
      </c>
      <c r="D18" s="6" t="s">
        <v>22</v>
      </c>
      <c r="E18" s="11">
        <v>1.8721999999999999E-2</v>
      </c>
      <c r="F18" s="1"/>
      <c r="G18" s="1"/>
      <c r="H18" s="1"/>
      <c r="I18" s="1"/>
      <c r="J18" s="1"/>
      <c r="K18" s="1"/>
      <c r="L18" s="1"/>
      <c r="M18" s="1"/>
      <c r="N18" s="18"/>
    </row>
    <row r="19" spans="2:14" ht="15" customHeight="1" x14ac:dyDescent="0.25">
      <c r="B19" s="20"/>
      <c r="C19" s="5" t="s">
        <v>168</v>
      </c>
      <c r="D19" s="6" t="s">
        <v>22</v>
      </c>
      <c r="E19" s="11">
        <v>1.1879000000000001E-2</v>
      </c>
      <c r="F19" s="1"/>
      <c r="G19" s="1"/>
      <c r="H19" s="1"/>
      <c r="I19" s="1"/>
      <c r="J19" s="1"/>
      <c r="K19" s="1"/>
      <c r="L19" s="1"/>
      <c r="M19" s="1"/>
      <c r="N19" s="18"/>
    </row>
    <row r="20" spans="2:14" ht="15.75" customHeight="1" x14ac:dyDescent="0.25">
      <c r="B20" s="20"/>
      <c r="C20" s="7" t="s">
        <v>27</v>
      </c>
      <c r="D20" s="8"/>
      <c r="E20" s="12">
        <v>0.57397600000000004</v>
      </c>
      <c r="F20" s="1"/>
      <c r="G20" s="1"/>
      <c r="H20" s="1"/>
      <c r="I20" s="1"/>
      <c r="J20" s="1"/>
      <c r="K20" s="1"/>
      <c r="L20" s="1"/>
      <c r="M20" s="1"/>
      <c r="N20" s="18"/>
    </row>
    <row r="21" spans="2:14" ht="15" customHeight="1" x14ac:dyDescent="0.25">
      <c r="B21" s="20"/>
      <c r="C21" s="5" t="s">
        <v>156</v>
      </c>
      <c r="D21" s="6" t="s">
        <v>22</v>
      </c>
      <c r="E21" s="11">
        <v>4.3954E-2</v>
      </c>
      <c r="F21" s="1"/>
      <c r="G21" s="1"/>
      <c r="H21" s="1"/>
      <c r="I21" s="1"/>
      <c r="J21" s="1"/>
      <c r="K21" s="1"/>
      <c r="L21" s="1"/>
      <c r="M21" s="1"/>
      <c r="N21" s="18"/>
    </row>
    <row r="22" spans="2:14" ht="15" customHeight="1" x14ac:dyDescent="0.25">
      <c r="B22" s="20"/>
      <c r="C22" s="5" t="s">
        <v>157</v>
      </c>
      <c r="D22" s="6" t="s">
        <v>22</v>
      </c>
      <c r="E22" s="11">
        <v>4.3942000000000002E-2</v>
      </c>
      <c r="F22" s="1"/>
      <c r="G22" s="1"/>
      <c r="H22" s="1"/>
      <c r="I22" s="1"/>
      <c r="J22" s="1"/>
      <c r="K22" s="1"/>
      <c r="L22" s="1"/>
      <c r="M22" s="1"/>
      <c r="N22" s="18"/>
    </row>
    <row r="23" spans="2:14" ht="15" customHeight="1" x14ac:dyDescent="0.25">
      <c r="B23" s="20"/>
      <c r="C23" s="5" t="s">
        <v>31</v>
      </c>
      <c r="D23" s="6" t="s">
        <v>22</v>
      </c>
      <c r="E23" s="11">
        <v>4.3686000000000003E-2</v>
      </c>
      <c r="F23" s="1"/>
      <c r="G23" s="1"/>
      <c r="H23" s="1"/>
      <c r="I23" s="1"/>
      <c r="J23" s="1"/>
      <c r="K23" s="1"/>
      <c r="L23" s="1"/>
      <c r="M23" s="1"/>
      <c r="N23" s="18"/>
    </row>
    <row r="24" spans="2:14" ht="15" customHeight="1" x14ac:dyDescent="0.25">
      <c r="B24" s="20"/>
      <c r="C24" s="5" t="s">
        <v>36</v>
      </c>
      <c r="D24" s="6" t="s">
        <v>22</v>
      </c>
      <c r="E24" s="11">
        <v>2.5045999999999999E-2</v>
      </c>
      <c r="F24" s="1"/>
      <c r="G24" s="83" t="s">
        <v>131</v>
      </c>
      <c r="H24" s="84"/>
      <c r="I24" s="84"/>
      <c r="J24" s="84"/>
      <c r="K24" s="84"/>
      <c r="L24" s="64">
        <v>125.78828608056543</v>
      </c>
      <c r="M24" s="26"/>
      <c r="N24" s="27"/>
    </row>
    <row r="25" spans="2:14" ht="15" customHeight="1" x14ac:dyDescent="0.25">
      <c r="B25" s="20"/>
      <c r="C25" s="5" t="s">
        <v>169</v>
      </c>
      <c r="D25" s="6" t="s">
        <v>22</v>
      </c>
      <c r="E25" s="11">
        <v>1.8544999999999999E-2</v>
      </c>
      <c r="F25" s="1"/>
      <c r="G25" s="1"/>
      <c r="H25" s="1"/>
      <c r="I25" s="1"/>
      <c r="J25" s="1"/>
      <c r="K25" s="1"/>
      <c r="L25" s="1"/>
      <c r="M25" s="1"/>
      <c r="N25" s="18"/>
    </row>
    <row r="26" spans="2:14" ht="15" customHeight="1" x14ac:dyDescent="0.25">
      <c r="B26" s="20"/>
      <c r="C26" s="5" t="s">
        <v>79</v>
      </c>
      <c r="D26" s="6" t="s">
        <v>22</v>
      </c>
      <c r="E26" s="11">
        <v>1.8466E-2</v>
      </c>
      <c r="F26" s="1"/>
      <c r="G26" s="83" t="s">
        <v>18</v>
      </c>
      <c r="H26" s="84"/>
      <c r="I26" s="84"/>
      <c r="J26" s="84"/>
      <c r="K26" s="84"/>
      <c r="L26" s="84"/>
      <c r="M26" s="84"/>
      <c r="N26" s="85"/>
    </row>
    <row r="27" spans="2:14" ht="15" customHeight="1" x14ac:dyDescent="0.25">
      <c r="B27" s="20"/>
      <c r="C27" s="5" t="s">
        <v>23</v>
      </c>
      <c r="D27" s="6" t="s">
        <v>22</v>
      </c>
      <c r="E27" s="11">
        <v>1.2558E-2</v>
      </c>
      <c r="F27" s="1"/>
      <c r="G27" s="1"/>
      <c r="H27" s="1"/>
      <c r="I27" s="1"/>
      <c r="J27" s="1"/>
      <c r="K27" s="1"/>
      <c r="L27" s="1"/>
      <c r="M27" s="1"/>
      <c r="N27" s="18"/>
    </row>
    <row r="28" spans="2:14" ht="15" customHeight="1" x14ac:dyDescent="0.25">
      <c r="B28" s="20"/>
      <c r="C28" s="5" t="s">
        <v>158</v>
      </c>
      <c r="D28" s="6" t="s">
        <v>22</v>
      </c>
      <c r="E28" s="11">
        <v>1.2456E-2</v>
      </c>
      <c r="F28" s="1"/>
      <c r="G28" s="1"/>
      <c r="H28" s="1"/>
      <c r="I28" s="1"/>
      <c r="J28" s="1"/>
      <c r="K28" s="1"/>
      <c r="L28" s="1"/>
      <c r="M28" s="1"/>
      <c r="N28" s="18"/>
    </row>
    <row r="29" spans="2:14" ht="15" customHeight="1" x14ac:dyDescent="0.25">
      <c r="B29" s="20"/>
      <c r="C29" s="5" t="s">
        <v>155</v>
      </c>
      <c r="D29" s="6" t="s">
        <v>22</v>
      </c>
      <c r="E29" s="11">
        <v>1.1724999999999999E-2</v>
      </c>
      <c r="F29" s="1"/>
      <c r="G29" s="1"/>
      <c r="H29" s="1"/>
      <c r="I29" s="1"/>
      <c r="J29" s="1"/>
      <c r="K29" s="1"/>
      <c r="L29" s="1"/>
      <c r="M29" s="1"/>
      <c r="N29" s="18"/>
    </row>
    <row r="30" spans="2:14" ht="15" customHeight="1" x14ac:dyDescent="0.25">
      <c r="B30" s="20"/>
      <c r="C30" s="5" t="s">
        <v>153</v>
      </c>
      <c r="D30" s="6" t="s">
        <v>22</v>
      </c>
      <c r="E30" s="11">
        <v>1.1665999999999999E-2</v>
      </c>
      <c r="F30" s="1"/>
      <c r="G30" s="1"/>
      <c r="H30" s="1"/>
      <c r="I30" s="1"/>
      <c r="J30" s="1"/>
      <c r="K30" s="1"/>
      <c r="L30" s="1"/>
      <c r="M30" s="1"/>
      <c r="N30" s="18"/>
    </row>
    <row r="31" spans="2:14" ht="15" customHeight="1" x14ac:dyDescent="0.25">
      <c r="B31" s="20"/>
      <c r="C31" s="5" t="s">
        <v>151</v>
      </c>
      <c r="D31" s="6" t="s">
        <v>22</v>
      </c>
      <c r="E31" s="11">
        <v>6.3160000000000004E-3</v>
      </c>
      <c r="F31" s="1"/>
      <c r="G31" s="1"/>
      <c r="H31" s="1"/>
      <c r="I31" s="1"/>
      <c r="J31" s="1"/>
      <c r="K31" s="1"/>
      <c r="L31" s="1"/>
      <c r="M31" s="1"/>
      <c r="N31" s="18"/>
    </row>
    <row r="32" spans="2:14" ht="15" customHeight="1" x14ac:dyDescent="0.25">
      <c r="B32" s="20"/>
      <c r="C32" s="5" t="s">
        <v>77</v>
      </c>
      <c r="D32" s="6" t="s">
        <v>22</v>
      </c>
      <c r="E32" s="11">
        <v>6.2690000000000003E-3</v>
      </c>
      <c r="F32" s="1"/>
      <c r="G32" s="1"/>
      <c r="H32" s="1"/>
      <c r="I32" s="1"/>
      <c r="J32" s="1"/>
      <c r="K32" s="1"/>
      <c r="L32" s="1"/>
      <c r="M32" s="1"/>
      <c r="N32" s="18"/>
    </row>
    <row r="33" spans="2:14" ht="15.75" customHeight="1" x14ac:dyDescent="0.25">
      <c r="B33" s="20"/>
      <c r="C33" s="7" t="s">
        <v>28</v>
      </c>
      <c r="D33" s="8"/>
      <c r="E33" s="12">
        <v>0.25462899999999999</v>
      </c>
      <c r="F33" s="1"/>
      <c r="G33" s="1"/>
      <c r="H33" s="1"/>
      <c r="I33" s="1"/>
      <c r="J33" s="1"/>
      <c r="K33" s="1"/>
      <c r="L33" s="1"/>
      <c r="M33" s="1"/>
      <c r="N33" s="18"/>
    </row>
    <row r="34" spans="2:14" ht="15" customHeight="1" x14ac:dyDescent="0.25">
      <c r="B34" s="20"/>
      <c r="C34" s="5" t="s">
        <v>47</v>
      </c>
      <c r="D34" s="6"/>
      <c r="E34" s="11">
        <v>2.0569999999999998E-3</v>
      </c>
      <c r="F34" s="1"/>
      <c r="G34" s="1"/>
      <c r="H34" s="1"/>
      <c r="I34" s="1"/>
      <c r="J34" s="1"/>
      <c r="K34" s="1"/>
      <c r="L34" s="1"/>
      <c r="M34" s="1"/>
      <c r="N34" s="18"/>
    </row>
    <row r="35" spans="2:14" ht="15.75" customHeight="1" x14ac:dyDescent="0.25">
      <c r="B35" s="20"/>
      <c r="C35" s="7" t="s">
        <v>48</v>
      </c>
      <c r="D35" s="8"/>
      <c r="E35" s="12">
        <v>2.0569999999999998E-3</v>
      </c>
      <c r="F35" s="1"/>
      <c r="G35" s="1"/>
      <c r="H35" s="1"/>
      <c r="I35" s="1"/>
      <c r="J35" s="1"/>
      <c r="K35" s="1"/>
      <c r="L35" s="1"/>
      <c r="M35" s="1"/>
      <c r="N35" s="18"/>
    </row>
    <row r="36" spans="2:14" ht="15" customHeight="1" x14ac:dyDescent="0.25">
      <c r="B36" s="20"/>
      <c r="C36" s="5" t="s">
        <v>202</v>
      </c>
      <c r="D36" s="6" t="s">
        <v>181</v>
      </c>
      <c r="E36" s="11">
        <v>1.2534E-2</v>
      </c>
      <c r="F36" s="1"/>
      <c r="G36" s="1"/>
      <c r="H36" s="1"/>
      <c r="I36" s="1"/>
      <c r="J36" s="1"/>
      <c r="K36" s="1"/>
      <c r="L36" s="1"/>
      <c r="M36" s="1"/>
      <c r="N36" s="18"/>
    </row>
    <row r="37" spans="2:14" ht="15.75" customHeight="1" x14ac:dyDescent="0.25">
      <c r="B37" s="20"/>
      <c r="C37" s="5" t="s">
        <v>201</v>
      </c>
      <c r="D37" s="6" t="s">
        <v>181</v>
      </c>
      <c r="E37" s="11">
        <v>3.7030000000000001E-3</v>
      </c>
      <c r="F37" s="1"/>
      <c r="G37" s="1"/>
      <c r="H37" s="1"/>
      <c r="I37" s="1"/>
      <c r="J37" s="1"/>
      <c r="K37" s="1"/>
      <c r="L37" s="1"/>
      <c r="M37" s="1"/>
      <c r="N37" s="18"/>
    </row>
    <row r="38" spans="2:14" ht="15" customHeight="1" x14ac:dyDescent="0.25">
      <c r="B38" s="20"/>
      <c r="C38" s="7" t="s">
        <v>50</v>
      </c>
      <c r="D38" s="8"/>
      <c r="E38" s="12">
        <v>1.6237000000000001E-2</v>
      </c>
      <c r="F38" s="1"/>
      <c r="G38" s="1"/>
      <c r="H38" s="1"/>
      <c r="I38" s="1"/>
      <c r="J38" s="1"/>
      <c r="K38" s="1"/>
      <c r="L38" s="1"/>
      <c r="M38" s="1"/>
      <c r="N38" s="18"/>
    </row>
    <row r="39" spans="2:14" ht="15.75" customHeight="1" x14ac:dyDescent="0.25">
      <c r="B39" s="20"/>
      <c r="C39" s="5" t="s">
        <v>199</v>
      </c>
      <c r="D39" s="6" t="s">
        <v>181</v>
      </c>
      <c r="E39" s="11">
        <v>3.9523999999999997E-2</v>
      </c>
      <c r="F39" s="1"/>
      <c r="G39" s="1"/>
      <c r="H39" s="1"/>
      <c r="I39" s="1"/>
      <c r="J39" s="1"/>
      <c r="K39" s="1"/>
      <c r="L39" s="1"/>
      <c r="M39" s="1"/>
      <c r="N39" s="18"/>
    </row>
    <row r="40" spans="2:14" ht="15" customHeight="1" x14ac:dyDescent="0.25">
      <c r="B40" s="20"/>
      <c r="C40" s="5" t="s">
        <v>198</v>
      </c>
      <c r="D40" s="6" t="s">
        <v>181</v>
      </c>
      <c r="E40" s="11">
        <v>1.2592000000000001E-2</v>
      </c>
      <c r="F40" s="1"/>
      <c r="G40" s="1"/>
      <c r="H40" s="1"/>
      <c r="I40" s="1"/>
      <c r="J40" s="1"/>
      <c r="K40" s="1"/>
      <c r="L40" s="1"/>
      <c r="M40" s="1"/>
      <c r="N40" s="18"/>
    </row>
    <row r="41" spans="2:14" ht="15.75" customHeight="1" x14ac:dyDescent="0.25">
      <c r="B41" s="20"/>
      <c r="C41" s="5" t="s">
        <v>194</v>
      </c>
      <c r="D41" s="6" t="s">
        <v>181</v>
      </c>
      <c r="E41" s="11">
        <v>6.3940000000000004E-3</v>
      </c>
      <c r="F41" s="1"/>
      <c r="G41" s="1"/>
      <c r="H41" s="1"/>
      <c r="I41" s="1"/>
      <c r="J41" s="1"/>
      <c r="K41" s="1"/>
      <c r="L41" s="1"/>
      <c r="M41" s="1"/>
      <c r="N41" s="18"/>
    </row>
    <row r="42" spans="2:14" ht="15" customHeight="1" x14ac:dyDescent="0.25">
      <c r="B42" s="20"/>
      <c r="C42" s="5" t="s">
        <v>195</v>
      </c>
      <c r="D42" s="6" t="s">
        <v>181</v>
      </c>
      <c r="E42" s="11">
        <v>6.2709999999999997E-3</v>
      </c>
      <c r="F42" s="1"/>
      <c r="G42" s="1"/>
      <c r="H42" s="1"/>
      <c r="I42" s="1"/>
      <c r="J42" s="1"/>
      <c r="K42" s="1"/>
      <c r="L42" s="1"/>
      <c r="M42" s="1"/>
      <c r="N42" s="18"/>
    </row>
    <row r="43" spans="2:14" ht="15.75" customHeight="1" x14ac:dyDescent="0.25">
      <c r="B43" s="20"/>
      <c r="C43" s="5" t="s">
        <v>196</v>
      </c>
      <c r="D43" s="6" t="s">
        <v>181</v>
      </c>
      <c r="E43" s="11">
        <v>6.2690000000000003E-3</v>
      </c>
      <c r="F43" s="1"/>
      <c r="G43" s="1"/>
      <c r="H43" s="1"/>
      <c r="I43" s="1"/>
      <c r="J43" s="1"/>
      <c r="K43" s="1"/>
      <c r="L43" s="1"/>
      <c r="M43" s="1"/>
      <c r="N43" s="18"/>
    </row>
    <row r="44" spans="2:14" ht="15" customHeight="1" x14ac:dyDescent="0.25">
      <c r="B44" s="20"/>
      <c r="C44" s="5" t="s">
        <v>186</v>
      </c>
      <c r="D44" s="6" t="s">
        <v>181</v>
      </c>
      <c r="E44" s="11">
        <v>3.8279999999999998E-3</v>
      </c>
      <c r="F44" s="1"/>
      <c r="G44" s="1"/>
      <c r="H44" s="1"/>
      <c r="I44" s="1"/>
      <c r="J44" s="1"/>
      <c r="K44" s="1"/>
      <c r="L44" s="1"/>
      <c r="M44" s="1"/>
      <c r="N44" s="18"/>
    </row>
    <row r="45" spans="2:14" ht="15" customHeight="1" x14ac:dyDescent="0.25">
      <c r="B45" s="20"/>
      <c r="C45" s="5" t="s">
        <v>200</v>
      </c>
      <c r="D45" s="6" t="s">
        <v>181</v>
      </c>
      <c r="E45" s="11">
        <v>2.5530000000000001E-3</v>
      </c>
      <c r="F45" s="1"/>
      <c r="G45" s="1"/>
      <c r="H45" s="1"/>
      <c r="I45" s="1"/>
      <c r="J45" s="1"/>
      <c r="K45" s="1"/>
      <c r="L45" s="1"/>
      <c r="M45" s="1"/>
      <c r="N45" s="18"/>
    </row>
    <row r="46" spans="2:14" ht="15" customHeight="1" x14ac:dyDescent="0.25">
      <c r="B46" s="20"/>
      <c r="C46" s="5" t="s">
        <v>197</v>
      </c>
      <c r="D46" s="6" t="s">
        <v>181</v>
      </c>
      <c r="E46" s="11">
        <v>2.5070000000000001E-3</v>
      </c>
      <c r="F46" s="1"/>
      <c r="G46" s="1"/>
      <c r="H46" s="1"/>
      <c r="I46" s="1"/>
      <c r="J46" s="1"/>
      <c r="K46" s="1"/>
      <c r="L46" s="1"/>
      <c r="M46" s="1"/>
      <c r="N46" s="18"/>
    </row>
    <row r="47" spans="2:14" ht="15" customHeight="1" x14ac:dyDescent="0.25">
      <c r="B47" s="20"/>
      <c r="C47" s="7" t="s">
        <v>51</v>
      </c>
      <c r="D47" s="8"/>
      <c r="E47" s="12">
        <v>7.9937999999999995E-2</v>
      </c>
      <c r="F47" s="1"/>
      <c r="G47" s="1"/>
      <c r="H47" s="1"/>
      <c r="I47" s="1"/>
      <c r="J47" s="1"/>
      <c r="K47" s="1"/>
      <c r="L47" s="1"/>
      <c r="M47" s="1"/>
      <c r="N47" s="18"/>
    </row>
    <row r="48" spans="2:14" ht="15" customHeight="1" x14ac:dyDescent="0.25">
      <c r="B48" s="20"/>
      <c r="C48" s="5" t="s">
        <v>8</v>
      </c>
      <c r="D48" s="6"/>
      <c r="E48" s="11">
        <v>0.16636999999999999</v>
      </c>
      <c r="F48" s="1"/>
      <c r="G48" s="1"/>
      <c r="H48" s="1"/>
      <c r="I48" s="1"/>
      <c r="J48" s="1"/>
      <c r="K48" s="1"/>
      <c r="L48" s="1"/>
      <c r="M48" s="1"/>
      <c r="N48" s="18"/>
    </row>
    <row r="49" spans="2:14" ht="15" customHeight="1" x14ac:dyDescent="0.25">
      <c r="B49" s="20"/>
      <c r="C49" s="7" t="s">
        <v>9</v>
      </c>
      <c r="D49" s="8"/>
      <c r="E49" s="12">
        <v>0.16636999999999999</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7" t="s">
        <v>10</v>
      </c>
      <c r="D51" s="8"/>
      <c r="E51" s="12">
        <v>-9.3206999999999998E-2</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 customHeight="1" x14ac:dyDescent="0.25">
      <c r="B53" s="20"/>
      <c r="C53" s="9" t="s">
        <v>11</v>
      </c>
      <c r="D53" s="10"/>
      <c r="E53" s="13">
        <v>1</v>
      </c>
      <c r="F53" s="1"/>
      <c r="G53" s="1"/>
      <c r="H53" s="1"/>
      <c r="I53" s="1"/>
      <c r="J53" s="1"/>
      <c r="K53" s="1"/>
      <c r="L53" s="1"/>
      <c r="M53" s="1"/>
      <c r="N53" s="18"/>
    </row>
    <row r="54" spans="2:14" ht="15" customHeight="1" x14ac:dyDescent="0.25">
      <c r="B54" s="20"/>
      <c r="F54" s="1"/>
      <c r="G54" s="1"/>
      <c r="H54" s="1"/>
      <c r="I54" s="1"/>
      <c r="J54" s="1"/>
      <c r="K54" s="1"/>
      <c r="L54" s="1"/>
      <c r="M54" s="1"/>
      <c r="N54" s="18"/>
    </row>
    <row r="55" spans="2:14" ht="15" customHeight="1" thickBot="1" x14ac:dyDescent="0.3">
      <c r="B55" s="21"/>
      <c r="C55" s="22"/>
      <c r="D55" s="22"/>
      <c r="E55" s="22"/>
      <c r="F55" s="22"/>
      <c r="G55" s="22"/>
      <c r="H55" s="22"/>
      <c r="I55" s="22"/>
      <c r="J55" s="22"/>
      <c r="K55" s="22"/>
      <c r="L55" s="22"/>
      <c r="M55" s="22"/>
      <c r="N55" s="23"/>
    </row>
    <row r="56" spans="2:14" ht="15" customHeight="1" thickBot="1" x14ac:dyDescent="0.3"/>
    <row r="57" spans="2:14" ht="15" customHeight="1" x14ac:dyDescent="0.25">
      <c r="B57" s="66" t="s">
        <v>291</v>
      </c>
      <c r="C57" s="67"/>
      <c r="D57" s="67"/>
      <c r="E57" s="67"/>
      <c r="F57" s="67"/>
      <c r="G57" s="67"/>
      <c r="H57" s="67"/>
      <c r="I57" s="67"/>
      <c r="J57" s="67"/>
      <c r="K57" s="67"/>
      <c r="L57" s="67"/>
      <c r="M57" s="67"/>
      <c r="N57" s="68"/>
    </row>
    <row r="58" spans="2:14" ht="15" customHeight="1" x14ac:dyDescent="0.25">
      <c r="B58" s="69"/>
      <c r="C58" s="70"/>
      <c r="D58" s="70"/>
      <c r="E58" s="70"/>
      <c r="F58" s="70"/>
      <c r="G58" s="70"/>
      <c r="H58" s="70"/>
      <c r="I58" s="70"/>
      <c r="J58" s="70"/>
      <c r="K58" s="70"/>
      <c r="L58" s="70"/>
      <c r="M58" s="70"/>
      <c r="N58" s="71"/>
    </row>
    <row r="59" spans="2:14" ht="15" customHeight="1" x14ac:dyDescent="0.25">
      <c r="B59" s="69"/>
      <c r="C59" s="70"/>
      <c r="D59" s="70"/>
      <c r="E59" s="70"/>
      <c r="F59" s="70"/>
      <c r="G59" s="70"/>
      <c r="H59" s="70"/>
      <c r="I59" s="70"/>
      <c r="J59" s="70"/>
      <c r="K59" s="70"/>
      <c r="L59" s="70"/>
      <c r="M59" s="70"/>
      <c r="N59" s="71"/>
    </row>
    <row r="60" spans="2:14" ht="15" customHeight="1" thickBot="1" x14ac:dyDescent="0.3">
      <c r="B60" s="72"/>
      <c r="C60" s="73"/>
      <c r="D60" s="73"/>
      <c r="E60" s="73"/>
      <c r="F60" s="73"/>
      <c r="G60" s="73"/>
      <c r="H60" s="73"/>
      <c r="I60" s="73"/>
      <c r="J60" s="73"/>
      <c r="K60" s="73"/>
      <c r="L60" s="73"/>
      <c r="M60" s="73"/>
      <c r="N60" s="74"/>
    </row>
    <row r="61" spans="2:14" ht="15" customHeight="1" thickBot="1" x14ac:dyDescent="0.3"/>
    <row r="62" spans="2:14" ht="123.75" customHeight="1" thickBot="1" x14ac:dyDescent="0.3">
      <c r="B62" s="75" t="s">
        <v>290</v>
      </c>
      <c r="C62" s="76"/>
      <c r="D62" s="76"/>
      <c r="E62" s="76"/>
      <c r="F62" s="76"/>
      <c r="G62" s="76"/>
      <c r="H62" s="76"/>
      <c r="I62" s="76"/>
      <c r="J62" s="76"/>
      <c r="K62" s="76"/>
      <c r="L62" s="76"/>
      <c r="M62" s="76"/>
      <c r="N62" s="77"/>
    </row>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sheetData>
  <sortState ref="C36:E37">
    <sortCondition descending="1" ref="E36"/>
  </sortState>
  <mergeCells count="7">
    <mergeCell ref="B57:N60"/>
    <mergeCell ref="B62:N62"/>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B935-996F-48A5-BBD9-17D9D9674022}">
  <dimension ref="B1:N7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177</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178</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24</v>
      </c>
      <c r="D8" s="6" t="s">
        <v>22</v>
      </c>
      <c r="E8" s="11">
        <v>9.1623999999999997E-2</v>
      </c>
      <c r="F8" s="1"/>
      <c r="G8" s="24" t="s">
        <v>15</v>
      </c>
      <c r="H8" s="25">
        <v>1</v>
      </c>
      <c r="I8" s="1"/>
      <c r="J8" s="24" t="s">
        <v>12</v>
      </c>
      <c r="K8" s="24" t="s">
        <v>5</v>
      </c>
      <c r="L8" s="1"/>
      <c r="M8" s="1"/>
      <c r="N8" s="18"/>
    </row>
    <row r="9" spans="2:14" ht="15" customHeight="1" x14ac:dyDescent="0.25">
      <c r="B9" s="20"/>
      <c r="C9" s="5" t="s">
        <v>76</v>
      </c>
      <c r="D9" s="6" t="s">
        <v>22</v>
      </c>
      <c r="E9" s="11">
        <v>7.9240000000000005E-2</v>
      </c>
      <c r="F9" s="1"/>
      <c r="G9" s="1"/>
      <c r="H9" s="1"/>
      <c r="I9" s="1"/>
      <c r="J9" s="24" t="s">
        <v>10</v>
      </c>
      <c r="K9" s="28">
        <v>3.0609999999999999E-3</v>
      </c>
      <c r="L9" s="1"/>
      <c r="M9" s="1"/>
      <c r="N9" s="18"/>
    </row>
    <row r="10" spans="2:14" ht="15" customHeight="1" x14ac:dyDescent="0.25">
      <c r="B10" s="20"/>
      <c r="C10" s="5" t="s">
        <v>33</v>
      </c>
      <c r="D10" s="6" t="s">
        <v>22</v>
      </c>
      <c r="E10" s="11">
        <v>7.1252999999999997E-2</v>
      </c>
      <c r="F10" s="1"/>
      <c r="G10" s="1"/>
      <c r="H10" s="1"/>
      <c r="I10" s="1"/>
      <c r="J10" s="24" t="s">
        <v>13</v>
      </c>
      <c r="K10" s="28">
        <v>5.8881000000000003E-2</v>
      </c>
      <c r="L10" s="1"/>
      <c r="M10" s="1"/>
      <c r="N10" s="18"/>
    </row>
    <row r="11" spans="2:14" ht="15" customHeight="1" x14ac:dyDescent="0.25">
      <c r="B11" s="20"/>
      <c r="C11" s="5" t="s">
        <v>25</v>
      </c>
      <c r="D11" s="6" t="s">
        <v>22</v>
      </c>
      <c r="E11" s="11">
        <v>3.7664999999999997E-2</v>
      </c>
      <c r="F11" s="1"/>
      <c r="G11" s="1"/>
      <c r="H11" s="1"/>
      <c r="I11" s="1"/>
      <c r="J11" s="24" t="s">
        <v>52</v>
      </c>
      <c r="K11" s="28">
        <v>0.33533099999999999</v>
      </c>
      <c r="L11" s="1"/>
      <c r="M11" s="1"/>
      <c r="N11" s="18"/>
    </row>
    <row r="12" spans="2:14" ht="15" customHeight="1" x14ac:dyDescent="0.25">
      <c r="B12" s="20"/>
      <c r="C12" s="5" t="s">
        <v>23</v>
      </c>
      <c r="D12" s="6" t="s">
        <v>22</v>
      </c>
      <c r="E12" s="11">
        <v>1.9705E-2</v>
      </c>
      <c r="F12" s="1"/>
      <c r="G12" s="1"/>
      <c r="H12" s="1"/>
      <c r="I12" s="1"/>
      <c r="J12" s="24" t="s">
        <v>53</v>
      </c>
      <c r="K12" s="28">
        <v>0.37754500000000002</v>
      </c>
      <c r="L12" s="1"/>
      <c r="M12" s="1"/>
      <c r="N12" s="18"/>
    </row>
    <row r="13" spans="2:14" ht="15" customHeight="1" x14ac:dyDescent="0.25">
      <c r="B13" s="20"/>
      <c r="C13" s="5" t="s">
        <v>139</v>
      </c>
      <c r="D13" s="6" t="s">
        <v>22</v>
      </c>
      <c r="E13" s="11">
        <v>1.8887000000000001E-2</v>
      </c>
      <c r="F13" s="1"/>
      <c r="G13" s="1"/>
      <c r="H13" s="1"/>
      <c r="I13" s="1"/>
      <c r="J13" s="24" t="s">
        <v>54</v>
      </c>
      <c r="K13" s="28">
        <v>0.120862</v>
      </c>
      <c r="L13" s="1"/>
      <c r="M13" s="1"/>
      <c r="N13" s="18"/>
    </row>
    <row r="14" spans="2:14" ht="15" customHeight="1" x14ac:dyDescent="0.25">
      <c r="B14" s="20"/>
      <c r="C14" s="5" t="s">
        <v>42</v>
      </c>
      <c r="D14" s="6" t="s">
        <v>22</v>
      </c>
      <c r="E14" s="11">
        <v>1.6957E-2</v>
      </c>
      <c r="F14" s="1"/>
      <c r="G14" s="1"/>
      <c r="H14" s="1"/>
      <c r="I14" s="1"/>
      <c r="J14" s="24" t="s">
        <v>47</v>
      </c>
      <c r="K14" s="28">
        <v>2.6879999999999999E-3</v>
      </c>
      <c r="L14" s="1"/>
      <c r="M14" s="1"/>
      <c r="N14" s="18"/>
    </row>
    <row r="15" spans="2:14" ht="15.75" customHeight="1" x14ac:dyDescent="0.25">
      <c r="B15" s="20"/>
      <c r="C15" s="7" t="s">
        <v>27</v>
      </c>
      <c r="D15" s="8"/>
      <c r="E15" s="12">
        <v>0.33533099999999999</v>
      </c>
      <c r="F15" s="1"/>
      <c r="G15" s="1"/>
      <c r="H15" s="1"/>
      <c r="I15" s="1"/>
      <c r="J15" s="24" t="s">
        <v>56</v>
      </c>
      <c r="K15" s="28">
        <v>4.2611000000000003E-2</v>
      </c>
      <c r="L15" s="1"/>
      <c r="M15" s="1"/>
      <c r="N15" s="18"/>
    </row>
    <row r="16" spans="2:14" ht="15" customHeight="1" x14ac:dyDescent="0.25">
      <c r="B16" s="20"/>
      <c r="C16" s="5" t="s">
        <v>31</v>
      </c>
      <c r="D16" s="6" t="s">
        <v>22</v>
      </c>
      <c r="E16" s="11">
        <v>8.1088999999999994E-2</v>
      </c>
      <c r="F16" s="1"/>
      <c r="G16" s="1"/>
      <c r="H16" s="1"/>
      <c r="I16" s="1"/>
      <c r="J16" s="24" t="s">
        <v>93</v>
      </c>
      <c r="K16" s="28">
        <v>5.9020999999999997E-2</v>
      </c>
      <c r="L16" s="1"/>
      <c r="M16" s="1"/>
      <c r="N16" s="18"/>
    </row>
    <row r="17" spans="2:14" ht="15" customHeight="1" x14ac:dyDescent="0.25">
      <c r="B17" s="20"/>
      <c r="C17" s="5" t="s">
        <v>156</v>
      </c>
      <c r="D17" s="6" t="s">
        <v>22</v>
      </c>
      <c r="E17" s="11">
        <v>3.3432000000000003E-2</v>
      </c>
      <c r="F17" s="1"/>
      <c r="G17" s="1"/>
      <c r="H17" s="1"/>
      <c r="I17" s="1"/>
      <c r="J17" s="1"/>
      <c r="K17" s="1"/>
      <c r="L17" s="1"/>
      <c r="M17" s="1"/>
      <c r="N17" s="18"/>
    </row>
    <row r="18" spans="2:14" ht="15" customHeight="1" x14ac:dyDescent="0.25">
      <c r="B18" s="20"/>
      <c r="C18" s="5" t="s">
        <v>79</v>
      </c>
      <c r="D18" s="6" t="s">
        <v>22</v>
      </c>
      <c r="E18" s="11">
        <v>6.3410000000000003E-3</v>
      </c>
      <c r="F18" s="1"/>
      <c r="G18" s="1"/>
      <c r="H18" s="1"/>
      <c r="I18" s="1"/>
      <c r="J18" s="1"/>
      <c r="K18" s="1"/>
      <c r="L18" s="1"/>
      <c r="M18" s="1"/>
      <c r="N18" s="18"/>
    </row>
    <row r="19" spans="2:14" ht="15.75" customHeight="1" x14ac:dyDescent="0.25">
      <c r="B19" s="20"/>
      <c r="C19" s="7" t="s">
        <v>28</v>
      </c>
      <c r="D19" s="8"/>
      <c r="E19" s="12">
        <v>0.120862</v>
      </c>
      <c r="F19" s="1"/>
      <c r="G19" s="1"/>
      <c r="H19" s="1"/>
      <c r="I19" s="1"/>
      <c r="J19" s="1"/>
      <c r="K19" s="1"/>
      <c r="L19" s="1"/>
      <c r="M19" s="1"/>
      <c r="N19" s="18"/>
    </row>
    <row r="20" spans="2:14" ht="15" customHeight="1" x14ac:dyDescent="0.25">
      <c r="B20" s="20"/>
      <c r="C20" s="5" t="s">
        <v>35</v>
      </c>
      <c r="D20" s="6" t="s">
        <v>30</v>
      </c>
      <c r="E20" s="11">
        <v>8.9856000000000005E-2</v>
      </c>
      <c r="F20" s="1"/>
      <c r="G20" s="1"/>
      <c r="H20" s="1"/>
      <c r="I20" s="1"/>
      <c r="J20" s="1"/>
      <c r="K20" s="1"/>
      <c r="L20" s="1"/>
      <c r="M20" s="1"/>
      <c r="N20" s="18"/>
    </row>
    <row r="21" spans="2:14" ht="15" customHeight="1" x14ac:dyDescent="0.25">
      <c r="B21" s="20"/>
      <c r="C21" s="5" t="s">
        <v>32</v>
      </c>
      <c r="D21" s="6" t="s">
        <v>30</v>
      </c>
      <c r="E21" s="11">
        <v>8.0188999999999996E-2</v>
      </c>
      <c r="F21" s="1"/>
      <c r="G21" s="1"/>
      <c r="H21" s="1"/>
      <c r="I21" s="1"/>
      <c r="J21" s="1"/>
      <c r="K21" s="1"/>
      <c r="L21" s="1"/>
      <c r="M21" s="1"/>
      <c r="N21" s="18"/>
    </row>
    <row r="22" spans="2:14" ht="15" customHeight="1" x14ac:dyDescent="0.25">
      <c r="B22" s="20"/>
      <c r="C22" s="5" t="s">
        <v>34</v>
      </c>
      <c r="D22" s="6" t="s">
        <v>30</v>
      </c>
      <c r="E22" s="11">
        <v>4.4176E-2</v>
      </c>
      <c r="F22" s="1"/>
      <c r="G22" s="1"/>
      <c r="H22" s="1"/>
      <c r="I22" s="1"/>
      <c r="J22" s="1"/>
      <c r="K22" s="1"/>
      <c r="L22" s="1"/>
      <c r="M22" s="1"/>
      <c r="N22" s="18"/>
    </row>
    <row r="23" spans="2:14" ht="15" customHeight="1" x14ac:dyDescent="0.25">
      <c r="B23" s="20"/>
      <c r="C23" s="5" t="s">
        <v>41</v>
      </c>
      <c r="D23" s="6" t="s">
        <v>30</v>
      </c>
      <c r="E23" s="11">
        <v>3.5096000000000002E-2</v>
      </c>
      <c r="F23" s="1"/>
      <c r="G23" s="1"/>
      <c r="H23" s="1"/>
      <c r="I23" s="1"/>
      <c r="J23" s="1"/>
      <c r="K23" s="1"/>
      <c r="L23" s="1"/>
      <c r="M23" s="1"/>
      <c r="N23" s="18"/>
    </row>
    <row r="24" spans="2:14" ht="15" customHeight="1" x14ac:dyDescent="0.25">
      <c r="B24" s="20"/>
      <c r="C24" s="5" t="s">
        <v>78</v>
      </c>
      <c r="D24" s="6" t="s">
        <v>30</v>
      </c>
      <c r="E24" s="11">
        <v>2.6790999999999999E-2</v>
      </c>
      <c r="F24" s="1"/>
      <c r="G24" s="83" t="s">
        <v>131</v>
      </c>
      <c r="H24" s="84"/>
      <c r="I24" s="84"/>
      <c r="J24" s="84"/>
      <c r="K24" s="84"/>
      <c r="L24" s="64">
        <v>167.18622807587124</v>
      </c>
      <c r="M24" s="26"/>
      <c r="N24" s="27"/>
    </row>
    <row r="25" spans="2:14" ht="15" customHeight="1" x14ac:dyDescent="0.25">
      <c r="B25" s="20"/>
      <c r="C25" s="5" t="s">
        <v>79</v>
      </c>
      <c r="D25" s="6" t="s">
        <v>30</v>
      </c>
      <c r="E25" s="11">
        <v>2.6592000000000001E-2</v>
      </c>
      <c r="F25" s="1"/>
      <c r="G25" s="1"/>
      <c r="H25" s="1"/>
      <c r="I25" s="1"/>
      <c r="J25" s="1"/>
      <c r="K25" s="1"/>
      <c r="L25" s="1"/>
      <c r="M25" s="1"/>
      <c r="N25" s="18"/>
    </row>
    <row r="26" spans="2:14" ht="15" customHeight="1" x14ac:dyDescent="0.25">
      <c r="B26" s="20"/>
      <c r="C26" s="5" t="s">
        <v>155</v>
      </c>
      <c r="D26" s="6" t="s">
        <v>30</v>
      </c>
      <c r="E26" s="11">
        <v>2.2641999999999999E-2</v>
      </c>
      <c r="F26" s="1"/>
      <c r="G26" s="83" t="s">
        <v>18</v>
      </c>
      <c r="H26" s="84"/>
      <c r="I26" s="84"/>
      <c r="J26" s="84"/>
      <c r="K26" s="84"/>
      <c r="L26" s="84"/>
      <c r="M26" s="84"/>
      <c r="N26" s="85"/>
    </row>
    <row r="27" spans="2:14" ht="15" customHeight="1" x14ac:dyDescent="0.25">
      <c r="B27" s="20"/>
      <c r="C27" s="5" t="s">
        <v>77</v>
      </c>
      <c r="D27" s="6" t="s">
        <v>30</v>
      </c>
      <c r="E27" s="11">
        <v>1.3390000000000001E-2</v>
      </c>
      <c r="F27" s="1"/>
      <c r="G27" s="1"/>
      <c r="H27" s="1"/>
      <c r="I27" s="1"/>
      <c r="J27" s="1"/>
      <c r="K27" s="1"/>
      <c r="L27" s="1"/>
      <c r="M27" s="1"/>
      <c r="N27" s="18"/>
    </row>
    <row r="28" spans="2:14" ht="15" customHeight="1" x14ac:dyDescent="0.25">
      <c r="B28" s="20"/>
      <c r="C28" s="5" t="s">
        <v>31</v>
      </c>
      <c r="D28" s="6" t="s">
        <v>30</v>
      </c>
      <c r="E28" s="11">
        <v>1.1882E-2</v>
      </c>
      <c r="F28" s="1"/>
      <c r="G28" s="1"/>
      <c r="H28" s="1"/>
      <c r="I28" s="1"/>
      <c r="J28" s="1"/>
      <c r="K28" s="1"/>
      <c r="L28" s="1"/>
      <c r="M28" s="1"/>
      <c r="N28" s="18"/>
    </row>
    <row r="29" spans="2:14" ht="15" customHeight="1" x14ac:dyDescent="0.25">
      <c r="B29" s="20"/>
      <c r="C29" s="5" t="s">
        <v>179</v>
      </c>
      <c r="D29" s="6" t="s">
        <v>30</v>
      </c>
      <c r="E29" s="11">
        <v>6.7749999999999998E-3</v>
      </c>
      <c r="F29" s="1"/>
      <c r="G29" s="1"/>
      <c r="H29" s="1"/>
      <c r="I29" s="1"/>
      <c r="J29" s="1"/>
      <c r="K29" s="1"/>
      <c r="L29" s="1"/>
      <c r="M29" s="1"/>
      <c r="N29" s="18"/>
    </row>
    <row r="30" spans="2:14" ht="15" customHeight="1" x14ac:dyDescent="0.25">
      <c r="B30" s="20"/>
      <c r="C30" s="5" t="s">
        <v>23</v>
      </c>
      <c r="D30" s="6" t="s">
        <v>30</v>
      </c>
      <c r="E30" s="11">
        <v>6.7340000000000004E-3</v>
      </c>
      <c r="F30" s="1"/>
      <c r="G30" s="1"/>
      <c r="H30" s="1"/>
      <c r="I30" s="1"/>
      <c r="J30" s="1"/>
      <c r="K30" s="1"/>
      <c r="L30" s="1"/>
      <c r="M30" s="1"/>
      <c r="N30" s="18"/>
    </row>
    <row r="31" spans="2:14" ht="15" customHeight="1" x14ac:dyDescent="0.25">
      <c r="B31" s="20"/>
      <c r="C31" s="5" t="s">
        <v>85</v>
      </c>
      <c r="D31" s="6" t="s">
        <v>30</v>
      </c>
      <c r="E31" s="11">
        <v>6.7330000000000003E-3</v>
      </c>
      <c r="F31" s="1"/>
      <c r="G31" s="1"/>
      <c r="H31" s="1"/>
      <c r="I31" s="1"/>
      <c r="J31" s="1"/>
      <c r="K31" s="1"/>
      <c r="L31" s="1"/>
      <c r="M31" s="1"/>
      <c r="N31" s="18"/>
    </row>
    <row r="32" spans="2:14" ht="15" customHeight="1" x14ac:dyDescent="0.25">
      <c r="B32" s="20"/>
      <c r="C32" s="5" t="s">
        <v>36</v>
      </c>
      <c r="D32" s="6" t="s">
        <v>30</v>
      </c>
      <c r="E32" s="11">
        <v>6.6889999999999996E-3</v>
      </c>
      <c r="F32" s="1"/>
      <c r="G32" s="1"/>
      <c r="H32" s="1"/>
      <c r="I32" s="1"/>
      <c r="J32" s="1"/>
      <c r="K32" s="1"/>
      <c r="L32" s="1"/>
      <c r="M32" s="1"/>
      <c r="N32" s="18"/>
    </row>
    <row r="33" spans="2:14" ht="15.75" customHeight="1" x14ac:dyDescent="0.25">
      <c r="B33" s="20"/>
      <c r="C33" s="7" t="s">
        <v>46</v>
      </c>
      <c r="D33" s="8"/>
      <c r="E33" s="12">
        <v>0.37754500000000002</v>
      </c>
      <c r="F33" s="1"/>
      <c r="G33" s="1"/>
      <c r="H33" s="1"/>
      <c r="I33" s="1"/>
      <c r="J33" s="1"/>
      <c r="K33" s="1"/>
      <c r="L33" s="1"/>
      <c r="M33" s="1"/>
      <c r="N33" s="18"/>
    </row>
    <row r="34" spans="2:14" ht="15" customHeight="1" x14ac:dyDescent="0.25">
      <c r="B34" s="20"/>
      <c r="C34" s="5" t="s">
        <v>47</v>
      </c>
      <c r="D34" s="6"/>
      <c r="E34" s="11">
        <v>2.6879999999999999E-3</v>
      </c>
      <c r="F34" s="1"/>
      <c r="G34" s="1"/>
      <c r="H34" s="1"/>
      <c r="I34" s="1"/>
      <c r="J34" s="1"/>
      <c r="K34" s="1"/>
      <c r="L34" s="1"/>
      <c r="M34" s="1"/>
      <c r="N34" s="18"/>
    </row>
    <row r="35" spans="2:14" ht="15.75" customHeight="1" x14ac:dyDescent="0.25">
      <c r="B35" s="20"/>
      <c r="C35" s="7" t="s">
        <v>48</v>
      </c>
      <c r="D35" s="8"/>
      <c r="E35" s="12">
        <v>2.6879999999999999E-3</v>
      </c>
      <c r="F35" s="1"/>
      <c r="G35" s="1"/>
      <c r="H35" s="1"/>
      <c r="I35" s="1"/>
      <c r="J35" s="1"/>
      <c r="K35" s="1"/>
      <c r="L35" s="1"/>
      <c r="M35" s="1"/>
      <c r="N35" s="18"/>
    </row>
    <row r="36" spans="2:14" ht="15" customHeight="1" x14ac:dyDescent="0.25">
      <c r="B36" s="20"/>
      <c r="C36" s="5" t="s">
        <v>188</v>
      </c>
      <c r="D36" s="6" t="s">
        <v>181</v>
      </c>
      <c r="E36" s="11">
        <v>2.1746000000000001E-2</v>
      </c>
      <c r="F36" s="1"/>
      <c r="G36" s="1"/>
      <c r="H36" s="1"/>
      <c r="I36" s="1"/>
      <c r="J36" s="1"/>
      <c r="K36" s="1"/>
      <c r="L36" s="1"/>
      <c r="M36" s="1"/>
      <c r="N36" s="18"/>
    </row>
    <row r="37" spans="2:14" ht="15.75" customHeight="1" x14ac:dyDescent="0.25">
      <c r="B37" s="20"/>
      <c r="C37" s="5" t="s">
        <v>205</v>
      </c>
      <c r="D37" s="6" t="s">
        <v>181</v>
      </c>
      <c r="E37" s="11">
        <v>7.0679999999999996E-3</v>
      </c>
      <c r="F37" s="1"/>
      <c r="G37" s="1"/>
      <c r="H37" s="1"/>
      <c r="I37" s="1"/>
      <c r="J37" s="1"/>
      <c r="K37" s="1"/>
      <c r="L37" s="1"/>
      <c r="M37" s="1"/>
      <c r="N37" s="18"/>
    </row>
    <row r="38" spans="2:14" ht="15" customHeight="1" x14ac:dyDescent="0.25">
      <c r="B38" s="20"/>
      <c r="C38" s="5" t="s">
        <v>203</v>
      </c>
      <c r="D38" s="6" t="s">
        <v>181</v>
      </c>
      <c r="E38" s="11">
        <v>6.9899999999999997E-3</v>
      </c>
      <c r="F38" s="1"/>
      <c r="G38" s="1"/>
      <c r="H38" s="1"/>
      <c r="I38" s="1"/>
      <c r="J38" s="1"/>
      <c r="K38" s="1"/>
      <c r="L38" s="1"/>
      <c r="M38" s="1"/>
      <c r="N38" s="18"/>
    </row>
    <row r="39" spans="2:14" ht="15" customHeight="1" x14ac:dyDescent="0.25">
      <c r="B39" s="20"/>
      <c r="C39" s="5" t="s">
        <v>204</v>
      </c>
      <c r="D39" s="6" t="s">
        <v>181</v>
      </c>
      <c r="E39" s="11">
        <v>4.0790000000000002E-3</v>
      </c>
      <c r="F39" s="1"/>
      <c r="G39" s="1"/>
      <c r="H39" s="1"/>
      <c r="I39" s="1"/>
      <c r="J39" s="1"/>
      <c r="K39" s="1"/>
      <c r="L39" s="1"/>
      <c r="M39" s="1"/>
      <c r="N39" s="18"/>
    </row>
    <row r="40" spans="2:14" ht="15" customHeight="1" x14ac:dyDescent="0.25">
      <c r="B40" s="20"/>
      <c r="C40" s="5" t="s">
        <v>206</v>
      </c>
      <c r="D40" s="6" t="s">
        <v>181</v>
      </c>
      <c r="E40" s="11">
        <v>2.728E-3</v>
      </c>
      <c r="F40" s="1"/>
      <c r="G40" s="1"/>
      <c r="H40" s="1"/>
      <c r="I40" s="1"/>
      <c r="J40" s="1"/>
      <c r="K40" s="1"/>
      <c r="L40" s="1"/>
      <c r="M40" s="1"/>
      <c r="N40" s="18"/>
    </row>
    <row r="41" spans="2:14" ht="15.75" customHeight="1" x14ac:dyDescent="0.25">
      <c r="B41" s="20"/>
      <c r="C41" s="7" t="s">
        <v>51</v>
      </c>
      <c r="D41" s="8"/>
      <c r="E41" s="12">
        <v>4.2611000000000003E-2</v>
      </c>
      <c r="F41" s="1"/>
      <c r="G41" s="1"/>
      <c r="H41" s="1"/>
      <c r="I41" s="1"/>
      <c r="J41" s="1"/>
      <c r="K41" s="1"/>
      <c r="L41" s="1"/>
      <c r="M41" s="1"/>
      <c r="N41" s="18"/>
    </row>
    <row r="42" spans="2:14" ht="15" customHeight="1" x14ac:dyDescent="0.25">
      <c r="B42" s="20"/>
      <c r="C42" s="5" t="s">
        <v>160</v>
      </c>
      <c r="D42" s="6" t="s">
        <v>181</v>
      </c>
      <c r="E42" s="11">
        <v>4.0237000000000002E-2</v>
      </c>
      <c r="F42" s="1"/>
      <c r="G42" s="1"/>
      <c r="H42" s="1"/>
      <c r="I42" s="1"/>
      <c r="J42" s="1"/>
      <c r="K42" s="1"/>
      <c r="L42" s="1"/>
      <c r="M42" s="1"/>
      <c r="N42" s="18"/>
    </row>
    <row r="43" spans="2:14" ht="15.75" customHeight="1" x14ac:dyDescent="0.25">
      <c r="B43" s="20"/>
      <c r="C43" s="5" t="s">
        <v>180</v>
      </c>
      <c r="D43" s="6" t="s">
        <v>181</v>
      </c>
      <c r="E43" s="11">
        <v>1.3159000000000001E-2</v>
      </c>
      <c r="F43" s="1"/>
      <c r="G43" s="1"/>
      <c r="H43" s="1"/>
      <c r="I43" s="1"/>
      <c r="J43" s="1"/>
      <c r="K43" s="1"/>
      <c r="L43" s="1"/>
      <c r="M43" s="1"/>
      <c r="N43" s="18"/>
    </row>
    <row r="44" spans="2:14" ht="15" customHeight="1" x14ac:dyDescent="0.25">
      <c r="B44" s="20"/>
      <c r="C44" s="5" t="s">
        <v>165</v>
      </c>
      <c r="D44" s="6" t="s">
        <v>181</v>
      </c>
      <c r="E44" s="11">
        <v>5.6249999999999998E-3</v>
      </c>
      <c r="F44" s="1"/>
      <c r="G44" s="1"/>
      <c r="H44" s="1"/>
      <c r="I44" s="1"/>
      <c r="J44" s="1"/>
      <c r="K44" s="1"/>
      <c r="L44" s="1"/>
      <c r="M44" s="1"/>
      <c r="N44" s="18"/>
    </row>
    <row r="45" spans="2:14" ht="15.75" customHeight="1" x14ac:dyDescent="0.25">
      <c r="B45" s="20"/>
      <c r="C45" s="7" t="s">
        <v>92</v>
      </c>
      <c r="D45" s="8"/>
      <c r="E45" s="12">
        <v>5.9020999999999997E-2</v>
      </c>
      <c r="F45" s="1"/>
      <c r="G45" s="1"/>
      <c r="H45" s="1"/>
      <c r="I45" s="1"/>
      <c r="J45" s="1"/>
      <c r="K45" s="1"/>
      <c r="L45" s="1"/>
      <c r="M45" s="1"/>
      <c r="N45" s="18"/>
    </row>
    <row r="46" spans="2:14" ht="15" customHeight="1" x14ac:dyDescent="0.25">
      <c r="B46" s="20"/>
      <c r="C46" s="5" t="s">
        <v>8</v>
      </c>
      <c r="D46" s="6"/>
      <c r="E46" s="11">
        <v>5.8881000000000003E-2</v>
      </c>
      <c r="F46" s="1"/>
      <c r="G46" s="1"/>
      <c r="H46" s="1"/>
      <c r="I46" s="1"/>
      <c r="J46" s="1"/>
      <c r="K46" s="1"/>
      <c r="L46" s="1"/>
      <c r="M46" s="1"/>
      <c r="N46" s="18"/>
    </row>
    <row r="47" spans="2:14" ht="15" customHeight="1" x14ac:dyDescent="0.25">
      <c r="B47" s="20"/>
      <c r="C47" s="7" t="s">
        <v>9</v>
      </c>
      <c r="D47" s="8"/>
      <c r="E47" s="12">
        <v>5.8881000000000003E-2</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 customHeight="1" x14ac:dyDescent="0.25">
      <c r="B49" s="20"/>
      <c r="C49" s="7" t="s">
        <v>10</v>
      </c>
      <c r="D49" s="8"/>
      <c r="E49" s="12">
        <v>3.0609999999999999E-3</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9" t="s">
        <v>11</v>
      </c>
      <c r="D51" s="10"/>
      <c r="E51" s="13">
        <v>1</v>
      </c>
      <c r="F51" s="1"/>
      <c r="G51" s="1"/>
      <c r="H51" s="1"/>
      <c r="I51" s="1"/>
      <c r="J51" s="1"/>
      <c r="K51" s="1"/>
      <c r="L51" s="1"/>
      <c r="M51" s="1"/>
      <c r="N51" s="18"/>
    </row>
    <row r="52" spans="2:14" ht="15" customHeight="1" x14ac:dyDescent="0.25">
      <c r="B52" s="20"/>
      <c r="C52" s="1"/>
      <c r="D52" s="1"/>
      <c r="E52" s="1"/>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thickBot="1" x14ac:dyDescent="0.3"/>
    <row r="55" spans="2:14" ht="15" customHeight="1" x14ac:dyDescent="0.25">
      <c r="B55" s="66" t="s">
        <v>291</v>
      </c>
      <c r="C55" s="67"/>
      <c r="D55" s="67"/>
      <c r="E55" s="67"/>
      <c r="F55" s="67"/>
      <c r="G55" s="67"/>
      <c r="H55" s="67"/>
      <c r="I55" s="67"/>
      <c r="J55" s="67"/>
      <c r="K55" s="67"/>
      <c r="L55" s="67"/>
      <c r="M55" s="67"/>
      <c r="N55" s="68"/>
    </row>
    <row r="56" spans="2:14" ht="15" customHeight="1" x14ac:dyDescent="0.25">
      <c r="B56" s="69"/>
      <c r="C56" s="70"/>
      <c r="D56" s="70"/>
      <c r="E56" s="70"/>
      <c r="F56" s="70"/>
      <c r="G56" s="70"/>
      <c r="H56" s="70"/>
      <c r="I56" s="70"/>
      <c r="J56" s="70"/>
      <c r="K56" s="70"/>
      <c r="L56" s="70"/>
      <c r="M56" s="70"/>
      <c r="N56" s="71"/>
    </row>
    <row r="57" spans="2:14" ht="15" customHeight="1" x14ac:dyDescent="0.25">
      <c r="B57" s="69"/>
      <c r="C57" s="70"/>
      <c r="D57" s="70"/>
      <c r="E57" s="70"/>
      <c r="F57" s="70"/>
      <c r="G57" s="70"/>
      <c r="H57" s="70"/>
      <c r="I57" s="70"/>
      <c r="J57" s="70"/>
      <c r="K57" s="70"/>
      <c r="L57" s="70"/>
      <c r="M57" s="70"/>
      <c r="N57" s="71"/>
    </row>
    <row r="58" spans="2:14" ht="15" customHeight="1" thickBot="1" x14ac:dyDescent="0.3">
      <c r="B58" s="72"/>
      <c r="C58" s="73"/>
      <c r="D58" s="73"/>
      <c r="E58" s="73"/>
      <c r="F58" s="73"/>
      <c r="G58" s="73"/>
      <c r="H58" s="73"/>
      <c r="I58" s="73"/>
      <c r="J58" s="73"/>
      <c r="K58" s="73"/>
      <c r="L58" s="73"/>
      <c r="M58" s="73"/>
      <c r="N58" s="74"/>
    </row>
    <row r="59" spans="2:14" ht="15" customHeight="1" thickBot="1" x14ac:dyDescent="0.3"/>
    <row r="60" spans="2:14" ht="117.75" customHeight="1" thickBot="1" x14ac:dyDescent="0.3">
      <c r="B60" s="75" t="s">
        <v>290</v>
      </c>
      <c r="C60" s="76"/>
      <c r="D60" s="76"/>
      <c r="E60" s="76"/>
      <c r="F60" s="76"/>
      <c r="G60" s="76"/>
      <c r="H60" s="76"/>
      <c r="I60" s="76"/>
      <c r="J60" s="76"/>
      <c r="K60" s="76"/>
      <c r="L60" s="76"/>
      <c r="M60" s="76"/>
      <c r="N60" s="77"/>
    </row>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sheetData>
  <sortState ref="C36:E40">
    <sortCondition descending="1" ref="E36"/>
  </sortState>
  <mergeCells count="7">
    <mergeCell ref="B55:N58"/>
    <mergeCell ref="B60:N60"/>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1425F-A7BF-4343-8E14-440742A0D680}">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134</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135</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47</v>
      </c>
      <c r="D8" s="6"/>
      <c r="E8" s="11">
        <v>2.6329999999999999E-3</v>
      </c>
      <c r="F8" s="1"/>
      <c r="G8" s="24" t="s">
        <v>15</v>
      </c>
      <c r="H8" s="25">
        <v>1</v>
      </c>
      <c r="I8" s="1"/>
      <c r="J8" s="24" t="s">
        <v>12</v>
      </c>
      <c r="K8" s="24" t="s">
        <v>5</v>
      </c>
      <c r="L8" s="1"/>
      <c r="M8" s="1"/>
      <c r="N8" s="18"/>
    </row>
    <row r="9" spans="2:14" ht="15.75" customHeight="1" x14ac:dyDescent="0.25">
      <c r="B9" s="20"/>
      <c r="C9" s="7" t="s">
        <v>48</v>
      </c>
      <c r="D9" s="8"/>
      <c r="E9" s="12">
        <v>2.6329999999999999E-3</v>
      </c>
      <c r="F9" s="1"/>
      <c r="G9" s="1"/>
      <c r="H9" s="1"/>
      <c r="I9" s="1"/>
      <c r="J9" s="24" t="s">
        <v>10</v>
      </c>
      <c r="K9" s="28">
        <v>6.3480000000000003E-3</v>
      </c>
      <c r="L9" s="1"/>
      <c r="M9" s="1"/>
      <c r="N9" s="18"/>
    </row>
    <row r="10" spans="2:14" ht="15" customHeight="1" x14ac:dyDescent="0.25">
      <c r="B10" s="20"/>
      <c r="C10" s="5" t="s">
        <v>61</v>
      </c>
      <c r="D10" s="6" t="s">
        <v>181</v>
      </c>
      <c r="E10" s="11">
        <v>0.65465899999999999</v>
      </c>
      <c r="F10" s="1"/>
      <c r="G10" s="1"/>
      <c r="H10" s="1"/>
      <c r="I10" s="1"/>
      <c r="J10" s="24" t="s">
        <v>13</v>
      </c>
      <c r="K10" s="28">
        <v>1.4499999999999999E-3</v>
      </c>
      <c r="L10" s="1"/>
      <c r="M10" s="1"/>
      <c r="N10" s="18"/>
    </row>
    <row r="11" spans="2:14" ht="15" customHeight="1" x14ac:dyDescent="0.25">
      <c r="B11" s="20"/>
      <c r="C11" s="5" t="s">
        <v>59</v>
      </c>
      <c r="D11" s="6" t="s">
        <v>181</v>
      </c>
      <c r="E11" s="11">
        <v>0.33481499999999997</v>
      </c>
      <c r="F11" s="1"/>
      <c r="G11" s="1"/>
      <c r="H11" s="1"/>
      <c r="I11" s="1"/>
      <c r="J11" s="24" t="s">
        <v>47</v>
      </c>
      <c r="K11" s="28">
        <v>2.6329999999999999E-3</v>
      </c>
      <c r="L11" s="1"/>
      <c r="M11" s="1"/>
      <c r="N11" s="18"/>
    </row>
    <row r="12" spans="2:14" ht="15" customHeight="1" x14ac:dyDescent="0.25">
      <c r="B12" s="20"/>
      <c r="C12" s="5" t="s">
        <v>136</v>
      </c>
      <c r="D12" s="6" t="s">
        <v>181</v>
      </c>
      <c r="E12" s="29">
        <v>4.8000000000000001E-5</v>
      </c>
      <c r="F12" s="1"/>
      <c r="G12" s="1"/>
      <c r="H12" s="1"/>
      <c r="I12" s="1"/>
      <c r="J12" s="24" t="s">
        <v>55</v>
      </c>
      <c r="K12" s="28">
        <v>0.98956900000000003</v>
      </c>
      <c r="L12" s="1"/>
      <c r="M12" s="1"/>
      <c r="N12" s="18"/>
    </row>
    <row r="13" spans="2:14" ht="15" customHeight="1" x14ac:dyDescent="0.25">
      <c r="B13" s="20"/>
      <c r="C13" s="5" t="s">
        <v>127</v>
      </c>
      <c r="D13" s="6" t="s">
        <v>181</v>
      </c>
      <c r="E13" s="29">
        <v>4.6999999999999997E-5</v>
      </c>
      <c r="F13" s="1"/>
      <c r="G13" s="1"/>
      <c r="H13" s="1"/>
      <c r="I13" s="1"/>
      <c r="J13" s="1"/>
      <c r="K13" s="1"/>
      <c r="L13" s="1"/>
      <c r="M13" s="1"/>
      <c r="N13" s="18"/>
    </row>
    <row r="14" spans="2:14" ht="15.75" customHeight="1" x14ac:dyDescent="0.25">
      <c r="B14" s="20"/>
      <c r="C14" s="7" t="s">
        <v>50</v>
      </c>
      <c r="D14" s="8"/>
      <c r="E14" s="12">
        <v>0.98956900000000003</v>
      </c>
      <c r="F14" s="1"/>
      <c r="G14" s="1"/>
      <c r="H14" s="1"/>
      <c r="I14" s="1"/>
      <c r="J14" s="1"/>
      <c r="K14" s="1"/>
      <c r="L14" s="1"/>
      <c r="M14" s="1"/>
      <c r="N14" s="18"/>
    </row>
    <row r="15" spans="2:14" ht="15" customHeight="1" x14ac:dyDescent="0.25">
      <c r="B15" s="20"/>
      <c r="C15" s="5" t="s">
        <v>8</v>
      </c>
      <c r="D15" s="6"/>
      <c r="E15" s="11">
        <v>1.4499999999999999E-3</v>
      </c>
      <c r="F15" s="1"/>
      <c r="G15" s="1"/>
      <c r="H15" s="1"/>
      <c r="I15" s="1"/>
      <c r="J15" s="1"/>
      <c r="K15" s="1"/>
      <c r="L15" s="1"/>
      <c r="M15" s="1"/>
      <c r="N15" s="18"/>
    </row>
    <row r="16" spans="2:14" ht="15.75" customHeight="1" x14ac:dyDescent="0.25">
      <c r="B16" s="20"/>
      <c r="C16" s="7" t="s">
        <v>9</v>
      </c>
      <c r="D16" s="8"/>
      <c r="E16" s="12">
        <v>1.4499999999999999E-3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10</v>
      </c>
      <c r="D18" s="8"/>
      <c r="E18" s="12">
        <v>6.3480000000000003E-3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11</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65">
        <v>23.997772120966697</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6" t="s">
        <v>291</v>
      </c>
      <c r="C45" s="67"/>
      <c r="D45" s="67"/>
      <c r="E45" s="67"/>
      <c r="F45" s="67"/>
      <c r="G45" s="67"/>
      <c r="H45" s="67"/>
      <c r="I45" s="67"/>
      <c r="J45" s="67"/>
      <c r="K45" s="67"/>
      <c r="L45" s="67"/>
      <c r="M45" s="67"/>
      <c r="N45" s="68"/>
    </row>
    <row r="46" spans="2:14" x14ac:dyDescent="0.25">
      <c r="B46" s="69"/>
      <c r="C46" s="70"/>
      <c r="D46" s="70"/>
      <c r="E46" s="70"/>
      <c r="F46" s="70"/>
      <c r="G46" s="70"/>
      <c r="H46" s="70"/>
      <c r="I46" s="70"/>
      <c r="J46" s="70"/>
      <c r="K46" s="70"/>
      <c r="L46" s="70"/>
      <c r="M46" s="70"/>
      <c r="N46" s="71"/>
    </row>
    <row r="47" spans="2:14" x14ac:dyDescent="0.25">
      <c r="B47" s="69"/>
      <c r="C47" s="70"/>
      <c r="D47" s="70"/>
      <c r="E47" s="70"/>
      <c r="F47" s="70"/>
      <c r="G47" s="70"/>
      <c r="H47" s="70"/>
      <c r="I47" s="70"/>
      <c r="J47" s="70"/>
      <c r="K47" s="70"/>
      <c r="L47" s="70"/>
      <c r="M47" s="70"/>
      <c r="N47" s="71"/>
    </row>
    <row r="48" spans="2:14" ht="15.75" thickBot="1" x14ac:dyDescent="0.3">
      <c r="B48" s="72"/>
      <c r="C48" s="73"/>
      <c r="D48" s="73"/>
      <c r="E48" s="73"/>
      <c r="F48" s="73"/>
      <c r="G48" s="73"/>
      <c r="H48" s="73"/>
      <c r="I48" s="73"/>
      <c r="J48" s="73"/>
      <c r="K48" s="73"/>
      <c r="L48" s="73"/>
      <c r="M48" s="73"/>
      <c r="N48" s="74"/>
    </row>
    <row r="49" spans="2:14" ht="15.75" thickBot="1" x14ac:dyDescent="0.3"/>
    <row r="50" spans="2:14" ht="120.75" customHeight="1" thickBot="1" x14ac:dyDescent="0.3">
      <c r="B50" s="75" t="s">
        <v>290</v>
      </c>
      <c r="C50" s="76"/>
      <c r="D50" s="76"/>
      <c r="E50" s="76"/>
      <c r="F50" s="76"/>
      <c r="G50" s="76"/>
      <c r="H50" s="76"/>
      <c r="I50" s="76"/>
      <c r="J50" s="76"/>
      <c r="K50" s="76"/>
      <c r="L50" s="76"/>
      <c r="M50" s="76"/>
      <c r="N50" s="77"/>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6CB97-8E5B-4E93-8704-8512FFDBFCD4}">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57</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58</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33</v>
      </c>
      <c r="D8" s="6" t="s">
        <v>30</v>
      </c>
      <c r="E8" s="11">
        <v>0.108097</v>
      </c>
      <c r="F8" s="1"/>
      <c r="G8" s="24" t="s">
        <v>15</v>
      </c>
      <c r="H8" s="25">
        <v>1</v>
      </c>
      <c r="I8" s="1"/>
      <c r="J8" s="24" t="s">
        <v>12</v>
      </c>
      <c r="K8" s="24" t="s">
        <v>5</v>
      </c>
      <c r="L8" s="1"/>
      <c r="M8" s="1"/>
      <c r="N8" s="18"/>
    </row>
    <row r="9" spans="2:14" ht="15" customHeight="1" x14ac:dyDescent="0.25">
      <c r="B9" s="20"/>
      <c r="C9" s="5" t="s">
        <v>32</v>
      </c>
      <c r="D9" s="6" t="s">
        <v>30</v>
      </c>
      <c r="E9" s="11">
        <v>0.100649</v>
      </c>
      <c r="F9" s="1"/>
      <c r="G9" s="1"/>
      <c r="H9" s="1"/>
      <c r="I9" s="1"/>
      <c r="J9" s="24" t="s">
        <v>10</v>
      </c>
      <c r="K9" s="28">
        <v>9.2479999999999993E-3</v>
      </c>
      <c r="L9" s="1"/>
      <c r="M9" s="1"/>
      <c r="N9" s="18"/>
    </row>
    <row r="10" spans="2:14" ht="15" customHeight="1" x14ac:dyDescent="0.25">
      <c r="B10" s="20"/>
      <c r="C10" s="5" t="s">
        <v>36</v>
      </c>
      <c r="D10" s="6" t="s">
        <v>30</v>
      </c>
      <c r="E10" s="11">
        <v>5.0604000000000003E-2</v>
      </c>
      <c r="F10" s="1"/>
      <c r="G10" s="1"/>
      <c r="H10" s="1"/>
      <c r="I10" s="1"/>
      <c r="J10" s="24" t="s">
        <v>13</v>
      </c>
      <c r="K10" s="28">
        <v>1.2274E-2</v>
      </c>
      <c r="L10" s="1"/>
      <c r="M10" s="1"/>
      <c r="N10" s="18"/>
    </row>
    <row r="11" spans="2:14" ht="15.75" customHeight="1" x14ac:dyDescent="0.25">
      <c r="B11" s="20"/>
      <c r="C11" s="7" t="s">
        <v>46</v>
      </c>
      <c r="D11" s="8"/>
      <c r="E11" s="12">
        <v>0.25935000000000002</v>
      </c>
      <c r="F11" s="1"/>
      <c r="G11" s="1"/>
      <c r="H11" s="1"/>
      <c r="I11" s="1"/>
      <c r="J11" s="24" t="s">
        <v>53</v>
      </c>
      <c r="K11" s="28">
        <v>0.25935000000000002</v>
      </c>
      <c r="L11" s="1"/>
      <c r="M11" s="1"/>
      <c r="N11" s="18"/>
    </row>
    <row r="12" spans="2:14" ht="15" customHeight="1" x14ac:dyDescent="0.25">
      <c r="B12" s="20"/>
      <c r="C12" s="5" t="s">
        <v>47</v>
      </c>
      <c r="D12" s="6"/>
      <c r="E12" s="11">
        <v>2.5709999999999999E-3</v>
      </c>
      <c r="F12" s="1"/>
      <c r="G12" s="1"/>
      <c r="H12" s="1"/>
      <c r="I12" s="1"/>
      <c r="J12" s="24" t="s">
        <v>47</v>
      </c>
      <c r="K12" s="28">
        <v>2.5709999999999999E-3</v>
      </c>
      <c r="L12" s="1"/>
      <c r="M12" s="1"/>
      <c r="N12" s="18"/>
    </row>
    <row r="13" spans="2:14" ht="15.75" customHeight="1" x14ac:dyDescent="0.25">
      <c r="B13" s="20"/>
      <c r="C13" s="7" t="s">
        <v>48</v>
      </c>
      <c r="D13" s="8"/>
      <c r="E13" s="12">
        <v>2.5709999999999999E-3</v>
      </c>
      <c r="F13" s="1"/>
      <c r="G13" s="1"/>
      <c r="H13" s="1"/>
      <c r="I13" s="1"/>
      <c r="J13" s="24" t="s">
        <v>55</v>
      </c>
      <c r="K13" s="28">
        <v>0.716557</v>
      </c>
      <c r="L13" s="1"/>
      <c r="M13" s="1"/>
      <c r="N13" s="18"/>
    </row>
    <row r="14" spans="2:14" ht="15" customHeight="1" x14ac:dyDescent="0.25">
      <c r="B14" s="20"/>
      <c r="C14" s="5" t="s">
        <v>59</v>
      </c>
      <c r="D14" s="6" t="s">
        <v>181</v>
      </c>
      <c r="E14" s="11">
        <v>0.51639500000000005</v>
      </c>
      <c r="F14" s="1"/>
      <c r="G14" s="1"/>
      <c r="H14" s="1"/>
      <c r="I14" s="1"/>
      <c r="J14" s="1"/>
      <c r="K14" s="1"/>
      <c r="L14" s="1"/>
      <c r="M14" s="1"/>
      <c r="N14" s="18"/>
    </row>
    <row r="15" spans="2:14" ht="15" customHeight="1" x14ac:dyDescent="0.25">
      <c r="B15" s="20"/>
      <c r="C15" s="5" t="s">
        <v>60</v>
      </c>
      <c r="D15" s="6" t="s">
        <v>181</v>
      </c>
      <c r="E15" s="11">
        <v>9.1661999999999993E-2</v>
      </c>
      <c r="F15" s="1"/>
      <c r="G15" s="1"/>
      <c r="H15" s="1"/>
      <c r="I15" s="1"/>
      <c r="J15" s="1"/>
      <c r="K15" s="1"/>
      <c r="L15" s="1"/>
      <c r="M15" s="1"/>
      <c r="N15" s="18"/>
    </row>
    <row r="16" spans="2:14" ht="15" customHeight="1" x14ac:dyDescent="0.25">
      <c r="B16" s="20"/>
      <c r="C16" s="5" t="s">
        <v>61</v>
      </c>
      <c r="D16" s="6" t="s">
        <v>181</v>
      </c>
      <c r="E16" s="11">
        <v>9.1497999999999996E-2</v>
      </c>
      <c r="F16" s="1"/>
      <c r="G16" s="1"/>
      <c r="H16" s="1"/>
      <c r="I16" s="1"/>
      <c r="J16" s="1"/>
      <c r="K16" s="1"/>
      <c r="L16" s="1"/>
      <c r="M16" s="1"/>
      <c r="N16" s="18"/>
    </row>
    <row r="17" spans="2:14" ht="15" customHeight="1" x14ac:dyDescent="0.25">
      <c r="B17" s="20"/>
      <c r="C17" s="5" t="s">
        <v>62</v>
      </c>
      <c r="D17" s="6" t="s">
        <v>181</v>
      </c>
      <c r="E17" s="11">
        <v>6.0920000000000002E-3</v>
      </c>
      <c r="F17" s="1"/>
      <c r="G17" s="1"/>
      <c r="H17" s="1"/>
      <c r="I17" s="1"/>
      <c r="J17" s="1"/>
      <c r="K17" s="1"/>
      <c r="L17" s="1"/>
      <c r="M17" s="1"/>
      <c r="N17" s="18"/>
    </row>
    <row r="18" spans="2:14" ht="15" customHeight="1" x14ac:dyDescent="0.25">
      <c r="B18" s="20"/>
      <c r="C18" s="5" t="s">
        <v>63</v>
      </c>
      <c r="D18" s="6" t="s">
        <v>181</v>
      </c>
      <c r="E18" s="11">
        <v>6.0829999999999999E-3</v>
      </c>
      <c r="F18" s="1"/>
      <c r="G18" s="1"/>
      <c r="H18" s="1"/>
      <c r="I18" s="1"/>
      <c r="J18" s="1"/>
      <c r="K18" s="1"/>
      <c r="L18" s="1"/>
      <c r="M18" s="1"/>
      <c r="N18" s="18"/>
    </row>
    <row r="19" spans="2:14" ht="15" customHeight="1" x14ac:dyDescent="0.25">
      <c r="B19" s="20"/>
      <c r="C19" s="5" t="s">
        <v>64</v>
      </c>
      <c r="D19" s="6" t="s">
        <v>181</v>
      </c>
      <c r="E19" s="11">
        <v>2.0270000000000002E-3</v>
      </c>
      <c r="F19" s="1"/>
      <c r="G19" s="1"/>
      <c r="H19" s="1"/>
      <c r="I19" s="1"/>
      <c r="J19" s="1"/>
      <c r="K19" s="1"/>
      <c r="L19" s="1"/>
      <c r="M19" s="1"/>
      <c r="N19" s="18"/>
    </row>
    <row r="20" spans="2:14" ht="15" customHeight="1" x14ac:dyDescent="0.25">
      <c r="B20" s="20"/>
      <c r="C20" s="5" t="s">
        <v>65</v>
      </c>
      <c r="D20" s="6" t="s">
        <v>181</v>
      </c>
      <c r="E20" s="11">
        <v>2.0100000000000001E-3</v>
      </c>
      <c r="F20" s="1"/>
      <c r="G20" s="1"/>
      <c r="H20" s="1"/>
      <c r="I20" s="1"/>
      <c r="J20" s="1"/>
      <c r="K20" s="1"/>
      <c r="L20" s="1"/>
      <c r="M20" s="1"/>
      <c r="N20" s="18"/>
    </row>
    <row r="21" spans="2:14" ht="15" customHeight="1" x14ac:dyDescent="0.25">
      <c r="B21" s="20"/>
      <c r="C21" s="5" t="s">
        <v>66</v>
      </c>
      <c r="D21" s="6" t="s">
        <v>181</v>
      </c>
      <c r="E21" s="11">
        <v>7.9000000000000001E-4</v>
      </c>
      <c r="F21" s="1"/>
      <c r="G21" s="1"/>
      <c r="H21" s="1"/>
      <c r="I21" s="1"/>
      <c r="J21" s="1"/>
      <c r="K21" s="1"/>
      <c r="L21" s="1"/>
      <c r="M21" s="1"/>
      <c r="N21" s="18"/>
    </row>
    <row r="22" spans="2:14" ht="15.75" customHeight="1" x14ac:dyDescent="0.25">
      <c r="B22" s="20"/>
      <c r="C22" s="7" t="s">
        <v>50</v>
      </c>
      <c r="D22" s="8"/>
      <c r="E22" s="12">
        <v>0.716557</v>
      </c>
      <c r="F22" s="1"/>
      <c r="G22" s="1"/>
      <c r="H22" s="1"/>
      <c r="I22" s="1"/>
      <c r="J22" s="1"/>
      <c r="K22" s="1"/>
      <c r="L22" s="1"/>
      <c r="M22" s="1"/>
      <c r="N22" s="18"/>
    </row>
    <row r="23" spans="2:14" ht="15" customHeight="1" x14ac:dyDescent="0.25">
      <c r="B23" s="20"/>
      <c r="C23" s="5" t="s">
        <v>8</v>
      </c>
      <c r="D23" s="6"/>
      <c r="E23" s="11">
        <v>1.2274E-2</v>
      </c>
      <c r="F23" s="1"/>
      <c r="G23" s="1"/>
      <c r="H23" s="1"/>
      <c r="I23" s="1"/>
      <c r="J23" s="1"/>
      <c r="K23" s="1"/>
      <c r="L23" s="1"/>
      <c r="M23" s="1"/>
      <c r="N23" s="18"/>
    </row>
    <row r="24" spans="2:14" ht="15.75" customHeight="1" x14ac:dyDescent="0.25">
      <c r="B24" s="20"/>
      <c r="C24" s="7" t="s">
        <v>9</v>
      </c>
      <c r="D24" s="8"/>
      <c r="E24" s="12">
        <v>1.2274E-2</v>
      </c>
      <c r="F24" s="1"/>
      <c r="G24" s="83" t="s">
        <v>17</v>
      </c>
      <c r="H24" s="84"/>
      <c r="I24" s="84"/>
      <c r="J24" s="84"/>
      <c r="K24" s="84"/>
      <c r="L24" s="65">
        <v>11.313055160129093</v>
      </c>
      <c r="M24" s="26"/>
      <c r="N24" s="27"/>
    </row>
    <row r="25" spans="2:14" ht="15" customHeight="1" x14ac:dyDescent="0.25">
      <c r="B25" s="20"/>
      <c r="C25" s="5"/>
      <c r="D25" s="6"/>
      <c r="E25" s="11"/>
      <c r="F25" s="1"/>
      <c r="G25" s="1"/>
      <c r="H25" s="1"/>
      <c r="I25" s="1"/>
      <c r="J25" s="1"/>
      <c r="K25" s="1"/>
      <c r="L25" s="1"/>
      <c r="M25" s="1"/>
      <c r="N25" s="18"/>
    </row>
    <row r="26" spans="2:14" ht="15.75" customHeight="1" x14ac:dyDescent="0.25">
      <c r="B26" s="20"/>
      <c r="C26" s="7" t="s">
        <v>10</v>
      </c>
      <c r="D26" s="8"/>
      <c r="E26" s="12">
        <v>9.2479999999999993E-3</v>
      </c>
      <c r="F26" s="1"/>
      <c r="G26" s="83" t="s">
        <v>18</v>
      </c>
      <c r="H26" s="84"/>
      <c r="I26" s="84"/>
      <c r="J26" s="84"/>
      <c r="K26" s="84"/>
      <c r="L26" s="84"/>
      <c r="M26" s="84"/>
      <c r="N26" s="85"/>
    </row>
    <row r="27" spans="2:14" ht="15" customHeight="1" x14ac:dyDescent="0.25">
      <c r="B27" s="20"/>
      <c r="C27" s="5"/>
      <c r="D27" s="6"/>
      <c r="E27" s="11"/>
      <c r="F27" s="1"/>
      <c r="G27" s="1"/>
      <c r="H27" s="1"/>
      <c r="I27" s="1"/>
      <c r="J27" s="1"/>
      <c r="K27" s="1"/>
      <c r="L27" s="1"/>
      <c r="M27" s="1"/>
      <c r="N27" s="18"/>
    </row>
    <row r="28" spans="2:14" ht="15" customHeight="1" x14ac:dyDescent="0.25">
      <c r="B28" s="20"/>
      <c r="C28" s="9" t="s">
        <v>11</v>
      </c>
      <c r="D28" s="10"/>
      <c r="E28" s="13">
        <v>1</v>
      </c>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6" t="s">
        <v>291</v>
      </c>
      <c r="C45" s="67"/>
      <c r="D45" s="67"/>
      <c r="E45" s="67"/>
      <c r="F45" s="67"/>
      <c r="G45" s="67"/>
      <c r="H45" s="67"/>
      <c r="I45" s="67"/>
      <c r="J45" s="67"/>
      <c r="K45" s="67"/>
      <c r="L45" s="67"/>
      <c r="M45" s="67"/>
      <c r="N45" s="68"/>
    </row>
    <row r="46" spans="2:14" ht="15" customHeight="1" x14ac:dyDescent="0.25">
      <c r="B46" s="69"/>
      <c r="C46" s="70"/>
      <c r="D46" s="70"/>
      <c r="E46" s="70"/>
      <c r="F46" s="70"/>
      <c r="G46" s="70"/>
      <c r="H46" s="70"/>
      <c r="I46" s="70"/>
      <c r="J46" s="70"/>
      <c r="K46" s="70"/>
      <c r="L46" s="70"/>
      <c r="M46" s="70"/>
      <c r="N46" s="71"/>
    </row>
    <row r="47" spans="2:14" ht="15" customHeight="1" x14ac:dyDescent="0.25">
      <c r="B47" s="69"/>
      <c r="C47" s="70"/>
      <c r="D47" s="70"/>
      <c r="E47" s="70"/>
      <c r="F47" s="70"/>
      <c r="G47" s="70"/>
      <c r="H47" s="70"/>
      <c r="I47" s="70"/>
      <c r="J47" s="70"/>
      <c r="K47" s="70"/>
      <c r="L47" s="70"/>
      <c r="M47" s="70"/>
      <c r="N47" s="71"/>
    </row>
    <row r="48" spans="2:14" ht="15" customHeight="1" thickBot="1" x14ac:dyDescent="0.3">
      <c r="B48" s="72"/>
      <c r="C48" s="73"/>
      <c r="D48" s="73"/>
      <c r="E48" s="73"/>
      <c r="F48" s="73"/>
      <c r="G48" s="73"/>
      <c r="H48" s="73"/>
      <c r="I48" s="73"/>
      <c r="J48" s="73"/>
      <c r="K48" s="73"/>
      <c r="L48" s="73"/>
      <c r="M48" s="73"/>
      <c r="N48" s="74"/>
    </row>
    <row r="49" spans="2:14" ht="15.75" thickBot="1" x14ac:dyDescent="0.3"/>
    <row r="50" spans="2:14" ht="119.25" customHeight="1" thickBot="1" x14ac:dyDescent="0.3">
      <c r="B50" s="75" t="s">
        <v>290</v>
      </c>
      <c r="C50" s="76"/>
      <c r="D50" s="76"/>
      <c r="E50" s="76"/>
      <c r="F50" s="76"/>
      <c r="G50" s="76"/>
      <c r="H50" s="76"/>
      <c r="I50" s="76"/>
      <c r="J50" s="76"/>
      <c r="K50" s="76"/>
      <c r="L50" s="76"/>
      <c r="M50" s="76"/>
      <c r="N50" s="77"/>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9000-A4C3-4B3D-9C4C-4128127C537C}">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67</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68</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32</v>
      </c>
      <c r="D8" s="6" t="s">
        <v>30</v>
      </c>
      <c r="E8" s="11">
        <v>0.111842</v>
      </c>
      <c r="F8" s="1"/>
      <c r="G8" s="24" t="s">
        <v>15</v>
      </c>
      <c r="H8" s="25">
        <v>1</v>
      </c>
      <c r="I8" s="1"/>
      <c r="J8" s="24" t="s">
        <v>12</v>
      </c>
      <c r="K8" s="24" t="s">
        <v>5</v>
      </c>
      <c r="L8" s="1"/>
      <c r="M8" s="1"/>
      <c r="N8" s="18"/>
    </row>
    <row r="9" spans="2:14" ht="15" customHeight="1" x14ac:dyDescent="0.25">
      <c r="B9" s="20"/>
      <c r="C9" s="5" t="s">
        <v>33</v>
      </c>
      <c r="D9" s="6" t="s">
        <v>30</v>
      </c>
      <c r="E9" s="11">
        <v>0.10788200000000001</v>
      </c>
      <c r="F9" s="1"/>
      <c r="G9" s="1"/>
      <c r="H9" s="1"/>
      <c r="I9" s="1"/>
      <c r="J9" s="24" t="s">
        <v>10</v>
      </c>
      <c r="K9" s="28">
        <v>2.1194999999999999E-2</v>
      </c>
      <c r="L9" s="1"/>
      <c r="M9" s="1"/>
      <c r="N9" s="18"/>
    </row>
    <row r="10" spans="2:14" ht="15" customHeight="1" x14ac:dyDescent="0.25">
      <c r="B10" s="20"/>
      <c r="C10" s="5" t="s">
        <v>35</v>
      </c>
      <c r="D10" s="6" t="s">
        <v>30</v>
      </c>
      <c r="E10" s="11">
        <v>0.105556</v>
      </c>
      <c r="F10" s="1"/>
      <c r="G10" s="1"/>
      <c r="H10" s="1"/>
      <c r="I10" s="1"/>
      <c r="J10" s="24" t="s">
        <v>13</v>
      </c>
      <c r="K10" s="28">
        <v>2.4529999999999999E-3</v>
      </c>
      <c r="L10" s="1"/>
      <c r="M10" s="1"/>
      <c r="N10" s="18"/>
    </row>
    <row r="11" spans="2:14" ht="15" customHeight="1" x14ac:dyDescent="0.25">
      <c r="B11" s="20"/>
      <c r="C11" s="5" t="s">
        <v>29</v>
      </c>
      <c r="D11" s="6" t="s">
        <v>30</v>
      </c>
      <c r="E11" s="11">
        <v>9.2898999999999995E-2</v>
      </c>
      <c r="F11" s="1"/>
      <c r="G11" s="1"/>
      <c r="H11" s="1"/>
      <c r="I11" s="1"/>
      <c r="J11" s="24" t="s">
        <v>53</v>
      </c>
      <c r="K11" s="28">
        <v>0.50992899999999997</v>
      </c>
      <c r="L11" s="1"/>
      <c r="M11" s="1"/>
      <c r="N11" s="18"/>
    </row>
    <row r="12" spans="2:14" ht="15" customHeight="1" x14ac:dyDescent="0.25">
      <c r="B12" s="20"/>
      <c r="C12" s="5" t="s">
        <v>36</v>
      </c>
      <c r="D12" s="6" t="s">
        <v>30</v>
      </c>
      <c r="E12" s="11">
        <v>6.2017000000000003E-2</v>
      </c>
      <c r="F12" s="1"/>
      <c r="G12" s="1"/>
      <c r="H12" s="1"/>
      <c r="I12" s="1"/>
      <c r="J12" s="24" t="s">
        <v>47</v>
      </c>
      <c r="K12" s="28">
        <v>3.1949999999999999E-3</v>
      </c>
      <c r="L12" s="1"/>
      <c r="M12" s="1"/>
      <c r="N12" s="18"/>
    </row>
    <row r="13" spans="2:14" ht="15" customHeight="1" x14ac:dyDescent="0.25">
      <c r="B13" s="20"/>
      <c r="C13" s="5" t="s">
        <v>31</v>
      </c>
      <c r="D13" s="6" t="s">
        <v>30</v>
      </c>
      <c r="E13" s="11">
        <v>2.9732999999999999E-2</v>
      </c>
      <c r="F13" s="1"/>
      <c r="G13" s="1"/>
      <c r="H13" s="1"/>
      <c r="I13" s="1"/>
      <c r="J13" s="24" t="s">
        <v>55</v>
      </c>
      <c r="K13" s="28">
        <v>0.43544899999999997</v>
      </c>
      <c r="L13" s="1"/>
      <c r="M13" s="1"/>
      <c r="N13" s="18"/>
    </row>
    <row r="14" spans="2:14" ht="15.75" customHeight="1" x14ac:dyDescent="0.25">
      <c r="B14" s="20"/>
      <c r="C14" s="7" t="s">
        <v>46</v>
      </c>
      <c r="D14" s="8"/>
      <c r="E14" s="12">
        <v>0.50992899999999997</v>
      </c>
      <c r="F14" s="1"/>
      <c r="G14" s="1"/>
      <c r="H14" s="1"/>
      <c r="I14" s="1"/>
      <c r="J14" s="24" t="s">
        <v>73</v>
      </c>
      <c r="K14" s="28">
        <v>7.7130000000000002E-3</v>
      </c>
      <c r="L14" s="1"/>
      <c r="M14" s="1"/>
      <c r="N14" s="18"/>
    </row>
    <row r="15" spans="2:14" ht="15" customHeight="1" x14ac:dyDescent="0.25">
      <c r="B15" s="20"/>
      <c r="C15" s="5" t="s">
        <v>47</v>
      </c>
      <c r="D15" s="6"/>
      <c r="E15" s="11">
        <v>3.1949999999999999E-3</v>
      </c>
      <c r="F15" s="1"/>
      <c r="G15" s="1"/>
      <c r="H15" s="1"/>
      <c r="I15" s="1"/>
      <c r="J15" s="24" t="s">
        <v>56</v>
      </c>
      <c r="K15" s="28">
        <v>2.0066000000000001E-2</v>
      </c>
      <c r="L15" s="1"/>
      <c r="M15" s="1"/>
      <c r="N15" s="18"/>
    </row>
    <row r="16" spans="2:14" ht="15.75" customHeight="1" x14ac:dyDescent="0.25">
      <c r="B16" s="20"/>
      <c r="C16" s="7" t="s">
        <v>48</v>
      </c>
      <c r="D16" s="8"/>
      <c r="E16" s="12">
        <v>3.1949999999999999E-3</v>
      </c>
      <c r="F16" s="1"/>
      <c r="G16" s="1"/>
      <c r="H16" s="1"/>
      <c r="I16" s="1"/>
      <c r="J16" s="1"/>
      <c r="K16" s="1"/>
      <c r="L16" s="1"/>
      <c r="M16" s="1"/>
      <c r="N16" s="18"/>
    </row>
    <row r="17" spans="2:14" ht="15" customHeight="1" x14ac:dyDescent="0.25">
      <c r="B17" s="20"/>
      <c r="C17" s="5" t="s">
        <v>60</v>
      </c>
      <c r="D17" s="6" t="s">
        <v>181</v>
      </c>
      <c r="E17" s="11">
        <v>0.30891999999999997</v>
      </c>
      <c r="F17" s="1"/>
      <c r="G17" s="1"/>
      <c r="H17" s="1"/>
      <c r="I17" s="1"/>
      <c r="J17" s="1"/>
      <c r="K17" s="1"/>
      <c r="L17" s="1"/>
      <c r="M17" s="1"/>
      <c r="N17" s="18"/>
    </row>
    <row r="18" spans="2:14" ht="15" customHeight="1" x14ac:dyDescent="0.25">
      <c r="B18" s="20"/>
      <c r="C18" s="5" t="s">
        <v>63</v>
      </c>
      <c r="D18" s="6" t="s">
        <v>181</v>
      </c>
      <c r="E18" s="11">
        <v>0.10312200000000001</v>
      </c>
      <c r="F18" s="1"/>
      <c r="G18" s="1"/>
      <c r="H18" s="1"/>
      <c r="I18" s="1"/>
      <c r="J18" s="1"/>
      <c r="K18" s="1"/>
      <c r="L18" s="1"/>
      <c r="M18" s="1"/>
      <c r="N18" s="18"/>
    </row>
    <row r="19" spans="2:14" ht="15" customHeight="1" x14ac:dyDescent="0.25">
      <c r="B19" s="20"/>
      <c r="C19" s="5" t="s">
        <v>69</v>
      </c>
      <c r="D19" s="6" t="s">
        <v>181</v>
      </c>
      <c r="E19" s="11">
        <v>2.1344999999999999E-2</v>
      </c>
      <c r="F19" s="1"/>
      <c r="G19" s="1"/>
      <c r="H19" s="1"/>
      <c r="I19" s="1"/>
      <c r="J19" s="1"/>
      <c r="K19" s="1"/>
      <c r="L19" s="1"/>
      <c r="M19" s="1"/>
      <c r="N19" s="18"/>
    </row>
    <row r="20" spans="2:14" ht="15" customHeight="1" x14ac:dyDescent="0.25">
      <c r="B20" s="20"/>
      <c r="C20" s="5" t="s">
        <v>64</v>
      </c>
      <c r="D20" s="6" t="s">
        <v>181</v>
      </c>
      <c r="E20" s="11">
        <v>1.242E-3</v>
      </c>
      <c r="F20" s="1"/>
      <c r="G20" s="1"/>
      <c r="H20" s="1"/>
      <c r="I20" s="1"/>
      <c r="J20" s="1"/>
      <c r="K20" s="1"/>
      <c r="L20" s="1"/>
      <c r="M20" s="1"/>
      <c r="N20" s="18"/>
    </row>
    <row r="21" spans="2:14" ht="15" customHeight="1" x14ac:dyDescent="0.25">
      <c r="B21" s="20"/>
      <c r="C21" s="5" t="s">
        <v>49</v>
      </c>
      <c r="D21" s="6" t="s">
        <v>181</v>
      </c>
      <c r="E21" s="11">
        <v>6.2699999999999995E-4</v>
      </c>
      <c r="F21" s="1"/>
      <c r="G21" s="1"/>
      <c r="H21" s="1"/>
      <c r="I21" s="1"/>
      <c r="J21" s="1"/>
      <c r="K21" s="1"/>
      <c r="L21" s="1"/>
      <c r="M21" s="1"/>
      <c r="N21" s="18"/>
    </row>
    <row r="22" spans="2:14" ht="15" customHeight="1" x14ac:dyDescent="0.25">
      <c r="B22" s="20"/>
      <c r="C22" s="5" t="s">
        <v>65</v>
      </c>
      <c r="D22" s="6" t="s">
        <v>181</v>
      </c>
      <c r="E22" s="11">
        <v>1.2300000000000001E-4</v>
      </c>
      <c r="F22" s="1"/>
      <c r="G22" s="1"/>
      <c r="H22" s="1"/>
      <c r="I22" s="1"/>
      <c r="J22" s="1"/>
      <c r="K22" s="1"/>
      <c r="L22" s="1"/>
      <c r="M22" s="1"/>
      <c r="N22" s="18"/>
    </row>
    <row r="23" spans="2:14" ht="15" customHeight="1" x14ac:dyDescent="0.25">
      <c r="B23" s="20"/>
      <c r="C23" s="5" t="s">
        <v>70</v>
      </c>
      <c r="D23" s="6" t="s">
        <v>181</v>
      </c>
      <c r="E23" s="11">
        <v>6.9999999999999994E-5</v>
      </c>
      <c r="F23" s="1"/>
      <c r="G23" s="1"/>
      <c r="H23" s="1"/>
      <c r="I23" s="1"/>
      <c r="J23" s="1"/>
      <c r="K23" s="1"/>
      <c r="L23" s="1"/>
      <c r="M23" s="1"/>
      <c r="N23" s="18"/>
    </row>
    <row r="24" spans="2:14" ht="15.75" customHeight="1" x14ac:dyDescent="0.25">
      <c r="B24" s="20"/>
      <c r="C24" s="7" t="s">
        <v>50</v>
      </c>
      <c r="D24" s="8"/>
      <c r="E24" s="12">
        <v>0.43544899999999997</v>
      </c>
      <c r="F24" s="1"/>
      <c r="G24" s="83" t="s">
        <v>17</v>
      </c>
      <c r="H24" s="84"/>
      <c r="I24" s="84"/>
      <c r="J24" s="84"/>
      <c r="K24" s="84"/>
      <c r="L24" s="65">
        <v>5.0521700081659588</v>
      </c>
      <c r="M24" s="26"/>
      <c r="N24" s="27"/>
    </row>
    <row r="25" spans="2:14" ht="15" customHeight="1" x14ac:dyDescent="0.25">
      <c r="B25" s="20"/>
      <c r="C25" s="5" t="s">
        <v>292</v>
      </c>
      <c r="D25" s="6" t="s">
        <v>71</v>
      </c>
      <c r="E25" s="11">
        <v>7.7130000000000002E-3</v>
      </c>
      <c r="F25" s="1"/>
      <c r="G25" s="1"/>
      <c r="H25" s="1"/>
      <c r="I25" s="1"/>
      <c r="J25" s="1"/>
      <c r="K25" s="1"/>
      <c r="L25" s="1"/>
      <c r="M25" s="1"/>
      <c r="N25" s="18"/>
    </row>
    <row r="26" spans="2:14" ht="15.75" customHeight="1" x14ac:dyDescent="0.25">
      <c r="B26" s="20"/>
      <c r="C26" s="7" t="s">
        <v>72</v>
      </c>
      <c r="D26" s="8"/>
      <c r="E26" s="12">
        <v>7.7130000000000002E-3</v>
      </c>
      <c r="F26" s="1"/>
      <c r="G26" s="83" t="s">
        <v>18</v>
      </c>
      <c r="H26" s="84"/>
      <c r="I26" s="84"/>
      <c r="J26" s="84"/>
      <c r="K26" s="84"/>
      <c r="L26" s="84"/>
      <c r="M26" s="84"/>
      <c r="N26" s="85"/>
    </row>
    <row r="27" spans="2:14" ht="15" customHeight="1" x14ac:dyDescent="0.25">
      <c r="B27" s="20"/>
      <c r="C27" s="5" t="s">
        <v>208</v>
      </c>
      <c r="D27" s="6" t="s">
        <v>181</v>
      </c>
      <c r="E27" s="11">
        <v>9.4079999999999997E-3</v>
      </c>
      <c r="F27" s="1"/>
      <c r="G27" s="1"/>
      <c r="H27" s="1"/>
      <c r="I27" s="1"/>
      <c r="J27" s="1"/>
      <c r="K27" s="1"/>
      <c r="L27" s="1"/>
      <c r="M27" s="1"/>
      <c r="N27" s="18"/>
    </row>
    <row r="28" spans="2:14" ht="15.75" customHeight="1" x14ac:dyDescent="0.25">
      <c r="B28" s="20"/>
      <c r="C28" s="5" t="s">
        <v>207</v>
      </c>
      <c r="D28" s="6" t="s">
        <v>181</v>
      </c>
      <c r="E28" s="11">
        <v>9.4039999999999992E-3</v>
      </c>
      <c r="F28" s="1"/>
      <c r="G28" s="1"/>
      <c r="H28" s="1"/>
      <c r="I28" s="1"/>
      <c r="J28" s="1"/>
      <c r="K28" s="1"/>
      <c r="L28" s="1"/>
      <c r="M28" s="1"/>
      <c r="N28" s="18"/>
    </row>
    <row r="29" spans="2:14" ht="15" customHeight="1" x14ac:dyDescent="0.25">
      <c r="B29" s="20"/>
      <c r="C29" s="5" t="s">
        <v>209</v>
      </c>
      <c r="D29" s="6" t="s">
        <v>181</v>
      </c>
      <c r="E29" s="11">
        <v>1.2539999999999999E-3</v>
      </c>
      <c r="F29" s="1"/>
      <c r="G29" s="1"/>
      <c r="H29" s="1"/>
      <c r="I29" s="1"/>
      <c r="J29" s="1"/>
      <c r="K29" s="1"/>
      <c r="L29" s="1"/>
      <c r="M29" s="1"/>
      <c r="N29" s="18"/>
    </row>
    <row r="30" spans="2:14" ht="15.75" customHeight="1" x14ac:dyDescent="0.25">
      <c r="B30" s="20"/>
      <c r="C30" s="7" t="s">
        <v>51</v>
      </c>
      <c r="D30" s="8"/>
      <c r="E30" s="12">
        <v>2.0066000000000001E-2</v>
      </c>
      <c r="F30" s="1"/>
      <c r="G30" s="1"/>
      <c r="H30" s="1"/>
      <c r="I30" s="1"/>
      <c r="J30" s="1"/>
      <c r="K30" s="1"/>
      <c r="L30" s="1"/>
      <c r="M30" s="1"/>
      <c r="N30" s="18"/>
    </row>
    <row r="31" spans="2:14" ht="15" customHeight="1" x14ac:dyDescent="0.25">
      <c r="B31" s="20"/>
      <c r="C31" s="5" t="s">
        <v>8</v>
      </c>
      <c r="D31" s="6"/>
      <c r="E31" s="11">
        <v>2.4529999999999999E-3</v>
      </c>
      <c r="F31" s="1"/>
      <c r="G31" s="1"/>
      <c r="H31" s="1"/>
      <c r="I31" s="1"/>
      <c r="J31" s="1"/>
      <c r="K31" s="1"/>
      <c r="L31" s="1"/>
      <c r="M31" s="1"/>
      <c r="N31" s="18"/>
    </row>
    <row r="32" spans="2:14" ht="15.75" customHeight="1" x14ac:dyDescent="0.25">
      <c r="B32" s="20"/>
      <c r="C32" s="7" t="s">
        <v>9</v>
      </c>
      <c r="D32" s="8"/>
      <c r="E32" s="12">
        <v>2.4529999999999999E-3</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7" t="s">
        <v>10</v>
      </c>
      <c r="D34" s="8"/>
      <c r="E34" s="12">
        <v>2.1194999999999999E-2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11</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t="s">
        <v>293</v>
      </c>
      <c r="D38" s="1"/>
      <c r="E38" s="1"/>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6" t="s">
        <v>291</v>
      </c>
      <c r="C45" s="67"/>
      <c r="D45" s="67"/>
      <c r="E45" s="67"/>
      <c r="F45" s="67"/>
      <c r="G45" s="67"/>
      <c r="H45" s="67"/>
      <c r="I45" s="67"/>
      <c r="J45" s="67"/>
      <c r="K45" s="67"/>
      <c r="L45" s="67"/>
      <c r="M45" s="67"/>
      <c r="N45" s="68"/>
    </row>
    <row r="46" spans="2:14" ht="15" customHeight="1" x14ac:dyDescent="0.25">
      <c r="B46" s="69"/>
      <c r="C46" s="70"/>
      <c r="D46" s="70"/>
      <c r="E46" s="70"/>
      <c r="F46" s="70"/>
      <c r="G46" s="70"/>
      <c r="H46" s="70"/>
      <c r="I46" s="70"/>
      <c r="J46" s="70"/>
      <c r="K46" s="70"/>
      <c r="L46" s="70"/>
      <c r="M46" s="70"/>
      <c r="N46" s="71"/>
    </row>
    <row r="47" spans="2:14" ht="15" customHeight="1" x14ac:dyDescent="0.25">
      <c r="B47" s="69"/>
      <c r="C47" s="70"/>
      <c r="D47" s="70"/>
      <c r="E47" s="70"/>
      <c r="F47" s="70"/>
      <c r="G47" s="70"/>
      <c r="H47" s="70"/>
      <c r="I47" s="70"/>
      <c r="J47" s="70"/>
      <c r="K47" s="70"/>
      <c r="L47" s="70"/>
      <c r="M47" s="70"/>
      <c r="N47" s="71"/>
    </row>
    <row r="48" spans="2:14" ht="15" customHeight="1" thickBot="1" x14ac:dyDescent="0.3">
      <c r="B48" s="72"/>
      <c r="C48" s="73"/>
      <c r="D48" s="73"/>
      <c r="E48" s="73"/>
      <c r="F48" s="73"/>
      <c r="G48" s="73"/>
      <c r="H48" s="73"/>
      <c r="I48" s="73"/>
      <c r="J48" s="73"/>
      <c r="K48" s="73"/>
      <c r="L48" s="73"/>
      <c r="M48" s="73"/>
      <c r="N48" s="74"/>
    </row>
    <row r="49" spans="2:14" ht="15" customHeight="1" thickBot="1" x14ac:dyDescent="0.3"/>
    <row r="50" spans="2:14" ht="138" customHeight="1" thickBot="1" x14ac:dyDescent="0.3">
      <c r="B50" s="75" t="s">
        <v>290</v>
      </c>
      <c r="C50" s="76"/>
      <c r="D50" s="76"/>
      <c r="E50" s="76"/>
      <c r="F50" s="76"/>
      <c r="G50" s="76"/>
      <c r="H50" s="76"/>
      <c r="I50" s="76"/>
      <c r="J50" s="76"/>
      <c r="K50" s="76"/>
      <c r="L50" s="76"/>
      <c r="M50" s="76"/>
      <c r="N50" s="77"/>
    </row>
    <row r="51" spans="2:14" ht="15" customHeight="1" x14ac:dyDescent="0.25"/>
    <row r="52" spans="2:14" ht="15" customHeight="1" x14ac:dyDescent="0.25"/>
    <row r="53" spans="2:14" ht="15" customHeight="1" x14ac:dyDescent="0.25"/>
    <row r="54" spans="2:14" ht="15" customHeight="1" x14ac:dyDescent="0.25"/>
  </sheetData>
  <sortState ref="C27:E29">
    <sortCondition descending="1" ref="E27"/>
  </sortState>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E4BC7-EB53-41BA-A169-9AD4241E59FB}">
  <dimension ref="B1:N6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74</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75</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25</v>
      </c>
      <c r="D8" s="6" t="s">
        <v>22</v>
      </c>
      <c r="E8" s="11">
        <v>2.7141999999999999E-2</v>
      </c>
      <c r="F8" s="1"/>
      <c r="G8" s="24" t="s">
        <v>15</v>
      </c>
      <c r="H8" s="25">
        <v>1</v>
      </c>
      <c r="I8" s="1"/>
      <c r="J8" s="24" t="s">
        <v>12</v>
      </c>
      <c r="K8" s="24" t="s">
        <v>5</v>
      </c>
      <c r="L8" s="1"/>
      <c r="M8" s="1"/>
      <c r="N8" s="18"/>
    </row>
    <row r="9" spans="2:14" ht="15" customHeight="1" x14ac:dyDescent="0.25">
      <c r="B9" s="20"/>
      <c r="C9" s="5" t="s">
        <v>24</v>
      </c>
      <c r="D9" s="6" t="s">
        <v>22</v>
      </c>
      <c r="E9" s="11">
        <v>2.7078999999999999E-2</v>
      </c>
      <c r="F9" s="1"/>
      <c r="G9" s="1"/>
      <c r="H9" s="1"/>
      <c r="I9" s="1"/>
      <c r="J9" s="24" t="s">
        <v>10</v>
      </c>
      <c r="K9" s="28">
        <v>2.0678999999999999E-2</v>
      </c>
      <c r="L9" s="1"/>
      <c r="M9" s="1"/>
      <c r="N9" s="18"/>
    </row>
    <row r="10" spans="2:14" ht="15" customHeight="1" x14ac:dyDescent="0.25">
      <c r="B10" s="20"/>
      <c r="C10" s="5" t="s">
        <v>33</v>
      </c>
      <c r="D10" s="6" t="s">
        <v>22</v>
      </c>
      <c r="E10" s="11">
        <v>3.4399999999999999E-3</v>
      </c>
      <c r="F10" s="1"/>
      <c r="G10" s="1"/>
      <c r="H10" s="1"/>
      <c r="I10" s="1"/>
      <c r="J10" s="24" t="s">
        <v>13</v>
      </c>
      <c r="K10" s="28">
        <v>1.2737999999999999E-2</v>
      </c>
      <c r="L10" s="1"/>
      <c r="M10" s="1"/>
      <c r="N10" s="18"/>
    </row>
    <row r="11" spans="2:14" ht="15" customHeight="1" x14ac:dyDescent="0.25">
      <c r="B11" s="20"/>
      <c r="C11" s="5" t="s">
        <v>76</v>
      </c>
      <c r="D11" s="6" t="s">
        <v>22</v>
      </c>
      <c r="E11" s="11">
        <v>1.7420000000000001E-3</v>
      </c>
      <c r="F11" s="1"/>
      <c r="G11" s="1"/>
      <c r="H11" s="1"/>
      <c r="I11" s="1"/>
      <c r="J11" s="24" t="s">
        <v>52</v>
      </c>
      <c r="K11" s="28">
        <v>5.9402999999999997E-2</v>
      </c>
      <c r="L11" s="1"/>
      <c r="M11" s="1"/>
      <c r="N11" s="18"/>
    </row>
    <row r="12" spans="2:14" ht="15.75" customHeight="1" x14ac:dyDescent="0.25">
      <c r="B12" s="20"/>
      <c r="C12" s="7" t="s">
        <v>27</v>
      </c>
      <c r="D12" s="8"/>
      <c r="E12" s="12">
        <v>5.9402999999999997E-2</v>
      </c>
      <c r="F12" s="1"/>
      <c r="G12" s="1"/>
      <c r="H12" s="1"/>
      <c r="I12" s="1"/>
      <c r="J12" s="24" t="s">
        <v>53</v>
      </c>
      <c r="K12" s="28">
        <v>0.483844</v>
      </c>
      <c r="L12" s="1"/>
      <c r="M12" s="1"/>
      <c r="N12" s="18"/>
    </row>
    <row r="13" spans="2:14" ht="15" customHeight="1" x14ac:dyDescent="0.25">
      <c r="B13" s="20"/>
      <c r="C13" s="5" t="s">
        <v>31</v>
      </c>
      <c r="D13" s="6" t="s">
        <v>22</v>
      </c>
      <c r="E13" s="11">
        <v>6.6382999999999998E-2</v>
      </c>
      <c r="F13" s="1"/>
      <c r="G13" s="1"/>
      <c r="H13" s="1"/>
      <c r="I13" s="1"/>
      <c r="J13" s="24" t="s">
        <v>54</v>
      </c>
      <c r="K13" s="28">
        <v>8.3740999999999996E-2</v>
      </c>
      <c r="L13" s="1"/>
      <c r="M13" s="1"/>
      <c r="N13" s="18"/>
    </row>
    <row r="14" spans="2:14" ht="15" customHeight="1" x14ac:dyDescent="0.25">
      <c r="B14" s="20"/>
      <c r="C14" s="5" t="s">
        <v>77</v>
      </c>
      <c r="D14" s="6" t="s">
        <v>22</v>
      </c>
      <c r="E14" s="11">
        <v>1.7357999999999998E-2</v>
      </c>
      <c r="F14" s="1"/>
      <c r="G14" s="1"/>
      <c r="H14" s="1"/>
      <c r="I14" s="1"/>
      <c r="J14" s="24" t="s">
        <v>47</v>
      </c>
      <c r="K14" s="28">
        <v>2.8149999999999998E-3</v>
      </c>
      <c r="L14" s="1"/>
      <c r="M14" s="1"/>
      <c r="N14" s="18"/>
    </row>
    <row r="15" spans="2:14" ht="15.75" customHeight="1" x14ac:dyDescent="0.25">
      <c r="B15" s="20"/>
      <c r="C15" s="7" t="s">
        <v>28</v>
      </c>
      <c r="D15" s="8"/>
      <c r="E15" s="12">
        <v>8.3740999999999996E-2</v>
      </c>
      <c r="F15" s="1"/>
      <c r="G15" s="1"/>
      <c r="H15" s="1"/>
      <c r="I15" s="1"/>
      <c r="J15" s="24" t="s">
        <v>55</v>
      </c>
      <c r="K15" s="28">
        <v>0.333984</v>
      </c>
      <c r="L15" s="1"/>
      <c r="M15" s="1"/>
      <c r="N15" s="18"/>
    </row>
    <row r="16" spans="2:14" ht="15" customHeight="1" x14ac:dyDescent="0.25">
      <c r="B16" s="20"/>
      <c r="C16" s="5" t="s">
        <v>32</v>
      </c>
      <c r="D16" s="6" t="s">
        <v>30</v>
      </c>
      <c r="E16" s="11">
        <v>0.11688999999999999</v>
      </c>
      <c r="F16" s="1"/>
      <c r="G16" s="1"/>
      <c r="H16" s="1"/>
      <c r="I16" s="1"/>
      <c r="J16" s="24" t="s">
        <v>73</v>
      </c>
      <c r="K16" s="28">
        <v>2.7959999999999999E-3</v>
      </c>
      <c r="L16" s="1"/>
      <c r="M16" s="1"/>
      <c r="N16" s="18"/>
    </row>
    <row r="17" spans="2:14" ht="15" customHeight="1" x14ac:dyDescent="0.25">
      <c r="B17" s="20"/>
      <c r="C17" s="5" t="s">
        <v>33</v>
      </c>
      <c r="D17" s="6" t="s">
        <v>30</v>
      </c>
      <c r="E17" s="11">
        <v>0.112577</v>
      </c>
      <c r="F17" s="1"/>
      <c r="G17" s="1"/>
      <c r="H17" s="1"/>
      <c r="I17" s="1"/>
      <c r="J17" s="1"/>
      <c r="K17" s="1"/>
      <c r="L17" s="1"/>
      <c r="M17" s="1"/>
      <c r="N17" s="18"/>
    </row>
    <row r="18" spans="2:14" ht="15" customHeight="1" x14ac:dyDescent="0.25">
      <c r="B18" s="20"/>
      <c r="C18" s="5" t="s">
        <v>77</v>
      </c>
      <c r="D18" s="6" t="s">
        <v>30</v>
      </c>
      <c r="E18" s="11">
        <v>5.8087E-2</v>
      </c>
      <c r="F18" s="1"/>
      <c r="G18" s="1"/>
      <c r="H18" s="1"/>
      <c r="I18" s="1"/>
      <c r="J18" s="1"/>
      <c r="K18" s="1"/>
      <c r="L18" s="1"/>
      <c r="M18" s="1"/>
      <c r="N18" s="18"/>
    </row>
    <row r="19" spans="2:14" ht="15" customHeight="1" x14ac:dyDescent="0.25">
      <c r="B19" s="20"/>
      <c r="C19" s="5" t="s">
        <v>35</v>
      </c>
      <c r="D19" s="6" t="s">
        <v>30</v>
      </c>
      <c r="E19" s="11">
        <v>4.8452000000000002E-2</v>
      </c>
      <c r="F19" s="1"/>
      <c r="G19" s="1"/>
      <c r="H19" s="1"/>
      <c r="I19" s="1"/>
      <c r="J19" s="1"/>
      <c r="K19" s="1"/>
      <c r="L19" s="1"/>
      <c r="M19" s="1"/>
      <c r="N19" s="18"/>
    </row>
    <row r="20" spans="2:14" ht="15" customHeight="1" x14ac:dyDescent="0.25">
      <c r="B20" s="20"/>
      <c r="C20" s="5" t="s">
        <v>36</v>
      </c>
      <c r="D20" s="6" t="s">
        <v>30</v>
      </c>
      <c r="E20" s="11">
        <v>4.3801E-2</v>
      </c>
      <c r="F20" s="1"/>
      <c r="G20" s="1"/>
      <c r="H20" s="1"/>
      <c r="I20" s="1"/>
      <c r="J20" s="1"/>
      <c r="K20" s="1"/>
      <c r="L20" s="1"/>
      <c r="M20" s="1"/>
      <c r="N20" s="18"/>
    </row>
    <row r="21" spans="2:14" ht="15" customHeight="1" x14ac:dyDescent="0.25">
      <c r="B21" s="20"/>
      <c r="C21" s="5" t="s">
        <v>34</v>
      </c>
      <c r="D21" s="6" t="s">
        <v>30</v>
      </c>
      <c r="E21" s="11">
        <v>4.1141999999999998E-2</v>
      </c>
      <c r="F21" s="1"/>
      <c r="G21" s="1"/>
      <c r="H21" s="1"/>
      <c r="I21" s="1"/>
      <c r="J21" s="1"/>
      <c r="K21" s="1"/>
      <c r="L21" s="1"/>
      <c r="M21" s="1"/>
      <c r="N21" s="18"/>
    </row>
    <row r="22" spans="2:14" ht="15" customHeight="1" x14ac:dyDescent="0.25">
      <c r="B22" s="20"/>
      <c r="C22" s="5" t="s">
        <v>31</v>
      </c>
      <c r="D22" s="6" t="s">
        <v>30</v>
      </c>
      <c r="E22" s="11">
        <v>3.7150000000000002E-2</v>
      </c>
      <c r="F22" s="1"/>
      <c r="G22" s="1"/>
      <c r="H22" s="1"/>
      <c r="I22" s="1"/>
      <c r="J22" s="1"/>
      <c r="K22" s="1"/>
      <c r="L22" s="1"/>
      <c r="M22" s="1"/>
      <c r="N22" s="18"/>
    </row>
    <row r="23" spans="2:14" ht="15" customHeight="1" x14ac:dyDescent="0.25">
      <c r="B23" s="20"/>
      <c r="C23" s="5" t="s">
        <v>78</v>
      </c>
      <c r="D23" s="6" t="s">
        <v>30</v>
      </c>
      <c r="E23" s="11">
        <v>1.7528999999999999E-2</v>
      </c>
      <c r="F23" s="1"/>
      <c r="G23" s="1"/>
      <c r="H23" s="1"/>
      <c r="I23" s="1"/>
      <c r="J23" s="1"/>
      <c r="K23" s="1"/>
      <c r="L23" s="1"/>
      <c r="M23" s="1"/>
      <c r="N23" s="18"/>
    </row>
    <row r="24" spans="2:14" ht="15" customHeight="1" x14ac:dyDescent="0.25">
      <c r="B24" s="20"/>
      <c r="C24" s="5" t="s">
        <v>29</v>
      </c>
      <c r="D24" s="6" t="s">
        <v>30</v>
      </c>
      <c r="E24" s="11">
        <v>7.6369999999999997E-3</v>
      </c>
      <c r="F24" s="1"/>
      <c r="G24" s="83" t="s">
        <v>17</v>
      </c>
      <c r="H24" s="84"/>
      <c r="I24" s="84"/>
      <c r="J24" s="84"/>
      <c r="K24" s="84"/>
      <c r="L24" s="65">
        <v>3.0127624993937556</v>
      </c>
      <c r="M24" s="26"/>
      <c r="N24" s="27"/>
    </row>
    <row r="25" spans="2:14" ht="15" customHeight="1" x14ac:dyDescent="0.25">
      <c r="B25" s="20"/>
      <c r="C25" s="5" t="s">
        <v>79</v>
      </c>
      <c r="D25" s="6" t="s">
        <v>30</v>
      </c>
      <c r="E25" s="11">
        <v>5.7899999999999998E-4</v>
      </c>
      <c r="F25" s="1"/>
      <c r="G25" s="1"/>
      <c r="H25" s="1"/>
      <c r="I25" s="1"/>
      <c r="J25" s="1"/>
      <c r="K25" s="1"/>
      <c r="L25" s="1"/>
      <c r="M25" s="1"/>
      <c r="N25" s="18"/>
    </row>
    <row r="26" spans="2:14" ht="15.75" customHeight="1" x14ac:dyDescent="0.25">
      <c r="B26" s="20"/>
      <c r="C26" s="7" t="s">
        <v>46</v>
      </c>
      <c r="D26" s="8"/>
      <c r="E26" s="12">
        <v>0.483844</v>
      </c>
      <c r="F26" s="1"/>
      <c r="G26" s="83" t="s">
        <v>18</v>
      </c>
      <c r="H26" s="84"/>
      <c r="I26" s="84"/>
      <c r="J26" s="84"/>
      <c r="K26" s="84"/>
      <c r="L26" s="84"/>
      <c r="M26" s="84"/>
      <c r="N26" s="85"/>
    </row>
    <row r="27" spans="2:14" ht="15" customHeight="1" x14ac:dyDescent="0.25">
      <c r="B27" s="20"/>
      <c r="C27" s="5" t="s">
        <v>47</v>
      </c>
      <c r="D27" s="6"/>
      <c r="E27" s="11">
        <v>2.8149999999999998E-3</v>
      </c>
      <c r="F27" s="1"/>
      <c r="G27" s="1"/>
      <c r="H27" s="1"/>
      <c r="I27" s="1"/>
      <c r="J27" s="1"/>
      <c r="K27" s="1"/>
      <c r="L27" s="1"/>
      <c r="M27" s="1"/>
      <c r="N27" s="18"/>
    </row>
    <row r="28" spans="2:14" ht="15.75" customHeight="1" x14ac:dyDescent="0.25">
      <c r="B28" s="20"/>
      <c r="C28" s="7" t="s">
        <v>48</v>
      </c>
      <c r="D28" s="8"/>
      <c r="E28" s="12">
        <v>2.8149999999999998E-3</v>
      </c>
      <c r="F28" s="1"/>
      <c r="G28" s="1"/>
      <c r="H28" s="1"/>
      <c r="I28" s="1"/>
      <c r="J28" s="1"/>
      <c r="K28" s="1"/>
      <c r="L28" s="1"/>
      <c r="M28" s="1"/>
      <c r="N28" s="18"/>
    </row>
    <row r="29" spans="2:14" ht="15" customHeight="1" x14ac:dyDescent="0.25">
      <c r="B29" s="20"/>
      <c r="C29" s="5" t="s">
        <v>63</v>
      </c>
      <c r="D29" s="6" t="s">
        <v>181</v>
      </c>
      <c r="E29" s="11">
        <v>0.228849</v>
      </c>
      <c r="F29" s="1"/>
      <c r="G29" s="1"/>
      <c r="H29" s="1"/>
      <c r="I29" s="1"/>
      <c r="J29" s="1"/>
      <c r="K29" s="1"/>
      <c r="L29" s="1"/>
      <c r="M29" s="1"/>
      <c r="N29" s="18"/>
    </row>
    <row r="30" spans="2:14" ht="15" customHeight="1" x14ac:dyDescent="0.25">
      <c r="B30" s="20"/>
      <c r="C30" s="5" t="s">
        <v>80</v>
      </c>
      <c r="D30" s="6" t="s">
        <v>181</v>
      </c>
      <c r="E30" s="11">
        <v>7.7372999999999997E-2</v>
      </c>
      <c r="F30" s="1"/>
      <c r="G30" s="1"/>
      <c r="H30" s="1"/>
      <c r="I30" s="1"/>
      <c r="J30" s="1"/>
      <c r="K30" s="1"/>
      <c r="L30" s="1"/>
      <c r="M30" s="1"/>
      <c r="N30" s="18"/>
    </row>
    <row r="31" spans="2:14" ht="15" customHeight="1" x14ac:dyDescent="0.25">
      <c r="B31" s="20"/>
      <c r="C31" s="5" t="s">
        <v>69</v>
      </c>
      <c r="D31" s="6" t="s">
        <v>181</v>
      </c>
      <c r="E31" s="11">
        <v>2.4948000000000001E-2</v>
      </c>
      <c r="F31" s="1"/>
      <c r="G31" s="1"/>
      <c r="H31" s="1"/>
      <c r="I31" s="1"/>
      <c r="J31" s="1"/>
      <c r="K31" s="1"/>
      <c r="L31" s="1"/>
      <c r="M31" s="1"/>
      <c r="N31" s="18"/>
    </row>
    <row r="32" spans="2:14" ht="15" customHeight="1" x14ac:dyDescent="0.25">
      <c r="B32" s="20"/>
      <c r="C32" s="5" t="s">
        <v>49</v>
      </c>
      <c r="D32" s="6" t="s">
        <v>181</v>
      </c>
      <c r="E32" s="11">
        <v>2.48E-3</v>
      </c>
      <c r="F32" s="1"/>
      <c r="G32" s="1"/>
      <c r="H32" s="1"/>
      <c r="I32" s="1"/>
      <c r="J32" s="1"/>
      <c r="K32" s="1"/>
      <c r="L32" s="1"/>
      <c r="M32" s="1"/>
      <c r="N32" s="18"/>
    </row>
    <row r="33" spans="2:14" ht="15" customHeight="1" x14ac:dyDescent="0.25">
      <c r="B33" s="20"/>
      <c r="C33" s="5" t="s">
        <v>70</v>
      </c>
      <c r="D33" s="6" t="s">
        <v>181</v>
      </c>
      <c r="E33" s="11">
        <v>1.21E-4</v>
      </c>
      <c r="F33" s="1"/>
      <c r="G33" s="1"/>
      <c r="H33" s="1"/>
      <c r="I33" s="1"/>
      <c r="J33" s="1"/>
      <c r="K33" s="1"/>
      <c r="L33" s="1"/>
      <c r="M33" s="1"/>
      <c r="N33" s="18"/>
    </row>
    <row r="34" spans="2:14" ht="15" customHeight="1" x14ac:dyDescent="0.25">
      <c r="B34" s="20"/>
      <c r="C34" s="5" t="s">
        <v>81</v>
      </c>
      <c r="D34" s="6" t="s">
        <v>181</v>
      </c>
      <c r="E34" s="11">
        <v>1.1400000000000001E-4</v>
      </c>
      <c r="F34" s="1"/>
      <c r="G34" s="1"/>
      <c r="H34" s="1"/>
      <c r="I34" s="1"/>
      <c r="J34" s="1"/>
      <c r="K34" s="1"/>
      <c r="L34" s="1"/>
      <c r="M34" s="1"/>
      <c r="N34" s="18"/>
    </row>
    <row r="35" spans="2:14" ht="15" customHeight="1" x14ac:dyDescent="0.25">
      <c r="B35" s="20"/>
      <c r="C35" s="5" t="s">
        <v>65</v>
      </c>
      <c r="D35" s="6" t="s">
        <v>181</v>
      </c>
      <c r="E35" s="11">
        <v>9.8999999999999994E-5</v>
      </c>
      <c r="F35" s="1"/>
      <c r="G35" s="1"/>
      <c r="H35" s="1"/>
      <c r="I35" s="1"/>
      <c r="J35" s="1"/>
      <c r="K35" s="1"/>
      <c r="L35" s="1"/>
      <c r="M35" s="1"/>
      <c r="N35" s="18"/>
    </row>
    <row r="36" spans="2:14" ht="15.75" customHeight="1" x14ac:dyDescent="0.25">
      <c r="B36" s="20"/>
      <c r="C36" s="7" t="s">
        <v>50</v>
      </c>
      <c r="D36" s="8"/>
      <c r="E36" s="12">
        <v>0.333984</v>
      </c>
      <c r="F36" s="1"/>
      <c r="G36" s="1"/>
      <c r="H36" s="1"/>
      <c r="I36" s="1"/>
      <c r="J36" s="1"/>
      <c r="K36" s="1"/>
      <c r="L36" s="1"/>
      <c r="M36" s="1"/>
      <c r="N36" s="18"/>
    </row>
    <row r="37" spans="2:14" ht="15" customHeight="1" x14ac:dyDescent="0.25">
      <c r="B37" s="20"/>
      <c r="C37" s="5" t="s">
        <v>292</v>
      </c>
      <c r="D37" s="6" t="s">
        <v>71</v>
      </c>
      <c r="E37" s="11">
        <v>2.7959999999999999E-3</v>
      </c>
      <c r="F37" s="1"/>
      <c r="G37" s="1"/>
      <c r="H37" s="1"/>
      <c r="I37" s="1"/>
      <c r="J37" s="1"/>
      <c r="K37" s="1"/>
      <c r="L37" s="1"/>
      <c r="M37" s="1"/>
      <c r="N37" s="18"/>
    </row>
    <row r="38" spans="2:14" ht="15.75" customHeight="1" x14ac:dyDescent="0.25">
      <c r="B38" s="20"/>
      <c r="C38" s="7" t="s">
        <v>72</v>
      </c>
      <c r="D38" s="8"/>
      <c r="E38" s="12">
        <v>2.7959999999999999E-3</v>
      </c>
      <c r="F38" s="1"/>
      <c r="G38" s="1"/>
      <c r="H38" s="1"/>
      <c r="I38" s="1"/>
      <c r="J38" s="1"/>
      <c r="K38" s="1"/>
      <c r="L38" s="1"/>
      <c r="M38" s="1"/>
      <c r="N38" s="18"/>
    </row>
    <row r="39" spans="2:14" ht="15" customHeight="1" x14ac:dyDescent="0.25">
      <c r="B39" s="20"/>
      <c r="C39" s="5" t="s">
        <v>8</v>
      </c>
      <c r="D39" s="6"/>
      <c r="E39" s="11">
        <v>1.2737999999999999E-2</v>
      </c>
      <c r="F39" s="1"/>
      <c r="G39" s="1"/>
      <c r="H39" s="1"/>
      <c r="I39" s="1"/>
      <c r="J39" s="1"/>
      <c r="K39" s="1"/>
      <c r="L39" s="1"/>
      <c r="M39" s="1"/>
      <c r="N39" s="18"/>
    </row>
    <row r="40" spans="2:14" ht="15.75" customHeight="1" x14ac:dyDescent="0.25">
      <c r="B40" s="20"/>
      <c r="C40" s="7" t="s">
        <v>9</v>
      </c>
      <c r="D40" s="8"/>
      <c r="E40" s="12">
        <v>1.2737999999999999E-2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75" customHeight="1" x14ac:dyDescent="0.25">
      <c r="B42" s="20"/>
      <c r="C42" s="7" t="s">
        <v>10</v>
      </c>
      <c r="D42" s="8"/>
      <c r="E42" s="12">
        <v>2.0678999999999999E-2</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9" t="s">
        <v>11</v>
      </c>
      <c r="D44" s="10"/>
      <c r="E44" s="13">
        <v>1</v>
      </c>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x14ac:dyDescent="0.25">
      <c r="B46" s="20"/>
      <c r="C46" s="1" t="s">
        <v>293</v>
      </c>
      <c r="D46" s="1"/>
      <c r="E46" s="1"/>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thickBot="1" x14ac:dyDescent="0.3">
      <c r="B48" s="21"/>
      <c r="C48" s="22"/>
      <c r="D48" s="22"/>
      <c r="E48" s="22"/>
      <c r="F48" s="22"/>
      <c r="G48" s="22"/>
      <c r="H48" s="22"/>
      <c r="I48" s="22"/>
      <c r="J48" s="22"/>
      <c r="K48" s="22"/>
      <c r="L48" s="22"/>
      <c r="M48" s="22"/>
      <c r="N48" s="23"/>
    </row>
    <row r="49" spans="2:14" ht="15" customHeight="1" thickBot="1" x14ac:dyDescent="0.3"/>
    <row r="50" spans="2:14" ht="15" customHeight="1" x14ac:dyDescent="0.25">
      <c r="B50" s="66" t="s">
        <v>291</v>
      </c>
      <c r="C50" s="67"/>
      <c r="D50" s="67"/>
      <c r="E50" s="67"/>
      <c r="F50" s="67"/>
      <c r="G50" s="67"/>
      <c r="H50" s="67"/>
      <c r="I50" s="67"/>
      <c r="J50" s="67"/>
      <c r="K50" s="67"/>
      <c r="L50" s="67"/>
      <c r="M50" s="67"/>
      <c r="N50" s="68"/>
    </row>
    <row r="51" spans="2:14" ht="15" customHeight="1" x14ac:dyDescent="0.25">
      <c r="B51" s="69"/>
      <c r="C51" s="70"/>
      <c r="D51" s="70"/>
      <c r="E51" s="70"/>
      <c r="F51" s="70"/>
      <c r="G51" s="70"/>
      <c r="H51" s="70"/>
      <c r="I51" s="70"/>
      <c r="J51" s="70"/>
      <c r="K51" s="70"/>
      <c r="L51" s="70"/>
      <c r="M51" s="70"/>
      <c r="N51" s="71"/>
    </row>
    <row r="52" spans="2:14" ht="15" customHeight="1" x14ac:dyDescent="0.25">
      <c r="B52" s="69"/>
      <c r="C52" s="70"/>
      <c r="D52" s="70"/>
      <c r="E52" s="70"/>
      <c r="F52" s="70"/>
      <c r="G52" s="70"/>
      <c r="H52" s="70"/>
      <c r="I52" s="70"/>
      <c r="J52" s="70"/>
      <c r="K52" s="70"/>
      <c r="L52" s="70"/>
      <c r="M52" s="70"/>
      <c r="N52" s="71"/>
    </row>
    <row r="53" spans="2:14" ht="15" customHeight="1" thickBot="1" x14ac:dyDescent="0.3">
      <c r="B53" s="72"/>
      <c r="C53" s="73"/>
      <c r="D53" s="73"/>
      <c r="E53" s="73"/>
      <c r="F53" s="73"/>
      <c r="G53" s="73"/>
      <c r="H53" s="73"/>
      <c r="I53" s="73"/>
      <c r="J53" s="73"/>
      <c r="K53" s="73"/>
      <c r="L53" s="73"/>
      <c r="M53" s="73"/>
      <c r="N53" s="74"/>
    </row>
    <row r="54" spans="2:14" ht="15" customHeight="1" thickBot="1" x14ac:dyDescent="0.3"/>
    <row r="55" spans="2:14" ht="124.5" customHeight="1" thickBot="1" x14ac:dyDescent="0.3">
      <c r="B55" s="75" t="s">
        <v>290</v>
      </c>
      <c r="C55" s="76"/>
      <c r="D55" s="76"/>
      <c r="E55" s="76"/>
      <c r="F55" s="76"/>
      <c r="G55" s="76"/>
      <c r="H55" s="76"/>
      <c r="I55" s="76"/>
      <c r="J55" s="76"/>
      <c r="K55" s="76"/>
      <c r="L55" s="76"/>
      <c r="M55" s="76"/>
      <c r="N55" s="77"/>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sheetData>
  <mergeCells count="7">
    <mergeCell ref="B50:N53"/>
    <mergeCell ref="B55:N5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91D0-C9D4-4435-BC6B-1FC8B44CF10B}">
  <dimension ref="B1:N8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19</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20</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21</v>
      </c>
      <c r="D8" s="6" t="s">
        <v>22</v>
      </c>
      <c r="E8" s="11">
        <v>2.8986000000000001E-2</v>
      </c>
      <c r="F8" s="1"/>
      <c r="G8" s="24" t="s">
        <v>15</v>
      </c>
      <c r="H8" s="25">
        <v>1</v>
      </c>
      <c r="I8" s="1"/>
      <c r="J8" s="24" t="s">
        <v>12</v>
      </c>
      <c r="K8" s="24" t="s">
        <v>5</v>
      </c>
      <c r="L8" s="1"/>
      <c r="M8" s="1"/>
      <c r="N8" s="18"/>
    </row>
    <row r="9" spans="2:14" ht="15" customHeight="1" x14ac:dyDescent="0.25">
      <c r="B9" s="20"/>
      <c r="C9" s="5" t="s">
        <v>23</v>
      </c>
      <c r="D9" s="6" t="s">
        <v>22</v>
      </c>
      <c r="E9" s="11">
        <v>1.3643000000000001E-2</v>
      </c>
      <c r="F9" s="1"/>
      <c r="G9" s="1"/>
      <c r="H9" s="1"/>
      <c r="I9" s="1"/>
      <c r="J9" s="24" t="s">
        <v>10</v>
      </c>
      <c r="K9" s="28">
        <v>2.7640999999999999E-2</v>
      </c>
      <c r="L9" s="1"/>
      <c r="M9" s="1"/>
      <c r="N9" s="18"/>
    </row>
    <row r="10" spans="2:14" ht="15" customHeight="1" x14ac:dyDescent="0.25">
      <c r="B10" s="20"/>
      <c r="C10" s="5" t="s">
        <v>24</v>
      </c>
      <c r="D10" s="6" t="s">
        <v>22</v>
      </c>
      <c r="E10" s="11">
        <v>1.2747E-2</v>
      </c>
      <c r="F10" s="1"/>
      <c r="G10" s="1"/>
      <c r="H10" s="1"/>
      <c r="I10" s="1"/>
      <c r="J10" s="24" t="s">
        <v>13</v>
      </c>
      <c r="K10" s="28">
        <v>2.6571000000000001E-2</v>
      </c>
      <c r="L10" s="1"/>
      <c r="M10" s="1"/>
      <c r="N10" s="18"/>
    </row>
    <row r="11" spans="2:14" ht="15" customHeight="1" x14ac:dyDescent="0.25">
      <c r="B11" s="20"/>
      <c r="C11" s="5" t="s">
        <v>25</v>
      </c>
      <c r="D11" s="6" t="s">
        <v>22</v>
      </c>
      <c r="E11" s="11">
        <v>1.707E-3</v>
      </c>
      <c r="F11" s="1"/>
      <c r="G11" s="1"/>
      <c r="H11" s="1"/>
      <c r="I11" s="1"/>
      <c r="J11" s="24" t="s">
        <v>52</v>
      </c>
      <c r="K11" s="28">
        <v>5.7764999999999997E-2</v>
      </c>
      <c r="L11" s="1"/>
      <c r="M11" s="1"/>
      <c r="N11" s="18"/>
    </row>
    <row r="12" spans="2:14" ht="15" customHeight="1" x14ac:dyDescent="0.25">
      <c r="B12" s="20"/>
      <c r="C12" s="5" t="s">
        <v>26</v>
      </c>
      <c r="D12" s="6" t="s">
        <v>22</v>
      </c>
      <c r="E12" s="11">
        <v>6.8199999999999999E-4</v>
      </c>
      <c r="F12" s="1"/>
      <c r="G12" s="1"/>
      <c r="H12" s="1"/>
      <c r="I12" s="1"/>
      <c r="J12" s="24" t="s">
        <v>53</v>
      </c>
      <c r="K12" s="28">
        <v>0.69426900000000002</v>
      </c>
      <c r="L12" s="1"/>
      <c r="M12" s="1"/>
      <c r="N12" s="18"/>
    </row>
    <row r="13" spans="2:14" ht="15.75" customHeight="1" x14ac:dyDescent="0.25">
      <c r="B13" s="20"/>
      <c r="C13" s="7" t="s">
        <v>27</v>
      </c>
      <c r="D13" s="8"/>
      <c r="E13" s="12">
        <v>5.7764999999999997E-2</v>
      </c>
      <c r="F13" s="1"/>
      <c r="G13" s="1"/>
      <c r="H13" s="1"/>
      <c r="I13" s="1"/>
      <c r="J13" s="24" t="s">
        <v>54</v>
      </c>
      <c r="K13" s="28">
        <v>1.9779000000000001E-2</v>
      </c>
      <c r="L13" s="1"/>
      <c r="M13" s="1"/>
      <c r="N13" s="18"/>
    </row>
    <row r="14" spans="2:14" ht="15" customHeight="1" x14ac:dyDescent="0.25">
      <c r="B14" s="20"/>
      <c r="C14" s="5" t="s">
        <v>23</v>
      </c>
      <c r="D14" s="6" t="s">
        <v>22</v>
      </c>
      <c r="E14" s="11">
        <v>1.9779000000000001E-2</v>
      </c>
      <c r="F14" s="1"/>
      <c r="G14" s="1"/>
      <c r="H14" s="1"/>
      <c r="I14" s="1"/>
      <c r="J14" s="24" t="s">
        <v>47</v>
      </c>
      <c r="K14" s="28">
        <v>2.5360000000000001E-3</v>
      </c>
      <c r="L14" s="1"/>
      <c r="M14" s="1"/>
      <c r="N14" s="18"/>
    </row>
    <row r="15" spans="2:14" ht="15.75" customHeight="1" x14ac:dyDescent="0.25">
      <c r="B15" s="20"/>
      <c r="C15" s="7" t="s">
        <v>28</v>
      </c>
      <c r="D15" s="8"/>
      <c r="E15" s="12">
        <v>1.9779000000000001E-2</v>
      </c>
      <c r="F15" s="1"/>
      <c r="G15" s="1"/>
      <c r="H15" s="1"/>
      <c r="I15" s="1"/>
      <c r="J15" s="24" t="s">
        <v>55</v>
      </c>
      <c r="K15" s="28">
        <v>0.12681999999999999</v>
      </c>
      <c r="L15" s="1"/>
      <c r="M15" s="1"/>
      <c r="N15" s="18"/>
    </row>
    <row r="16" spans="2:14" ht="15" customHeight="1" x14ac:dyDescent="0.25">
      <c r="B16" s="20"/>
      <c r="C16" s="5" t="s">
        <v>29</v>
      </c>
      <c r="D16" s="6" t="s">
        <v>30</v>
      </c>
      <c r="E16" s="11">
        <v>0.105439</v>
      </c>
      <c r="F16" s="1"/>
      <c r="G16" s="1"/>
      <c r="H16" s="1"/>
      <c r="I16" s="1"/>
      <c r="J16" s="24" t="s">
        <v>56</v>
      </c>
      <c r="K16" s="28">
        <v>4.4618999999999999E-2</v>
      </c>
      <c r="L16" s="1"/>
      <c r="M16" s="1"/>
      <c r="N16" s="18"/>
    </row>
    <row r="17" spans="2:14" ht="15" customHeight="1" x14ac:dyDescent="0.25">
      <c r="B17" s="20"/>
      <c r="C17" s="5" t="s">
        <v>31</v>
      </c>
      <c r="D17" s="6" t="s">
        <v>30</v>
      </c>
      <c r="E17" s="11">
        <v>0.103017</v>
      </c>
      <c r="F17" s="1"/>
      <c r="G17" s="1"/>
      <c r="H17" s="1"/>
      <c r="I17" s="1"/>
      <c r="J17" s="1"/>
      <c r="K17" s="1"/>
      <c r="L17" s="1"/>
      <c r="M17" s="1"/>
      <c r="N17" s="18"/>
    </row>
    <row r="18" spans="2:14" ht="15" customHeight="1" x14ac:dyDescent="0.25">
      <c r="B18" s="20"/>
      <c r="C18" s="5" t="s">
        <v>32</v>
      </c>
      <c r="D18" s="6" t="s">
        <v>30</v>
      </c>
      <c r="E18" s="11">
        <v>9.7764000000000004E-2</v>
      </c>
      <c r="F18" s="1"/>
      <c r="G18" s="1"/>
      <c r="H18" s="1"/>
      <c r="I18" s="1"/>
      <c r="J18" s="1"/>
      <c r="K18" s="1"/>
      <c r="L18" s="1"/>
      <c r="M18" s="1"/>
      <c r="N18" s="18"/>
    </row>
    <row r="19" spans="2:14" ht="15" customHeight="1" x14ac:dyDescent="0.25">
      <c r="B19" s="20"/>
      <c r="C19" s="5" t="s">
        <v>33</v>
      </c>
      <c r="D19" s="6" t="s">
        <v>30</v>
      </c>
      <c r="E19" s="11">
        <v>7.6127E-2</v>
      </c>
      <c r="F19" s="1"/>
      <c r="G19" s="1"/>
      <c r="H19" s="1"/>
      <c r="I19" s="1"/>
      <c r="J19" s="1"/>
      <c r="K19" s="1"/>
      <c r="L19" s="1"/>
      <c r="M19" s="1"/>
      <c r="N19" s="18"/>
    </row>
    <row r="20" spans="2:14" ht="15" customHeight="1" x14ac:dyDescent="0.25">
      <c r="B20" s="20"/>
      <c r="C20" s="5" t="s">
        <v>34</v>
      </c>
      <c r="D20" s="6" t="s">
        <v>30</v>
      </c>
      <c r="E20" s="11">
        <v>6.6556000000000004E-2</v>
      </c>
      <c r="F20" s="1"/>
      <c r="G20" s="1"/>
      <c r="H20" s="1"/>
      <c r="I20" s="1"/>
      <c r="J20" s="1"/>
      <c r="K20" s="1"/>
      <c r="L20" s="1"/>
      <c r="M20" s="1"/>
      <c r="N20" s="18"/>
    </row>
    <row r="21" spans="2:14" ht="15" customHeight="1" x14ac:dyDescent="0.25">
      <c r="B21" s="20"/>
      <c r="C21" s="5" t="s">
        <v>35</v>
      </c>
      <c r="D21" s="6" t="s">
        <v>30</v>
      </c>
      <c r="E21" s="11">
        <v>6.5142000000000005E-2</v>
      </c>
      <c r="F21" s="1"/>
      <c r="G21" s="1"/>
      <c r="H21" s="1"/>
      <c r="I21" s="1"/>
      <c r="J21" s="1"/>
      <c r="K21" s="1"/>
      <c r="L21" s="1"/>
      <c r="M21" s="1"/>
      <c r="N21" s="18"/>
    </row>
    <row r="22" spans="2:14" ht="15" customHeight="1" x14ac:dyDescent="0.25">
      <c r="B22" s="20"/>
      <c r="C22" s="5" t="s">
        <v>36</v>
      </c>
      <c r="D22" s="6" t="s">
        <v>30</v>
      </c>
      <c r="E22" s="11">
        <v>4.6274999999999997E-2</v>
      </c>
      <c r="F22" s="1"/>
      <c r="G22" s="1"/>
      <c r="H22" s="1"/>
      <c r="I22" s="1"/>
      <c r="J22" s="1"/>
      <c r="K22" s="1"/>
      <c r="L22" s="1"/>
      <c r="M22" s="1"/>
      <c r="N22" s="18"/>
    </row>
    <row r="23" spans="2:14" ht="15" customHeight="1" x14ac:dyDescent="0.25">
      <c r="B23" s="20"/>
      <c r="C23" s="5" t="s">
        <v>37</v>
      </c>
      <c r="D23" s="6" t="s">
        <v>30</v>
      </c>
      <c r="E23" s="11">
        <v>4.4278999999999999E-2</v>
      </c>
      <c r="F23" s="1"/>
      <c r="G23" s="1"/>
      <c r="H23" s="1"/>
      <c r="I23" s="1"/>
      <c r="J23" s="1"/>
      <c r="K23" s="1"/>
      <c r="L23" s="1"/>
      <c r="M23" s="1"/>
      <c r="N23" s="18"/>
    </row>
    <row r="24" spans="2:14" ht="15" customHeight="1" x14ac:dyDescent="0.25">
      <c r="B24" s="20"/>
      <c r="C24" s="5" t="s">
        <v>38</v>
      </c>
      <c r="D24" s="6" t="s">
        <v>30</v>
      </c>
      <c r="E24" s="11">
        <v>3.3981999999999998E-2</v>
      </c>
      <c r="F24" s="1"/>
      <c r="G24" s="83" t="s">
        <v>17</v>
      </c>
      <c r="H24" s="84"/>
      <c r="I24" s="84"/>
      <c r="J24" s="84"/>
      <c r="K24" s="84"/>
      <c r="L24" s="65">
        <v>2.2068605948848594</v>
      </c>
      <c r="M24" s="26"/>
      <c r="N24" s="27"/>
    </row>
    <row r="25" spans="2:14" ht="15" customHeight="1" x14ac:dyDescent="0.25">
      <c r="B25" s="20"/>
      <c r="C25" s="5" t="s">
        <v>39</v>
      </c>
      <c r="D25" s="6" t="s">
        <v>30</v>
      </c>
      <c r="E25" s="11">
        <v>2.1135000000000001E-2</v>
      </c>
      <c r="F25" s="1"/>
      <c r="G25" s="1"/>
      <c r="H25" s="1"/>
      <c r="I25" s="1"/>
      <c r="J25" s="1"/>
      <c r="K25" s="1"/>
      <c r="L25" s="1"/>
      <c r="M25" s="1"/>
      <c r="N25" s="18"/>
    </row>
    <row r="26" spans="2:14" ht="15" customHeight="1" x14ac:dyDescent="0.25">
      <c r="B26" s="20"/>
      <c r="C26" s="5" t="s">
        <v>40</v>
      </c>
      <c r="D26" s="6" t="s">
        <v>30</v>
      </c>
      <c r="E26" s="11">
        <v>1.7964999999999998E-2</v>
      </c>
      <c r="F26" s="1"/>
      <c r="G26" s="83" t="s">
        <v>18</v>
      </c>
      <c r="H26" s="84"/>
      <c r="I26" s="84"/>
      <c r="J26" s="84"/>
      <c r="K26" s="84"/>
      <c r="L26" s="84"/>
      <c r="M26" s="84"/>
      <c r="N26" s="85"/>
    </row>
    <row r="27" spans="2:14" ht="15" customHeight="1" x14ac:dyDescent="0.25">
      <c r="B27" s="20"/>
      <c r="C27" s="5" t="s">
        <v>41</v>
      </c>
      <c r="D27" s="6" t="s">
        <v>30</v>
      </c>
      <c r="E27" s="11">
        <v>6.1549999999999999E-3</v>
      </c>
      <c r="F27" s="1"/>
      <c r="G27" s="1"/>
      <c r="H27" s="1"/>
      <c r="I27" s="1"/>
      <c r="J27" s="1"/>
      <c r="K27" s="1"/>
      <c r="L27" s="1"/>
      <c r="M27" s="1"/>
      <c r="N27" s="18"/>
    </row>
    <row r="28" spans="2:14" ht="15" customHeight="1" x14ac:dyDescent="0.25">
      <c r="B28" s="20"/>
      <c r="C28" s="5" t="s">
        <v>42</v>
      </c>
      <c r="D28" s="6" t="s">
        <v>30</v>
      </c>
      <c r="E28" s="11">
        <v>3.1319999999999998E-3</v>
      </c>
      <c r="F28" s="1"/>
      <c r="G28" s="1"/>
      <c r="H28" s="1"/>
      <c r="I28" s="1"/>
      <c r="J28" s="1"/>
      <c r="K28" s="1"/>
      <c r="L28" s="1"/>
      <c r="M28" s="1"/>
      <c r="N28" s="18"/>
    </row>
    <row r="29" spans="2:14" ht="15" customHeight="1" x14ac:dyDescent="0.25">
      <c r="B29" s="20"/>
      <c r="C29" s="5" t="s">
        <v>43</v>
      </c>
      <c r="D29" s="6" t="s">
        <v>30</v>
      </c>
      <c r="E29" s="11">
        <v>3.0890000000000002E-3</v>
      </c>
      <c r="F29" s="1"/>
      <c r="G29" s="1"/>
      <c r="H29" s="1"/>
      <c r="I29" s="1"/>
      <c r="J29" s="1"/>
      <c r="K29" s="1"/>
      <c r="L29" s="1"/>
      <c r="M29" s="1"/>
      <c r="N29" s="18"/>
    </row>
    <row r="30" spans="2:14" ht="15" customHeight="1" x14ac:dyDescent="0.25">
      <c r="B30" s="20"/>
      <c r="C30" s="5" t="s">
        <v>23</v>
      </c>
      <c r="D30" s="6" t="s">
        <v>30</v>
      </c>
      <c r="E30" s="11">
        <v>1.7229999999999999E-3</v>
      </c>
      <c r="F30" s="1"/>
      <c r="G30" s="1"/>
      <c r="H30" s="1"/>
      <c r="I30" s="1"/>
      <c r="J30" s="1"/>
      <c r="K30" s="1"/>
      <c r="L30" s="1"/>
      <c r="M30" s="1"/>
      <c r="N30" s="18"/>
    </row>
    <row r="31" spans="2:14" ht="15" customHeight="1" x14ac:dyDescent="0.25">
      <c r="B31" s="20"/>
      <c r="C31" s="5" t="s">
        <v>44</v>
      </c>
      <c r="D31" s="6" t="s">
        <v>30</v>
      </c>
      <c r="E31" s="11">
        <v>1.395E-3</v>
      </c>
      <c r="F31" s="1"/>
      <c r="G31" s="1"/>
      <c r="H31" s="1"/>
      <c r="I31" s="1"/>
      <c r="J31" s="1"/>
      <c r="K31" s="1"/>
      <c r="L31" s="1"/>
      <c r="M31" s="1"/>
      <c r="N31" s="18"/>
    </row>
    <row r="32" spans="2:14" ht="15" customHeight="1" x14ac:dyDescent="0.25">
      <c r="B32" s="20"/>
      <c r="C32" s="5" t="s">
        <v>45</v>
      </c>
      <c r="D32" s="6" t="s">
        <v>30</v>
      </c>
      <c r="E32" s="11">
        <v>9.8999999999999999E-4</v>
      </c>
      <c r="F32" s="1"/>
      <c r="G32" s="1"/>
      <c r="H32" s="1"/>
      <c r="I32" s="1"/>
      <c r="J32" s="1"/>
      <c r="K32" s="1"/>
      <c r="L32" s="1"/>
      <c r="M32" s="1"/>
      <c r="N32" s="18"/>
    </row>
    <row r="33" spans="2:14" ht="15" customHeight="1" x14ac:dyDescent="0.25">
      <c r="B33" s="20"/>
      <c r="C33" s="5" t="s">
        <v>24</v>
      </c>
      <c r="D33" s="6" t="s">
        <v>30</v>
      </c>
      <c r="E33" s="11">
        <v>1.0399999999999999E-4</v>
      </c>
      <c r="F33" s="1"/>
      <c r="G33" s="1"/>
      <c r="H33" s="1"/>
      <c r="I33" s="1"/>
      <c r="J33" s="1"/>
      <c r="K33" s="1"/>
      <c r="L33" s="1"/>
      <c r="M33" s="1"/>
      <c r="N33" s="18"/>
    </row>
    <row r="34" spans="2:14" ht="15.75" customHeight="1" x14ac:dyDescent="0.25">
      <c r="B34" s="20"/>
      <c r="C34" s="7" t="s">
        <v>46</v>
      </c>
      <c r="D34" s="8"/>
      <c r="E34" s="12">
        <v>0.69426900000000002</v>
      </c>
      <c r="F34" s="1"/>
      <c r="G34" s="1"/>
      <c r="H34" s="1"/>
      <c r="I34" s="1"/>
      <c r="J34" s="1"/>
      <c r="K34" s="1"/>
      <c r="L34" s="1"/>
      <c r="M34" s="1"/>
      <c r="N34" s="18"/>
    </row>
    <row r="35" spans="2:14" ht="15" customHeight="1" x14ac:dyDescent="0.25">
      <c r="B35" s="20"/>
      <c r="C35" s="5" t="s">
        <v>47</v>
      </c>
      <c r="D35" s="6"/>
      <c r="E35" s="11">
        <v>2.5360000000000001E-3</v>
      </c>
      <c r="F35" s="1"/>
      <c r="G35" s="1"/>
      <c r="H35" s="1"/>
      <c r="I35" s="1"/>
      <c r="J35" s="1"/>
      <c r="K35" s="1"/>
      <c r="L35" s="1"/>
      <c r="M35" s="1"/>
      <c r="N35" s="18"/>
    </row>
    <row r="36" spans="2:14" ht="15.75" customHeight="1" x14ac:dyDescent="0.25">
      <c r="B36" s="20"/>
      <c r="C36" s="7" t="s">
        <v>48</v>
      </c>
      <c r="D36" s="8"/>
      <c r="E36" s="12">
        <v>2.5360000000000001E-3</v>
      </c>
      <c r="F36" s="1"/>
      <c r="G36" s="1"/>
      <c r="H36" s="1"/>
      <c r="I36" s="1"/>
      <c r="J36" s="1"/>
      <c r="K36" s="1"/>
      <c r="L36" s="1"/>
      <c r="M36" s="1"/>
      <c r="N36" s="18"/>
    </row>
    <row r="37" spans="2:14" ht="15" customHeight="1" x14ac:dyDescent="0.25">
      <c r="B37" s="20"/>
      <c r="C37" s="5" t="s">
        <v>49</v>
      </c>
      <c r="D37" s="6" t="s">
        <v>181</v>
      </c>
      <c r="E37" s="11">
        <v>0.12681999999999999</v>
      </c>
      <c r="F37" s="1"/>
      <c r="G37" s="1"/>
      <c r="H37" s="1"/>
      <c r="I37" s="1"/>
      <c r="J37" s="1"/>
      <c r="K37" s="1"/>
      <c r="L37" s="1"/>
      <c r="M37" s="1"/>
      <c r="N37" s="18"/>
    </row>
    <row r="38" spans="2:14" ht="15.75" customHeight="1" x14ac:dyDescent="0.25">
      <c r="B38" s="20"/>
      <c r="C38" s="7" t="s">
        <v>50</v>
      </c>
      <c r="D38" s="8"/>
      <c r="E38" s="12">
        <v>0.12681999999999999</v>
      </c>
      <c r="F38" s="1"/>
      <c r="G38" s="1"/>
      <c r="H38" s="1"/>
      <c r="I38" s="1"/>
      <c r="J38" s="1"/>
      <c r="K38" s="1"/>
      <c r="L38" s="1"/>
      <c r="M38" s="1"/>
      <c r="N38" s="18"/>
    </row>
    <row r="39" spans="2:14" ht="15" customHeight="1" x14ac:dyDescent="0.25">
      <c r="B39" s="20"/>
      <c r="C39" s="5" t="s">
        <v>225</v>
      </c>
      <c r="D39" s="6" t="s">
        <v>181</v>
      </c>
      <c r="E39" s="11">
        <v>1.3125E-2</v>
      </c>
      <c r="F39" s="1"/>
      <c r="G39" s="1"/>
      <c r="H39" s="1"/>
      <c r="I39" s="1"/>
      <c r="J39" s="1"/>
      <c r="K39" s="1"/>
      <c r="L39" s="1"/>
      <c r="M39" s="1"/>
      <c r="N39" s="18"/>
    </row>
    <row r="40" spans="2:14" ht="15.75" customHeight="1" x14ac:dyDescent="0.25">
      <c r="B40" s="20"/>
      <c r="C40" s="5" t="s">
        <v>215</v>
      </c>
      <c r="D40" s="6" t="s">
        <v>181</v>
      </c>
      <c r="E40" s="11">
        <v>9.8340000000000007E-3</v>
      </c>
      <c r="F40" s="1"/>
      <c r="G40" s="1"/>
      <c r="H40" s="1"/>
      <c r="I40" s="1"/>
      <c r="J40" s="1"/>
      <c r="K40" s="1"/>
      <c r="L40" s="1"/>
      <c r="M40" s="1"/>
      <c r="N40" s="18"/>
    </row>
    <row r="41" spans="2:14" ht="15" customHeight="1" x14ac:dyDescent="0.25">
      <c r="B41" s="20"/>
      <c r="C41" s="5" t="s">
        <v>218</v>
      </c>
      <c r="D41" s="6" t="s">
        <v>181</v>
      </c>
      <c r="E41" s="11">
        <v>3.4859999999999999E-3</v>
      </c>
      <c r="F41" s="1"/>
      <c r="G41" s="1"/>
      <c r="H41" s="1"/>
      <c r="I41" s="1"/>
      <c r="J41" s="1"/>
      <c r="K41" s="1"/>
      <c r="L41" s="1"/>
      <c r="M41" s="1"/>
      <c r="N41" s="18"/>
    </row>
    <row r="42" spans="2:14" ht="15.75" customHeight="1" x14ac:dyDescent="0.25">
      <c r="B42" s="20"/>
      <c r="C42" s="5" t="s">
        <v>226</v>
      </c>
      <c r="D42" s="6" t="s">
        <v>181</v>
      </c>
      <c r="E42" s="11">
        <v>3.444E-3</v>
      </c>
      <c r="F42" s="1"/>
      <c r="G42" s="1"/>
      <c r="H42" s="1"/>
      <c r="I42" s="1"/>
      <c r="J42" s="1"/>
      <c r="K42" s="1"/>
      <c r="L42" s="1"/>
      <c r="M42" s="1"/>
      <c r="N42" s="18"/>
    </row>
    <row r="43" spans="2:14" ht="15" customHeight="1" x14ac:dyDescent="0.25">
      <c r="B43" s="20"/>
      <c r="C43" s="5" t="s">
        <v>214</v>
      </c>
      <c r="D43" s="6" t="s">
        <v>181</v>
      </c>
      <c r="E43" s="11">
        <v>2.0999999999999999E-3</v>
      </c>
      <c r="F43" s="1"/>
      <c r="G43" s="1"/>
      <c r="H43" s="1"/>
      <c r="I43" s="1"/>
      <c r="J43" s="1"/>
      <c r="K43" s="1"/>
      <c r="L43" s="1"/>
      <c r="M43" s="1"/>
      <c r="N43" s="18"/>
    </row>
    <row r="44" spans="2:14" ht="15.75" customHeight="1" x14ac:dyDescent="0.25">
      <c r="B44" s="20"/>
      <c r="C44" s="5" t="s">
        <v>211</v>
      </c>
      <c r="D44" s="6" t="s">
        <v>181</v>
      </c>
      <c r="E44" s="11">
        <v>2.0820000000000001E-3</v>
      </c>
      <c r="F44" s="1"/>
      <c r="G44" s="1"/>
      <c r="H44" s="1"/>
      <c r="I44" s="1"/>
      <c r="J44" s="1"/>
      <c r="K44" s="1"/>
      <c r="L44" s="1"/>
      <c r="M44" s="1"/>
      <c r="N44" s="18"/>
    </row>
    <row r="45" spans="2:14" ht="15" customHeight="1" x14ac:dyDescent="0.25">
      <c r="B45" s="20"/>
      <c r="C45" s="5" t="s">
        <v>216</v>
      </c>
      <c r="D45" s="6" t="s">
        <v>181</v>
      </c>
      <c r="E45" s="11">
        <v>1.7570000000000001E-3</v>
      </c>
      <c r="F45" s="1"/>
      <c r="G45" s="1"/>
      <c r="H45" s="1"/>
      <c r="I45" s="1"/>
      <c r="J45" s="1"/>
      <c r="K45" s="1"/>
      <c r="L45" s="1"/>
      <c r="M45" s="1"/>
      <c r="N45" s="18"/>
    </row>
    <row r="46" spans="2:14" ht="15" customHeight="1" x14ac:dyDescent="0.25">
      <c r="B46" s="20"/>
      <c r="C46" s="5" t="s">
        <v>217</v>
      </c>
      <c r="D46" s="6" t="s">
        <v>181</v>
      </c>
      <c r="E46" s="11">
        <v>1.7470000000000001E-3</v>
      </c>
      <c r="F46" s="1"/>
      <c r="G46" s="1"/>
      <c r="H46" s="1"/>
      <c r="I46" s="1"/>
      <c r="J46" s="1"/>
      <c r="K46" s="1"/>
      <c r="L46" s="1"/>
      <c r="M46" s="1"/>
      <c r="N46" s="18"/>
    </row>
    <row r="47" spans="2:14" ht="15" customHeight="1" x14ac:dyDescent="0.25">
      <c r="B47" s="20"/>
      <c r="C47" s="5" t="s">
        <v>210</v>
      </c>
      <c r="D47" s="6" t="s">
        <v>181</v>
      </c>
      <c r="E47" s="11">
        <v>1.74E-3</v>
      </c>
      <c r="F47" s="1"/>
      <c r="G47" s="1"/>
      <c r="H47" s="1"/>
      <c r="I47" s="1"/>
      <c r="J47" s="1"/>
      <c r="K47" s="1"/>
      <c r="L47" s="1"/>
      <c r="M47" s="1"/>
      <c r="N47" s="18"/>
    </row>
    <row r="48" spans="2:14" ht="15" customHeight="1" x14ac:dyDescent="0.25">
      <c r="B48" s="20"/>
      <c r="C48" s="5" t="s">
        <v>212</v>
      </c>
      <c r="D48" s="6" t="s">
        <v>181</v>
      </c>
      <c r="E48" s="11">
        <v>1.397E-3</v>
      </c>
      <c r="F48" s="1"/>
      <c r="G48" s="1"/>
      <c r="H48" s="1"/>
      <c r="I48" s="1"/>
      <c r="J48" s="1"/>
      <c r="K48" s="1"/>
      <c r="L48" s="1"/>
      <c r="M48" s="1"/>
      <c r="N48" s="18"/>
    </row>
    <row r="49" spans="2:14" ht="15" customHeight="1" x14ac:dyDescent="0.25">
      <c r="B49" s="20"/>
      <c r="C49" s="5" t="s">
        <v>213</v>
      </c>
      <c r="D49" s="6" t="s">
        <v>181</v>
      </c>
      <c r="E49" s="11">
        <v>1.0480000000000001E-3</v>
      </c>
      <c r="F49" s="1"/>
      <c r="G49" s="1"/>
      <c r="H49" s="1"/>
      <c r="I49" s="1"/>
      <c r="J49" s="1"/>
      <c r="K49" s="1"/>
      <c r="L49" s="1"/>
      <c r="M49" s="1"/>
      <c r="N49" s="18"/>
    </row>
    <row r="50" spans="2:14" ht="15" customHeight="1" x14ac:dyDescent="0.25">
      <c r="B50" s="20"/>
      <c r="C50" s="5" t="s">
        <v>223</v>
      </c>
      <c r="D50" s="6" t="s">
        <v>181</v>
      </c>
      <c r="E50" s="11">
        <v>6.9800000000000005E-4</v>
      </c>
      <c r="F50" s="1"/>
      <c r="G50" s="1"/>
      <c r="H50" s="1"/>
      <c r="I50" s="1"/>
      <c r="J50" s="1"/>
      <c r="K50" s="1"/>
      <c r="L50" s="1"/>
      <c r="M50" s="1"/>
      <c r="N50" s="18"/>
    </row>
    <row r="51" spans="2:14" ht="15" customHeight="1" x14ac:dyDescent="0.25">
      <c r="B51" s="20"/>
      <c r="C51" s="5" t="s">
        <v>224</v>
      </c>
      <c r="D51" s="6" t="s">
        <v>181</v>
      </c>
      <c r="E51" s="11">
        <v>6.9800000000000005E-4</v>
      </c>
      <c r="F51" s="1"/>
      <c r="G51" s="1"/>
      <c r="H51" s="1"/>
      <c r="I51" s="1"/>
      <c r="J51" s="1"/>
      <c r="K51" s="1"/>
      <c r="L51" s="1"/>
      <c r="M51" s="1"/>
      <c r="N51" s="18"/>
    </row>
    <row r="52" spans="2:14" ht="15" customHeight="1" x14ac:dyDescent="0.25">
      <c r="B52" s="20"/>
      <c r="C52" s="5" t="s">
        <v>221</v>
      </c>
      <c r="D52" s="6" t="s">
        <v>181</v>
      </c>
      <c r="E52" s="11">
        <v>6.8800000000000003E-4</v>
      </c>
      <c r="F52" s="1"/>
      <c r="G52" s="1"/>
      <c r="H52" s="1"/>
      <c r="I52" s="1"/>
      <c r="J52" s="1"/>
      <c r="K52" s="1"/>
      <c r="L52" s="1"/>
      <c r="M52" s="1"/>
      <c r="N52" s="18"/>
    </row>
    <row r="53" spans="2:14" ht="15" customHeight="1" x14ac:dyDescent="0.25">
      <c r="B53" s="20"/>
      <c r="C53" s="5" t="s">
        <v>219</v>
      </c>
      <c r="D53" s="6" t="s">
        <v>181</v>
      </c>
      <c r="E53" s="11">
        <v>3.4699999999999998E-4</v>
      </c>
      <c r="F53" s="1"/>
      <c r="G53" s="1"/>
      <c r="H53" s="1"/>
      <c r="I53" s="1"/>
      <c r="J53" s="1"/>
      <c r="K53" s="1"/>
      <c r="L53" s="1"/>
      <c r="M53" s="1"/>
      <c r="N53" s="18"/>
    </row>
    <row r="54" spans="2:14" ht="15" customHeight="1" x14ac:dyDescent="0.25">
      <c r="B54" s="20"/>
      <c r="C54" s="5" t="s">
        <v>222</v>
      </c>
      <c r="D54" s="6" t="s">
        <v>181</v>
      </c>
      <c r="E54" s="11">
        <v>3.4600000000000001E-4</v>
      </c>
      <c r="F54" s="1"/>
      <c r="G54" s="1"/>
      <c r="H54" s="1"/>
      <c r="I54" s="1"/>
      <c r="J54" s="1"/>
      <c r="K54" s="1"/>
      <c r="L54" s="1"/>
      <c r="M54" s="1"/>
      <c r="N54" s="18"/>
    </row>
    <row r="55" spans="2:14" ht="15" customHeight="1" x14ac:dyDescent="0.25">
      <c r="B55" s="20"/>
      <c r="C55" s="5" t="s">
        <v>220</v>
      </c>
      <c r="D55" s="6" t="s">
        <v>181</v>
      </c>
      <c r="E55" s="11">
        <v>8.2000000000000001E-5</v>
      </c>
      <c r="F55" s="1"/>
      <c r="G55" s="1"/>
      <c r="H55" s="1"/>
      <c r="I55" s="1"/>
      <c r="J55" s="1"/>
      <c r="K55" s="1"/>
      <c r="L55" s="1"/>
      <c r="M55" s="1"/>
      <c r="N55" s="18"/>
    </row>
    <row r="56" spans="2:14" ht="15" customHeight="1" x14ac:dyDescent="0.25">
      <c r="B56" s="20"/>
      <c r="C56" s="7" t="s">
        <v>51</v>
      </c>
      <c r="D56" s="8"/>
      <c r="E56" s="12">
        <v>4.4618999999999999E-2</v>
      </c>
      <c r="F56" s="1"/>
      <c r="G56" s="1"/>
      <c r="H56" s="1"/>
      <c r="I56" s="1"/>
      <c r="J56" s="1"/>
      <c r="K56" s="1"/>
      <c r="L56" s="1"/>
      <c r="M56" s="1"/>
      <c r="N56" s="18"/>
    </row>
    <row r="57" spans="2:14" ht="15" customHeight="1" x14ac:dyDescent="0.25">
      <c r="B57" s="20"/>
      <c r="C57" s="5" t="s">
        <v>8</v>
      </c>
      <c r="D57" s="6"/>
      <c r="E57" s="11">
        <v>2.6571000000000001E-2</v>
      </c>
      <c r="F57" s="1"/>
      <c r="G57" s="1"/>
      <c r="H57" s="1"/>
      <c r="I57" s="1"/>
      <c r="J57" s="1"/>
      <c r="K57" s="1"/>
      <c r="L57" s="1"/>
      <c r="M57" s="1"/>
      <c r="N57" s="18"/>
    </row>
    <row r="58" spans="2:14" ht="15" customHeight="1" x14ac:dyDescent="0.25">
      <c r="B58" s="20"/>
      <c r="C58" s="7" t="s">
        <v>9</v>
      </c>
      <c r="D58" s="8"/>
      <c r="E58" s="12">
        <v>2.6571000000000001E-2</v>
      </c>
      <c r="F58" s="1"/>
      <c r="G58" s="1"/>
      <c r="H58" s="1"/>
      <c r="I58" s="1"/>
      <c r="J58" s="1"/>
      <c r="K58" s="1"/>
      <c r="L58" s="1"/>
      <c r="M58" s="1"/>
      <c r="N58" s="18"/>
    </row>
    <row r="59" spans="2:14" ht="15" customHeight="1" x14ac:dyDescent="0.25">
      <c r="B59" s="20"/>
      <c r="C59" s="5"/>
      <c r="D59" s="6"/>
      <c r="E59" s="11"/>
      <c r="F59" s="1"/>
      <c r="G59" s="1"/>
      <c r="H59" s="1"/>
      <c r="I59" s="1"/>
      <c r="J59" s="1"/>
      <c r="K59" s="1"/>
      <c r="L59" s="1"/>
      <c r="M59" s="1"/>
      <c r="N59" s="18"/>
    </row>
    <row r="60" spans="2:14" ht="15" customHeight="1" x14ac:dyDescent="0.25">
      <c r="B60" s="20"/>
      <c r="C60" s="7" t="s">
        <v>10</v>
      </c>
      <c r="D60" s="8"/>
      <c r="E60" s="12">
        <v>2.7640999999999999E-2</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9" t="s">
        <v>11</v>
      </c>
      <c r="D62" s="10"/>
      <c r="E62" s="13">
        <v>1</v>
      </c>
      <c r="F62" s="1"/>
      <c r="G62" s="1"/>
      <c r="H62" s="1"/>
      <c r="I62" s="1"/>
      <c r="J62" s="1"/>
      <c r="K62" s="1"/>
      <c r="L62" s="1"/>
      <c r="M62" s="1"/>
      <c r="N62" s="18"/>
    </row>
    <row r="63" spans="2:14" ht="15" customHeight="1" x14ac:dyDescent="0.25">
      <c r="B63" s="20"/>
      <c r="C63" s="1"/>
      <c r="D63" s="1"/>
      <c r="E63" s="1"/>
      <c r="F63" s="1"/>
      <c r="G63" s="1"/>
      <c r="H63" s="1"/>
      <c r="I63" s="1"/>
      <c r="J63" s="1"/>
      <c r="K63" s="1"/>
      <c r="L63" s="1"/>
      <c r="M63" s="1"/>
      <c r="N63" s="18"/>
    </row>
    <row r="64" spans="2:14" ht="15" customHeight="1" thickBot="1" x14ac:dyDescent="0.3">
      <c r="B64" s="21"/>
      <c r="C64" s="22"/>
      <c r="D64" s="22"/>
      <c r="E64" s="22"/>
      <c r="F64" s="22"/>
      <c r="G64" s="22"/>
      <c r="H64" s="22"/>
      <c r="I64" s="22"/>
      <c r="J64" s="22"/>
      <c r="K64" s="22"/>
      <c r="L64" s="22"/>
      <c r="M64" s="22"/>
      <c r="N64" s="23"/>
    </row>
    <row r="65" spans="2:14" ht="15" customHeight="1" thickBot="1" x14ac:dyDescent="0.3"/>
    <row r="66" spans="2:14" ht="15" customHeight="1" x14ac:dyDescent="0.25">
      <c r="B66" s="66" t="s">
        <v>291</v>
      </c>
      <c r="C66" s="67"/>
      <c r="D66" s="67"/>
      <c r="E66" s="67"/>
      <c r="F66" s="67"/>
      <c r="G66" s="67"/>
      <c r="H66" s="67"/>
      <c r="I66" s="67"/>
      <c r="J66" s="67"/>
      <c r="K66" s="67"/>
      <c r="L66" s="67"/>
      <c r="M66" s="67"/>
      <c r="N66" s="68"/>
    </row>
    <row r="67" spans="2:14" ht="15" customHeight="1" x14ac:dyDescent="0.25">
      <c r="B67" s="69"/>
      <c r="C67" s="70"/>
      <c r="D67" s="70"/>
      <c r="E67" s="70"/>
      <c r="F67" s="70"/>
      <c r="G67" s="70"/>
      <c r="H67" s="70"/>
      <c r="I67" s="70"/>
      <c r="J67" s="70"/>
      <c r="K67" s="70"/>
      <c r="L67" s="70"/>
      <c r="M67" s="70"/>
      <c r="N67" s="71"/>
    </row>
    <row r="68" spans="2:14" ht="15" customHeight="1" x14ac:dyDescent="0.25">
      <c r="B68" s="69"/>
      <c r="C68" s="70"/>
      <c r="D68" s="70"/>
      <c r="E68" s="70"/>
      <c r="F68" s="70"/>
      <c r="G68" s="70"/>
      <c r="H68" s="70"/>
      <c r="I68" s="70"/>
      <c r="J68" s="70"/>
      <c r="K68" s="70"/>
      <c r="L68" s="70"/>
      <c r="M68" s="70"/>
      <c r="N68" s="71"/>
    </row>
    <row r="69" spans="2:14" ht="15" customHeight="1" thickBot="1" x14ac:dyDescent="0.3">
      <c r="B69" s="72"/>
      <c r="C69" s="73"/>
      <c r="D69" s="73"/>
      <c r="E69" s="73"/>
      <c r="F69" s="73"/>
      <c r="G69" s="73"/>
      <c r="H69" s="73"/>
      <c r="I69" s="73"/>
      <c r="J69" s="73"/>
      <c r="K69" s="73"/>
      <c r="L69" s="73"/>
      <c r="M69" s="73"/>
      <c r="N69" s="74"/>
    </row>
    <row r="70" spans="2:14" ht="15" customHeight="1" thickBot="1" x14ac:dyDescent="0.3"/>
    <row r="71" spans="2:14" ht="129" customHeight="1" thickBot="1" x14ac:dyDescent="0.3">
      <c r="B71" s="75" t="s">
        <v>290</v>
      </c>
      <c r="C71" s="76"/>
      <c r="D71" s="76"/>
      <c r="E71" s="76"/>
      <c r="F71" s="76"/>
      <c r="G71" s="76"/>
      <c r="H71" s="76"/>
      <c r="I71" s="76"/>
      <c r="J71" s="76"/>
      <c r="K71" s="76"/>
      <c r="L71" s="76"/>
      <c r="M71" s="76"/>
      <c r="N71" s="77"/>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sheetData>
  <sortState ref="C39:E55">
    <sortCondition descending="1" ref="E39"/>
  </sortState>
  <mergeCells count="7">
    <mergeCell ref="B66:N69"/>
    <mergeCell ref="B71:N71"/>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1AE34-775A-46EE-8588-662A4BE6A22B}">
  <dimension ref="B1:N9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82</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83</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21</v>
      </c>
      <c r="D8" s="6" t="s">
        <v>22</v>
      </c>
      <c r="E8" s="11">
        <v>2.1373E-2</v>
      </c>
      <c r="F8" s="1"/>
      <c r="G8" s="24" t="s">
        <v>15</v>
      </c>
      <c r="H8" s="25">
        <v>1</v>
      </c>
      <c r="I8" s="1"/>
      <c r="J8" s="24" t="s">
        <v>12</v>
      </c>
      <c r="K8" s="24" t="s">
        <v>5</v>
      </c>
      <c r="L8" s="1"/>
      <c r="M8" s="1"/>
      <c r="N8" s="18"/>
    </row>
    <row r="9" spans="2:14" ht="15" customHeight="1" x14ac:dyDescent="0.25">
      <c r="B9" s="20"/>
      <c r="C9" s="5" t="s">
        <v>32</v>
      </c>
      <c r="D9" s="6" t="s">
        <v>22</v>
      </c>
      <c r="E9" s="11">
        <v>7.1269999999999997E-3</v>
      </c>
      <c r="F9" s="1"/>
      <c r="G9" s="1"/>
      <c r="H9" s="1"/>
      <c r="I9" s="1"/>
      <c r="J9" s="24" t="s">
        <v>10</v>
      </c>
      <c r="K9" s="28">
        <v>3.5383999999999999E-2</v>
      </c>
      <c r="L9" s="1"/>
      <c r="M9" s="1"/>
      <c r="N9" s="18"/>
    </row>
    <row r="10" spans="2:14" ht="15" customHeight="1" x14ac:dyDescent="0.25">
      <c r="B10" s="20"/>
      <c r="C10" s="5" t="s">
        <v>23</v>
      </c>
      <c r="D10" s="6" t="s">
        <v>22</v>
      </c>
      <c r="E10" s="11">
        <v>3.5630000000000002E-3</v>
      </c>
      <c r="F10" s="1"/>
      <c r="G10" s="1"/>
      <c r="H10" s="1"/>
      <c r="I10" s="1"/>
      <c r="J10" s="24" t="s">
        <v>13</v>
      </c>
      <c r="K10" s="28">
        <v>4.1265000000000003E-2</v>
      </c>
      <c r="L10" s="1"/>
      <c r="M10" s="1"/>
      <c r="N10" s="18"/>
    </row>
    <row r="11" spans="2:14" ht="15" customHeight="1" x14ac:dyDescent="0.25">
      <c r="B11" s="20"/>
      <c r="C11" s="5" t="s">
        <v>26</v>
      </c>
      <c r="D11" s="6" t="s">
        <v>22</v>
      </c>
      <c r="E11" s="11">
        <v>3.5140000000000002E-3</v>
      </c>
      <c r="F11" s="1"/>
      <c r="G11" s="1"/>
      <c r="H11" s="1"/>
      <c r="I11" s="1"/>
      <c r="J11" s="24" t="s">
        <v>52</v>
      </c>
      <c r="K11" s="28">
        <v>3.9136999999999998E-2</v>
      </c>
      <c r="L11" s="1"/>
      <c r="M11" s="1"/>
      <c r="N11" s="18"/>
    </row>
    <row r="12" spans="2:14" ht="15" customHeight="1" x14ac:dyDescent="0.25">
      <c r="B12" s="20"/>
      <c r="C12" s="5" t="s">
        <v>24</v>
      </c>
      <c r="D12" s="6" t="s">
        <v>22</v>
      </c>
      <c r="E12" s="11">
        <v>1.781E-3</v>
      </c>
      <c r="F12" s="1"/>
      <c r="G12" s="1"/>
      <c r="H12" s="1"/>
      <c r="I12" s="1"/>
      <c r="J12" s="24" t="s">
        <v>53</v>
      </c>
      <c r="K12" s="28">
        <v>0.69464300000000001</v>
      </c>
      <c r="L12" s="1"/>
      <c r="M12" s="1"/>
      <c r="N12" s="18"/>
    </row>
    <row r="13" spans="2:14" ht="15" customHeight="1" x14ac:dyDescent="0.25">
      <c r="B13" s="20"/>
      <c r="C13" s="5" t="s">
        <v>25</v>
      </c>
      <c r="D13" s="6" t="s">
        <v>22</v>
      </c>
      <c r="E13" s="11">
        <v>1.779E-3</v>
      </c>
      <c r="F13" s="1"/>
      <c r="G13" s="1"/>
      <c r="H13" s="1"/>
      <c r="I13" s="1"/>
      <c r="J13" s="24" t="s">
        <v>54</v>
      </c>
      <c r="K13" s="28">
        <v>8.9177000000000006E-2</v>
      </c>
      <c r="L13" s="1"/>
      <c r="M13" s="1"/>
      <c r="N13" s="18"/>
    </row>
    <row r="14" spans="2:14" ht="15.75" customHeight="1" x14ac:dyDescent="0.25">
      <c r="B14" s="20"/>
      <c r="C14" s="7" t="s">
        <v>27</v>
      </c>
      <c r="D14" s="8"/>
      <c r="E14" s="12">
        <v>3.9136999999999998E-2</v>
      </c>
      <c r="F14" s="1"/>
      <c r="G14" s="1"/>
      <c r="H14" s="1"/>
      <c r="I14" s="1"/>
      <c r="J14" s="24" t="s">
        <v>47</v>
      </c>
      <c r="K14" s="28">
        <v>2.8E-3</v>
      </c>
      <c r="L14" s="1"/>
      <c r="M14" s="1"/>
      <c r="N14" s="18"/>
    </row>
    <row r="15" spans="2:14" ht="15" customHeight="1" x14ac:dyDescent="0.25">
      <c r="B15" s="20"/>
      <c r="C15" s="5" t="s">
        <v>31</v>
      </c>
      <c r="D15" s="6" t="s">
        <v>22</v>
      </c>
      <c r="E15" s="11">
        <v>3.3765000000000003E-2</v>
      </c>
      <c r="F15" s="1"/>
      <c r="G15" s="1"/>
      <c r="H15" s="1"/>
      <c r="I15" s="1"/>
      <c r="J15" s="24" t="s">
        <v>56</v>
      </c>
      <c r="K15" s="28">
        <v>2.4514999999999999E-2</v>
      </c>
      <c r="L15" s="1"/>
      <c r="M15" s="1"/>
      <c r="N15" s="18"/>
    </row>
    <row r="16" spans="2:14" ht="15" customHeight="1" x14ac:dyDescent="0.25">
      <c r="B16" s="20"/>
      <c r="C16" s="5" t="s">
        <v>77</v>
      </c>
      <c r="D16" s="6" t="s">
        <v>22</v>
      </c>
      <c r="E16" s="11">
        <v>2.1444000000000001E-2</v>
      </c>
      <c r="F16" s="1"/>
      <c r="G16" s="1"/>
      <c r="H16" s="1"/>
      <c r="I16" s="1"/>
      <c r="J16" s="24" t="s">
        <v>93</v>
      </c>
      <c r="K16" s="28">
        <v>7.3079000000000005E-2</v>
      </c>
      <c r="L16" s="1"/>
      <c r="M16" s="1"/>
      <c r="N16" s="18"/>
    </row>
    <row r="17" spans="2:14" ht="15" customHeight="1" x14ac:dyDescent="0.25">
      <c r="B17" s="20"/>
      <c r="C17" s="5" t="s">
        <v>79</v>
      </c>
      <c r="D17" s="6" t="s">
        <v>22</v>
      </c>
      <c r="E17" s="11">
        <v>1.7949E-2</v>
      </c>
      <c r="F17" s="1"/>
      <c r="G17" s="1"/>
      <c r="H17" s="1"/>
      <c r="I17" s="1"/>
      <c r="J17" s="1"/>
      <c r="K17" s="1"/>
      <c r="L17" s="1"/>
      <c r="M17" s="1"/>
      <c r="N17" s="18"/>
    </row>
    <row r="18" spans="2:14" ht="15" customHeight="1" x14ac:dyDescent="0.25">
      <c r="B18" s="20"/>
      <c r="C18" s="5" t="s">
        <v>23</v>
      </c>
      <c r="D18" s="6" t="s">
        <v>22</v>
      </c>
      <c r="E18" s="11">
        <v>8.8950000000000001E-3</v>
      </c>
      <c r="F18" s="1"/>
      <c r="G18" s="1"/>
      <c r="H18" s="1"/>
      <c r="I18" s="1"/>
      <c r="J18" s="1"/>
      <c r="K18" s="1"/>
      <c r="L18" s="1"/>
      <c r="M18" s="1"/>
      <c r="N18" s="18"/>
    </row>
    <row r="19" spans="2:14" ht="15" customHeight="1" x14ac:dyDescent="0.25">
      <c r="B19" s="20"/>
      <c r="C19" s="5" t="s">
        <v>33</v>
      </c>
      <c r="D19" s="6" t="s">
        <v>22</v>
      </c>
      <c r="E19" s="11">
        <v>7.1240000000000001E-3</v>
      </c>
      <c r="F19" s="1"/>
      <c r="G19" s="1"/>
      <c r="H19" s="1"/>
      <c r="I19" s="1"/>
      <c r="J19" s="1"/>
      <c r="K19" s="1"/>
      <c r="L19" s="1"/>
      <c r="M19" s="1"/>
      <c r="N19" s="18"/>
    </row>
    <row r="20" spans="2:14" ht="15.75" customHeight="1" x14ac:dyDescent="0.25">
      <c r="B20" s="20"/>
      <c r="C20" s="7" t="s">
        <v>28</v>
      </c>
      <c r="D20" s="8"/>
      <c r="E20" s="12">
        <v>8.9177000000000006E-2</v>
      </c>
      <c r="F20" s="1"/>
      <c r="G20" s="1"/>
      <c r="H20" s="1"/>
      <c r="I20" s="1"/>
      <c r="J20" s="1"/>
      <c r="K20" s="1"/>
      <c r="L20" s="1"/>
      <c r="M20" s="1"/>
      <c r="N20" s="18"/>
    </row>
    <row r="21" spans="2:14" ht="15" customHeight="1" x14ac:dyDescent="0.25">
      <c r="B21" s="20"/>
      <c r="C21" s="5" t="s">
        <v>41</v>
      </c>
      <c r="D21" s="6" t="s">
        <v>30</v>
      </c>
      <c r="E21" s="11">
        <v>0.10309</v>
      </c>
      <c r="F21" s="1"/>
      <c r="G21" s="1"/>
      <c r="H21" s="1"/>
      <c r="I21" s="1"/>
      <c r="J21" s="1"/>
      <c r="K21" s="1"/>
      <c r="L21" s="1"/>
      <c r="M21" s="1"/>
      <c r="N21" s="18"/>
    </row>
    <row r="22" spans="2:14" ht="15" customHeight="1" x14ac:dyDescent="0.25">
      <c r="B22" s="20"/>
      <c r="C22" s="5" t="s">
        <v>35</v>
      </c>
      <c r="D22" s="6" t="s">
        <v>30</v>
      </c>
      <c r="E22" s="11">
        <v>8.1984000000000001E-2</v>
      </c>
      <c r="F22" s="1"/>
      <c r="G22" s="1"/>
      <c r="H22" s="1"/>
      <c r="I22" s="1"/>
      <c r="J22" s="1"/>
      <c r="K22" s="1"/>
      <c r="L22" s="1"/>
      <c r="M22" s="1"/>
      <c r="N22" s="18"/>
    </row>
    <row r="23" spans="2:14" ht="15" customHeight="1" x14ac:dyDescent="0.25">
      <c r="B23" s="20"/>
      <c r="C23" s="5" t="s">
        <v>31</v>
      </c>
      <c r="D23" s="6" t="s">
        <v>30</v>
      </c>
      <c r="E23" s="11">
        <v>7.3584999999999998E-2</v>
      </c>
      <c r="F23" s="1"/>
      <c r="G23" s="1"/>
      <c r="H23" s="1"/>
      <c r="I23" s="1"/>
      <c r="J23" s="1"/>
      <c r="K23" s="1"/>
      <c r="L23" s="1"/>
      <c r="M23" s="1"/>
      <c r="N23" s="18"/>
    </row>
    <row r="24" spans="2:14" ht="15" customHeight="1" x14ac:dyDescent="0.25">
      <c r="B24" s="20"/>
      <c r="C24" s="5" t="s">
        <v>36</v>
      </c>
      <c r="D24" s="6" t="s">
        <v>30</v>
      </c>
      <c r="E24" s="11">
        <v>6.8732000000000001E-2</v>
      </c>
      <c r="F24" s="1"/>
      <c r="G24" s="83" t="s">
        <v>17</v>
      </c>
      <c r="H24" s="84"/>
      <c r="I24" s="84"/>
      <c r="J24" s="84"/>
      <c r="K24" s="84"/>
      <c r="L24" s="65">
        <v>0.16140699629333111</v>
      </c>
      <c r="M24" s="26"/>
      <c r="N24" s="27"/>
    </row>
    <row r="25" spans="2:14" ht="15" customHeight="1" x14ac:dyDescent="0.25">
      <c r="B25" s="20"/>
      <c r="C25" s="5" t="s">
        <v>32</v>
      </c>
      <c r="D25" s="6" t="s">
        <v>30</v>
      </c>
      <c r="E25" s="11">
        <v>6.7532999999999996E-2</v>
      </c>
      <c r="F25" s="1"/>
      <c r="G25" s="1"/>
      <c r="H25" s="1"/>
      <c r="I25" s="1"/>
      <c r="J25" s="1"/>
      <c r="K25" s="1"/>
      <c r="L25" s="1"/>
      <c r="M25" s="1"/>
      <c r="N25" s="18"/>
    </row>
    <row r="26" spans="2:14" ht="15" customHeight="1" x14ac:dyDescent="0.25">
      <c r="B26" s="20"/>
      <c r="C26" s="5" t="s">
        <v>23</v>
      </c>
      <c r="D26" s="6" t="s">
        <v>30</v>
      </c>
      <c r="E26" s="11">
        <v>6.5600000000000006E-2</v>
      </c>
      <c r="F26" s="1"/>
      <c r="G26" s="83" t="s">
        <v>18</v>
      </c>
      <c r="H26" s="84"/>
      <c r="I26" s="84"/>
      <c r="J26" s="84"/>
      <c r="K26" s="84"/>
      <c r="L26" s="84"/>
      <c r="M26" s="84"/>
      <c r="N26" s="85"/>
    </row>
    <row r="27" spans="2:14" ht="15" customHeight="1" x14ac:dyDescent="0.25">
      <c r="B27" s="20"/>
      <c r="C27" s="5" t="s">
        <v>29</v>
      </c>
      <c r="D27" s="6" t="s">
        <v>30</v>
      </c>
      <c r="E27" s="11">
        <v>4.5290999999999998E-2</v>
      </c>
      <c r="F27" s="1"/>
      <c r="G27" s="1"/>
      <c r="H27" s="1"/>
      <c r="I27" s="1"/>
      <c r="J27" s="1"/>
      <c r="K27" s="1"/>
      <c r="L27" s="1"/>
      <c r="M27" s="1"/>
      <c r="N27" s="18"/>
    </row>
    <row r="28" spans="2:14" ht="15" customHeight="1" x14ac:dyDescent="0.25">
      <c r="B28" s="20"/>
      <c r="C28" s="5" t="s">
        <v>33</v>
      </c>
      <c r="D28" s="6" t="s">
        <v>30</v>
      </c>
      <c r="E28" s="11">
        <v>4.3310000000000001E-2</v>
      </c>
      <c r="F28" s="1"/>
      <c r="G28" s="1"/>
      <c r="H28" s="1"/>
      <c r="I28" s="1"/>
      <c r="J28" s="1"/>
      <c r="K28" s="1"/>
      <c r="L28" s="1"/>
      <c r="M28" s="1"/>
      <c r="N28" s="18"/>
    </row>
    <row r="29" spans="2:14" ht="15" customHeight="1" x14ac:dyDescent="0.25">
      <c r="B29" s="20"/>
      <c r="C29" s="5" t="s">
        <v>84</v>
      </c>
      <c r="D29" s="6" t="s">
        <v>30</v>
      </c>
      <c r="E29" s="11">
        <v>3.0501E-2</v>
      </c>
      <c r="F29" s="1"/>
      <c r="G29" s="1"/>
      <c r="H29" s="1"/>
      <c r="I29" s="1"/>
      <c r="J29" s="1"/>
      <c r="K29" s="1"/>
      <c r="L29" s="1"/>
      <c r="M29" s="1"/>
      <c r="N29" s="18"/>
    </row>
    <row r="30" spans="2:14" ht="15" customHeight="1" x14ac:dyDescent="0.25">
      <c r="B30" s="20"/>
      <c r="C30" s="5" t="s">
        <v>85</v>
      </c>
      <c r="D30" s="6" t="s">
        <v>30</v>
      </c>
      <c r="E30" s="11">
        <v>2.1509E-2</v>
      </c>
      <c r="F30" s="1"/>
      <c r="G30" s="1"/>
      <c r="H30" s="1"/>
      <c r="I30" s="1"/>
      <c r="J30" s="1"/>
      <c r="K30" s="1"/>
      <c r="L30" s="1"/>
      <c r="M30" s="1"/>
      <c r="N30" s="18"/>
    </row>
    <row r="31" spans="2:14" ht="15" customHeight="1" x14ac:dyDescent="0.25">
      <c r="B31" s="20"/>
      <c r="C31" s="5" t="s">
        <v>38</v>
      </c>
      <c r="D31" s="6" t="s">
        <v>30</v>
      </c>
      <c r="E31" s="11">
        <v>2.0719000000000001E-2</v>
      </c>
      <c r="F31" s="1"/>
      <c r="G31" s="1"/>
      <c r="H31" s="1"/>
      <c r="I31" s="1"/>
      <c r="J31" s="1"/>
      <c r="K31" s="1"/>
      <c r="L31" s="1"/>
      <c r="M31" s="1"/>
      <c r="N31" s="18"/>
    </row>
    <row r="32" spans="2:14" ht="15" customHeight="1" x14ac:dyDescent="0.25">
      <c r="B32" s="20"/>
      <c r="C32" s="5" t="s">
        <v>37</v>
      </c>
      <c r="D32" s="6" t="s">
        <v>30</v>
      </c>
      <c r="E32" s="11">
        <v>1.6875999999999999E-2</v>
      </c>
      <c r="F32" s="1"/>
      <c r="G32" s="1"/>
      <c r="H32" s="1"/>
      <c r="I32" s="1"/>
      <c r="J32" s="1"/>
      <c r="K32" s="1"/>
      <c r="L32" s="1"/>
      <c r="M32" s="1"/>
      <c r="N32" s="18"/>
    </row>
    <row r="33" spans="2:14" ht="15" customHeight="1" x14ac:dyDescent="0.25">
      <c r="B33" s="20"/>
      <c r="C33" s="5" t="s">
        <v>86</v>
      </c>
      <c r="D33" s="6" t="s">
        <v>30</v>
      </c>
      <c r="E33" s="11">
        <v>1.2175E-2</v>
      </c>
      <c r="F33" s="1"/>
      <c r="G33" s="1"/>
      <c r="H33" s="1"/>
      <c r="I33" s="1"/>
      <c r="J33" s="1"/>
      <c r="K33" s="1"/>
      <c r="L33" s="1"/>
      <c r="M33" s="1"/>
      <c r="N33" s="18"/>
    </row>
    <row r="34" spans="2:14" ht="15" customHeight="1" x14ac:dyDescent="0.25">
      <c r="B34" s="20"/>
      <c r="C34" s="5" t="s">
        <v>87</v>
      </c>
      <c r="D34" s="6" t="s">
        <v>30</v>
      </c>
      <c r="E34" s="11">
        <v>8.966E-3</v>
      </c>
      <c r="F34" s="1"/>
      <c r="G34" s="1"/>
      <c r="H34" s="1"/>
      <c r="I34" s="1"/>
      <c r="J34" s="1"/>
      <c r="K34" s="1"/>
      <c r="L34" s="1"/>
      <c r="M34" s="1"/>
      <c r="N34" s="18"/>
    </row>
    <row r="35" spans="2:14" ht="15" customHeight="1" x14ac:dyDescent="0.25">
      <c r="B35" s="20"/>
      <c r="C35" s="5" t="s">
        <v>79</v>
      </c>
      <c r="D35" s="6" t="s">
        <v>30</v>
      </c>
      <c r="E35" s="11">
        <v>8.5880000000000001E-3</v>
      </c>
      <c r="F35" s="1"/>
      <c r="G35" s="1"/>
      <c r="H35" s="1"/>
      <c r="I35" s="1"/>
      <c r="J35" s="1"/>
      <c r="K35" s="1"/>
      <c r="L35" s="1"/>
      <c r="M35" s="1"/>
      <c r="N35" s="18"/>
    </row>
    <row r="36" spans="2:14" ht="15" customHeight="1" x14ac:dyDescent="0.25">
      <c r="B36" s="20"/>
      <c r="C36" s="5" t="s">
        <v>44</v>
      </c>
      <c r="D36" s="6" t="s">
        <v>30</v>
      </c>
      <c r="E36" s="11">
        <v>6.4549999999999998E-3</v>
      </c>
      <c r="F36" s="1"/>
      <c r="G36" s="1"/>
      <c r="H36" s="1"/>
      <c r="I36" s="1"/>
      <c r="J36" s="1"/>
      <c r="K36" s="1"/>
      <c r="L36" s="1"/>
      <c r="M36" s="1"/>
      <c r="N36" s="18"/>
    </row>
    <row r="37" spans="2:14" ht="15" customHeight="1" x14ac:dyDescent="0.25">
      <c r="B37" s="20"/>
      <c r="C37" s="5" t="s">
        <v>43</v>
      </c>
      <c r="D37" s="6" t="s">
        <v>30</v>
      </c>
      <c r="E37" s="11">
        <v>5.2810000000000001E-3</v>
      </c>
      <c r="F37" s="1"/>
      <c r="G37" s="1"/>
      <c r="H37" s="1"/>
      <c r="I37" s="1"/>
      <c r="J37" s="1"/>
      <c r="K37" s="1"/>
      <c r="L37" s="1"/>
      <c r="M37" s="1"/>
      <c r="N37" s="18"/>
    </row>
    <row r="38" spans="2:14" ht="15" customHeight="1" x14ac:dyDescent="0.25">
      <c r="B38" s="20"/>
      <c r="C38" s="5" t="s">
        <v>34</v>
      </c>
      <c r="D38" s="6" t="s">
        <v>30</v>
      </c>
      <c r="E38" s="11">
        <v>4.7600000000000003E-3</v>
      </c>
      <c r="F38" s="1"/>
      <c r="G38" s="1"/>
      <c r="H38" s="1"/>
      <c r="I38" s="1"/>
      <c r="J38" s="1"/>
      <c r="K38" s="1"/>
      <c r="L38" s="1"/>
      <c r="M38" s="1"/>
      <c r="N38" s="18"/>
    </row>
    <row r="39" spans="2:14" ht="15" customHeight="1" x14ac:dyDescent="0.25">
      <c r="B39" s="20"/>
      <c r="C39" s="5" t="s">
        <v>88</v>
      </c>
      <c r="D39" s="6" t="s">
        <v>30</v>
      </c>
      <c r="E39" s="11">
        <v>4.3090000000000003E-3</v>
      </c>
      <c r="F39" s="1"/>
      <c r="G39" s="1"/>
      <c r="H39" s="1"/>
      <c r="I39" s="1"/>
      <c r="J39" s="1"/>
      <c r="K39" s="1"/>
      <c r="L39" s="1"/>
      <c r="M39" s="1"/>
      <c r="N39" s="18"/>
    </row>
    <row r="40" spans="2:14" ht="15" customHeight="1" x14ac:dyDescent="0.25">
      <c r="B40" s="20"/>
      <c r="C40" s="5" t="s">
        <v>42</v>
      </c>
      <c r="D40" s="6" t="s">
        <v>30</v>
      </c>
      <c r="E40" s="11">
        <v>3.5969999999999999E-3</v>
      </c>
      <c r="F40" s="1"/>
      <c r="G40" s="1"/>
      <c r="H40" s="1"/>
      <c r="I40" s="1"/>
      <c r="J40" s="1"/>
      <c r="K40" s="1"/>
      <c r="L40" s="1"/>
      <c r="M40" s="1"/>
      <c r="N40" s="18"/>
    </row>
    <row r="41" spans="2:14" ht="15" customHeight="1" x14ac:dyDescent="0.25">
      <c r="B41" s="20"/>
      <c r="C41" s="5" t="s">
        <v>77</v>
      </c>
      <c r="D41" s="6" t="s">
        <v>30</v>
      </c>
      <c r="E41" s="11">
        <v>1.7819999999999999E-3</v>
      </c>
      <c r="F41" s="1"/>
      <c r="G41" s="1"/>
      <c r="H41" s="1"/>
      <c r="I41" s="1"/>
      <c r="J41" s="1"/>
      <c r="K41" s="1"/>
      <c r="L41" s="1"/>
      <c r="M41" s="1"/>
      <c r="N41" s="18"/>
    </row>
    <row r="42" spans="2:14" ht="15.75" customHeight="1" x14ac:dyDescent="0.25">
      <c r="B42" s="20"/>
      <c r="C42" s="7" t="s">
        <v>46</v>
      </c>
      <c r="D42" s="8"/>
      <c r="E42" s="12">
        <v>0.69464300000000001</v>
      </c>
      <c r="F42" s="1"/>
      <c r="G42" s="1"/>
      <c r="H42" s="1"/>
      <c r="I42" s="1"/>
      <c r="J42" s="1"/>
      <c r="K42" s="1"/>
      <c r="L42" s="1"/>
      <c r="M42" s="1"/>
      <c r="N42" s="18"/>
    </row>
    <row r="43" spans="2:14" ht="15" customHeight="1" x14ac:dyDescent="0.25">
      <c r="B43" s="20"/>
      <c r="C43" s="5" t="s">
        <v>47</v>
      </c>
      <c r="D43" s="6"/>
      <c r="E43" s="11">
        <v>2.8E-3</v>
      </c>
      <c r="F43" s="1"/>
      <c r="G43" s="1"/>
      <c r="H43" s="1"/>
      <c r="I43" s="1"/>
      <c r="J43" s="1"/>
      <c r="K43" s="1"/>
      <c r="L43" s="1"/>
      <c r="M43" s="1"/>
      <c r="N43" s="18"/>
    </row>
    <row r="44" spans="2:14" ht="15.75" customHeight="1" x14ac:dyDescent="0.25">
      <c r="B44" s="20"/>
      <c r="C44" s="7" t="s">
        <v>48</v>
      </c>
      <c r="D44" s="8"/>
      <c r="E44" s="12">
        <v>2.8E-3</v>
      </c>
      <c r="F44" s="1"/>
      <c r="G44" s="1"/>
      <c r="H44" s="1"/>
      <c r="I44" s="1"/>
      <c r="J44" s="1"/>
      <c r="K44" s="1"/>
      <c r="L44" s="1"/>
      <c r="M44" s="1"/>
      <c r="N44" s="18"/>
    </row>
    <row r="45" spans="2:14" ht="15" customHeight="1" x14ac:dyDescent="0.25">
      <c r="B45" s="20"/>
      <c r="C45" s="5" t="s">
        <v>233</v>
      </c>
      <c r="D45" s="6" t="s">
        <v>181</v>
      </c>
      <c r="E45" s="11">
        <v>4.3369999999999997E-3</v>
      </c>
      <c r="F45" s="1"/>
      <c r="G45" s="1"/>
      <c r="H45" s="1"/>
      <c r="I45" s="1"/>
      <c r="J45" s="1"/>
      <c r="K45" s="1"/>
      <c r="L45" s="1"/>
      <c r="M45" s="1"/>
      <c r="N45" s="18"/>
    </row>
    <row r="46" spans="2:14" ht="15" customHeight="1" x14ac:dyDescent="0.25">
      <c r="B46" s="20"/>
      <c r="C46" s="5" t="s">
        <v>235</v>
      </c>
      <c r="D46" s="6" t="s">
        <v>181</v>
      </c>
      <c r="E46" s="11">
        <v>3.6129999999999999E-3</v>
      </c>
      <c r="F46" s="1"/>
      <c r="G46" s="1"/>
      <c r="H46" s="1"/>
      <c r="I46" s="1"/>
      <c r="J46" s="1"/>
      <c r="K46" s="1"/>
      <c r="L46" s="1"/>
      <c r="M46" s="1"/>
      <c r="N46" s="18"/>
    </row>
    <row r="47" spans="2:14" ht="15" customHeight="1" x14ac:dyDescent="0.25">
      <c r="B47" s="20"/>
      <c r="C47" s="5" t="s">
        <v>237</v>
      </c>
      <c r="D47" s="6" t="s">
        <v>181</v>
      </c>
      <c r="E47" s="11">
        <v>3.0560000000000001E-3</v>
      </c>
      <c r="F47" s="1"/>
      <c r="G47" s="1"/>
      <c r="H47" s="1"/>
      <c r="I47" s="1"/>
      <c r="J47" s="1"/>
      <c r="K47" s="1"/>
      <c r="L47" s="1"/>
      <c r="M47" s="1"/>
      <c r="N47" s="18"/>
    </row>
    <row r="48" spans="2:14" ht="15" customHeight="1" x14ac:dyDescent="0.25">
      <c r="B48" s="20"/>
      <c r="C48" s="5" t="s">
        <v>232</v>
      </c>
      <c r="D48" s="6" t="s">
        <v>181</v>
      </c>
      <c r="E48" s="11">
        <v>2.5240000000000002E-3</v>
      </c>
      <c r="F48" s="1"/>
      <c r="G48" s="1"/>
      <c r="H48" s="1"/>
      <c r="I48" s="1"/>
      <c r="J48" s="1"/>
      <c r="K48" s="1"/>
      <c r="L48" s="1"/>
      <c r="M48" s="1"/>
      <c r="N48" s="18"/>
    </row>
    <row r="49" spans="2:14" ht="15" customHeight="1" x14ac:dyDescent="0.25">
      <c r="B49" s="20"/>
      <c r="C49" s="5" t="s">
        <v>227</v>
      </c>
      <c r="D49" s="6" t="s">
        <v>181</v>
      </c>
      <c r="E49" s="11">
        <v>2.5170000000000001E-3</v>
      </c>
      <c r="F49" s="1"/>
      <c r="G49" s="1"/>
      <c r="H49" s="1"/>
      <c r="I49" s="1"/>
      <c r="J49" s="1"/>
      <c r="K49" s="1"/>
      <c r="L49" s="1"/>
      <c r="M49" s="1"/>
      <c r="N49" s="18"/>
    </row>
    <row r="50" spans="2:14" ht="15" customHeight="1" x14ac:dyDescent="0.25">
      <c r="B50" s="20"/>
      <c r="C50" s="5" t="s">
        <v>228</v>
      </c>
      <c r="D50" s="6" t="s">
        <v>181</v>
      </c>
      <c r="E50" s="11">
        <v>2.1570000000000001E-3</v>
      </c>
      <c r="F50" s="1"/>
      <c r="G50" s="1"/>
      <c r="H50" s="1"/>
      <c r="I50" s="1"/>
      <c r="J50" s="1"/>
      <c r="K50" s="1"/>
      <c r="L50" s="1"/>
      <c r="M50" s="1"/>
      <c r="N50" s="18"/>
    </row>
    <row r="51" spans="2:14" ht="15" customHeight="1" x14ac:dyDescent="0.25">
      <c r="B51" s="20"/>
      <c r="C51" s="5" t="s">
        <v>234</v>
      </c>
      <c r="D51" s="6" t="s">
        <v>181</v>
      </c>
      <c r="E51" s="11">
        <v>1.4450000000000001E-3</v>
      </c>
      <c r="F51" s="1"/>
      <c r="G51" s="1"/>
      <c r="H51" s="1"/>
      <c r="I51" s="1"/>
      <c r="J51" s="1"/>
      <c r="K51" s="1"/>
      <c r="L51" s="1"/>
      <c r="M51" s="1"/>
      <c r="N51" s="18"/>
    </row>
    <row r="52" spans="2:14" ht="15" customHeight="1" x14ac:dyDescent="0.25">
      <c r="B52" s="20"/>
      <c r="C52" s="5" t="s">
        <v>236</v>
      </c>
      <c r="D52" s="6" t="s">
        <v>181</v>
      </c>
      <c r="E52" s="11">
        <v>1.4419999999999999E-3</v>
      </c>
      <c r="F52" s="1"/>
      <c r="G52" s="1"/>
      <c r="H52" s="1"/>
      <c r="I52" s="1"/>
      <c r="J52" s="1"/>
      <c r="K52" s="1"/>
      <c r="L52" s="1"/>
      <c r="M52" s="1"/>
      <c r="N52" s="18"/>
    </row>
    <row r="53" spans="2:14" ht="15" customHeight="1" x14ac:dyDescent="0.25">
      <c r="B53" s="20"/>
      <c r="C53" s="5" t="s">
        <v>231</v>
      </c>
      <c r="D53" s="6" t="s">
        <v>181</v>
      </c>
      <c r="E53" s="11">
        <v>1.0820000000000001E-3</v>
      </c>
      <c r="F53" s="1"/>
      <c r="G53" s="1"/>
      <c r="H53" s="1"/>
      <c r="I53" s="1"/>
      <c r="J53" s="1"/>
      <c r="K53" s="1"/>
      <c r="L53" s="1"/>
      <c r="M53" s="1"/>
      <c r="N53" s="18"/>
    </row>
    <row r="54" spans="2:14" ht="15" customHeight="1" x14ac:dyDescent="0.25">
      <c r="B54" s="20"/>
      <c r="C54" s="5" t="s">
        <v>203</v>
      </c>
      <c r="D54" s="6" t="s">
        <v>181</v>
      </c>
      <c r="E54" s="11">
        <v>7.2400000000000003E-4</v>
      </c>
      <c r="F54" s="1"/>
      <c r="G54" s="1"/>
      <c r="H54" s="1"/>
      <c r="I54" s="1"/>
      <c r="J54" s="1"/>
      <c r="K54" s="1"/>
      <c r="L54" s="1"/>
      <c r="M54" s="1"/>
      <c r="N54" s="18"/>
    </row>
    <row r="55" spans="2:14" ht="15" customHeight="1" x14ac:dyDescent="0.25">
      <c r="B55" s="20"/>
      <c r="C55" s="5" t="s">
        <v>229</v>
      </c>
      <c r="D55" s="6" t="s">
        <v>181</v>
      </c>
      <c r="E55" s="11">
        <v>7.2099999999999996E-4</v>
      </c>
      <c r="F55" s="1"/>
      <c r="G55" s="1"/>
      <c r="H55" s="1"/>
      <c r="I55" s="1"/>
      <c r="J55" s="1"/>
      <c r="K55" s="1"/>
      <c r="L55" s="1"/>
      <c r="M55" s="1"/>
      <c r="N55" s="18"/>
    </row>
    <row r="56" spans="2:14" ht="15" customHeight="1" x14ac:dyDescent="0.25">
      <c r="B56" s="20"/>
      <c r="C56" s="5" t="s">
        <v>230</v>
      </c>
      <c r="D56" s="6" t="s">
        <v>181</v>
      </c>
      <c r="E56" s="11">
        <v>7.2099999999999996E-4</v>
      </c>
      <c r="F56" s="1"/>
      <c r="G56" s="1"/>
      <c r="H56" s="1"/>
      <c r="I56" s="1"/>
      <c r="J56" s="1"/>
      <c r="K56" s="1"/>
      <c r="L56" s="1"/>
      <c r="M56" s="1"/>
      <c r="N56" s="18"/>
    </row>
    <row r="57" spans="2:14" ht="15" customHeight="1" x14ac:dyDescent="0.25">
      <c r="B57" s="20"/>
      <c r="C57" s="5" t="s">
        <v>238</v>
      </c>
      <c r="D57" s="6" t="s">
        <v>181</v>
      </c>
      <c r="E57" s="11">
        <v>1.76E-4</v>
      </c>
      <c r="F57" s="1"/>
      <c r="G57" s="1"/>
      <c r="H57" s="1"/>
      <c r="I57" s="1"/>
      <c r="J57" s="1"/>
      <c r="K57" s="1"/>
      <c r="L57" s="1"/>
      <c r="M57" s="1"/>
      <c r="N57" s="18"/>
    </row>
    <row r="58" spans="2:14" ht="15.75" customHeight="1" x14ac:dyDescent="0.25">
      <c r="B58" s="20"/>
      <c r="C58" s="7" t="s">
        <v>51</v>
      </c>
      <c r="D58" s="8"/>
      <c r="E58" s="12">
        <v>2.4514999999999999E-2</v>
      </c>
      <c r="F58" s="1"/>
      <c r="G58" s="1"/>
      <c r="H58" s="1"/>
      <c r="I58" s="1"/>
      <c r="J58" s="1"/>
      <c r="K58" s="1"/>
      <c r="L58" s="1"/>
      <c r="M58" s="1"/>
      <c r="N58" s="18"/>
    </row>
    <row r="59" spans="2:14" ht="15" customHeight="1" x14ac:dyDescent="0.25">
      <c r="B59" s="20"/>
      <c r="C59" s="5" t="s">
        <v>89</v>
      </c>
      <c r="D59" s="6" t="s">
        <v>181</v>
      </c>
      <c r="E59" s="11">
        <v>5.7036999999999997E-2</v>
      </c>
      <c r="F59" s="1"/>
      <c r="G59" s="1"/>
      <c r="H59" s="1"/>
      <c r="I59" s="1"/>
      <c r="J59" s="1"/>
      <c r="K59" s="1"/>
      <c r="L59" s="1"/>
      <c r="M59" s="1"/>
      <c r="N59" s="18"/>
    </row>
    <row r="60" spans="2:14" ht="15" customHeight="1" x14ac:dyDescent="0.25">
      <c r="B60" s="20"/>
      <c r="C60" s="5" t="s">
        <v>90</v>
      </c>
      <c r="D60" s="6" t="s">
        <v>181</v>
      </c>
      <c r="E60" s="11">
        <v>8.9230000000000004E-3</v>
      </c>
      <c r="F60" s="1"/>
      <c r="G60" s="1"/>
      <c r="H60" s="1"/>
      <c r="I60" s="1"/>
      <c r="J60" s="1"/>
      <c r="K60" s="1"/>
      <c r="L60" s="1"/>
      <c r="M60" s="1"/>
      <c r="N60" s="18"/>
    </row>
    <row r="61" spans="2:14" ht="15" customHeight="1" x14ac:dyDescent="0.25">
      <c r="B61" s="20"/>
      <c r="C61" s="5" t="s">
        <v>91</v>
      </c>
      <c r="D61" s="6" t="s">
        <v>181</v>
      </c>
      <c r="E61" s="11">
        <v>7.1190000000000003E-3</v>
      </c>
      <c r="F61" s="1"/>
      <c r="G61" s="1"/>
      <c r="H61" s="1"/>
      <c r="I61" s="1"/>
      <c r="J61" s="1"/>
      <c r="K61" s="1"/>
      <c r="L61" s="1"/>
      <c r="M61" s="1"/>
      <c r="N61" s="18"/>
    </row>
    <row r="62" spans="2:14" ht="15.75" customHeight="1" x14ac:dyDescent="0.25">
      <c r="B62" s="20"/>
      <c r="C62" s="7" t="s">
        <v>92</v>
      </c>
      <c r="D62" s="8"/>
      <c r="E62" s="12">
        <v>7.3079000000000005E-2</v>
      </c>
      <c r="F62" s="1"/>
      <c r="G62" s="1"/>
      <c r="H62" s="1"/>
      <c r="I62" s="1"/>
      <c r="J62" s="1"/>
      <c r="K62" s="1"/>
      <c r="L62" s="1"/>
      <c r="M62" s="1"/>
      <c r="N62" s="18"/>
    </row>
    <row r="63" spans="2:14" ht="15" customHeight="1" x14ac:dyDescent="0.25">
      <c r="B63" s="20"/>
      <c r="C63" s="5" t="s">
        <v>8</v>
      </c>
      <c r="D63" s="6"/>
      <c r="E63" s="11">
        <v>4.1265000000000003E-2</v>
      </c>
      <c r="F63" s="1"/>
      <c r="G63" s="1"/>
      <c r="H63" s="1"/>
      <c r="I63" s="1"/>
      <c r="J63" s="1"/>
      <c r="K63" s="1"/>
      <c r="L63" s="1"/>
      <c r="M63" s="1"/>
      <c r="N63" s="18"/>
    </row>
    <row r="64" spans="2:14" ht="15.75" customHeight="1" x14ac:dyDescent="0.25">
      <c r="B64" s="20"/>
      <c r="C64" s="7" t="s">
        <v>9</v>
      </c>
      <c r="D64" s="8"/>
      <c r="E64" s="12">
        <v>4.1265000000000003E-2</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75" customHeight="1" x14ac:dyDescent="0.25">
      <c r="B66" s="20"/>
      <c r="C66" s="7" t="s">
        <v>10</v>
      </c>
      <c r="D66" s="8"/>
      <c r="E66" s="12">
        <v>3.5383999999999999E-2</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 customHeight="1" x14ac:dyDescent="0.25">
      <c r="B68" s="20"/>
      <c r="C68" s="9" t="s">
        <v>11</v>
      </c>
      <c r="D68" s="10"/>
      <c r="E68" s="13">
        <v>1</v>
      </c>
      <c r="F68" s="1"/>
      <c r="G68" s="1"/>
      <c r="H68" s="1"/>
      <c r="I68" s="1"/>
      <c r="J68" s="1"/>
      <c r="K68" s="1"/>
      <c r="L68" s="1"/>
      <c r="M68" s="1"/>
      <c r="N68" s="18"/>
    </row>
    <row r="69" spans="2:14" ht="15" customHeight="1" x14ac:dyDescent="0.25">
      <c r="B69" s="20"/>
      <c r="C69" s="1"/>
      <c r="D69" s="1"/>
      <c r="E69" s="1"/>
      <c r="F69" s="1"/>
      <c r="G69" s="1"/>
      <c r="H69" s="1"/>
      <c r="I69" s="1"/>
      <c r="J69" s="1"/>
      <c r="K69" s="1"/>
      <c r="L69" s="1"/>
      <c r="M69" s="1"/>
      <c r="N69" s="18"/>
    </row>
    <row r="70" spans="2:14" ht="15" customHeight="1" thickBot="1" x14ac:dyDescent="0.3">
      <c r="B70" s="21"/>
      <c r="C70" s="22"/>
      <c r="D70" s="22"/>
      <c r="E70" s="22"/>
      <c r="F70" s="22"/>
      <c r="G70" s="22"/>
      <c r="H70" s="22"/>
      <c r="I70" s="22"/>
      <c r="J70" s="22"/>
      <c r="K70" s="22"/>
      <c r="L70" s="22"/>
      <c r="M70" s="22"/>
      <c r="N70" s="23"/>
    </row>
    <row r="71" spans="2:14" ht="15" customHeight="1" thickBot="1" x14ac:dyDescent="0.3"/>
    <row r="72" spans="2:14" ht="15" customHeight="1" x14ac:dyDescent="0.25">
      <c r="B72" s="66" t="s">
        <v>291</v>
      </c>
      <c r="C72" s="67"/>
      <c r="D72" s="67"/>
      <c r="E72" s="67"/>
      <c r="F72" s="67"/>
      <c r="G72" s="67"/>
      <c r="H72" s="67"/>
      <c r="I72" s="67"/>
      <c r="J72" s="67"/>
      <c r="K72" s="67"/>
      <c r="L72" s="67"/>
      <c r="M72" s="67"/>
      <c r="N72" s="68"/>
    </row>
    <row r="73" spans="2:14" ht="15" customHeight="1" x14ac:dyDescent="0.25">
      <c r="B73" s="69"/>
      <c r="C73" s="70"/>
      <c r="D73" s="70"/>
      <c r="E73" s="70"/>
      <c r="F73" s="70"/>
      <c r="G73" s="70"/>
      <c r="H73" s="70"/>
      <c r="I73" s="70"/>
      <c r="J73" s="70"/>
      <c r="K73" s="70"/>
      <c r="L73" s="70"/>
      <c r="M73" s="70"/>
      <c r="N73" s="71"/>
    </row>
    <row r="74" spans="2:14" ht="15" customHeight="1" x14ac:dyDescent="0.25">
      <c r="B74" s="69"/>
      <c r="C74" s="70"/>
      <c r="D74" s="70"/>
      <c r="E74" s="70"/>
      <c r="F74" s="70"/>
      <c r="G74" s="70"/>
      <c r="H74" s="70"/>
      <c r="I74" s="70"/>
      <c r="J74" s="70"/>
      <c r="K74" s="70"/>
      <c r="L74" s="70"/>
      <c r="M74" s="70"/>
      <c r="N74" s="71"/>
    </row>
    <row r="75" spans="2:14" ht="15" customHeight="1" thickBot="1" x14ac:dyDescent="0.3">
      <c r="B75" s="72"/>
      <c r="C75" s="73"/>
      <c r="D75" s="73"/>
      <c r="E75" s="73"/>
      <c r="F75" s="73"/>
      <c r="G75" s="73"/>
      <c r="H75" s="73"/>
      <c r="I75" s="73"/>
      <c r="J75" s="73"/>
      <c r="K75" s="73"/>
      <c r="L75" s="73"/>
      <c r="M75" s="73"/>
      <c r="N75" s="74"/>
    </row>
    <row r="76" spans="2:14" ht="15" customHeight="1" thickBot="1" x14ac:dyDescent="0.3"/>
    <row r="77" spans="2:14" ht="120.75" customHeight="1" thickBot="1" x14ac:dyDescent="0.3">
      <c r="B77" s="75" t="s">
        <v>290</v>
      </c>
      <c r="C77" s="76"/>
      <c r="D77" s="76"/>
      <c r="E77" s="76"/>
      <c r="F77" s="76"/>
      <c r="G77" s="76"/>
      <c r="H77" s="76"/>
      <c r="I77" s="76"/>
      <c r="J77" s="76"/>
      <c r="K77" s="76"/>
      <c r="L77" s="76"/>
      <c r="M77" s="76"/>
      <c r="N77" s="77"/>
    </row>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45:E57">
    <sortCondition descending="1" ref="E45"/>
  </sortState>
  <mergeCells count="7">
    <mergeCell ref="B72:N75"/>
    <mergeCell ref="B77:N77"/>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923E1-B5F7-4F45-89E3-ABA6506221C2}">
  <dimension ref="B1:N5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137</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138</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21</v>
      </c>
      <c r="D8" s="6" t="s">
        <v>22</v>
      </c>
      <c r="E8" s="11">
        <v>0.12096</v>
      </c>
      <c r="F8" s="1"/>
      <c r="G8" s="24" t="s">
        <v>15</v>
      </c>
      <c r="H8" s="28">
        <v>0.90263300000000002</v>
      </c>
      <c r="I8" s="1"/>
      <c r="J8" s="24" t="s">
        <v>12</v>
      </c>
      <c r="K8" s="24" t="s">
        <v>5</v>
      </c>
      <c r="L8" s="1"/>
      <c r="M8" s="1"/>
      <c r="N8" s="18"/>
    </row>
    <row r="9" spans="2:14" ht="15" customHeight="1" x14ac:dyDescent="0.25">
      <c r="B9" s="20"/>
      <c r="C9" s="5" t="s">
        <v>24</v>
      </c>
      <c r="D9" s="6" t="s">
        <v>22</v>
      </c>
      <c r="E9" s="11">
        <v>0.119286</v>
      </c>
      <c r="F9" s="1"/>
      <c r="G9" s="24" t="s">
        <v>109</v>
      </c>
      <c r="H9" s="28">
        <v>9.7366999999999995E-2</v>
      </c>
      <c r="I9" s="1"/>
      <c r="J9" s="24" t="s">
        <v>10</v>
      </c>
      <c r="K9" s="28">
        <v>1.4334E-2</v>
      </c>
      <c r="L9" s="1"/>
      <c r="M9" s="1"/>
      <c r="N9" s="18"/>
    </row>
    <row r="10" spans="2:14" ht="15" customHeight="1" x14ac:dyDescent="0.25">
      <c r="B10" s="20"/>
      <c r="C10" s="5" t="s">
        <v>76</v>
      </c>
      <c r="D10" s="6" t="s">
        <v>22</v>
      </c>
      <c r="E10" s="11">
        <v>4.8467000000000003E-2</v>
      </c>
      <c r="F10" s="1"/>
      <c r="G10" s="1"/>
      <c r="H10" s="1"/>
      <c r="I10" s="1"/>
      <c r="J10" s="24" t="s">
        <v>13</v>
      </c>
      <c r="K10" s="28">
        <v>1.1757E-2</v>
      </c>
      <c r="L10" s="1"/>
      <c r="M10" s="1"/>
      <c r="N10" s="18"/>
    </row>
    <row r="11" spans="2:14" ht="15" customHeight="1" x14ac:dyDescent="0.25">
      <c r="B11" s="20"/>
      <c r="C11" s="5" t="s">
        <v>139</v>
      </c>
      <c r="D11" s="6" t="s">
        <v>22</v>
      </c>
      <c r="E11" s="11">
        <v>4.5262999999999998E-2</v>
      </c>
      <c r="F11" s="1"/>
      <c r="G11" s="1"/>
      <c r="H11" s="1"/>
      <c r="I11" s="1"/>
      <c r="J11" s="24" t="s">
        <v>52</v>
      </c>
      <c r="K11" s="28">
        <v>0.333976</v>
      </c>
      <c r="L11" s="1"/>
      <c r="M11" s="1"/>
      <c r="N11" s="18"/>
    </row>
    <row r="12" spans="2:14" ht="15.75" customHeight="1" x14ac:dyDescent="0.25">
      <c r="B12" s="20"/>
      <c r="C12" s="7" t="s">
        <v>27</v>
      </c>
      <c r="D12" s="8"/>
      <c r="E12" s="12">
        <v>0.333976</v>
      </c>
      <c r="F12" s="1"/>
      <c r="G12" s="1"/>
      <c r="H12" s="1"/>
      <c r="I12" s="1"/>
      <c r="J12" s="24" t="s">
        <v>53</v>
      </c>
      <c r="K12" s="28">
        <v>0.50357099999999999</v>
      </c>
      <c r="L12" s="1"/>
      <c r="M12" s="1"/>
      <c r="N12" s="18"/>
    </row>
    <row r="13" spans="2:14" ht="15" customHeight="1" x14ac:dyDescent="0.25">
      <c r="B13" s="20"/>
      <c r="C13" s="5" t="s">
        <v>33</v>
      </c>
      <c r="D13" s="6" t="s">
        <v>22</v>
      </c>
      <c r="E13" s="11">
        <v>2.4188999999999999E-2</v>
      </c>
      <c r="F13" s="1"/>
      <c r="G13" s="1"/>
      <c r="H13" s="1"/>
      <c r="I13" s="1"/>
      <c r="J13" s="24" t="s">
        <v>54</v>
      </c>
      <c r="K13" s="28">
        <v>2.4188999999999999E-2</v>
      </c>
      <c r="L13" s="1"/>
      <c r="M13" s="1"/>
      <c r="N13" s="18"/>
    </row>
    <row r="14" spans="2:14" ht="15.75" customHeight="1" x14ac:dyDescent="0.25">
      <c r="B14" s="20"/>
      <c r="C14" s="7" t="s">
        <v>28</v>
      </c>
      <c r="D14" s="8"/>
      <c r="E14" s="12">
        <v>2.4188999999999999E-2</v>
      </c>
      <c r="F14" s="1"/>
      <c r="G14" s="1"/>
      <c r="H14" s="1"/>
      <c r="I14" s="1"/>
      <c r="J14" s="24" t="s">
        <v>47</v>
      </c>
      <c r="K14" s="28">
        <v>4.3080000000000002E-3</v>
      </c>
      <c r="L14" s="1"/>
      <c r="M14" s="1"/>
      <c r="N14" s="18"/>
    </row>
    <row r="15" spans="2:14" ht="15" customHeight="1" x14ac:dyDescent="0.25">
      <c r="B15" s="20"/>
      <c r="C15" s="5" t="s">
        <v>32</v>
      </c>
      <c r="D15" s="6" t="s">
        <v>30</v>
      </c>
      <c r="E15" s="11">
        <v>0.115964</v>
      </c>
      <c r="F15" s="1"/>
      <c r="G15" s="1"/>
      <c r="H15" s="1"/>
      <c r="I15" s="1"/>
      <c r="J15" s="24" t="s">
        <v>55</v>
      </c>
      <c r="K15" s="28">
        <v>0.107901</v>
      </c>
      <c r="L15" s="1"/>
      <c r="M15" s="1"/>
      <c r="N15" s="18"/>
    </row>
    <row r="16" spans="2:14" ht="15" customHeight="1" x14ac:dyDescent="0.25">
      <c r="B16" s="20"/>
      <c r="C16" s="5" t="s">
        <v>99</v>
      </c>
      <c r="D16" s="6" t="s">
        <v>100</v>
      </c>
      <c r="E16" s="11">
        <v>9.7366999999999995E-2</v>
      </c>
      <c r="F16" s="1"/>
      <c r="G16" s="1"/>
      <c r="H16" s="1"/>
      <c r="I16" s="1"/>
      <c r="J16" s="24"/>
      <c r="K16" s="28"/>
      <c r="L16" s="1"/>
      <c r="M16" s="1"/>
      <c r="N16" s="18"/>
    </row>
    <row r="17" spans="2:14" ht="15" customHeight="1" x14ac:dyDescent="0.25">
      <c r="B17" s="20"/>
      <c r="C17" s="5" t="s">
        <v>77</v>
      </c>
      <c r="D17" s="6" t="s">
        <v>30</v>
      </c>
      <c r="E17" s="11">
        <v>9.6153000000000002E-2</v>
      </c>
      <c r="F17" s="1"/>
      <c r="G17" s="1"/>
      <c r="H17" s="1"/>
      <c r="I17" s="1"/>
      <c r="J17" s="1"/>
      <c r="K17" s="1"/>
      <c r="L17" s="1"/>
      <c r="M17" s="1"/>
      <c r="N17" s="18"/>
    </row>
    <row r="18" spans="2:14" ht="15" customHeight="1" x14ac:dyDescent="0.25">
      <c r="B18" s="20"/>
      <c r="C18" s="5" t="s">
        <v>35</v>
      </c>
      <c r="D18" s="6" t="s">
        <v>30</v>
      </c>
      <c r="E18" s="11">
        <v>7.3233999999999994E-2</v>
      </c>
      <c r="F18" s="1"/>
      <c r="G18" s="1"/>
      <c r="H18" s="1"/>
      <c r="I18" s="1"/>
      <c r="J18" s="1"/>
      <c r="K18" s="1"/>
      <c r="L18" s="1"/>
      <c r="M18" s="1"/>
      <c r="N18" s="18"/>
    </row>
    <row r="19" spans="2:14" ht="15" customHeight="1" x14ac:dyDescent="0.25">
      <c r="B19" s="20"/>
      <c r="C19" s="5" t="s">
        <v>34</v>
      </c>
      <c r="D19" s="6" t="s">
        <v>30</v>
      </c>
      <c r="E19" s="11">
        <v>7.2495000000000004E-2</v>
      </c>
      <c r="F19" s="1"/>
      <c r="G19" s="1"/>
      <c r="H19" s="1"/>
      <c r="I19" s="1"/>
      <c r="J19" s="1"/>
      <c r="K19" s="1"/>
      <c r="L19" s="1"/>
      <c r="M19" s="1"/>
      <c r="N19" s="18"/>
    </row>
    <row r="20" spans="2:14" ht="15" customHeight="1" x14ac:dyDescent="0.25">
      <c r="B20" s="20"/>
      <c r="C20" s="5" t="s">
        <v>79</v>
      </c>
      <c r="D20" s="6" t="s">
        <v>30</v>
      </c>
      <c r="E20" s="11">
        <v>4.8357999999999998E-2</v>
      </c>
      <c r="F20" s="1"/>
      <c r="G20" s="1"/>
      <c r="H20" s="1"/>
      <c r="I20" s="1"/>
      <c r="J20" s="1"/>
      <c r="K20" s="1"/>
      <c r="L20" s="1"/>
      <c r="M20" s="1"/>
      <c r="N20" s="18"/>
    </row>
    <row r="21" spans="2:14" ht="15.75" customHeight="1" x14ac:dyDescent="0.25">
      <c r="B21" s="20"/>
      <c r="C21" s="7" t="s">
        <v>46</v>
      </c>
      <c r="D21" s="8"/>
      <c r="E21" s="12">
        <v>0.50357099999999999</v>
      </c>
      <c r="F21" s="1"/>
      <c r="G21" s="1"/>
      <c r="H21" s="1"/>
      <c r="I21" s="1"/>
      <c r="J21" s="1"/>
      <c r="K21" s="1"/>
      <c r="L21" s="1"/>
      <c r="M21" s="1"/>
      <c r="N21" s="18"/>
    </row>
    <row r="22" spans="2:14" ht="15" customHeight="1" x14ac:dyDescent="0.25">
      <c r="B22" s="20"/>
      <c r="C22" s="5" t="s">
        <v>47</v>
      </c>
      <c r="D22" s="6"/>
      <c r="E22" s="11">
        <v>4.3080000000000002E-3</v>
      </c>
      <c r="F22" s="1"/>
      <c r="G22" s="1"/>
      <c r="H22" s="1"/>
      <c r="I22" s="1"/>
      <c r="J22" s="1"/>
      <c r="K22" s="1"/>
      <c r="L22" s="1"/>
      <c r="M22" s="1"/>
      <c r="N22" s="18"/>
    </row>
    <row r="23" spans="2:14" ht="15.75" customHeight="1" x14ac:dyDescent="0.25">
      <c r="B23" s="20"/>
      <c r="C23" s="7" t="s">
        <v>48</v>
      </c>
      <c r="D23" s="8"/>
      <c r="E23" s="12">
        <v>4.3080000000000002E-3</v>
      </c>
      <c r="F23" s="1"/>
      <c r="G23" s="1"/>
      <c r="H23" s="1"/>
      <c r="I23" s="1"/>
      <c r="J23" s="1"/>
      <c r="K23" s="1"/>
      <c r="L23" s="1"/>
      <c r="M23" s="1"/>
      <c r="N23" s="18"/>
    </row>
    <row r="24" spans="2:14" ht="15" customHeight="1" x14ac:dyDescent="0.25">
      <c r="B24" s="20"/>
      <c r="C24" s="5" t="s">
        <v>49</v>
      </c>
      <c r="D24" s="6" t="s">
        <v>181</v>
      </c>
      <c r="E24" s="11">
        <v>4.9297000000000001E-2</v>
      </c>
      <c r="F24" s="1"/>
      <c r="G24" s="83" t="s">
        <v>17</v>
      </c>
      <c r="H24" s="84"/>
      <c r="I24" s="84"/>
      <c r="J24" s="84"/>
      <c r="K24" s="84"/>
      <c r="L24" s="65">
        <v>1.2351042804364112</v>
      </c>
      <c r="M24" s="26"/>
      <c r="N24" s="27"/>
    </row>
    <row r="25" spans="2:14" ht="15" customHeight="1" x14ac:dyDescent="0.25">
      <c r="B25" s="20"/>
      <c r="C25" s="5" t="s">
        <v>63</v>
      </c>
      <c r="D25" s="6" t="s">
        <v>181</v>
      </c>
      <c r="E25" s="11">
        <v>4.8839E-2</v>
      </c>
      <c r="F25" s="1"/>
      <c r="G25" s="1"/>
      <c r="H25" s="1"/>
      <c r="I25" s="1"/>
      <c r="J25" s="1"/>
      <c r="K25" s="1"/>
      <c r="L25" s="1"/>
      <c r="M25" s="1"/>
      <c r="N25" s="18"/>
    </row>
    <row r="26" spans="2:14" ht="15" customHeight="1" x14ac:dyDescent="0.25">
      <c r="B26" s="20"/>
      <c r="C26" s="5" t="s">
        <v>64</v>
      </c>
      <c r="D26" s="6" t="s">
        <v>181</v>
      </c>
      <c r="E26" s="11">
        <v>9.7649999999999994E-3</v>
      </c>
      <c r="F26" s="1"/>
      <c r="G26" s="83" t="s">
        <v>18</v>
      </c>
      <c r="H26" s="84"/>
      <c r="I26" s="84"/>
      <c r="J26" s="84"/>
      <c r="K26" s="84"/>
      <c r="L26" s="84"/>
      <c r="M26" s="84"/>
      <c r="N26" s="85"/>
    </row>
    <row r="27" spans="2:14" ht="15.75" customHeight="1" x14ac:dyDescent="0.25">
      <c r="B27" s="20"/>
      <c r="C27" s="7" t="s">
        <v>50</v>
      </c>
      <c r="D27" s="8"/>
      <c r="E27" s="12">
        <v>0.107901</v>
      </c>
      <c r="F27" s="1"/>
      <c r="G27" s="1"/>
      <c r="H27" s="1"/>
      <c r="I27" s="1"/>
      <c r="J27" s="1"/>
      <c r="K27" s="1"/>
      <c r="L27" s="1"/>
      <c r="M27" s="1"/>
      <c r="N27" s="18"/>
    </row>
    <row r="28" spans="2:14" ht="15" customHeight="1" x14ac:dyDescent="0.25">
      <c r="B28" s="20"/>
      <c r="C28" s="5" t="s">
        <v>8</v>
      </c>
      <c r="D28" s="6"/>
      <c r="E28" s="11">
        <v>1.1757E-2</v>
      </c>
      <c r="F28" s="1"/>
      <c r="G28" s="1"/>
      <c r="H28" s="1"/>
      <c r="I28" s="1"/>
      <c r="J28" s="1"/>
      <c r="K28" s="1"/>
      <c r="L28" s="1"/>
      <c r="M28" s="1"/>
      <c r="N28" s="18"/>
    </row>
    <row r="29" spans="2:14" ht="15.75" customHeight="1" x14ac:dyDescent="0.25">
      <c r="B29" s="20"/>
      <c r="C29" s="7" t="s">
        <v>9</v>
      </c>
      <c r="D29" s="8"/>
      <c r="E29" s="12">
        <v>1.1757E-2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10</v>
      </c>
      <c r="D31" s="8"/>
      <c r="E31" s="12">
        <v>1.4334E-2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9" t="s">
        <v>11</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30" t="s">
        <v>140</v>
      </c>
      <c r="D35" s="30"/>
      <c r="E35" s="31">
        <v>0.63440000000000007</v>
      </c>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6" t="s">
        <v>291</v>
      </c>
      <c r="C45" s="67"/>
      <c r="D45" s="67"/>
      <c r="E45" s="67"/>
      <c r="F45" s="67"/>
      <c r="G45" s="67"/>
      <c r="H45" s="67"/>
      <c r="I45" s="67"/>
      <c r="J45" s="67"/>
      <c r="K45" s="67"/>
      <c r="L45" s="67"/>
      <c r="M45" s="67"/>
      <c r="N45" s="68"/>
    </row>
    <row r="46" spans="2:14" ht="15" customHeight="1" x14ac:dyDescent="0.25">
      <c r="B46" s="69"/>
      <c r="C46" s="70"/>
      <c r="D46" s="70"/>
      <c r="E46" s="70"/>
      <c r="F46" s="70"/>
      <c r="G46" s="70"/>
      <c r="H46" s="70"/>
      <c r="I46" s="70"/>
      <c r="J46" s="70"/>
      <c r="K46" s="70"/>
      <c r="L46" s="70"/>
      <c r="M46" s="70"/>
      <c r="N46" s="71"/>
    </row>
    <row r="47" spans="2:14" ht="15" customHeight="1" x14ac:dyDescent="0.25">
      <c r="B47" s="69"/>
      <c r="C47" s="70"/>
      <c r="D47" s="70"/>
      <c r="E47" s="70"/>
      <c r="F47" s="70"/>
      <c r="G47" s="70"/>
      <c r="H47" s="70"/>
      <c r="I47" s="70"/>
      <c r="J47" s="70"/>
      <c r="K47" s="70"/>
      <c r="L47" s="70"/>
      <c r="M47" s="70"/>
      <c r="N47" s="71"/>
    </row>
    <row r="48" spans="2:14" ht="15" customHeight="1" thickBot="1" x14ac:dyDescent="0.3">
      <c r="B48" s="72"/>
      <c r="C48" s="73"/>
      <c r="D48" s="73"/>
      <c r="E48" s="73"/>
      <c r="F48" s="73"/>
      <c r="G48" s="73"/>
      <c r="H48" s="73"/>
      <c r="I48" s="73"/>
      <c r="J48" s="73"/>
      <c r="K48" s="73"/>
      <c r="L48" s="73"/>
      <c r="M48" s="73"/>
      <c r="N48" s="74"/>
    </row>
    <row r="49" spans="2:14" ht="15" customHeight="1" thickBot="1" x14ac:dyDescent="0.3"/>
    <row r="50" spans="2:14" ht="63" customHeight="1" thickBot="1" x14ac:dyDescent="0.3">
      <c r="B50" s="75" t="s">
        <v>294</v>
      </c>
      <c r="C50" s="76"/>
      <c r="D50" s="76"/>
      <c r="E50" s="76"/>
      <c r="F50" s="76"/>
      <c r="G50" s="76"/>
      <c r="H50" s="76"/>
      <c r="I50" s="76"/>
      <c r="J50" s="76"/>
      <c r="K50" s="76"/>
      <c r="L50" s="76"/>
      <c r="M50" s="76"/>
      <c r="N50" s="77"/>
    </row>
    <row r="51" spans="2:14" ht="15" customHeight="1" thickBot="1" x14ac:dyDescent="0.3"/>
    <row r="52" spans="2:14" ht="126.75" customHeight="1" thickBot="1" x14ac:dyDescent="0.3">
      <c r="B52" s="75" t="s">
        <v>290</v>
      </c>
      <c r="C52" s="76"/>
      <c r="D52" s="76"/>
      <c r="E52" s="76"/>
      <c r="F52" s="76"/>
      <c r="G52" s="76"/>
      <c r="H52" s="76"/>
      <c r="I52" s="76"/>
      <c r="J52" s="76"/>
      <c r="K52" s="76"/>
      <c r="L52" s="76"/>
      <c r="M52" s="76"/>
      <c r="N52" s="77"/>
    </row>
    <row r="53" spans="2:14" ht="15" customHeight="1" x14ac:dyDescent="0.25"/>
    <row r="54" spans="2:14" ht="15" customHeight="1" x14ac:dyDescent="0.25"/>
    <row r="55" spans="2:14" ht="1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8EB8F-C98D-41C1-9B00-121890E3E2DF}">
  <dimension ref="B1:N54"/>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94</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95</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26</v>
      </c>
      <c r="D8" s="6" t="s">
        <v>22</v>
      </c>
      <c r="E8" s="11">
        <v>3.9777E-2</v>
      </c>
      <c r="F8" s="1"/>
      <c r="G8" s="24" t="s">
        <v>108</v>
      </c>
      <c r="H8" s="28">
        <v>0.58334399999999997</v>
      </c>
      <c r="I8" s="1"/>
      <c r="J8" s="24" t="s">
        <v>12</v>
      </c>
      <c r="K8" s="24" t="s">
        <v>5</v>
      </c>
      <c r="L8" s="1"/>
      <c r="M8" s="1"/>
      <c r="N8" s="18"/>
    </row>
    <row r="9" spans="2:14" ht="15.75" customHeight="1" x14ac:dyDescent="0.25">
      <c r="B9" s="20"/>
      <c r="C9" s="7" t="s">
        <v>27</v>
      </c>
      <c r="D9" s="8"/>
      <c r="E9" s="12">
        <v>3.9777E-2</v>
      </c>
      <c r="F9" s="1"/>
      <c r="G9" s="24" t="s">
        <v>15</v>
      </c>
      <c r="H9" s="28">
        <v>0.32306400000000002</v>
      </c>
      <c r="I9" s="1"/>
      <c r="J9" s="24" t="s">
        <v>10</v>
      </c>
      <c r="K9" s="28">
        <v>2.7588999999999999E-2</v>
      </c>
      <c r="L9" s="1"/>
      <c r="M9" s="1"/>
      <c r="N9" s="18"/>
    </row>
    <row r="10" spans="2:14" ht="15" customHeight="1" x14ac:dyDescent="0.25">
      <c r="B10" s="20"/>
      <c r="C10" s="5" t="s">
        <v>96</v>
      </c>
      <c r="D10" s="6" t="s">
        <v>97</v>
      </c>
      <c r="E10" s="11">
        <v>0.106018</v>
      </c>
      <c r="F10" s="1"/>
      <c r="G10" s="24" t="s">
        <v>109</v>
      </c>
      <c r="H10" s="28">
        <v>9.3591999999999995E-2</v>
      </c>
      <c r="I10" s="1"/>
      <c r="J10" s="24" t="s">
        <v>13</v>
      </c>
      <c r="K10" s="28">
        <v>8.6890000000000005E-3</v>
      </c>
      <c r="L10" s="1"/>
      <c r="M10" s="1"/>
      <c r="N10" s="18"/>
    </row>
    <row r="11" spans="2:14" ht="15" customHeight="1" x14ac:dyDescent="0.25">
      <c r="B11" s="20"/>
      <c r="C11" s="5" t="s">
        <v>98</v>
      </c>
      <c r="D11" s="6" t="s">
        <v>97</v>
      </c>
      <c r="E11" s="11">
        <v>0.105437</v>
      </c>
      <c r="F11" s="1"/>
      <c r="G11" s="1"/>
      <c r="H11" s="1"/>
      <c r="I11" s="1"/>
      <c r="J11" s="24" t="s">
        <v>52</v>
      </c>
      <c r="K11" s="28">
        <v>3.9777E-2</v>
      </c>
      <c r="L11" s="1"/>
      <c r="M11" s="1"/>
      <c r="N11" s="18"/>
    </row>
    <row r="12" spans="2:14" ht="15" customHeight="1" x14ac:dyDescent="0.25">
      <c r="B12" s="20"/>
      <c r="C12" s="5" t="s">
        <v>99</v>
      </c>
      <c r="D12" s="6" t="s">
        <v>100</v>
      </c>
      <c r="E12" s="11">
        <v>9.3591999999999995E-2</v>
      </c>
      <c r="F12" s="1"/>
      <c r="G12" s="1"/>
      <c r="H12" s="1"/>
      <c r="I12" s="1"/>
      <c r="J12" s="24" t="s">
        <v>53</v>
      </c>
      <c r="K12" s="28">
        <v>0.67693599999999998</v>
      </c>
      <c r="L12" s="1"/>
      <c r="M12" s="1"/>
      <c r="N12" s="18"/>
    </row>
    <row r="13" spans="2:14" ht="15" customHeight="1" x14ac:dyDescent="0.25">
      <c r="B13" s="20"/>
      <c r="C13" s="5" t="s">
        <v>101</v>
      </c>
      <c r="D13" s="6" t="s">
        <v>97</v>
      </c>
      <c r="E13" s="11">
        <v>9.0765999999999999E-2</v>
      </c>
      <c r="F13" s="1"/>
      <c r="G13" s="1"/>
      <c r="H13" s="1"/>
      <c r="I13" s="1"/>
      <c r="J13" s="24" t="s">
        <v>47</v>
      </c>
      <c r="K13" s="28">
        <v>3.8240000000000001E-3</v>
      </c>
      <c r="L13" s="1"/>
      <c r="M13" s="1"/>
      <c r="N13" s="18"/>
    </row>
    <row r="14" spans="2:14" ht="15" customHeight="1" x14ac:dyDescent="0.25">
      <c r="B14" s="20"/>
      <c r="C14" s="5" t="s">
        <v>102</v>
      </c>
      <c r="D14" s="6" t="s">
        <v>97</v>
      </c>
      <c r="E14" s="11">
        <v>8.0282999999999993E-2</v>
      </c>
      <c r="F14" s="1"/>
      <c r="G14" s="1"/>
      <c r="H14" s="1"/>
      <c r="I14" s="1"/>
      <c r="J14" s="24" t="s">
        <v>55</v>
      </c>
      <c r="K14" s="28">
        <v>0.179198</v>
      </c>
      <c r="L14" s="1"/>
      <c r="M14" s="1"/>
      <c r="N14" s="18"/>
    </row>
    <row r="15" spans="2:14" ht="15" customHeight="1" x14ac:dyDescent="0.25">
      <c r="B15" s="20"/>
      <c r="C15" s="5" t="s">
        <v>103</v>
      </c>
      <c r="D15" s="6" t="s">
        <v>97</v>
      </c>
      <c r="E15" s="11">
        <v>5.459E-2</v>
      </c>
      <c r="F15" s="1"/>
      <c r="G15" s="1"/>
      <c r="H15" s="1"/>
      <c r="I15" s="1"/>
      <c r="J15" s="24" t="s">
        <v>73</v>
      </c>
      <c r="K15" s="28">
        <v>6.3987000000000002E-2</v>
      </c>
      <c r="L15" s="1"/>
      <c r="M15" s="1"/>
      <c r="N15" s="18"/>
    </row>
    <row r="16" spans="2:14" ht="15" customHeight="1" x14ac:dyDescent="0.25">
      <c r="B16" s="20"/>
      <c r="C16" s="5" t="s">
        <v>104</v>
      </c>
      <c r="D16" s="6" t="s">
        <v>97</v>
      </c>
      <c r="E16" s="11">
        <v>5.3095999999999997E-2</v>
      </c>
      <c r="F16" s="1"/>
      <c r="G16" s="1"/>
      <c r="H16" s="1"/>
      <c r="I16" s="1"/>
      <c r="J16" s="1"/>
      <c r="K16" s="1"/>
      <c r="L16" s="1"/>
      <c r="M16" s="1"/>
      <c r="N16" s="18"/>
    </row>
    <row r="17" spans="2:14" ht="15" customHeight="1" x14ac:dyDescent="0.25">
      <c r="B17" s="20"/>
      <c r="C17" s="5" t="s">
        <v>105</v>
      </c>
      <c r="D17" s="6" t="s">
        <v>97</v>
      </c>
      <c r="E17" s="11">
        <v>3.9941999999999998E-2</v>
      </c>
      <c r="F17" s="1"/>
      <c r="G17" s="1"/>
      <c r="H17" s="1"/>
      <c r="I17" s="1"/>
      <c r="J17" s="1"/>
      <c r="K17" s="1"/>
      <c r="L17" s="1"/>
      <c r="M17" s="1"/>
      <c r="N17" s="18"/>
    </row>
    <row r="18" spans="2:14" ht="15" customHeight="1" x14ac:dyDescent="0.25">
      <c r="B18" s="20"/>
      <c r="C18" s="5" t="s">
        <v>106</v>
      </c>
      <c r="D18" s="6" t="s">
        <v>97</v>
      </c>
      <c r="E18" s="11">
        <v>3.9738999999999997E-2</v>
      </c>
      <c r="F18" s="1"/>
      <c r="G18" s="1"/>
      <c r="H18" s="1"/>
      <c r="I18" s="1"/>
      <c r="J18" s="1"/>
      <c r="K18" s="1"/>
      <c r="L18" s="1"/>
      <c r="M18" s="1"/>
      <c r="N18" s="18"/>
    </row>
    <row r="19" spans="2:14" ht="15" customHeight="1" x14ac:dyDescent="0.25">
      <c r="B19" s="20"/>
      <c r="C19" s="5" t="s">
        <v>107</v>
      </c>
      <c r="D19" s="6" t="s">
        <v>97</v>
      </c>
      <c r="E19" s="11">
        <v>1.3473000000000001E-2</v>
      </c>
      <c r="F19" s="1"/>
      <c r="G19" s="1"/>
      <c r="H19" s="1"/>
      <c r="I19" s="1"/>
      <c r="J19" s="1"/>
      <c r="K19" s="1"/>
      <c r="L19" s="1"/>
      <c r="M19" s="1"/>
      <c r="N19" s="18"/>
    </row>
    <row r="20" spans="2:14" ht="15.75" customHeight="1" x14ac:dyDescent="0.25">
      <c r="B20" s="20"/>
      <c r="C20" s="7" t="s">
        <v>46</v>
      </c>
      <c r="D20" s="8"/>
      <c r="E20" s="12">
        <v>0.67693599999999998</v>
      </c>
      <c r="F20" s="1"/>
      <c r="G20" s="1"/>
      <c r="H20" s="1"/>
      <c r="I20" s="1"/>
      <c r="J20" s="1"/>
      <c r="K20" s="1"/>
      <c r="L20" s="1"/>
      <c r="M20" s="1"/>
      <c r="N20" s="18"/>
    </row>
    <row r="21" spans="2:14" ht="15" customHeight="1" x14ac:dyDescent="0.25">
      <c r="B21" s="20"/>
      <c r="C21" s="5" t="s">
        <v>47</v>
      </c>
      <c r="D21" s="6"/>
      <c r="E21" s="11">
        <v>3.8240000000000001E-3</v>
      </c>
      <c r="F21" s="1"/>
      <c r="G21" s="1"/>
      <c r="H21" s="1"/>
      <c r="I21" s="1"/>
      <c r="J21" s="1"/>
      <c r="K21" s="1"/>
      <c r="L21" s="1"/>
      <c r="M21" s="1"/>
      <c r="N21" s="18"/>
    </row>
    <row r="22" spans="2:14" ht="15.75" customHeight="1" x14ac:dyDescent="0.25">
      <c r="B22" s="20"/>
      <c r="C22" s="7" t="s">
        <v>48</v>
      </c>
      <c r="D22" s="8"/>
      <c r="E22" s="12">
        <v>3.8240000000000001E-3</v>
      </c>
      <c r="F22" s="1"/>
      <c r="G22" s="1"/>
      <c r="H22" s="1"/>
      <c r="I22" s="1"/>
      <c r="J22" s="1"/>
      <c r="K22" s="1"/>
      <c r="L22" s="1"/>
      <c r="M22" s="1"/>
      <c r="N22" s="18"/>
    </row>
    <row r="23" spans="2:14" ht="15" customHeight="1" x14ac:dyDescent="0.25">
      <c r="B23" s="20"/>
      <c r="C23" s="5" t="s">
        <v>62</v>
      </c>
      <c r="D23" s="6" t="s">
        <v>181</v>
      </c>
      <c r="E23" s="11">
        <v>0.13405500000000001</v>
      </c>
      <c r="F23" s="1"/>
      <c r="G23" s="1"/>
      <c r="H23" s="1"/>
      <c r="I23" s="1"/>
      <c r="J23" s="1"/>
      <c r="K23" s="1"/>
      <c r="L23" s="1"/>
      <c r="M23" s="1"/>
      <c r="N23" s="18"/>
    </row>
    <row r="24" spans="2:14" ht="15" customHeight="1" x14ac:dyDescent="0.25">
      <c r="B24" s="20"/>
      <c r="C24" s="5" t="s">
        <v>63</v>
      </c>
      <c r="D24" s="6" t="s">
        <v>181</v>
      </c>
      <c r="E24" s="11">
        <v>2.6769000000000001E-2</v>
      </c>
      <c r="F24" s="1"/>
      <c r="G24" s="83" t="s">
        <v>17</v>
      </c>
      <c r="H24" s="84"/>
      <c r="I24" s="84"/>
      <c r="J24" s="84"/>
      <c r="K24" s="84"/>
      <c r="L24" s="65">
        <v>2.6754626721869204</v>
      </c>
      <c r="M24" s="26"/>
      <c r="N24" s="27"/>
    </row>
    <row r="25" spans="2:14" ht="15" customHeight="1" x14ac:dyDescent="0.25">
      <c r="B25" s="20"/>
      <c r="C25" s="5" t="s">
        <v>49</v>
      </c>
      <c r="D25" s="6" t="s">
        <v>181</v>
      </c>
      <c r="E25" s="11">
        <v>1.8374000000000001E-2</v>
      </c>
      <c r="F25" s="1"/>
      <c r="G25" s="1"/>
      <c r="H25" s="1"/>
      <c r="I25" s="1"/>
      <c r="J25" s="1"/>
      <c r="K25" s="1"/>
      <c r="L25" s="1"/>
      <c r="M25" s="1"/>
      <c r="N25" s="18"/>
    </row>
    <row r="26" spans="2:14" ht="15.75" customHeight="1" x14ac:dyDescent="0.25">
      <c r="B26" s="20"/>
      <c r="C26" s="7" t="s">
        <v>50</v>
      </c>
      <c r="D26" s="8"/>
      <c r="E26" s="12">
        <v>0.179198</v>
      </c>
      <c r="F26" s="1"/>
      <c r="G26" s="83" t="s">
        <v>18</v>
      </c>
      <c r="H26" s="84"/>
      <c r="I26" s="84"/>
      <c r="J26" s="84"/>
      <c r="K26" s="84"/>
      <c r="L26" s="84"/>
      <c r="M26" s="84"/>
      <c r="N26" s="85"/>
    </row>
    <row r="27" spans="2:14" ht="15" customHeight="1" x14ac:dyDescent="0.25">
      <c r="B27" s="20"/>
      <c r="C27" s="5" t="s">
        <v>292</v>
      </c>
      <c r="D27" s="6" t="s">
        <v>71</v>
      </c>
      <c r="E27" s="11">
        <v>6.3987000000000002E-2</v>
      </c>
      <c r="F27" s="1"/>
      <c r="G27" s="1"/>
      <c r="H27" s="1"/>
      <c r="I27" s="1"/>
      <c r="J27" s="1"/>
      <c r="K27" s="1"/>
      <c r="L27" s="1"/>
      <c r="M27" s="1"/>
      <c r="N27" s="18"/>
    </row>
    <row r="28" spans="2:14" ht="15.75" customHeight="1" x14ac:dyDescent="0.25">
      <c r="B28" s="20"/>
      <c r="C28" s="7" t="s">
        <v>72</v>
      </c>
      <c r="D28" s="8"/>
      <c r="E28" s="12">
        <v>6.3987000000000002E-2</v>
      </c>
      <c r="F28" s="1"/>
      <c r="G28" s="1"/>
      <c r="H28" s="1"/>
      <c r="I28" s="1"/>
      <c r="J28" s="1"/>
      <c r="K28" s="1"/>
      <c r="L28" s="1"/>
      <c r="M28" s="1"/>
      <c r="N28" s="18"/>
    </row>
    <row r="29" spans="2:14" ht="15" customHeight="1" x14ac:dyDescent="0.25">
      <c r="B29" s="20"/>
      <c r="C29" s="5" t="s">
        <v>8</v>
      </c>
      <c r="D29" s="6"/>
      <c r="E29" s="11">
        <v>8.6890000000000005E-3</v>
      </c>
      <c r="F29" s="1"/>
      <c r="G29" s="1"/>
      <c r="H29" s="1"/>
      <c r="I29" s="1"/>
      <c r="J29" s="1"/>
      <c r="K29" s="1"/>
      <c r="L29" s="1"/>
      <c r="M29" s="1"/>
      <c r="N29" s="18"/>
    </row>
    <row r="30" spans="2:14" ht="15.75" customHeight="1" x14ac:dyDescent="0.25">
      <c r="B30" s="20"/>
      <c r="C30" s="7" t="s">
        <v>9</v>
      </c>
      <c r="D30" s="8"/>
      <c r="E30" s="12">
        <v>8.6890000000000005E-3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10</v>
      </c>
      <c r="D32" s="8"/>
      <c r="E32" s="12">
        <v>2.7588999999999999E-2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11</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t="s">
        <v>293</v>
      </c>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6" t="s">
        <v>291</v>
      </c>
      <c r="C45" s="67"/>
      <c r="D45" s="67"/>
      <c r="E45" s="67"/>
      <c r="F45" s="67"/>
      <c r="G45" s="67"/>
      <c r="H45" s="67"/>
      <c r="I45" s="67"/>
      <c r="J45" s="67"/>
      <c r="K45" s="67"/>
      <c r="L45" s="67"/>
      <c r="M45" s="67"/>
      <c r="N45" s="68"/>
    </row>
    <row r="46" spans="2:14" ht="15" customHeight="1" x14ac:dyDescent="0.25">
      <c r="B46" s="69"/>
      <c r="C46" s="70"/>
      <c r="D46" s="70"/>
      <c r="E46" s="70"/>
      <c r="F46" s="70"/>
      <c r="G46" s="70"/>
      <c r="H46" s="70"/>
      <c r="I46" s="70"/>
      <c r="J46" s="70"/>
      <c r="K46" s="70"/>
      <c r="L46" s="70"/>
      <c r="M46" s="70"/>
      <c r="N46" s="71"/>
    </row>
    <row r="47" spans="2:14" ht="15" customHeight="1" x14ac:dyDescent="0.25">
      <c r="B47" s="69"/>
      <c r="C47" s="70"/>
      <c r="D47" s="70"/>
      <c r="E47" s="70"/>
      <c r="F47" s="70"/>
      <c r="G47" s="70"/>
      <c r="H47" s="70"/>
      <c r="I47" s="70"/>
      <c r="J47" s="70"/>
      <c r="K47" s="70"/>
      <c r="L47" s="70"/>
      <c r="M47" s="70"/>
      <c r="N47" s="71"/>
    </row>
    <row r="48" spans="2:14" ht="15" customHeight="1" thickBot="1" x14ac:dyDescent="0.3">
      <c r="B48" s="72"/>
      <c r="C48" s="73"/>
      <c r="D48" s="73"/>
      <c r="E48" s="73"/>
      <c r="F48" s="73"/>
      <c r="G48" s="73"/>
      <c r="H48" s="73"/>
      <c r="I48" s="73"/>
      <c r="J48" s="73"/>
      <c r="K48" s="73"/>
      <c r="L48" s="73"/>
      <c r="M48" s="73"/>
      <c r="N48" s="74"/>
    </row>
    <row r="49" spans="2:14" ht="15" customHeight="1" thickBot="1" x14ac:dyDescent="0.3"/>
    <row r="50" spans="2:14" ht="144" customHeight="1" thickBot="1" x14ac:dyDescent="0.3">
      <c r="B50" s="75" t="s">
        <v>290</v>
      </c>
      <c r="C50" s="76"/>
      <c r="D50" s="76"/>
      <c r="E50" s="76"/>
      <c r="F50" s="76"/>
      <c r="G50" s="76"/>
      <c r="H50" s="76"/>
      <c r="I50" s="76"/>
      <c r="J50" s="76"/>
      <c r="K50" s="76"/>
      <c r="L50" s="76"/>
      <c r="M50" s="76"/>
      <c r="N50" s="77"/>
    </row>
    <row r="51" spans="2:14" ht="15" customHeight="1" x14ac:dyDescent="0.25"/>
    <row r="52" spans="2:14" ht="15" customHeight="1" x14ac:dyDescent="0.25"/>
    <row r="53" spans="2:14" ht="15" customHeight="1" x14ac:dyDescent="0.25"/>
    <row r="54"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3C81D-6189-4556-9129-A272317B65E7}">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144</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145</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61</v>
      </c>
      <c r="D8" s="6" t="s">
        <v>181</v>
      </c>
      <c r="E8" s="11">
        <v>0.68266199999999999</v>
      </c>
      <c r="F8" s="1"/>
      <c r="G8" s="24" t="s">
        <v>15</v>
      </c>
      <c r="H8" s="25">
        <v>1</v>
      </c>
      <c r="I8" s="1"/>
      <c r="J8" s="24" t="s">
        <v>12</v>
      </c>
      <c r="K8" s="24" t="s">
        <v>5</v>
      </c>
      <c r="L8" s="1"/>
      <c r="M8" s="1"/>
      <c r="N8" s="18"/>
    </row>
    <row r="9" spans="2:14" ht="15" customHeight="1" x14ac:dyDescent="0.25">
      <c r="B9" s="20"/>
      <c r="C9" s="5" t="s">
        <v>59</v>
      </c>
      <c r="D9" s="6" t="s">
        <v>181</v>
      </c>
      <c r="E9" s="11">
        <v>0.30874499999999999</v>
      </c>
      <c r="F9" s="1"/>
      <c r="G9" s="1"/>
      <c r="H9" s="1"/>
      <c r="I9" s="1"/>
      <c r="J9" s="24" t="s">
        <v>10</v>
      </c>
      <c r="K9" s="28">
        <v>6.9189999999999998E-3</v>
      </c>
      <c r="L9" s="1"/>
      <c r="M9" s="1"/>
      <c r="N9" s="18"/>
    </row>
    <row r="10" spans="2:14" ht="15" customHeight="1" x14ac:dyDescent="0.25">
      <c r="B10" s="20"/>
      <c r="C10" s="5" t="s">
        <v>62</v>
      </c>
      <c r="D10" s="6" t="s">
        <v>181</v>
      </c>
      <c r="E10" s="11">
        <v>1.3370000000000001E-3</v>
      </c>
      <c r="F10" s="1"/>
      <c r="G10" s="1"/>
      <c r="H10" s="1"/>
      <c r="I10" s="1"/>
      <c r="J10" s="24" t="s">
        <v>13</v>
      </c>
      <c r="K10" s="28">
        <v>2.9500000000000001E-4</v>
      </c>
      <c r="L10" s="1"/>
      <c r="M10" s="1"/>
      <c r="N10" s="18"/>
    </row>
    <row r="11" spans="2:14" ht="15" customHeight="1" x14ac:dyDescent="0.25">
      <c r="B11" s="20"/>
      <c r="C11" s="5" t="s">
        <v>127</v>
      </c>
      <c r="D11" s="6" t="s">
        <v>181</v>
      </c>
      <c r="E11" s="29">
        <v>4.1999999999999998E-5</v>
      </c>
      <c r="F11" s="1"/>
      <c r="G11" s="1"/>
      <c r="H11" s="1"/>
      <c r="I11" s="1"/>
      <c r="J11" s="24" t="s">
        <v>55</v>
      </c>
      <c r="K11" s="28">
        <v>0.99278599999999995</v>
      </c>
      <c r="L11" s="1"/>
      <c r="M11" s="1"/>
      <c r="N11" s="18"/>
    </row>
    <row r="12" spans="2:14" ht="15.75" customHeight="1" x14ac:dyDescent="0.25">
      <c r="B12" s="20"/>
      <c r="C12" s="7" t="s">
        <v>50</v>
      </c>
      <c r="D12" s="8"/>
      <c r="E12" s="12">
        <v>0.99278599999999995</v>
      </c>
      <c r="F12" s="1"/>
      <c r="G12" s="1"/>
      <c r="H12" s="1"/>
      <c r="I12" s="1"/>
      <c r="J12" s="1"/>
      <c r="K12" s="1"/>
      <c r="L12" s="1"/>
      <c r="M12" s="1"/>
      <c r="N12" s="18"/>
    </row>
    <row r="13" spans="2:14" ht="15" customHeight="1" x14ac:dyDescent="0.25">
      <c r="B13" s="20"/>
      <c r="C13" s="5" t="s">
        <v>8</v>
      </c>
      <c r="D13" s="6"/>
      <c r="E13" s="11">
        <v>2.9500000000000001E-4</v>
      </c>
      <c r="F13" s="1"/>
      <c r="G13" s="1"/>
      <c r="H13" s="1"/>
      <c r="I13" s="1"/>
      <c r="J13" s="1"/>
      <c r="K13" s="1"/>
      <c r="L13" s="1"/>
      <c r="M13" s="1"/>
      <c r="N13" s="18"/>
    </row>
    <row r="14" spans="2:14" ht="15.75" customHeight="1" x14ac:dyDescent="0.25">
      <c r="B14" s="20"/>
      <c r="C14" s="7" t="s">
        <v>9</v>
      </c>
      <c r="D14" s="8"/>
      <c r="E14" s="12">
        <v>2.9500000000000001E-4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10</v>
      </c>
      <c r="D16" s="8"/>
      <c r="E16" s="12">
        <v>6.9189999999999998E-3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11</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65">
        <v>24.425885009069034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2BD67-6E87-4426-BD8F-99168A5EDBB6}">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141</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142</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59</v>
      </c>
      <c r="D8" s="6" t="s">
        <v>181</v>
      </c>
      <c r="E8" s="11">
        <v>0.36508099999999999</v>
      </c>
      <c r="F8" s="1"/>
      <c r="G8" s="24" t="s">
        <v>15</v>
      </c>
      <c r="H8" s="25">
        <v>1</v>
      </c>
      <c r="I8" s="1"/>
      <c r="J8" s="24" t="s">
        <v>12</v>
      </c>
      <c r="K8" s="24" t="s">
        <v>5</v>
      </c>
      <c r="L8" s="1"/>
      <c r="M8" s="1"/>
      <c r="N8" s="18"/>
    </row>
    <row r="9" spans="2:14" ht="15" customHeight="1" x14ac:dyDescent="0.25">
      <c r="B9" s="20"/>
      <c r="C9" s="5" t="s">
        <v>112</v>
      </c>
      <c r="D9" s="6" t="s">
        <v>181</v>
      </c>
      <c r="E9" s="11">
        <v>0.236628</v>
      </c>
      <c r="F9" s="1"/>
      <c r="G9" s="1"/>
      <c r="H9" s="1"/>
      <c r="I9" s="1"/>
      <c r="J9" s="24" t="s">
        <v>10</v>
      </c>
      <c r="K9" s="28">
        <v>1.1694E-2</v>
      </c>
      <c r="L9" s="1"/>
      <c r="M9" s="1"/>
      <c r="N9" s="18"/>
    </row>
    <row r="10" spans="2:14" ht="15" customHeight="1" x14ac:dyDescent="0.25">
      <c r="B10" s="20"/>
      <c r="C10" s="5" t="s">
        <v>143</v>
      </c>
      <c r="D10" s="6" t="s">
        <v>181</v>
      </c>
      <c r="E10" s="11">
        <v>0.23042299999999999</v>
      </c>
      <c r="F10" s="1"/>
      <c r="G10" s="1"/>
      <c r="H10" s="1"/>
      <c r="I10" s="1"/>
      <c r="J10" s="24" t="s">
        <v>13</v>
      </c>
      <c r="K10" s="28">
        <v>5.0665000000000002E-2</v>
      </c>
      <c r="L10" s="1"/>
      <c r="M10" s="1"/>
      <c r="N10" s="18"/>
    </row>
    <row r="11" spans="2:14" ht="15" customHeight="1" x14ac:dyDescent="0.25">
      <c r="B11" s="20"/>
      <c r="C11" s="5" t="s">
        <v>62</v>
      </c>
      <c r="D11" s="6" t="s">
        <v>181</v>
      </c>
      <c r="E11" s="11">
        <v>9.1884999999999994E-2</v>
      </c>
      <c r="F11" s="1"/>
      <c r="G11" s="1"/>
      <c r="H11" s="1"/>
      <c r="I11" s="1"/>
      <c r="J11" s="24" t="s">
        <v>55</v>
      </c>
      <c r="K11" s="28">
        <v>0.93764099999999995</v>
      </c>
      <c r="L11" s="1"/>
      <c r="M11" s="1"/>
      <c r="N11" s="18"/>
    </row>
    <row r="12" spans="2:14" ht="15" customHeight="1" x14ac:dyDescent="0.25">
      <c r="B12" s="20"/>
      <c r="C12" s="5" t="s">
        <v>70</v>
      </c>
      <c r="D12" s="6" t="s">
        <v>181</v>
      </c>
      <c r="E12" s="11">
        <v>6.8399999999999997E-3</v>
      </c>
      <c r="F12" s="1"/>
      <c r="G12" s="1"/>
      <c r="H12" s="1"/>
      <c r="I12" s="1"/>
      <c r="J12" s="1"/>
      <c r="K12" s="1"/>
      <c r="L12" s="1"/>
      <c r="M12" s="1"/>
      <c r="N12" s="18"/>
    </row>
    <row r="13" spans="2:14" ht="15" customHeight="1" x14ac:dyDescent="0.25">
      <c r="B13" s="20"/>
      <c r="C13" s="5" t="s">
        <v>65</v>
      </c>
      <c r="D13" s="6" t="s">
        <v>181</v>
      </c>
      <c r="E13" s="11">
        <v>4.607E-3</v>
      </c>
      <c r="F13" s="1"/>
      <c r="G13" s="1"/>
      <c r="H13" s="1"/>
      <c r="I13" s="1"/>
      <c r="J13" s="1"/>
      <c r="K13" s="1"/>
      <c r="L13" s="1"/>
      <c r="M13" s="1"/>
      <c r="N13" s="18"/>
    </row>
    <row r="14" spans="2:14" ht="15" customHeight="1" x14ac:dyDescent="0.25">
      <c r="B14" s="20"/>
      <c r="C14" s="5" t="s">
        <v>127</v>
      </c>
      <c r="D14" s="6" t="s">
        <v>181</v>
      </c>
      <c r="E14" s="11">
        <v>2.1770000000000001E-3</v>
      </c>
      <c r="F14" s="1"/>
      <c r="G14" s="1"/>
      <c r="H14" s="1"/>
      <c r="I14" s="1"/>
      <c r="J14" s="1"/>
      <c r="K14" s="1"/>
      <c r="L14" s="1"/>
      <c r="M14" s="1"/>
      <c r="N14" s="18"/>
    </row>
    <row r="15" spans="2:14" ht="15.75" customHeight="1" x14ac:dyDescent="0.25">
      <c r="B15" s="20"/>
      <c r="C15" s="7" t="s">
        <v>50</v>
      </c>
      <c r="D15" s="8"/>
      <c r="E15" s="12">
        <v>0.93764099999999995</v>
      </c>
      <c r="F15" s="1"/>
      <c r="G15" s="1"/>
      <c r="H15" s="1"/>
      <c r="I15" s="1"/>
      <c r="J15" s="1"/>
      <c r="K15" s="1"/>
      <c r="L15" s="1"/>
      <c r="M15" s="1"/>
      <c r="N15" s="18"/>
    </row>
    <row r="16" spans="2:14" ht="15" customHeight="1" x14ac:dyDescent="0.25">
      <c r="B16" s="20"/>
      <c r="C16" s="5" t="s">
        <v>8</v>
      </c>
      <c r="D16" s="6"/>
      <c r="E16" s="11">
        <v>5.0665000000000002E-2</v>
      </c>
      <c r="F16" s="1"/>
      <c r="G16" s="1"/>
      <c r="H16" s="1"/>
      <c r="I16" s="1"/>
      <c r="J16" s="1"/>
      <c r="K16" s="1"/>
      <c r="L16" s="1"/>
      <c r="M16" s="1"/>
      <c r="N16" s="18"/>
    </row>
    <row r="17" spans="2:14" ht="15.75" customHeight="1" x14ac:dyDescent="0.25">
      <c r="B17" s="20"/>
      <c r="C17" s="7" t="s">
        <v>9</v>
      </c>
      <c r="D17" s="8"/>
      <c r="E17" s="12">
        <v>5.0665000000000002E-2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10</v>
      </c>
      <c r="D19" s="8"/>
      <c r="E19" s="12">
        <v>1.1694E-2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11</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65">
        <v>9.8092336452738653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62A2A-07FE-4A5C-B178-243924579341}">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119</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120</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121</v>
      </c>
      <c r="D8" s="6" t="s">
        <v>181</v>
      </c>
      <c r="E8" s="11">
        <v>0.322237</v>
      </c>
      <c r="F8" s="1"/>
      <c r="G8" s="24" t="s">
        <v>15</v>
      </c>
      <c r="H8" s="25">
        <v>1</v>
      </c>
      <c r="I8" s="1"/>
      <c r="J8" s="24" t="s">
        <v>12</v>
      </c>
      <c r="K8" s="24" t="s">
        <v>5</v>
      </c>
      <c r="L8" s="1"/>
      <c r="M8" s="1"/>
      <c r="N8" s="18"/>
    </row>
    <row r="9" spans="2:14" ht="15" customHeight="1" x14ac:dyDescent="0.25">
      <c r="B9" s="20"/>
      <c r="C9" s="5" t="s">
        <v>81</v>
      </c>
      <c r="D9" s="6" t="s">
        <v>181</v>
      </c>
      <c r="E9" s="11">
        <v>0.301394</v>
      </c>
      <c r="F9" s="1"/>
      <c r="G9" s="1"/>
      <c r="H9" s="1"/>
      <c r="I9" s="1"/>
      <c r="J9" s="24" t="s">
        <v>10</v>
      </c>
      <c r="K9" s="28">
        <v>1.4815999999999999E-2</v>
      </c>
      <c r="L9" s="1"/>
      <c r="M9" s="1"/>
      <c r="N9" s="18"/>
    </row>
    <row r="10" spans="2:14" ht="15" customHeight="1" x14ac:dyDescent="0.25">
      <c r="B10" s="20"/>
      <c r="C10" s="5" t="s">
        <v>122</v>
      </c>
      <c r="D10" s="6" t="s">
        <v>181</v>
      </c>
      <c r="E10" s="11">
        <v>0.18917400000000001</v>
      </c>
      <c r="F10" s="1"/>
      <c r="G10" s="1"/>
      <c r="H10" s="1"/>
      <c r="I10" s="1"/>
      <c r="J10" s="24" t="s">
        <v>13</v>
      </c>
      <c r="K10" s="28">
        <v>8.8369999999999994E-3</v>
      </c>
      <c r="L10" s="1"/>
      <c r="M10" s="1"/>
      <c r="N10" s="18"/>
    </row>
    <row r="11" spans="2:14" ht="15" customHeight="1" x14ac:dyDescent="0.25">
      <c r="B11" s="20"/>
      <c r="C11" s="5" t="s">
        <v>123</v>
      </c>
      <c r="D11" s="6" t="s">
        <v>181</v>
      </c>
      <c r="E11" s="11">
        <v>0.100832</v>
      </c>
      <c r="F11" s="1"/>
      <c r="G11" s="1"/>
      <c r="H11" s="1"/>
      <c r="I11" s="1"/>
      <c r="J11" s="24" t="s">
        <v>55</v>
      </c>
      <c r="K11" s="28">
        <v>0.97634699999999996</v>
      </c>
      <c r="L11" s="1"/>
      <c r="M11" s="1"/>
      <c r="N11" s="18"/>
    </row>
    <row r="12" spans="2:14" ht="15" customHeight="1" x14ac:dyDescent="0.25">
      <c r="B12" s="20"/>
      <c r="C12" s="5" t="s">
        <v>124</v>
      </c>
      <c r="D12" s="6" t="s">
        <v>181</v>
      </c>
      <c r="E12" s="11">
        <v>6.2710000000000002E-2</v>
      </c>
      <c r="F12" s="1"/>
      <c r="G12" s="1"/>
      <c r="H12" s="1"/>
      <c r="I12" s="1"/>
      <c r="J12" s="1"/>
      <c r="K12" s="1"/>
      <c r="L12" s="1"/>
      <c r="M12" s="1"/>
      <c r="N12" s="18"/>
    </row>
    <row r="13" spans="2:14" ht="15.75" customHeight="1" x14ac:dyDescent="0.25">
      <c r="B13" s="20"/>
      <c r="C13" s="7" t="s">
        <v>50</v>
      </c>
      <c r="D13" s="8"/>
      <c r="E13" s="12">
        <v>0.97634699999999996</v>
      </c>
      <c r="F13" s="1"/>
      <c r="G13" s="1"/>
      <c r="H13" s="1"/>
      <c r="I13" s="1"/>
      <c r="J13" s="1"/>
      <c r="K13" s="1"/>
      <c r="L13" s="1"/>
      <c r="M13" s="1"/>
      <c r="N13" s="18"/>
    </row>
    <row r="14" spans="2:14" ht="15" customHeight="1" x14ac:dyDescent="0.25">
      <c r="B14" s="20"/>
      <c r="C14" s="5" t="s">
        <v>8</v>
      </c>
      <c r="D14" s="6"/>
      <c r="E14" s="11">
        <v>8.8369999999999994E-3</v>
      </c>
      <c r="F14" s="1"/>
      <c r="G14" s="1"/>
      <c r="H14" s="1"/>
      <c r="I14" s="1"/>
      <c r="J14" s="1"/>
      <c r="K14" s="1"/>
      <c r="L14" s="1"/>
      <c r="M14" s="1"/>
      <c r="N14" s="18"/>
    </row>
    <row r="15" spans="2:14" ht="15.75" customHeight="1" x14ac:dyDescent="0.25">
      <c r="B15" s="20"/>
      <c r="C15" s="7" t="s">
        <v>9</v>
      </c>
      <c r="D15" s="8"/>
      <c r="E15" s="12">
        <v>8.8369999999999994E-3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1.4815999999999999E-2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65">
        <v>2.0921545199606086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D645-6B2B-4A2D-9EB1-1777A09162EB}">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132</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133</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49</v>
      </c>
      <c r="D8" s="6" t="s">
        <v>181</v>
      </c>
      <c r="E8" s="11">
        <v>0.76128200000000001</v>
      </c>
      <c r="F8" s="1"/>
      <c r="G8" s="24" t="s">
        <v>15</v>
      </c>
      <c r="H8" s="25">
        <v>1</v>
      </c>
      <c r="I8" s="1"/>
      <c r="J8" s="24" t="s">
        <v>12</v>
      </c>
      <c r="K8" s="24" t="s">
        <v>5</v>
      </c>
      <c r="L8" s="1"/>
      <c r="M8" s="1"/>
      <c r="N8" s="18"/>
    </row>
    <row r="9" spans="2:14" ht="15" customHeight="1" x14ac:dyDescent="0.25">
      <c r="B9" s="20"/>
      <c r="C9" s="5" t="s">
        <v>70</v>
      </c>
      <c r="D9" s="6" t="s">
        <v>181</v>
      </c>
      <c r="E9" s="11">
        <v>0.116579</v>
      </c>
      <c r="F9" s="1"/>
      <c r="G9" s="1"/>
      <c r="H9" s="1"/>
      <c r="I9" s="1"/>
      <c r="J9" s="24" t="s">
        <v>10</v>
      </c>
      <c r="K9" s="28">
        <v>1.1963E-2</v>
      </c>
      <c r="L9" s="1"/>
      <c r="M9" s="1"/>
      <c r="N9" s="18"/>
    </row>
    <row r="10" spans="2:14" ht="15" customHeight="1" x14ac:dyDescent="0.25">
      <c r="B10" s="20"/>
      <c r="C10" s="5" t="s">
        <v>65</v>
      </c>
      <c r="D10" s="6" t="s">
        <v>181</v>
      </c>
      <c r="E10" s="11">
        <v>0.103519</v>
      </c>
      <c r="F10" s="1"/>
      <c r="G10" s="1"/>
      <c r="H10" s="1"/>
      <c r="I10" s="1"/>
      <c r="J10" s="24" t="s">
        <v>13</v>
      </c>
      <c r="K10" s="28">
        <v>6.6569999999999997E-3</v>
      </c>
      <c r="L10" s="1"/>
      <c r="M10" s="1"/>
      <c r="N10" s="18"/>
    </row>
    <row r="11" spans="2:14" ht="15.75" customHeight="1" x14ac:dyDescent="0.25">
      <c r="B11" s="20"/>
      <c r="C11" s="7" t="s">
        <v>50</v>
      </c>
      <c r="D11" s="8"/>
      <c r="E11" s="12">
        <v>0.98138000000000003</v>
      </c>
      <c r="F11" s="1"/>
      <c r="G11" s="1"/>
      <c r="H11" s="1"/>
      <c r="I11" s="1"/>
      <c r="J11" s="24" t="s">
        <v>55</v>
      </c>
      <c r="K11" s="28">
        <v>0.98138000000000003</v>
      </c>
      <c r="L11" s="1"/>
      <c r="M11" s="1"/>
      <c r="N11" s="18"/>
    </row>
    <row r="12" spans="2:14" ht="15" customHeight="1" x14ac:dyDescent="0.25">
      <c r="B12" s="20"/>
      <c r="C12" s="5" t="s">
        <v>8</v>
      </c>
      <c r="D12" s="6"/>
      <c r="E12" s="11">
        <v>6.6569999999999997E-3</v>
      </c>
      <c r="F12" s="1"/>
      <c r="G12" s="1"/>
      <c r="H12" s="1"/>
      <c r="I12" s="1"/>
      <c r="J12" s="1"/>
      <c r="K12" s="1"/>
      <c r="L12" s="1"/>
      <c r="M12" s="1"/>
      <c r="N12" s="18"/>
    </row>
    <row r="13" spans="2:14" ht="15.75" customHeight="1" x14ac:dyDescent="0.25">
      <c r="B13" s="20"/>
      <c r="C13" s="7" t="s">
        <v>9</v>
      </c>
      <c r="D13" s="8"/>
      <c r="E13" s="12">
        <v>6.6569999999999997E-3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1.1963E-2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65">
        <v>3.3125658768896611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3FC1D-74A8-4B7F-ABA1-DA2C58621F75}">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125</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126</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127</v>
      </c>
      <c r="D8" s="6" t="s">
        <v>181</v>
      </c>
      <c r="E8" s="11">
        <v>0.64290099999999994</v>
      </c>
      <c r="F8" s="1"/>
      <c r="G8" s="24" t="s">
        <v>15</v>
      </c>
      <c r="H8" s="25">
        <v>1</v>
      </c>
      <c r="I8" s="1"/>
      <c r="J8" s="24" t="s">
        <v>12</v>
      </c>
      <c r="K8" s="24" t="s">
        <v>5</v>
      </c>
      <c r="L8" s="1"/>
      <c r="M8" s="1"/>
      <c r="N8" s="18"/>
    </row>
    <row r="9" spans="2:14" ht="15" customHeight="1" x14ac:dyDescent="0.25">
      <c r="B9" s="20"/>
      <c r="C9" s="5" t="s">
        <v>128</v>
      </c>
      <c r="D9" s="6" t="s">
        <v>181</v>
      </c>
      <c r="E9" s="11">
        <v>0.26174900000000001</v>
      </c>
      <c r="F9" s="1"/>
      <c r="G9" s="1"/>
      <c r="H9" s="1"/>
      <c r="I9" s="1"/>
      <c r="J9" s="24" t="s">
        <v>10</v>
      </c>
      <c r="K9" s="28">
        <v>-6.2500000000000001E-4</v>
      </c>
      <c r="L9" s="1"/>
      <c r="M9" s="1"/>
      <c r="N9" s="18"/>
    </row>
    <row r="10" spans="2:14" ht="15" customHeight="1" x14ac:dyDescent="0.25">
      <c r="B10" s="20"/>
      <c r="C10" s="5" t="s">
        <v>49</v>
      </c>
      <c r="D10" s="6" t="s">
        <v>181</v>
      </c>
      <c r="E10" s="11">
        <v>6.9331000000000004E-2</v>
      </c>
      <c r="F10" s="1"/>
      <c r="G10" s="1"/>
      <c r="H10" s="1"/>
      <c r="I10" s="1"/>
      <c r="J10" s="24" t="s">
        <v>13</v>
      </c>
      <c r="K10" s="28">
        <v>2.6644000000000001E-2</v>
      </c>
      <c r="L10" s="1"/>
      <c r="M10" s="1"/>
      <c r="N10" s="18"/>
    </row>
    <row r="11" spans="2:14" ht="15.75" customHeight="1" x14ac:dyDescent="0.25">
      <c r="B11" s="20"/>
      <c r="C11" s="7" t="s">
        <v>50</v>
      </c>
      <c r="D11" s="8"/>
      <c r="E11" s="12">
        <v>0.97398099999999999</v>
      </c>
      <c r="F11" s="1"/>
      <c r="G11" s="1"/>
      <c r="H11" s="1"/>
      <c r="I11" s="1"/>
      <c r="J11" s="24" t="s">
        <v>55</v>
      </c>
      <c r="K11" s="28">
        <v>0.97398099999999999</v>
      </c>
      <c r="L11" s="1"/>
      <c r="M11" s="1"/>
      <c r="N11" s="18"/>
    </row>
    <row r="12" spans="2:14" ht="15" customHeight="1" x14ac:dyDescent="0.25">
      <c r="B12" s="20"/>
      <c r="C12" s="5" t="s">
        <v>8</v>
      </c>
      <c r="D12" s="6"/>
      <c r="E12" s="11">
        <v>2.6644000000000001E-2</v>
      </c>
      <c r="F12" s="1"/>
      <c r="G12" s="1"/>
      <c r="H12" s="1"/>
      <c r="I12" s="1"/>
      <c r="J12" s="1"/>
      <c r="K12" s="1"/>
      <c r="L12" s="1"/>
      <c r="M12" s="1"/>
      <c r="N12" s="18"/>
    </row>
    <row r="13" spans="2:14" ht="15.75" customHeight="1" x14ac:dyDescent="0.25">
      <c r="B13" s="20"/>
      <c r="C13" s="7" t="s">
        <v>9</v>
      </c>
      <c r="D13" s="8"/>
      <c r="E13" s="12">
        <v>2.6644000000000001E-2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-6.2500000000000001E-4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65">
        <v>3.7617072560993505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69CB4-C586-4511-B69E-81A5CE359D90}">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129</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130</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112</v>
      </c>
      <c r="D8" s="6" t="s">
        <v>181</v>
      </c>
      <c r="E8" s="11">
        <v>0.74977099999999997</v>
      </c>
      <c r="F8" s="1"/>
      <c r="G8" s="24" t="s">
        <v>15</v>
      </c>
      <c r="H8" s="25">
        <v>1</v>
      </c>
      <c r="I8" s="1"/>
      <c r="J8" s="24" t="s">
        <v>12</v>
      </c>
      <c r="K8" s="24" t="s">
        <v>5</v>
      </c>
      <c r="L8" s="1"/>
      <c r="M8" s="1"/>
      <c r="N8" s="18"/>
    </row>
    <row r="9" spans="2:14" ht="15" customHeight="1" x14ac:dyDescent="0.25">
      <c r="B9" s="20"/>
      <c r="C9" s="5" t="s">
        <v>113</v>
      </c>
      <c r="D9" s="6" t="s">
        <v>181</v>
      </c>
      <c r="E9" s="11">
        <v>0.23431099999999999</v>
      </c>
      <c r="F9" s="1"/>
      <c r="G9" s="1"/>
      <c r="H9" s="1"/>
      <c r="I9" s="1"/>
      <c r="J9" s="24" t="s">
        <v>10</v>
      </c>
      <c r="K9" s="28">
        <v>2.3349999999999998E-3</v>
      </c>
      <c r="L9" s="1"/>
      <c r="M9" s="1"/>
      <c r="N9" s="18"/>
    </row>
    <row r="10" spans="2:14" ht="15.75" customHeight="1" x14ac:dyDescent="0.25">
      <c r="B10" s="20"/>
      <c r="C10" s="7" t="s">
        <v>50</v>
      </c>
      <c r="D10" s="8"/>
      <c r="E10" s="12">
        <v>0.98408200000000001</v>
      </c>
      <c r="F10" s="1"/>
      <c r="G10" s="1"/>
      <c r="H10" s="1"/>
      <c r="I10" s="1"/>
      <c r="J10" s="24" t="s">
        <v>13</v>
      </c>
      <c r="K10" s="28">
        <v>1.3583E-2</v>
      </c>
      <c r="L10" s="1"/>
      <c r="M10" s="1"/>
      <c r="N10" s="18"/>
    </row>
    <row r="11" spans="2:14" ht="15" customHeight="1" x14ac:dyDescent="0.25">
      <c r="B11" s="20"/>
      <c r="C11" s="5" t="s">
        <v>8</v>
      </c>
      <c r="D11" s="6"/>
      <c r="E11" s="11">
        <v>1.3583E-2</v>
      </c>
      <c r="F11" s="1"/>
      <c r="G11" s="1"/>
      <c r="H11" s="1"/>
      <c r="I11" s="1"/>
      <c r="J11" s="24" t="s">
        <v>55</v>
      </c>
      <c r="K11" s="28">
        <v>0.98408200000000001</v>
      </c>
      <c r="L11" s="1"/>
      <c r="M11" s="1"/>
      <c r="N11" s="18"/>
    </row>
    <row r="12" spans="2:14" ht="15.75" customHeight="1" x14ac:dyDescent="0.25">
      <c r="B12" s="20"/>
      <c r="C12" s="7" t="s">
        <v>9</v>
      </c>
      <c r="D12" s="8"/>
      <c r="E12" s="12">
        <v>1.3583E-2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2.3349999999999998E-3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131</v>
      </c>
      <c r="H24" s="84"/>
      <c r="I24" s="84"/>
      <c r="J24" s="84"/>
      <c r="K24" s="84"/>
      <c r="L24" s="65">
        <v>7.7407796441259586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12F2-E077-40AF-8EE2-C7C9A50C91F2}">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114</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115</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116</v>
      </c>
      <c r="D8" s="6" t="s">
        <v>181</v>
      </c>
      <c r="E8" s="11">
        <v>0.13275400000000001</v>
      </c>
      <c r="F8" s="1"/>
      <c r="G8" s="24" t="s">
        <v>15</v>
      </c>
      <c r="H8" s="25">
        <v>1</v>
      </c>
      <c r="I8" s="1"/>
      <c r="J8" s="24" t="s">
        <v>12</v>
      </c>
      <c r="K8" s="24" t="s">
        <v>5</v>
      </c>
      <c r="L8" s="1"/>
      <c r="M8" s="1"/>
      <c r="N8" s="18"/>
    </row>
    <row r="9" spans="2:14" ht="15.75" customHeight="1" x14ac:dyDescent="0.25">
      <c r="B9" s="20"/>
      <c r="C9" s="7" t="s">
        <v>50</v>
      </c>
      <c r="D9" s="8"/>
      <c r="E9" s="12">
        <v>0.13275400000000001</v>
      </c>
      <c r="F9" s="1"/>
      <c r="G9" s="1"/>
      <c r="H9" s="1"/>
      <c r="I9" s="1"/>
      <c r="J9" s="24" t="s">
        <v>10</v>
      </c>
      <c r="K9" s="28">
        <v>1.8703999999999998E-2</v>
      </c>
      <c r="L9" s="1"/>
      <c r="M9" s="1"/>
      <c r="N9" s="18"/>
    </row>
    <row r="10" spans="2:14" ht="15" customHeight="1" x14ac:dyDescent="0.25">
      <c r="B10" s="20"/>
      <c r="C10" s="5" t="s">
        <v>248</v>
      </c>
      <c r="D10" s="6" t="s">
        <v>181</v>
      </c>
      <c r="E10" s="11">
        <v>0.16061600000000001</v>
      </c>
      <c r="F10" s="1"/>
      <c r="G10" s="1"/>
      <c r="H10" s="1"/>
      <c r="I10" s="1"/>
      <c r="J10" s="24" t="s">
        <v>13</v>
      </c>
      <c r="K10" s="28">
        <v>2.7616000000000002E-2</v>
      </c>
      <c r="L10" s="1"/>
      <c r="M10" s="1"/>
      <c r="N10" s="18"/>
    </row>
    <row r="11" spans="2:14" ht="15.75" customHeight="1" x14ac:dyDescent="0.25">
      <c r="B11" s="20"/>
      <c r="C11" s="5" t="s">
        <v>243</v>
      </c>
      <c r="D11" s="6" t="s">
        <v>181</v>
      </c>
      <c r="E11" s="11">
        <v>0.133573</v>
      </c>
      <c r="F11" s="1"/>
      <c r="G11" s="1"/>
      <c r="H11" s="1"/>
      <c r="I11" s="1"/>
      <c r="J11" s="24" t="s">
        <v>55</v>
      </c>
      <c r="K11" s="28">
        <v>0.13275400000000001</v>
      </c>
      <c r="L11" s="1"/>
      <c r="M11" s="1"/>
      <c r="N11" s="18"/>
    </row>
    <row r="12" spans="2:14" ht="15" customHeight="1" x14ac:dyDescent="0.25">
      <c r="B12" s="20"/>
      <c r="C12" s="5" t="s">
        <v>245</v>
      </c>
      <c r="D12" s="6" t="s">
        <v>181</v>
      </c>
      <c r="E12" s="11">
        <v>9.1408000000000003E-2</v>
      </c>
      <c r="F12" s="1"/>
      <c r="G12" s="1"/>
      <c r="H12" s="1"/>
      <c r="I12" s="1"/>
      <c r="J12" s="24" t="s">
        <v>56</v>
      </c>
      <c r="K12" s="28">
        <v>0.82092600000000004</v>
      </c>
      <c r="L12" s="1"/>
      <c r="M12" s="1"/>
      <c r="N12" s="18"/>
    </row>
    <row r="13" spans="2:14" ht="15.75" customHeight="1" x14ac:dyDescent="0.25">
      <c r="B13" s="20"/>
      <c r="C13" s="5" t="s">
        <v>251</v>
      </c>
      <c r="D13" s="6" t="s">
        <v>181</v>
      </c>
      <c r="E13" s="11">
        <v>5.6085999999999997E-2</v>
      </c>
      <c r="F13" s="1"/>
      <c r="G13" s="1"/>
      <c r="H13" s="1"/>
      <c r="I13" s="1"/>
      <c r="J13" s="1"/>
      <c r="K13" s="1"/>
      <c r="L13" s="1"/>
      <c r="M13" s="1"/>
      <c r="N13" s="18"/>
    </row>
    <row r="14" spans="2:14" ht="15" customHeight="1" x14ac:dyDescent="0.25">
      <c r="B14" s="20"/>
      <c r="C14" s="5" t="s">
        <v>241</v>
      </c>
      <c r="D14" s="6" t="s">
        <v>181</v>
      </c>
      <c r="E14" s="11">
        <v>4.5515E-2</v>
      </c>
      <c r="F14" s="1"/>
      <c r="G14" s="1"/>
      <c r="H14" s="1"/>
      <c r="I14" s="1"/>
      <c r="J14" s="1"/>
      <c r="K14" s="1"/>
      <c r="L14" s="1"/>
      <c r="M14" s="1"/>
      <c r="N14" s="18"/>
    </row>
    <row r="15" spans="2:14" ht="15.75" customHeight="1" x14ac:dyDescent="0.25">
      <c r="B15" s="20"/>
      <c r="C15" s="5" t="s">
        <v>246</v>
      </c>
      <c r="D15" s="6" t="s">
        <v>181</v>
      </c>
      <c r="E15" s="11">
        <v>4.5447000000000001E-2</v>
      </c>
      <c r="F15" s="1"/>
      <c r="G15" s="1"/>
      <c r="H15" s="1"/>
      <c r="I15" s="1"/>
      <c r="J15" s="1"/>
      <c r="K15" s="1"/>
      <c r="L15" s="1"/>
      <c r="M15" s="1"/>
      <c r="N15" s="18"/>
    </row>
    <row r="16" spans="2:14" ht="15" customHeight="1" x14ac:dyDescent="0.25">
      <c r="B16" s="20"/>
      <c r="C16" s="5" t="s">
        <v>240</v>
      </c>
      <c r="D16" s="6" t="s">
        <v>181</v>
      </c>
      <c r="E16" s="11">
        <v>4.5351000000000002E-2</v>
      </c>
      <c r="F16" s="1"/>
      <c r="G16" s="1"/>
      <c r="H16" s="1"/>
      <c r="I16" s="1"/>
      <c r="J16" s="1"/>
      <c r="K16" s="1"/>
      <c r="L16" s="1"/>
      <c r="M16" s="1"/>
      <c r="N16" s="18"/>
    </row>
    <row r="17" spans="2:14" ht="15" customHeight="1" x14ac:dyDescent="0.25">
      <c r="B17" s="20"/>
      <c r="C17" s="5" t="s">
        <v>247</v>
      </c>
      <c r="D17" s="6" t="s">
        <v>181</v>
      </c>
      <c r="E17" s="11">
        <v>3.7248999999999997E-2</v>
      </c>
      <c r="F17" s="1"/>
      <c r="G17" s="1"/>
      <c r="H17" s="1"/>
      <c r="I17" s="1"/>
      <c r="J17" s="1"/>
      <c r="K17" s="1"/>
      <c r="L17" s="1"/>
      <c r="M17" s="1"/>
      <c r="N17" s="18"/>
    </row>
    <row r="18" spans="2:14" ht="15" customHeight="1" x14ac:dyDescent="0.25">
      <c r="B18" s="20"/>
      <c r="C18" s="5" t="s">
        <v>252</v>
      </c>
      <c r="D18" s="6" t="s">
        <v>181</v>
      </c>
      <c r="E18" s="11">
        <v>3.6963000000000003E-2</v>
      </c>
      <c r="F18" s="1"/>
      <c r="G18" s="1"/>
      <c r="H18" s="1"/>
      <c r="I18" s="1"/>
      <c r="J18" s="1"/>
      <c r="K18" s="1"/>
      <c r="L18" s="1"/>
      <c r="M18" s="1"/>
      <c r="N18" s="18"/>
    </row>
    <row r="19" spans="2:14" ht="15" customHeight="1" x14ac:dyDescent="0.25">
      <c r="B19" s="20"/>
      <c r="C19" s="5" t="s">
        <v>249</v>
      </c>
      <c r="D19" s="6" t="s">
        <v>181</v>
      </c>
      <c r="E19" s="11">
        <v>3.6722999999999999E-2</v>
      </c>
      <c r="F19" s="1"/>
      <c r="G19" s="1"/>
      <c r="H19" s="1"/>
      <c r="I19" s="1"/>
      <c r="J19" s="1"/>
      <c r="K19" s="1"/>
      <c r="L19" s="1"/>
      <c r="M19" s="1"/>
      <c r="N19" s="18"/>
    </row>
    <row r="20" spans="2:14" ht="15" customHeight="1" x14ac:dyDescent="0.25">
      <c r="B20" s="20"/>
      <c r="C20" s="5" t="s">
        <v>192</v>
      </c>
      <c r="D20" s="6" t="s">
        <v>181</v>
      </c>
      <c r="E20" s="11">
        <v>3.1995000000000003E-2</v>
      </c>
      <c r="F20" s="1"/>
      <c r="G20" s="1"/>
      <c r="H20" s="1"/>
      <c r="I20" s="1"/>
      <c r="J20" s="1"/>
      <c r="K20" s="1"/>
      <c r="L20" s="1"/>
      <c r="M20" s="1"/>
      <c r="N20" s="18"/>
    </row>
    <row r="21" spans="2:14" ht="15" customHeight="1" x14ac:dyDescent="0.25">
      <c r="B21" s="20"/>
      <c r="C21" s="5" t="s">
        <v>250</v>
      </c>
      <c r="D21" s="6" t="s">
        <v>181</v>
      </c>
      <c r="E21" s="11">
        <v>3.1230000000000001E-2</v>
      </c>
      <c r="F21" s="1"/>
      <c r="G21" s="1"/>
      <c r="H21" s="1"/>
      <c r="I21" s="1"/>
      <c r="J21" s="1"/>
      <c r="K21" s="1"/>
      <c r="L21" s="1"/>
      <c r="M21" s="1"/>
      <c r="N21" s="18"/>
    </row>
    <row r="22" spans="2:14" ht="15" customHeight="1" x14ac:dyDescent="0.25">
      <c r="B22" s="20"/>
      <c r="C22" s="5" t="s">
        <v>239</v>
      </c>
      <c r="D22" s="6" t="s">
        <v>181</v>
      </c>
      <c r="E22" s="11">
        <v>2.2615E-2</v>
      </c>
      <c r="F22" s="1"/>
      <c r="G22" s="1"/>
      <c r="H22" s="1"/>
      <c r="I22" s="1"/>
      <c r="J22" s="1"/>
      <c r="K22" s="1"/>
      <c r="L22" s="1"/>
      <c r="M22" s="1"/>
      <c r="N22" s="18"/>
    </row>
    <row r="23" spans="2:14" ht="15" customHeight="1" x14ac:dyDescent="0.25">
      <c r="B23" s="20"/>
      <c r="C23" s="5" t="s">
        <v>254</v>
      </c>
      <c r="D23" s="6" t="s">
        <v>181</v>
      </c>
      <c r="E23" s="11">
        <v>1.8183999999999999E-2</v>
      </c>
      <c r="F23" s="1"/>
      <c r="G23" s="1"/>
      <c r="H23" s="1"/>
      <c r="I23" s="1"/>
      <c r="J23" s="1"/>
      <c r="K23" s="1"/>
      <c r="L23" s="1"/>
      <c r="M23" s="1"/>
      <c r="N23" s="18"/>
    </row>
    <row r="24" spans="2:14" ht="15" customHeight="1" x14ac:dyDescent="0.25">
      <c r="B24" s="20"/>
      <c r="C24" s="5" t="s">
        <v>253</v>
      </c>
      <c r="D24" s="6" t="s">
        <v>181</v>
      </c>
      <c r="E24" s="11">
        <v>9.0900000000000009E-3</v>
      </c>
      <c r="F24" s="1"/>
      <c r="G24" s="83" t="s">
        <v>17</v>
      </c>
      <c r="H24" s="84"/>
      <c r="I24" s="84"/>
      <c r="J24" s="84"/>
      <c r="K24" s="84"/>
      <c r="L24" s="65">
        <v>2.6021244937140127</v>
      </c>
      <c r="M24" s="26"/>
      <c r="N24" s="27"/>
    </row>
    <row r="25" spans="2:14" ht="15" customHeight="1" x14ac:dyDescent="0.25">
      <c r="B25" s="20"/>
      <c r="C25" s="5" t="s">
        <v>255</v>
      </c>
      <c r="D25" s="6" t="s">
        <v>181</v>
      </c>
      <c r="E25" s="11">
        <v>9.0860000000000003E-3</v>
      </c>
      <c r="F25" s="1"/>
      <c r="G25" s="1"/>
      <c r="H25" s="1"/>
      <c r="I25" s="1"/>
      <c r="J25" s="1"/>
      <c r="K25" s="1"/>
      <c r="L25" s="1"/>
      <c r="M25" s="1"/>
      <c r="N25" s="18"/>
    </row>
    <row r="26" spans="2:14" ht="15" customHeight="1" x14ac:dyDescent="0.25">
      <c r="B26" s="20"/>
      <c r="C26" s="5" t="s">
        <v>244</v>
      </c>
      <c r="D26" s="6" t="s">
        <v>181</v>
      </c>
      <c r="E26" s="11">
        <v>5.2890000000000003E-3</v>
      </c>
      <c r="F26" s="1"/>
      <c r="G26" s="83" t="s">
        <v>18</v>
      </c>
      <c r="H26" s="84"/>
      <c r="I26" s="84"/>
      <c r="J26" s="84"/>
      <c r="K26" s="84"/>
      <c r="L26" s="84"/>
      <c r="M26" s="84"/>
      <c r="N26" s="85"/>
    </row>
    <row r="27" spans="2:14" ht="15" customHeight="1" x14ac:dyDescent="0.25">
      <c r="B27" s="20"/>
      <c r="C27" s="5" t="s">
        <v>242</v>
      </c>
      <c r="D27" s="6" t="s">
        <v>181</v>
      </c>
      <c r="E27" s="11">
        <v>4.5059999999999996E-3</v>
      </c>
      <c r="F27" s="1"/>
      <c r="G27" s="1"/>
      <c r="H27" s="1"/>
      <c r="I27" s="1"/>
      <c r="J27" s="1"/>
      <c r="K27" s="1"/>
      <c r="L27" s="1"/>
      <c r="M27" s="1"/>
      <c r="N27" s="18"/>
    </row>
    <row r="28" spans="2:14" ht="15" customHeight="1" x14ac:dyDescent="0.25">
      <c r="B28" s="20"/>
      <c r="C28" s="7" t="s">
        <v>51</v>
      </c>
      <c r="D28" s="8"/>
      <c r="E28" s="12">
        <v>0.82092600000000004</v>
      </c>
      <c r="F28" s="1"/>
      <c r="G28" s="1"/>
      <c r="H28" s="1"/>
      <c r="I28" s="1"/>
      <c r="J28" s="1"/>
      <c r="K28" s="1"/>
      <c r="L28" s="1"/>
      <c r="M28" s="1"/>
      <c r="N28" s="18"/>
    </row>
    <row r="29" spans="2:14" ht="15" customHeight="1" x14ac:dyDescent="0.25">
      <c r="B29" s="20"/>
      <c r="C29" s="5" t="s">
        <v>8</v>
      </c>
      <c r="D29" s="6"/>
      <c r="E29" s="11">
        <v>2.7616000000000002E-2</v>
      </c>
      <c r="F29" s="1"/>
      <c r="G29" s="1"/>
      <c r="H29" s="1"/>
      <c r="I29" s="1"/>
      <c r="J29" s="1"/>
      <c r="K29" s="1"/>
      <c r="L29" s="1"/>
      <c r="M29" s="1"/>
      <c r="N29" s="18"/>
    </row>
    <row r="30" spans="2:14" ht="15" customHeight="1" x14ac:dyDescent="0.25">
      <c r="B30" s="20"/>
      <c r="C30" s="7" t="s">
        <v>9</v>
      </c>
      <c r="D30" s="8"/>
      <c r="E30" s="12">
        <v>2.7616000000000002E-2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10</v>
      </c>
      <c r="D32" s="8"/>
      <c r="E32" s="12">
        <v>1.8703999999999998E-2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11</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sortState ref="C10:E27">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D0D16-E31C-480A-A3AC-C7D4D4DD840C}">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117</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118</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49</v>
      </c>
      <c r="D8" s="6" t="s">
        <v>181</v>
      </c>
      <c r="E8" s="11">
        <v>0.18156900000000001</v>
      </c>
      <c r="F8" s="1"/>
      <c r="G8" s="24" t="s">
        <v>15</v>
      </c>
      <c r="H8" s="25">
        <v>1</v>
      </c>
      <c r="I8" s="1"/>
      <c r="J8" s="24" t="s">
        <v>12</v>
      </c>
      <c r="K8" s="24" t="s">
        <v>5</v>
      </c>
      <c r="L8" s="1"/>
      <c r="M8" s="1"/>
      <c r="N8" s="18"/>
    </row>
    <row r="9" spans="2:14" ht="15.75" customHeight="1" x14ac:dyDescent="0.25">
      <c r="B9" s="20"/>
      <c r="C9" s="7" t="s">
        <v>50</v>
      </c>
      <c r="D9" s="8"/>
      <c r="E9" s="12">
        <v>0.18156900000000001</v>
      </c>
      <c r="F9" s="1"/>
      <c r="G9" s="1"/>
      <c r="H9" s="1"/>
      <c r="I9" s="1"/>
      <c r="J9" s="24" t="s">
        <v>10</v>
      </c>
      <c r="K9" s="28">
        <v>1.7103E-2</v>
      </c>
      <c r="L9" s="1"/>
      <c r="M9" s="1"/>
      <c r="N9" s="18"/>
    </row>
    <row r="10" spans="2:14" ht="15" customHeight="1" x14ac:dyDescent="0.25">
      <c r="B10" s="20"/>
      <c r="C10" s="5" t="s">
        <v>258</v>
      </c>
      <c r="D10" s="6" t="s">
        <v>181</v>
      </c>
      <c r="E10" s="11">
        <v>0.17441200000000001</v>
      </c>
      <c r="F10" s="1"/>
      <c r="G10" s="1"/>
      <c r="H10" s="1"/>
      <c r="I10" s="1"/>
      <c r="J10" s="24" t="s">
        <v>13</v>
      </c>
      <c r="K10" s="28">
        <v>7.8930000000000007E-3</v>
      </c>
      <c r="L10" s="1"/>
      <c r="M10" s="1"/>
      <c r="N10" s="18"/>
    </row>
    <row r="11" spans="2:14" ht="15.75" customHeight="1" x14ac:dyDescent="0.25">
      <c r="B11" s="20"/>
      <c r="C11" s="5" t="s">
        <v>220</v>
      </c>
      <c r="D11" s="6" t="s">
        <v>181</v>
      </c>
      <c r="E11" s="11">
        <v>0.15242700000000001</v>
      </c>
      <c r="F11" s="1"/>
      <c r="G11" s="1"/>
      <c r="H11" s="1"/>
      <c r="I11" s="1"/>
      <c r="J11" s="24" t="s">
        <v>55</v>
      </c>
      <c r="K11" s="28">
        <v>0.18156900000000001</v>
      </c>
      <c r="L11" s="1"/>
      <c r="M11" s="1"/>
      <c r="N11" s="18"/>
    </row>
    <row r="12" spans="2:14" ht="15" customHeight="1" x14ac:dyDescent="0.25">
      <c r="B12" s="20"/>
      <c r="C12" s="5" t="s">
        <v>256</v>
      </c>
      <c r="D12" s="6" t="s">
        <v>181</v>
      </c>
      <c r="E12" s="11">
        <v>0.13180500000000001</v>
      </c>
      <c r="F12" s="1"/>
      <c r="G12" s="1"/>
      <c r="H12" s="1"/>
      <c r="I12" s="1"/>
      <c r="J12" s="24" t="s">
        <v>56</v>
      </c>
      <c r="K12" s="28">
        <v>0.793435</v>
      </c>
      <c r="L12" s="1"/>
      <c r="M12" s="1"/>
      <c r="N12" s="18"/>
    </row>
    <row r="13" spans="2:14" ht="15.75" customHeight="1" x14ac:dyDescent="0.25">
      <c r="B13" s="20"/>
      <c r="C13" s="5" t="s">
        <v>264</v>
      </c>
      <c r="D13" s="6" t="s">
        <v>181</v>
      </c>
      <c r="E13" s="11">
        <v>0.12</v>
      </c>
      <c r="F13" s="1"/>
      <c r="G13" s="1"/>
      <c r="H13" s="1"/>
      <c r="I13" s="1"/>
      <c r="J13" s="1"/>
      <c r="K13" s="1"/>
      <c r="L13" s="1"/>
      <c r="M13" s="1"/>
      <c r="N13" s="18"/>
    </row>
    <row r="14" spans="2:14" ht="15" customHeight="1" x14ac:dyDescent="0.25">
      <c r="B14" s="20"/>
      <c r="C14" s="5" t="s">
        <v>261</v>
      </c>
      <c r="D14" s="6" t="s">
        <v>181</v>
      </c>
      <c r="E14" s="11">
        <v>5.9976000000000002E-2</v>
      </c>
      <c r="F14" s="1"/>
      <c r="G14" s="1"/>
      <c r="H14" s="1"/>
      <c r="I14" s="1"/>
      <c r="J14" s="1"/>
      <c r="K14" s="1"/>
      <c r="L14" s="1"/>
      <c r="M14" s="1"/>
      <c r="N14" s="18"/>
    </row>
    <row r="15" spans="2:14" ht="15.75" customHeight="1" x14ac:dyDescent="0.25">
      <c r="B15" s="20"/>
      <c r="C15" s="5" t="s">
        <v>259</v>
      </c>
      <c r="D15" s="6" t="s">
        <v>181</v>
      </c>
      <c r="E15" s="11">
        <v>5.8055000000000002E-2</v>
      </c>
      <c r="F15" s="1"/>
      <c r="G15" s="1"/>
      <c r="H15" s="1"/>
      <c r="I15" s="1"/>
      <c r="J15" s="1"/>
      <c r="K15" s="1"/>
      <c r="L15" s="1"/>
      <c r="M15" s="1"/>
      <c r="N15" s="18"/>
    </row>
    <row r="16" spans="2:14" ht="15" customHeight="1" x14ac:dyDescent="0.25">
      <c r="B16" s="20"/>
      <c r="C16" s="5" t="s">
        <v>260</v>
      </c>
      <c r="D16" s="6" t="s">
        <v>181</v>
      </c>
      <c r="E16" s="11">
        <v>3.6026000000000002E-2</v>
      </c>
      <c r="F16" s="1"/>
      <c r="G16" s="1"/>
      <c r="H16" s="1"/>
      <c r="I16" s="1"/>
      <c r="J16" s="1"/>
      <c r="K16" s="1"/>
      <c r="L16" s="1"/>
      <c r="M16" s="1"/>
      <c r="N16" s="18"/>
    </row>
    <row r="17" spans="2:14" ht="15" customHeight="1" x14ac:dyDescent="0.25">
      <c r="B17" s="20"/>
      <c r="C17" s="5" t="s">
        <v>263</v>
      </c>
      <c r="D17" s="6" t="s">
        <v>181</v>
      </c>
      <c r="E17" s="11">
        <v>2.9964999999999999E-2</v>
      </c>
      <c r="F17" s="1"/>
      <c r="G17" s="1"/>
      <c r="H17" s="1"/>
      <c r="I17" s="1"/>
      <c r="J17" s="1"/>
      <c r="K17" s="1"/>
      <c r="L17" s="1"/>
      <c r="M17" s="1"/>
      <c r="N17" s="18"/>
    </row>
    <row r="18" spans="2:14" ht="15" customHeight="1" x14ac:dyDescent="0.25">
      <c r="B18" s="20"/>
      <c r="C18" s="5" t="s">
        <v>262</v>
      </c>
      <c r="D18" s="6" t="s">
        <v>181</v>
      </c>
      <c r="E18" s="11">
        <v>2.7120999999999999E-2</v>
      </c>
      <c r="F18" s="1"/>
      <c r="G18" s="1"/>
      <c r="H18" s="1"/>
      <c r="I18" s="1"/>
      <c r="J18" s="1"/>
      <c r="K18" s="1"/>
      <c r="L18" s="1"/>
      <c r="M18" s="1"/>
      <c r="N18" s="18"/>
    </row>
    <row r="19" spans="2:14" ht="15" customHeight="1" x14ac:dyDescent="0.25">
      <c r="B19" s="20"/>
      <c r="C19" s="5" t="s">
        <v>257</v>
      </c>
      <c r="D19" s="6" t="s">
        <v>181</v>
      </c>
      <c r="E19" s="11">
        <v>3.6480000000000002E-3</v>
      </c>
      <c r="F19" s="1"/>
      <c r="G19" s="1"/>
      <c r="H19" s="1"/>
      <c r="I19" s="1"/>
      <c r="J19" s="1"/>
      <c r="K19" s="1"/>
      <c r="L19" s="1"/>
      <c r="M19" s="1"/>
      <c r="N19" s="18"/>
    </row>
    <row r="20" spans="2:14" ht="15" customHeight="1" x14ac:dyDescent="0.25">
      <c r="B20" s="20"/>
      <c r="C20" s="7" t="s">
        <v>51</v>
      </c>
      <c r="D20" s="8"/>
      <c r="E20" s="12">
        <v>0.793435</v>
      </c>
      <c r="F20" s="1"/>
      <c r="G20" s="1"/>
      <c r="H20" s="1"/>
      <c r="I20" s="1"/>
      <c r="J20" s="1"/>
      <c r="K20" s="1"/>
      <c r="L20" s="1"/>
      <c r="M20" s="1"/>
      <c r="N20" s="18"/>
    </row>
    <row r="21" spans="2:14" ht="15" customHeight="1" x14ac:dyDescent="0.25">
      <c r="B21" s="20"/>
      <c r="C21" s="5" t="s">
        <v>8</v>
      </c>
      <c r="D21" s="6"/>
      <c r="E21" s="11">
        <v>7.8930000000000007E-3</v>
      </c>
      <c r="F21" s="1"/>
      <c r="G21" s="1"/>
      <c r="H21" s="1"/>
      <c r="I21" s="1"/>
      <c r="J21" s="1"/>
      <c r="K21" s="1"/>
      <c r="L21" s="1"/>
      <c r="M21" s="1"/>
      <c r="N21" s="18"/>
    </row>
    <row r="22" spans="2:14" ht="15" customHeight="1" x14ac:dyDescent="0.25">
      <c r="B22" s="20"/>
      <c r="C22" s="7" t="s">
        <v>9</v>
      </c>
      <c r="D22" s="8"/>
      <c r="E22" s="12">
        <v>7.8930000000000007E-3</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10</v>
      </c>
      <c r="D24" s="8"/>
      <c r="E24" s="12">
        <v>1.7103E-2</v>
      </c>
      <c r="F24" s="1"/>
      <c r="G24" s="83" t="s">
        <v>17</v>
      </c>
      <c r="H24" s="84"/>
      <c r="I24" s="84"/>
      <c r="J24" s="84"/>
      <c r="K24" s="84"/>
      <c r="L24" s="65">
        <v>3.4802120738234539</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11</v>
      </c>
      <c r="D26" s="10"/>
      <c r="E26" s="13">
        <v>1</v>
      </c>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18C98-763C-4D42-843B-E9DC985C8A1F}">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110</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111</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112</v>
      </c>
      <c r="D8" s="6" t="s">
        <v>181</v>
      </c>
      <c r="E8" s="11">
        <v>8.498E-2</v>
      </c>
      <c r="F8" s="1"/>
      <c r="G8" s="24" t="s">
        <v>15</v>
      </c>
      <c r="H8" s="25">
        <v>1</v>
      </c>
      <c r="I8" s="1"/>
      <c r="J8" s="24" t="s">
        <v>12</v>
      </c>
      <c r="K8" s="24" t="s">
        <v>5</v>
      </c>
      <c r="L8" s="1"/>
      <c r="M8" s="1"/>
      <c r="N8" s="18"/>
    </row>
    <row r="9" spans="2:14" ht="15" customHeight="1" x14ac:dyDescent="0.25">
      <c r="B9" s="20"/>
      <c r="C9" s="5" t="s">
        <v>113</v>
      </c>
      <c r="D9" s="6" t="s">
        <v>181</v>
      </c>
      <c r="E9" s="11">
        <v>1.4083999999999999E-2</v>
      </c>
      <c r="F9" s="1"/>
      <c r="G9" s="1"/>
      <c r="H9" s="1"/>
      <c r="I9" s="1"/>
      <c r="J9" s="24" t="s">
        <v>10</v>
      </c>
      <c r="K9" s="28">
        <v>2.0650000000000002E-2</v>
      </c>
      <c r="L9" s="1"/>
      <c r="M9" s="1"/>
      <c r="N9" s="18"/>
    </row>
    <row r="10" spans="2:14" ht="15.75" customHeight="1" x14ac:dyDescent="0.25">
      <c r="B10" s="20"/>
      <c r="C10" s="7" t="s">
        <v>50</v>
      </c>
      <c r="D10" s="8"/>
      <c r="E10" s="12">
        <v>9.9063999999999999E-2</v>
      </c>
      <c r="F10" s="1"/>
      <c r="G10" s="1"/>
      <c r="H10" s="1"/>
      <c r="I10" s="1"/>
      <c r="J10" s="24" t="s">
        <v>13</v>
      </c>
      <c r="K10" s="28">
        <v>1.0088E-2</v>
      </c>
      <c r="L10" s="1"/>
      <c r="M10" s="1"/>
      <c r="N10" s="18"/>
    </row>
    <row r="11" spans="2:14" ht="15" customHeight="1" x14ac:dyDescent="0.25">
      <c r="B11" s="20"/>
      <c r="C11" s="5" t="s">
        <v>286</v>
      </c>
      <c r="D11" s="6" t="s">
        <v>181</v>
      </c>
      <c r="E11" s="11">
        <v>0.150862</v>
      </c>
      <c r="F11" s="1"/>
      <c r="G11" s="1"/>
      <c r="H11" s="1"/>
      <c r="I11" s="1"/>
      <c r="J11" s="24" t="s">
        <v>55</v>
      </c>
      <c r="K11" s="28">
        <v>9.9063999999999999E-2</v>
      </c>
      <c r="L11" s="1"/>
      <c r="M11" s="1"/>
      <c r="N11" s="18"/>
    </row>
    <row r="12" spans="2:14" ht="15.75" customHeight="1" x14ac:dyDescent="0.25">
      <c r="B12" s="20"/>
      <c r="C12" s="5" t="s">
        <v>287</v>
      </c>
      <c r="D12" s="6" t="s">
        <v>181</v>
      </c>
      <c r="E12" s="11">
        <v>0.150532</v>
      </c>
      <c r="F12" s="1"/>
      <c r="G12" s="1"/>
      <c r="H12" s="1"/>
      <c r="I12" s="1"/>
      <c r="J12" s="24" t="s">
        <v>56</v>
      </c>
      <c r="K12" s="28">
        <v>0.87019800000000003</v>
      </c>
      <c r="L12" s="1"/>
      <c r="M12" s="1"/>
      <c r="N12" s="18"/>
    </row>
    <row r="13" spans="2:14" ht="15" customHeight="1" x14ac:dyDescent="0.25">
      <c r="B13" s="20"/>
      <c r="C13" s="5" t="s">
        <v>284</v>
      </c>
      <c r="D13" s="6" t="s">
        <v>181</v>
      </c>
      <c r="E13" s="11">
        <v>0.126559</v>
      </c>
      <c r="F13" s="1"/>
      <c r="G13" s="1"/>
      <c r="H13" s="1"/>
      <c r="I13" s="1"/>
      <c r="J13" s="1"/>
      <c r="K13" s="1"/>
      <c r="L13" s="1"/>
      <c r="M13" s="1"/>
      <c r="N13" s="18"/>
    </row>
    <row r="14" spans="2:14" ht="15.75" customHeight="1" x14ac:dyDescent="0.25">
      <c r="B14" s="20"/>
      <c r="C14" s="5" t="s">
        <v>285</v>
      </c>
      <c r="D14" s="6" t="s">
        <v>181</v>
      </c>
      <c r="E14" s="11">
        <v>8.4422999999999998E-2</v>
      </c>
      <c r="F14" s="1"/>
      <c r="G14" s="1"/>
      <c r="H14" s="1"/>
      <c r="I14" s="1"/>
      <c r="J14" s="1"/>
      <c r="K14" s="1"/>
      <c r="L14" s="1"/>
      <c r="M14" s="1"/>
      <c r="N14" s="18"/>
    </row>
    <row r="15" spans="2:14" ht="15" customHeight="1" x14ac:dyDescent="0.25">
      <c r="B15" s="20"/>
      <c r="C15" s="5" t="s">
        <v>275</v>
      </c>
      <c r="D15" s="6" t="s">
        <v>181</v>
      </c>
      <c r="E15" s="11">
        <v>4.4123000000000002E-2</v>
      </c>
      <c r="F15" s="1"/>
      <c r="G15" s="1"/>
      <c r="H15" s="1"/>
      <c r="I15" s="1"/>
      <c r="J15" s="1"/>
      <c r="K15" s="1"/>
      <c r="L15" s="1"/>
      <c r="M15" s="1"/>
      <c r="N15" s="18"/>
    </row>
    <row r="16" spans="2:14" ht="15.75" customHeight="1" x14ac:dyDescent="0.25">
      <c r="B16" s="20"/>
      <c r="C16" s="5" t="s">
        <v>282</v>
      </c>
      <c r="D16" s="6" t="s">
        <v>181</v>
      </c>
      <c r="E16" s="11">
        <v>3.9002000000000002E-2</v>
      </c>
      <c r="F16" s="1"/>
      <c r="G16" s="1"/>
      <c r="H16" s="1"/>
      <c r="I16" s="1"/>
      <c r="J16" s="1"/>
      <c r="K16" s="1"/>
      <c r="L16" s="1"/>
      <c r="M16" s="1"/>
      <c r="N16" s="18"/>
    </row>
    <row r="17" spans="2:14" ht="15" customHeight="1" x14ac:dyDescent="0.25">
      <c r="B17" s="20"/>
      <c r="C17" s="5" t="s">
        <v>277</v>
      </c>
      <c r="D17" s="6" t="s">
        <v>181</v>
      </c>
      <c r="E17" s="11">
        <v>3.4090000000000002E-2</v>
      </c>
      <c r="F17" s="1"/>
      <c r="G17" s="1"/>
      <c r="H17" s="1"/>
      <c r="I17" s="1"/>
      <c r="J17" s="1"/>
      <c r="K17" s="1"/>
      <c r="L17" s="1"/>
      <c r="M17" s="1"/>
      <c r="N17" s="18"/>
    </row>
    <row r="18" spans="2:14" ht="15" customHeight="1" x14ac:dyDescent="0.25">
      <c r="B18" s="20"/>
      <c r="C18" s="5" t="s">
        <v>278</v>
      </c>
      <c r="D18" s="6" t="s">
        <v>181</v>
      </c>
      <c r="E18" s="11">
        <v>3.007E-2</v>
      </c>
      <c r="F18" s="1"/>
      <c r="G18" s="1"/>
      <c r="H18" s="1"/>
      <c r="I18" s="1"/>
      <c r="J18" s="1"/>
      <c r="K18" s="1"/>
      <c r="L18" s="1"/>
      <c r="M18" s="1"/>
      <c r="N18" s="18"/>
    </row>
    <row r="19" spans="2:14" ht="15" customHeight="1" x14ac:dyDescent="0.25">
      <c r="B19" s="20"/>
      <c r="C19" s="5" t="s">
        <v>271</v>
      </c>
      <c r="D19" s="6" t="s">
        <v>181</v>
      </c>
      <c r="E19" s="11">
        <v>2.9013000000000001E-2</v>
      </c>
      <c r="F19" s="1"/>
      <c r="G19" s="1"/>
      <c r="H19" s="1"/>
      <c r="I19" s="1"/>
      <c r="J19" s="1"/>
      <c r="K19" s="1"/>
      <c r="L19" s="1"/>
      <c r="M19" s="1"/>
      <c r="N19" s="18"/>
    </row>
    <row r="20" spans="2:14" ht="15" customHeight="1" x14ac:dyDescent="0.25">
      <c r="B20" s="20"/>
      <c r="C20" s="5" t="s">
        <v>268</v>
      </c>
      <c r="D20" s="6" t="s">
        <v>181</v>
      </c>
      <c r="E20" s="11">
        <v>2.7219E-2</v>
      </c>
      <c r="F20" s="1"/>
      <c r="G20" s="1"/>
      <c r="H20" s="1"/>
      <c r="I20" s="1"/>
      <c r="J20" s="1"/>
      <c r="K20" s="1"/>
      <c r="L20" s="1"/>
      <c r="M20" s="1"/>
      <c r="N20" s="18"/>
    </row>
    <row r="21" spans="2:14" ht="15" customHeight="1" x14ac:dyDescent="0.25">
      <c r="B21" s="20"/>
      <c r="C21" s="5" t="s">
        <v>270</v>
      </c>
      <c r="D21" s="6" t="s">
        <v>181</v>
      </c>
      <c r="E21" s="11">
        <v>2.0405E-2</v>
      </c>
      <c r="F21" s="1"/>
      <c r="G21" s="1"/>
      <c r="H21" s="1"/>
      <c r="I21" s="1"/>
      <c r="J21" s="1"/>
      <c r="K21" s="1"/>
      <c r="L21" s="1"/>
      <c r="M21" s="1"/>
      <c r="N21" s="18"/>
    </row>
    <row r="22" spans="2:14" ht="15" customHeight="1" x14ac:dyDescent="0.25">
      <c r="B22" s="20"/>
      <c r="C22" s="5" t="s">
        <v>273</v>
      </c>
      <c r="D22" s="6" t="s">
        <v>181</v>
      </c>
      <c r="E22" s="11">
        <v>1.6109999999999999E-2</v>
      </c>
      <c r="F22" s="1"/>
      <c r="G22" s="1"/>
      <c r="H22" s="1"/>
      <c r="I22" s="1"/>
      <c r="J22" s="1"/>
      <c r="K22" s="1"/>
      <c r="L22" s="1"/>
      <c r="M22" s="1"/>
      <c r="N22" s="18"/>
    </row>
    <row r="23" spans="2:14" ht="15" customHeight="1" x14ac:dyDescent="0.25">
      <c r="B23" s="20"/>
      <c r="C23" s="5" t="s">
        <v>265</v>
      </c>
      <c r="D23" s="6" t="s">
        <v>181</v>
      </c>
      <c r="E23" s="11">
        <v>1.5247999999999999E-2</v>
      </c>
      <c r="F23" s="1"/>
      <c r="G23" s="1"/>
      <c r="H23" s="1"/>
      <c r="I23" s="1"/>
      <c r="J23" s="1"/>
      <c r="K23" s="1"/>
      <c r="L23" s="1"/>
      <c r="M23" s="1"/>
      <c r="N23" s="18"/>
    </row>
    <row r="24" spans="2:14" ht="15" customHeight="1" x14ac:dyDescent="0.25">
      <c r="B24" s="20"/>
      <c r="C24" s="5" t="s">
        <v>276</v>
      </c>
      <c r="D24" s="6" t="s">
        <v>181</v>
      </c>
      <c r="E24" s="11">
        <v>1.5119E-2</v>
      </c>
      <c r="F24" s="1"/>
      <c r="G24" s="83" t="s">
        <v>17</v>
      </c>
      <c r="H24" s="84"/>
      <c r="I24" s="84"/>
      <c r="J24" s="84"/>
      <c r="K24" s="84"/>
      <c r="L24" s="65">
        <v>7.9644871463446254</v>
      </c>
      <c r="M24" s="26"/>
      <c r="N24" s="27"/>
    </row>
    <row r="25" spans="2:14" ht="15" customHeight="1" x14ac:dyDescent="0.25">
      <c r="B25" s="20"/>
      <c r="C25" s="5" t="s">
        <v>283</v>
      </c>
      <c r="D25" s="6" t="s">
        <v>181</v>
      </c>
      <c r="E25" s="11">
        <v>1.5095000000000001E-2</v>
      </c>
      <c r="F25" s="1"/>
      <c r="G25" s="1"/>
      <c r="H25" s="1"/>
      <c r="I25" s="1"/>
      <c r="J25" s="1"/>
      <c r="K25" s="1"/>
      <c r="L25" s="1"/>
      <c r="M25" s="1"/>
      <c r="N25" s="18"/>
    </row>
    <row r="26" spans="2:14" ht="15" customHeight="1" x14ac:dyDescent="0.25">
      <c r="B26" s="20"/>
      <c r="C26" s="5" t="s">
        <v>274</v>
      </c>
      <c r="D26" s="6" t="s">
        <v>181</v>
      </c>
      <c r="E26" s="11">
        <v>1.4707E-2</v>
      </c>
      <c r="F26" s="1"/>
      <c r="G26" s="83" t="s">
        <v>18</v>
      </c>
      <c r="H26" s="84"/>
      <c r="I26" s="84"/>
      <c r="J26" s="84"/>
      <c r="K26" s="84"/>
      <c r="L26" s="84"/>
      <c r="M26" s="84"/>
      <c r="N26" s="85"/>
    </row>
    <row r="27" spans="2:14" ht="15" customHeight="1" x14ac:dyDescent="0.25">
      <c r="B27" s="20"/>
      <c r="C27" s="5" t="s">
        <v>269</v>
      </c>
      <c r="D27" s="6" t="s">
        <v>181</v>
      </c>
      <c r="E27" s="11">
        <v>1.4558E-2</v>
      </c>
      <c r="F27" s="1"/>
      <c r="G27" s="1"/>
      <c r="H27" s="1"/>
      <c r="I27" s="1"/>
      <c r="J27" s="1"/>
      <c r="K27" s="1"/>
      <c r="L27" s="1"/>
      <c r="M27" s="1"/>
      <c r="N27" s="18"/>
    </row>
    <row r="28" spans="2:14" ht="15" customHeight="1" x14ac:dyDescent="0.25">
      <c r="B28" s="20"/>
      <c r="C28" s="5" t="s">
        <v>267</v>
      </c>
      <c r="D28" s="6" t="s">
        <v>181</v>
      </c>
      <c r="E28" s="11">
        <v>1.4337000000000001E-2</v>
      </c>
      <c r="F28" s="1"/>
      <c r="G28" s="1"/>
      <c r="H28" s="1"/>
      <c r="I28" s="1"/>
      <c r="J28" s="1"/>
      <c r="K28" s="1"/>
      <c r="L28" s="1"/>
      <c r="M28" s="1"/>
      <c r="N28" s="18"/>
    </row>
    <row r="29" spans="2:14" ht="15" customHeight="1" x14ac:dyDescent="0.25">
      <c r="B29" s="20"/>
      <c r="C29" s="5" t="s">
        <v>281</v>
      </c>
      <c r="D29" s="6" t="s">
        <v>181</v>
      </c>
      <c r="E29" s="11">
        <v>8.9680000000000003E-3</v>
      </c>
      <c r="F29" s="1"/>
      <c r="G29" s="1"/>
      <c r="H29" s="1"/>
      <c r="I29" s="1"/>
      <c r="J29" s="1"/>
      <c r="K29" s="1"/>
      <c r="L29" s="1"/>
      <c r="M29" s="1"/>
      <c r="N29" s="18"/>
    </row>
    <row r="30" spans="2:14" ht="15" customHeight="1" x14ac:dyDescent="0.25">
      <c r="B30" s="20"/>
      <c r="C30" s="5" t="s">
        <v>280</v>
      </c>
      <c r="D30" s="6" t="s">
        <v>181</v>
      </c>
      <c r="E30" s="11">
        <v>7.3270000000000002E-3</v>
      </c>
      <c r="F30" s="1"/>
      <c r="G30" s="1"/>
      <c r="H30" s="1"/>
      <c r="I30" s="1"/>
      <c r="J30" s="1"/>
      <c r="K30" s="1"/>
      <c r="L30" s="1"/>
      <c r="M30" s="1"/>
      <c r="N30" s="18"/>
    </row>
    <row r="31" spans="2:14" ht="15" customHeight="1" x14ac:dyDescent="0.25">
      <c r="B31" s="20"/>
      <c r="C31" s="5" t="s">
        <v>279</v>
      </c>
      <c r="D31" s="6" t="s">
        <v>181</v>
      </c>
      <c r="E31" s="11">
        <v>5.7479999999999996E-3</v>
      </c>
      <c r="F31" s="1"/>
      <c r="G31" s="1"/>
      <c r="H31" s="1"/>
      <c r="I31" s="1"/>
      <c r="J31" s="1"/>
      <c r="K31" s="1"/>
      <c r="L31" s="1"/>
      <c r="M31" s="1"/>
      <c r="N31" s="18"/>
    </row>
    <row r="32" spans="2:14" ht="15" customHeight="1" x14ac:dyDescent="0.25">
      <c r="B32" s="20"/>
      <c r="C32" s="5" t="s">
        <v>272</v>
      </c>
      <c r="D32" s="6" t="s">
        <v>181</v>
      </c>
      <c r="E32" s="11">
        <v>4.0930000000000003E-3</v>
      </c>
      <c r="F32" s="1"/>
      <c r="G32" s="1"/>
      <c r="H32" s="1"/>
      <c r="I32" s="1"/>
      <c r="J32" s="1"/>
      <c r="K32" s="1"/>
      <c r="L32" s="1"/>
      <c r="M32" s="1"/>
      <c r="N32" s="18"/>
    </row>
    <row r="33" spans="2:14" ht="15" customHeight="1" x14ac:dyDescent="0.25">
      <c r="B33" s="20"/>
      <c r="C33" s="5" t="s">
        <v>266</v>
      </c>
      <c r="D33" s="6" t="s">
        <v>181</v>
      </c>
      <c r="E33" s="11">
        <v>2.5899999999999999E-3</v>
      </c>
      <c r="F33" s="1"/>
      <c r="G33" s="1"/>
      <c r="H33" s="1"/>
      <c r="I33" s="1"/>
      <c r="J33" s="1"/>
      <c r="K33" s="1"/>
      <c r="L33" s="1"/>
      <c r="M33" s="1"/>
      <c r="N33" s="18"/>
    </row>
    <row r="34" spans="2:14" ht="15" customHeight="1" x14ac:dyDescent="0.25">
      <c r="B34" s="20"/>
      <c r="C34" s="7" t="s">
        <v>51</v>
      </c>
      <c r="D34" s="8"/>
      <c r="E34" s="12">
        <v>0.87019800000000003</v>
      </c>
      <c r="F34" s="1"/>
      <c r="G34" s="1"/>
      <c r="H34" s="1"/>
      <c r="I34" s="1"/>
      <c r="J34" s="1"/>
      <c r="K34" s="1"/>
      <c r="L34" s="1"/>
      <c r="M34" s="1"/>
      <c r="N34" s="18"/>
    </row>
    <row r="35" spans="2:14" ht="15" customHeight="1" x14ac:dyDescent="0.25">
      <c r="B35" s="20"/>
      <c r="C35" s="5" t="s">
        <v>8</v>
      </c>
      <c r="D35" s="6"/>
      <c r="E35" s="11">
        <v>1.0088E-2</v>
      </c>
      <c r="F35" s="1"/>
      <c r="G35" s="1"/>
      <c r="H35" s="1"/>
      <c r="I35" s="1"/>
      <c r="J35" s="1"/>
      <c r="K35" s="1"/>
      <c r="L35" s="1"/>
      <c r="M35" s="1"/>
      <c r="N35" s="18"/>
    </row>
    <row r="36" spans="2:14" ht="15" customHeight="1" x14ac:dyDescent="0.25">
      <c r="B36" s="20"/>
      <c r="C36" s="7" t="s">
        <v>9</v>
      </c>
      <c r="D36" s="8"/>
      <c r="E36" s="12">
        <v>1.0088E-2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10</v>
      </c>
      <c r="D38" s="8"/>
      <c r="E38" s="12">
        <v>2.0650000000000002E-2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11</v>
      </c>
      <c r="D40" s="10"/>
      <c r="E40" s="13">
        <v>1</v>
      </c>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DA2F-F4C6-4FEC-846D-8F6C0736C6F1}">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0</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2</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6</v>
      </c>
      <c r="D8" s="6"/>
      <c r="E8" s="11">
        <v>0.60234500000000002</v>
      </c>
      <c r="F8" s="1"/>
      <c r="G8" s="24" t="s">
        <v>15</v>
      </c>
      <c r="H8" s="25">
        <v>1</v>
      </c>
      <c r="I8" s="1"/>
      <c r="J8" s="24" t="s">
        <v>12</v>
      </c>
      <c r="K8" s="24" t="s">
        <v>5</v>
      </c>
      <c r="L8" s="1"/>
      <c r="M8" s="1"/>
      <c r="N8" s="18"/>
    </row>
    <row r="9" spans="2:14" ht="15" customHeight="1" x14ac:dyDescent="0.25">
      <c r="B9" s="20"/>
      <c r="C9" s="5" t="s">
        <v>288</v>
      </c>
      <c r="D9" s="6"/>
      <c r="E9" s="11">
        <v>0.386133</v>
      </c>
      <c r="F9" s="1"/>
      <c r="G9" s="1"/>
      <c r="H9" s="1"/>
      <c r="I9" s="1"/>
      <c r="J9" s="24" t="s">
        <v>10</v>
      </c>
      <c r="K9" s="28">
        <v>-2.72E-4</v>
      </c>
      <c r="L9" s="1"/>
      <c r="M9" s="1"/>
      <c r="N9" s="18"/>
    </row>
    <row r="10" spans="2:14" ht="15.75" customHeight="1" x14ac:dyDescent="0.25">
      <c r="B10" s="20"/>
      <c r="C10" s="7" t="s">
        <v>7</v>
      </c>
      <c r="D10" s="8"/>
      <c r="E10" s="12">
        <v>0.98847799999999997</v>
      </c>
      <c r="F10" s="1"/>
      <c r="G10" s="1"/>
      <c r="H10" s="1"/>
      <c r="I10" s="1"/>
      <c r="J10" s="24" t="s">
        <v>13</v>
      </c>
      <c r="K10" s="28">
        <v>1.1794000000000001E-2</v>
      </c>
      <c r="L10" s="1"/>
      <c r="M10" s="1"/>
      <c r="N10" s="18"/>
    </row>
    <row r="11" spans="2:14" ht="15" customHeight="1" x14ac:dyDescent="0.25">
      <c r="B11" s="20"/>
      <c r="C11" s="5" t="s">
        <v>8</v>
      </c>
      <c r="D11" s="6"/>
      <c r="E11" s="11">
        <v>1.1794000000000001E-2</v>
      </c>
      <c r="F11" s="1"/>
      <c r="G11" s="1"/>
      <c r="H11" s="1"/>
      <c r="I11" s="1"/>
      <c r="J11" s="24" t="s">
        <v>14</v>
      </c>
      <c r="K11" s="28">
        <v>0.98847799999999997</v>
      </c>
      <c r="L11" s="1"/>
      <c r="M11" s="1"/>
      <c r="N11" s="18"/>
    </row>
    <row r="12" spans="2:14" ht="15.75" customHeight="1" x14ac:dyDescent="0.25">
      <c r="B12" s="20"/>
      <c r="C12" s="7" t="s">
        <v>9</v>
      </c>
      <c r="D12" s="8"/>
      <c r="E12" s="12">
        <v>1.1794000000000001E-2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-2.72E-4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65">
        <v>2.6668976623339535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290</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81A09-786B-479B-B69D-C3CF07C0F659}">
  <sheetPr>
    <tabColor rgb="FFE5E3E3"/>
    <pageSetUpPr fitToPage="1"/>
  </sheetPr>
  <dimension ref="B1:X691"/>
  <sheetViews>
    <sheetView showGridLines="0" zoomScale="75" zoomScaleNormal="75" workbookViewId="0"/>
  </sheetViews>
  <sheetFormatPr defaultRowHeight="15" x14ac:dyDescent="0.2"/>
  <cols>
    <col min="1" max="1" width="2.85546875" style="32" customWidth="1"/>
    <col min="2" max="2" width="3.85546875" style="32" customWidth="1"/>
    <col min="3" max="3" width="60.5703125" style="32" customWidth="1"/>
    <col min="4" max="4" width="15.42578125" style="32" bestFit="1" customWidth="1"/>
    <col min="5" max="5" width="9.140625" style="32"/>
    <col min="6" max="6" width="10.7109375" style="32" customWidth="1"/>
    <col min="7" max="7" width="10.5703125" style="32" bestFit="1" customWidth="1"/>
    <col min="8" max="9" width="9.140625" style="32"/>
    <col min="10" max="11" width="16.42578125" style="32" customWidth="1"/>
    <col min="12" max="18" width="9.140625" style="32"/>
    <col min="19" max="19" width="9.85546875" style="32" customWidth="1"/>
    <col min="20" max="21" width="9.28515625" style="32" bestFit="1" customWidth="1"/>
    <col min="22" max="16384" width="9.140625" style="32"/>
  </cols>
  <sheetData>
    <row r="1" spans="2:24" ht="15.75" thickBot="1" x14ac:dyDescent="0.25"/>
    <row r="2" spans="2:24" x14ac:dyDescent="0.2">
      <c r="B2" s="33"/>
      <c r="C2" s="34"/>
      <c r="D2" s="34"/>
      <c r="E2" s="34"/>
      <c r="F2" s="34"/>
      <c r="G2" s="34"/>
      <c r="H2" s="34"/>
      <c r="I2" s="34"/>
      <c r="J2" s="34"/>
      <c r="K2" s="34"/>
      <c r="L2" s="34"/>
      <c r="M2" s="35"/>
    </row>
    <row r="3" spans="2:24" ht="20.25" customHeight="1" x14ac:dyDescent="0.2">
      <c r="B3" s="36"/>
      <c r="C3" s="86" t="s">
        <v>295</v>
      </c>
      <c r="D3" s="86"/>
      <c r="E3" s="86"/>
      <c r="F3" s="86"/>
      <c r="G3" s="86"/>
      <c r="H3" s="86"/>
      <c r="I3" s="86"/>
      <c r="J3" s="86"/>
      <c r="K3" s="86"/>
      <c r="L3" s="86"/>
      <c r="M3" s="87"/>
    </row>
    <row r="4" spans="2:24" ht="15.75" x14ac:dyDescent="0.25">
      <c r="B4" s="36"/>
      <c r="C4" s="37"/>
      <c r="D4" s="38"/>
      <c r="E4" s="38"/>
      <c r="F4" s="39"/>
      <c r="G4" s="39"/>
      <c r="H4" s="39"/>
      <c r="I4" s="39"/>
      <c r="J4" s="39"/>
      <c r="K4" s="39"/>
      <c r="L4" s="39"/>
      <c r="M4" s="40"/>
    </row>
    <row r="5" spans="2:24" ht="20.25" customHeight="1" x14ac:dyDescent="0.25">
      <c r="B5" s="36"/>
      <c r="C5" s="15" t="s">
        <v>1</v>
      </c>
      <c r="D5" s="41" t="s">
        <v>314</v>
      </c>
      <c r="E5" s="42"/>
      <c r="F5" s="39"/>
      <c r="G5" s="39"/>
      <c r="H5" s="39"/>
      <c r="I5" s="39"/>
      <c r="J5" s="39"/>
      <c r="K5" s="39"/>
      <c r="L5" s="39"/>
      <c r="M5" s="40"/>
    </row>
    <row r="6" spans="2:24" x14ac:dyDescent="0.2">
      <c r="B6" s="36"/>
      <c r="C6" s="39"/>
      <c r="D6" s="39"/>
      <c r="E6" s="39"/>
      <c r="F6" s="39"/>
      <c r="G6" s="39"/>
      <c r="H6" s="39"/>
      <c r="I6" s="39"/>
      <c r="J6" s="39"/>
      <c r="K6" s="39"/>
      <c r="L6" s="39"/>
      <c r="M6" s="40"/>
    </row>
    <row r="7" spans="2:24" ht="15.75" x14ac:dyDescent="0.2">
      <c r="B7" s="36"/>
      <c r="C7" s="43" t="s">
        <v>3</v>
      </c>
      <c r="D7" s="44" t="s">
        <v>5</v>
      </c>
      <c r="E7" s="39"/>
      <c r="F7" s="88" t="s">
        <v>18</v>
      </c>
      <c r="G7" s="88"/>
      <c r="H7" s="88"/>
      <c r="I7" s="88"/>
      <c r="J7" s="88"/>
      <c r="K7" s="88"/>
      <c r="L7" s="88"/>
      <c r="M7" s="89"/>
    </row>
    <row r="8" spans="2:24" x14ac:dyDescent="0.2">
      <c r="B8" s="36"/>
      <c r="C8" s="45" t="s">
        <v>296</v>
      </c>
      <c r="D8" s="46">
        <v>0.99157700000000004</v>
      </c>
      <c r="E8" s="39"/>
      <c r="F8" s="39"/>
      <c r="G8" s="47"/>
      <c r="H8" s="39"/>
      <c r="I8" s="39" t="s">
        <v>297</v>
      </c>
      <c r="J8" s="48">
        <f>D9</f>
        <v>0.99157700000000004</v>
      </c>
      <c r="K8" s="39"/>
      <c r="L8" s="39"/>
      <c r="M8" s="40"/>
      <c r="S8" s="49"/>
      <c r="W8" s="32" t="s">
        <v>298</v>
      </c>
      <c r="X8" s="32">
        <v>0.25058799999999998</v>
      </c>
    </row>
    <row r="9" spans="2:24" ht="15.75" x14ac:dyDescent="0.25">
      <c r="B9" s="36"/>
      <c r="C9" s="50" t="s">
        <v>297</v>
      </c>
      <c r="D9" s="51">
        <v>0.99157700000000004</v>
      </c>
      <c r="E9" s="39"/>
      <c r="F9" s="39"/>
      <c r="G9" s="39"/>
      <c r="H9" s="39"/>
      <c r="I9" s="39" t="s">
        <v>10</v>
      </c>
      <c r="J9" s="48">
        <f>D13</f>
        <v>-9.7380000000000001E-3</v>
      </c>
      <c r="K9" s="39"/>
      <c r="L9" s="39"/>
      <c r="M9" s="40"/>
      <c r="S9" s="49"/>
      <c r="W9" s="32" t="s">
        <v>299</v>
      </c>
      <c r="X9" s="32">
        <v>6.1296999999999997E-2</v>
      </c>
    </row>
    <row r="10" spans="2:24" x14ac:dyDescent="0.2">
      <c r="B10" s="36"/>
      <c r="C10" s="52" t="s">
        <v>8</v>
      </c>
      <c r="D10" s="53">
        <v>1.8161E-2</v>
      </c>
      <c r="E10" s="39"/>
      <c r="F10" s="39"/>
      <c r="G10" s="39"/>
      <c r="I10" s="32" t="s">
        <v>9</v>
      </c>
      <c r="J10" s="48">
        <f>D11</f>
        <v>1.8161E-2</v>
      </c>
      <c r="K10" s="39"/>
      <c r="L10" s="39"/>
      <c r="M10" s="40"/>
      <c r="S10" s="49"/>
      <c r="W10" s="32" t="s">
        <v>300</v>
      </c>
      <c r="X10" s="32">
        <v>3.0130999999999998E-2</v>
      </c>
    </row>
    <row r="11" spans="2:24" ht="15.75" x14ac:dyDescent="0.2">
      <c r="B11" s="36"/>
      <c r="C11" s="54" t="s">
        <v>9</v>
      </c>
      <c r="D11" s="55">
        <v>1.8161E-2</v>
      </c>
      <c r="E11" s="39"/>
      <c r="F11" s="39"/>
      <c r="G11" s="39"/>
      <c r="J11" s="39"/>
      <c r="K11" s="39"/>
      <c r="L11" s="39"/>
      <c r="M11" s="40"/>
      <c r="S11" s="49"/>
      <c r="W11" s="32" t="s">
        <v>301</v>
      </c>
      <c r="X11" s="32">
        <v>2.7299E-2</v>
      </c>
    </row>
    <row r="12" spans="2:24" x14ac:dyDescent="0.2">
      <c r="B12" s="36"/>
      <c r="C12" s="52"/>
      <c r="D12" s="56"/>
      <c r="E12" s="39"/>
      <c r="F12" s="39"/>
      <c r="G12" s="39"/>
      <c r="J12" s="39"/>
      <c r="K12" s="39"/>
      <c r="L12" s="39"/>
      <c r="M12" s="40"/>
      <c r="S12" s="49"/>
      <c r="W12" s="32" t="s">
        <v>302</v>
      </c>
      <c r="X12" s="32">
        <v>2.5925E-2</v>
      </c>
    </row>
    <row r="13" spans="2:24" ht="15.75" x14ac:dyDescent="0.2">
      <c r="B13" s="36"/>
      <c r="C13" s="54" t="s">
        <v>10</v>
      </c>
      <c r="D13" s="55">
        <v>-9.7380000000000001E-3</v>
      </c>
      <c r="E13" s="39"/>
      <c r="F13" s="39"/>
      <c r="G13" s="39"/>
      <c r="J13" s="39"/>
      <c r="K13" s="39"/>
      <c r="L13" s="39"/>
      <c r="M13" s="40"/>
      <c r="S13" s="49"/>
      <c r="W13" s="32" t="s">
        <v>303</v>
      </c>
      <c r="X13" s="32">
        <v>2.3822000000000003E-2</v>
      </c>
    </row>
    <row r="14" spans="2:24" x14ac:dyDescent="0.2">
      <c r="B14" s="36"/>
      <c r="C14" s="52"/>
      <c r="D14" s="56"/>
      <c r="E14" s="39"/>
      <c r="F14" s="39"/>
      <c r="G14" s="39"/>
      <c r="H14" s="39"/>
      <c r="I14" s="39"/>
      <c r="J14" s="39"/>
      <c r="K14" s="39"/>
      <c r="L14" s="39"/>
      <c r="M14" s="40"/>
      <c r="S14" s="49"/>
      <c r="W14" s="32" t="s">
        <v>304</v>
      </c>
      <c r="X14" s="32">
        <v>2.3753E-2</v>
      </c>
    </row>
    <row r="15" spans="2:24" ht="15.75" x14ac:dyDescent="0.2">
      <c r="B15" s="36"/>
      <c r="C15" s="57" t="s">
        <v>11</v>
      </c>
      <c r="D15" s="58">
        <f>D13+D11+D9</f>
        <v>1</v>
      </c>
      <c r="E15" s="39"/>
      <c r="F15" s="39"/>
      <c r="G15" s="39"/>
      <c r="H15" s="39"/>
      <c r="I15" s="39"/>
      <c r="J15" s="39"/>
      <c r="K15" s="39"/>
      <c r="L15" s="39"/>
      <c r="M15" s="40"/>
      <c r="S15" s="49"/>
      <c r="W15" s="32" t="s">
        <v>305</v>
      </c>
      <c r="X15" s="32">
        <v>1.8620999999999999E-2</v>
      </c>
    </row>
    <row r="16" spans="2:24" x14ac:dyDescent="0.2">
      <c r="B16" s="36"/>
      <c r="E16" s="39"/>
      <c r="F16" s="39"/>
      <c r="G16" s="39"/>
      <c r="H16" s="39"/>
      <c r="I16" s="39"/>
      <c r="J16" s="39"/>
      <c r="K16" s="39"/>
      <c r="L16" s="39"/>
      <c r="M16" s="40"/>
      <c r="S16" s="49"/>
      <c r="W16" s="32" t="s">
        <v>306</v>
      </c>
      <c r="X16" s="32">
        <v>1.7219000000000002E-2</v>
      </c>
    </row>
    <row r="17" spans="2:24" ht="15.75" x14ac:dyDescent="0.25">
      <c r="B17" s="36"/>
      <c r="C17" s="59"/>
      <c r="D17" s="60"/>
      <c r="E17" s="39"/>
      <c r="F17" s="39"/>
      <c r="G17" s="39"/>
      <c r="H17" s="39"/>
      <c r="I17" s="39"/>
      <c r="J17" s="39"/>
      <c r="K17" s="39"/>
      <c r="L17" s="39"/>
      <c r="M17" s="40"/>
      <c r="S17" s="49"/>
      <c r="W17" s="32" t="s">
        <v>307</v>
      </c>
      <c r="X17" s="32">
        <v>1.6056000000000001E-2</v>
      </c>
    </row>
    <row r="18" spans="2:24" x14ac:dyDescent="0.2">
      <c r="B18" s="36"/>
      <c r="C18" s="61"/>
      <c r="D18" s="61"/>
      <c r="E18" s="39"/>
      <c r="F18" s="39"/>
      <c r="G18" s="39"/>
      <c r="H18" s="39"/>
      <c r="I18" s="39"/>
      <c r="J18" s="39"/>
      <c r="K18" s="39"/>
      <c r="L18" s="39"/>
      <c r="M18" s="40"/>
      <c r="S18" s="49"/>
      <c r="W18" s="32" t="s">
        <v>308</v>
      </c>
      <c r="X18" s="32">
        <v>1.41E-2</v>
      </c>
    </row>
    <row r="19" spans="2:24" ht="15.75" x14ac:dyDescent="0.25">
      <c r="B19" s="36"/>
      <c r="C19" s="59"/>
      <c r="D19" s="62"/>
      <c r="E19" s="39"/>
      <c r="F19" s="39"/>
      <c r="G19" s="39"/>
      <c r="H19" s="39"/>
      <c r="I19" s="39"/>
      <c r="J19" s="39"/>
      <c r="K19" s="39"/>
      <c r="L19" s="39"/>
      <c r="M19" s="40"/>
      <c r="S19" s="49"/>
      <c r="W19" s="32" t="s">
        <v>309</v>
      </c>
      <c r="X19" s="32">
        <v>1.1167E-2</v>
      </c>
    </row>
    <row r="20" spans="2:24" x14ac:dyDescent="0.2">
      <c r="B20" s="36"/>
      <c r="E20" s="39"/>
      <c r="F20" s="39"/>
      <c r="G20" s="39"/>
      <c r="H20" s="39"/>
      <c r="I20" s="39"/>
      <c r="J20" s="39"/>
      <c r="K20" s="39"/>
      <c r="L20" s="39"/>
      <c r="M20" s="40"/>
      <c r="S20" s="49"/>
      <c r="W20" s="32" t="s">
        <v>310</v>
      </c>
      <c r="X20" s="32">
        <v>1.1159000000000001E-2</v>
      </c>
    </row>
    <row r="21" spans="2:24" x14ac:dyDescent="0.2">
      <c r="B21" s="36"/>
      <c r="E21" s="39"/>
      <c r="F21" s="39"/>
      <c r="G21" s="39"/>
      <c r="H21" s="39"/>
      <c r="I21" s="39"/>
      <c r="J21" s="39"/>
      <c r="K21" s="39"/>
      <c r="L21" s="39"/>
      <c r="M21" s="40"/>
      <c r="S21" s="49"/>
      <c r="W21" s="32" t="s">
        <v>311</v>
      </c>
      <c r="X21" s="32">
        <v>1.0543E-2</v>
      </c>
    </row>
    <row r="22" spans="2:24" ht="16.5" thickBot="1" x14ac:dyDescent="0.3">
      <c r="B22" s="63"/>
      <c r="C22" s="90"/>
      <c r="D22" s="90"/>
      <c r="E22" s="90"/>
      <c r="F22" s="90"/>
      <c r="G22" s="90"/>
      <c r="H22" s="90"/>
      <c r="I22" s="90"/>
      <c r="J22" s="90"/>
      <c r="K22" s="90"/>
      <c r="L22" s="90"/>
      <c r="M22" s="91"/>
      <c r="S22" s="49"/>
    </row>
    <row r="23" spans="2:24" ht="15.75" thickBot="1" x14ac:dyDescent="0.25">
      <c r="S23" s="49"/>
    </row>
    <row r="24" spans="2:24" ht="15" customHeight="1" x14ac:dyDescent="0.2">
      <c r="B24" s="92" t="s">
        <v>312</v>
      </c>
      <c r="C24" s="93"/>
      <c r="D24" s="93"/>
      <c r="E24" s="93"/>
      <c r="F24" s="93"/>
      <c r="G24" s="93"/>
      <c r="H24" s="93"/>
      <c r="I24" s="93"/>
      <c r="J24" s="93"/>
      <c r="K24" s="93"/>
      <c r="L24" s="93"/>
      <c r="M24" s="93"/>
      <c r="N24" s="94"/>
      <c r="S24" s="49"/>
    </row>
    <row r="25" spans="2:24" ht="15.75" customHeight="1" x14ac:dyDescent="0.2">
      <c r="B25" s="95"/>
      <c r="C25" s="96"/>
      <c r="D25" s="96"/>
      <c r="E25" s="96"/>
      <c r="F25" s="96"/>
      <c r="G25" s="96"/>
      <c r="H25" s="96"/>
      <c r="I25" s="96"/>
      <c r="J25" s="96"/>
      <c r="K25" s="96"/>
      <c r="L25" s="96"/>
      <c r="M25" s="96"/>
      <c r="N25" s="97"/>
      <c r="S25" s="49"/>
    </row>
    <row r="26" spans="2:24" ht="15.75" customHeight="1" x14ac:dyDescent="0.2">
      <c r="B26" s="95"/>
      <c r="C26" s="96"/>
      <c r="D26" s="96"/>
      <c r="E26" s="96"/>
      <c r="F26" s="96"/>
      <c r="G26" s="96"/>
      <c r="H26" s="96"/>
      <c r="I26" s="96"/>
      <c r="J26" s="96"/>
      <c r="K26" s="96"/>
      <c r="L26" s="96"/>
      <c r="M26" s="96"/>
      <c r="N26" s="97"/>
      <c r="S26" s="49"/>
    </row>
    <row r="27" spans="2:24" ht="15.75" customHeight="1" x14ac:dyDescent="0.2">
      <c r="B27" s="95"/>
      <c r="C27" s="96"/>
      <c r="D27" s="96"/>
      <c r="E27" s="96"/>
      <c r="F27" s="96"/>
      <c r="G27" s="96"/>
      <c r="H27" s="96"/>
      <c r="I27" s="96"/>
      <c r="J27" s="96"/>
      <c r="K27" s="96"/>
      <c r="L27" s="96"/>
      <c r="M27" s="96"/>
      <c r="N27" s="97"/>
      <c r="S27" s="49"/>
    </row>
    <row r="28" spans="2:24" ht="15.75" customHeight="1" x14ac:dyDescent="0.2">
      <c r="B28" s="95"/>
      <c r="C28" s="96"/>
      <c r="D28" s="96"/>
      <c r="E28" s="96"/>
      <c r="F28" s="96"/>
      <c r="G28" s="96"/>
      <c r="H28" s="96"/>
      <c r="I28" s="96"/>
      <c r="J28" s="96"/>
      <c r="K28" s="96"/>
      <c r="L28" s="96"/>
      <c r="M28" s="96"/>
      <c r="N28" s="97"/>
      <c r="S28" s="49"/>
    </row>
    <row r="29" spans="2:24" ht="15.75" customHeight="1" x14ac:dyDescent="0.2">
      <c r="B29" s="95"/>
      <c r="C29" s="96"/>
      <c r="D29" s="96"/>
      <c r="E29" s="96"/>
      <c r="F29" s="96"/>
      <c r="G29" s="96"/>
      <c r="H29" s="96"/>
      <c r="I29" s="96"/>
      <c r="J29" s="96"/>
      <c r="K29" s="96"/>
      <c r="L29" s="96"/>
      <c r="M29" s="96"/>
      <c r="N29" s="97"/>
      <c r="S29" s="49"/>
    </row>
    <row r="30" spans="2:24" ht="28.5" customHeight="1" thickBot="1" x14ac:dyDescent="0.25">
      <c r="B30" s="98"/>
      <c r="C30" s="99"/>
      <c r="D30" s="99"/>
      <c r="E30" s="99"/>
      <c r="F30" s="99"/>
      <c r="G30" s="99"/>
      <c r="H30" s="99"/>
      <c r="I30" s="99"/>
      <c r="J30" s="99"/>
      <c r="K30" s="99"/>
      <c r="L30" s="99"/>
      <c r="M30" s="99"/>
      <c r="N30" s="100"/>
      <c r="S30" s="49"/>
    </row>
    <row r="31" spans="2:24" ht="15.75" thickBot="1" x14ac:dyDescent="0.25">
      <c r="S31" s="49"/>
    </row>
    <row r="32" spans="2:24" x14ac:dyDescent="0.2">
      <c r="B32" s="92" t="s">
        <v>313</v>
      </c>
      <c r="C32" s="93"/>
      <c r="D32" s="93"/>
      <c r="E32" s="93"/>
      <c r="F32" s="93"/>
      <c r="G32" s="93"/>
      <c r="H32" s="93"/>
      <c r="I32" s="93"/>
      <c r="J32" s="93"/>
      <c r="K32" s="93"/>
      <c r="L32" s="93"/>
      <c r="M32" s="93"/>
      <c r="N32" s="94"/>
      <c r="S32" s="49"/>
    </row>
    <row r="33" spans="2:19" x14ac:dyDescent="0.2">
      <c r="B33" s="95"/>
      <c r="C33" s="96"/>
      <c r="D33" s="96"/>
      <c r="E33" s="96"/>
      <c r="F33" s="96"/>
      <c r="G33" s="96"/>
      <c r="H33" s="96"/>
      <c r="I33" s="96"/>
      <c r="J33" s="96"/>
      <c r="K33" s="96"/>
      <c r="L33" s="96"/>
      <c r="M33" s="96"/>
      <c r="N33" s="97"/>
      <c r="S33" s="49"/>
    </row>
    <row r="34" spans="2:19" x14ac:dyDescent="0.2">
      <c r="B34" s="95"/>
      <c r="C34" s="96"/>
      <c r="D34" s="96"/>
      <c r="E34" s="96"/>
      <c r="F34" s="96"/>
      <c r="G34" s="96"/>
      <c r="H34" s="96"/>
      <c r="I34" s="96"/>
      <c r="J34" s="96"/>
      <c r="K34" s="96"/>
      <c r="L34" s="96"/>
      <c r="M34" s="96"/>
      <c r="N34" s="97"/>
      <c r="S34" s="49"/>
    </row>
    <row r="35" spans="2:19" x14ac:dyDescent="0.2">
      <c r="B35" s="95"/>
      <c r="C35" s="96"/>
      <c r="D35" s="96"/>
      <c r="E35" s="96"/>
      <c r="F35" s="96"/>
      <c r="G35" s="96"/>
      <c r="H35" s="96"/>
      <c r="I35" s="96"/>
      <c r="J35" s="96"/>
      <c r="K35" s="96"/>
      <c r="L35" s="96"/>
      <c r="M35" s="96"/>
      <c r="N35" s="97"/>
      <c r="S35" s="49"/>
    </row>
    <row r="36" spans="2:19" x14ac:dyDescent="0.2">
      <c r="B36" s="95"/>
      <c r="C36" s="96"/>
      <c r="D36" s="96"/>
      <c r="E36" s="96"/>
      <c r="F36" s="96"/>
      <c r="G36" s="96"/>
      <c r="H36" s="96"/>
      <c r="I36" s="96"/>
      <c r="J36" s="96"/>
      <c r="K36" s="96"/>
      <c r="L36" s="96"/>
      <c r="M36" s="96"/>
      <c r="N36" s="97"/>
      <c r="S36" s="49"/>
    </row>
    <row r="37" spans="2:19" x14ac:dyDescent="0.2">
      <c r="B37" s="95"/>
      <c r="C37" s="96"/>
      <c r="D37" s="96"/>
      <c r="E37" s="96"/>
      <c r="F37" s="96"/>
      <c r="G37" s="96"/>
      <c r="H37" s="96"/>
      <c r="I37" s="96"/>
      <c r="J37" s="96"/>
      <c r="K37" s="96"/>
      <c r="L37" s="96"/>
      <c r="M37" s="96"/>
      <c r="N37" s="97"/>
      <c r="S37" s="49"/>
    </row>
    <row r="38" spans="2:19" ht="15.75" thickBot="1" x14ac:dyDescent="0.25">
      <c r="B38" s="98"/>
      <c r="C38" s="99"/>
      <c r="D38" s="99"/>
      <c r="E38" s="99"/>
      <c r="F38" s="99"/>
      <c r="G38" s="99"/>
      <c r="H38" s="99"/>
      <c r="I38" s="99"/>
      <c r="J38" s="99"/>
      <c r="K38" s="99"/>
      <c r="L38" s="99"/>
      <c r="M38" s="99"/>
      <c r="N38" s="100"/>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2024-02-01T04:09:37Z</dcterms:created>
  <dcterms:modified xsi:type="dcterms:W3CDTF">2024-02-02T12:03:26Z</dcterms:modified>
</cp:coreProperties>
</file>