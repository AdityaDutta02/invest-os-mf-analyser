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Y:\Product_Team\MONTH END DELIVERABLES-1\Portfolios_All\2024\Mar 2024\"/>
    </mc:Choice>
  </mc:AlternateContent>
  <xr:revisionPtr revIDLastSave="0" documentId="13_ncr:1_{D5AD33BF-D275-4F74-A5E0-6F3A4F79F13F}" xr6:coauthVersionLast="36" xr6:coauthVersionMax="36" xr10:uidLastSave="{00000000-0000-0000-0000-000000000000}"/>
  <bookViews>
    <workbookView xWindow="0" yWindow="0" windowWidth="20490" windowHeight="7545" xr2:uid="{6A02A7AA-E757-4E05-8479-49D99C78E23A}"/>
  </bookViews>
  <sheets>
    <sheet name="BANDHAN OF" sheetId="22" r:id="rId1"/>
    <sheet name="BANDHAN CF" sheetId="20" r:id="rId2"/>
    <sheet name="BANDHAN MMF" sheetId="24" r:id="rId3"/>
    <sheet name="BANDHAN LDF" sheetId="21" r:id="rId4"/>
    <sheet name="BANDHAN USTF" sheetId="23"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5"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<sst xmlns="http://schemas.openxmlformats.org/spreadsheetml/2006/main" count="1362" uniqueCount="301">
  <si>
    <t>Bandhan All Seasons Bond Fund (29 February, 2024 )</t>
  </si>
  <si>
    <t>Net Assets as on 29 February, 2024</t>
  </si>
  <si>
    <t>119.97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</si>
  <si>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</si>
  <si>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</si>
  <si>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</si>
  <si>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</si>
  <si>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</si>
  <si>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</si>
  <si>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</si>
  <si>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</si>
  <si>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</si>
  <si>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</si>
  <si>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</si>
  <si>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</si>
  <si>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</si>
  <si>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</si>
  <si>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</si>
  <si>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</si>
  <si>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(29 February, 2024 )</t>
  </si>
  <si>
    <t>14375.16 crs</t>
  </si>
  <si>
    <t>State Bank of India</t>
  </si>
  <si>
    <t xml:space="preserve"> A1+</t>
  </si>
  <si>
    <t>Kotak Mahindra Bank Limited</t>
  </si>
  <si>
    <t>ICICI Bank Limited</t>
  </si>
  <si>
    <t>Export Import Bank of India</t>
  </si>
  <si>
    <t>Axis Bank Limited</t>
  </si>
  <si>
    <t>Certificate of Deposit Total</t>
  </si>
  <si>
    <t>Commercial Paper Total</t>
  </si>
  <si>
    <t>HDFC Bank Limited</t>
  </si>
  <si>
    <t xml:space="preserve"> AAA</t>
  </si>
  <si>
    <t>Indian Railway Finance Corporation Limited</t>
  </si>
  <si>
    <t>National Bank For Agriculture and Rural Development</t>
  </si>
  <si>
    <t>Power Finance Corporation Limited</t>
  </si>
  <si>
    <t>Bajaj Housing Finance Limited</t>
  </si>
  <si>
    <t>Small Industries Dev Bank of India</t>
  </si>
  <si>
    <t>REC Limited</t>
  </si>
  <si>
    <t>Hindustan Petroleum Corporation Limited</t>
  </si>
  <si>
    <t>NTPC Limited</t>
  </si>
  <si>
    <t>Indian Oil Corporation Limited</t>
  </si>
  <si>
    <t>Nuclear Power Corporation Of India Limited</t>
  </si>
  <si>
    <t>National Housing Bank</t>
  </si>
  <si>
    <t>NHPC Limited</t>
  </si>
  <si>
    <t>Power Grid Corporation of India Limited</t>
  </si>
  <si>
    <t>Reliance Jio Infocomm Limited</t>
  </si>
  <si>
    <t>Corporate Bond Total</t>
  </si>
  <si>
    <t>Corporate Debt Market Development Fund</t>
  </si>
  <si>
    <t>Corporate Debt Market Development Fund Total</t>
  </si>
  <si>
    <t>7.38% GOI (MD 20/06/2027)</t>
  </si>
  <si>
    <t>Government Bond Total</t>
  </si>
  <si>
    <t>State Government Bond Total</t>
  </si>
  <si>
    <t>Certificate of Deposit</t>
  </si>
  <si>
    <t>Corporate Bond</t>
  </si>
  <si>
    <t>Commercial Paper</t>
  </si>
  <si>
    <t>Government Bond</t>
  </si>
  <si>
    <t>State Government Bond</t>
  </si>
  <si>
    <t>Bandhan Bond Fund - Income Plan (29 February, 2024 )</t>
  </si>
  <si>
    <t>491.15 crs</t>
  </si>
  <si>
    <t>7.18% GOI (MD 24/07/2037)</t>
  </si>
  <si>
    <t>7.3% GOI (MD 19/06/2053)</t>
  </si>
  <si>
    <t>7.26% GOI (MD 06/02/2033)</t>
  </si>
  <si>
    <t>7.06% GOI (MD 10/04/2028)</t>
  </si>
  <si>
    <t>6.79% GOI (MD 15/05/2027)</t>
  </si>
  <si>
    <t>7.73% GOI (MD 19/12/2034)</t>
  </si>
  <si>
    <t>Bandhan Bond Fund - Medium Term Plan (29 February, 2024 )</t>
  </si>
  <si>
    <t>1657.06 crs</t>
  </si>
  <si>
    <t>7.1% GOI (MD 18/04/2029)</t>
  </si>
  <si>
    <t>7.17% GOI (MD 17/04/2030)</t>
  </si>
  <si>
    <t>8.24% GOI (MD 15/02/2027)</t>
  </si>
  <si>
    <t xml:space="preserve"> AAA(SO)</t>
  </si>
  <si>
    <t>PTC Total</t>
  </si>
  <si>
    <t>PTC</t>
  </si>
  <si>
    <t>Bandhan Bond Fund - Short Term Plan (29 February, 2024 )</t>
  </si>
  <si>
    <t>8536.99 crs</t>
  </si>
  <si>
    <t>Canara Bank</t>
  </si>
  <si>
    <t>Bajaj Finance Limited</t>
  </si>
  <si>
    <t>Sundaram Finance Limited</t>
  </si>
  <si>
    <t>Kotak Mahindra Prime Limited</t>
  </si>
  <si>
    <t>5.63% GOI (MD 12/04/2026)</t>
  </si>
  <si>
    <t>Bandhan Corporate Bond Fund (29 February, 2024 )</t>
  </si>
  <si>
    <t>13744.12 crs</t>
  </si>
  <si>
    <t>Bank of Baroda</t>
  </si>
  <si>
    <t>Grasim Industries Limited</t>
  </si>
  <si>
    <t>Larsen &amp; Toubro Limited</t>
  </si>
  <si>
    <t>Tata Capital Limited</t>
  </si>
  <si>
    <t>UltraTech Cement Limited</t>
  </si>
  <si>
    <t>364 Days Tbill (MD 14/03/2024)</t>
  </si>
  <si>
    <t>364 Days Tbill (MD 07/03/2024)</t>
  </si>
  <si>
    <t>364 Days Tbill (MD 22/03/2024)</t>
  </si>
  <si>
    <t>Treasury Bill Total</t>
  </si>
  <si>
    <t>Treasury Bill</t>
  </si>
  <si>
    <t>Bandhan Credit Risk Fund (29 February, 2024 )</t>
  </si>
  <si>
    <t>366.63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</si>
  <si>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</si>
  <si>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</si>
  <si>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</si>
  <si>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</si>
  <si>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</si>
  <si>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</si>
  <si>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</si>
  <si>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</si>
  <si>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Nirma Limited</t>
  </si>
  <si>
    <t>Aadhar Housing Finance Limited</t>
  </si>
  <si>
    <t>Tata Power Company Limited</t>
  </si>
  <si>
    <t>Godrej Housing Finance Limited</t>
  </si>
  <si>
    <t>7.18% GOI (MD 14/08/2033)</t>
  </si>
  <si>
    <t>AA</t>
  </si>
  <si>
    <t>AA+</t>
  </si>
  <si>
    <t>Bandhan CRISIL IBX 90:10 SDL+Gilt Apr32 Index Fund (29 February, 2024 )</t>
  </si>
  <si>
    <t>348.77 crs</t>
  </si>
  <si>
    <t>6.54% GOI (MD 17/01/2032)</t>
  </si>
  <si>
    <t>6.1% GOI (MD 12/07/2031)</t>
  </si>
  <si>
    <t>Bandhan CRISIL IBX 90:10 SDL+Gilt Nov26 Index Fund (29 February, 2024 )</t>
  </si>
  <si>
    <t>113.35 crs</t>
  </si>
  <si>
    <t>5.74% GOI (MD 15/11/2026)</t>
  </si>
  <si>
    <t>Bandhan CRISIL IBX 90:10 SDL+Gilt Sep27 Index Fund (29 February, 2024 )</t>
  </si>
  <si>
    <t>166.91 crs</t>
  </si>
  <si>
    <t>Bandhan CRISIL IBX Gilt April 2026 Index Fund (29 February, 2024 )</t>
  </si>
  <si>
    <t>478.31 crs</t>
  </si>
  <si>
    <t>6.99% GOI (MD 17/04/2026)</t>
  </si>
  <si>
    <t>7.59% GOI(MD 11/01/2026)</t>
  </si>
  <si>
    <t>5.15% GOI (MD 09/11/2025)</t>
  </si>
  <si>
    <t>7.27% GOI (MD 08/04/2026)</t>
  </si>
  <si>
    <t>Bandhan CRISIL IBX Gilt April 2028 Index Fund (29 February, 2024 )</t>
  </si>
  <si>
    <t>4904.06 crs</t>
  </si>
  <si>
    <t>7.17% GOI (MD 08/01/2028)</t>
  </si>
  <si>
    <t>8.28% GOI (M/D 21/09/2027)</t>
  </si>
  <si>
    <t>Bandhan CRISIL IBX GILT APRIL 2032 INDEX FUND (29 February, 2024 )</t>
  </si>
  <si>
    <t>347.56 crs</t>
  </si>
  <si>
    <t>Average Maturity in Days</t>
  </si>
  <si>
    <t>Bandhan CRISIL IBX Gilt June 2027 Index Fund (29 February, 2024 )</t>
  </si>
  <si>
    <t>8316.98 crs</t>
  </si>
  <si>
    <t>Bandhan Dynamic Bond Fund (29 February, 2024 )</t>
  </si>
  <si>
    <t>2258.65 crs</t>
  </si>
  <si>
    <t>8.20% GOI (MD 24/09/2025)</t>
  </si>
  <si>
    <t>Bandhan Floating Rate Fund (29 February, 2024 )</t>
  </si>
  <si>
    <t>216.14 crs</t>
  </si>
  <si>
    <t>IndusInd Bank Limited</t>
  </si>
  <si>
    <t>Bandhan Government Sec Fund-Constant Maturity Plan (29 February, 2024 )</t>
  </si>
  <si>
    <t>340.60 crs</t>
  </si>
  <si>
    <t>7.26% GOI (MD 22/08/2032)</t>
  </si>
  <si>
    <t>Bandhan Government Securities Fund-Investment Plan (29 February, 2024 )</t>
  </si>
  <si>
    <t>1543.05 crs</t>
  </si>
  <si>
    <t>Bandhan Liquid Fund (29 February, 2024 )</t>
  </si>
  <si>
    <t>Union Bank of India</t>
  </si>
  <si>
    <t>Punjab National Bank</t>
  </si>
  <si>
    <t>Reliance Retail Ventures Limited</t>
  </si>
  <si>
    <t>Kotak Securities Limited</t>
  </si>
  <si>
    <t>HDFC Securities Limited</t>
  </si>
  <si>
    <t>Godrej Consumer Products Limited</t>
  </si>
  <si>
    <t>ICICI Securities Limited</t>
  </si>
  <si>
    <t>Mahindra &amp; Mahindra Financial Services Limited</t>
  </si>
  <si>
    <t>91 Days Tbill (MD 14/03/2024)</t>
  </si>
  <si>
    <t>91 Days Tbill (MD 09/05/2024)</t>
  </si>
  <si>
    <t>91 Days Tbill (MD 07/03/2024)</t>
  </si>
  <si>
    <t>91 Days Tbill (MD 23/05/2024)</t>
  </si>
  <si>
    <t>Bandhan Low Duration Fund (29 February, 2024 )</t>
  </si>
  <si>
    <t>5283.81 crs</t>
  </si>
  <si>
    <t>Tata Capital Housing Finance Limited</t>
  </si>
  <si>
    <t>182 Days Tbill (MD 08/08/2024)</t>
  </si>
  <si>
    <t>182 Days Tbill (MD 22/08/2024)</t>
  </si>
  <si>
    <t>182 Days Tbill (MD 15/08/2024)</t>
  </si>
  <si>
    <t>Zero Coupon Bond Total</t>
  </si>
  <si>
    <t>Zero Coupon Bond</t>
  </si>
  <si>
    <t>Bandhan Overnight Fund (29 February, 2024 )</t>
  </si>
  <si>
    <t>1833.81 crs</t>
  </si>
  <si>
    <t>Bandhan Ultra Short Term Fund (29 February, 2024 )</t>
  </si>
  <si>
    <t>3957.85 crs</t>
  </si>
  <si>
    <t>Cholamandalam Investment and Finance Company Ltd</t>
  </si>
  <si>
    <t>Reliance Industries Limited</t>
  </si>
  <si>
    <t>364 Days Tbill (MD 13/06/2024)</t>
  </si>
  <si>
    <t>16934.43 crs</t>
  </si>
  <si>
    <t xml:space="preserve"> </t>
  </si>
  <si>
    <t xml:space="preserve">SOV </t>
  </si>
  <si>
    <t>7.68% Chattisgarh SDL (MD 20/03/2024)</t>
  </si>
  <si>
    <t>8.27% Haryana SDL (MD 13/05/2025)</t>
  </si>
  <si>
    <t>7.41% Uttar Pradesh SDL (MD 09/11/2026)</t>
  </si>
  <si>
    <t>8.25% Maharastra SDL  ( MD 13/05/2025)</t>
  </si>
  <si>
    <t>8.2% Gujarat SDL (MD 24/06/2025)</t>
  </si>
  <si>
    <t>8.37% Tamil Nadu SDL (MD 05/12/2028)</t>
  </si>
  <si>
    <t>8.26% Maharashtra SDL (MD 12/08/2025)</t>
  </si>
  <si>
    <t>7.96% Gujarat SDL (14/10/2025)</t>
  </si>
  <si>
    <t>8.27% Tamilnadu SDL (MD 13/01/2026)</t>
  </si>
  <si>
    <t>8.27% Gujarat SDL (MD 13/01/2026)</t>
  </si>
  <si>
    <t>8.36% Maharashtra SDL (MD 27/01/2026)</t>
  </si>
  <si>
    <t>8.53% Tamil Nadu SDL (MD 09/03/2026)</t>
  </si>
  <si>
    <t>8.3% Madhya Pradesh SDL (MD  13/01/2026)</t>
  </si>
  <si>
    <t>7.99% Karnatak SDL (MD 28/10/2025)</t>
  </si>
  <si>
    <t>7.18% Tamilnadu SDL (MD 26/07/2027)</t>
  </si>
  <si>
    <t>8.03% Gujarat SDL (MD 16/04/2025)</t>
  </si>
  <si>
    <t>8.27% Haryana SDL (MD 09/12/2025)</t>
  </si>
  <si>
    <t>8.27% Haryana SDL (MD 23/12/2025)</t>
  </si>
  <si>
    <t>6.18% Gujarat SDL (MD 25/01/2026)</t>
  </si>
  <si>
    <t>9.71% Haryana SDL (MD 12/03/2024)</t>
  </si>
  <si>
    <t>9.47% Tamilnadu SDL (MD 26/03/2024)</t>
  </si>
  <si>
    <t>9.45% Rahasthan SDL (MD 26/03/2024)</t>
  </si>
  <si>
    <t>9.47% Haryana SDL (MD 26/03/2024)</t>
  </si>
  <si>
    <t>9.11% Maharashtra SDL (MD 28/05/2024)</t>
  </si>
  <si>
    <t>8.96% Maharashtra SDL  (MD 09/07/2024)</t>
  </si>
  <si>
    <t>8.83% Tamilnadu SDL (MD 11/06/2024)</t>
  </si>
  <si>
    <t>8.83% Maharashtra SDL (MD 11/06/2024)</t>
  </si>
  <si>
    <t>9.48% Andhra Pradesh SDL (MD 26/03/2024)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</si>
  <si>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</si>
  <si>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</si>
  <si>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</si>
  <si>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</si>
  <si>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</si>
  <si>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</si>
  <si>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</si>
  <si>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</si>
  <si>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</si>
  <si>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</si>
  <si>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</si>
  <si>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</si>
  <si>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</si>
  <si>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</si>
  <si>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</si>
  <si>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</si>
  <si>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</si>
  <si>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</si>
  <si>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</si>
  <si>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</si>
  <si>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</si>
  <si>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</si>
  <si>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</si>
  <si>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</si>
  <si>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</si>
  <si>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</si>
  <si>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</si>
  <si>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</si>
  <si>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</si>
  <si>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</si>
  <si>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</si>
  <si>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</si>
  <si>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</si>
  <si>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</si>
  <si>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</si>
  <si>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</si>
  <si>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</si>
  <si>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</si>
  <si>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</si>
  <si>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</si>
  <si>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</si>
  <si>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</si>
  <si>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</si>
  <si>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</si>
  <si>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</si>
  <si>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</si>
  <si>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</si>
  <si>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</si>
  <si>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</si>
  <si>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</si>
  <si>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</si>
  <si>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</si>
  <si>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</si>
  <si>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</si>
  <si>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</si>
  <si>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</si>
  <si>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</si>
  <si>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First Business Receivables Trust^</t>
  </si>
  <si>
    <t>^PTC originated by Reliance Industries Limited</t>
  </si>
  <si>
    <t>Bandhan Money Manager Fund (29 February, 2024 )</t>
  </si>
  <si>
    <t>4327.50 crs</t>
  </si>
  <si>
    <t>The Federal Bank Limited</t>
  </si>
  <si>
    <t>L&amp;T Finance Holdings Limited</t>
  </si>
  <si>
    <t>Kotak Mahindra Investments Limited</t>
  </si>
  <si>
    <t>Panatone Finvest Limited</t>
  </si>
  <si>
    <t>7.35% GOI (MD 22/06/2024)</t>
  </si>
  <si>
    <t>364 Days Tbill (MD 23/01/2025)</t>
  </si>
  <si>
    <t>364 Days Tbill (MD 26/12/2024)</t>
  </si>
  <si>
    <t>6.80% GOI (MD15/12/2060)-Strips (C)-(MD15/06/2024)</t>
  </si>
  <si>
    <t>8.83% GOI (MD12/12/2041)-Strips (C)-(MD12/06/2024)</t>
  </si>
  <si>
    <t>8.07% Gujrat SDL (MD 11/02/2025)</t>
  </si>
  <si>
    <t>8.72% Tamil Nadu SDL (MD 29/10/2024)</t>
  </si>
  <si>
    <t>8.24% Maharashtra SDL (MD 24/12/2024)</t>
  </si>
  <si>
    <t>5.41% Andhra Pradesh SDL (MD 12/08/2024)</t>
  </si>
  <si>
    <t>5.46% Tamilnadu SDL (MD 03/06/2024)</t>
  </si>
  <si>
    <t>8.09% Andhra Pradesh SDL (MD 28/01/2025)</t>
  </si>
  <si>
    <t>5.8% Maharashtra SDL (MD 02/02/2025)</t>
  </si>
  <si>
    <t>8.05% Gujarat SDL (MD 28/01/2025)</t>
  </si>
  <si>
    <t>8.43% Maharashtra SDL (MD 12/11/2024)</t>
  </si>
  <si>
    <t>BANDHAN US TREASURY BOND 0-1 YEAR FUND OF FUND</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</si>
  <si>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</si>
  <si>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</si>
  <si>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</si>
  <si>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</si>
  <si>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</si>
  <si>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</si>
  <si>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</si>
  <si>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</si>
  <si>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</si>
  <si>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</si>
  <si>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</si>
  <si>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</si>
  <si>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</si>
  <si>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</si>
  <si>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</si>
  <si>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</si>
  <si>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</si>
  <si>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</si>
  <si>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161.04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</si>
</sst>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4">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115">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0" fillId="0" borderId="0" xfId="0"/>
    <xf numFmtId="0" fontId="0" fillId="0" borderId="0" xfId="0" applyBorder="1"/>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3" fillId="2" borderId="0" xfId="0" applyFont="1" applyFill="1" applyBorder="1" applyAlignment="1">
      <alignment horizontal="left" vertical="center"/>
    </xf>
    <xf numFmtId="0" fontId="0" fillId="0" borderId="12" xfId="0" applyBorder="1"/>
    <xf numFmtId="0" fontId="0" fillId="0" borderId="14" xfId="0" applyBorder="1"/>
    <xf numFmtId="0" fontId="7" fillId="0" borderId="0" xfId="0" applyFont="1" applyBorder="1"/>
    <xf numFmtId="10" fontId="7" fillId="0" borderId="0" xfId="0" applyNumberFormat="1" applyFont="1" applyBorder="1"/>
    <xf numFmtId="0" fontId="9" fillId="0" borderId="0" xfId="0" applyFont="1"/>
    <xf numFmtId="0" fontId="9" fillId="0" borderId="18" xfId="0" applyFont="1" applyBorder="1"/>
    <xf numFmtId="0" fontId="9" fillId="0" borderId="19" xfId="0" applyFont="1" applyBorder="1"/>
    <xf numFmtId="0" fontId="9" fillId="0" borderId="20" xfId="0" applyFont="1" applyBorder="1"/>
    <xf numFmtId="0" fontId="9" fillId="0" borderId="21" xfId="0" applyFont="1" applyBorder="1"/>
    <xf numFmtId="0" fontId="11" fillId="0" borderId="0" xfId="0" applyFont="1" applyBorder="1" applyAlignment="1">
      <alignment horizontal="left"/>
    </xf>
    <xf numFmtId="0" fontId="12" fillId="0" borderId="0" xfId="0" applyFont="1" applyBorder="1"/>
    <xf numFmtId="0" fontId="9" fillId="0" borderId="0" xfId="0" applyFont="1" applyBorder="1"/>
    <xf numFmtId="0" fontId="9" fillId="0" borderId="22" xfId="0" applyFont="1" applyBorder="1"/>
    <xf numFmtId="0" fontId="10" fillId="3" borderId="0" xfId="0" applyFont="1" applyFill="1" applyBorder="1" applyAlignment="1">
      <alignment vertical="center"/>
    </xf>
    <xf numFmtId="0" fontId="12" fillId="0" borderId="0" xfId="0" applyFont="1"/>
    <xf numFmtId="0" fontId="11" fillId="3" borderId="29" xfId="0" applyFont="1" applyFill="1" applyBorder="1" applyAlignment="1">
      <alignment horizontal="center" vertical="center" wrapText="1"/>
    </xf>
    <xf numFmtId="0" fontId="11" fillId="3" borderId="30" xfId="0" applyFont="1" applyFill="1" applyBorder="1" applyAlignment="1">
      <alignment horizontal="center" vertical="center" wrapText="1"/>
    </xf>
    <xf numFmtId="0" fontId="9" fillId="0" borderId="31" xfId="0" applyFont="1" applyBorder="1" applyAlignment="1">
      <alignment horizontal="left" vertical="center" wrapText="1"/>
    </xf>
    <xf numFmtId="166" fontId="9" fillId="0" borderId="32" xfId="1" applyNumberFormat="1" applyFont="1" applyBorder="1" applyAlignment="1">
      <alignment horizontal="right"/>
    </xf>
    <xf numFmtId="10" fontId="9" fillId="0" borderId="0" xfId="0" applyNumberFormat="1" applyFont="1" applyBorder="1"/>
    <xf numFmtId="10" fontId="9" fillId="0" borderId="0" xfId="1" applyNumberFormat="1" applyFont="1" applyBorder="1"/>
    <xf numFmtId="14" fontId="9" fillId="0" borderId="0" xfId="0" applyNumberFormat="1" applyFont="1"/>
    <xf numFmtId="0" fontId="11" fillId="3" borderId="31" xfId="0" applyFont="1" applyFill="1" applyBorder="1" applyAlignment="1">
      <alignment horizontal="left"/>
    </xf>
    <xf numFmtId="166" fontId="11" fillId="3" borderId="32" xfId="0" applyNumberFormat="1" applyFont="1" applyFill="1" applyBorder="1" applyAlignment="1">
      <alignment horizontal="right"/>
    </xf>
    <xf numFmtId="0" fontId="9" fillId="0" borderId="8" xfId="0" applyFont="1" applyBorder="1" applyAlignment="1">
      <alignment vertical="center"/>
    </xf>
    <xf numFmtId="166" fontId="9" fillId="0" borderId="32" xfId="0" applyNumberFormat="1" applyFont="1" applyBorder="1" applyAlignment="1">
      <alignment vertical="center"/>
    </xf>
    <xf numFmtId="0" fontId="11" fillId="2" borderId="8" xfId="0" applyFont="1" applyFill="1" applyBorder="1" applyAlignment="1">
      <alignment horizontal="left" vertical="center"/>
    </xf>
    <xf numFmtId="166" fontId="11" fillId="2" borderId="32" xfId="0" applyNumberFormat="1" applyFont="1" applyFill="1" applyBorder="1" applyAlignment="1">
      <alignment horizontal="right" vertical="center"/>
    </xf>
    <xf numFmtId="164" fontId="9" fillId="0" borderId="32" xfId="0" applyNumberFormat="1" applyFont="1" applyBorder="1" applyAlignment="1">
      <alignment vertical="center"/>
    </xf>
    <xf numFmtId="0" fontId="11" fillId="2" borderId="9" xfId="0" applyFont="1" applyFill="1" applyBorder="1" applyAlignment="1">
      <alignment horizontal="left" vertical="center"/>
    </xf>
    <xf numFmtId="164" fontId="11" fillId="2" borderId="33" xfId="0" applyNumberFormat="1" applyFont="1" applyFill="1" applyBorder="1" applyAlignment="1">
      <alignment horizontal="right" vertical="center"/>
    </xf>
    <xf numFmtId="0" fontId="11" fillId="0" borderId="0" xfId="0" applyFont="1" applyFill="1" applyBorder="1" applyAlignment="1">
      <alignment horizontal="left"/>
    </xf>
    <xf numFmtId="167" fontId="11" fillId="0" borderId="0" xfId="0" applyNumberFormat="1" applyFont="1" applyFill="1" applyBorder="1" applyAlignment="1">
      <alignment horizontal="right"/>
    </xf>
    <xf numFmtId="0" fontId="9" fillId="0" borderId="0" xfId="0" applyFont="1" applyFill="1" applyBorder="1"/>
    <xf numFmtId="10" fontId="11" fillId="0" borderId="0" xfId="1" applyNumberFormat="1" applyFont="1" applyFill="1" applyBorder="1" applyAlignment="1">
      <alignment horizontal="right"/>
    </xf>
    <xf numFmtId="0" fontId="9" fillId="0" borderId="23" xfId="0" applyFont="1" applyBorder="1"/>
    <xf numFmtId="1" fontId="5" fillId="2" borderId="0" xfId="0" applyNumberFormat="1" applyFont="1" applyFill="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0" fillId="3" borderId="0"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3" fillId="3" borderId="0" xfId="0" applyFont="1" applyFill="1" applyBorder="1" applyAlignment="1">
      <alignment vertical="center" wrapText="1"/>
    </xf>
    <xf numFmtId="0" fontId="13" fillId="3" borderId="22" xfId="0" applyFont="1" applyFill="1" applyBorder="1" applyAlignment="1">
      <alignment vertical="center" wrapText="1"/>
    </xf>
    <xf numFmtId="0" fontId="11" fillId="0" borderId="24" xfId="0" applyFont="1" applyBorder="1" applyAlignment="1"/>
    <xf numFmtId="0" fontId="11" fillId="0" borderId="25" xfId="0" applyFont="1" applyBorder="1" applyAlignment="1"/>
    <xf numFmtId="0" fontId="12" fillId="0" borderId="18"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0" xfId="0" applyFont="1" applyBorder="1" applyAlignment="1">
      <alignment horizontal="left" vertical="top" wrapText="1"/>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64-410C-816C-399E8C7508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D164-410C-816C-399E8C7508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layout>
                <c:manualLayout>
                  <c:x val="0.17291136252508052"/>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80-4132-A8E4-ABDF88F50041}"/>
                </c:ext>
              </c:extLst>
            </c:dLbl>
            <c:dLbl>
              <c:idx val="1"/>
              <c:layout>
                <c:manualLayout>
                  <c:x val="0.19614156367499014"/>
                  <c:y val="-4.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180-4132-A8E4-ABDF88F50041}"/>
                </c:ext>
              </c:extLst>
            </c:dLbl>
            <c:dLbl>
              <c:idx val="2"/>
              <c:layout>
                <c:manualLayout>
                  <c:x val="5.5076042421892124E-2"/>
                  <c:y val="-5.60335958005249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180-4132-A8E4-ABDF88F500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OF'!$J$9:$J$11</c:f>
              <c:strCache>
                <c:ptCount val="3"/>
                <c:pt idx="0">
                  <c:v>Net Current Asset</c:v>
                </c:pt>
                <c:pt idx="1">
                  <c:v>TRI Party Repo</c:v>
                </c:pt>
                <c:pt idx="2">
                  <c:v>Treasury Bill</c:v>
                </c:pt>
              </c:strCache>
            </c:strRef>
          </c:cat>
          <c:val>
            <c:numRef>
              <c:f>'BANDHAN OF'!$K$9:$K$11</c:f>
              <c:numCache>
                <c:formatCode>0.00%</c:formatCode>
                <c:ptCount val="3"/>
                <c:pt idx="0">
                  <c:v>1.76E-4</c:v>
                </c:pt>
                <c:pt idx="1">
                  <c:v>0.96174499999999996</c:v>
                </c:pt>
                <c:pt idx="2">
                  <c:v>3.8079000000000002E-2</c:v>
                </c:pt>
              </c:numCache>
            </c:numRef>
          </c:val>
          <c:extLst>
            <c:ext xmlns:c16="http://schemas.microsoft.com/office/drawing/2014/chart" uri="{C3380CC4-5D6E-409C-BE32-E72D297353CC}">
              <c16:uniqueId val="{0000000C-5180-4132-A8E4-ABDF88F500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78-4044-AB16-0D4F972ADEC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C378-4044-AB16-0D4F972ADEC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layout>
                <c:manualLayout>
                  <c:x val="0.12151949957004839"/>
                  <c:y val="-6.891531767729472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B9-4E4E-B5FB-CE37C698EBE7}"/>
                </c:ext>
              </c:extLst>
            </c:dLbl>
            <c:dLbl>
              <c:idx val="1"/>
              <c:layout>
                <c:manualLayout>
                  <c:x val="7.1454585307457394E-2"/>
                  <c:y val="-0.101374201171184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2B9-4E4E-B5FB-CE37C698EBE7}"/>
                </c:ext>
              </c:extLst>
            </c:dLbl>
            <c:dLbl>
              <c:idx val="2"/>
              <c:layout>
                <c:manualLayout>
                  <c:x val="-7.3450235208821602E-2"/>
                  <c:y val="0.214132866469456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2B9-4E4E-B5FB-CE37C698EBE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2B9-4E4E-B5FB-CE37C698EBE7}"/>
                </c:ext>
              </c:extLst>
            </c:dLbl>
            <c:dLbl>
              <c:idx val="4"/>
              <c:layout>
                <c:manualLayout>
                  <c:x val="1.3460941846937228E-2"/>
                  <c:y val="0.208773016187872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2B9-4E4E-B5FB-CE37C698EBE7}"/>
                </c:ext>
              </c:extLst>
            </c:dLbl>
            <c:dLbl>
              <c:idx val="5"/>
              <c:layout>
                <c:manualLayout>
                  <c:x val="-3.7063683420728723E-2"/>
                  <c:y val="-4.60470371105035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2B9-4E4E-B5FB-CE37C698EBE7}"/>
                </c:ext>
              </c:extLst>
            </c:dLbl>
            <c:dLbl>
              <c:idx val="6"/>
              <c:layout>
                <c:manualLayout>
                  <c:x val="0.12215110691463353"/>
                  <c:y val="-0.182871040353252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2B9-4E4E-B5FB-CE37C698EBE7}"/>
                </c:ext>
              </c:extLst>
            </c:dLbl>
            <c:dLbl>
              <c:idx val="7"/>
              <c:layout>
                <c:manualLayout>
                  <c:x val="0.13139548803722875"/>
                  <c:y val="-4.45919396986658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2B9-4E4E-B5FB-CE37C698EB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CF'!$K$9:$K$16</c:f>
              <c:numCache>
                <c:formatCode>0.00%</c:formatCode>
                <c:ptCount val="8"/>
                <c:pt idx="0">
                  <c:v>5.5099999999999995E-4</c:v>
                </c:pt>
                <c:pt idx="1">
                  <c:v>0.16708100000000001</c:v>
                </c:pt>
                <c:pt idx="2">
                  <c:v>0.30665300000000001</c:v>
                </c:pt>
                <c:pt idx="3">
                  <c:v>9.1439999999999994E-3</c:v>
                </c:pt>
                <c:pt idx="4">
                  <c:v>0.36571300000000001</c:v>
                </c:pt>
                <c:pt idx="5">
                  <c:v>1.673E-3</c:v>
                </c:pt>
                <c:pt idx="6">
                  <c:v>2.954E-3</c:v>
                </c:pt>
                <c:pt idx="7">
                  <c:v>0.146231</c:v>
                </c:pt>
              </c:numCache>
            </c:numRef>
          </c:val>
          <c:extLst>
            <c:ext xmlns:c16="http://schemas.microsoft.com/office/drawing/2014/chart" uri="{C3380CC4-5D6E-409C-BE32-E72D297353CC}">
              <c16:uniqueId val="{0000000C-62B9-4E4E-B5FB-CE37C698EB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588321371333007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57A-4126-8ABC-648293C891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1-A57A-4126-8ABC-648293C891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28237560909811327"/>
                  <c:y val="-9.5742879468310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719-4538-8370-0D98572A5AC3}"/>
                </c:ext>
              </c:extLst>
            </c:dLbl>
            <c:dLbl>
              <c:idx val="1"/>
              <c:layout>
                <c:manualLayout>
                  <c:x val="0.11157901836146276"/>
                  <c:y val="-1.70745069080105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A719-4538-8370-0D98572A5AC3}"/>
                </c:ext>
              </c:extLst>
            </c:dLbl>
            <c:dLbl>
              <c:idx val="2"/>
              <c:layout>
                <c:manualLayout>
                  <c:x val="-0.10182282621524558"/>
                  <c:y val="0.267537244867292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2-A719-4538-8370-0D98572A5AC3}"/>
                </c:ext>
              </c:extLst>
            </c:dLbl>
            <c:dLbl>
              <c:idx val="3"/>
              <c:layout>
                <c:manualLayout>
                  <c:x val="0.17352518167563102"/>
                  <c:y val="0.287849629483337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3-A719-4538-8370-0D98572A5AC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4-A719-4538-8370-0D98572A5AC3}"/>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5-A719-4538-8370-0D98572A5AC3}"/>
                </c:ext>
              </c:extLst>
            </c:dLbl>
            <c:dLbl>
              <c:idx val="6"/>
              <c:layout>
                <c:manualLayout>
                  <c:x val="1.1161880996138865E-3"/>
                  <c:y val="-0.21018899355137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6-A719-4538-8370-0D98572A5AC3}"/>
                </c:ext>
              </c:extLst>
            </c:dLbl>
            <c:dLbl>
              <c:idx val="7"/>
              <c:layout>
                <c:manualLayout>
                  <c:x val="5.9435836045119629E-2"/>
                  <c:y val="-8.11780970126825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7-A719-4538-8370-0D98572A5AC3}"/>
                </c:ext>
              </c:extLst>
            </c:dLbl>
            <c:dLbl>
              <c:idx val="8"/>
              <c:layout>
                <c:manualLayout>
                  <c:x val="0.17338607968436492"/>
                  <c:y val="-4.66698151280708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8-A719-4538-8370-0D98572A5A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MMF'!$J$9:$J$17</c:f>
              <c:strCache>
                <c:ptCount val="9"/>
                <c:pt idx="0">
                  <c:v>Net Current Asset</c:v>
                </c:pt>
                <c:pt idx="1">
                  <c:v>TRI Party Repo</c:v>
                </c:pt>
                <c:pt idx="2">
                  <c:v>Certificate of Deposit</c:v>
                </c:pt>
                <c:pt idx="3">
                  <c:v>Commercial Paper</c:v>
                </c:pt>
                <c:pt idx="4">
                  <c:v>Corporate Debt Market Development Fund</c:v>
                </c:pt>
                <c:pt idx="5">
                  <c:v>Government Bond</c:v>
                </c:pt>
                <c:pt idx="7">
                  <c:v>State Government Bond</c:v>
                </c:pt>
                <c:pt idx="8">
                  <c:v>Treasury Bill</c:v>
                </c:pt>
              </c:strCache>
            </c:strRef>
          </c:cat>
          <c:val>
            <c:numRef>
              <c:f>'BANDHAN MMF'!$K$9:$K$17</c:f>
              <c:numCache>
                <c:formatCode>0.00%</c:formatCode>
                <c:ptCount val="9"/>
                <c:pt idx="0">
                  <c:v>2.3904000000000002E-2</c:v>
                </c:pt>
                <c:pt idx="1">
                  <c:v>9.7210000000000005E-3</c:v>
                </c:pt>
                <c:pt idx="2">
                  <c:v>0.57094699999999998</c:v>
                </c:pt>
                <c:pt idx="3">
                  <c:v>0.21378900000000001</c:v>
                </c:pt>
                <c:pt idx="4">
                  <c:v>1.8829999999999999E-3</c:v>
                </c:pt>
                <c:pt idx="5">
                  <c:v>2.6453999999999998E-2</c:v>
                </c:pt>
                <c:pt idx="7">
                  <c:v>0.10978</c:v>
                </c:pt>
                <c:pt idx="8">
                  <c:v>4.3521999999999998E-2</c:v>
                </c:pt>
              </c:numCache>
            </c:numRef>
          </c:val>
          <c:extLst>
            <c:ext xmlns:c16="http://schemas.microsoft.com/office/drawing/2014/chart" uri="{C3380CC4-5D6E-409C-BE32-E72D297353CC}">
              <c16:uniqueId val="{00000009-A719-4538-8370-0D98572A5A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1.7621145374449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A5-4899-AE42-B858F5C53C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82A5-4899-AE42-B858F5C53CA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27984589185452463"/>
                  <c:y val="-2.64488529842860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7E-49B8-9627-F2BB78C1ECB5}"/>
                </c:ext>
              </c:extLst>
            </c:dLbl>
            <c:dLbl>
              <c:idx val="1"/>
              <c:layout>
                <c:manualLayout>
                  <c:x val="-1.2325532381257482E-2"/>
                  <c:y val="-0.165320925793366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7E-49B8-9627-F2BB78C1ECB5}"/>
                </c:ext>
              </c:extLst>
            </c:dLbl>
            <c:dLbl>
              <c:idx val="2"/>
              <c:layout>
                <c:manualLayout>
                  <c:x val="-2.7947023217386905E-2"/>
                  <c:y val="0.559803320039540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7E-49B8-9627-F2BB78C1ECB5}"/>
                </c:ext>
              </c:extLst>
            </c:dLbl>
            <c:dLbl>
              <c:idx val="3"/>
              <c:layout>
                <c:manualLayout>
                  <c:x val="2.398556711460318E-2"/>
                  <c:y val="0.127551896921975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D7E-49B8-9627-F2BB78C1ECB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D7E-49B8-9627-F2BB78C1ECB5}"/>
                </c:ext>
              </c:extLst>
            </c:dLbl>
            <c:dLbl>
              <c:idx val="5"/>
              <c:layout>
                <c:manualLayout>
                  <c:x val="-0.23194236962349726"/>
                  <c:y val="2.0337457817772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D7E-49B8-9627-F2BB78C1ECB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D7E-49B8-9627-F2BB78C1ECB5}"/>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D7E-49B8-9627-F2BB78C1ECB5}"/>
                </c:ext>
              </c:extLst>
            </c:dLbl>
            <c:dLbl>
              <c:idx val="8"/>
              <c:layout>
                <c:manualLayout>
                  <c:x val="0.10301311773929758"/>
                  <c:y val="-4.80383133926441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D7E-49B8-9627-F2BB78C1EC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pt idx="8">
                  <c:v>Zero Coupon Bond</c:v>
                </c:pt>
              </c:strCache>
            </c:strRef>
          </c:cat>
          <c:val>
            <c:numRef>
              <c:f>'BANDHAN LDF'!$K$9:$K$17</c:f>
              <c:numCache>
                <c:formatCode>0.00%</c:formatCode>
                <c:ptCount val="9"/>
                <c:pt idx="0">
                  <c:v>3.6316000000000001E-2</c:v>
                </c:pt>
                <c:pt idx="1">
                  <c:v>9.7501000000000004E-2</c:v>
                </c:pt>
                <c:pt idx="2">
                  <c:v>0.19645599999999999</c:v>
                </c:pt>
                <c:pt idx="3">
                  <c:v>0.60409500000000005</c:v>
                </c:pt>
                <c:pt idx="4">
                  <c:v>9.2919999999999999E-3</c:v>
                </c:pt>
                <c:pt idx="5">
                  <c:v>2.8990000000000001E-3</c:v>
                </c:pt>
                <c:pt idx="6">
                  <c:v>1.2409999999999999E-3</c:v>
                </c:pt>
                <c:pt idx="7">
                  <c:v>4.7795999999999998E-2</c:v>
                </c:pt>
                <c:pt idx="8">
                  <c:v>4.4039999999999999E-3</c:v>
                </c:pt>
              </c:numCache>
            </c:numRef>
          </c:val>
          <c:extLst>
            <c:ext xmlns:c16="http://schemas.microsoft.com/office/drawing/2014/chart" uri="{C3380CC4-5D6E-409C-BE32-E72D297353CC}">
              <c16:uniqueId val="{0000000C-4D7E-49B8-9627-F2BB78C1EC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647844340656559"/>
                  <c:y val="-3.4140969162995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519823788546256"/>
                    </c:manualLayout>
                  </c15:layout>
                </c:ext>
                <c:ext xmlns:c16="http://schemas.microsoft.com/office/drawing/2014/chart" uri="{C3380CC4-5D6E-409C-BE32-E72D297353CC}">
                  <c16:uniqueId val="{0000000D-5736-4B98-AA03-1CC58827340B}"/>
                </c:ext>
              </c:extLst>
            </c:dLbl>
            <c:dLbl>
              <c:idx val="1"/>
              <c:layout>
                <c:manualLayout>
                  <c:x val="-8.1180006407122016E-2"/>
                  <c:y val="-3.01949425925283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736-4B98-AA03-1CC5882734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0.989958</c:v>
                </c:pt>
                <c:pt idx="1">
                  <c:v>1.0042000000000001E-2</c:v>
                </c:pt>
              </c:numCache>
            </c:numRef>
          </c:val>
          <c:extLst>
            <c:ext xmlns:c16="http://schemas.microsoft.com/office/drawing/2014/chart" uri="{C3380CC4-5D6E-409C-BE32-E72D297353CC}">
              <c16:uniqueId val="{0000000C-5736-4B98-AA03-1CC5882734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8.5144581766679592E-2"/>
                  <c:y val="-1.78444342868970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B2-4674-ADF1-EB04E1953A3D}"/>
                </c:ext>
              </c:extLst>
            </c:dLbl>
            <c:dLbl>
              <c:idx val="1"/>
              <c:layout>
                <c:manualLayout>
                  <c:x val="0.17970392351919606"/>
                  <c:y val="-8.87361040439496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B2-4674-ADF1-EB04E1953A3D}"/>
                </c:ext>
              </c:extLst>
            </c:dLbl>
            <c:dLbl>
              <c:idx val="2"/>
              <c:layout>
                <c:manualLayout>
                  <c:x val="-3.3835674180984335E-2"/>
                  <c:y val="0.296390026821674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B2-4674-ADF1-EB04E1953A3D}"/>
                </c:ext>
              </c:extLst>
            </c:dLbl>
            <c:dLbl>
              <c:idx val="3"/>
              <c:layout>
                <c:manualLayout>
                  <c:x val="1.1405267328735941E-2"/>
                  <c:y val="0.147253926227458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FB2-4674-ADF1-EB04E1953A3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FB2-4674-ADF1-EB04E1953A3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FB2-4674-ADF1-EB04E1953A3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FB2-4674-ADF1-EB04E1953A3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FB2-4674-ADF1-EB04E1953A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2.2435E-2</c:v>
                </c:pt>
                <c:pt idx="1">
                  <c:v>9.5324000000000006E-2</c:v>
                </c:pt>
                <c:pt idx="2">
                  <c:v>0.30192600000000003</c:v>
                </c:pt>
                <c:pt idx="3">
                  <c:v>0.45295999999999997</c:v>
                </c:pt>
                <c:pt idx="4">
                  <c:v>7.0813000000000001E-2</c:v>
                </c:pt>
                <c:pt idx="5">
                  <c:v>2.5230000000000001E-3</c:v>
                </c:pt>
                <c:pt idx="6">
                  <c:v>4.8139000000000001E-2</c:v>
                </c:pt>
                <c:pt idx="7">
                  <c:v>5.8799999999999998E-3</c:v>
                </c:pt>
              </c:numCache>
            </c:numRef>
          </c:val>
          <c:extLst>
            <c:ext xmlns:c16="http://schemas.microsoft.com/office/drawing/2014/chart" uri="{C3380CC4-5D6E-409C-BE32-E72D297353CC}">
              <c16:uniqueId val="{0000000C-7FB2-4674-ADF1-EB04E1953A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59-4E8C-BF36-FABB0A9023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5059-4E8C-BF36-FABB0A90239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1870281070326594"/>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D4-4B05-9FC3-0F82E65029A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BD4-4B05-9FC3-0F82E65029AD}"/>
                </c:ext>
              </c:extLst>
            </c:dLbl>
            <c:dLbl>
              <c:idx val="2"/>
              <c:layout>
                <c:manualLayout>
                  <c:x val="0.14411817767961019"/>
                  <c:y val="4.17441819772528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D4-4B05-9FC3-0F82E65029AD}"/>
                </c:ext>
              </c:extLst>
            </c:dLbl>
            <c:dLbl>
              <c:idx val="3"/>
              <c:layout>
                <c:manualLayout>
                  <c:x val="-0.28503068674231569"/>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BD4-4B05-9FC3-0F82E65029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1.0042000000000001E-2</c:v>
                </c:pt>
                <c:pt idx="1">
                  <c:v>4.2859999999999999E-3</c:v>
                </c:pt>
                <c:pt idx="2">
                  <c:v>2.483E-3</c:v>
                </c:pt>
                <c:pt idx="3">
                  <c:v>0.98318899999999998</c:v>
                </c:pt>
              </c:numCache>
            </c:numRef>
          </c:val>
          <c:extLst>
            <c:ext xmlns:c16="http://schemas.microsoft.com/office/drawing/2014/chart" uri="{C3380CC4-5D6E-409C-BE32-E72D297353CC}">
              <c16:uniqueId val="{0000000C-8BD4-4B05-9FC3-0F82E65029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1BB-444A-89EF-F79C5F30E39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01BB-444A-89EF-F79C5F30E39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5420897334300024"/>
                  <c:y val="-6.1439994419302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51-4F8B-AC84-7D02DCE47C0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51-4F8B-AC84-7D02DCE47C03}"/>
                </c:ext>
              </c:extLst>
            </c:dLbl>
            <c:dLbl>
              <c:idx val="2"/>
              <c:layout>
                <c:manualLayout>
                  <c:x val="-0.10175892360350039"/>
                  <c:y val="-0.140890993277003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51-4F8B-AC84-7D02DCE47C03}"/>
                </c:ext>
              </c:extLst>
            </c:dLbl>
            <c:dLbl>
              <c:idx val="3"/>
              <c:layout>
                <c:manualLayout>
                  <c:x val="-4.9017687028950076E-2"/>
                  <c:y val="0.275662053871173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51-4F8B-AC84-7D02DCE47C03}"/>
                </c:ext>
              </c:extLst>
            </c:dLbl>
            <c:dLbl>
              <c:idx val="4"/>
              <c:layout>
                <c:manualLayout>
                  <c:x val="2.5591562831947932E-2"/>
                  <c:y val="0.148470278424499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951-4F8B-AC84-7D02DCE47C0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1.1409000000000001E-2</c:v>
                </c:pt>
                <c:pt idx="1">
                  <c:v>1.1247999999999999E-2</c:v>
                </c:pt>
                <c:pt idx="2">
                  <c:v>0.26078499999999999</c:v>
                </c:pt>
                <c:pt idx="3">
                  <c:v>2.5929999999999998E-3</c:v>
                </c:pt>
                <c:pt idx="4">
                  <c:v>0.71396499999999996</c:v>
                </c:pt>
              </c:numCache>
            </c:numRef>
          </c:val>
          <c:extLst>
            <c:ext xmlns:c16="http://schemas.microsoft.com/office/drawing/2014/chart" uri="{C3380CC4-5D6E-409C-BE32-E72D297353CC}">
              <c16:uniqueId val="{0000000C-1951-4F8B-AC84-7D02DCE47C0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C8-43B4-82EB-B84DCA5BCF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E9C8-43B4-82EB-B84DCA5BCF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12-4CDD-BECF-C60130440618}"/>
                </c:ext>
              </c:extLst>
            </c:dLbl>
            <c:dLbl>
              <c:idx val="1"/>
              <c:layout>
                <c:manualLayout>
                  <c:x val="0.11947807246792223"/>
                  <c:y val="-8.18880483076870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312-4CDD-BECF-C60130440618}"/>
                </c:ext>
              </c:extLst>
            </c:dLbl>
            <c:dLbl>
              <c:idx val="2"/>
              <c:layout>
                <c:manualLayout>
                  <c:x val="-1.7829250198114956E-2"/>
                  <c:y val="-0.373471257269311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312-4CDD-BECF-C60130440618}"/>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312-4CDD-BECF-C60130440618}"/>
                </c:ext>
              </c:extLst>
            </c:dLbl>
            <c:dLbl>
              <c:idx val="4"/>
              <c:layout>
                <c:manualLayout>
                  <c:x val="0"/>
                  <c:y val="-0.302982862436313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312-4CDD-BECF-C60130440618}"/>
                </c:ext>
              </c:extLst>
            </c:dLbl>
            <c:dLbl>
              <c:idx val="5"/>
              <c:layout>
                <c:manualLayout>
                  <c:x val="5.6296683471311658E-3"/>
                  <c:y val="-3.38074897500557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312-4CDD-BECF-C60130440618}"/>
                </c:ext>
              </c:extLst>
            </c:dLbl>
            <c:dLbl>
              <c:idx val="6"/>
              <c:layout>
                <c:manualLayout>
                  <c:x val="-0.17962990439899509"/>
                  <c:y val="-0.112389137632305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312-4CDD-BECF-C601304406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1.5842999999999999E-2</c:v>
                </c:pt>
                <c:pt idx="1">
                  <c:v>5.9259999999999998E-3</c:v>
                </c:pt>
                <c:pt idx="2">
                  <c:v>0.49618499999999999</c:v>
                </c:pt>
                <c:pt idx="3">
                  <c:v>3.117E-3</c:v>
                </c:pt>
                <c:pt idx="4">
                  <c:v>0.45185700000000001</c:v>
                </c:pt>
                <c:pt idx="5">
                  <c:v>7.5459999999999998E-3</c:v>
                </c:pt>
                <c:pt idx="6">
                  <c:v>1.9526000000000002E-2</c:v>
                </c:pt>
              </c:numCache>
            </c:numRef>
          </c:val>
          <c:extLst>
            <c:ext xmlns:c16="http://schemas.microsoft.com/office/drawing/2014/chart" uri="{C3380CC4-5D6E-409C-BE32-E72D297353CC}">
              <c16:uniqueId val="{0000000C-9312-4CDD-BECF-C601304406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1A-4083-B612-A9EE9069CE0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811A-4083-B612-A9EE9069CE0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1D-4194-AB1F-8937561A3EA2}"/>
                </c:ext>
              </c:extLst>
            </c:dLbl>
            <c:dLbl>
              <c:idx val="1"/>
              <c:layout>
                <c:manualLayout>
                  <c:x val="5.5319934579912064E-2"/>
                  <c:y val="-5.208147894556658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71D-4194-AB1F-8937561A3EA2}"/>
                </c:ext>
              </c:extLst>
            </c:dLbl>
            <c:dLbl>
              <c:idx val="2"/>
              <c:layout>
                <c:manualLayout>
                  <c:x val="0.16982641757574735"/>
                  <c:y val="-8.1952413557001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71D-4194-AB1F-8937561A3EA2}"/>
                </c:ext>
              </c:extLst>
            </c:dLbl>
            <c:dLbl>
              <c:idx val="3"/>
              <c:layout>
                <c:manualLayout>
                  <c:x val="-9.0099057478628883E-2"/>
                  <c:y val="0.168923656282095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71D-4194-AB1F-8937561A3EA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71D-4194-AB1F-8937561A3EA2}"/>
                </c:ext>
              </c:extLst>
            </c:dLbl>
            <c:dLbl>
              <c:idx val="5"/>
              <c:layout>
                <c:manualLayout>
                  <c:x val="0.11878214099040618"/>
                  <c:y val="0.170719274221157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089935760171305"/>
                      <c:h val="0.21195652173913043"/>
                    </c:manualLayout>
                  </c15:layout>
                </c:ext>
                <c:ext xmlns:c16="http://schemas.microsoft.com/office/drawing/2014/chart" uri="{C3380CC4-5D6E-409C-BE32-E72D297353CC}">
                  <c16:uniqueId val="{00000012-971D-4194-AB1F-8937561A3EA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71D-4194-AB1F-8937561A3EA2}"/>
                </c:ext>
              </c:extLst>
            </c:dLbl>
            <c:dLbl>
              <c:idx val="7"/>
              <c:layout>
                <c:manualLayout>
                  <c:x val="-0.18549326409145322"/>
                  <c:y val="-4.01386511468674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71D-4194-AB1F-8937561A3EA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2.9007999999999999E-2</c:v>
                </c:pt>
                <c:pt idx="1">
                  <c:v>6.9499999999999998E-4</c:v>
                </c:pt>
                <c:pt idx="2">
                  <c:v>6.1448999999999997E-2</c:v>
                </c:pt>
                <c:pt idx="3">
                  <c:v>0.54766000000000004</c:v>
                </c:pt>
                <c:pt idx="4">
                  <c:v>1.1558000000000001E-2</c:v>
                </c:pt>
                <c:pt idx="5">
                  <c:v>2.8300000000000001E-3</c:v>
                </c:pt>
                <c:pt idx="6">
                  <c:v>0.34398000000000001</c:v>
                </c:pt>
                <c:pt idx="7">
                  <c:v>2.82E-3</c:v>
                </c:pt>
              </c:numCache>
            </c:numRef>
          </c:val>
          <c:extLst>
            <c:ext xmlns:c16="http://schemas.microsoft.com/office/drawing/2014/chart" uri="{C3380CC4-5D6E-409C-BE32-E72D297353CC}">
              <c16:uniqueId val="{0000000C-971D-4194-AB1F-8937561A3EA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332443026119532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70D-4E5B-A907-56B2D23DB4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570D-4E5B-A907-56B2D23DB46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6E-44AD-A380-FB53E899AA76}"/>
                </c:ext>
              </c:extLst>
            </c:dLbl>
            <c:dLbl>
              <c:idx val="1"/>
              <c:layout>
                <c:manualLayout>
                  <c:x val="0.27911986376435277"/>
                  <c:y val="-4.7009512638959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86E-44AD-A380-FB53E899AA76}"/>
                </c:ext>
              </c:extLst>
            </c:dLbl>
            <c:dLbl>
              <c:idx val="2"/>
              <c:layout>
                <c:manualLayout>
                  <c:x val="-1.3664367971134151E-2"/>
                  <c:y val="-8.97651594207898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86E-44AD-A380-FB53E899AA76}"/>
                </c:ext>
              </c:extLst>
            </c:dLbl>
            <c:dLbl>
              <c:idx val="3"/>
              <c:layout>
                <c:manualLayout>
                  <c:x val="0.1735022509231314"/>
                  <c:y val="-2.12820932980310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86E-44AD-A380-FB53E899AA76}"/>
                </c:ext>
              </c:extLst>
            </c:dLbl>
            <c:dLbl>
              <c:idx val="4"/>
              <c:layout>
                <c:manualLayout>
                  <c:x val="-2.7407981925171559E-2"/>
                  <c:y val="-1.54596338108338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86E-44AD-A380-FB53E899AA76}"/>
                </c:ext>
              </c:extLst>
            </c:dLbl>
            <c:dLbl>
              <c:idx val="5"/>
              <c:layout>
                <c:manualLayout>
                  <c:x val="-2.876747205314539E-2"/>
                  <c:y val="0.598226837198471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86E-44AD-A380-FB53E899AA76}"/>
                </c:ext>
              </c:extLst>
            </c:dLbl>
            <c:dLbl>
              <c:idx val="6"/>
              <c:layout>
                <c:manualLayout>
                  <c:x val="-0.15965873644809389"/>
                  <c:y val="-0.165349156109046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86E-44AD-A380-FB53E899AA76}"/>
                </c:ext>
              </c:extLst>
            </c:dLbl>
            <c:dLbl>
              <c:idx val="7"/>
              <c:layout>
                <c:manualLayout>
                  <c:x val="-8.6406278979581516E-2"/>
                  <c:y val="-1.89397245388138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86E-44AD-A380-FB53E899AA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1.1106E-2</c:v>
                </c:pt>
                <c:pt idx="1">
                  <c:v>1.7817E-2</c:v>
                </c:pt>
                <c:pt idx="2">
                  <c:v>9.6827999999999997E-2</c:v>
                </c:pt>
                <c:pt idx="3">
                  <c:v>0.712974</c:v>
                </c:pt>
                <c:pt idx="4">
                  <c:v>6.2440000000000004E-3</c:v>
                </c:pt>
                <c:pt idx="5">
                  <c:v>2.5730000000000002E-3</c:v>
                </c:pt>
                <c:pt idx="6">
                  <c:v>0.124944</c:v>
                </c:pt>
                <c:pt idx="7">
                  <c:v>2.7514E-2</c:v>
                </c:pt>
              </c:numCache>
            </c:numRef>
          </c:val>
          <c:extLst>
            <c:ext xmlns:c16="http://schemas.microsoft.com/office/drawing/2014/chart" uri="{C3380CC4-5D6E-409C-BE32-E72D297353CC}">
              <c16:uniqueId val="{0000000C-086E-44AD-A380-FB53E899AA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68-4C79-AC30-29DC8060B7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9168-4C79-AC30-29DC8060B7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13214621726887993"/>
                  <c:y val="-1.90415000785655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BD-4AA5-896B-E283D37277C4}"/>
                </c:ext>
              </c:extLst>
            </c:dLbl>
            <c:dLbl>
              <c:idx val="1"/>
              <c:layout>
                <c:manualLayout>
                  <c:x val="1.668026775025697E-2"/>
                  <c:y val="-0.146986399427344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1BD-4AA5-896B-E283D37277C4}"/>
                </c:ext>
              </c:extLst>
            </c:dLbl>
            <c:dLbl>
              <c:idx val="2"/>
              <c:layout>
                <c:manualLayout>
                  <c:x val="-7.7797130283768057E-2"/>
                  <c:y val="0.205139934004923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1BD-4AA5-896B-E283D37277C4}"/>
                </c:ext>
              </c:extLst>
            </c:dLbl>
            <c:dLbl>
              <c:idx val="3"/>
              <c:layout>
                <c:manualLayout>
                  <c:x val="5.1223254480770204E-2"/>
                  <c:y val="8.0919042547619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1BD-4AA5-896B-E283D37277C4}"/>
                </c:ext>
              </c:extLst>
            </c:dLbl>
            <c:dLbl>
              <c:idx val="4"/>
              <c:layout>
                <c:manualLayout>
                  <c:x val="-0.11480517290799036"/>
                  <c:y val="1.6708626499292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1BD-4AA5-896B-E283D37277C4}"/>
                </c:ext>
              </c:extLst>
            </c:dLbl>
            <c:dLbl>
              <c:idx val="5"/>
              <c:layout>
                <c:manualLayout>
                  <c:x val="5.9813013202043498E-2"/>
                  <c:y val="-7.18431482095780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1BD-4AA5-896B-E283D37277C4}"/>
                </c:ext>
              </c:extLst>
            </c:dLbl>
            <c:dLbl>
              <c:idx val="6"/>
              <c:layout>
                <c:manualLayout>
                  <c:x val="-0.12526614847662243"/>
                  <c:y val="-0.135679592157410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1BD-4AA5-896B-E283D37277C4}"/>
                </c:ext>
              </c:extLst>
            </c:dLbl>
            <c:dLbl>
              <c:idx val="7"/>
              <c:layout>
                <c:manualLayout>
                  <c:x val="0.2198592119239913"/>
                  <c:y val="-4.32498210450966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1BD-4AA5-896B-E283D37277C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CBF'!$K$9:$K$16</c:f>
              <c:numCache>
                <c:formatCode>0.00%</c:formatCode>
                <c:ptCount val="8"/>
                <c:pt idx="0">
                  <c:v>2.8263E-2</c:v>
                </c:pt>
                <c:pt idx="1">
                  <c:v>0.285499</c:v>
                </c:pt>
                <c:pt idx="2">
                  <c:v>3.9863000000000003E-2</c:v>
                </c:pt>
                <c:pt idx="3">
                  <c:v>0.50747900000000001</c:v>
                </c:pt>
                <c:pt idx="4">
                  <c:v>4.1579999999999999E-2</c:v>
                </c:pt>
                <c:pt idx="5">
                  <c:v>2.8440000000000002E-3</c:v>
                </c:pt>
                <c:pt idx="6">
                  <c:v>2.0067999999999999E-2</c:v>
                </c:pt>
                <c:pt idx="7">
                  <c:v>7.4403999999999998E-2</c:v>
                </c:pt>
              </c:numCache>
            </c:numRef>
          </c:val>
          <c:extLst>
            <c:ext xmlns:c16="http://schemas.microsoft.com/office/drawing/2014/chart" uri="{C3380CC4-5D6E-409C-BE32-E72D297353CC}">
              <c16:uniqueId val="{0000000C-C1BD-4AA5-896B-E283D37277C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9459019710330636E-2"/>
                  <c:y val="-2.18362342865036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447368421052633"/>
                    </c:manualLayout>
                  </c15:layout>
                </c:ext>
                <c:ext xmlns:c16="http://schemas.microsoft.com/office/drawing/2014/chart" uri="{C3380CC4-5D6E-409C-BE32-E72D297353CC}">
                  <c16:uniqueId val="{0000000D-F17F-4D3C-9CA8-795D95694B76}"/>
                </c:ext>
              </c:extLst>
            </c:dLbl>
            <c:dLbl>
              <c:idx val="1"/>
              <c:layout>
                <c:manualLayout>
                  <c:x val="-1.3437168052066297E-2"/>
                  <c:y val="-5.10850946263296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7F-4D3C-9CA8-795D95694B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0.90779799999999999</c:v>
                </c:pt>
                <c:pt idx="1">
                  <c:v>9.2202000000000006E-2</c:v>
                </c:pt>
              </c:numCache>
            </c:numRef>
          </c:val>
          <c:extLst>
            <c:ext xmlns:c16="http://schemas.microsoft.com/office/drawing/2014/chart" uri="{C3380CC4-5D6E-409C-BE32-E72D297353CC}">
              <c16:uniqueId val="{0000000C-F17F-4D3C-9CA8-795D95694B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7D-4BD3-8930-6A9B2508F136}"/>
                </c:ext>
              </c:extLst>
            </c:dLbl>
            <c:dLbl>
              <c:idx val="1"/>
              <c:layout>
                <c:manualLayout>
                  <c:x val="0.12198410022087711"/>
                  <c:y val="1.10564304461942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27D-4BD3-8930-6A9B2508F136}"/>
                </c:ext>
              </c:extLst>
            </c:dLbl>
            <c:dLbl>
              <c:idx val="2"/>
              <c:layout>
                <c:manualLayout>
                  <c:x val="-1.3493061761284121E-2"/>
                  <c:y val="-0.234154579361790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27D-4BD3-8930-6A9B2508F136}"/>
                </c:ext>
              </c:extLst>
            </c:dLbl>
            <c:dLbl>
              <c:idx val="3"/>
              <c:layout>
                <c:manualLayout>
                  <c:x val="6.5206123859785192E-2"/>
                  <c:y val="0.114224685730073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27D-4BD3-8930-6A9B2508F136}"/>
                </c:ext>
              </c:extLst>
            </c:dLbl>
            <c:dLbl>
              <c:idx val="4"/>
              <c:layout>
                <c:manualLayout>
                  <c:x val="7.8077526176465628E-2"/>
                  <c:y val="-6.22168117143251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27D-4BD3-8930-6A9B2508F136}"/>
                </c:ext>
              </c:extLst>
            </c:dLbl>
            <c:dLbl>
              <c:idx val="5"/>
              <c:layout>
                <c:manualLayout>
                  <c:x val="-0.12639801716434268"/>
                  <c:y val="-8.61389694709213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27D-4BD3-8930-6A9B2508F13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27D-4BD3-8930-6A9B2508F13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FRF'!$K$9:$K$15</c:f>
              <c:numCache>
                <c:formatCode>0.00%</c:formatCode>
                <c:ptCount val="7"/>
                <c:pt idx="0">
                  <c:v>1.7072E-2</c:v>
                </c:pt>
                <c:pt idx="1">
                  <c:v>7.7140000000000004E-3</c:v>
                </c:pt>
                <c:pt idx="2">
                  <c:v>0.35865200000000003</c:v>
                </c:pt>
                <c:pt idx="3">
                  <c:v>0.47783199999999998</c:v>
                </c:pt>
                <c:pt idx="4">
                  <c:v>2.307E-2</c:v>
                </c:pt>
                <c:pt idx="5">
                  <c:v>4.0980000000000001E-3</c:v>
                </c:pt>
                <c:pt idx="6">
                  <c:v>0.11156199999999999</c:v>
                </c:pt>
              </c:numCache>
            </c:numRef>
          </c:val>
          <c:extLst>
            <c:ext xmlns:c16="http://schemas.microsoft.com/office/drawing/2014/chart" uri="{C3380CC4-5D6E-409C-BE32-E72D297353CC}">
              <c16:uniqueId val="{0000000C-C27D-4BD3-8930-6A9B2508F13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616972129019205"/>
                  <c:y val="-0.487919109230288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E4-4E70-9256-F6C005E501CA}"/>
                </c:ext>
              </c:extLst>
            </c:dLbl>
            <c:dLbl>
              <c:idx val="1"/>
              <c:layout>
                <c:manualLayout>
                  <c:x val="4.6600853158879768E-3"/>
                  <c:y val="-0.146316209372506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519823788546256"/>
                    </c:manualLayout>
                  </c15:layout>
                </c:ext>
                <c:ext xmlns:c16="http://schemas.microsoft.com/office/drawing/2014/chart" uri="{C3380CC4-5D6E-409C-BE32-E72D297353CC}">
                  <c16:uniqueId val="{0000000E-0FE4-4E70-9256-F6C005E501CA}"/>
                </c:ext>
              </c:extLst>
            </c:dLbl>
            <c:dLbl>
              <c:idx val="2"/>
              <c:layout>
                <c:manualLayout>
                  <c:x val="7.6187762396938072E-2"/>
                  <c:y val="-7.07443893301883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FE4-4E70-9256-F6C005E501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0.62231599999999998</c:v>
                </c:pt>
                <c:pt idx="1">
                  <c:v>0.30945400000000001</c:v>
                </c:pt>
                <c:pt idx="2">
                  <c:v>6.8229999999999999E-2</c:v>
                </c:pt>
              </c:numCache>
            </c:numRef>
          </c:val>
          <c:extLst>
            <c:ext xmlns:c16="http://schemas.microsoft.com/office/drawing/2014/chart" uri="{C3380CC4-5D6E-409C-BE32-E72D297353CC}">
              <c16:uniqueId val="{0000000C-0FE4-4E70-9256-F6C005E501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3A-49F4-ACE9-D903B1A88C7E}"/>
                </c:ext>
              </c:extLst>
            </c:dLbl>
            <c:dLbl>
              <c:idx val="1"/>
              <c:layout>
                <c:manualLayout>
                  <c:x val="0.15969962400310239"/>
                  <c:y val="-3.90323747824738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13A-49F4-ACE9-D903B1A88C7E}"/>
                </c:ext>
              </c:extLst>
            </c:dLbl>
            <c:dLbl>
              <c:idx val="2"/>
              <c:layout>
                <c:manualLayout>
                  <c:x val="-8.7154731996830159E-2"/>
                  <c:y val="0.172738675718051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13A-49F4-ACE9-D903B1A88C7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13A-49F4-ACE9-D903B1A88C7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13A-49F4-ACE9-D903B1A88C7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13A-49F4-ACE9-D903B1A88C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3.2603E-2</c:v>
                </c:pt>
                <c:pt idx="1">
                  <c:v>1.5410000000000001E-3</c:v>
                </c:pt>
                <c:pt idx="2">
                  <c:v>0.69054599999999999</c:v>
                </c:pt>
                <c:pt idx="3">
                  <c:v>3.9119999999999997E-3</c:v>
                </c:pt>
                <c:pt idx="4">
                  <c:v>0.205737</c:v>
                </c:pt>
                <c:pt idx="5">
                  <c:v>6.5660999999999997E-2</c:v>
                </c:pt>
              </c:numCache>
            </c:numRef>
          </c:val>
          <c:extLst>
            <c:ext xmlns:c16="http://schemas.microsoft.com/office/drawing/2014/chart" uri="{C3380CC4-5D6E-409C-BE32-E72D297353CC}">
              <c16:uniqueId val="{0000000C-513A-49F4-ACE9-D903B1A88C7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E27-4E49-82D3-9F140569EC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0E27-4E49-82D3-9F140569EC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613-4E18-8958-7F8B3B3C6C87}"/>
                </c:ext>
              </c:extLst>
            </c:dLbl>
            <c:dLbl>
              <c:idx val="1"/>
              <c:layout>
                <c:manualLayout>
                  <c:x val="7.7706503228852281E-2"/>
                  <c:y val="3.39664041994750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613-4E18-8958-7F8B3B3C6C87}"/>
                </c:ext>
              </c:extLst>
            </c:dLbl>
            <c:dLbl>
              <c:idx val="2"/>
              <c:layout>
                <c:manualLayout>
                  <c:x val="-0.2861746952401828"/>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613-4E18-8958-7F8B3B3C6C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1.1573E-2</c:v>
                </c:pt>
                <c:pt idx="1">
                  <c:v>3.2989999999999998E-3</c:v>
                </c:pt>
                <c:pt idx="2">
                  <c:v>0.985128</c:v>
                </c:pt>
              </c:numCache>
            </c:numRef>
          </c:val>
          <c:extLst>
            <c:ext xmlns:c16="http://schemas.microsoft.com/office/drawing/2014/chart" uri="{C3380CC4-5D6E-409C-BE32-E72D297353CC}">
              <c16:uniqueId val="{0000000C-2613-4E18-8958-7F8B3B3C6C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0B-4C2E-BEAD-BCA3BE9814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330B-4C2E-BEAD-BCA3BE9814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CE-4661-B003-58413B5FF414}"/>
                </c:ext>
              </c:extLst>
            </c:dLbl>
            <c:dLbl>
              <c:idx val="1"/>
              <c:layout>
                <c:manualLayout>
                  <c:x val="0.11899113119425382"/>
                  <c:y val="2.0633070866141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6CE-4661-B003-58413B5FF414}"/>
                </c:ext>
              </c:extLst>
            </c:dLbl>
            <c:dLbl>
              <c:idx val="2"/>
              <c:layout>
                <c:manualLayout>
                  <c:x val="-0.2668722284982043"/>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6CE-4661-B003-58413B5FF4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5.9829999999999996E-3</c:v>
                </c:pt>
                <c:pt idx="1">
                  <c:v>3.0525E-2</c:v>
                </c:pt>
                <c:pt idx="2">
                  <c:v>0.96349200000000002</c:v>
                </c:pt>
              </c:numCache>
            </c:numRef>
          </c:val>
          <c:extLst>
            <c:ext xmlns:c16="http://schemas.microsoft.com/office/drawing/2014/chart" uri="{C3380CC4-5D6E-409C-BE32-E72D297353CC}">
              <c16:uniqueId val="{0000000C-46CE-4661-B003-58413B5FF4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05-453A-9472-E3CDBC41B7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B305-453A-9472-E3CDBC41B7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1C-4D45-B468-3405D9FDA6F2}"/>
                </c:ext>
              </c:extLst>
            </c:dLbl>
            <c:dLbl>
              <c:idx val="1"/>
              <c:layout>
                <c:manualLayout>
                  <c:x val="7.8231297104992492E-2"/>
                  <c:y val="7.474715660542432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1C-4D45-B468-3405D9FDA6F2}"/>
                </c:ext>
              </c:extLst>
            </c:dLbl>
            <c:dLbl>
              <c:idx val="2"/>
              <c:layout>
                <c:manualLayout>
                  <c:x val="-0.24900757052049435"/>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1C-4D45-B468-3405D9FDA6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2.0046000000000001E-2</c:v>
                </c:pt>
                <c:pt idx="1">
                  <c:v>8.7480000000000006E-3</c:v>
                </c:pt>
                <c:pt idx="2">
                  <c:v>0.97120600000000001</c:v>
                </c:pt>
              </c:numCache>
            </c:numRef>
          </c:val>
          <c:extLst>
            <c:ext xmlns:c16="http://schemas.microsoft.com/office/drawing/2014/chart" uri="{C3380CC4-5D6E-409C-BE32-E72D297353CC}">
              <c16:uniqueId val="{0000000C-A41C-4D45-B468-3405D9FDA6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DB-43DB-9907-131085D892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7CDB-43DB-9907-131085D892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C8-4063-AD77-7B059644A26D}"/>
                </c:ext>
              </c:extLst>
            </c:dLbl>
            <c:dLbl>
              <c:idx val="1"/>
              <c:layout>
                <c:manualLayout>
                  <c:x val="0.12534050481377193"/>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2C8-4063-AD77-7B059644A26D}"/>
                </c:ext>
              </c:extLst>
            </c:dLbl>
            <c:dLbl>
              <c:idx val="2"/>
              <c:layout>
                <c:manualLayout>
                  <c:x val="-0.19834974455816148"/>
                  <c:y val="-4.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2C8-4063-AD77-7B059644A26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1.3239000000000001E-2</c:v>
                </c:pt>
                <c:pt idx="1">
                  <c:v>2.3599999999999999E-2</c:v>
                </c:pt>
                <c:pt idx="2">
                  <c:v>0.96316100000000004</c:v>
                </c:pt>
              </c:numCache>
            </c:numRef>
          </c:val>
          <c:extLst>
            <c:ext xmlns:c16="http://schemas.microsoft.com/office/drawing/2014/chart" uri="{C3380CC4-5D6E-409C-BE32-E72D297353CC}">
              <c16:uniqueId val="{0000000C-52C8-4063-AD77-7B059644A26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251-45D1-A3E4-6C6BBF6C84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2251-45D1-A3E4-6C6BBF6C84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C9-4FC4-B7D0-41165D3C85D5}"/>
                </c:ext>
              </c:extLst>
            </c:dLbl>
            <c:dLbl>
              <c:idx val="1"/>
              <c:layout>
                <c:manualLayout>
                  <c:x val="0.10983864169013134"/>
                  <c:y val="-3.25252843394575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FC9-4FC4-B7D0-41165D3C85D5}"/>
                </c:ext>
              </c:extLst>
            </c:dLbl>
            <c:dLbl>
              <c:idx val="2"/>
              <c:layout>
                <c:manualLayout>
                  <c:x val="-0.27256217437488406"/>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FC9-4FC4-B7D0-41165D3C85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1.7559999999999999E-2</c:v>
                </c:pt>
                <c:pt idx="1">
                  <c:v>1.1228E-2</c:v>
                </c:pt>
                <c:pt idx="2">
                  <c:v>0.97121199999999996</c:v>
                </c:pt>
              </c:numCache>
            </c:numRef>
          </c:val>
          <c:extLst>
            <c:ext xmlns:c16="http://schemas.microsoft.com/office/drawing/2014/chart" uri="{C3380CC4-5D6E-409C-BE32-E72D297353CC}">
              <c16:uniqueId val="{0000000C-9FC9-4FC4-B7D0-41165D3C85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94-45ED-99AF-6BA7529A6E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AA94-45ED-99AF-6BA7529A6E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1CB-467B-8AD5-44951262FB07}"/>
                </c:ext>
              </c:extLst>
            </c:dLbl>
            <c:dLbl>
              <c:idx val="1"/>
              <c:layout>
                <c:manualLayout>
                  <c:x val="7.8281373821848285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1CB-467B-8AD5-44951262FB07}"/>
                </c:ext>
              </c:extLst>
            </c:dLbl>
            <c:dLbl>
              <c:idx val="2"/>
              <c:layout>
                <c:manualLayout>
                  <c:x val="-0.23562494730985178"/>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1CB-467B-8AD5-44951262FB0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7.633E-3</c:v>
                </c:pt>
                <c:pt idx="1">
                  <c:v>1.9612000000000001E-2</c:v>
                </c:pt>
                <c:pt idx="2">
                  <c:v>0.97275500000000004</c:v>
                </c:pt>
              </c:numCache>
            </c:numRef>
          </c:val>
          <c:extLst>
            <c:ext xmlns:c16="http://schemas.microsoft.com/office/drawing/2014/chart" uri="{C3380CC4-5D6E-409C-BE32-E72D297353CC}">
              <c16:uniqueId val="{0000000C-71CB-467B-8AD5-44951262FB0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286-4FB4-B079-B2E267D1E6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0286-4FB4-B079-B2E267D1E6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13-4CE7-82BE-C7EFCAB1A43C}"/>
                </c:ext>
              </c:extLst>
            </c:dLbl>
            <c:dLbl>
              <c:idx val="1"/>
              <c:layout>
                <c:manualLayout>
                  <c:x val="8.0640290681009544E-2"/>
                  <c:y val="-1.4747506561679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C13-4CE7-82BE-C7EFCAB1A43C}"/>
                </c:ext>
              </c:extLst>
            </c:dLbl>
            <c:dLbl>
              <c:idx val="2"/>
              <c:layout>
                <c:manualLayout>
                  <c:x val="0.13512240975231415"/>
                  <c:y val="-4.0972178477690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C13-4CE7-82BE-C7EFCAB1A43C}"/>
                </c:ext>
              </c:extLst>
            </c:dLbl>
            <c:dLbl>
              <c:idx val="3"/>
              <c:layout>
                <c:manualLayout>
                  <c:x val="8.9003355308637806E-3"/>
                  <c:y val="9.2370603674540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C13-4CE7-82BE-C7EFCAB1A4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1.6511000000000001E-2</c:v>
                </c:pt>
                <c:pt idx="1">
                  <c:v>1.7545000000000002E-2</c:v>
                </c:pt>
                <c:pt idx="2">
                  <c:v>0.12813099999999999</c:v>
                </c:pt>
                <c:pt idx="3">
                  <c:v>0.83781300000000003</c:v>
                </c:pt>
              </c:numCache>
            </c:numRef>
          </c:val>
          <c:extLst>
            <c:ext xmlns:c16="http://schemas.microsoft.com/office/drawing/2014/chart" uri="{C3380CC4-5D6E-409C-BE32-E72D297353CC}">
              <c16:uniqueId val="{0000000C-7C13-4CE7-82BE-C7EFCAB1A4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5.45851528384279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01-444F-98EC-8B80A8BBF9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F001-444F-98EC-8B80A8BBF92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19943086209512889"/>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D7-4246-BDF8-11A151AD63E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9D7-4246-BDF8-11A151AD63E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9D7-4246-BDF8-11A151AD63EB}"/>
                </c:ext>
              </c:extLst>
            </c:dLbl>
            <c:dLbl>
              <c:idx val="3"/>
              <c:layout>
                <c:manualLayout>
                  <c:x val="3.4306766258072129E-2"/>
                  <c:y val="8.37011373578302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9D7-4246-BDF8-11A151AD63E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1.1638000000000001E-2</c:v>
                </c:pt>
                <c:pt idx="1">
                  <c:v>9.0340000000000004E-3</c:v>
                </c:pt>
                <c:pt idx="2">
                  <c:v>0.18326799999999999</c:v>
                </c:pt>
                <c:pt idx="3">
                  <c:v>0.79605999999999999</c:v>
                </c:pt>
              </c:numCache>
            </c:numRef>
          </c:val>
          <c:extLst>
            <c:ext xmlns:c16="http://schemas.microsoft.com/office/drawing/2014/chart" uri="{C3380CC4-5D6E-409C-BE32-E72D297353CC}">
              <c16:uniqueId val="{0000000C-09D7-4246-BDF8-11A151AD63E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99-4C86-A1AE-1B44EAB0D9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DA99-4C86-A1AE-1B44EAB0D9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3436257566305282"/>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C3-4BCE-B0C8-78E20F5EF908}"/>
                </c:ext>
              </c:extLst>
            </c:dLbl>
            <c:dLbl>
              <c:idx val="1"/>
              <c:layout>
                <c:manualLayout>
                  <c:x val="-0.18004198351009121"/>
                  <c:y val="-5.14960629921259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C3-4BCE-B0C8-78E20F5EF90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AC3-4BCE-B0C8-78E20F5EF908}"/>
                </c:ext>
              </c:extLst>
            </c:dLbl>
            <c:dLbl>
              <c:idx val="3"/>
              <c:layout>
                <c:manualLayout>
                  <c:x val="-6.7788362643106448E-2"/>
                  <c:y val="3.17963254593175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AC3-4BCE-B0C8-78E20F5EF9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2.4681000000000002E-2</c:v>
                </c:pt>
                <c:pt idx="1">
                  <c:v>7.3280000000000003E-3</c:v>
                </c:pt>
                <c:pt idx="2">
                  <c:v>9.5226000000000005E-2</c:v>
                </c:pt>
                <c:pt idx="3">
                  <c:v>0.87276500000000001</c:v>
                </c:pt>
              </c:numCache>
            </c:numRef>
          </c:val>
          <c:extLst>
            <c:ext xmlns:c16="http://schemas.microsoft.com/office/drawing/2014/chart" uri="{C3380CC4-5D6E-409C-BE32-E72D297353CC}">
              <c16:uniqueId val="{0000000C-AAC3-4BCE-B0C8-78E20F5EF90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6.2357369802458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B9-4AA4-87D5-A78493FC0C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FCB9-4AA4-87D5-A78493FC0C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C0C-438A-8212-F4245FAF3C40}"/>
                </c:ext>
              </c:extLst>
            </c:dLbl>
            <c:dLbl>
              <c:idx val="1"/>
              <c:layout>
                <c:manualLayout>
                  <c:x val="0.12261056500699725"/>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C0C-438A-8212-F4245FAF3C40}"/>
                </c:ext>
              </c:extLst>
            </c:dLbl>
            <c:dLbl>
              <c:idx val="2"/>
              <c:layout>
                <c:manualLayout>
                  <c:x val="-0.32136564433728437"/>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C0C-438A-8212-F4245FAF3C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-6.9700000000000003E-4</c:v>
                </c:pt>
                <c:pt idx="1">
                  <c:v>8.3599999999999994E-3</c:v>
                </c:pt>
                <c:pt idx="2">
                  <c:v>0.99233700000000002</c:v>
                </c:pt>
              </c:numCache>
            </c:numRef>
          </c:val>
          <c:extLst>
            <c:ext xmlns:c16="http://schemas.microsoft.com/office/drawing/2014/chart" uri="{C3380CC4-5D6E-409C-BE32-E72D297353CC}">
              <c16:uniqueId val="{0000000C-EC0C-438A-8212-F4245FAF3C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4B1-476E-BD42-2038CD1BBBE0}"/>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4B1-476E-BD42-2038CD1BBBE0}"/>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E4B1-476E-BD42-2038CD1BBBE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4B1-476E-BD42-2038CD1BBBE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0.98590900000000004</c:v>
                </c:pt>
                <c:pt idx="1">
                  <c:v>-1.5172E-2</c:v>
                </c:pt>
                <c:pt idx="2">
                  <c:v>2.9263000000000001E-2</c:v>
                </c:pt>
              </c:numCache>
            </c:numRef>
          </c:val>
          <c:extLst>
            <c:ext xmlns:c16="http://schemas.microsoft.com/office/drawing/2014/chart" uri="{C3380CC4-5D6E-409C-BE32-E72D297353CC}">
              <c16:uniqueId val="{00000004-E4B1-476E-BD42-2038CD1BBBE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DFF6A66-048D-4603-9E3D-7DF5FBDCE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1A5EE92-3215-4B07-B238-2FF704A1A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EF9E588-0BB3-43E2-B1A6-50CC202EE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971AFC5-F4AA-4E93-A654-53CA3308B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584200</xdr:colOff>
      <xdr:row>7</xdr:row>
      <xdr:rowOff>25401</xdr:rowOff>
    </xdr:from>
    <xdr:to>
      <xdr:col>13</xdr:col>
      <xdr:colOff>520700</xdr:colOff>
      <xdr:row>22</xdr:row>
      <xdr:rowOff>25401</xdr:rowOff>
    </xdr:to>
    <xdr:graphicFrame macro="">
      <xdr:nvGraphicFramePr>
        <xdr:cNvPr id="2" name="Chart 1">
          <a:extLst>
            <a:ext uri="{FF2B5EF4-FFF2-40B4-BE49-F238E27FC236}">
              <a16:creationId xmlns:a16="http://schemas.microsoft.com/office/drawing/2014/main" id="{8C05F7C0-C22A-4CB9-A277-E5ED22AEC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26</xdr:row>
      <xdr:rowOff>38100</xdr:rowOff>
    </xdr:from>
    <xdr:to>
      <xdr:col>13</xdr:col>
      <xdr:colOff>533400</xdr:colOff>
      <xdr:row>41</xdr:row>
      <xdr:rowOff>28575</xdr:rowOff>
    </xdr:to>
    <xdr:graphicFrame macro="">
      <xdr:nvGraphicFramePr>
        <xdr:cNvPr id="3" name="Chart 2">
          <a:extLst>
            <a:ext uri="{FF2B5EF4-FFF2-40B4-BE49-F238E27FC236}">
              <a16:creationId xmlns:a16="http://schemas.microsoft.com/office/drawing/2014/main" id="{30425559-EDD3-4586-9C62-085107DFD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3FDE9A6-BCED-406F-84CE-57C6086A5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DD9E580-18DF-4277-9AED-15A605D6E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10659C8-0531-4BA8-9264-FAE694982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400921AA-92F3-4911-930B-0D3D07AA9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7CDE9BF-99F8-4F2D-884C-306F25842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E0B03D8-1718-4AD1-83C5-97B22A162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A3E7D50-25EB-4B02-9A97-BC2EECCA6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528E8CD-3B89-4E99-962A-6F351318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F58D713-0720-4709-B26D-B165E5F48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33219F93-B849-4190-A292-057E7D479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8DC5E04-CEC9-4A09-9D57-9184364B6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81AE9311-CA6E-4705-A927-C1EDCF810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DB57BA8-19B7-4855-9103-C025586EA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3D61787-2146-4609-976B-6DD107DB5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09AD2E6-5C42-4E20-BA4E-9CBAADF52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1A710D08-CD83-4062-BDD5-213E0DCD6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D118920-1830-4291-89C4-E4FA61CBA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CAFAC5C8-72E9-4D99-9D3E-9F9448F68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DAF2E44-24B2-4FBC-8D33-53E42B8E1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F5BED44D-1C5D-45A5-8F78-18A85E6ED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18FA447-ED37-4B2A-A16F-BA335C578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1D264FE-A85E-411D-AF23-8DD945EC6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5F5CA69-9610-4D80-BB26-D4A2BB24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48996D6-7774-4603-884B-31E90DEF8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EE2D0FD-B27C-4450-9909-FDB14E234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CC58094-ED48-49F5-9565-7BFABD3A5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A27B1EE-3146-4AB2-9CAD-6701E6323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9965DD8-D814-4AE1-A0CA-E048B0F36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C303938-F284-4076-AD7B-2071C2FD2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350BCBA-19BD-4138-A127-4944E39A3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B2E364F-568B-46C6-A858-B52955CF3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DD88934-F0A5-4733-BD6E-E44D5FFE4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0329FA0-402D-4764-B545-B0A122831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6AB037B-F8C4-4FDA-BE4B-0A5923A5D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9EE6609-964F-46A1-B473-E18D1ADC6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4134495-7A62-4038-8D6E-CA9D7267B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ED4390D-885B-48A9-A79D-1A8B04204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010EFBB-9967-4FEE-AC3D-10BF8D4E0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50BFCCB-1E45-4607-B6A6-88EB98B78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EC2BDCF-EAF0-4AAD-8664-E0A011263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1B014857-E934-447A-AD32-EAA239891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7C60-C937-4F15-8FC9-7D94F7396EAC}">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164</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165</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87</v>
      </c>
      <c r="D8" s="6" t="s">
        <v>173</v>
      </c>
      <c r="E8" s="11">
        <v>1.9066E-2</v>
      </c>
      <c r="F8" s="1"/>
      <c r="G8" s="24" t="s">
        <v>15</v>
      </c>
      <c r="H8" s="25">
        <v>1</v>
      </c>
      <c r="I8" s="1"/>
      <c r="J8" s="24" t="s">
        <v>12</v>
      </c>
      <c r="K8" s="24" t="s">
        <v>5</v>
      </c>
      <c r="L8" s="1"/>
      <c r="M8" s="1"/>
      <c r="N8" s="18"/>
    </row>
    <row r="9" spans="2:14" ht="15" customHeight="1" x14ac:dyDescent="0.25">
      <c r="B9" s="20"/>
      <c r="C9" s="5" t="s">
        <v>88</v>
      </c>
      <c r="D9" s="34" t="s">
        <v>173</v>
      </c>
      <c r="E9" s="11">
        <v>1.9012999999999999E-2</v>
      </c>
      <c r="F9" s="1"/>
      <c r="G9" s="1"/>
      <c r="H9" s="1"/>
      <c r="I9" s="1"/>
      <c r="J9" s="24" t="s">
        <v>10</v>
      </c>
      <c r="K9" s="29">
        <v>1.76E-4</v>
      </c>
      <c r="L9" s="1"/>
      <c r="M9" s="1"/>
      <c r="N9" s="18"/>
    </row>
    <row r="10" spans="2:14" ht="15.75" customHeight="1" x14ac:dyDescent="0.25">
      <c r="B10" s="20"/>
      <c r="C10" s="7" t="s">
        <v>89</v>
      </c>
      <c r="D10" s="8"/>
      <c r="E10" s="12">
        <v>3.8079000000000002E-2</v>
      </c>
      <c r="F10" s="1"/>
      <c r="G10" s="1"/>
      <c r="H10" s="1"/>
      <c r="I10" s="1"/>
      <c r="J10" s="24" t="s">
        <v>13</v>
      </c>
      <c r="K10" s="29">
        <v>0.96174499999999996</v>
      </c>
      <c r="L10" s="1"/>
      <c r="M10" s="1"/>
      <c r="N10" s="18"/>
    </row>
    <row r="11" spans="2:14" ht="15" customHeight="1" x14ac:dyDescent="0.25">
      <c r="B11" s="20"/>
      <c r="C11" s="5" t="s">
        <v>8</v>
      </c>
      <c r="D11" s="6"/>
      <c r="E11" s="11">
        <v>0.96174499999999996</v>
      </c>
      <c r="F11" s="1"/>
      <c r="G11" s="1"/>
      <c r="H11" s="1"/>
      <c r="I11" s="1"/>
      <c r="J11" s="24" t="s">
        <v>90</v>
      </c>
      <c r="K11" s="29">
        <v>3.8079000000000002E-2</v>
      </c>
      <c r="L11" s="1"/>
      <c r="M11" s="1"/>
      <c r="N11" s="18"/>
    </row>
    <row r="12" spans="2:14" ht="15.75" customHeight="1" x14ac:dyDescent="0.25">
      <c r="B12" s="20"/>
      <c r="C12" s="7" t="s">
        <v>9</v>
      </c>
      <c r="D12" s="8"/>
      <c r="E12" s="12">
        <v>0.96174499999999996</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1.76E-4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129</v>
      </c>
      <c r="H24" s="98"/>
      <c r="I24" s="98"/>
      <c r="J24" s="98"/>
      <c r="K24" s="98"/>
      <c r="L24" s="79">
        <v>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80" t="s">
        <v>256</v>
      </c>
      <c r="C45" s="81"/>
      <c r="D45" s="81"/>
      <c r="E45" s="81"/>
      <c r="F45" s="81"/>
      <c r="G45" s="81"/>
      <c r="H45" s="81"/>
      <c r="I45" s="81"/>
      <c r="J45" s="81"/>
      <c r="K45" s="81"/>
      <c r="L45" s="81"/>
      <c r="M45" s="81"/>
      <c r="N45" s="82"/>
    </row>
    <row r="46" spans="2:14" x14ac:dyDescent="0.25">
      <c r="B46" s="83"/>
      <c r="C46" s="84"/>
      <c r="D46" s="84"/>
      <c r="E46" s="84"/>
      <c r="F46" s="84"/>
      <c r="G46" s="84"/>
      <c r="H46" s="84"/>
      <c r="I46" s="84"/>
      <c r="J46" s="84"/>
      <c r="K46" s="84"/>
      <c r="L46" s="84"/>
      <c r="M46" s="84"/>
      <c r="N46" s="85"/>
    </row>
    <row r="47" spans="2:14" ht="15.75" thickBot="1" x14ac:dyDescent="0.3">
      <c r="B47" s="86"/>
      <c r="C47" s="87"/>
      <c r="D47" s="87"/>
      <c r="E47" s="87"/>
      <c r="F47" s="87"/>
      <c r="G47" s="87"/>
      <c r="H47" s="87"/>
      <c r="I47" s="87"/>
      <c r="J47" s="87"/>
      <c r="K47" s="87"/>
      <c r="L47" s="87"/>
      <c r="M47" s="87"/>
      <c r="N47" s="88"/>
    </row>
    <row r="48" spans="2:14" ht="15.75" thickBot="1" x14ac:dyDescent="0.3"/>
    <row r="49" spans="2:14" ht="132.75" customHeight="1" thickBot="1" x14ac:dyDescent="0.3">
      <c r="B49" s="89" t="s">
        <v>257</v>
      </c>
      <c r="C49" s="90"/>
      <c r="D49" s="90"/>
      <c r="E49" s="90"/>
      <c r="F49" s="90"/>
      <c r="G49" s="90"/>
      <c r="H49" s="90"/>
      <c r="I49" s="90"/>
      <c r="J49" s="90"/>
      <c r="K49" s="90"/>
      <c r="L49" s="90"/>
      <c r="M49" s="90"/>
      <c r="N49" s="91"/>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26EB-860C-4F7B-BF67-4EC6DE910585}">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143</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42" t="s">
        <v>1</v>
      </c>
      <c r="D5" s="95" t="s">
        <v>171</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74</v>
      </c>
      <c r="D8" s="6" t="s">
        <v>22</v>
      </c>
      <c r="E8" s="11">
        <v>9.4867000000000007E-2</v>
      </c>
      <c r="F8" s="1"/>
      <c r="G8" s="24" t="s">
        <v>15</v>
      </c>
      <c r="H8" s="25">
        <v>1</v>
      </c>
      <c r="I8" s="1"/>
      <c r="J8" s="24" t="s">
        <v>12</v>
      </c>
      <c r="K8" s="24" t="s">
        <v>5</v>
      </c>
      <c r="L8" s="1"/>
      <c r="M8" s="1"/>
      <c r="N8" s="18"/>
    </row>
    <row r="9" spans="2:14" ht="15" customHeight="1" x14ac:dyDescent="0.25">
      <c r="B9" s="20"/>
      <c r="C9" s="5" t="s">
        <v>26</v>
      </c>
      <c r="D9" s="6" t="s">
        <v>22</v>
      </c>
      <c r="E9" s="11">
        <v>5.7057999999999998E-2</v>
      </c>
      <c r="F9" s="1"/>
      <c r="G9" s="1"/>
      <c r="H9" s="1"/>
      <c r="I9" s="1"/>
      <c r="J9" s="24" t="s">
        <v>10</v>
      </c>
      <c r="K9" s="29">
        <v>5.5099999999999995E-4</v>
      </c>
      <c r="L9" s="1"/>
      <c r="M9" s="1"/>
      <c r="N9" s="18"/>
    </row>
    <row r="10" spans="2:14" ht="15" customHeight="1" x14ac:dyDescent="0.25">
      <c r="B10" s="20"/>
      <c r="C10" s="5" t="s">
        <v>144</v>
      </c>
      <c r="D10" s="6" t="s">
        <v>22</v>
      </c>
      <c r="E10" s="11">
        <v>4.5239000000000001E-2</v>
      </c>
      <c r="F10" s="1"/>
      <c r="G10" s="1"/>
      <c r="H10" s="1"/>
      <c r="I10" s="1"/>
      <c r="J10" s="24" t="s">
        <v>13</v>
      </c>
      <c r="K10" s="29">
        <v>0.16708100000000001</v>
      </c>
      <c r="L10" s="1"/>
      <c r="M10" s="1"/>
      <c r="N10" s="18"/>
    </row>
    <row r="11" spans="2:14" ht="15" customHeight="1" x14ac:dyDescent="0.25">
      <c r="B11" s="20"/>
      <c r="C11" s="5" t="s">
        <v>145</v>
      </c>
      <c r="D11" s="6" t="s">
        <v>22</v>
      </c>
      <c r="E11" s="11">
        <v>2.2124000000000001E-2</v>
      </c>
      <c r="F11" s="1"/>
      <c r="G11" s="1"/>
      <c r="H11" s="1"/>
      <c r="I11" s="1"/>
      <c r="J11" s="24" t="s">
        <v>51</v>
      </c>
      <c r="K11" s="29">
        <v>0.30665300000000001</v>
      </c>
      <c r="L11" s="1"/>
      <c r="M11" s="1"/>
      <c r="N11" s="18"/>
    </row>
    <row r="12" spans="2:14" ht="15" customHeight="1" x14ac:dyDescent="0.25">
      <c r="B12" s="20"/>
      <c r="C12" s="5" t="s">
        <v>35</v>
      </c>
      <c r="D12" s="6" t="s">
        <v>22</v>
      </c>
      <c r="E12" s="11">
        <v>2.1333999999999999E-2</v>
      </c>
      <c r="F12" s="1"/>
      <c r="G12" s="1"/>
      <c r="H12" s="1"/>
      <c r="I12" s="1"/>
      <c r="J12" s="24" t="s">
        <v>52</v>
      </c>
      <c r="K12" s="29">
        <v>9.1439999999999994E-3</v>
      </c>
      <c r="L12" s="1"/>
      <c r="M12" s="1"/>
      <c r="N12" s="18"/>
    </row>
    <row r="13" spans="2:14" ht="15" customHeight="1" x14ac:dyDescent="0.25">
      <c r="B13" s="20"/>
      <c r="C13" s="5" t="s">
        <v>32</v>
      </c>
      <c r="D13" s="6" t="s">
        <v>22</v>
      </c>
      <c r="E13" s="11">
        <v>1.9091E-2</v>
      </c>
      <c r="F13" s="1"/>
      <c r="G13" s="1"/>
      <c r="H13" s="1"/>
      <c r="I13" s="1"/>
      <c r="J13" s="24" t="s">
        <v>53</v>
      </c>
      <c r="K13" s="29">
        <v>0.36571300000000001</v>
      </c>
      <c r="L13" s="1"/>
      <c r="M13" s="1"/>
      <c r="N13" s="18"/>
    </row>
    <row r="14" spans="2:14" ht="15" customHeight="1" x14ac:dyDescent="0.25">
      <c r="B14" s="20"/>
      <c r="C14" s="5" t="s">
        <v>137</v>
      </c>
      <c r="D14" s="6" t="s">
        <v>22</v>
      </c>
      <c r="E14" s="11">
        <v>1.7666999999999999E-2</v>
      </c>
      <c r="F14" s="1"/>
      <c r="G14" s="1"/>
      <c r="H14" s="1"/>
      <c r="I14" s="1"/>
      <c r="J14" s="24" t="s">
        <v>46</v>
      </c>
      <c r="K14" s="29">
        <v>1.673E-3</v>
      </c>
      <c r="L14" s="1"/>
      <c r="M14" s="1"/>
      <c r="N14" s="18"/>
    </row>
    <row r="15" spans="2:14" ht="15" customHeight="1" x14ac:dyDescent="0.25">
      <c r="B15" s="20"/>
      <c r="C15" s="5" t="s">
        <v>29</v>
      </c>
      <c r="D15" s="6" t="s">
        <v>22</v>
      </c>
      <c r="E15" s="11">
        <v>1.4746E-2</v>
      </c>
      <c r="F15" s="1"/>
      <c r="G15" s="1"/>
      <c r="H15" s="1"/>
      <c r="I15" s="1"/>
      <c r="J15" s="24" t="s">
        <v>55</v>
      </c>
      <c r="K15" s="29">
        <v>2.954E-3</v>
      </c>
      <c r="L15" s="1"/>
      <c r="M15" s="1"/>
      <c r="N15" s="18"/>
    </row>
    <row r="16" spans="2:14" ht="15" customHeight="1" x14ac:dyDescent="0.25">
      <c r="B16" s="20"/>
      <c r="C16" s="5" t="s">
        <v>81</v>
      </c>
      <c r="D16" s="6" t="s">
        <v>22</v>
      </c>
      <c r="E16" s="11">
        <v>1.4527E-2</v>
      </c>
      <c r="F16" s="1"/>
      <c r="G16" s="1"/>
      <c r="H16" s="1"/>
      <c r="I16" s="1"/>
      <c r="J16" s="24" t="s">
        <v>90</v>
      </c>
      <c r="K16" s="29">
        <v>0.146231</v>
      </c>
      <c r="L16" s="1"/>
      <c r="M16" s="1"/>
      <c r="N16" s="18"/>
    </row>
    <row r="17" spans="2:14" ht="15.75" customHeight="1" x14ac:dyDescent="0.25">
      <c r="B17" s="20"/>
      <c r="C17" s="7" t="s">
        <v>27</v>
      </c>
      <c r="D17" s="8"/>
      <c r="E17" s="12">
        <v>0.30665300000000001</v>
      </c>
      <c r="F17" s="1"/>
      <c r="G17" s="1"/>
      <c r="H17" s="1"/>
      <c r="I17" s="1"/>
      <c r="J17" s="1"/>
      <c r="K17" s="1"/>
      <c r="L17" s="1"/>
      <c r="M17" s="1"/>
      <c r="N17" s="18"/>
    </row>
    <row r="18" spans="2:14" ht="15" customHeight="1" x14ac:dyDescent="0.25">
      <c r="B18" s="20"/>
      <c r="C18" s="5" t="s">
        <v>146</v>
      </c>
      <c r="D18" s="6" t="s">
        <v>22</v>
      </c>
      <c r="E18" s="11">
        <v>6.7195000000000005E-2</v>
      </c>
      <c r="F18" s="1"/>
      <c r="G18" s="1"/>
      <c r="H18" s="1"/>
      <c r="I18" s="1"/>
      <c r="J18" s="1"/>
      <c r="K18" s="1"/>
      <c r="L18" s="1"/>
      <c r="M18" s="1"/>
      <c r="N18" s="18"/>
    </row>
    <row r="19" spans="2:14" ht="15" customHeight="1" x14ac:dyDescent="0.25">
      <c r="B19" s="20"/>
      <c r="C19" s="5" t="s">
        <v>75</v>
      </c>
      <c r="D19" s="6" t="s">
        <v>22</v>
      </c>
      <c r="E19" s="11">
        <v>5.2275000000000002E-2</v>
      </c>
      <c r="F19" s="1"/>
      <c r="G19" s="1"/>
      <c r="H19" s="1"/>
      <c r="I19" s="1"/>
      <c r="J19" s="1"/>
      <c r="K19" s="1"/>
      <c r="L19" s="1"/>
      <c r="M19" s="1"/>
      <c r="N19" s="18"/>
    </row>
    <row r="20" spans="2:14" ht="15" customHeight="1" x14ac:dyDescent="0.25">
      <c r="B20" s="20"/>
      <c r="C20" s="5" t="s">
        <v>32</v>
      </c>
      <c r="D20" s="6" t="s">
        <v>22</v>
      </c>
      <c r="E20" s="11">
        <v>4.4997000000000002E-2</v>
      </c>
      <c r="F20" s="1"/>
      <c r="G20" s="1"/>
      <c r="H20" s="1"/>
      <c r="I20" s="1"/>
      <c r="J20" s="1"/>
      <c r="K20" s="1"/>
      <c r="L20" s="1"/>
      <c r="M20" s="1"/>
      <c r="N20" s="18"/>
    </row>
    <row r="21" spans="2:14" ht="15" customHeight="1" x14ac:dyDescent="0.25">
      <c r="B21" s="20"/>
      <c r="C21" s="5" t="s">
        <v>29</v>
      </c>
      <c r="D21" s="6" t="s">
        <v>22</v>
      </c>
      <c r="E21" s="11">
        <v>3.4873000000000001E-2</v>
      </c>
      <c r="F21" s="1"/>
      <c r="G21" s="1"/>
      <c r="H21" s="1"/>
      <c r="I21" s="1"/>
      <c r="J21" s="1"/>
      <c r="K21" s="1"/>
      <c r="L21" s="1"/>
      <c r="M21" s="1"/>
      <c r="N21" s="18"/>
    </row>
    <row r="22" spans="2:14" ht="15" customHeight="1" x14ac:dyDescent="0.25">
      <c r="B22" s="20"/>
      <c r="C22" s="5" t="s">
        <v>84</v>
      </c>
      <c r="D22" s="6" t="s">
        <v>22</v>
      </c>
      <c r="E22" s="11">
        <v>2.9072000000000001E-2</v>
      </c>
      <c r="F22" s="1"/>
      <c r="G22" s="1"/>
      <c r="H22" s="1"/>
      <c r="I22" s="1"/>
      <c r="J22" s="1"/>
      <c r="K22" s="1"/>
      <c r="L22" s="1"/>
      <c r="M22" s="1"/>
      <c r="N22" s="18"/>
    </row>
    <row r="23" spans="2:14" ht="15" customHeight="1" x14ac:dyDescent="0.25">
      <c r="B23" s="20"/>
      <c r="C23" s="5" t="s">
        <v>25</v>
      </c>
      <c r="D23" s="6" t="s">
        <v>22</v>
      </c>
      <c r="E23" s="11">
        <v>2.9062000000000001E-2</v>
      </c>
      <c r="F23" s="1"/>
      <c r="G23" s="1"/>
      <c r="H23" s="1"/>
      <c r="I23" s="1"/>
      <c r="J23" s="1"/>
      <c r="K23" s="1"/>
      <c r="L23" s="1"/>
      <c r="M23" s="1"/>
      <c r="N23" s="18"/>
    </row>
    <row r="24" spans="2:14" ht="15" customHeight="1" x14ac:dyDescent="0.25">
      <c r="B24" s="20"/>
      <c r="C24" s="5" t="s">
        <v>147</v>
      </c>
      <c r="D24" s="6" t="s">
        <v>22</v>
      </c>
      <c r="E24" s="11">
        <v>2.3279999999999999E-2</v>
      </c>
      <c r="F24" s="1"/>
      <c r="G24" s="97" t="s">
        <v>129</v>
      </c>
      <c r="H24" s="98"/>
      <c r="I24" s="98"/>
      <c r="J24" s="98"/>
      <c r="K24" s="98"/>
      <c r="L24" s="79">
        <v>42.520463755062998</v>
      </c>
      <c r="M24" s="27"/>
      <c r="N24" s="28"/>
    </row>
    <row r="25" spans="2:14" ht="15" customHeight="1" x14ac:dyDescent="0.25">
      <c r="B25" s="20"/>
      <c r="C25" s="5" t="s">
        <v>148</v>
      </c>
      <c r="D25" s="6" t="s">
        <v>22</v>
      </c>
      <c r="E25" s="11">
        <v>2.0514999999999999E-2</v>
      </c>
      <c r="F25" s="1"/>
      <c r="G25" s="1"/>
      <c r="H25" s="1"/>
      <c r="I25" s="1"/>
      <c r="J25" s="1"/>
      <c r="K25" s="1"/>
      <c r="L25" s="1"/>
      <c r="M25" s="1"/>
      <c r="N25" s="18"/>
    </row>
    <row r="26" spans="2:14" ht="15" customHeight="1" x14ac:dyDescent="0.25">
      <c r="B26" s="20"/>
      <c r="C26" s="5" t="s">
        <v>82</v>
      </c>
      <c r="D26" s="6" t="s">
        <v>22</v>
      </c>
      <c r="E26" s="11">
        <v>1.4746E-2</v>
      </c>
      <c r="F26" s="1"/>
      <c r="G26" s="97" t="s">
        <v>18</v>
      </c>
      <c r="H26" s="98"/>
      <c r="I26" s="98"/>
      <c r="J26" s="98"/>
      <c r="K26" s="98"/>
      <c r="L26" s="98"/>
      <c r="M26" s="98"/>
      <c r="N26" s="99"/>
    </row>
    <row r="27" spans="2:14" ht="15" customHeight="1" x14ac:dyDescent="0.25">
      <c r="B27" s="20"/>
      <c r="C27" s="5" t="s">
        <v>149</v>
      </c>
      <c r="D27" s="6" t="s">
        <v>22</v>
      </c>
      <c r="E27" s="11">
        <v>1.4707E-2</v>
      </c>
      <c r="F27" s="1"/>
      <c r="G27" s="1"/>
      <c r="H27" s="1"/>
      <c r="I27" s="1"/>
      <c r="J27" s="1"/>
      <c r="K27" s="1"/>
      <c r="L27" s="1"/>
      <c r="M27" s="1"/>
      <c r="N27" s="18"/>
    </row>
    <row r="28" spans="2:14" ht="15" customHeight="1" x14ac:dyDescent="0.25">
      <c r="B28" s="20"/>
      <c r="C28" s="5" t="s">
        <v>34</v>
      </c>
      <c r="D28" s="6" t="s">
        <v>22</v>
      </c>
      <c r="E28" s="11">
        <v>1.4536E-2</v>
      </c>
      <c r="F28" s="1"/>
      <c r="G28" s="1"/>
      <c r="H28" s="1"/>
      <c r="I28" s="1"/>
      <c r="J28" s="1"/>
      <c r="K28" s="1"/>
      <c r="L28" s="1"/>
      <c r="M28" s="1"/>
      <c r="N28" s="18"/>
    </row>
    <row r="29" spans="2:14" ht="15" customHeight="1" x14ac:dyDescent="0.25">
      <c r="B29" s="20"/>
      <c r="C29" s="5" t="s">
        <v>150</v>
      </c>
      <c r="D29" s="6" t="s">
        <v>22</v>
      </c>
      <c r="E29" s="11">
        <v>1.1642E-2</v>
      </c>
      <c r="F29" s="1"/>
      <c r="G29" s="1"/>
      <c r="H29" s="1"/>
      <c r="I29" s="1"/>
      <c r="J29" s="1"/>
      <c r="K29" s="1"/>
      <c r="L29" s="1"/>
      <c r="M29" s="1"/>
      <c r="N29" s="18"/>
    </row>
    <row r="30" spans="2:14" ht="15" customHeight="1" x14ac:dyDescent="0.25">
      <c r="B30" s="20"/>
      <c r="C30" s="5" t="s">
        <v>35</v>
      </c>
      <c r="D30" s="6" t="s">
        <v>22</v>
      </c>
      <c r="E30" s="11">
        <v>5.8890000000000001E-3</v>
      </c>
      <c r="F30" s="1"/>
      <c r="G30" s="1"/>
      <c r="H30" s="1"/>
      <c r="I30" s="1"/>
      <c r="J30" s="1"/>
      <c r="K30" s="1"/>
      <c r="L30" s="1"/>
      <c r="M30" s="1"/>
      <c r="N30" s="18"/>
    </row>
    <row r="31" spans="2:14" ht="15" customHeight="1" x14ac:dyDescent="0.25">
      <c r="B31" s="20"/>
      <c r="C31" s="5" t="s">
        <v>151</v>
      </c>
      <c r="D31" s="6" t="s">
        <v>22</v>
      </c>
      <c r="E31" s="11">
        <v>2.9239999999999999E-3</v>
      </c>
      <c r="F31" s="1"/>
      <c r="G31" s="1"/>
      <c r="H31" s="1"/>
      <c r="I31" s="1"/>
      <c r="J31" s="1"/>
      <c r="K31" s="1"/>
      <c r="L31" s="1"/>
      <c r="M31" s="1"/>
      <c r="N31" s="18"/>
    </row>
    <row r="32" spans="2:14" ht="15.75" customHeight="1" x14ac:dyDescent="0.25">
      <c r="B32" s="20"/>
      <c r="C32" s="7" t="s">
        <v>28</v>
      </c>
      <c r="D32" s="8"/>
      <c r="E32" s="12">
        <v>0.36571300000000001</v>
      </c>
      <c r="F32" s="1"/>
      <c r="G32" s="1"/>
      <c r="H32" s="1"/>
      <c r="I32" s="1"/>
      <c r="J32" s="1"/>
      <c r="K32" s="1"/>
      <c r="L32" s="1"/>
      <c r="M32" s="1"/>
      <c r="N32" s="18"/>
    </row>
    <row r="33" spans="2:14" ht="15" customHeight="1" x14ac:dyDescent="0.25">
      <c r="B33" s="20"/>
      <c r="C33" s="5" t="s">
        <v>36</v>
      </c>
      <c r="D33" s="6" t="s">
        <v>30</v>
      </c>
      <c r="E33" s="11">
        <v>5.3090000000000004E-3</v>
      </c>
      <c r="F33" s="1"/>
      <c r="G33" s="1"/>
      <c r="H33" s="1"/>
      <c r="I33" s="1"/>
      <c r="J33" s="1"/>
      <c r="K33" s="1"/>
      <c r="L33" s="1"/>
      <c r="M33" s="1"/>
      <c r="N33" s="18"/>
    </row>
    <row r="34" spans="2:14" ht="15" customHeight="1" x14ac:dyDescent="0.25">
      <c r="B34" s="20"/>
      <c r="C34" s="5" t="s">
        <v>77</v>
      </c>
      <c r="D34" s="6" t="s">
        <v>30</v>
      </c>
      <c r="E34" s="11">
        <v>3.8349999999999999E-3</v>
      </c>
      <c r="F34" s="1"/>
      <c r="G34" s="1"/>
      <c r="H34" s="1"/>
      <c r="I34" s="1"/>
      <c r="J34" s="1"/>
      <c r="K34" s="1"/>
      <c r="L34" s="1"/>
      <c r="M34" s="1"/>
      <c r="N34" s="18"/>
    </row>
    <row r="35" spans="2:14" ht="15.75" customHeight="1" x14ac:dyDescent="0.25">
      <c r="B35" s="20"/>
      <c r="C35" s="7" t="s">
        <v>45</v>
      </c>
      <c r="D35" s="8"/>
      <c r="E35" s="12">
        <v>9.1439999999999994E-3</v>
      </c>
      <c r="F35" s="1"/>
      <c r="G35" s="1"/>
      <c r="H35" s="1"/>
      <c r="I35" s="1"/>
      <c r="J35" s="1"/>
      <c r="K35" s="1"/>
      <c r="L35" s="1"/>
      <c r="M35" s="1"/>
      <c r="N35" s="18"/>
    </row>
    <row r="36" spans="2:14" ht="15" customHeight="1" x14ac:dyDescent="0.25">
      <c r="B36" s="20"/>
      <c r="C36" s="5" t="s">
        <v>46</v>
      </c>
      <c r="D36" s="6"/>
      <c r="E36" s="11">
        <v>1.673E-3</v>
      </c>
      <c r="F36" s="1"/>
      <c r="G36" s="1"/>
      <c r="H36" s="1"/>
      <c r="I36" s="1"/>
      <c r="J36" s="1"/>
      <c r="K36" s="1"/>
      <c r="L36" s="1"/>
      <c r="M36" s="1"/>
      <c r="N36" s="18"/>
    </row>
    <row r="37" spans="2:14" ht="15.75" customHeight="1" x14ac:dyDescent="0.25">
      <c r="B37" s="20"/>
      <c r="C37" s="7" t="s">
        <v>47</v>
      </c>
      <c r="D37" s="8"/>
      <c r="E37" s="12">
        <v>1.673E-3</v>
      </c>
      <c r="F37" s="1"/>
      <c r="G37" s="1"/>
      <c r="H37" s="1"/>
      <c r="I37" s="1"/>
      <c r="J37" s="1"/>
      <c r="K37" s="1"/>
      <c r="L37" s="1"/>
      <c r="M37" s="1"/>
      <c r="N37" s="18"/>
    </row>
    <row r="38" spans="2:14" ht="15" customHeight="1" x14ac:dyDescent="0.25">
      <c r="B38" s="20"/>
      <c r="C38" s="5" t="s">
        <v>174</v>
      </c>
      <c r="D38" s="6" t="s">
        <v>173</v>
      </c>
      <c r="E38" s="11">
        <v>2.954E-3</v>
      </c>
      <c r="F38" s="1"/>
      <c r="G38" s="1"/>
      <c r="H38" s="1"/>
      <c r="I38" s="1"/>
      <c r="J38" s="1"/>
      <c r="K38" s="1"/>
      <c r="L38" s="1"/>
      <c r="M38" s="1"/>
      <c r="N38" s="18"/>
    </row>
    <row r="39" spans="2:14" ht="15.75" customHeight="1" x14ac:dyDescent="0.25">
      <c r="B39" s="20"/>
      <c r="C39" s="7" t="s">
        <v>50</v>
      </c>
      <c r="D39" s="8"/>
      <c r="E39" s="12">
        <v>2.954E-3</v>
      </c>
      <c r="F39" s="1"/>
      <c r="G39" s="1"/>
      <c r="H39" s="1"/>
      <c r="I39" s="1"/>
      <c r="J39" s="1"/>
      <c r="K39" s="1"/>
      <c r="L39" s="1"/>
      <c r="M39" s="1"/>
      <c r="N39" s="18"/>
    </row>
    <row r="40" spans="2:14" ht="15" customHeight="1" x14ac:dyDescent="0.25">
      <c r="B40" s="20"/>
      <c r="C40" s="5" t="s">
        <v>152</v>
      </c>
      <c r="D40" s="34" t="s">
        <v>173</v>
      </c>
      <c r="E40" s="11">
        <v>6.1565000000000002E-2</v>
      </c>
      <c r="F40" s="1"/>
      <c r="G40" s="1"/>
      <c r="H40" s="1"/>
      <c r="I40" s="1"/>
      <c r="J40" s="1"/>
      <c r="K40" s="1"/>
      <c r="L40" s="1"/>
      <c r="M40" s="1"/>
      <c r="N40" s="18"/>
    </row>
    <row r="41" spans="2:14" ht="15" customHeight="1" x14ac:dyDescent="0.25">
      <c r="B41" s="20"/>
      <c r="C41" s="5" t="s">
        <v>153</v>
      </c>
      <c r="D41" s="34" t="s">
        <v>173</v>
      </c>
      <c r="E41" s="11">
        <v>5.5382000000000001E-2</v>
      </c>
      <c r="F41" s="1"/>
      <c r="G41" s="1"/>
      <c r="H41" s="1"/>
      <c r="I41" s="1"/>
      <c r="J41" s="1"/>
      <c r="K41" s="1"/>
      <c r="L41" s="1"/>
      <c r="M41" s="1"/>
      <c r="N41" s="18"/>
    </row>
    <row r="42" spans="2:14" ht="15" customHeight="1" x14ac:dyDescent="0.25">
      <c r="B42" s="20"/>
      <c r="C42" s="5" t="s">
        <v>154</v>
      </c>
      <c r="D42" s="34" t="s">
        <v>173</v>
      </c>
      <c r="E42" s="11">
        <v>1.4747E-2</v>
      </c>
      <c r="F42" s="1"/>
      <c r="G42" s="1"/>
      <c r="H42" s="1"/>
      <c r="I42" s="1"/>
      <c r="J42" s="1"/>
      <c r="K42" s="1"/>
      <c r="L42" s="1"/>
      <c r="M42" s="1"/>
      <c r="N42" s="18"/>
    </row>
    <row r="43" spans="2:14" ht="15" customHeight="1" x14ac:dyDescent="0.25">
      <c r="B43" s="20"/>
      <c r="C43" s="5" t="s">
        <v>155</v>
      </c>
      <c r="D43" s="34" t="s">
        <v>173</v>
      </c>
      <c r="E43" s="11">
        <v>1.4537E-2</v>
      </c>
      <c r="F43" s="1"/>
      <c r="G43" s="1"/>
      <c r="H43" s="1"/>
      <c r="I43" s="1"/>
      <c r="J43" s="1"/>
      <c r="K43" s="1"/>
      <c r="L43" s="1"/>
      <c r="M43" s="1"/>
      <c r="N43" s="18"/>
    </row>
    <row r="44" spans="2:14" ht="15.75" customHeight="1" x14ac:dyDescent="0.25">
      <c r="B44" s="20"/>
      <c r="C44" s="7" t="s">
        <v>89</v>
      </c>
      <c r="D44" s="8"/>
      <c r="E44" s="12">
        <v>0.146231</v>
      </c>
      <c r="F44" s="1"/>
      <c r="G44" s="1"/>
      <c r="H44" s="1"/>
      <c r="I44" s="1"/>
      <c r="J44" s="1"/>
      <c r="K44" s="1"/>
      <c r="L44" s="1"/>
      <c r="M44" s="1"/>
      <c r="N44" s="18"/>
    </row>
    <row r="45" spans="2:14" ht="15" customHeight="1" x14ac:dyDescent="0.25">
      <c r="B45" s="20"/>
      <c r="C45" s="5" t="s">
        <v>8</v>
      </c>
      <c r="D45" s="6"/>
      <c r="E45" s="11">
        <v>0.16708100000000001</v>
      </c>
      <c r="F45" s="1"/>
      <c r="G45" s="1"/>
      <c r="H45" s="1"/>
      <c r="I45" s="1"/>
      <c r="J45" s="1"/>
      <c r="K45" s="1"/>
      <c r="L45" s="1"/>
      <c r="M45" s="1"/>
      <c r="N45" s="18"/>
    </row>
    <row r="46" spans="2:14" ht="15.75" customHeight="1" x14ac:dyDescent="0.25">
      <c r="B46" s="20"/>
      <c r="C46" s="7" t="s">
        <v>9</v>
      </c>
      <c r="D46" s="8"/>
      <c r="E46" s="12">
        <v>0.16708100000000001</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10</v>
      </c>
      <c r="D48" s="8"/>
      <c r="E48" s="12">
        <v>5.5099999999999995E-4</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11</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80" t="s">
        <v>258</v>
      </c>
      <c r="C54" s="81"/>
      <c r="D54" s="81"/>
      <c r="E54" s="81"/>
      <c r="F54" s="81"/>
      <c r="G54" s="81"/>
      <c r="H54" s="81"/>
      <c r="I54" s="81"/>
      <c r="J54" s="81"/>
      <c r="K54" s="81"/>
      <c r="L54" s="81"/>
      <c r="M54" s="81"/>
      <c r="N54" s="82"/>
    </row>
    <row r="55" spans="2:14" ht="15" customHeight="1" x14ac:dyDescent="0.25">
      <c r="B55" s="83"/>
      <c r="C55" s="84"/>
      <c r="D55" s="84"/>
      <c r="E55" s="84"/>
      <c r="F55" s="84"/>
      <c r="G55" s="84"/>
      <c r="H55" s="84"/>
      <c r="I55" s="84"/>
      <c r="J55" s="84"/>
      <c r="K55" s="84"/>
      <c r="L55" s="84"/>
      <c r="M55" s="84"/>
      <c r="N55" s="85"/>
    </row>
    <row r="56" spans="2:14" ht="15" customHeight="1" x14ac:dyDescent="0.25">
      <c r="B56" s="83"/>
      <c r="C56" s="84"/>
      <c r="D56" s="84"/>
      <c r="E56" s="84"/>
      <c r="F56" s="84"/>
      <c r="G56" s="84"/>
      <c r="H56" s="84"/>
      <c r="I56" s="84"/>
      <c r="J56" s="84"/>
      <c r="K56" s="84"/>
      <c r="L56" s="84"/>
      <c r="M56" s="84"/>
      <c r="N56" s="85"/>
    </row>
    <row r="57" spans="2:14" ht="15" customHeight="1" thickBot="1" x14ac:dyDescent="0.3">
      <c r="B57" s="86"/>
      <c r="C57" s="87"/>
      <c r="D57" s="87"/>
      <c r="E57" s="87"/>
      <c r="F57" s="87"/>
      <c r="G57" s="87"/>
      <c r="H57" s="87"/>
      <c r="I57" s="87"/>
      <c r="J57" s="87"/>
      <c r="K57" s="87"/>
      <c r="L57" s="87"/>
      <c r="M57" s="87"/>
      <c r="N57" s="88"/>
    </row>
    <row r="58" spans="2:14" ht="15" customHeight="1" thickBot="1" x14ac:dyDescent="0.3">
      <c r="B58" s="31"/>
      <c r="C58" s="31"/>
      <c r="D58" s="31"/>
      <c r="E58" s="31"/>
      <c r="F58" s="31"/>
      <c r="G58" s="31"/>
      <c r="H58" s="31"/>
      <c r="I58" s="31"/>
      <c r="J58" s="31"/>
      <c r="K58" s="31"/>
      <c r="L58" s="31"/>
      <c r="M58" s="31"/>
      <c r="N58" s="31"/>
    </row>
    <row r="59" spans="2:14" ht="122.25" customHeight="1" thickBot="1" x14ac:dyDescent="0.3">
      <c r="B59" s="89" t="s">
        <v>257</v>
      </c>
      <c r="C59" s="90"/>
      <c r="D59" s="90"/>
      <c r="E59" s="90"/>
      <c r="F59" s="90"/>
      <c r="G59" s="90"/>
      <c r="H59" s="90"/>
      <c r="I59" s="90"/>
      <c r="J59" s="90"/>
      <c r="K59" s="90"/>
      <c r="L59" s="90"/>
      <c r="M59" s="90"/>
      <c r="N59" s="91"/>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mergeCells count="7">
    <mergeCell ref="B54:N57"/>
    <mergeCell ref="B59:N59"/>
    <mergeCell ref="C3:N3"/>
    <mergeCell ref="G7:N7"/>
    <mergeCell ref="G24:K24"/>
    <mergeCell ref="G26:N26"/>
    <mergeCell ref="D5:E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CA4C-02C9-47FD-9E5C-FF481B7F7430}">
  <dimension ref="B1:N80"/>
  <sheetViews>
    <sheetView showGridLines="0" zoomScale="75" zoomScaleNormal="75" workbookViewId="0"/>
  </sheetViews>
  <sheetFormatPr defaultRowHeight="15" x14ac:dyDescent="0.25"/>
  <cols>
    <col min="1" max="1" width="2.85546875" style="31" customWidth="1"/>
    <col min="2" max="2" width="3.85546875" style="31" customWidth="1"/>
    <col min="3" max="3" width="60.85546875" style="31" bestFit="1" customWidth="1"/>
    <col min="4" max="4" width="13.7109375" style="31" customWidth="1"/>
    <col min="5" max="5" width="16.7109375" style="31" customWidth="1"/>
    <col min="6" max="6" width="9.140625" style="31"/>
    <col min="7" max="7" width="10.7109375" style="31" customWidth="1"/>
    <col min="8" max="8" width="9.5703125" style="31" customWidth="1"/>
    <col min="9" max="10" width="9.28515625" style="31" customWidth="1"/>
    <col min="11" max="12" width="16.42578125" style="31" customWidth="1"/>
    <col min="13" max="16384" width="9.140625" style="3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44"/>
      <c r="C3" s="92" t="s">
        <v>261</v>
      </c>
      <c r="D3" s="93"/>
      <c r="E3" s="93"/>
      <c r="F3" s="93"/>
      <c r="G3" s="93"/>
      <c r="H3" s="93"/>
      <c r="I3" s="93"/>
      <c r="J3" s="93"/>
      <c r="K3" s="93"/>
      <c r="L3" s="93"/>
      <c r="M3" s="93"/>
      <c r="N3" s="94"/>
    </row>
    <row r="4" spans="2:14" ht="15.75" customHeight="1" x14ac:dyDescent="0.25">
      <c r="B4" s="44"/>
      <c r="C4" s="14"/>
      <c r="D4" s="32"/>
      <c r="E4" s="32"/>
      <c r="F4" s="32"/>
      <c r="G4" s="32"/>
      <c r="H4" s="32"/>
      <c r="I4" s="32"/>
      <c r="J4" s="32"/>
      <c r="K4" s="32"/>
      <c r="L4" s="32"/>
      <c r="M4" s="32"/>
      <c r="N4" s="43"/>
    </row>
    <row r="5" spans="2:14" ht="18" customHeight="1" x14ac:dyDescent="0.25">
      <c r="B5" s="44"/>
      <c r="C5" s="42" t="s">
        <v>1</v>
      </c>
      <c r="D5" s="95" t="s">
        <v>262</v>
      </c>
      <c r="E5" s="96"/>
      <c r="F5" s="32"/>
      <c r="G5" s="32"/>
      <c r="H5" s="32"/>
      <c r="I5" s="32"/>
      <c r="J5" s="32"/>
      <c r="K5" s="32"/>
      <c r="L5" s="32"/>
      <c r="M5" s="32"/>
      <c r="N5" s="43"/>
    </row>
    <row r="6" spans="2:14" ht="15" customHeight="1" x14ac:dyDescent="0.25">
      <c r="B6" s="44"/>
      <c r="C6" s="32"/>
      <c r="D6" s="32"/>
      <c r="E6" s="32"/>
      <c r="F6" s="32"/>
      <c r="G6" s="32"/>
      <c r="H6" s="32"/>
      <c r="I6" s="32"/>
      <c r="J6" s="32"/>
      <c r="K6" s="32"/>
      <c r="L6" s="32"/>
      <c r="M6" s="32"/>
      <c r="N6" s="43"/>
    </row>
    <row r="7" spans="2:14" ht="32.25" customHeight="1" x14ac:dyDescent="0.25">
      <c r="B7" s="44"/>
      <c r="C7" s="4" t="s">
        <v>3</v>
      </c>
      <c r="D7" s="3" t="s">
        <v>4</v>
      </c>
      <c r="E7" s="2" t="s">
        <v>5</v>
      </c>
      <c r="F7" s="32"/>
      <c r="G7" s="97" t="s">
        <v>16</v>
      </c>
      <c r="H7" s="98"/>
      <c r="I7" s="98"/>
      <c r="J7" s="98"/>
      <c r="K7" s="98"/>
      <c r="L7" s="98"/>
      <c r="M7" s="98"/>
      <c r="N7" s="99"/>
    </row>
    <row r="8" spans="2:14" ht="15" customHeight="1" x14ac:dyDescent="0.25">
      <c r="B8" s="44"/>
      <c r="C8" s="33" t="s">
        <v>32</v>
      </c>
      <c r="D8" s="34" t="s">
        <v>22</v>
      </c>
      <c r="E8" s="39">
        <v>0.102867</v>
      </c>
      <c r="F8" s="32"/>
      <c r="G8" s="24" t="s">
        <v>15</v>
      </c>
      <c r="H8" s="25">
        <v>1</v>
      </c>
      <c r="I8" s="32"/>
      <c r="J8" s="24" t="s">
        <v>12</v>
      </c>
      <c r="K8" s="24" t="s">
        <v>5</v>
      </c>
      <c r="L8" s="32"/>
      <c r="M8" s="32"/>
      <c r="N8" s="43"/>
    </row>
    <row r="9" spans="2:14" ht="15" customHeight="1" x14ac:dyDescent="0.25">
      <c r="B9" s="44"/>
      <c r="C9" s="33" t="s">
        <v>29</v>
      </c>
      <c r="D9" s="34" t="s">
        <v>22</v>
      </c>
      <c r="E9" s="39">
        <v>9.1281000000000001E-2</v>
      </c>
      <c r="F9" s="32"/>
      <c r="G9" s="32"/>
      <c r="H9" s="32"/>
      <c r="I9" s="32"/>
      <c r="J9" s="24" t="s">
        <v>10</v>
      </c>
      <c r="K9" s="29">
        <v>2.3904000000000002E-2</v>
      </c>
      <c r="L9" s="32"/>
      <c r="M9" s="32"/>
      <c r="N9" s="43"/>
    </row>
    <row r="10" spans="2:14" ht="15" customHeight="1" x14ac:dyDescent="0.25">
      <c r="B10" s="44"/>
      <c r="C10" s="33" t="s">
        <v>35</v>
      </c>
      <c r="D10" s="34" t="s">
        <v>22</v>
      </c>
      <c r="E10" s="39">
        <v>8.6982000000000004E-2</v>
      </c>
      <c r="F10" s="32"/>
      <c r="G10" s="32"/>
      <c r="H10" s="32"/>
      <c r="I10" s="32"/>
      <c r="J10" s="24" t="s">
        <v>13</v>
      </c>
      <c r="K10" s="29">
        <v>9.7210000000000005E-3</v>
      </c>
      <c r="L10" s="32"/>
      <c r="M10" s="32"/>
      <c r="N10" s="43"/>
    </row>
    <row r="11" spans="2:14" ht="15" customHeight="1" x14ac:dyDescent="0.25">
      <c r="B11" s="44"/>
      <c r="C11" s="33" t="s">
        <v>26</v>
      </c>
      <c r="D11" s="34" t="s">
        <v>22</v>
      </c>
      <c r="E11" s="39">
        <v>5.9409000000000003E-2</v>
      </c>
      <c r="F11" s="32"/>
      <c r="G11" s="32"/>
      <c r="H11" s="32"/>
      <c r="I11" s="32"/>
      <c r="J11" s="24" t="s">
        <v>51</v>
      </c>
      <c r="K11" s="29">
        <v>0.57094699999999998</v>
      </c>
      <c r="L11" s="32"/>
      <c r="M11" s="32"/>
      <c r="N11" s="43"/>
    </row>
    <row r="12" spans="2:14" ht="15" customHeight="1" x14ac:dyDescent="0.25">
      <c r="B12" s="44"/>
      <c r="C12" s="33" t="s">
        <v>24</v>
      </c>
      <c r="D12" s="34" t="s">
        <v>22</v>
      </c>
      <c r="E12" s="39">
        <v>5.9289000000000001E-2</v>
      </c>
      <c r="F12" s="32"/>
      <c r="G12" s="32"/>
      <c r="H12" s="32"/>
      <c r="I12" s="32"/>
      <c r="J12" s="24" t="s">
        <v>53</v>
      </c>
      <c r="K12" s="29">
        <v>0.21378900000000001</v>
      </c>
      <c r="L12" s="32"/>
      <c r="M12" s="32"/>
      <c r="N12" s="43"/>
    </row>
    <row r="13" spans="2:14" ht="15" customHeight="1" x14ac:dyDescent="0.25">
      <c r="B13" s="44"/>
      <c r="C13" s="33" t="s">
        <v>145</v>
      </c>
      <c r="D13" s="34" t="s">
        <v>22</v>
      </c>
      <c r="E13" s="39">
        <v>5.3865000000000003E-2</v>
      </c>
      <c r="F13" s="32"/>
      <c r="G13" s="32"/>
      <c r="H13" s="32"/>
      <c r="I13" s="32"/>
      <c r="J13" s="45" t="s">
        <v>46</v>
      </c>
      <c r="K13" s="46">
        <v>1.8829999999999999E-3</v>
      </c>
      <c r="L13" s="32"/>
      <c r="M13" s="32"/>
      <c r="N13" s="43"/>
    </row>
    <row r="14" spans="2:14" ht="15" customHeight="1" x14ac:dyDescent="0.25">
      <c r="B14" s="44"/>
      <c r="C14" s="33" t="s">
        <v>23</v>
      </c>
      <c r="D14" s="34" t="s">
        <v>22</v>
      </c>
      <c r="E14" s="39">
        <v>3.4466999999999998E-2</v>
      </c>
      <c r="F14" s="32"/>
      <c r="G14" s="32"/>
      <c r="H14" s="32"/>
      <c r="I14" s="32"/>
      <c r="J14" s="45" t="s">
        <v>54</v>
      </c>
      <c r="K14" s="46">
        <v>2.6453999999999998E-2</v>
      </c>
      <c r="L14" s="32"/>
      <c r="M14" s="32"/>
      <c r="N14" s="43"/>
    </row>
    <row r="15" spans="2:14" ht="15" customHeight="1" x14ac:dyDescent="0.25">
      <c r="B15" s="44"/>
      <c r="C15" s="33" t="s">
        <v>74</v>
      </c>
      <c r="D15" s="34" t="s">
        <v>22</v>
      </c>
      <c r="E15" s="39">
        <v>3.3841000000000003E-2</v>
      </c>
      <c r="F15" s="32"/>
      <c r="G15" s="32"/>
      <c r="H15" s="32"/>
      <c r="I15" s="32"/>
      <c r="J15" s="45"/>
      <c r="K15" s="46"/>
      <c r="L15" s="32"/>
      <c r="M15" s="32"/>
      <c r="N15" s="43"/>
    </row>
    <row r="16" spans="2:14" ht="15" customHeight="1" x14ac:dyDescent="0.25">
      <c r="B16" s="44"/>
      <c r="C16" s="33" t="s">
        <v>137</v>
      </c>
      <c r="D16" s="34" t="s">
        <v>22</v>
      </c>
      <c r="E16" s="39">
        <v>2.1638000000000001E-2</v>
      </c>
      <c r="F16" s="32"/>
      <c r="G16" s="32"/>
      <c r="H16" s="32"/>
      <c r="I16" s="32"/>
      <c r="J16" s="45" t="s">
        <v>55</v>
      </c>
      <c r="K16" s="46">
        <v>0.10978</v>
      </c>
      <c r="L16" s="32"/>
      <c r="M16" s="32"/>
      <c r="N16" s="43"/>
    </row>
    <row r="17" spans="2:14" ht="15" customHeight="1" x14ac:dyDescent="0.25">
      <c r="B17" s="44"/>
      <c r="C17" s="33" t="s">
        <v>263</v>
      </c>
      <c r="D17" s="34" t="s">
        <v>22</v>
      </c>
      <c r="E17" s="39">
        <v>1.0909E-2</v>
      </c>
      <c r="F17" s="32"/>
      <c r="G17" s="32"/>
      <c r="H17" s="32"/>
      <c r="I17" s="32"/>
      <c r="J17" s="24" t="s">
        <v>90</v>
      </c>
      <c r="K17" s="29">
        <v>4.3521999999999998E-2</v>
      </c>
      <c r="L17" s="32"/>
      <c r="M17" s="32"/>
      <c r="N17" s="43"/>
    </row>
    <row r="18" spans="2:14" ht="15" customHeight="1" x14ac:dyDescent="0.25">
      <c r="B18" s="44"/>
      <c r="C18" s="33" t="s">
        <v>81</v>
      </c>
      <c r="D18" s="34" t="s">
        <v>22</v>
      </c>
      <c r="E18" s="39">
        <v>1.0743000000000001E-2</v>
      </c>
      <c r="F18" s="32"/>
      <c r="G18" s="32"/>
      <c r="H18" s="32"/>
      <c r="I18" s="32"/>
      <c r="J18" s="32"/>
      <c r="K18" s="32"/>
      <c r="L18" s="32"/>
      <c r="M18" s="32"/>
      <c r="N18" s="43"/>
    </row>
    <row r="19" spans="2:14" ht="15" customHeight="1" x14ac:dyDescent="0.25">
      <c r="B19" s="44"/>
      <c r="C19" s="33" t="s">
        <v>25</v>
      </c>
      <c r="D19" s="34" t="s">
        <v>22</v>
      </c>
      <c r="E19" s="39">
        <v>5.6559999999999996E-3</v>
      </c>
      <c r="F19" s="32"/>
      <c r="G19" s="32"/>
      <c r="H19" s="32"/>
      <c r="I19" s="32"/>
      <c r="J19" s="32"/>
      <c r="K19" s="32"/>
      <c r="L19" s="32"/>
      <c r="M19" s="32"/>
      <c r="N19" s="43"/>
    </row>
    <row r="20" spans="2:14" ht="15.75" customHeight="1" x14ac:dyDescent="0.25">
      <c r="B20" s="44"/>
      <c r="C20" s="35" t="s">
        <v>27</v>
      </c>
      <c r="D20" s="36"/>
      <c r="E20" s="40">
        <v>0.57094699999999998</v>
      </c>
      <c r="F20" s="32"/>
      <c r="G20" s="32"/>
      <c r="H20" s="32"/>
      <c r="I20" s="32"/>
      <c r="J20" s="32"/>
      <c r="K20" s="32"/>
      <c r="L20" s="32"/>
      <c r="M20" s="32"/>
      <c r="N20" s="43"/>
    </row>
    <row r="21" spans="2:14" ht="15" customHeight="1" x14ac:dyDescent="0.25">
      <c r="B21" s="44"/>
      <c r="C21" s="33" t="s">
        <v>77</v>
      </c>
      <c r="D21" s="34" t="s">
        <v>22</v>
      </c>
      <c r="E21" s="39">
        <v>4.3798999999999998E-2</v>
      </c>
      <c r="F21" s="32"/>
      <c r="G21" s="32"/>
      <c r="H21" s="32"/>
      <c r="I21" s="32"/>
      <c r="J21" s="32"/>
      <c r="K21" s="32"/>
      <c r="L21" s="32"/>
      <c r="M21" s="32"/>
      <c r="N21" s="43"/>
    </row>
    <row r="22" spans="2:14" ht="15" customHeight="1" x14ac:dyDescent="0.25">
      <c r="B22" s="44"/>
      <c r="C22" s="33" t="s">
        <v>264</v>
      </c>
      <c r="D22" s="34" t="s">
        <v>22</v>
      </c>
      <c r="E22" s="39">
        <v>3.2096E-2</v>
      </c>
      <c r="F22" s="32"/>
      <c r="G22" s="32"/>
      <c r="H22" s="32"/>
      <c r="I22" s="32"/>
      <c r="J22" s="32"/>
      <c r="K22" s="32"/>
      <c r="L22" s="32"/>
      <c r="M22" s="32"/>
      <c r="N22" s="43"/>
    </row>
    <row r="23" spans="2:14" ht="15" customHeight="1" x14ac:dyDescent="0.25">
      <c r="B23" s="44"/>
      <c r="C23" s="33" t="s">
        <v>34</v>
      </c>
      <c r="D23" s="34" t="s">
        <v>22</v>
      </c>
      <c r="E23" s="39">
        <v>2.2981000000000001E-2</v>
      </c>
      <c r="F23" s="32"/>
      <c r="G23" s="32"/>
      <c r="H23" s="32"/>
      <c r="I23" s="32"/>
      <c r="J23" s="32"/>
      <c r="K23" s="32"/>
      <c r="L23" s="32"/>
      <c r="M23" s="32"/>
      <c r="N23" s="43"/>
    </row>
    <row r="24" spans="2:14" ht="15" customHeight="1" x14ac:dyDescent="0.25">
      <c r="B24" s="44"/>
      <c r="C24" s="33" t="s">
        <v>147</v>
      </c>
      <c r="D24" s="34" t="s">
        <v>22</v>
      </c>
      <c r="E24" s="39">
        <v>2.1793E-2</v>
      </c>
      <c r="F24" s="32"/>
      <c r="G24" s="97" t="s">
        <v>129</v>
      </c>
      <c r="H24" s="98"/>
      <c r="I24" s="98"/>
      <c r="J24" s="98"/>
      <c r="K24" s="98"/>
      <c r="L24" s="79">
        <v>273.52936100347989</v>
      </c>
      <c r="M24" s="27"/>
      <c r="N24" s="28"/>
    </row>
    <row r="25" spans="2:14" ht="15" customHeight="1" x14ac:dyDescent="0.25">
      <c r="B25" s="44"/>
      <c r="C25" s="33" t="s">
        <v>168</v>
      </c>
      <c r="D25" s="34" t="s">
        <v>22</v>
      </c>
      <c r="E25" s="39">
        <v>2.1336999999999998E-2</v>
      </c>
      <c r="F25" s="32"/>
      <c r="G25" s="32"/>
      <c r="H25" s="32"/>
      <c r="I25" s="32"/>
      <c r="J25" s="32"/>
      <c r="K25" s="32"/>
      <c r="L25" s="32"/>
      <c r="M25" s="32"/>
      <c r="N25" s="43"/>
    </row>
    <row r="26" spans="2:14" ht="15" customHeight="1" x14ac:dyDescent="0.25">
      <c r="B26" s="44"/>
      <c r="C26" s="33" t="s">
        <v>29</v>
      </c>
      <c r="D26" s="34" t="s">
        <v>22</v>
      </c>
      <c r="E26" s="39">
        <v>1.7101000000000002E-2</v>
      </c>
      <c r="F26" s="32"/>
      <c r="G26" s="97" t="s">
        <v>18</v>
      </c>
      <c r="H26" s="98"/>
      <c r="I26" s="98"/>
      <c r="J26" s="98"/>
      <c r="K26" s="98"/>
      <c r="L26" s="98"/>
      <c r="M26" s="98"/>
      <c r="N26" s="99"/>
    </row>
    <row r="27" spans="2:14" ht="15" customHeight="1" x14ac:dyDescent="0.25">
      <c r="B27" s="44"/>
      <c r="C27" s="33" t="s">
        <v>265</v>
      </c>
      <c r="D27" s="34" t="s">
        <v>22</v>
      </c>
      <c r="E27" s="39">
        <v>1.7038000000000001E-2</v>
      </c>
      <c r="F27" s="32"/>
      <c r="G27" s="32"/>
      <c r="H27" s="32"/>
      <c r="I27" s="32"/>
      <c r="J27" s="32"/>
      <c r="K27" s="32"/>
      <c r="L27" s="32"/>
      <c r="M27" s="32"/>
      <c r="N27" s="43"/>
    </row>
    <row r="28" spans="2:14" ht="15" customHeight="1" x14ac:dyDescent="0.25">
      <c r="B28" s="44"/>
      <c r="C28" s="33" t="s">
        <v>266</v>
      </c>
      <c r="D28" s="34" t="s">
        <v>22</v>
      </c>
      <c r="E28" s="39">
        <v>1.6138E-2</v>
      </c>
      <c r="F28" s="32"/>
      <c r="G28" s="32"/>
      <c r="H28" s="32"/>
      <c r="I28" s="32"/>
      <c r="J28" s="32"/>
      <c r="K28" s="32"/>
      <c r="L28" s="32"/>
      <c r="M28" s="32"/>
      <c r="N28" s="43"/>
    </row>
    <row r="29" spans="2:14" ht="15" customHeight="1" x14ac:dyDescent="0.25">
      <c r="B29" s="44"/>
      <c r="C29" s="33" t="s">
        <v>158</v>
      </c>
      <c r="D29" s="34" t="s">
        <v>22</v>
      </c>
      <c r="E29" s="39">
        <v>1.0777E-2</v>
      </c>
      <c r="F29" s="32"/>
      <c r="G29" s="32"/>
      <c r="H29" s="32"/>
      <c r="I29" s="32"/>
      <c r="J29" s="32"/>
      <c r="K29" s="32"/>
      <c r="L29" s="32"/>
      <c r="M29" s="32"/>
      <c r="N29" s="43"/>
    </row>
    <row r="30" spans="2:14" ht="15" customHeight="1" x14ac:dyDescent="0.25">
      <c r="B30" s="44"/>
      <c r="C30" s="33" t="s">
        <v>148</v>
      </c>
      <c r="D30" s="34" t="s">
        <v>22</v>
      </c>
      <c r="E30" s="39">
        <v>1.0729000000000001E-2</v>
      </c>
      <c r="F30" s="32"/>
      <c r="G30" s="32"/>
      <c r="H30" s="32"/>
      <c r="I30" s="32"/>
      <c r="J30" s="32"/>
      <c r="K30" s="32"/>
      <c r="L30" s="32"/>
      <c r="M30" s="32"/>
      <c r="N30" s="43"/>
    </row>
    <row r="31" spans="2:14" ht="15.75" customHeight="1" x14ac:dyDescent="0.25">
      <c r="B31" s="44"/>
      <c r="C31" s="35" t="s">
        <v>28</v>
      </c>
      <c r="D31" s="36"/>
      <c r="E31" s="40">
        <v>0.21378900000000001</v>
      </c>
      <c r="F31" s="32"/>
      <c r="G31" s="32"/>
      <c r="H31" s="32"/>
      <c r="I31" s="32"/>
      <c r="J31" s="32"/>
      <c r="K31" s="32"/>
      <c r="L31" s="32"/>
      <c r="M31" s="32"/>
      <c r="N31" s="43"/>
    </row>
    <row r="32" spans="2:14" ht="15" customHeight="1" x14ac:dyDescent="0.25">
      <c r="B32" s="44"/>
      <c r="C32" s="33" t="s">
        <v>46</v>
      </c>
      <c r="D32" s="34"/>
      <c r="E32" s="39">
        <v>1.8829999999999999E-3</v>
      </c>
      <c r="F32" s="32"/>
      <c r="G32" s="32"/>
      <c r="H32" s="32"/>
      <c r="I32" s="32"/>
      <c r="J32" s="32"/>
      <c r="K32" s="32"/>
      <c r="L32" s="32"/>
      <c r="M32" s="32"/>
      <c r="N32" s="43"/>
    </row>
    <row r="33" spans="2:14" ht="15.75" customHeight="1" x14ac:dyDescent="0.25">
      <c r="B33" s="44"/>
      <c r="C33" s="35" t="s">
        <v>47</v>
      </c>
      <c r="D33" s="36"/>
      <c r="E33" s="40">
        <v>1.8829999999999999E-3</v>
      </c>
      <c r="F33" s="32"/>
      <c r="G33" s="32"/>
      <c r="H33" s="32"/>
      <c r="I33" s="32"/>
      <c r="J33" s="32"/>
      <c r="K33" s="32"/>
      <c r="L33" s="32"/>
      <c r="M33" s="32"/>
      <c r="N33" s="43"/>
    </row>
    <row r="34" spans="2:14" ht="15" customHeight="1" x14ac:dyDescent="0.25">
      <c r="B34" s="44"/>
      <c r="C34" s="33" t="s">
        <v>267</v>
      </c>
      <c r="D34" s="34" t="s">
        <v>173</v>
      </c>
      <c r="E34" s="39">
        <v>1.1558000000000001E-2</v>
      </c>
      <c r="F34" s="32"/>
      <c r="G34" s="32"/>
      <c r="H34" s="32"/>
      <c r="I34" s="32"/>
      <c r="J34" s="32"/>
      <c r="K34" s="32"/>
      <c r="L34" s="32"/>
      <c r="M34" s="32"/>
      <c r="N34" s="43"/>
    </row>
    <row r="35" spans="2:14" ht="15.75" customHeight="1" x14ac:dyDescent="0.25">
      <c r="B35" s="44"/>
      <c r="C35" s="33" t="s">
        <v>271</v>
      </c>
      <c r="D35" s="34" t="s">
        <v>173</v>
      </c>
      <c r="E35" s="39">
        <v>1.1499000000000001E-2</v>
      </c>
      <c r="F35" s="32"/>
      <c r="G35" s="32"/>
      <c r="H35" s="32"/>
      <c r="I35" s="32"/>
      <c r="J35" s="32"/>
      <c r="K35" s="32"/>
      <c r="L35" s="32"/>
      <c r="M35" s="32"/>
      <c r="N35" s="43"/>
    </row>
    <row r="36" spans="2:14" ht="15" customHeight="1" x14ac:dyDescent="0.25">
      <c r="B36" s="44"/>
      <c r="C36" s="33" t="s">
        <v>270</v>
      </c>
      <c r="D36" s="34" t="s">
        <v>173</v>
      </c>
      <c r="E36" s="39">
        <v>3.3969999999999998E-3</v>
      </c>
      <c r="F36" s="32"/>
      <c r="G36" s="32"/>
      <c r="H36" s="32"/>
      <c r="I36" s="32"/>
      <c r="J36" s="32"/>
      <c r="K36" s="32"/>
      <c r="L36" s="32"/>
      <c r="M36" s="32"/>
      <c r="N36" s="43"/>
    </row>
    <row r="37" spans="2:14" ht="15.75" customHeight="1" x14ac:dyDescent="0.25">
      <c r="B37" s="44"/>
      <c r="C37" s="35" t="s">
        <v>49</v>
      </c>
      <c r="D37" s="36"/>
      <c r="E37" s="40">
        <v>2.6453999999999998E-2</v>
      </c>
      <c r="F37" s="32"/>
      <c r="G37" s="32"/>
      <c r="H37" s="32"/>
      <c r="I37" s="32"/>
      <c r="J37" s="32"/>
      <c r="K37" s="32"/>
      <c r="L37" s="32"/>
      <c r="M37" s="32"/>
      <c r="N37" s="43"/>
    </row>
    <row r="38" spans="2:14" ht="15" customHeight="1" x14ac:dyDescent="0.25">
      <c r="B38" s="44"/>
      <c r="C38" s="33" t="s">
        <v>279</v>
      </c>
      <c r="D38" s="34" t="s">
        <v>173</v>
      </c>
      <c r="E38" s="39">
        <v>3.6066000000000001E-2</v>
      </c>
      <c r="F38" s="32"/>
      <c r="G38" s="32"/>
      <c r="H38" s="32"/>
      <c r="I38" s="32"/>
      <c r="J38" s="32"/>
      <c r="K38" s="32"/>
      <c r="L38" s="32"/>
      <c r="M38" s="32"/>
      <c r="N38" s="43"/>
    </row>
    <row r="39" spans="2:14" ht="15.75" customHeight="1" x14ac:dyDescent="0.25">
      <c r="B39" s="44"/>
      <c r="C39" s="33" t="s">
        <v>272</v>
      </c>
      <c r="D39" s="34" t="s">
        <v>173</v>
      </c>
      <c r="E39" s="39">
        <v>2.0955999999999999E-2</v>
      </c>
      <c r="F39" s="32"/>
      <c r="G39" s="32"/>
      <c r="H39" s="32"/>
      <c r="I39" s="32"/>
      <c r="J39" s="32"/>
      <c r="K39" s="32"/>
      <c r="L39" s="32"/>
      <c r="M39" s="32"/>
      <c r="N39" s="43"/>
    </row>
    <row r="40" spans="2:14" ht="15" customHeight="1" x14ac:dyDescent="0.25">
      <c r="B40" s="44"/>
      <c r="C40" s="33" t="s">
        <v>278</v>
      </c>
      <c r="D40" s="34" t="s">
        <v>173</v>
      </c>
      <c r="E40" s="39">
        <v>1.4836E-2</v>
      </c>
      <c r="F40" s="32"/>
      <c r="G40" s="32"/>
      <c r="H40" s="32"/>
      <c r="I40" s="32"/>
      <c r="J40" s="32"/>
      <c r="K40" s="32"/>
      <c r="L40" s="32"/>
      <c r="M40" s="32"/>
      <c r="N40" s="43"/>
    </row>
    <row r="41" spans="2:14" ht="15" customHeight="1" x14ac:dyDescent="0.25">
      <c r="B41" s="44"/>
      <c r="C41" s="33" t="s">
        <v>276</v>
      </c>
      <c r="D41" s="34" t="s">
        <v>173</v>
      </c>
      <c r="E41" s="39">
        <v>1.1502E-2</v>
      </c>
      <c r="F41" s="32"/>
      <c r="G41" s="32"/>
      <c r="H41" s="32"/>
      <c r="I41" s="32"/>
      <c r="J41" s="32"/>
      <c r="K41" s="32"/>
      <c r="L41" s="32"/>
      <c r="M41" s="32"/>
      <c r="N41" s="43"/>
    </row>
    <row r="42" spans="2:14" ht="15.75" customHeight="1" x14ac:dyDescent="0.25">
      <c r="B42" s="44"/>
      <c r="C42" s="33" t="s">
        <v>277</v>
      </c>
      <c r="D42" s="34" t="s">
        <v>173</v>
      </c>
      <c r="E42" s="39">
        <v>9.0399999999999994E-3</v>
      </c>
      <c r="F42" s="32"/>
      <c r="G42" s="32"/>
      <c r="H42" s="32"/>
      <c r="I42" s="32"/>
      <c r="J42" s="32"/>
      <c r="K42" s="32"/>
      <c r="L42" s="32"/>
      <c r="M42" s="32"/>
      <c r="N42" s="43"/>
    </row>
    <row r="43" spans="2:14" ht="15" customHeight="1" x14ac:dyDescent="0.25">
      <c r="B43" s="44"/>
      <c r="C43" s="33" t="s">
        <v>273</v>
      </c>
      <c r="D43" s="34" t="s">
        <v>173</v>
      </c>
      <c r="E43" s="39">
        <v>5.8300000000000001E-3</v>
      </c>
      <c r="F43" s="32"/>
      <c r="G43" s="32"/>
      <c r="H43" s="32"/>
      <c r="I43" s="32"/>
      <c r="J43" s="32"/>
      <c r="K43" s="32"/>
      <c r="L43" s="32"/>
      <c r="M43" s="32"/>
      <c r="N43" s="43"/>
    </row>
    <row r="44" spans="2:14" ht="15.75" customHeight="1" x14ac:dyDescent="0.25">
      <c r="B44" s="44"/>
      <c r="C44" s="33" t="s">
        <v>275</v>
      </c>
      <c r="D44" s="34" t="s">
        <v>173</v>
      </c>
      <c r="E44" s="39">
        <v>5.7299999999999999E-3</v>
      </c>
      <c r="F44" s="32"/>
      <c r="G44" s="32"/>
      <c r="H44" s="32"/>
      <c r="I44" s="32"/>
      <c r="J44" s="32"/>
      <c r="K44" s="32"/>
      <c r="L44" s="32"/>
      <c r="M44" s="32"/>
      <c r="N44" s="43"/>
    </row>
    <row r="45" spans="2:14" ht="15" customHeight="1" x14ac:dyDescent="0.25">
      <c r="B45" s="44"/>
      <c r="C45" s="33" t="s">
        <v>274</v>
      </c>
      <c r="D45" s="34" t="s">
        <v>173</v>
      </c>
      <c r="E45" s="39">
        <v>3.4919999999999999E-3</v>
      </c>
      <c r="F45" s="32"/>
      <c r="G45" s="32"/>
      <c r="H45" s="32"/>
      <c r="I45" s="32"/>
      <c r="J45" s="32"/>
      <c r="K45" s="32"/>
      <c r="L45" s="32"/>
      <c r="M45" s="32"/>
      <c r="N45" s="43"/>
    </row>
    <row r="46" spans="2:14" ht="15.75" customHeight="1" x14ac:dyDescent="0.25">
      <c r="B46" s="44"/>
      <c r="C46" s="33" t="s">
        <v>280</v>
      </c>
      <c r="D46" s="34" t="s">
        <v>173</v>
      </c>
      <c r="E46" s="39">
        <v>2.3280000000000002E-3</v>
      </c>
      <c r="F46" s="32"/>
      <c r="G46" s="32"/>
      <c r="H46" s="32"/>
      <c r="I46" s="32"/>
      <c r="J46" s="32"/>
      <c r="K46" s="32"/>
      <c r="L46" s="32"/>
      <c r="M46" s="32"/>
      <c r="N46" s="43"/>
    </row>
    <row r="47" spans="2:14" ht="15" customHeight="1" x14ac:dyDescent="0.25">
      <c r="B47" s="44"/>
      <c r="C47" s="35" t="s">
        <v>50</v>
      </c>
      <c r="D47" s="36"/>
      <c r="E47" s="40">
        <v>0.10978</v>
      </c>
      <c r="F47" s="32"/>
      <c r="G47" s="32"/>
      <c r="H47" s="32"/>
      <c r="I47" s="32"/>
      <c r="J47" s="32"/>
      <c r="K47" s="32"/>
      <c r="L47" s="32"/>
      <c r="M47" s="32"/>
      <c r="N47" s="43"/>
    </row>
    <row r="48" spans="2:14" ht="15" customHeight="1" x14ac:dyDescent="0.25">
      <c r="B48" s="44"/>
      <c r="C48" s="33" t="s">
        <v>268</v>
      </c>
      <c r="D48" s="34" t="s">
        <v>173</v>
      </c>
      <c r="E48" s="39">
        <v>2.8239E-2</v>
      </c>
      <c r="F48" s="32"/>
      <c r="G48" s="32"/>
      <c r="H48" s="32"/>
      <c r="I48" s="32"/>
      <c r="J48" s="32"/>
      <c r="K48" s="32"/>
      <c r="L48" s="32"/>
      <c r="M48" s="32"/>
      <c r="N48" s="43"/>
    </row>
    <row r="49" spans="2:14" ht="15" customHeight="1" x14ac:dyDescent="0.25">
      <c r="B49" s="44"/>
      <c r="C49" s="33" t="s">
        <v>269</v>
      </c>
      <c r="D49" s="34" t="s">
        <v>173</v>
      </c>
      <c r="E49" s="39">
        <v>1.5283E-2</v>
      </c>
      <c r="F49" s="32"/>
      <c r="G49" s="32"/>
      <c r="H49" s="32"/>
      <c r="I49" s="32"/>
      <c r="J49" s="32"/>
      <c r="K49" s="32"/>
      <c r="L49" s="32"/>
      <c r="M49" s="32"/>
      <c r="N49" s="43"/>
    </row>
    <row r="50" spans="2:14" ht="15" customHeight="1" x14ac:dyDescent="0.25">
      <c r="B50" s="44"/>
      <c r="C50" s="35" t="s">
        <v>89</v>
      </c>
      <c r="D50" s="36"/>
      <c r="E50" s="40">
        <v>4.3521999999999998E-2</v>
      </c>
      <c r="F50" s="32"/>
      <c r="G50" s="32"/>
      <c r="H50" s="32"/>
      <c r="I50" s="32"/>
      <c r="J50" s="32"/>
      <c r="K50" s="32"/>
      <c r="L50" s="32"/>
      <c r="M50" s="32"/>
      <c r="N50" s="43"/>
    </row>
    <row r="51" spans="2:14" ht="15" customHeight="1" x14ac:dyDescent="0.25">
      <c r="B51" s="44"/>
      <c r="C51" s="33" t="s">
        <v>8</v>
      </c>
      <c r="D51" s="34"/>
      <c r="E51" s="39">
        <v>9.7210000000000005E-3</v>
      </c>
      <c r="F51" s="32"/>
      <c r="G51" s="32"/>
      <c r="H51" s="32"/>
      <c r="I51" s="32"/>
      <c r="J51" s="32"/>
      <c r="K51" s="32"/>
      <c r="L51" s="32"/>
      <c r="M51" s="32"/>
      <c r="N51" s="43"/>
    </row>
    <row r="52" spans="2:14" ht="15" customHeight="1" x14ac:dyDescent="0.25">
      <c r="B52" s="44"/>
      <c r="C52" s="35" t="s">
        <v>9</v>
      </c>
      <c r="D52" s="36"/>
      <c r="E52" s="40">
        <v>9.7210000000000005E-3</v>
      </c>
      <c r="F52" s="32"/>
      <c r="G52" s="32"/>
      <c r="H52" s="32"/>
      <c r="I52" s="32"/>
      <c r="J52" s="32"/>
      <c r="K52" s="32"/>
      <c r="L52" s="32"/>
      <c r="M52" s="32"/>
      <c r="N52" s="43"/>
    </row>
    <row r="53" spans="2:14" ht="15" customHeight="1" x14ac:dyDescent="0.25">
      <c r="B53" s="44"/>
      <c r="C53" s="33"/>
      <c r="D53" s="34"/>
      <c r="E53" s="39"/>
      <c r="F53" s="32"/>
      <c r="G53" s="32"/>
      <c r="H53" s="32"/>
      <c r="I53" s="32"/>
      <c r="J53" s="32"/>
      <c r="K53" s="32"/>
      <c r="L53" s="32"/>
      <c r="M53" s="32"/>
      <c r="N53" s="43"/>
    </row>
    <row r="54" spans="2:14" ht="15" customHeight="1" x14ac:dyDescent="0.25">
      <c r="B54" s="44"/>
      <c r="C54" s="35" t="s">
        <v>10</v>
      </c>
      <c r="D54" s="36"/>
      <c r="E54" s="40">
        <v>2.3904000000000002E-2</v>
      </c>
      <c r="F54" s="32"/>
      <c r="G54" s="32"/>
      <c r="H54" s="32"/>
      <c r="I54" s="32"/>
      <c r="J54" s="32"/>
      <c r="K54" s="32"/>
      <c r="L54" s="32"/>
      <c r="M54" s="32"/>
      <c r="N54" s="43"/>
    </row>
    <row r="55" spans="2:14" ht="15" customHeight="1" x14ac:dyDescent="0.25">
      <c r="B55" s="44"/>
      <c r="C55" s="33"/>
      <c r="D55" s="34"/>
      <c r="E55" s="39"/>
      <c r="F55" s="32"/>
      <c r="G55" s="32"/>
      <c r="H55" s="32"/>
      <c r="I55" s="32"/>
      <c r="J55" s="32"/>
      <c r="K55" s="32"/>
      <c r="L55" s="32"/>
      <c r="M55" s="32"/>
      <c r="N55" s="43"/>
    </row>
    <row r="56" spans="2:14" ht="15" customHeight="1" x14ac:dyDescent="0.25">
      <c r="B56" s="44"/>
      <c r="C56" s="37" t="s">
        <v>11</v>
      </c>
      <c r="D56" s="38"/>
      <c r="E56" s="41">
        <v>1</v>
      </c>
      <c r="F56" s="32"/>
      <c r="G56" s="32"/>
      <c r="H56" s="32"/>
      <c r="I56" s="32"/>
      <c r="J56" s="32"/>
      <c r="K56" s="32"/>
      <c r="L56" s="32"/>
      <c r="M56" s="32"/>
      <c r="N56" s="43"/>
    </row>
    <row r="57" spans="2:14" ht="15" customHeight="1" x14ac:dyDescent="0.25">
      <c r="B57" s="44"/>
      <c r="C57" s="32"/>
      <c r="D57" s="32"/>
      <c r="E57" s="32"/>
      <c r="F57" s="32"/>
      <c r="G57" s="32"/>
      <c r="H57" s="32"/>
      <c r="I57" s="32"/>
      <c r="J57" s="32"/>
      <c r="K57" s="32"/>
      <c r="L57" s="32"/>
      <c r="M57" s="32"/>
      <c r="N57" s="43"/>
    </row>
    <row r="58" spans="2:14" ht="15" customHeight="1" thickBot="1" x14ac:dyDescent="0.3">
      <c r="B58" s="21"/>
      <c r="C58" s="22"/>
      <c r="D58" s="22"/>
      <c r="E58" s="22"/>
      <c r="F58" s="22"/>
      <c r="G58" s="22"/>
      <c r="H58" s="22"/>
      <c r="I58" s="22"/>
      <c r="J58" s="22"/>
      <c r="K58" s="22"/>
      <c r="L58" s="22"/>
      <c r="M58" s="22"/>
      <c r="N58" s="23"/>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sheetData>
  <sortState ref="C38:E46">
    <sortCondition descending="1" ref="E38"/>
  </sortState>
  <mergeCells count="5">
    <mergeCell ref="C3:N3"/>
    <mergeCell ref="D5:E5"/>
    <mergeCell ref="G7:N7"/>
    <mergeCell ref="G24:K24"/>
    <mergeCell ref="G26:N2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DEE07-FCED-439B-88E2-B680587EBE61}">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156</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157</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26</v>
      </c>
      <c r="D8" s="6" t="s">
        <v>22</v>
      </c>
      <c r="E8" s="11">
        <v>9.5996999999999999E-2</v>
      </c>
      <c r="F8" s="1"/>
      <c r="G8" s="24" t="s">
        <v>15</v>
      </c>
      <c r="H8" s="25">
        <v>1</v>
      </c>
      <c r="I8" s="1"/>
      <c r="J8" s="24" t="s">
        <v>12</v>
      </c>
      <c r="K8" s="24" t="s">
        <v>5</v>
      </c>
      <c r="L8" s="1"/>
      <c r="M8" s="1"/>
      <c r="N8" s="18"/>
    </row>
    <row r="9" spans="2:14" ht="15" customHeight="1" x14ac:dyDescent="0.25">
      <c r="B9" s="20"/>
      <c r="C9" s="5" t="s">
        <v>145</v>
      </c>
      <c r="D9" s="6" t="s">
        <v>22</v>
      </c>
      <c r="E9" s="11">
        <v>8.3788000000000001E-2</v>
      </c>
      <c r="F9" s="1"/>
      <c r="G9" s="1"/>
      <c r="H9" s="1"/>
      <c r="I9" s="1"/>
      <c r="J9" s="24" t="s">
        <v>10</v>
      </c>
      <c r="K9" s="29">
        <v>3.6316000000000001E-2</v>
      </c>
      <c r="L9" s="1"/>
      <c r="M9" s="1"/>
      <c r="N9" s="18"/>
    </row>
    <row r="10" spans="2:14" ht="15" customHeight="1" x14ac:dyDescent="0.25">
      <c r="B10" s="20"/>
      <c r="C10" s="5" t="s">
        <v>35</v>
      </c>
      <c r="D10" s="6" t="s">
        <v>22</v>
      </c>
      <c r="E10" s="11">
        <v>1.6670999999999998E-2</v>
      </c>
      <c r="F10" s="1"/>
      <c r="G10" s="1"/>
      <c r="H10" s="1"/>
      <c r="I10" s="1"/>
      <c r="J10" s="24" t="s">
        <v>13</v>
      </c>
      <c r="K10" s="29">
        <v>9.7501000000000004E-2</v>
      </c>
      <c r="L10" s="1"/>
      <c r="M10" s="1"/>
      <c r="N10" s="18"/>
    </row>
    <row r="11" spans="2:14" ht="15.75" customHeight="1" x14ac:dyDescent="0.25">
      <c r="B11" s="20"/>
      <c r="C11" s="7" t="s">
        <v>27</v>
      </c>
      <c r="D11" s="8"/>
      <c r="E11" s="12">
        <v>0.19645599999999999</v>
      </c>
      <c r="F11" s="1"/>
      <c r="G11" s="1"/>
      <c r="H11" s="1"/>
      <c r="I11" s="1"/>
      <c r="J11" s="24" t="s">
        <v>51</v>
      </c>
      <c r="K11" s="29">
        <v>0.19645599999999999</v>
      </c>
      <c r="L11" s="1"/>
      <c r="M11" s="1"/>
      <c r="N11" s="18"/>
    </row>
    <row r="12" spans="2:14" ht="15" customHeight="1" x14ac:dyDescent="0.25">
      <c r="B12" s="20"/>
      <c r="C12" s="5" t="s">
        <v>29</v>
      </c>
      <c r="D12" s="6" t="s">
        <v>22</v>
      </c>
      <c r="E12" s="11">
        <v>9.2919999999999999E-3</v>
      </c>
      <c r="F12" s="1"/>
      <c r="G12" s="1"/>
      <c r="H12" s="1"/>
      <c r="I12" s="1"/>
      <c r="J12" s="24" t="s">
        <v>52</v>
      </c>
      <c r="K12" s="29">
        <v>0.60409500000000005</v>
      </c>
      <c r="L12" s="1"/>
      <c r="M12" s="1"/>
      <c r="N12" s="18"/>
    </row>
    <row r="13" spans="2:14" ht="15.75" customHeight="1" x14ac:dyDescent="0.25">
      <c r="B13" s="20"/>
      <c r="C13" s="7" t="s">
        <v>28</v>
      </c>
      <c r="D13" s="8"/>
      <c r="E13" s="12">
        <v>9.2919999999999999E-3</v>
      </c>
      <c r="F13" s="1"/>
      <c r="G13" s="1"/>
      <c r="H13" s="1"/>
      <c r="I13" s="1"/>
      <c r="J13" s="24" t="s">
        <v>53</v>
      </c>
      <c r="K13" s="29">
        <v>9.2919999999999999E-3</v>
      </c>
      <c r="L13" s="1"/>
      <c r="M13" s="1"/>
      <c r="N13" s="18"/>
    </row>
    <row r="14" spans="2:14" ht="15" customHeight="1" x14ac:dyDescent="0.25">
      <c r="B14" s="20"/>
      <c r="C14" s="5" t="s">
        <v>32</v>
      </c>
      <c r="D14" s="6" t="s">
        <v>30</v>
      </c>
      <c r="E14" s="11">
        <v>0.113748</v>
      </c>
      <c r="F14" s="1"/>
      <c r="G14" s="1"/>
      <c r="H14" s="1"/>
      <c r="I14" s="1"/>
      <c r="J14" s="24" t="s">
        <v>46</v>
      </c>
      <c r="K14" s="29">
        <v>2.8990000000000001E-3</v>
      </c>
      <c r="L14" s="1"/>
      <c r="M14" s="1"/>
      <c r="N14" s="18"/>
    </row>
    <row r="15" spans="2:14" ht="15" customHeight="1" x14ac:dyDescent="0.25">
      <c r="B15" s="20"/>
      <c r="C15" s="5" t="s">
        <v>36</v>
      </c>
      <c r="D15" s="6" t="s">
        <v>30</v>
      </c>
      <c r="E15" s="11">
        <v>0.109713</v>
      </c>
      <c r="F15" s="1"/>
      <c r="G15" s="1"/>
      <c r="H15" s="1"/>
      <c r="I15" s="1"/>
      <c r="J15" s="24" t="s">
        <v>55</v>
      </c>
      <c r="K15" s="29">
        <v>1.2409999999999999E-3</v>
      </c>
      <c r="L15" s="1"/>
      <c r="M15" s="1"/>
      <c r="N15" s="18"/>
    </row>
    <row r="16" spans="2:14" ht="15" customHeight="1" x14ac:dyDescent="0.25">
      <c r="B16" s="20"/>
      <c r="C16" s="5" t="s">
        <v>29</v>
      </c>
      <c r="D16" s="6" t="s">
        <v>30</v>
      </c>
      <c r="E16" s="11">
        <v>0.104394</v>
      </c>
      <c r="F16" s="1"/>
      <c r="G16" s="1"/>
      <c r="H16" s="1"/>
      <c r="I16" s="1"/>
      <c r="J16" s="24" t="s">
        <v>90</v>
      </c>
      <c r="K16" s="29">
        <v>4.7795999999999998E-2</v>
      </c>
      <c r="L16" s="1"/>
      <c r="M16" s="1"/>
      <c r="N16" s="18"/>
    </row>
    <row r="17" spans="2:14" ht="15" customHeight="1" x14ac:dyDescent="0.25">
      <c r="B17" s="20"/>
      <c r="C17" s="5" t="s">
        <v>35</v>
      </c>
      <c r="D17" s="6" t="s">
        <v>30</v>
      </c>
      <c r="E17" s="11">
        <v>9.3842999999999996E-2</v>
      </c>
      <c r="F17" s="1"/>
      <c r="G17" s="1"/>
      <c r="H17" s="1"/>
      <c r="I17" s="1"/>
      <c r="J17" s="24" t="s">
        <v>163</v>
      </c>
      <c r="K17" s="29">
        <v>4.4039999999999999E-3</v>
      </c>
      <c r="L17" s="1"/>
      <c r="M17" s="1"/>
      <c r="N17" s="18"/>
    </row>
    <row r="18" spans="2:14" ht="15" customHeight="1" x14ac:dyDescent="0.25">
      <c r="B18" s="20"/>
      <c r="C18" s="5" t="s">
        <v>33</v>
      </c>
      <c r="D18" s="6" t="s">
        <v>30</v>
      </c>
      <c r="E18" s="11">
        <v>7.1568000000000007E-2</v>
      </c>
      <c r="F18" s="1"/>
      <c r="G18" s="1"/>
      <c r="H18" s="1"/>
      <c r="I18" s="1"/>
      <c r="J18" s="1"/>
      <c r="K18" s="1"/>
      <c r="L18" s="1"/>
      <c r="M18" s="1"/>
      <c r="N18" s="18"/>
    </row>
    <row r="19" spans="2:14" ht="15" customHeight="1" x14ac:dyDescent="0.25">
      <c r="B19" s="20"/>
      <c r="C19" s="5" t="s">
        <v>75</v>
      </c>
      <c r="D19" s="6" t="s">
        <v>30</v>
      </c>
      <c r="E19" s="11">
        <v>3.4763000000000002E-2</v>
      </c>
      <c r="F19" s="1"/>
      <c r="G19" s="1"/>
      <c r="H19" s="1"/>
      <c r="I19" s="1"/>
      <c r="J19" s="1"/>
      <c r="K19" s="1"/>
      <c r="L19" s="1"/>
      <c r="M19" s="1"/>
      <c r="N19" s="18"/>
    </row>
    <row r="20" spans="2:14" ht="15" customHeight="1" x14ac:dyDescent="0.25">
      <c r="B20" s="20"/>
      <c r="C20" s="5" t="s">
        <v>77</v>
      </c>
      <c r="D20" s="6" t="s">
        <v>30</v>
      </c>
      <c r="E20" s="11">
        <v>2.6313E-2</v>
      </c>
      <c r="F20" s="1"/>
      <c r="G20" s="1"/>
      <c r="H20" s="1"/>
      <c r="I20" s="1"/>
      <c r="J20" s="1"/>
      <c r="K20" s="1"/>
      <c r="L20" s="1"/>
      <c r="M20" s="1"/>
      <c r="N20" s="18"/>
    </row>
    <row r="21" spans="2:14" ht="15" customHeight="1" x14ac:dyDescent="0.25">
      <c r="B21" s="20"/>
      <c r="C21" s="5" t="s">
        <v>158</v>
      </c>
      <c r="D21" s="6" t="s">
        <v>30</v>
      </c>
      <c r="E21" s="11">
        <v>1.8689000000000001E-2</v>
      </c>
      <c r="F21" s="1"/>
      <c r="G21" s="1"/>
      <c r="H21" s="1"/>
      <c r="I21" s="1"/>
      <c r="J21" s="1"/>
      <c r="K21" s="1"/>
      <c r="L21" s="1"/>
      <c r="M21" s="1"/>
      <c r="N21" s="18"/>
    </row>
    <row r="22" spans="2:14" ht="15" customHeight="1" x14ac:dyDescent="0.25">
      <c r="B22" s="20"/>
      <c r="C22" s="5" t="s">
        <v>83</v>
      </c>
      <c r="D22" s="6" t="s">
        <v>30</v>
      </c>
      <c r="E22" s="11">
        <v>1.4147E-2</v>
      </c>
      <c r="F22" s="1"/>
      <c r="G22" s="1"/>
      <c r="H22" s="1"/>
      <c r="I22" s="1"/>
      <c r="J22" s="1"/>
      <c r="K22" s="1"/>
      <c r="L22" s="1"/>
      <c r="M22" s="1"/>
      <c r="N22" s="18"/>
    </row>
    <row r="23" spans="2:14" ht="15" customHeight="1" x14ac:dyDescent="0.25">
      <c r="B23" s="20"/>
      <c r="C23" s="5" t="s">
        <v>34</v>
      </c>
      <c r="D23" s="6" t="s">
        <v>30</v>
      </c>
      <c r="E23" s="11">
        <v>1.2208999999999999E-2</v>
      </c>
      <c r="F23" s="1"/>
      <c r="G23" s="1"/>
      <c r="H23" s="1"/>
      <c r="I23" s="1"/>
      <c r="J23" s="1"/>
      <c r="K23" s="1"/>
      <c r="L23" s="1"/>
      <c r="M23" s="1"/>
      <c r="N23" s="18"/>
    </row>
    <row r="24" spans="2:14" ht="15" customHeight="1" x14ac:dyDescent="0.25">
      <c r="B24" s="20"/>
      <c r="C24" s="5" t="s">
        <v>76</v>
      </c>
      <c r="D24" s="6" t="s">
        <v>30</v>
      </c>
      <c r="E24" s="11">
        <v>4.7080000000000004E-3</v>
      </c>
      <c r="F24" s="1"/>
      <c r="G24" s="97" t="s">
        <v>129</v>
      </c>
      <c r="H24" s="98"/>
      <c r="I24" s="98"/>
      <c r="J24" s="98"/>
      <c r="K24" s="98"/>
      <c r="L24" s="79">
        <v>369.03042716579529</v>
      </c>
      <c r="M24" s="27"/>
      <c r="N24" s="28"/>
    </row>
    <row r="25" spans="2:14" ht="15.75" customHeight="1" x14ac:dyDescent="0.25">
      <c r="B25" s="20"/>
      <c r="C25" s="7" t="s">
        <v>45</v>
      </c>
      <c r="D25" s="8"/>
      <c r="E25" s="12">
        <v>0.60409500000000005</v>
      </c>
      <c r="F25" s="1"/>
      <c r="G25" s="1"/>
      <c r="H25" s="1"/>
      <c r="I25" s="1"/>
      <c r="J25" s="1"/>
      <c r="K25" s="1"/>
      <c r="L25" s="1"/>
      <c r="M25" s="1"/>
      <c r="N25" s="18"/>
    </row>
    <row r="26" spans="2:14" ht="15" customHeight="1" x14ac:dyDescent="0.25">
      <c r="B26" s="20"/>
      <c r="C26" s="5" t="s">
        <v>46</v>
      </c>
      <c r="D26" s="6"/>
      <c r="E26" s="11">
        <v>2.8990000000000001E-3</v>
      </c>
      <c r="F26" s="1"/>
      <c r="G26" s="97" t="s">
        <v>18</v>
      </c>
      <c r="H26" s="98"/>
      <c r="I26" s="98"/>
      <c r="J26" s="98"/>
      <c r="K26" s="98"/>
      <c r="L26" s="98"/>
      <c r="M26" s="98"/>
      <c r="N26" s="99"/>
    </row>
    <row r="27" spans="2:14" ht="15.75" customHeight="1" x14ac:dyDescent="0.25">
      <c r="B27" s="20"/>
      <c r="C27" s="7" t="s">
        <v>47</v>
      </c>
      <c r="D27" s="8"/>
      <c r="E27" s="12">
        <v>2.8990000000000001E-3</v>
      </c>
      <c r="F27" s="1"/>
      <c r="G27" s="1"/>
      <c r="H27" s="1"/>
      <c r="I27" s="1"/>
      <c r="J27" s="1"/>
      <c r="K27" s="1"/>
      <c r="L27" s="1"/>
      <c r="M27" s="1"/>
      <c r="N27" s="18"/>
    </row>
    <row r="28" spans="2:14" ht="15" customHeight="1" x14ac:dyDescent="0.25">
      <c r="B28" s="20"/>
      <c r="C28" s="5" t="s">
        <v>175</v>
      </c>
      <c r="D28" s="34" t="s">
        <v>173</v>
      </c>
      <c r="E28" s="11">
        <v>9.5699999999999995E-4</v>
      </c>
      <c r="F28" s="1"/>
      <c r="G28" s="1"/>
      <c r="H28" s="1"/>
      <c r="I28" s="1"/>
      <c r="J28" s="1"/>
      <c r="K28" s="1"/>
      <c r="L28" s="1"/>
      <c r="M28" s="1"/>
      <c r="N28" s="18"/>
    </row>
    <row r="29" spans="2:14" ht="15.75" customHeight="1" x14ac:dyDescent="0.25">
      <c r="B29" s="20"/>
      <c r="C29" s="33" t="s">
        <v>176</v>
      </c>
      <c r="D29" s="34" t="s">
        <v>173</v>
      </c>
      <c r="E29" s="39">
        <v>2.8400000000000002E-4</v>
      </c>
      <c r="F29" s="1"/>
      <c r="G29" s="1"/>
      <c r="H29" s="1"/>
      <c r="I29" s="1"/>
      <c r="J29" s="1"/>
      <c r="K29" s="1"/>
      <c r="L29" s="1"/>
      <c r="M29" s="1"/>
      <c r="N29" s="18"/>
    </row>
    <row r="30" spans="2:14" ht="15" customHeight="1" x14ac:dyDescent="0.25">
      <c r="B30" s="20"/>
      <c r="C30" s="7" t="s">
        <v>50</v>
      </c>
      <c r="D30" s="8"/>
      <c r="E30" s="12">
        <v>1.2409999999999999E-3</v>
      </c>
      <c r="F30" s="1"/>
      <c r="G30" s="1"/>
      <c r="H30" s="1"/>
      <c r="I30" s="1"/>
      <c r="J30" s="1"/>
      <c r="K30" s="1"/>
      <c r="L30" s="1"/>
      <c r="M30" s="1"/>
      <c r="N30" s="18"/>
    </row>
    <row r="31" spans="2:14" ht="15" customHeight="1" x14ac:dyDescent="0.25">
      <c r="B31" s="20"/>
      <c r="C31" s="5" t="s">
        <v>159</v>
      </c>
      <c r="D31" s="34" t="s">
        <v>173</v>
      </c>
      <c r="E31" s="11">
        <v>2.0330000000000001E-2</v>
      </c>
      <c r="F31" s="1"/>
      <c r="G31" s="1"/>
      <c r="H31" s="1"/>
      <c r="I31" s="1"/>
      <c r="J31" s="1"/>
      <c r="K31" s="1"/>
      <c r="L31" s="1"/>
      <c r="M31" s="1"/>
      <c r="N31" s="18"/>
    </row>
    <row r="32" spans="2:14" ht="15" customHeight="1" x14ac:dyDescent="0.25">
      <c r="B32" s="20"/>
      <c r="C32" s="5" t="s">
        <v>160</v>
      </c>
      <c r="D32" s="34" t="s">
        <v>173</v>
      </c>
      <c r="E32" s="11">
        <v>1.8303E-2</v>
      </c>
      <c r="F32" s="1"/>
      <c r="G32" s="1"/>
      <c r="H32" s="1"/>
      <c r="I32" s="1"/>
      <c r="J32" s="1"/>
      <c r="K32" s="1"/>
      <c r="L32" s="1"/>
      <c r="M32" s="1"/>
      <c r="N32" s="18"/>
    </row>
    <row r="33" spans="2:14" ht="15.75" customHeight="1" x14ac:dyDescent="0.25">
      <c r="B33" s="20"/>
      <c r="C33" s="5" t="s">
        <v>161</v>
      </c>
      <c r="D33" s="34" t="s">
        <v>173</v>
      </c>
      <c r="E33" s="11">
        <v>9.1629999999999993E-3</v>
      </c>
      <c r="F33" s="1"/>
      <c r="G33" s="1"/>
      <c r="H33" s="1"/>
      <c r="I33" s="1"/>
      <c r="J33" s="1"/>
      <c r="K33" s="1"/>
      <c r="L33" s="1"/>
      <c r="M33" s="1"/>
      <c r="N33" s="18"/>
    </row>
    <row r="34" spans="2:14" ht="15" customHeight="1" x14ac:dyDescent="0.25">
      <c r="B34" s="20"/>
      <c r="C34" s="7" t="s">
        <v>89</v>
      </c>
      <c r="D34" s="8"/>
      <c r="E34" s="12">
        <v>4.7795999999999998E-2</v>
      </c>
      <c r="F34" s="1"/>
      <c r="G34" s="1"/>
      <c r="H34" s="1"/>
      <c r="I34" s="1"/>
      <c r="J34" s="1"/>
      <c r="K34" s="1"/>
      <c r="L34" s="1"/>
      <c r="M34" s="1"/>
      <c r="N34" s="18"/>
    </row>
    <row r="35" spans="2:14" ht="15.75" customHeight="1" x14ac:dyDescent="0.25">
      <c r="B35" s="20"/>
      <c r="C35" s="5" t="s">
        <v>8</v>
      </c>
      <c r="D35" s="6"/>
      <c r="E35" s="11">
        <v>9.7501000000000004E-2</v>
      </c>
      <c r="F35" s="1"/>
      <c r="G35" s="1"/>
      <c r="H35" s="1"/>
      <c r="I35" s="1"/>
      <c r="J35" s="1"/>
      <c r="K35" s="1"/>
      <c r="L35" s="1"/>
      <c r="M35" s="1"/>
      <c r="N35" s="18"/>
    </row>
    <row r="36" spans="2:14" ht="15" customHeight="1" x14ac:dyDescent="0.25">
      <c r="B36" s="20"/>
      <c r="C36" s="7" t="s">
        <v>9</v>
      </c>
      <c r="D36" s="8"/>
      <c r="E36" s="12">
        <v>9.7501000000000004E-2</v>
      </c>
      <c r="F36" s="1"/>
      <c r="G36" s="1"/>
      <c r="H36" s="1"/>
      <c r="I36" s="1"/>
      <c r="J36" s="1"/>
      <c r="K36" s="1"/>
      <c r="L36" s="1"/>
      <c r="M36" s="1"/>
      <c r="N36" s="18"/>
    </row>
    <row r="37" spans="2:14" ht="15.75" customHeight="1" x14ac:dyDescent="0.25">
      <c r="B37" s="20"/>
      <c r="C37" s="5" t="s">
        <v>77</v>
      </c>
      <c r="D37" s="6" t="s">
        <v>30</v>
      </c>
      <c r="E37" s="11">
        <v>4.4039999999999999E-3</v>
      </c>
      <c r="F37" s="1"/>
      <c r="G37" s="1"/>
      <c r="H37" s="1"/>
      <c r="I37" s="1"/>
      <c r="J37" s="1"/>
      <c r="K37" s="1"/>
      <c r="L37" s="1"/>
      <c r="M37" s="1"/>
      <c r="N37" s="18"/>
    </row>
    <row r="38" spans="2:14" ht="15" customHeight="1" x14ac:dyDescent="0.25">
      <c r="B38" s="20"/>
      <c r="C38" s="7" t="s">
        <v>162</v>
      </c>
      <c r="D38" s="8"/>
      <c r="E38" s="12">
        <v>4.4039999999999999E-3</v>
      </c>
      <c r="F38" s="1"/>
      <c r="G38" s="1"/>
      <c r="H38" s="1"/>
      <c r="I38" s="1"/>
      <c r="J38" s="1"/>
      <c r="K38" s="1"/>
      <c r="L38" s="1"/>
      <c r="M38" s="1"/>
      <c r="N38" s="18"/>
    </row>
    <row r="39" spans="2:14" ht="15.75" customHeight="1" x14ac:dyDescent="0.25">
      <c r="B39" s="20"/>
      <c r="C39" s="5"/>
      <c r="D39" s="6"/>
      <c r="E39" s="11"/>
      <c r="F39" s="1"/>
      <c r="G39" s="1"/>
      <c r="H39" s="1"/>
      <c r="I39" s="1"/>
      <c r="J39" s="1"/>
      <c r="K39" s="1"/>
      <c r="L39" s="1"/>
      <c r="M39" s="1"/>
      <c r="N39" s="18"/>
    </row>
    <row r="40" spans="2:14" ht="15" customHeight="1" x14ac:dyDescent="0.25">
      <c r="B40" s="20"/>
      <c r="C40" s="7" t="s">
        <v>10</v>
      </c>
      <c r="D40" s="8"/>
      <c r="E40" s="12">
        <v>3.6316000000000001E-2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11</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5" customHeight="1" x14ac:dyDescent="0.25">
      <c r="B46" s="80" t="s">
        <v>258</v>
      </c>
      <c r="C46" s="81"/>
      <c r="D46" s="81"/>
      <c r="E46" s="81"/>
      <c r="F46" s="81"/>
      <c r="G46" s="81"/>
      <c r="H46" s="81"/>
      <c r="I46" s="81"/>
      <c r="J46" s="81"/>
      <c r="K46" s="81"/>
      <c r="L46" s="81"/>
      <c r="M46" s="81"/>
      <c r="N46" s="82"/>
    </row>
    <row r="47" spans="2:14" ht="15" customHeight="1" x14ac:dyDescent="0.25">
      <c r="B47" s="83"/>
      <c r="C47" s="84"/>
      <c r="D47" s="84"/>
      <c r="E47" s="84"/>
      <c r="F47" s="84"/>
      <c r="G47" s="84"/>
      <c r="H47" s="84"/>
      <c r="I47" s="84"/>
      <c r="J47" s="84"/>
      <c r="K47" s="84"/>
      <c r="L47" s="84"/>
      <c r="M47" s="84"/>
      <c r="N47" s="85"/>
    </row>
    <row r="48" spans="2:14" ht="15" customHeight="1" x14ac:dyDescent="0.25">
      <c r="B48" s="83"/>
      <c r="C48" s="84"/>
      <c r="D48" s="84"/>
      <c r="E48" s="84"/>
      <c r="F48" s="84"/>
      <c r="G48" s="84"/>
      <c r="H48" s="84"/>
      <c r="I48" s="84"/>
      <c r="J48" s="84"/>
      <c r="K48" s="84"/>
      <c r="L48" s="84"/>
      <c r="M48" s="84"/>
      <c r="N48" s="85"/>
    </row>
    <row r="49" spans="2:14" ht="15" customHeight="1" thickBot="1" x14ac:dyDescent="0.3">
      <c r="B49" s="86"/>
      <c r="C49" s="87"/>
      <c r="D49" s="87"/>
      <c r="E49" s="87"/>
      <c r="F49" s="87"/>
      <c r="G49" s="87"/>
      <c r="H49" s="87"/>
      <c r="I49" s="87"/>
      <c r="J49" s="87"/>
      <c r="K49" s="87"/>
      <c r="L49" s="87"/>
      <c r="M49" s="87"/>
      <c r="N49" s="88"/>
    </row>
    <row r="50" spans="2:14" ht="15" customHeight="1" thickBot="1" x14ac:dyDescent="0.3">
      <c r="B50" s="31"/>
      <c r="C50" s="31"/>
      <c r="D50" s="31"/>
      <c r="E50" s="31"/>
      <c r="F50" s="31"/>
      <c r="G50" s="31"/>
      <c r="H50" s="31"/>
      <c r="I50" s="31"/>
      <c r="J50" s="31"/>
      <c r="K50" s="31"/>
      <c r="L50" s="31"/>
      <c r="M50" s="31"/>
      <c r="N50" s="31"/>
    </row>
    <row r="51" spans="2:14" ht="124.5" customHeight="1" thickBot="1" x14ac:dyDescent="0.3">
      <c r="B51" s="89" t="s">
        <v>257</v>
      </c>
      <c r="C51" s="90"/>
      <c r="D51" s="90"/>
      <c r="E51" s="90"/>
      <c r="F51" s="90"/>
      <c r="G51" s="90"/>
      <c r="H51" s="90"/>
      <c r="I51" s="90"/>
      <c r="J51" s="90"/>
      <c r="K51" s="90"/>
      <c r="L51" s="90"/>
      <c r="M51" s="90"/>
      <c r="N51" s="91"/>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sheetData>
  <mergeCells count="7">
    <mergeCell ref="B46:N49"/>
    <mergeCell ref="B51:N51"/>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CF0D-E187-43B5-B28A-5754BF4A88B9}">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166</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167</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26</v>
      </c>
      <c r="D8" s="6" t="s">
        <v>22</v>
      </c>
      <c r="E8" s="11">
        <v>0.11615499999999999</v>
      </c>
      <c r="F8" s="1"/>
      <c r="G8" s="24" t="s">
        <v>15</v>
      </c>
      <c r="H8" s="29">
        <v>0.989958</v>
      </c>
      <c r="I8" s="1"/>
      <c r="J8" s="24" t="s">
        <v>12</v>
      </c>
      <c r="K8" s="24" t="s">
        <v>5</v>
      </c>
      <c r="L8" s="1"/>
      <c r="M8" s="1"/>
      <c r="N8" s="18"/>
    </row>
    <row r="9" spans="2:14" ht="15" customHeight="1" x14ac:dyDescent="0.25">
      <c r="B9" s="20"/>
      <c r="C9" s="5" t="s">
        <v>35</v>
      </c>
      <c r="D9" s="6" t="s">
        <v>22</v>
      </c>
      <c r="E9" s="11">
        <v>0.11081199999999999</v>
      </c>
      <c r="F9" s="1"/>
      <c r="G9" s="24" t="s">
        <v>107</v>
      </c>
      <c r="H9" s="29">
        <v>1.0042000000000001E-2</v>
      </c>
      <c r="I9" s="1"/>
      <c r="J9" s="24" t="s">
        <v>10</v>
      </c>
      <c r="K9" s="29">
        <v>2.2435E-2</v>
      </c>
      <c r="L9" s="1"/>
      <c r="M9" s="1"/>
      <c r="N9" s="18"/>
    </row>
    <row r="10" spans="2:14" ht="15" customHeight="1" x14ac:dyDescent="0.25">
      <c r="B10" s="20"/>
      <c r="C10" s="5" t="s">
        <v>23</v>
      </c>
      <c r="D10" s="6" t="s">
        <v>22</v>
      </c>
      <c r="E10" s="11">
        <v>4.1757000000000002E-2</v>
      </c>
      <c r="F10" s="1"/>
      <c r="G10" s="1"/>
      <c r="H10" s="1"/>
      <c r="I10" s="1"/>
      <c r="J10" s="24" t="s">
        <v>13</v>
      </c>
      <c r="K10" s="29">
        <v>9.5324000000000006E-2</v>
      </c>
      <c r="L10" s="1"/>
      <c r="M10" s="1"/>
      <c r="N10" s="18"/>
    </row>
    <row r="11" spans="2:14" ht="15" customHeight="1" x14ac:dyDescent="0.25">
      <c r="B11" s="20"/>
      <c r="C11" s="5" t="s">
        <v>145</v>
      </c>
      <c r="D11" s="6" t="s">
        <v>22</v>
      </c>
      <c r="E11" s="11">
        <v>2.3550000000000001E-2</v>
      </c>
      <c r="F11" s="1"/>
      <c r="G11" s="1"/>
      <c r="H11" s="1"/>
      <c r="I11" s="1"/>
      <c r="J11" s="24" t="s">
        <v>51</v>
      </c>
      <c r="K11" s="29">
        <v>0.30192600000000003</v>
      </c>
      <c r="L11" s="1"/>
      <c r="M11" s="1"/>
      <c r="N11" s="18"/>
    </row>
    <row r="12" spans="2:14" ht="15" customHeight="1" x14ac:dyDescent="0.25">
      <c r="B12" s="20"/>
      <c r="C12" s="5" t="s">
        <v>24</v>
      </c>
      <c r="D12" s="6" t="s">
        <v>22</v>
      </c>
      <c r="E12" s="11">
        <v>9.6520000000000009E-3</v>
      </c>
      <c r="F12" s="1"/>
      <c r="G12" s="1"/>
      <c r="H12" s="1"/>
      <c r="I12" s="1"/>
      <c r="J12" s="24" t="s">
        <v>52</v>
      </c>
      <c r="K12" s="29">
        <v>0.45295999999999997</v>
      </c>
      <c r="L12" s="1"/>
      <c r="M12" s="1"/>
      <c r="N12" s="18"/>
    </row>
    <row r="13" spans="2:14" ht="15.75" customHeight="1" x14ac:dyDescent="0.25">
      <c r="B13" s="20"/>
      <c r="C13" s="7" t="s">
        <v>27</v>
      </c>
      <c r="D13" s="8"/>
      <c r="E13" s="12">
        <v>0.30192600000000003</v>
      </c>
      <c r="F13" s="1"/>
      <c r="G13" s="1"/>
      <c r="H13" s="1"/>
      <c r="I13" s="1"/>
      <c r="J13" s="24" t="s">
        <v>53</v>
      </c>
      <c r="K13" s="29">
        <v>7.0813000000000001E-2</v>
      </c>
      <c r="L13" s="1"/>
      <c r="M13" s="1"/>
      <c r="N13" s="18"/>
    </row>
    <row r="14" spans="2:14" ht="15" customHeight="1" x14ac:dyDescent="0.25">
      <c r="B14" s="20"/>
      <c r="C14" s="5" t="s">
        <v>29</v>
      </c>
      <c r="D14" s="6" t="s">
        <v>22</v>
      </c>
      <c r="E14" s="11">
        <v>2.7369000000000001E-2</v>
      </c>
      <c r="F14" s="1"/>
      <c r="G14" s="1"/>
      <c r="H14" s="1"/>
      <c r="I14" s="1"/>
      <c r="J14" s="24" t="s">
        <v>46</v>
      </c>
      <c r="K14" s="29">
        <v>2.5230000000000001E-3</v>
      </c>
      <c r="L14" s="1"/>
      <c r="M14" s="1"/>
      <c r="N14" s="18"/>
    </row>
    <row r="15" spans="2:14" ht="15" customHeight="1" x14ac:dyDescent="0.25">
      <c r="B15" s="20"/>
      <c r="C15" s="5" t="s">
        <v>150</v>
      </c>
      <c r="D15" s="6" t="s">
        <v>22</v>
      </c>
      <c r="E15" s="11">
        <v>1.8870000000000001E-2</v>
      </c>
      <c r="F15" s="1"/>
      <c r="G15" s="1"/>
      <c r="H15" s="1"/>
      <c r="I15" s="1"/>
      <c r="J15" s="24" t="s">
        <v>90</v>
      </c>
      <c r="K15" s="29">
        <v>4.8139000000000001E-2</v>
      </c>
      <c r="L15" s="1"/>
      <c r="M15" s="1"/>
      <c r="N15" s="18"/>
    </row>
    <row r="16" spans="2:14" ht="15" customHeight="1" x14ac:dyDescent="0.25">
      <c r="B16" s="20"/>
      <c r="C16" s="5" t="s">
        <v>77</v>
      </c>
      <c r="D16" s="6" t="s">
        <v>22</v>
      </c>
      <c r="E16" s="11">
        <v>1.8387000000000001E-2</v>
      </c>
      <c r="F16" s="1"/>
      <c r="G16" s="1"/>
      <c r="H16" s="1"/>
      <c r="I16" s="1"/>
      <c r="J16" s="24" t="s">
        <v>163</v>
      </c>
      <c r="K16" s="29">
        <v>5.8799999999999998E-3</v>
      </c>
      <c r="L16" s="1"/>
      <c r="M16" s="1"/>
      <c r="N16" s="18"/>
    </row>
    <row r="17" spans="2:14" ht="15" customHeight="1" x14ac:dyDescent="0.25">
      <c r="B17" s="20"/>
      <c r="C17" s="5" t="s">
        <v>168</v>
      </c>
      <c r="D17" s="6" t="s">
        <v>22</v>
      </c>
      <c r="E17" s="11">
        <v>6.1869999999999998E-3</v>
      </c>
      <c r="F17" s="1"/>
      <c r="G17" s="1"/>
      <c r="H17" s="1"/>
      <c r="I17" s="1"/>
      <c r="J17" s="1"/>
      <c r="K17" s="1"/>
      <c r="L17" s="1"/>
      <c r="M17" s="1"/>
      <c r="N17" s="18"/>
    </row>
    <row r="18" spans="2:14" ht="15.75" customHeight="1" x14ac:dyDescent="0.25">
      <c r="B18" s="20"/>
      <c r="C18" s="7" t="s">
        <v>28</v>
      </c>
      <c r="D18" s="8"/>
      <c r="E18" s="12">
        <v>7.0813000000000001E-2</v>
      </c>
      <c r="F18" s="1"/>
      <c r="G18" s="1"/>
      <c r="H18" s="1"/>
      <c r="I18" s="1"/>
      <c r="J18" s="1"/>
      <c r="K18" s="1"/>
      <c r="L18" s="1"/>
      <c r="M18" s="1"/>
      <c r="N18" s="18"/>
    </row>
    <row r="19" spans="2:14" ht="15" customHeight="1" x14ac:dyDescent="0.25">
      <c r="B19" s="20"/>
      <c r="C19" s="5" t="s">
        <v>32</v>
      </c>
      <c r="D19" s="6" t="s">
        <v>30</v>
      </c>
      <c r="E19" s="11">
        <v>0.11249099999999999</v>
      </c>
      <c r="F19" s="1"/>
      <c r="G19" s="1"/>
      <c r="H19" s="1"/>
      <c r="I19" s="1"/>
      <c r="J19" s="1"/>
      <c r="K19" s="1"/>
      <c r="L19" s="1"/>
      <c r="M19" s="1"/>
      <c r="N19" s="18"/>
    </row>
    <row r="20" spans="2:14" ht="15" customHeight="1" x14ac:dyDescent="0.25">
      <c r="B20" s="20"/>
      <c r="C20" s="5" t="s">
        <v>36</v>
      </c>
      <c r="D20" s="6" t="s">
        <v>30</v>
      </c>
      <c r="E20" s="11">
        <v>9.8363000000000006E-2</v>
      </c>
      <c r="F20" s="1"/>
      <c r="G20" s="1"/>
      <c r="H20" s="1"/>
      <c r="I20" s="1"/>
      <c r="J20" s="1"/>
      <c r="K20" s="1"/>
      <c r="L20" s="1"/>
      <c r="M20" s="1"/>
      <c r="N20" s="18"/>
    </row>
    <row r="21" spans="2:14" ht="15" customHeight="1" x14ac:dyDescent="0.25">
      <c r="B21" s="20"/>
      <c r="C21" s="5" t="s">
        <v>33</v>
      </c>
      <c r="D21" s="6" t="s">
        <v>30</v>
      </c>
      <c r="E21" s="11">
        <v>6.7808999999999994E-2</v>
      </c>
      <c r="F21" s="1"/>
      <c r="G21" s="1"/>
      <c r="H21" s="1"/>
      <c r="I21" s="1"/>
      <c r="J21" s="1"/>
      <c r="K21" s="1"/>
      <c r="L21" s="1"/>
      <c r="M21" s="1"/>
      <c r="N21" s="18"/>
    </row>
    <row r="22" spans="2:14" ht="15" customHeight="1" x14ac:dyDescent="0.25">
      <c r="B22" s="20"/>
      <c r="C22" s="5" t="s">
        <v>29</v>
      </c>
      <c r="D22" s="6" t="s">
        <v>30</v>
      </c>
      <c r="E22" s="11">
        <v>4.8866E-2</v>
      </c>
      <c r="F22" s="1"/>
      <c r="G22" s="1"/>
      <c r="H22" s="1"/>
      <c r="I22" s="1"/>
      <c r="J22" s="1"/>
      <c r="K22" s="1"/>
      <c r="L22" s="1"/>
      <c r="M22" s="1"/>
      <c r="N22" s="18"/>
    </row>
    <row r="23" spans="2:14" ht="15" customHeight="1" x14ac:dyDescent="0.25">
      <c r="B23" s="20"/>
      <c r="C23" s="5" t="s">
        <v>158</v>
      </c>
      <c r="D23" s="6" t="s">
        <v>30</v>
      </c>
      <c r="E23" s="11">
        <v>2.4951000000000001E-2</v>
      </c>
      <c r="F23" s="1"/>
      <c r="G23" s="1"/>
      <c r="H23" s="1"/>
      <c r="I23" s="1"/>
      <c r="J23" s="1"/>
      <c r="K23" s="1"/>
      <c r="L23" s="1"/>
      <c r="M23" s="1"/>
      <c r="N23" s="18"/>
    </row>
    <row r="24" spans="2:14" ht="15" customHeight="1" x14ac:dyDescent="0.25">
      <c r="B24" s="20"/>
      <c r="C24" s="5" t="s">
        <v>77</v>
      </c>
      <c r="D24" s="6" t="s">
        <v>30</v>
      </c>
      <c r="E24" s="11">
        <v>1.9980999999999999E-2</v>
      </c>
      <c r="F24" s="1"/>
      <c r="G24" s="97" t="s">
        <v>129</v>
      </c>
      <c r="H24" s="98"/>
      <c r="I24" s="98"/>
      <c r="J24" s="98"/>
      <c r="K24" s="98"/>
      <c r="L24" s="79">
        <v>178.33202506876523</v>
      </c>
      <c r="M24" s="27"/>
      <c r="N24" s="28"/>
    </row>
    <row r="25" spans="2:14" ht="15" customHeight="1" x14ac:dyDescent="0.25">
      <c r="B25" s="20"/>
      <c r="C25" s="5" t="s">
        <v>83</v>
      </c>
      <c r="D25" s="6" t="s">
        <v>30</v>
      </c>
      <c r="E25" s="11">
        <v>1.8886E-2</v>
      </c>
      <c r="F25" s="1"/>
      <c r="G25" s="1"/>
      <c r="H25" s="1"/>
      <c r="I25" s="1"/>
      <c r="J25" s="1"/>
      <c r="K25" s="1"/>
      <c r="L25" s="1"/>
      <c r="M25" s="1"/>
      <c r="N25" s="18"/>
    </row>
    <row r="26" spans="2:14" ht="15" customHeight="1" x14ac:dyDescent="0.25">
      <c r="B26" s="20"/>
      <c r="C26" s="5" t="s">
        <v>76</v>
      </c>
      <c r="D26" s="6" t="s">
        <v>30</v>
      </c>
      <c r="E26" s="11">
        <v>1.8856000000000001E-2</v>
      </c>
      <c r="F26" s="1"/>
      <c r="G26" s="97" t="s">
        <v>18</v>
      </c>
      <c r="H26" s="98"/>
      <c r="I26" s="98"/>
      <c r="J26" s="98"/>
      <c r="K26" s="98"/>
      <c r="L26" s="98"/>
      <c r="M26" s="98"/>
      <c r="N26" s="99"/>
    </row>
    <row r="27" spans="2:14" ht="15" customHeight="1" x14ac:dyDescent="0.25">
      <c r="B27" s="20"/>
      <c r="C27" s="5" t="s">
        <v>75</v>
      </c>
      <c r="D27" s="6" t="s">
        <v>30</v>
      </c>
      <c r="E27" s="11">
        <v>1.6331999999999999E-2</v>
      </c>
      <c r="F27" s="1"/>
      <c r="G27" s="1"/>
      <c r="H27" s="1"/>
      <c r="I27" s="1"/>
      <c r="J27" s="1"/>
      <c r="K27" s="1"/>
      <c r="L27" s="1"/>
      <c r="M27" s="1"/>
      <c r="N27" s="18"/>
    </row>
    <row r="28" spans="2:14" ht="15" customHeight="1" x14ac:dyDescent="0.25">
      <c r="B28" s="20"/>
      <c r="C28" s="5" t="s">
        <v>168</v>
      </c>
      <c r="D28" s="6" t="s">
        <v>98</v>
      </c>
      <c r="E28" s="11">
        <v>1.0042000000000001E-2</v>
      </c>
      <c r="F28" s="1"/>
      <c r="G28" s="1"/>
      <c r="H28" s="1"/>
      <c r="I28" s="1"/>
      <c r="J28" s="1"/>
      <c r="K28" s="1"/>
      <c r="L28" s="1"/>
      <c r="M28" s="1"/>
      <c r="N28" s="18"/>
    </row>
    <row r="29" spans="2:14" ht="15" customHeight="1" x14ac:dyDescent="0.25">
      <c r="B29" s="20"/>
      <c r="C29" s="5" t="s">
        <v>25</v>
      </c>
      <c r="D29" s="6" t="s">
        <v>30</v>
      </c>
      <c r="E29" s="11">
        <v>6.3150000000000003E-3</v>
      </c>
      <c r="F29" s="1"/>
      <c r="G29" s="1"/>
      <c r="H29" s="1"/>
      <c r="I29" s="1"/>
      <c r="J29" s="1"/>
      <c r="K29" s="1"/>
      <c r="L29" s="1"/>
      <c r="M29" s="1"/>
      <c r="N29" s="18"/>
    </row>
    <row r="30" spans="2:14" ht="15" customHeight="1" x14ac:dyDescent="0.25">
      <c r="B30" s="20"/>
      <c r="C30" s="5" t="s">
        <v>35</v>
      </c>
      <c r="D30" s="6" t="s">
        <v>30</v>
      </c>
      <c r="E30" s="11">
        <v>6.2680000000000001E-3</v>
      </c>
      <c r="F30" s="1"/>
      <c r="G30" s="1"/>
      <c r="H30" s="1"/>
      <c r="I30" s="1"/>
      <c r="J30" s="1"/>
      <c r="K30" s="1"/>
      <c r="L30" s="1"/>
      <c r="M30" s="1"/>
      <c r="N30" s="18"/>
    </row>
    <row r="31" spans="2:14" ht="15" customHeight="1" x14ac:dyDescent="0.25">
      <c r="B31" s="20"/>
      <c r="C31" s="5" t="s">
        <v>169</v>
      </c>
      <c r="D31" s="6" t="s">
        <v>30</v>
      </c>
      <c r="E31" s="11">
        <v>3.8E-3</v>
      </c>
      <c r="F31" s="1"/>
      <c r="G31" s="1"/>
      <c r="H31" s="1"/>
      <c r="I31" s="1"/>
      <c r="J31" s="1"/>
      <c r="K31" s="1"/>
      <c r="L31" s="1"/>
      <c r="M31" s="1"/>
      <c r="N31" s="18"/>
    </row>
    <row r="32" spans="2:14" ht="15.75" customHeight="1" x14ac:dyDescent="0.25">
      <c r="B32" s="20"/>
      <c r="C32" s="7" t="s">
        <v>45</v>
      </c>
      <c r="D32" s="8"/>
      <c r="E32" s="12">
        <v>0.45295999999999997</v>
      </c>
      <c r="F32" s="1"/>
      <c r="G32" s="1"/>
      <c r="H32" s="1"/>
      <c r="I32" s="1"/>
      <c r="J32" s="1"/>
      <c r="K32" s="1"/>
      <c r="L32" s="1"/>
      <c r="M32" s="1"/>
      <c r="N32" s="18"/>
    </row>
    <row r="33" spans="2:14" ht="15" customHeight="1" x14ac:dyDescent="0.25">
      <c r="B33" s="20"/>
      <c r="C33" s="5" t="s">
        <v>46</v>
      </c>
      <c r="D33" s="6"/>
      <c r="E33" s="11">
        <v>2.5230000000000001E-3</v>
      </c>
      <c r="F33" s="1"/>
      <c r="G33" s="1"/>
      <c r="H33" s="1"/>
      <c r="I33" s="1"/>
      <c r="J33" s="1"/>
      <c r="K33" s="1"/>
      <c r="L33" s="1"/>
      <c r="M33" s="1"/>
      <c r="N33" s="18"/>
    </row>
    <row r="34" spans="2:14" ht="15.75" customHeight="1" x14ac:dyDescent="0.25">
      <c r="B34" s="20"/>
      <c r="C34" s="7" t="s">
        <v>47</v>
      </c>
      <c r="D34" s="8"/>
      <c r="E34" s="12">
        <v>2.5230000000000001E-3</v>
      </c>
      <c r="F34" s="1"/>
      <c r="G34" s="1"/>
      <c r="H34" s="1"/>
      <c r="I34" s="1"/>
      <c r="J34" s="1"/>
      <c r="K34" s="1"/>
      <c r="L34" s="1"/>
      <c r="M34" s="1"/>
      <c r="N34" s="18"/>
    </row>
    <row r="35" spans="2:14" ht="15" customHeight="1" x14ac:dyDescent="0.25">
      <c r="B35" s="20"/>
      <c r="C35" s="5" t="s">
        <v>154</v>
      </c>
      <c r="D35" s="34" t="s">
        <v>173</v>
      </c>
      <c r="E35" s="11">
        <v>3.7858999999999997E-2</v>
      </c>
      <c r="F35" s="1"/>
      <c r="G35" s="1"/>
      <c r="H35" s="1"/>
      <c r="I35" s="1"/>
      <c r="J35" s="1"/>
      <c r="K35" s="1"/>
      <c r="L35" s="1"/>
      <c r="M35" s="1"/>
      <c r="N35" s="18"/>
    </row>
    <row r="36" spans="2:14" ht="15" customHeight="1" x14ac:dyDescent="0.25">
      <c r="B36" s="20"/>
      <c r="C36" s="5" t="s">
        <v>170</v>
      </c>
      <c r="D36" s="34" t="s">
        <v>173</v>
      </c>
      <c r="E36" s="11">
        <v>9.9089999999999994E-3</v>
      </c>
      <c r="F36" s="1"/>
      <c r="G36" s="1"/>
      <c r="H36" s="1"/>
      <c r="I36" s="1"/>
      <c r="J36" s="1"/>
      <c r="K36" s="1"/>
      <c r="L36" s="1"/>
      <c r="M36" s="1"/>
      <c r="N36" s="18"/>
    </row>
    <row r="37" spans="2:14" ht="15" customHeight="1" x14ac:dyDescent="0.25">
      <c r="B37" s="20"/>
      <c r="C37" s="5" t="s">
        <v>159</v>
      </c>
      <c r="D37" s="34" t="s">
        <v>173</v>
      </c>
      <c r="E37" s="11">
        <v>3.7100000000000002E-4</v>
      </c>
      <c r="F37" s="1"/>
      <c r="G37" s="1"/>
      <c r="H37" s="1"/>
      <c r="I37" s="1"/>
      <c r="J37" s="1"/>
      <c r="K37" s="1"/>
      <c r="L37" s="1"/>
      <c r="M37" s="1"/>
      <c r="N37" s="18"/>
    </row>
    <row r="38" spans="2:14" ht="15.75" customHeight="1" x14ac:dyDescent="0.25">
      <c r="B38" s="20"/>
      <c r="C38" s="7" t="s">
        <v>89</v>
      </c>
      <c r="D38" s="8"/>
      <c r="E38" s="12">
        <v>4.8139000000000001E-2</v>
      </c>
      <c r="F38" s="1"/>
      <c r="G38" s="1"/>
      <c r="H38" s="1"/>
      <c r="I38" s="1"/>
      <c r="J38" s="1"/>
      <c r="K38" s="1"/>
      <c r="L38" s="1"/>
      <c r="M38" s="1"/>
      <c r="N38" s="18"/>
    </row>
    <row r="39" spans="2:14" ht="15" customHeight="1" x14ac:dyDescent="0.25">
      <c r="B39" s="20"/>
      <c r="C39" s="5" t="s">
        <v>8</v>
      </c>
      <c r="D39" s="6"/>
      <c r="E39" s="11">
        <v>9.5324000000000006E-2</v>
      </c>
      <c r="F39" s="1"/>
      <c r="G39" s="1"/>
      <c r="H39" s="1"/>
      <c r="I39" s="1"/>
      <c r="J39" s="1"/>
      <c r="K39" s="1"/>
      <c r="L39" s="1"/>
      <c r="M39" s="1"/>
      <c r="N39" s="18"/>
    </row>
    <row r="40" spans="2:14" ht="15.75" customHeight="1" x14ac:dyDescent="0.25">
      <c r="B40" s="20"/>
      <c r="C40" s="7" t="s">
        <v>9</v>
      </c>
      <c r="D40" s="8"/>
      <c r="E40" s="12">
        <v>9.5324000000000006E-2</v>
      </c>
      <c r="F40" s="1"/>
      <c r="G40" s="1"/>
      <c r="H40" s="1"/>
      <c r="I40" s="1"/>
      <c r="J40" s="1"/>
      <c r="K40" s="1"/>
      <c r="L40" s="1"/>
      <c r="M40" s="1"/>
      <c r="N40" s="18"/>
    </row>
    <row r="41" spans="2:14" ht="15" customHeight="1" x14ac:dyDescent="0.25">
      <c r="B41" s="20"/>
      <c r="C41" s="5" t="s">
        <v>77</v>
      </c>
      <c r="D41" s="6" t="s">
        <v>30</v>
      </c>
      <c r="E41" s="11">
        <v>5.8799999999999998E-3</v>
      </c>
      <c r="F41" s="1"/>
      <c r="G41" s="1"/>
      <c r="H41" s="1"/>
      <c r="I41" s="1"/>
      <c r="J41" s="1"/>
      <c r="K41" s="1"/>
      <c r="L41" s="1"/>
      <c r="M41" s="1"/>
      <c r="N41" s="18"/>
    </row>
    <row r="42" spans="2:14" ht="15.75" customHeight="1" x14ac:dyDescent="0.25">
      <c r="B42" s="20"/>
      <c r="C42" s="7" t="s">
        <v>162</v>
      </c>
      <c r="D42" s="8"/>
      <c r="E42" s="12">
        <v>5.8799999999999998E-3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10</v>
      </c>
      <c r="D44" s="8"/>
      <c r="E44" s="12">
        <v>2.2435E-2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11</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80" t="s">
        <v>258</v>
      </c>
      <c r="C50" s="81"/>
      <c r="D50" s="81"/>
      <c r="E50" s="81"/>
      <c r="F50" s="81"/>
      <c r="G50" s="81"/>
      <c r="H50" s="81"/>
      <c r="I50" s="81"/>
      <c r="J50" s="81"/>
      <c r="K50" s="81"/>
      <c r="L50" s="81"/>
      <c r="M50" s="81"/>
      <c r="N50" s="82"/>
    </row>
    <row r="51" spans="2:14" ht="15" customHeight="1" x14ac:dyDescent="0.25">
      <c r="B51" s="83"/>
      <c r="C51" s="84"/>
      <c r="D51" s="84"/>
      <c r="E51" s="84"/>
      <c r="F51" s="84"/>
      <c r="G51" s="84"/>
      <c r="H51" s="84"/>
      <c r="I51" s="84"/>
      <c r="J51" s="84"/>
      <c r="K51" s="84"/>
      <c r="L51" s="84"/>
      <c r="M51" s="84"/>
      <c r="N51" s="85"/>
    </row>
    <row r="52" spans="2:14" ht="15" customHeight="1" x14ac:dyDescent="0.25">
      <c r="B52" s="83"/>
      <c r="C52" s="84"/>
      <c r="D52" s="84"/>
      <c r="E52" s="84"/>
      <c r="F52" s="84"/>
      <c r="G52" s="84"/>
      <c r="H52" s="84"/>
      <c r="I52" s="84"/>
      <c r="J52" s="84"/>
      <c r="K52" s="84"/>
      <c r="L52" s="84"/>
      <c r="M52" s="84"/>
      <c r="N52" s="85"/>
    </row>
    <row r="53" spans="2:14" ht="15" customHeight="1" thickBot="1" x14ac:dyDescent="0.3">
      <c r="B53" s="86"/>
      <c r="C53" s="87"/>
      <c r="D53" s="87"/>
      <c r="E53" s="87"/>
      <c r="F53" s="87"/>
      <c r="G53" s="87"/>
      <c r="H53" s="87"/>
      <c r="I53" s="87"/>
      <c r="J53" s="87"/>
      <c r="K53" s="87"/>
      <c r="L53" s="87"/>
      <c r="M53" s="87"/>
      <c r="N53" s="88"/>
    </row>
    <row r="54" spans="2:14" ht="15" customHeight="1" thickBot="1" x14ac:dyDescent="0.3">
      <c r="B54" s="31"/>
      <c r="C54" s="31"/>
      <c r="D54" s="31"/>
      <c r="E54" s="31"/>
      <c r="F54" s="31"/>
      <c r="G54" s="31"/>
      <c r="H54" s="31"/>
      <c r="I54" s="31"/>
      <c r="J54" s="31"/>
      <c r="K54" s="31"/>
      <c r="L54" s="31"/>
      <c r="M54" s="31"/>
      <c r="N54" s="31"/>
    </row>
    <row r="55" spans="2:14" ht="144" customHeight="1" thickBot="1" x14ac:dyDescent="0.3">
      <c r="B55" s="89" t="s">
        <v>257</v>
      </c>
      <c r="C55" s="90"/>
      <c r="D55" s="90"/>
      <c r="E55" s="90"/>
      <c r="F55" s="90"/>
      <c r="G55" s="90"/>
      <c r="H55" s="90"/>
      <c r="I55" s="90"/>
      <c r="J55" s="90"/>
      <c r="K55" s="90"/>
      <c r="L55" s="90"/>
      <c r="M55" s="90"/>
      <c r="N55" s="91"/>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45612-DC1C-4D4B-8150-3FE2425AFCAF}">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132</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133</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46</v>
      </c>
      <c r="D8" s="6"/>
      <c r="E8" s="11">
        <v>2.483E-3</v>
      </c>
      <c r="F8" s="1"/>
      <c r="G8" s="24" t="s">
        <v>15</v>
      </c>
      <c r="H8" s="25">
        <v>1</v>
      </c>
      <c r="I8" s="1"/>
      <c r="J8" s="24" t="s">
        <v>12</v>
      </c>
      <c r="K8" s="24" t="s">
        <v>5</v>
      </c>
      <c r="L8" s="1"/>
      <c r="M8" s="1"/>
      <c r="N8" s="18"/>
    </row>
    <row r="9" spans="2:14" ht="15.75" customHeight="1" x14ac:dyDescent="0.25">
      <c r="B9" s="20"/>
      <c r="C9" s="7" t="s">
        <v>47</v>
      </c>
      <c r="D9" s="8"/>
      <c r="E9" s="12">
        <v>2.483E-3</v>
      </c>
      <c r="F9" s="1"/>
      <c r="G9" s="1"/>
      <c r="H9" s="1"/>
      <c r="I9" s="1"/>
      <c r="J9" s="24" t="s">
        <v>10</v>
      </c>
      <c r="K9" s="29">
        <v>1.0042000000000001E-2</v>
      </c>
      <c r="L9" s="1"/>
      <c r="M9" s="1"/>
      <c r="N9" s="18"/>
    </row>
    <row r="10" spans="2:14" ht="15" customHeight="1" x14ac:dyDescent="0.25">
      <c r="B10" s="20"/>
      <c r="C10" s="5" t="s">
        <v>59</v>
      </c>
      <c r="D10" s="34" t="s">
        <v>173</v>
      </c>
      <c r="E10" s="11">
        <v>0.84750800000000004</v>
      </c>
      <c r="F10" s="1"/>
      <c r="G10" s="1"/>
      <c r="H10" s="1"/>
      <c r="I10" s="1"/>
      <c r="J10" s="24" t="s">
        <v>13</v>
      </c>
      <c r="K10" s="29">
        <v>4.2859999999999999E-3</v>
      </c>
      <c r="L10" s="1"/>
      <c r="M10" s="1"/>
      <c r="N10" s="18"/>
    </row>
    <row r="11" spans="2:14" ht="15" customHeight="1" x14ac:dyDescent="0.25">
      <c r="B11" s="20"/>
      <c r="C11" s="5" t="s">
        <v>58</v>
      </c>
      <c r="D11" s="34" t="s">
        <v>173</v>
      </c>
      <c r="E11" s="11">
        <v>0.13559199999999999</v>
      </c>
      <c r="F11" s="1"/>
      <c r="G11" s="1"/>
      <c r="H11" s="1"/>
      <c r="I11" s="1"/>
      <c r="J11" s="24" t="s">
        <v>46</v>
      </c>
      <c r="K11" s="29">
        <v>2.483E-3</v>
      </c>
      <c r="L11" s="1"/>
      <c r="M11" s="1"/>
      <c r="N11" s="18"/>
    </row>
    <row r="12" spans="2:14" ht="15" customHeight="1" x14ac:dyDescent="0.25">
      <c r="B12" s="20"/>
      <c r="C12" s="5" t="s">
        <v>134</v>
      </c>
      <c r="D12" s="34" t="s">
        <v>173</v>
      </c>
      <c r="E12" s="30">
        <v>4.5000000000000003E-5</v>
      </c>
      <c r="F12" s="1"/>
      <c r="G12" s="1"/>
      <c r="H12" s="1"/>
      <c r="I12" s="1"/>
      <c r="J12" s="24" t="s">
        <v>54</v>
      </c>
      <c r="K12" s="29">
        <v>0.98318899999999998</v>
      </c>
      <c r="L12" s="1"/>
      <c r="M12" s="1"/>
      <c r="N12" s="18"/>
    </row>
    <row r="13" spans="2:14" ht="15" customHeight="1" x14ac:dyDescent="0.25">
      <c r="B13" s="20"/>
      <c r="C13" s="5" t="s">
        <v>125</v>
      </c>
      <c r="D13" s="34" t="s">
        <v>173</v>
      </c>
      <c r="E13" s="30">
        <v>4.3999999999999999E-5</v>
      </c>
      <c r="F13" s="1"/>
      <c r="G13" s="1"/>
      <c r="H13" s="1"/>
      <c r="I13" s="1"/>
      <c r="J13" s="1"/>
      <c r="K13" s="1"/>
      <c r="L13" s="1"/>
      <c r="M13" s="1"/>
      <c r="N13" s="18"/>
    </row>
    <row r="14" spans="2:14" ht="15.75" customHeight="1" x14ac:dyDescent="0.25">
      <c r="B14" s="20"/>
      <c r="C14" s="7" t="s">
        <v>49</v>
      </c>
      <c r="D14" s="8"/>
      <c r="E14" s="12">
        <v>0.98318899999999998</v>
      </c>
      <c r="F14" s="1"/>
      <c r="G14" s="1"/>
      <c r="H14" s="1"/>
      <c r="I14" s="1"/>
      <c r="J14" s="1"/>
      <c r="K14" s="1"/>
      <c r="L14" s="1"/>
      <c r="M14" s="1"/>
      <c r="N14" s="18"/>
    </row>
    <row r="15" spans="2:14" ht="15" customHeight="1" x14ac:dyDescent="0.25">
      <c r="B15" s="20"/>
      <c r="C15" s="5" t="s">
        <v>8</v>
      </c>
      <c r="D15" s="6"/>
      <c r="E15" s="11">
        <v>4.2859999999999999E-3</v>
      </c>
      <c r="F15" s="1"/>
      <c r="G15" s="1"/>
      <c r="H15" s="1"/>
      <c r="I15" s="1"/>
      <c r="J15" s="1"/>
      <c r="K15" s="1"/>
      <c r="L15" s="1"/>
      <c r="M15" s="1"/>
      <c r="N15" s="18"/>
    </row>
    <row r="16" spans="2:14" ht="15.75" customHeight="1" x14ac:dyDescent="0.25">
      <c r="B16" s="20"/>
      <c r="C16" s="7" t="s">
        <v>9</v>
      </c>
      <c r="D16" s="8"/>
      <c r="E16" s="12">
        <v>4.2859999999999999E-3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1.0042000000000001E-2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27.107427539449301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80" t="s">
        <v>258</v>
      </c>
      <c r="C45" s="81"/>
      <c r="D45" s="81"/>
      <c r="E45" s="81"/>
      <c r="F45" s="81"/>
      <c r="G45" s="81"/>
      <c r="H45" s="81"/>
      <c r="I45" s="81"/>
      <c r="J45" s="81"/>
      <c r="K45" s="81"/>
      <c r="L45" s="81"/>
      <c r="M45" s="81"/>
      <c r="N45" s="82"/>
    </row>
    <row r="46" spans="2:14" x14ac:dyDescent="0.25">
      <c r="B46" s="83"/>
      <c r="C46" s="84"/>
      <c r="D46" s="84"/>
      <c r="E46" s="84"/>
      <c r="F46" s="84"/>
      <c r="G46" s="84"/>
      <c r="H46" s="84"/>
      <c r="I46" s="84"/>
      <c r="J46" s="84"/>
      <c r="K46" s="84"/>
      <c r="L46" s="84"/>
      <c r="M46" s="84"/>
      <c r="N46" s="85"/>
    </row>
    <row r="47" spans="2:14" x14ac:dyDescent="0.25">
      <c r="B47" s="83"/>
      <c r="C47" s="84"/>
      <c r="D47" s="84"/>
      <c r="E47" s="84"/>
      <c r="F47" s="84"/>
      <c r="G47" s="84"/>
      <c r="H47" s="84"/>
      <c r="I47" s="84"/>
      <c r="J47" s="84"/>
      <c r="K47" s="84"/>
      <c r="L47" s="84"/>
      <c r="M47" s="84"/>
      <c r="N47" s="85"/>
    </row>
    <row r="48" spans="2:14" ht="15.75" thickBot="1" x14ac:dyDescent="0.3">
      <c r="B48" s="86"/>
      <c r="C48" s="87"/>
      <c r="D48" s="87"/>
      <c r="E48" s="87"/>
      <c r="F48" s="87"/>
      <c r="G48" s="87"/>
      <c r="H48" s="87"/>
      <c r="I48" s="87"/>
      <c r="J48" s="87"/>
      <c r="K48" s="87"/>
      <c r="L48" s="87"/>
      <c r="M48" s="87"/>
      <c r="N48" s="88"/>
    </row>
    <row r="49" spans="2:14" ht="15.75" thickBot="1" x14ac:dyDescent="0.3">
      <c r="B49" s="31"/>
      <c r="C49" s="31"/>
      <c r="D49" s="31"/>
      <c r="E49" s="31"/>
      <c r="F49" s="31"/>
      <c r="G49" s="31"/>
      <c r="H49" s="31"/>
      <c r="I49" s="31"/>
      <c r="J49" s="31"/>
      <c r="K49" s="31"/>
      <c r="L49" s="31"/>
      <c r="M49" s="31"/>
      <c r="N49" s="31"/>
    </row>
    <row r="50" spans="2:14" ht="144" customHeight="1" thickBot="1" x14ac:dyDescent="0.3">
      <c r="B50" s="89" t="s">
        <v>257</v>
      </c>
      <c r="C50" s="90"/>
      <c r="D50" s="90"/>
      <c r="E50" s="90"/>
      <c r="F50" s="90"/>
      <c r="G50" s="90"/>
      <c r="H50" s="90"/>
      <c r="I50" s="90"/>
      <c r="J50" s="90"/>
      <c r="K50" s="90"/>
      <c r="L50" s="90"/>
      <c r="M50" s="90"/>
      <c r="N50" s="91"/>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EFB2-1C8F-4881-BC10-BA25220989A9}">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56</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57</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35</v>
      </c>
      <c r="D8" s="6" t="s">
        <v>30</v>
      </c>
      <c r="E8" s="11">
        <v>0.108686</v>
      </c>
      <c r="F8" s="1"/>
      <c r="G8" s="24" t="s">
        <v>15</v>
      </c>
      <c r="H8" s="25">
        <v>1</v>
      </c>
      <c r="I8" s="1"/>
      <c r="J8" s="24" t="s">
        <v>12</v>
      </c>
      <c r="K8" s="24" t="s">
        <v>5</v>
      </c>
      <c r="L8" s="1"/>
      <c r="M8" s="1"/>
      <c r="N8" s="18"/>
    </row>
    <row r="9" spans="2:14" ht="15" customHeight="1" x14ac:dyDescent="0.25">
      <c r="B9" s="20"/>
      <c r="C9" s="5" t="s">
        <v>32</v>
      </c>
      <c r="D9" s="6" t="s">
        <v>30</v>
      </c>
      <c r="E9" s="11">
        <v>0.101201</v>
      </c>
      <c r="F9" s="1"/>
      <c r="G9" s="1"/>
      <c r="H9" s="1"/>
      <c r="I9" s="1"/>
      <c r="J9" s="24" t="s">
        <v>10</v>
      </c>
      <c r="K9" s="29">
        <v>1.1409000000000001E-2</v>
      </c>
      <c r="L9" s="1"/>
      <c r="M9" s="1"/>
      <c r="N9" s="18"/>
    </row>
    <row r="10" spans="2:14" ht="15" customHeight="1" x14ac:dyDescent="0.25">
      <c r="B10" s="20"/>
      <c r="C10" s="5" t="s">
        <v>34</v>
      </c>
      <c r="D10" s="6" t="s">
        <v>30</v>
      </c>
      <c r="E10" s="11">
        <v>5.0897999999999999E-2</v>
      </c>
      <c r="F10" s="1"/>
      <c r="G10" s="1"/>
      <c r="H10" s="1"/>
      <c r="I10" s="1"/>
      <c r="J10" s="24" t="s">
        <v>13</v>
      </c>
      <c r="K10" s="29">
        <v>1.1247999999999999E-2</v>
      </c>
      <c r="L10" s="1"/>
      <c r="M10" s="1"/>
      <c r="N10" s="18"/>
    </row>
    <row r="11" spans="2:14" ht="15.75" customHeight="1" x14ac:dyDescent="0.25">
      <c r="B11" s="20"/>
      <c r="C11" s="7" t="s">
        <v>45</v>
      </c>
      <c r="D11" s="8"/>
      <c r="E11" s="12">
        <v>0.26078499999999999</v>
      </c>
      <c r="F11" s="1"/>
      <c r="G11" s="1"/>
      <c r="H11" s="1"/>
      <c r="I11" s="1"/>
      <c r="J11" s="24" t="s">
        <v>52</v>
      </c>
      <c r="K11" s="29">
        <v>0.26078499999999999</v>
      </c>
      <c r="L11" s="1"/>
      <c r="M11" s="1"/>
      <c r="N11" s="18"/>
    </row>
    <row r="12" spans="2:14" ht="15" customHeight="1" x14ac:dyDescent="0.25">
      <c r="B12" s="20"/>
      <c r="C12" s="5" t="s">
        <v>46</v>
      </c>
      <c r="D12" s="6"/>
      <c r="E12" s="11">
        <v>2.5929999999999998E-3</v>
      </c>
      <c r="F12" s="1"/>
      <c r="G12" s="1"/>
      <c r="H12" s="1"/>
      <c r="I12" s="1"/>
      <c r="J12" s="24" t="s">
        <v>46</v>
      </c>
      <c r="K12" s="29">
        <v>2.5929999999999998E-3</v>
      </c>
      <c r="L12" s="1"/>
      <c r="M12" s="1"/>
      <c r="N12" s="18"/>
    </row>
    <row r="13" spans="2:14" ht="15.75" customHeight="1" x14ac:dyDescent="0.25">
      <c r="B13" s="20"/>
      <c r="C13" s="7" t="s">
        <v>47</v>
      </c>
      <c r="D13" s="8"/>
      <c r="E13" s="12">
        <v>2.5929999999999998E-3</v>
      </c>
      <c r="F13" s="1"/>
      <c r="G13" s="1"/>
      <c r="H13" s="1"/>
      <c r="I13" s="1"/>
      <c r="J13" s="24" t="s">
        <v>54</v>
      </c>
      <c r="K13" s="29">
        <v>0.71396499999999996</v>
      </c>
      <c r="L13" s="1"/>
      <c r="M13" s="1"/>
      <c r="N13" s="18"/>
    </row>
    <row r="14" spans="2:14" ht="15" customHeight="1" x14ac:dyDescent="0.25">
      <c r="B14" s="20"/>
      <c r="C14" s="5" t="s">
        <v>58</v>
      </c>
      <c r="D14" s="34" t="s">
        <v>173</v>
      </c>
      <c r="E14" s="11">
        <v>0.52337400000000001</v>
      </c>
      <c r="F14" s="1"/>
      <c r="G14" s="1"/>
      <c r="H14" s="1"/>
      <c r="I14" s="1"/>
      <c r="J14" s="1"/>
      <c r="K14" s="1"/>
      <c r="L14" s="1"/>
      <c r="M14" s="1"/>
      <c r="N14" s="18"/>
    </row>
    <row r="15" spans="2:14" ht="15" customHeight="1" x14ac:dyDescent="0.25">
      <c r="B15" s="20"/>
      <c r="C15" s="5" t="s">
        <v>59</v>
      </c>
      <c r="D15" s="34" t="s">
        <v>173</v>
      </c>
      <c r="E15" s="11">
        <v>9.3190999999999996E-2</v>
      </c>
      <c r="F15" s="1"/>
      <c r="G15" s="1"/>
      <c r="H15" s="1"/>
      <c r="I15" s="1"/>
      <c r="J15" s="1"/>
      <c r="K15" s="1"/>
      <c r="L15" s="1"/>
      <c r="M15" s="1"/>
      <c r="N15" s="18"/>
    </row>
    <row r="16" spans="2:14" ht="15" customHeight="1" x14ac:dyDescent="0.25">
      <c r="B16" s="20"/>
      <c r="C16" s="5" t="s">
        <v>60</v>
      </c>
      <c r="D16" s="34" t="s">
        <v>173</v>
      </c>
      <c r="E16" s="11">
        <v>9.2545000000000002E-2</v>
      </c>
      <c r="F16" s="1"/>
      <c r="G16" s="1"/>
      <c r="H16" s="1"/>
      <c r="I16" s="1"/>
      <c r="J16" s="1"/>
      <c r="K16" s="1"/>
      <c r="L16" s="1"/>
      <c r="M16" s="1"/>
      <c r="N16" s="18"/>
    </row>
    <row r="17" spans="2:14" ht="15" customHeight="1" x14ac:dyDescent="0.25">
      <c r="B17" s="20"/>
      <c r="C17" s="5" t="s">
        <v>61</v>
      </c>
      <c r="D17" s="34" t="s">
        <v>173</v>
      </c>
      <c r="E17" s="11">
        <v>2.036E-3</v>
      </c>
      <c r="F17" s="1"/>
      <c r="G17" s="1"/>
      <c r="H17" s="1"/>
      <c r="I17" s="1"/>
      <c r="J17" s="1"/>
      <c r="K17" s="1"/>
      <c r="L17" s="1"/>
      <c r="M17" s="1"/>
      <c r="N17" s="18"/>
    </row>
    <row r="18" spans="2:14" ht="15" customHeight="1" x14ac:dyDescent="0.25">
      <c r="B18" s="20"/>
      <c r="C18" s="5" t="s">
        <v>62</v>
      </c>
      <c r="D18" s="34" t="s">
        <v>173</v>
      </c>
      <c r="E18" s="11">
        <v>2.0200000000000001E-3</v>
      </c>
      <c r="F18" s="1"/>
      <c r="G18" s="1"/>
      <c r="H18" s="1"/>
      <c r="I18" s="1"/>
      <c r="J18" s="1"/>
      <c r="K18" s="1"/>
      <c r="L18" s="1"/>
      <c r="M18" s="1"/>
      <c r="N18" s="18"/>
    </row>
    <row r="19" spans="2:14" ht="15" customHeight="1" x14ac:dyDescent="0.25">
      <c r="B19" s="20"/>
      <c r="C19" s="5" t="s">
        <v>63</v>
      </c>
      <c r="D19" s="34" t="s">
        <v>173</v>
      </c>
      <c r="E19" s="11">
        <v>7.9900000000000001E-4</v>
      </c>
      <c r="F19" s="1"/>
      <c r="G19" s="1"/>
      <c r="H19" s="1"/>
      <c r="I19" s="1"/>
      <c r="J19" s="1"/>
      <c r="K19" s="1"/>
      <c r="L19" s="1"/>
      <c r="M19" s="1"/>
      <c r="N19" s="18"/>
    </row>
    <row r="20" spans="2:14" ht="15.75" customHeight="1" x14ac:dyDescent="0.25">
      <c r="B20" s="20"/>
      <c r="C20" s="7" t="s">
        <v>49</v>
      </c>
      <c r="D20" s="8"/>
      <c r="E20" s="12">
        <v>0.71396499999999996</v>
      </c>
      <c r="F20" s="1"/>
      <c r="G20" s="1"/>
      <c r="H20" s="1"/>
      <c r="I20" s="1"/>
      <c r="J20" s="1"/>
      <c r="K20" s="1"/>
      <c r="L20" s="1"/>
      <c r="M20" s="1"/>
      <c r="N20" s="18"/>
    </row>
    <row r="21" spans="2:14" ht="15" customHeight="1" x14ac:dyDescent="0.25">
      <c r="B21" s="20"/>
      <c r="C21" s="5" t="s">
        <v>8</v>
      </c>
      <c r="D21" s="6"/>
      <c r="E21" s="11">
        <v>1.1247999999999999E-2</v>
      </c>
      <c r="F21" s="1"/>
      <c r="G21" s="1"/>
      <c r="H21" s="1"/>
      <c r="I21" s="1"/>
      <c r="J21" s="1"/>
      <c r="K21" s="1"/>
      <c r="L21" s="1"/>
      <c r="M21" s="1"/>
      <c r="N21" s="18"/>
    </row>
    <row r="22" spans="2:14" ht="15.75" customHeight="1" x14ac:dyDescent="0.25">
      <c r="B22" s="20"/>
      <c r="C22" s="7" t="s">
        <v>9</v>
      </c>
      <c r="D22" s="8"/>
      <c r="E22" s="12">
        <v>1.1247999999999999E-2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10</v>
      </c>
      <c r="D24" s="8"/>
      <c r="E24" s="12">
        <v>1.1409000000000001E-2</v>
      </c>
      <c r="F24" s="1"/>
      <c r="G24" s="97" t="s">
        <v>17</v>
      </c>
      <c r="H24" s="98"/>
      <c r="I24" s="98"/>
      <c r="J24" s="98"/>
      <c r="K24" s="98"/>
      <c r="L24" s="26">
        <v>11.335511010551143</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11</v>
      </c>
      <c r="D26" s="10"/>
      <c r="E26" s="13">
        <v>1</v>
      </c>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0" t="s">
        <v>258</v>
      </c>
      <c r="C45" s="81"/>
      <c r="D45" s="81"/>
      <c r="E45" s="81"/>
      <c r="F45" s="81"/>
      <c r="G45" s="81"/>
      <c r="H45" s="81"/>
      <c r="I45" s="81"/>
      <c r="J45" s="81"/>
      <c r="K45" s="81"/>
      <c r="L45" s="81"/>
      <c r="M45" s="81"/>
      <c r="N45" s="82"/>
    </row>
    <row r="46" spans="2:14" ht="15" customHeight="1" x14ac:dyDescent="0.25">
      <c r="B46" s="83"/>
      <c r="C46" s="84"/>
      <c r="D46" s="84"/>
      <c r="E46" s="84"/>
      <c r="F46" s="84"/>
      <c r="G46" s="84"/>
      <c r="H46" s="84"/>
      <c r="I46" s="84"/>
      <c r="J46" s="84"/>
      <c r="K46" s="84"/>
      <c r="L46" s="84"/>
      <c r="M46" s="84"/>
      <c r="N46" s="85"/>
    </row>
    <row r="47" spans="2:14" x14ac:dyDescent="0.25">
      <c r="B47" s="83"/>
      <c r="C47" s="84"/>
      <c r="D47" s="84"/>
      <c r="E47" s="84"/>
      <c r="F47" s="84"/>
      <c r="G47" s="84"/>
      <c r="H47" s="84"/>
      <c r="I47" s="84"/>
      <c r="J47" s="84"/>
      <c r="K47" s="84"/>
      <c r="L47" s="84"/>
      <c r="M47" s="84"/>
      <c r="N47" s="85"/>
    </row>
    <row r="48" spans="2:14" ht="15.75" thickBot="1" x14ac:dyDescent="0.3">
      <c r="B48" s="86"/>
      <c r="C48" s="87"/>
      <c r="D48" s="87"/>
      <c r="E48" s="87"/>
      <c r="F48" s="87"/>
      <c r="G48" s="87"/>
      <c r="H48" s="87"/>
      <c r="I48" s="87"/>
      <c r="J48" s="87"/>
      <c r="K48" s="87"/>
      <c r="L48" s="87"/>
      <c r="M48" s="87"/>
      <c r="N48" s="88"/>
    </row>
    <row r="49" spans="2:14" ht="15.75" thickBot="1" x14ac:dyDescent="0.3">
      <c r="B49" s="31"/>
      <c r="C49" s="31"/>
      <c r="D49" s="31"/>
      <c r="E49" s="31"/>
      <c r="F49" s="31"/>
      <c r="G49" s="31"/>
      <c r="H49" s="31"/>
      <c r="I49" s="31"/>
      <c r="J49" s="31"/>
      <c r="K49" s="31"/>
      <c r="L49" s="31"/>
      <c r="M49" s="31"/>
      <c r="N49" s="31"/>
    </row>
    <row r="50" spans="2:14" ht="129.75" customHeight="1" thickBot="1" x14ac:dyDescent="0.3">
      <c r="B50" s="89" t="s">
        <v>257</v>
      </c>
      <c r="C50" s="90"/>
      <c r="D50" s="90"/>
      <c r="E50" s="90"/>
      <c r="F50" s="90"/>
      <c r="G50" s="90"/>
      <c r="H50" s="90"/>
      <c r="I50" s="90"/>
      <c r="J50" s="90"/>
      <c r="K50" s="90"/>
      <c r="L50" s="90"/>
      <c r="M50" s="90"/>
      <c r="N50" s="91"/>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910E-5B7F-447B-AB6F-558275B23DAE}">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64</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65</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32</v>
      </c>
      <c r="D8" s="6" t="s">
        <v>30</v>
      </c>
      <c r="E8" s="11">
        <v>0.10881</v>
      </c>
      <c r="F8" s="1"/>
      <c r="G8" s="24" t="s">
        <v>15</v>
      </c>
      <c r="H8" s="25">
        <v>1</v>
      </c>
      <c r="I8" s="1"/>
      <c r="J8" s="24" t="s">
        <v>12</v>
      </c>
      <c r="K8" s="24" t="s">
        <v>5</v>
      </c>
      <c r="L8" s="1"/>
      <c r="M8" s="1"/>
      <c r="N8" s="18"/>
    </row>
    <row r="9" spans="2:14" ht="15" customHeight="1" x14ac:dyDescent="0.25">
      <c r="B9" s="20"/>
      <c r="C9" s="5" t="s">
        <v>35</v>
      </c>
      <c r="D9" s="6" t="s">
        <v>30</v>
      </c>
      <c r="E9" s="11">
        <v>0.104917</v>
      </c>
      <c r="F9" s="1"/>
      <c r="G9" s="1"/>
      <c r="H9" s="1"/>
      <c r="I9" s="1"/>
      <c r="J9" s="24" t="s">
        <v>10</v>
      </c>
      <c r="K9" s="29">
        <v>1.5842999999999999E-2</v>
      </c>
      <c r="L9" s="1"/>
      <c r="M9" s="1"/>
      <c r="N9" s="18"/>
    </row>
    <row r="10" spans="2:14" ht="15" customHeight="1" x14ac:dyDescent="0.25">
      <c r="B10" s="20"/>
      <c r="C10" s="5" t="s">
        <v>36</v>
      </c>
      <c r="D10" s="6" t="s">
        <v>30</v>
      </c>
      <c r="E10" s="11">
        <v>0.10272199999999999</v>
      </c>
      <c r="F10" s="1"/>
      <c r="G10" s="1"/>
      <c r="H10" s="1"/>
      <c r="I10" s="1"/>
      <c r="J10" s="24" t="s">
        <v>13</v>
      </c>
      <c r="K10" s="29">
        <v>5.9259999999999998E-3</v>
      </c>
      <c r="L10" s="1"/>
      <c r="M10" s="1"/>
      <c r="N10" s="18"/>
    </row>
    <row r="11" spans="2:14" ht="15" customHeight="1" x14ac:dyDescent="0.25">
      <c r="B11" s="20"/>
      <c r="C11" s="5" t="s">
        <v>31</v>
      </c>
      <c r="D11" s="6" t="s">
        <v>30</v>
      </c>
      <c r="E11" s="11">
        <v>9.0458999999999998E-2</v>
      </c>
      <c r="F11" s="1"/>
      <c r="G11" s="1"/>
      <c r="H11" s="1"/>
      <c r="I11" s="1"/>
      <c r="J11" s="24" t="s">
        <v>52</v>
      </c>
      <c r="K11" s="29">
        <v>0.49618499999999999</v>
      </c>
      <c r="L11" s="1"/>
      <c r="M11" s="1"/>
      <c r="N11" s="18"/>
    </row>
    <row r="12" spans="2:14" ht="15" customHeight="1" x14ac:dyDescent="0.25">
      <c r="B12" s="20"/>
      <c r="C12" s="5" t="s">
        <v>34</v>
      </c>
      <c r="D12" s="6" t="s">
        <v>30</v>
      </c>
      <c r="E12" s="11">
        <v>6.0344000000000002E-2</v>
      </c>
      <c r="F12" s="1"/>
      <c r="G12" s="1"/>
      <c r="H12" s="1"/>
      <c r="I12" s="1"/>
      <c r="J12" s="24" t="s">
        <v>46</v>
      </c>
      <c r="K12" s="29">
        <v>3.117E-3</v>
      </c>
      <c r="L12" s="1"/>
      <c r="M12" s="1"/>
      <c r="N12" s="18"/>
    </row>
    <row r="13" spans="2:14" ht="15" customHeight="1" x14ac:dyDescent="0.25">
      <c r="B13" s="20"/>
      <c r="C13" s="5" t="s">
        <v>29</v>
      </c>
      <c r="D13" s="6" t="s">
        <v>30</v>
      </c>
      <c r="E13" s="11">
        <v>2.8933E-2</v>
      </c>
      <c r="F13" s="1"/>
      <c r="G13" s="1"/>
      <c r="H13" s="1"/>
      <c r="I13" s="1"/>
      <c r="J13" s="24" t="s">
        <v>54</v>
      </c>
      <c r="K13" s="29">
        <v>0.45185700000000001</v>
      </c>
      <c r="L13" s="1"/>
      <c r="M13" s="1"/>
      <c r="N13" s="18"/>
    </row>
    <row r="14" spans="2:14" ht="15.75" customHeight="1" x14ac:dyDescent="0.25">
      <c r="B14" s="20"/>
      <c r="C14" s="7" t="s">
        <v>45</v>
      </c>
      <c r="D14" s="8"/>
      <c r="E14" s="12">
        <v>0.49618499999999999</v>
      </c>
      <c r="F14" s="1"/>
      <c r="G14" s="1"/>
      <c r="H14" s="1"/>
      <c r="I14" s="1"/>
      <c r="J14" s="24" t="s">
        <v>71</v>
      </c>
      <c r="K14" s="29">
        <v>7.5459999999999998E-3</v>
      </c>
      <c r="L14" s="1"/>
      <c r="M14" s="1"/>
      <c r="N14" s="18"/>
    </row>
    <row r="15" spans="2:14" ht="15" customHeight="1" x14ac:dyDescent="0.25">
      <c r="B15" s="20"/>
      <c r="C15" s="5" t="s">
        <v>46</v>
      </c>
      <c r="D15" s="6"/>
      <c r="E15" s="11">
        <v>3.117E-3</v>
      </c>
      <c r="F15" s="1"/>
      <c r="G15" s="1"/>
      <c r="H15" s="1"/>
      <c r="I15" s="1"/>
      <c r="J15" s="24" t="s">
        <v>55</v>
      </c>
      <c r="K15" s="29">
        <v>1.9526000000000002E-2</v>
      </c>
      <c r="L15" s="1"/>
      <c r="M15" s="1"/>
      <c r="N15" s="18"/>
    </row>
    <row r="16" spans="2:14" ht="15.75" customHeight="1" x14ac:dyDescent="0.25">
      <c r="B16" s="20"/>
      <c r="C16" s="7" t="s">
        <v>47</v>
      </c>
      <c r="D16" s="8"/>
      <c r="E16" s="12">
        <v>3.117E-3</v>
      </c>
      <c r="F16" s="1"/>
      <c r="G16" s="1"/>
      <c r="H16" s="1"/>
      <c r="I16" s="1"/>
      <c r="J16" s="1"/>
      <c r="K16" s="1"/>
      <c r="L16" s="1"/>
      <c r="M16" s="1"/>
      <c r="N16" s="18"/>
    </row>
    <row r="17" spans="2:14" ht="15" customHeight="1" x14ac:dyDescent="0.25">
      <c r="B17" s="20"/>
      <c r="C17" s="5" t="s">
        <v>60</v>
      </c>
      <c r="D17" s="34" t="s">
        <v>173</v>
      </c>
      <c r="E17" s="11">
        <v>0.30477799999999999</v>
      </c>
      <c r="F17" s="1"/>
      <c r="G17" s="1"/>
      <c r="H17" s="1"/>
      <c r="I17" s="1"/>
      <c r="J17" s="1"/>
      <c r="K17" s="1"/>
      <c r="L17" s="1"/>
      <c r="M17" s="1"/>
      <c r="N17" s="18"/>
    </row>
    <row r="18" spans="2:14" ht="15" customHeight="1" x14ac:dyDescent="0.25">
      <c r="B18" s="20"/>
      <c r="C18" s="5" t="s">
        <v>66</v>
      </c>
      <c r="D18" s="34" t="s">
        <v>173</v>
      </c>
      <c r="E18" s="11">
        <v>0.114716</v>
      </c>
      <c r="F18" s="1"/>
      <c r="G18" s="1"/>
      <c r="H18" s="1"/>
      <c r="I18" s="1"/>
      <c r="J18" s="1"/>
      <c r="K18" s="1"/>
      <c r="L18" s="1"/>
      <c r="M18" s="1"/>
      <c r="N18" s="18"/>
    </row>
    <row r="19" spans="2:14" ht="15" customHeight="1" x14ac:dyDescent="0.25">
      <c r="B19" s="20"/>
      <c r="C19" s="5" t="s">
        <v>67</v>
      </c>
      <c r="D19" s="34" t="s">
        <v>173</v>
      </c>
      <c r="E19" s="11">
        <v>1.8180000000000002E-2</v>
      </c>
      <c r="F19" s="1"/>
      <c r="G19" s="1"/>
      <c r="H19" s="1"/>
      <c r="I19" s="1"/>
      <c r="J19" s="1"/>
      <c r="K19" s="1"/>
      <c r="L19" s="1"/>
      <c r="M19" s="1"/>
      <c r="N19" s="18"/>
    </row>
    <row r="20" spans="2:14" ht="15" customHeight="1" x14ac:dyDescent="0.25">
      <c r="B20" s="20"/>
      <c r="C20" s="5" t="s">
        <v>48</v>
      </c>
      <c r="D20" s="34" t="s">
        <v>173</v>
      </c>
      <c r="E20" s="11">
        <v>1.2788000000000001E-2</v>
      </c>
      <c r="F20" s="1"/>
      <c r="G20" s="1"/>
      <c r="H20" s="1"/>
      <c r="I20" s="1"/>
      <c r="J20" s="1"/>
      <c r="K20" s="1"/>
      <c r="L20" s="1"/>
      <c r="M20" s="1"/>
      <c r="N20" s="18"/>
    </row>
    <row r="21" spans="2:14" ht="15" customHeight="1" x14ac:dyDescent="0.25">
      <c r="B21" s="20"/>
      <c r="C21" s="5" t="s">
        <v>61</v>
      </c>
      <c r="D21" s="34" t="s">
        <v>173</v>
      </c>
      <c r="E21" s="11">
        <v>1.207E-3</v>
      </c>
      <c r="F21" s="1"/>
      <c r="G21" s="1"/>
      <c r="H21" s="1"/>
      <c r="I21" s="1"/>
      <c r="J21" s="1"/>
      <c r="K21" s="1"/>
      <c r="L21" s="1"/>
      <c r="M21" s="1"/>
      <c r="N21" s="18"/>
    </row>
    <row r="22" spans="2:14" ht="15" customHeight="1" x14ac:dyDescent="0.25">
      <c r="B22" s="20"/>
      <c r="C22" s="5" t="s">
        <v>62</v>
      </c>
      <c r="D22" s="34" t="s">
        <v>173</v>
      </c>
      <c r="E22" s="11">
        <v>1.2E-4</v>
      </c>
      <c r="F22" s="1"/>
      <c r="G22" s="1"/>
      <c r="H22" s="1"/>
      <c r="I22" s="1"/>
      <c r="J22" s="1"/>
      <c r="K22" s="1"/>
      <c r="L22" s="1"/>
      <c r="M22" s="1"/>
      <c r="N22" s="18"/>
    </row>
    <row r="23" spans="2:14" ht="15" customHeight="1" x14ac:dyDescent="0.25">
      <c r="B23" s="20"/>
      <c r="C23" s="5" t="s">
        <v>68</v>
      </c>
      <c r="D23" s="34" t="s">
        <v>173</v>
      </c>
      <c r="E23" s="11">
        <v>6.7999999999999999E-5</v>
      </c>
      <c r="F23" s="1"/>
      <c r="G23" s="1"/>
      <c r="H23" s="1"/>
      <c r="I23" s="1"/>
      <c r="J23" s="1"/>
      <c r="K23" s="1"/>
      <c r="L23" s="1"/>
      <c r="M23" s="1"/>
      <c r="N23" s="18"/>
    </row>
    <row r="24" spans="2:14" ht="15.75" customHeight="1" x14ac:dyDescent="0.25">
      <c r="B24" s="20"/>
      <c r="C24" s="7" t="s">
        <v>49</v>
      </c>
      <c r="D24" s="8"/>
      <c r="E24" s="12">
        <v>0.45185700000000001</v>
      </c>
      <c r="F24" s="1"/>
      <c r="G24" s="97" t="s">
        <v>17</v>
      </c>
      <c r="H24" s="98"/>
      <c r="I24" s="98"/>
      <c r="J24" s="98"/>
      <c r="K24" s="98"/>
      <c r="L24" s="26">
        <v>4.8960714285332854</v>
      </c>
      <c r="M24" s="27"/>
      <c r="N24" s="28"/>
    </row>
    <row r="25" spans="2:14" ht="15" customHeight="1" x14ac:dyDescent="0.25">
      <c r="B25" s="20"/>
      <c r="C25" s="33" t="s">
        <v>259</v>
      </c>
      <c r="D25" s="6" t="s">
        <v>69</v>
      </c>
      <c r="E25" s="11">
        <v>7.5459999999999998E-3</v>
      </c>
      <c r="F25" s="1"/>
      <c r="G25" s="1"/>
      <c r="H25" s="1"/>
      <c r="I25" s="1"/>
      <c r="J25" s="1"/>
      <c r="K25" s="1"/>
      <c r="L25" s="1"/>
      <c r="M25" s="1"/>
      <c r="N25" s="18"/>
    </row>
    <row r="26" spans="2:14" ht="15.75" customHeight="1" x14ac:dyDescent="0.25">
      <c r="B26" s="20"/>
      <c r="C26" s="7" t="s">
        <v>70</v>
      </c>
      <c r="D26" s="8"/>
      <c r="E26" s="12">
        <v>7.5459999999999998E-3</v>
      </c>
      <c r="F26" s="1"/>
      <c r="G26" s="97" t="s">
        <v>18</v>
      </c>
      <c r="H26" s="98"/>
      <c r="I26" s="98"/>
      <c r="J26" s="98"/>
      <c r="K26" s="98"/>
      <c r="L26" s="98"/>
      <c r="M26" s="98"/>
      <c r="N26" s="99"/>
    </row>
    <row r="27" spans="2:14" ht="15" customHeight="1" x14ac:dyDescent="0.25">
      <c r="B27" s="20"/>
      <c r="C27" s="5" t="s">
        <v>178</v>
      </c>
      <c r="D27" s="34" t="s">
        <v>173</v>
      </c>
      <c r="E27" s="11">
        <v>9.1549999999999999E-3</v>
      </c>
      <c r="F27" s="1"/>
      <c r="G27" s="1"/>
      <c r="H27" s="1"/>
      <c r="I27" s="1"/>
      <c r="J27" s="1"/>
      <c r="K27" s="1"/>
      <c r="L27" s="1"/>
      <c r="M27" s="1"/>
      <c r="N27" s="18"/>
    </row>
    <row r="28" spans="2:14" ht="15.75" customHeight="1" x14ac:dyDescent="0.25">
      <c r="B28" s="20"/>
      <c r="C28" s="33" t="s">
        <v>177</v>
      </c>
      <c r="D28" s="34" t="s">
        <v>173</v>
      </c>
      <c r="E28" s="39">
        <v>9.1509999999999994E-3</v>
      </c>
      <c r="F28" s="1"/>
      <c r="G28" s="1"/>
      <c r="H28" s="1"/>
      <c r="I28" s="1"/>
      <c r="J28" s="1"/>
      <c r="K28" s="1"/>
      <c r="L28" s="1"/>
      <c r="M28" s="1"/>
      <c r="N28" s="18"/>
    </row>
    <row r="29" spans="2:14" ht="15" customHeight="1" x14ac:dyDescent="0.25">
      <c r="B29" s="20"/>
      <c r="C29" s="33" t="s">
        <v>179</v>
      </c>
      <c r="D29" s="34" t="s">
        <v>173</v>
      </c>
      <c r="E29" s="39">
        <v>1.2199999999999999E-3</v>
      </c>
      <c r="F29" s="1"/>
      <c r="G29" s="1"/>
      <c r="H29" s="1"/>
      <c r="I29" s="1"/>
      <c r="J29" s="1"/>
      <c r="K29" s="1"/>
      <c r="L29" s="1"/>
      <c r="M29" s="1"/>
      <c r="N29" s="18"/>
    </row>
    <row r="30" spans="2:14" ht="15.75" customHeight="1" x14ac:dyDescent="0.25">
      <c r="B30" s="20"/>
      <c r="C30" s="7" t="s">
        <v>50</v>
      </c>
      <c r="D30" s="8"/>
      <c r="E30" s="12">
        <v>1.9526000000000002E-2</v>
      </c>
      <c r="F30" s="1"/>
      <c r="G30" s="1"/>
      <c r="H30" s="1"/>
      <c r="I30" s="1"/>
      <c r="J30" s="1"/>
      <c r="K30" s="1"/>
      <c r="L30" s="1"/>
      <c r="M30" s="1"/>
      <c r="N30" s="18"/>
    </row>
    <row r="31" spans="2:14" ht="15" customHeight="1" x14ac:dyDescent="0.25">
      <c r="B31" s="20"/>
      <c r="C31" s="5" t="s">
        <v>8</v>
      </c>
      <c r="D31" s="6"/>
      <c r="E31" s="11">
        <v>5.9259999999999998E-3</v>
      </c>
      <c r="F31" s="1"/>
      <c r="G31" s="1"/>
      <c r="H31" s="1"/>
      <c r="I31" s="1"/>
      <c r="J31" s="1"/>
      <c r="K31" s="1"/>
      <c r="L31" s="1"/>
      <c r="M31" s="1"/>
      <c r="N31" s="18"/>
    </row>
    <row r="32" spans="2:14" ht="15.75" customHeight="1" x14ac:dyDescent="0.25">
      <c r="B32" s="20"/>
      <c r="C32" s="7" t="s">
        <v>9</v>
      </c>
      <c r="D32" s="8"/>
      <c r="E32" s="12">
        <v>5.9259999999999998E-3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7" t="s">
        <v>10</v>
      </c>
      <c r="D34" s="8"/>
      <c r="E34" s="12">
        <v>1.5842999999999999E-2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11</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32" t="s">
        <v>260</v>
      </c>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0" t="s">
        <v>258</v>
      </c>
      <c r="C45" s="81"/>
      <c r="D45" s="81"/>
      <c r="E45" s="81"/>
      <c r="F45" s="81"/>
      <c r="G45" s="81"/>
      <c r="H45" s="81"/>
      <c r="I45" s="81"/>
      <c r="J45" s="81"/>
      <c r="K45" s="81"/>
      <c r="L45" s="81"/>
      <c r="M45" s="81"/>
      <c r="N45" s="82"/>
    </row>
    <row r="46" spans="2:14" ht="15" customHeight="1" x14ac:dyDescent="0.25">
      <c r="B46" s="83"/>
      <c r="C46" s="84"/>
      <c r="D46" s="84"/>
      <c r="E46" s="84"/>
      <c r="F46" s="84"/>
      <c r="G46" s="84"/>
      <c r="H46" s="84"/>
      <c r="I46" s="84"/>
      <c r="J46" s="84"/>
      <c r="K46" s="84"/>
      <c r="L46" s="84"/>
      <c r="M46" s="84"/>
      <c r="N46" s="85"/>
    </row>
    <row r="47" spans="2:14" ht="15" customHeight="1" x14ac:dyDescent="0.25">
      <c r="B47" s="83"/>
      <c r="C47" s="84"/>
      <c r="D47" s="84"/>
      <c r="E47" s="84"/>
      <c r="F47" s="84"/>
      <c r="G47" s="84"/>
      <c r="H47" s="84"/>
      <c r="I47" s="84"/>
      <c r="J47" s="84"/>
      <c r="K47" s="84"/>
      <c r="L47" s="84"/>
      <c r="M47" s="84"/>
      <c r="N47" s="85"/>
    </row>
    <row r="48" spans="2:14" ht="15" customHeight="1" thickBot="1" x14ac:dyDescent="0.3">
      <c r="B48" s="86"/>
      <c r="C48" s="87"/>
      <c r="D48" s="87"/>
      <c r="E48" s="87"/>
      <c r="F48" s="87"/>
      <c r="G48" s="87"/>
      <c r="H48" s="87"/>
      <c r="I48" s="87"/>
      <c r="J48" s="87"/>
      <c r="K48" s="87"/>
      <c r="L48" s="87"/>
      <c r="M48" s="87"/>
      <c r="N48" s="88"/>
    </row>
    <row r="49" spans="2:14" ht="15" customHeight="1" thickBot="1" x14ac:dyDescent="0.3">
      <c r="B49" s="31"/>
      <c r="C49" s="31"/>
      <c r="D49" s="31"/>
      <c r="E49" s="31"/>
      <c r="F49" s="31"/>
      <c r="G49" s="31"/>
      <c r="H49" s="31"/>
      <c r="I49" s="31"/>
      <c r="J49" s="31"/>
      <c r="K49" s="31"/>
      <c r="L49" s="31"/>
      <c r="M49" s="31"/>
      <c r="N49" s="31"/>
    </row>
    <row r="50" spans="2:14" ht="147" customHeight="1" thickBot="1" x14ac:dyDescent="0.3">
      <c r="B50" s="89" t="s">
        <v>257</v>
      </c>
      <c r="C50" s="90"/>
      <c r="D50" s="90"/>
      <c r="E50" s="90"/>
      <c r="F50" s="90"/>
      <c r="G50" s="90"/>
      <c r="H50" s="90"/>
      <c r="I50" s="90"/>
      <c r="J50" s="90"/>
      <c r="K50" s="90"/>
      <c r="L50" s="90"/>
      <c r="M50" s="90"/>
      <c r="N50" s="91"/>
    </row>
    <row r="51" spans="2:14" ht="15" customHeight="1" x14ac:dyDescent="0.25"/>
    <row r="52" spans="2:14" ht="15" customHeight="1" x14ac:dyDescent="0.25"/>
    <row r="53" spans="2:14" ht="15" customHeight="1" x14ac:dyDescent="0.25"/>
    <row r="54" spans="2:14" ht="15" customHeight="1" x14ac:dyDescent="0.25"/>
  </sheetData>
  <sortState ref="C27:E29">
    <sortCondition descending="1" ref="E27"/>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40450-09FA-4024-98FA-67DC4EBE76B4}">
  <dimension ref="B1:N6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72</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73</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23</v>
      </c>
      <c r="D8" s="6" t="s">
        <v>22</v>
      </c>
      <c r="E8" s="11">
        <v>2.7917999999999998E-2</v>
      </c>
      <c r="F8" s="1"/>
      <c r="G8" s="24" t="s">
        <v>15</v>
      </c>
      <c r="H8" s="25">
        <v>1</v>
      </c>
      <c r="I8" s="1"/>
      <c r="J8" s="24" t="s">
        <v>12</v>
      </c>
      <c r="K8" s="24" t="s">
        <v>5</v>
      </c>
      <c r="L8" s="1"/>
      <c r="M8" s="1"/>
      <c r="N8" s="18"/>
    </row>
    <row r="9" spans="2:14" ht="15" customHeight="1" x14ac:dyDescent="0.25">
      <c r="B9" s="20"/>
      <c r="C9" s="5" t="s">
        <v>26</v>
      </c>
      <c r="D9" s="6" t="s">
        <v>22</v>
      </c>
      <c r="E9" s="11">
        <v>2.7321000000000002E-2</v>
      </c>
      <c r="F9" s="1"/>
      <c r="G9" s="1"/>
      <c r="H9" s="1"/>
      <c r="I9" s="1"/>
      <c r="J9" s="24" t="s">
        <v>10</v>
      </c>
      <c r="K9" s="29">
        <v>2.9007999999999999E-2</v>
      </c>
      <c r="L9" s="1"/>
      <c r="M9" s="1"/>
      <c r="N9" s="18"/>
    </row>
    <row r="10" spans="2:14" ht="15" customHeight="1" x14ac:dyDescent="0.25">
      <c r="B10" s="20"/>
      <c r="C10" s="5" t="s">
        <v>35</v>
      </c>
      <c r="D10" s="6" t="s">
        <v>22</v>
      </c>
      <c r="E10" s="11">
        <v>3.4689999999999999E-3</v>
      </c>
      <c r="F10" s="1"/>
      <c r="G10" s="1"/>
      <c r="H10" s="1"/>
      <c r="I10" s="1"/>
      <c r="J10" s="24" t="s">
        <v>13</v>
      </c>
      <c r="K10" s="29">
        <v>6.9499999999999998E-4</v>
      </c>
      <c r="L10" s="1"/>
      <c r="M10" s="1"/>
      <c r="N10" s="18"/>
    </row>
    <row r="11" spans="2:14" ht="15" customHeight="1" x14ac:dyDescent="0.25">
      <c r="B11" s="20"/>
      <c r="C11" s="5" t="s">
        <v>74</v>
      </c>
      <c r="D11" s="6" t="s">
        <v>22</v>
      </c>
      <c r="E11" s="11">
        <v>2.7409999999999999E-3</v>
      </c>
      <c r="F11" s="1"/>
      <c r="G11" s="1"/>
      <c r="H11" s="1"/>
      <c r="I11" s="1"/>
      <c r="J11" s="24" t="s">
        <v>51</v>
      </c>
      <c r="K11" s="29">
        <v>6.1448999999999997E-2</v>
      </c>
      <c r="L11" s="1"/>
      <c r="M11" s="1"/>
      <c r="N11" s="18"/>
    </row>
    <row r="12" spans="2:14" ht="15.75" customHeight="1" x14ac:dyDescent="0.25">
      <c r="B12" s="20"/>
      <c r="C12" s="7" t="s">
        <v>27</v>
      </c>
      <c r="D12" s="8"/>
      <c r="E12" s="12">
        <v>6.1448999999999997E-2</v>
      </c>
      <c r="F12" s="1"/>
      <c r="G12" s="1"/>
      <c r="H12" s="1"/>
      <c r="I12" s="1"/>
      <c r="J12" s="24" t="s">
        <v>52</v>
      </c>
      <c r="K12" s="29">
        <v>0.54766000000000004</v>
      </c>
      <c r="L12" s="1"/>
      <c r="M12" s="1"/>
      <c r="N12" s="18"/>
    </row>
    <row r="13" spans="2:14" ht="15" customHeight="1" x14ac:dyDescent="0.25">
      <c r="B13" s="20"/>
      <c r="C13" s="5" t="s">
        <v>29</v>
      </c>
      <c r="D13" s="6" t="s">
        <v>22</v>
      </c>
      <c r="E13" s="11">
        <v>1.1558000000000001E-2</v>
      </c>
      <c r="F13" s="1"/>
      <c r="G13" s="1"/>
      <c r="H13" s="1"/>
      <c r="I13" s="1"/>
      <c r="J13" s="24" t="s">
        <v>53</v>
      </c>
      <c r="K13" s="29">
        <v>1.1558000000000001E-2</v>
      </c>
      <c r="L13" s="1"/>
      <c r="M13" s="1"/>
      <c r="N13" s="18"/>
    </row>
    <row r="14" spans="2:14" ht="15.75" customHeight="1" x14ac:dyDescent="0.25">
      <c r="B14" s="20"/>
      <c r="C14" s="7" t="s">
        <v>28</v>
      </c>
      <c r="D14" s="8"/>
      <c r="E14" s="12">
        <v>1.1558000000000001E-2</v>
      </c>
      <c r="F14" s="1"/>
      <c r="G14" s="1"/>
      <c r="H14" s="1"/>
      <c r="I14" s="1"/>
      <c r="J14" s="24" t="s">
        <v>46</v>
      </c>
      <c r="K14" s="29">
        <v>2.8300000000000001E-3</v>
      </c>
      <c r="L14" s="1"/>
      <c r="M14" s="1"/>
      <c r="N14" s="18"/>
    </row>
    <row r="15" spans="2:14" ht="15" customHeight="1" x14ac:dyDescent="0.25">
      <c r="B15" s="20"/>
      <c r="C15" s="5" t="s">
        <v>32</v>
      </c>
      <c r="D15" s="6" t="s">
        <v>30</v>
      </c>
      <c r="E15" s="11">
        <v>0.117211</v>
      </c>
      <c r="F15" s="1"/>
      <c r="G15" s="1"/>
      <c r="H15" s="1"/>
      <c r="I15" s="1"/>
      <c r="J15" s="24" t="s">
        <v>54</v>
      </c>
      <c r="K15" s="29">
        <v>0.34398000000000001</v>
      </c>
      <c r="L15" s="1"/>
      <c r="M15" s="1"/>
      <c r="N15" s="18"/>
    </row>
    <row r="16" spans="2:14" ht="15" customHeight="1" x14ac:dyDescent="0.25">
      <c r="B16" s="20"/>
      <c r="C16" s="5" t="s">
        <v>35</v>
      </c>
      <c r="D16" s="6" t="s">
        <v>30</v>
      </c>
      <c r="E16" s="11">
        <v>0.112849</v>
      </c>
      <c r="F16" s="1"/>
      <c r="G16" s="1"/>
      <c r="H16" s="1"/>
      <c r="I16" s="1"/>
      <c r="J16" s="24" t="s">
        <v>71</v>
      </c>
      <c r="K16" s="29">
        <v>2.82E-3</v>
      </c>
      <c r="L16" s="1"/>
      <c r="M16" s="1"/>
      <c r="N16" s="18"/>
    </row>
    <row r="17" spans="2:14" ht="15" customHeight="1" x14ac:dyDescent="0.25">
      <c r="B17" s="20"/>
      <c r="C17" s="5" t="s">
        <v>29</v>
      </c>
      <c r="D17" s="6" t="s">
        <v>30</v>
      </c>
      <c r="E17" s="11">
        <v>8.4541000000000005E-2</v>
      </c>
      <c r="F17" s="1"/>
      <c r="G17" s="1"/>
      <c r="H17" s="1"/>
      <c r="I17" s="1"/>
      <c r="J17" s="1"/>
      <c r="K17" s="1"/>
      <c r="L17" s="1"/>
      <c r="M17" s="1"/>
      <c r="N17" s="18"/>
    </row>
    <row r="18" spans="2:14" ht="15" customHeight="1" x14ac:dyDescent="0.25">
      <c r="B18" s="20"/>
      <c r="C18" s="5" t="s">
        <v>34</v>
      </c>
      <c r="D18" s="6" t="s">
        <v>30</v>
      </c>
      <c r="E18" s="11">
        <v>6.1524000000000002E-2</v>
      </c>
      <c r="F18" s="1"/>
      <c r="G18" s="1"/>
      <c r="H18" s="1"/>
      <c r="I18" s="1"/>
      <c r="J18" s="1"/>
      <c r="K18" s="1"/>
      <c r="L18" s="1"/>
      <c r="M18" s="1"/>
      <c r="N18" s="18"/>
    </row>
    <row r="19" spans="2:14" ht="15" customHeight="1" x14ac:dyDescent="0.25">
      <c r="B19" s="20"/>
      <c r="C19" s="5" t="s">
        <v>75</v>
      </c>
      <c r="D19" s="6" t="s">
        <v>30</v>
      </c>
      <c r="E19" s="11">
        <v>5.5875000000000001E-2</v>
      </c>
      <c r="F19" s="1"/>
      <c r="G19" s="1"/>
      <c r="H19" s="1"/>
      <c r="I19" s="1"/>
      <c r="J19" s="1"/>
      <c r="K19" s="1"/>
      <c r="L19" s="1"/>
      <c r="M19" s="1"/>
      <c r="N19" s="18"/>
    </row>
    <row r="20" spans="2:14" ht="15" customHeight="1" x14ac:dyDescent="0.25">
      <c r="B20" s="20"/>
      <c r="C20" s="5" t="s">
        <v>36</v>
      </c>
      <c r="D20" s="6" t="s">
        <v>30</v>
      </c>
      <c r="E20" s="11">
        <v>4.8600999999999998E-2</v>
      </c>
      <c r="F20" s="1"/>
      <c r="G20" s="1"/>
      <c r="H20" s="1"/>
      <c r="I20" s="1"/>
      <c r="J20" s="1"/>
      <c r="K20" s="1"/>
      <c r="L20" s="1"/>
      <c r="M20" s="1"/>
      <c r="N20" s="18"/>
    </row>
    <row r="21" spans="2:14" ht="15" customHeight="1" x14ac:dyDescent="0.25">
      <c r="B21" s="20"/>
      <c r="C21" s="5" t="s">
        <v>33</v>
      </c>
      <c r="D21" s="6" t="s">
        <v>30</v>
      </c>
      <c r="E21" s="11">
        <v>4.1248E-2</v>
      </c>
      <c r="F21" s="1"/>
      <c r="G21" s="1"/>
      <c r="H21" s="1"/>
      <c r="I21" s="1"/>
      <c r="J21" s="1"/>
      <c r="K21" s="1"/>
      <c r="L21" s="1"/>
      <c r="M21" s="1"/>
      <c r="N21" s="18"/>
    </row>
    <row r="22" spans="2:14" ht="15" customHeight="1" x14ac:dyDescent="0.25">
      <c r="B22" s="20"/>
      <c r="C22" s="5" t="s">
        <v>76</v>
      </c>
      <c r="D22" s="6" t="s">
        <v>30</v>
      </c>
      <c r="E22" s="11">
        <v>1.7568E-2</v>
      </c>
      <c r="F22" s="1"/>
      <c r="G22" s="1"/>
      <c r="H22" s="1"/>
      <c r="I22" s="1"/>
      <c r="J22" s="1"/>
      <c r="K22" s="1"/>
      <c r="L22" s="1"/>
      <c r="M22" s="1"/>
      <c r="N22" s="18"/>
    </row>
    <row r="23" spans="2:14" ht="15" customHeight="1" x14ac:dyDescent="0.25">
      <c r="B23" s="20"/>
      <c r="C23" s="5" t="s">
        <v>31</v>
      </c>
      <c r="D23" s="6" t="s">
        <v>30</v>
      </c>
      <c r="E23" s="11">
        <v>7.6610000000000003E-3</v>
      </c>
      <c r="F23" s="1"/>
      <c r="G23" s="1"/>
      <c r="H23" s="1"/>
      <c r="I23" s="1"/>
      <c r="J23" s="1"/>
      <c r="K23" s="1"/>
      <c r="L23" s="1"/>
      <c r="M23" s="1"/>
      <c r="N23" s="18"/>
    </row>
    <row r="24" spans="2:14" ht="15" customHeight="1" x14ac:dyDescent="0.25">
      <c r="B24" s="20"/>
      <c r="C24" s="5" t="s">
        <v>77</v>
      </c>
      <c r="D24" s="6" t="s">
        <v>30</v>
      </c>
      <c r="E24" s="11">
        <v>5.8200000000000005E-4</v>
      </c>
      <c r="F24" s="1"/>
      <c r="G24" s="97" t="s">
        <v>17</v>
      </c>
      <c r="H24" s="98"/>
      <c r="I24" s="98"/>
      <c r="J24" s="98"/>
      <c r="K24" s="98"/>
      <c r="L24" s="26">
        <v>3.1294016458941409</v>
      </c>
      <c r="M24" s="27"/>
      <c r="N24" s="28"/>
    </row>
    <row r="25" spans="2:14" ht="15.75" customHeight="1" x14ac:dyDescent="0.25">
      <c r="B25" s="20"/>
      <c r="C25" s="7" t="s">
        <v>45</v>
      </c>
      <c r="D25" s="8"/>
      <c r="E25" s="12">
        <v>0.54766000000000004</v>
      </c>
      <c r="F25" s="1"/>
      <c r="G25" s="1"/>
      <c r="H25" s="1"/>
      <c r="I25" s="1"/>
      <c r="J25" s="1"/>
      <c r="K25" s="1"/>
      <c r="L25" s="1"/>
      <c r="M25" s="1"/>
      <c r="N25" s="18"/>
    </row>
    <row r="26" spans="2:14" ht="15" customHeight="1" x14ac:dyDescent="0.25">
      <c r="B26" s="20"/>
      <c r="C26" s="5" t="s">
        <v>46</v>
      </c>
      <c r="D26" s="6"/>
      <c r="E26" s="11">
        <v>2.8300000000000001E-3</v>
      </c>
      <c r="F26" s="1"/>
      <c r="G26" s="97" t="s">
        <v>18</v>
      </c>
      <c r="H26" s="98"/>
      <c r="I26" s="98"/>
      <c r="J26" s="98"/>
      <c r="K26" s="98"/>
      <c r="L26" s="98"/>
      <c r="M26" s="98"/>
      <c r="N26" s="99"/>
    </row>
    <row r="27" spans="2:14" ht="15.75" customHeight="1" x14ac:dyDescent="0.25">
      <c r="B27" s="20"/>
      <c r="C27" s="7" t="s">
        <v>47</v>
      </c>
      <c r="D27" s="8"/>
      <c r="E27" s="12">
        <v>2.8300000000000001E-3</v>
      </c>
      <c r="F27" s="1"/>
      <c r="G27" s="1"/>
      <c r="H27" s="1"/>
      <c r="I27" s="1"/>
      <c r="J27" s="1"/>
      <c r="K27" s="1"/>
      <c r="L27" s="1"/>
      <c r="M27" s="1"/>
      <c r="N27" s="18"/>
    </row>
    <row r="28" spans="2:14" ht="15" customHeight="1" x14ac:dyDescent="0.25">
      <c r="B28" s="20"/>
      <c r="C28" s="5" t="s">
        <v>66</v>
      </c>
      <c r="D28" s="34" t="s">
        <v>173</v>
      </c>
      <c r="E28" s="11">
        <v>0.24024699999999999</v>
      </c>
      <c r="F28" s="1"/>
      <c r="G28" s="1"/>
      <c r="H28" s="1"/>
      <c r="I28" s="1"/>
      <c r="J28" s="1"/>
      <c r="K28" s="1"/>
      <c r="L28" s="1"/>
      <c r="M28" s="1"/>
      <c r="N28" s="18"/>
    </row>
    <row r="29" spans="2:14" ht="15" customHeight="1" x14ac:dyDescent="0.25">
      <c r="B29" s="20"/>
      <c r="C29" s="5" t="s">
        <v>67</v>
      </c>
      <c r="D29" s="34" t="s">
        <v>173</v>
      </c>
      <c r="E29" s="11">
        <v>0.102926</v>
      </c>
      <c r="F29" s="1"/>
      <c r="G29" s="1"/>
      <c r="H29" s="1"/>
      <c r="I29" s="1"/>
      <c r="J29" s="1"/>
      <c r="K29" s="1"/>
      <c r="L29" s="1"/>
      <c r="M29" s="1"/>
      <c r="N29" s="18"/>
    </row>
    <row r="30" spans="2:14" ht="15" customHeight="1" x14ac:dyDescent="0.25">
      <c r="B30" s="20"/>
      <c r="C30" s="5" t="s">
        <v>48</v>
      </c>
      <c r="D30" s="34" t="s">
        <v>173</v>
      </c>
      <c r="E30" s="11">
        <v>4.73E-4</v>
      </c>
      <c r="F30" s="1"/>
      <c r="G30" s="1"/>
      <c r="H30" s="1"/>
      <c r="I30" s="1"/>
      <c r="J30" s="1"/>
      <c r="K30" s="1"/>
      <c r="L30" s="1"/>
      <c r="M30" s="1"/>
      <c r="N30" s="18"/>
    </row>
    <row r="31" spans="2:14" ht="15" customHeight="1" x14ac:dyDescent="0.25">
      <c r="B31" s="20"/>
      <c r="C31" s="5" t="s">
        <v>68</v>
      </c>
      <c r="D31" s="34" t="s">
        <v>173</v>
      </c>
      <c r="E31" s="11">
        <v>1.21E-4</v>
      </c>
      <c r="F31" s="1"/>
      <c r="G31" s="1"/>
      <c r="H31" s="1"/>
      <c r="I31" s="1"/>
      <c r="J31" s="1"/>
      <c r="K31" s="1"/>
      <c r="L31" s="1"/>
      <c r="M31" s="1"/>
      <c r="N31" s="18"/>
    </row>
    <row r="32" spans="2:14" ht="15" customHeight="1" x14ac:dyDescent="0.25">
      <c r="B32" s="20"/>
      <c r="C32" s="5" t="s">
        <v>78</v>
      </c>
      <c r="D32" s="34" t="s">
        <v>173</v>
      </c>
      <c r="E32" s="11">
        <v>1.1400000000000001E-4</v>
      </c>
      <c r="F32" s="1"/>
      <c r="G32" s="1"/>
      <c r="H32" s="1"/>
      <c r="I32" s="1"/>
      <c r="J32" s="1"/>
      <c r="K32" s="1"/>
      <c r="L32" s="1"/>
      <c r="M32" s="1"/>
      <c r="N32" s="18"/>
    </row>
    <row r="33" spans="2:14" ht="15" customHeight="1" x14ac:dyDescent="0.25">
      <c r="B33" s="20"/>
      <c r="C33" s="5" t="s">
        <v>62</v>
      </c>
      <c r="D33" s="34" t="s">
        <v>173</v>
      </c>
      <c r="E33" s="11">
        <v>9.8999999999999994E-5</v>
      </c>
      <c r="F33" s="1"/>
      <c r="G33" s="1"/>
      <c r="H33" s="1"/>
      <c r="I33" s="1"/>
      <c r="J33" s="1"/>
      <c r="K33" s="1"/>
      <c r="L33" s="1"/>
      <c r="M33" s="1"/>
      <c r="N33" s="18"/>
    </row>
    <row r="34" spans="2:14" ht="15.75" customHeight="1" x14ac:dyDescent="0.25">
      <c r="B34" s="20"/>
      <c r="C34" s="7" t="s">
        <v>49</v>
      </c>
      <c r="D34" s="8"/>
      <c r="E34" s="12">
        <v>0.34398000000000001</v>
      </c>
      <c r="F34" s="1"/>
      <c r="G34" s="1"/>
      <c r="H34" s="1"/>
      <c r="I34" s="1"/>
      <c r="J34" s="1"/>
      <c r="K34" s="1"/>
      <c r="L34" s="1"/>
      <c r="M34" s="1"/>
      <c r="N34" s="18"/>
    </row>
    <row r="35" spans="2:14" ht="15" customHeight="1" x14ac:dyDescent="0.25">
      <c r="B35" s="20"/>
      <c r="C35" s="33" t="s">
        <v>259</v>
      </c>
      <c r="D35" s="6" t="s">
        <v>69</v>
      </c>
      <c r="E35" s="11">
        <v>2.82E-3</v>
      </c>
      <c r="F35" s="1"/>
      <c r="G35" s="1"/>
      <c r="H35" s="1"/>
      <c r="I35" s="1"/>
      <c r="J35" s="1"/>
      <c r="K35" s="1"/>
      <c r="L35" s="1"/>
      <c r="M35" s="1"/>
      <c r="N35" s="18"/>
    </row>
    <row r="36" spans="2:14" ht="15.75" customHeight="1" x14ac:dyDescent="0.25">
      <c r="B36" s="20"/>
      <c r="C36" s="7" t="s">
        <v>70</v>
      </c>
      <c r="D36" s="8"/>
      <c r="E36" s="12">
        <v>2.82E-3</v>
      </c>
      <c r="F36" s="1"/>
      <c r="G36" s="1"/>
      <c r="H36" s="1"/>
      <c r="I36" s="1"/>
      <c r="J36" s="1"/>
      <c r="K36" s="1"/>
      <c r="L36" s="1"/>
      <c r="M36" s="1"/>
      <c r="N36" s="18"/>
    </row>
    <row r="37" spans="2:14" ht="15" customHeight="1" x14ac:dyDescent="0.25">
      <c r="B37" s="20"/>
      <c r="C37" s="5" t="s">
        <v>8</v>
      </c>
      <c r="D37" s="6"/>
      <c r="E37" s="11">
        <v>6.9499999999999998E-4</v>
      </c>
      <c r="F37" s="1"/>
      <c r="G37" s="1"/>
      <c r="H37" s="1"/>
      <c r="I37" s="1"/>
      <c r="J37" s="1"/>
      <c r="K37" s="1"/>
      <c r="L37" s="1"/>
      <c r="M37" s="1"/>
      <c r="N37" s="18"/>
    </row>
    <row r="38" spans="2:14" ht="15.75" customHeight="1" x14ac:dyDescent="0.25">
      <c r="B38" s="20"/>
      <c r="C38" s="7" t="s">
        <v>9</v>
      </c>
      <c r="D38" s="8"/>
      <c r="E38" s="12">
        <v>6.9499999999999998E-4</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75" customHeight="1" x14ac:dyDescent="0.25">
      <c r="B40" s="20"/>
      <c r="C40" s="7" t="s">
        <v>10</v>
      </c>
      <c r="D40" s="8"/>
      <c r="E40" s="12">
        <v>2.9007999999999999E-2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11</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32" t="s">
        <v>260</v>
      </c>
      <c r="D44" s="1"/>
      <c r="E44" s="1"/>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5" customHeight="1" x14ac:dyDescent="0.25">
      <c r="B48" s="80" t="s">
        <v>258</v>
      </c>
      <c r="C48" s="81"/>
      <c r="D48" s="81"/>
      <c r="E48" s="81"/>
      <c r="F48" s="81"/>
      <c r="G48" s="81"/>
      <c r="H48" s="81"/>
      <c r="I48" s="81"/>
      <c r="J48" s="81"/>
      <c r="K48" s="81"/>
      <c r="L48" s="81"/>
      <c r="M48" s="81"/>
      <c r="N48" s="82"/>
    </row>
    <row r="49" spans="2:14" ht="15" customHeight="1" x14ac:dyDescent="0.25">
      <c r="B49" s="83"/>
      <c r="C49" s="84"/>
      <c r="D49" s="84"/>
      <c r="E49" s="84"/>
      <c r="F49" s="84"/>
      <c r="G49" s="84"/>
      <c r="H49" s="84"/>
      <c r="I49" s="84"/>
      <c r="J49" s="84"/>
      <c r="K49" s="84"/>
      <c r="L49" s="84"/>
      <c r="M49" s="84"/>
      <c r="N49" s="85"/>
    </row>
    <row r="50" spans="2:14" ht="15" customHeight="1" x14ac:dyDescent="0.25">
      <c r="B50" s="83"/>
      <c r="C50" s="84"/>
      <c r="D50" s="84"/>
      <c r="E50" s="84"/>
      <c r="F50" s="84"/>
      <c r="G50" s="84"/>
      <c r="H50" s="84"/>
      <c r="I50" s="84"/>
      <c r="J50" s="84"/>
      <c r="K50" s="84"/>
      <c r="L50" s="84"/>
      <c r="M50" s="84"/>
      <c r="N50" s="85"/>
    </row>
    <row r="51" spans="2:14" ht="15" customHeight="1" thickBot="1" x14ac:dyDescent="0.3">
      <c r="B51" s="86"/>
      <c r="C51" s="87"/>
      <c r="D51" s="87"/>
      <c r="E51" s="87"/>
      <c r="F51" s="87"/>
      <c r="G51" s="87"/>
      <c r="H51" s="87"/>
      <c r="I51" s="87"/>
      <c r="J51" s="87"/>
      <c r="K51" s="87"/>
      <c r="L51" s="87"/>
      <c r="M51" s="87"/>
      <c r="N51" s="88"/>
    </row>
    <row r="52" spans="2:14" ht="15" customHeight="1" thickBot="1" x14ac:dyDescent="0.3">
      <c r="B52" s="31"/>
      <c r="C52" s="31"/>
      <c r="D52" s="31"/>
      <c r="E52" s="31"/>
      <c r="F52" s="31"/>
      <c r="G52" s="31"/>
      <c r="H52" s="31"/>
      <c r="I52" s="31"/>
      <c r="J52" s="31"/>
      <c r="K52" s="31"/>
      <c r="L52" s="31"/>
      <c r="M52" s="31"/>
      <c r="N52" s="31"/>
    </row>
    <row r="53" spans="2:14" ht="120.75" customHeight="1" thickBot="1" x14ac:dyDescent="0.3">
      <c r="B53" s="89" t="s">
        <v>257</v>
      </c>
      <c r="C53" s="90"/>
      <c r="D53" s="90"/>
      <c r="E53" s="90"/>
      <c r="F53" s="90"/>
      <c r="G53" s="90"/>
      <c r="H53" s="90"/>
      <c r="I53" s="90"/>
      <c r="J53" s="90"/>
      <c r="K53" s="90"/>
      <c r="L53" s="90"/>
      <c r="M53" s="90"/>
      <c r="N53" s="91"/>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sheetData>
  <mergeCells count="7">
    <mergeCell ref="B48:N51"/>
    <mergeCell ref="B53:N53"/>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88CF-9278-41FD-90A0-FFEB925B2746}">
  <dimension ref="B1:N8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19</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20</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21</v>
      </c>
      <c r="D8" s="6" t="s">
        <v>22</v>
      </c>
      <c r="E8" s="11">
        <v>2.9485999999999998E-2</v>
      </c>
      <c r="F8" s="1"/>
      <c r="G8" s="24" t="s">
        <v>15</v>
      </c>
      <c r="H8" s="25">
        <v>1</v>
      </c>
      <c r="I8" s="1"/>
      <c r="J8" s="24" t="s">
        <v>12</v>
      </c>
      <c r="K8" s="24" t="s">
        <v>5</v>
      </c>
      <c r="L8" s="1"/>
      <c r="M8" s="1"/>
      <c r="N8" s="18"/>
    </row>
    <row r="9" spans="2:14" ht="15" customHeight="1" x14ac:dyDescent="0.25">
      <c r="B9" s="20"/>
      <c r="C9" s="5" t="s">
        <v>23</v>
      </c>
      <c r="D9" s="6" t="s">
        <v>22</v>
      </c>
      <c r="E9" s="11">
        <v>2.1108999999999999E-2</v>
      </c>
      <c r="F9" s="1"/>
      <c r="G9" s="1"/>
      <c r="H9" s="1"/>
      <c r="I9" s="1"/>
      <c r="J9" s="24" t="s">
        <v>10</v>
      </c>
      <c r="K9" s="29">
        <v>1.1106E-2</v>
      </c>
      <c r="L9" s="1"/>
      <c r="M9" s="1"/>
      <c r="N9" s="18"/>
    </row>
    <row r="10" spans="2:14" ht="15" customHeight="1" x14ac:dyDescent="0.25">
      <c r="B10" s="20"/>
      <c r="C10" s="5" t="s">
        <v>24</v>
      </c>
      <c r="D10" s="6" t="s">
        <v>22</v>
      </c>
      <c r="E10" s="11">
        <v>1.9376000000000001E-2</v>
      </c>
      <c r="F10" s="1"/>
      <c r="G10" s="1"/>
      <c r="H10" s="1"/>
      <c r="I10" s="1"/>
      <c r="J10" s="24" t="s">
        <v>13</v>
      </c>
      <c r="K10" s="29">
        <v>1.7817E-2</v>
      </c>
      <c r="L10" s="1"/>
      <c r="M10" s="1"/>
      <c r="N10" s="18"/>
    </row>
    <row r="11" spans="2:14" ht="15" customHeight="1" x14ac:dyDescent="0.25">
      <c r="B11" s="20"/>
      <c r="C11" s="5" t="s">
        <v>25</v>
      </c>
      <c r="D11" s="6" t="s">
        <v>22</v>
      </c>
      <c r="E11" s="11">
        <v>1.3877E-2</v>
      </c>
      <c r="F11" s="1"/>
      <c r="G11" s="1"/>
      <c r="H11" s="1"/>
      <c r="I11" s="1"/>
      <c r="J11" s="24" t="s">
        <v>51</v>
      </c>
      <c r="K11" s="29">
        <v>9.6827999999999997E-2</v>
      </c>
      <c r="L11" s="1"/>
      <c r="M11" s="1"/>
      <c r="N11" s="18"/>
    </row>
    <row r="12" spans="2:14" ht="15" customHeight="1" x14ac:dyDescent="0.25">
      <c r="B12" s="20"/>
      <c r="C12" s="5" t="s">
        <v>26</v>
      </c>
      <c r="D12" s="6" t="s">
        <v>22</v>
      </c>
      <c r="E12" s="11">
        <v>1.298E-2</v>
      </c>
      <c r="F12" s="1"/>
      <c r="G12" s="1"/>
      <c r="H12" s="1"/>
      <c r="I12" s="1"/>
      <c r="J12" s="24" t="s">
        <v>52</v>
      </c>
      <c r="K12" s="29">
        <v>0.712974</v>
      </c>
      <c r="L12" s="1"/>
      <c r="M12" s="1"/>
      <c r="N12" s="18"/>
    </row>
    <row r="13" spans="2:14" ht="15.75" customHeight="1" x14ac:dyDescent="0.25">
      <c r="B13" s="20"/>
      <c r="C13" s="7" t="s">
        <v>27</v>
      </c>
      <c r="D13" s="8"/>
      <c r="E13" s="12">
        <v>9.6827999999999997E-2</v>
      </c>
      <c r="F13" s="1"/>
      <c r="G13" s="1"/>
      <c r="H13" s="1"/>
      <c r="I13" s="1"/>
      <c r="J13" s="24" t="s">
        <v>53</v>
      </c>
      <c r="K13" s="29">
        <v>6.2440000000000004E-3</v>
      </c>
      <c r="L13" s="1"/>
      <c r="M13" s="1"/>
      <c r="N13" s="18"/>
    </row>
    <row r="14" spans="2:14" ht="15" customHeight="1" x14ac:dyDescent="0.25">
      <c r="B14" s="20"/>
      <c r="C14" s="5" t="s">
        <v>25</v>
      </c>
      <c r="D14" s="6" t="s">
        <v>22</v>
      </c>
      <c r="E14" s="11">
        <v>6.2440000000000004E-3</v>
      </c>
      <c r="F14" s="1"/>
      <c r="G14" s="1"/>
      <c r="H14" s="1"/>
      <c r="I14" s="1"/>
      <c r="J14" s="24" t="s">
        <v>46</v>
      </c>
      <c r="K14" s="29">
        <v>2.5730000000000002E-3</v>
      </c>
      <c r="L14" s="1"/>
      <c r="M14" s="1"/>
      <c r="N14" s="18"/>
    </row>
    <row r="15" spans="2:14" ht="15.75" customHeight="1" x14ac:dyDescent="0.25">
      <c r="B15" s="20"/>
      <c r="C15" s="7" t="s">
        <v>28</v>
      </c>
      <c r="D15" s="8"/>
      <c r="E15" s="12">
        <v>6.2440000000000004E-3</v>
      </c>
      <c r="F15" s="1"/>
      <c r="G15" s="1"/>
      <c r="H15" s="1"/>
      <c r="I15" s="1"/>
      <c r="J15" s="24" t="s">
        <v>54</v>
      </c>
      <c r="K15" s="29">
        <v>0.124944</v>
      </c>
      <c r="L15" s="1"/>
      <c r="M15" s="1"/>
      <c r="N15" s="18"/>
    </row>
    <row r="16" spans="2:14" ht="15" customHeight="1" x14ac:dyDescent="0.25">
      <c r="B16" s="20"/>
      <c r="C16" s="5" t="s">
        <v>29</v>
      </c>
      <c r="D16" s="6" t="s">
        <v>30</v>
      </c>
      <c r="E16" s="11">
        <v>0.11741699999999999</v>
      </c>
      <c r="F16" s="1"/>
      <c r="G16" s="1"/>
      <c r="H16" s="1"/>
      <c r="I16" s="1"/>
      <c r="J16" s="24" t="s">
        <v>55</v>
      </c>
      <c r="K16" s="29">
        <v>2.7514E-2</v>
      </c>
      <c r="L16" s="1"/>
      <c r="M16" s="1"/>
      <c r="N16" s="18"/>
    </row>
    <row r="17" spans="2:14" ht="15" customHeight="1" x14ac:dyDescent="0.25">
      <c r="B17" s="20"/>
      <c r="C17" s="5" t="s">
        <v>31</v>
      </c>
      <c r="D17" s="6" t="s">
        <v>30</v>
      </c>
      <c r="E17" s="11">
        <v>0.105045</v>
      </c>
      <c r="F17" s="1"/>
      <c r="G17" s="1"/>
      <c r="H17" s="1"/>
      <c r="I17" s="1"/>
      <c r="J17" s="1"/>
      <c r="K17" s="1"/>
      <c r="L17" s="1"/>
      <c r="M17" s="1"/>
      <c r="N17" s="18"/>
    </row>
    <row r="18" spans="2:14" ht="15" customHeight="1" x14ac:dyDescent="0.25">
      <c r="B18" s="20"/>
      <c r="C18" s="5" t="s">
        <v>32</v>
      </c>
      <c r="D18" s="6" t="s">
        <v>30</v>
      </c>
      <c r="E18" s="11">
        <v>9.486E-2</v>
      </c>
      <c r="F18" s="1"/>
      <c r="G18" s="1"/>
      <c r="H18" s="1"/>
      <c r="I18" s="1"/>
      <c r="J18" s="1"/>
      <c r="K18" s="1"/>
      <c r="L18" s="1"/>
      <c r="M18" s="1"/>
      <c r="N18" s="18"/>
    </row>
    <row r="19" spans="2:14" ht="15" customHeight="1" x14ac:dyDescent="0.25">
      <c r="B19" s="20"/>
      <c r="C19" s="5" t="s">
        <v>33</v>
      </c>
      <c r="D19" s="6" t="s">
        <v>30</v>
      </c>
      <c r="E19" s="11">
        <v>8.7276000000000006E-2</v>
      </c>
      <c r="F19" s="1"/>
      <c r="G19" s="1"/>
      <c r="H19" s="1"/>
      <c r="I19" s="1"/>
      <c r="J19" s="1"/>
      <c r="K19" s="1"/>
      <c r="L19" s="1"/>
      <c r="M19" s="1"/>
      <c r="N19" s="18"/>
    </row>
    <row r="20" spans="2:14" ht="15" customHeight="1" x14ac:dyDescent="0.25">
      <c r="B20" s="20"/>
      <c r="C20" s="5" t="s">
        <v>34</v>
      </c>
      <c r="D20" s="6" t="s">
        <v>30</v>
      </c>
      <c r="E20" s="11">
        <v>6.9637000000000004E-2</v>
      </c>
      <c r="F20" s="1"/>
      <c r="G20" s="1"/>
      <c r="H20" s="1"/>
      <c r="I20" s="1"/>
      <c r="J20" s="1"/>
      <c r="K20" s="1"/>
      <c r="L20" s="1"/>
      <c r="M20" s="1"/>
      <c r="N20" s="18"/>
    </row>
    <row r="21" spans="2:14" ht="15" customHeight="1" x14ac:dyDescent="0.25">
      <c r="B21" s="20"/>
      <c r="C21" s="5" t="s">
        <v>35</v>
      </c>
      <c r="D21" s="6" t="s">
        <v>30</v>
      </c>
      <c r="E21" s="11">
        <v>5.9320999999999999E-2</v>
      </c>
      <c r="F21" s="1"/>
      <c r="G21" s="1"/>
      <c r="H21" s="1"/>
      <c r="I21" s="1"/>
      <c r="J21" s="1"/>
      <c r="K21" s="1"/>
      <c r="L21" s="1"/>
      <c r="M21" s="1"/>
      <c r="N21" s="18"/>
    </row>
    <row r="22" spans="2:14" ht="15" customHeight="1" x14ac:dyDescent="0.25">
      <c r="B22" s="20"/>
      <c r="C22" s="5" t="s">
        <v>36</v>
      </c>
      <c r="D22" s="6" t="s">
        <v>30</v>
      </c>
      <c r="E22" s="11">
        <v>5.2095000000000002E-2</v>
      </c>
      <c r="F22" s="1"/>
      <c r="G22" s="1"/>
      <c r="H22" s="1"/>
      <c r="I22" s="1"/>
      <c r="J22" s="1"/>
      <c r="K22" s="1"/>
      <c r="L22" s="1"/>
      <c r="M22" s="1"/>
      <c r="N22" s="18"/>
    </row>
    <row r="23" spans="2:14" ht="15" customHeight="1" x14ac:dyDescent="0.25">
      <c r="B23" s="20"/>
      <c r="C23" s="5" t="s">
        <v>37</v>
      </c>
      <c r="D23" s="6" t="s">
        <v>30</v>
      </c>
      <c r="E23" s="11">
        <v>3.7862E-2</v>
      </c>
      <c r="F23" s="1"/>
      <c r="G23" s="1"/>
      <c r="H23" s="1"/>
      <c r="I23" s="1"/>
      <c r="J23" s="1"/>
      <c r="K23" s="1"/>
      <c r="L23" s="1"/>
      <c r="M23" s="1"/>
      <c r="N23" s="18"/>
    </row>
    <row r="24" spans="2:14" ht="15" customHeight="1" x14ac:dyDescent="0.25">
      <c r="B24" s="20"/>
      <c r="C24" s="5" t="s">
        <v>38</v>
      </c>
      <c r="D24" s="6" t="s">
        <v>30</v>
      </c>
      <c r="E24" s="11">
        <v>3.4382999999999997E-2</v>
      </c>
      <c r="F24" s="1"/>
      <c r="G24" s="97" t="s">
        <v>17</v>
      </c>
      <c r="H24" s="98"/>
      <c r="I24" s="98"/>
      <c r="J24" s="98"/>
      <c r="K24" s="98"/>
      <c r="L24" s="26">
        <v>2.2353990415419895</v>
      </c>
      <c r="M24" s="27"/>
      <c r="N24" s="28"/>
    </row>
    <row r="25" spans="2:14" ht="15" customHeight="1" x14ac:dyDescent="0.25">
      <c r="B25" s="20"/>
      <c r="C25" s="5" t="s">
        <v>39</v>
      </c>
      <c r="D25" s="6" t="s">
        <v>30</v>
      </c>
      <c r="E25" s="11">
        <v>2.1437999999999999E-2</v>
      </c>
      <c r="F25" s="1"/>
      <c r="G25" s="1"/>
      <c r="H25" s="1"/>
      <c r="I25" s="1"/>
      <c r="J25" s="1"/>
      <c r="K25" s="1"/>
      <c r="L25" s="1"/>
      <c r="M25" s="1"/>
      <c r="N25" s="18"/>
    </row>
    <row r="26" spans="2:14" ht="15" customHeight="1" x14ac:dyDescent="0.25">
      <c r="B26" s="20"/>
      <c r="C26" s="5" t="s">
        <v>40</v>
      </c>
      <c r="D26" s="6" t="s">
        <v>30</v>
      </c>
      <c r="E26" s="11">
        <v>1.8249999999999999E-2</v>
      </c>
      <c r="F26" s="1"/>
      <c r="G26" s="97" t="s">
        <v>18</v>
      </c>
      <c r="H26" s="98"/>
      <c r="I26" s="98"/>
      <c r="J26" s="98"/>
      <c r="K26" s="98"/>
      <c r="L26" s="98"/>
      <c r="M26" s="98"/>
      <c r="N26" s="99"/>
    </row>
    <row r="27" spans="2:14" ht="15" customHeight="1" x14ac:dyDescent="0.25">
      <c r="B27" s="20"/>
      <c r="C27" s="5" t="s">
        <v>41</v>
      </c>
      <c r="D27" s="6" t="s">
        <v>30</v>
      </c>
      <c r="E27" s="11">
        <v>6.2300000000000003E-3</v>
      </c>
      <c r="F27" s="1"/>
      <c r="G27" s="1"/>
      <c r="H27" s="1"/>
      <c r="I27" s="1"/>
      <c r="J27" s="1"/>
      <c r="K27" s="1"/>
      <c r="L27" s="1"/>
      <c r="M27" s="1"/>
      <c r="N27" s="18"/>
    </row>
    <row r="28" spans="2:14" ht="15" customHeight="1" x14ac:dyDescent="0.25">
      <c r="B28" s="20"/>
      <c r="C28" s="5" t="s">
        <v>24</v>
      </c>
      <c r="D28" s="6" t="s">
        <v>30</v>
      </c>
      <c r="E28" s="11">
        <v>3.1670000000000001E-3</v>
      </c>
      <c r="F28" s="1"/>
      <c r="G28" s="1"/>
      <c r="H28" s="1"/>
      <c r="I28" s="1"/>
      <c r="J28" s="1"/>
      <c r="K28" s="1"/>
      <c r="L28" s="1"/>
      <c r="M28" s="1"/>
      <c r="N28" s="18"/>
    </row>
    <row r="29" spans="2:14" ht="15" customHeight="1" x14ac:dyDescent="0.25">
      <c r="B29" s="20"/>
      <c r="C29" s="5" t="s">
        <v>25</v>
      </c>
      <c r="D29" s="6" t="s">
        <v>30</v>
      </c>
      <c r="E29" s="11">
        <v>1.7409999999999999E-3</v>
      </c>
      <c r="F29" s="1"/>
      <c r="G29" s="1"/>
      <c r="H29" s="1"/>
      <c r="I29" s="1"/>
      <c r="J29" s="1"/>
      <c r="K29" s="1"/>
      <c r="L29" s="1"/>
      <c r="M29" s="1"/>
      <c r="N29" s="18"/>
    </row>
    <row r="30" spans="2:14" ht="15" customHeight="1" x14ac:dyDescent="0.25">
      <c r="B30" s="20"/>
      <c r="C30" s="5" t="s">
        <v>42</v>
      </c>
      <c r="D30" s="6" t="s">
        <v>30</v>
      </c>
      <c r="E30" s="11">
        <v>1.7340000000000001E-3</v>
      </c>
      <c r="F30" s="1"/>
      <c r="G30" s="1"/>
      <c r="H30" s="1"/>
      <c r="I30" s="1"/>
      <c r="J30" s="1"/>
      <c r="K30" s="1"/>
      <c r="L30" s="1"/>
      <c r="M30" s="1"/>
      <c r="N30" s="18"/>
    </row>
    <row r="31" spans="2:14" ht="15" customHeight="1" x14ac:dyDescent="0.25">
      <c r="B31" s="20"/>
      <c r="C31" s="5" t="s">
        <v>43</v>
      </c>
      <c r="D31" s="6" t="s">
        <v>30</v>
      </c>
      <c r="E31" s="11">
        <v>1.41E-3</v>
      </c>
      <c r="F31" s="1"/>
      <c r="G31" s="1"/>
      <c r="H31" s="1"/>
      <c r="I31" s="1"/>
      <c r="J31" s="1"/>
      <c r="K31" s="1"/>
      <c r="L31" s="1"/>
      <c r="M31" s="1"/>
      <c r="N31" s="18"/>
    </row>
    <row r="32" spans="2:14" ht="15" customHeight="1" x14ac:dyDescent="0.25">
      <c r="B32" s="20"/>
      <c r="C32" s="5" t="s">
        <v>44</v>
      </c>
      <c r="D32" s="6" t="s">
        <v>30</v>
      </c>
      <c r="E32" s="11">
        <v>1.003E-3</v>
      </c>
      <c r="F32" s="1"/>
      <c r="G32" s="1"/>
      <c r="H32" s="1"/>
      <c r="I32" s="1"/>
      <c r="J32" s="1"/>
      <c r="K32" s="1"/>
      <c r="L32" s="1"/>
      <c r="M32" s="1"/>
      <c r="N32" s="18"/>
    </row>
    <row r="33" spans="2:14" ht="15" customHeight="1" x14ac:dyDescent="0.25">
      <c r="B33" s="20"/>
      <c r="C33" s="5" t="s">
        <v>26</v>
      </c>
      <c r="D33" s="6" t="s">
        <v>30</v>
      </c>
      <c r="E33" s="11">
        <v>1.05E-4</v>
      </c>
      <c r="F33" s="1"/>
      <c r="G33" s="1"/>
      <c r="H33" s="1"/>
      <c r="I33" s="1"/>
      <c r="J33" s="1"/>
      <c r="K33" s="1"/>
      <c r="L33" s="1"/>
      <c r="M33" s="1"/>
      <c r="N33" s="18"/>
    </row>
    <row r="34" spans="2:14" ht="15.75" customHeight="1" x14ac:dyDescent="0.25">
      <c r="B34" s="20"/>
      <c r="C34" s="7" t="s">
        <v>45</v>
      </c>
      <c r="D34" s="8"/>
      <c r="E34" s="12">
        <v>0.712974</v>
      </c>
      <c r="F34" s="1"/>
      <c r="G34" s="1"/>
      <c r="H34" s="1"/>
      <c r="I34" s="1"/>
      <c r="J34" s="1"/>
      <c r="K34" s="1"/>
      <c r="L34" s="1"/>
      <c r="M34" s="1"/>
      <c r="N34" s="18"/>
    </row>
    <row r="35" spans="2:14" ht="15" customHeight="1" x14ac:dyDescent="0.25">
      <c r="B35" s="20"/>
      <c r="C35" s="5" t="s">
        <v>46</v>
      </c>
      <c r="D35" s="6"/>
      <c r="E35" s="11">
        <v>2.5730000000000002E-3</v>
      </c>
      <c r="F35" s="1"/>
      <c r="G35" s="1"/>
      <c r="H35" s="1"/>
      <c r="I35" s="1"/>
      <c r="J35" s="1"/>
      <c r="K35" s="1"/>
      <c r="L35" s="1"/>
      <c r="M35" s="1"/>
      <c r="N35" s="18"/>
    </row>
    <row r="36" spans="2:14" ht="15.75" customHeight="1" x14ac:dyDescent="0.25">
      <c r="B36" s="20"/>
      <c r="C36" s="7" t="s">
        <v>47</v>
      </c>
      <c r="D36" s="8"/>
      <c r="E36" s="12">
        <v>2.5730000000000002E-3</v>
      </c>
      <c r="F36" s="1"/>
      <c r="G36" s="1"/>
      <c r="H36" s="1"/>
      <c r="I36" s="1"/>
      <c r="J36" s="1"/>
      <c r="K36" s="1"/>
      <c r="L36" s="1"/>
      <c r="M36" s="1"/>
      <c r="N36" s="18"/>
    </row>
    <row r="37" spans="2:14" ht="15" customHeight="1" x14ac:dyDescent="0.25">
      <c r="B37" s="20"/>
      <c r="C37" s="5" t="s">
        <v>48</v>
      </c>
      <c r="D37" s="34" t="s">
        <v>173</v>
      </c>
      <c r="E37" s="11">
        <v>0.124944</v>
      </c>
      <c r="F37" s="1"/>
      <c r="G37" s="1"/>
      <c r="H37" s="1"/>
      <c r="I37" s="1"/>
      <c r="J37" s="1"/>
      <c r="K37" s="1"/>
      <c r="L37" s="1"/>
      <c r="M37" s="1"/>
      <c r="N37" s="18"/>
    </row>
    <row r="38" spans="2:14" ht="15.75" customHeight="1" x14ac:dyDescent="0.25">
      <c r="B38" s="20"/>
      <c r="C38" s="7" t="s">
        <v>49</v>
      </c>
      <c r="D38" s="8"/>
      <c r="E38" s="12">
        <v>0.124944</v>
      </c>
      <c r="F38" s="1"/>
      <c r="G38" s="1"/>
      <c r="H38" s="1"/>
      <c r="I38" s="1"/>
      <c r="J38" s="1"/>
      <c r="K38" s="1"/>
      <c r="L38" s="1"/>
      <c r="M38" s="1"/>
      <c r="N38" s="18"/>
    </row>
    <row r="39" spans="2:14" ht="15" customHeight="1" x14ac:dyDescent="0.25">
      <c r="B39" s="20"/>
      <c r="C39" s="5" t="s">
        <v>192</v>
      </c>
      <c r="D39" s="34" t="s">
        <v>173</v>
      </c>
      <c r="E39" s="11">
        <v>1.3299E-2</v>
      </c>
      <c r="F39" s="1"/>
      <c r="G39" s="1"/>
      <c r="H39" s="1"/>
      <c r="I39" s="1"/>
      <c r="J39" s="1"/>
      <c r="K39" s="1"/>
      <c r="L39" s="1"/>
      <c r="M39" s="1"/>
      <c r="N39" s="18"/>
    </row>
    <row r="40" spans="2:14" ht="15.75" customHeight="1" x14ac:dyDescent="0.25">
      <c r="B40" s="20"/>
      <c r="C40" s="33" t="s">
        <v>184</v>
      </c>
      <c r="D40" s="34" t="s">
        <v>173</v>
      </c>
      <c r="E40" s="39">
        <v>2.1250000000000002E-3</v>
      </c>
      <c r="F40" s="1"/>
      <c r="G40" s="1"/>
      <c r="H40" s="1"/>
      <c r="I40" s="1"/>
      <c r="J40" s="1"/>
      <c r="K40" s="1"/>
      <c r="L40" s="1"/>
      <c r="M40" s="1"/>
      <c r="N40" s="18"/>
    </row>
    <row r="41" spans="2:14" ht="15" customHeight="1" x14ac:dyDescent="0.25">
      <c r="B41" s="20"/>
      <c r="C41" s="33" t="s">
        <v>181</v>
      </c>
      <c r="D41" s="34" t="s">
        <v>173</v>
      </c>
      <c r="E41" s="39">
        <v>2.1080000000000001E-3</v>
      </c>
      <c r="F41" s="1"/>
      <c r="G41" s="1"/>
      <c r="H41" s="1"/>
      <c r="I41" s="1"/>
      <c r="J41" s="1"/>
      <c r="K41" s="1"/>
      <c r="L41" s="1"/>
      <c r="M41" s="1"/>
      <c r="N41" s="18"/>
    </row>
    <row r="42" spans="2:14" ht="15.75" customHeight="1" x14ac:dyDescent="0.25">
      <c r="B42" s="20"/>
      <c r="C42" s="33" t="s">
        <v>185</v>
      </c>
      <c r="D42" s="34" t="s">
        <v>173</v>
      </c>
      <c r="E42" s="39">
        <v>1.7780000000000001E-3</v>
      </c>
      <c r="F42" s="1"/>
      <c r="G42" s="1"/>
      <c r="H42" s="1"/>
      <c r="I42" s="1"/>
      <c r="J42" s="1"/>
      <c r="K42" s="1"/>
      <c r="L42" s="1"/>
      <c r="M42" s="1"/>
      <c r="N42" s="18"/>
    </row>
    <row r="43" spans="2:14" ht="15" customHeight="1" x14ac:dyDescent="0.25">
      <c r="B43" s="20"/>
      <c r="C43" s="33" t="s">
        <v>186</v>
      </c>
      <c r="D43" s="34" t="s">
        <v>173</v>
      </c>
      <c r="E43" s="39">
        <v>1.768E-3</v>
      </c>
      <c r="F43" s="1"/>
      <c r="G43" s="1"/>
      <c r="H43" s="1"/>
      <c r="I43" s="1"/>
      <c r="J43" s="1"/>
      <c r="K43" s="1"/>
      <c r="L43" s="1"/>
      <c r="M43" s="1"/>
      <c r="N43" s="18"/>
    </row>
    <row r="44" spans="2:14" ht="15.75" customHeight="1" x14ac:dyDescent="0.25">
      <c r="B44" s="20"/>
      <c r="C44" s="33" t="s">
        <v>180</v>
      </c>
      <c r="D44" s="34" t="s">
        <v>173</v>
      </c>
      <c r="E44" s="39">
        <v>1.7619999999999999E-3</v>
      </c>
      <c r="F44" s="1"/>
      <c r="G44" s="1"/>
      <c r="H44" s="1"/>
      <c r="I44" s="1"/>
      <c r="J44" s="1"/>
      <c r="K44" s="1"/>
      <c r="L44" s="1"/>
      <c r="M44" s="1"/>
      <c r="N44" s="18"/>
    </row>
    <row r="45" spans="2:14" ht="15" customHeight="1" x14ac:dyDescent="0.25">
      <c r="B45" s="20"/>
      <c r="C45" s="33" t="s">
        <v>182</v>
      </c>
      <c r="D45" s="34" t="s">
        <v>173</v>
      </c>
      <c r="E45" s="39">
        <v>1.4139999999999999E-3</v>
      </c>
      <c r="F45" s="1"/>
      <c r="G45" s="1"/>
      <c r="H45" s="1"/>
      <c r="I45" s="1"/>
      <c r="J45" s="1"/>
      <c r="K45" s="1"/>
      <c r="L45" s="1"/>
      <c r="M45" s="1"/>
      <c r="N45" s="18"/>
    </row>
    <row r="46" spans="2:14" ht="15" customHeight="1" x14ac:dyDescent="0.25">
      <c r="B46" s="20"/>
      <c r="C46" s="33" t="s">
        <v>183</v>
      </c>
      <c r="D46" s="34" t="s">
        <v>173</v>
      </c>
      <c r="E46" s="39">
        <v>1.06E-3</v>
      </c>
      <c r="F46" s="1"/>
      <c r="G46" s="1"/>
      <c r="H46" s="1"/>
      <c r="I46" s="1"/>
      <c r="J46" s="1"/>
      <c r="K46" s="1"/>
      <c r="L46" s="1"/>
      <c r="M46" s="1"/>
      <c r="N46" s="18"/>
    </row>
    <row r="47" spans="2:14" ht="15" customHeight="1" x14ac:dyDescent="0.25">
      <c r="B47" s="20"/>
      <c r="C47" s="33" t="s">
        <v>190</v>
      </c>
      <c r="D47" s="34" t="s">
        <v>173</v>
      </c>
      <c r="E47" s="39">
        <v>7.0699999999999995E-4</v>
      </c>
      <c r="F47" s="1"/>
      <c r="G47" s="1"/>
      <c r="H47" s="1"/>
      <c r="I47" s="1"/>
      <c r="J47" s="1"/>
      <c r="K47" s="1"/>
      <c r="L47" s="1"/>
      <c r="M47" s="1"/>
      <c r="N47" s="18"/>
    </row>
    <row r="48" spans="2:14" s="31" customFormat="1" ht="15" customHeight="1" x14ac:dyDescent="0.25">
      <c r="B48" s="44"/>
      <c r="C48" s="33" t="s">
        <v>191</v>
      </c>
      <c r="D48" s="34" t="s">
        <v>173</v>
      </c>
      <c r="E48" s="39">
        <v>7.0699999999999995E-4</v>
      </c>
      <c r="F48" s="32"/>
      <c r="G48" s="32"/>
      <c r="H48" s="32"/>
      <c r="I48" s="32"/>
      <c r="J48" s="32"/>
      <c r="K48" s="32"/>
      <c r="L48" s="32"/>
      <c r="M48" s="32"/>
      <c r="N48" s="43"/>
    </row>
    <row r="49" spans="2:14" s="31" customFormat="1" ht="15" customHeight="1" x14ac:dyDescent="0.25">
      <c r="B49" s="44"/>
      <c r="C49" s="33" t="s">
        <v>187</v>
      </c>
      <c r="D49" s="34" t="s">
        <v>173</v>
      </c>
      <c r="E49" s="39">
        <v>3.5199999999999999E-4</v>
      </c>
      <c r="F49" s="32"/>
      <c r="G49" s="32"/>
      <c r="H49" s="32"/>
      <c r="I49" s="32"/>
      <c r="J49" s="32"/>
      <c r="K49" s="32"/>
      <c r="L49" s="32"/>
      <c r="M49" s="32"/>
      <c r="N49" s="43"/>
    </row>
    <row r="50" spans="2:14" s="31" customFormat="1" ht="15" customHeight="1" x14ac:dyDescent="0.25">
      <c r="B50" s="44"/>
      <c r="C50" s="33" t="s">
        <v>189</v>
      </c>
      <c r="D50" s="34" t="s">
        <v>173</v>
      </c>
      <c r="E50" s="39">
        <v>3.5100000000000002E-4</v>
      </c>
      <c r="F50" s="32"/>
      <c r="G50" s="32"/>
      <c r="H50" s="32"/>
      <c r="I50" s="32"/>
      <c r="J50" s="32"/>
      <c r="K50" s="32"/>
      <c r="L50" s="32"/>
      <c r="M50" s="32"/>
      <c r="N50" s="43"/>
    </row>
    <row r="51" spans="2:14" s="31" customFormat="1" ht="15" customHeight="1" x14ac:dyDescent="0.25">
      <c r="B51" s="44"/>
      <c r="C51" s="33" t="s">
        <v>188</v>
      </c>
      <c r="D51" s="34" t="s">
        <v>173</v>
      </c>
      <c r="E51" s="39">
        <v>8.2999999999999998E-5</v>
      </c>
      <c r="F51" s="32"/>
      <c r="G51" s="32"/>
      <c r="H51" s="32"/>
      <c r="I51" s="32"/>
      <c r="J51" s="32"/>
      <c r="K51" s="32"/>
      <c r="L51" s="32"/>
      <c r="M51" s="32"/>
      <c r="N51" s="43"/>
    </row>
    <row r="52" spans="2:14" s="31" customFormat="1" ht="15" customHeight="1" x14ac:dyDescent="0.25">
      <c r="B52" s="44"/>
      <c r="C52" s="7" t="s">
        <v>50</v>
      </c>
      <c r="D52" s="8"/>
      <c r="E52" s="12">
        <v>2.7514E-2</v>
      </c>
      <c r="F52" s="32"/>
      <c r="G52" s="32"/>
      <c r="H52" s="32"/>
      <c r="I52" s="32"/>
      <c r="J52" s="32"/>
      <c r="K52" s="32"/>
      <c r="L52" s="32"/>
      <c r="M52" s="32"/>
      <c r="N52" s="43"/>
    </row>
    <row r="53" spans="2:14" ht="15" customHeight="1" x14ac:dyDescent="0.25">
      <c r="B53" s="20"/>
      <c r="C53" s="5" t="s">
        <v>8</v>
      </c>
      <c r="D53" s="6"/>
      <c r="E53" s="11">
        <v>1.7817E-2</v>
      </c>
      <c r="F53" s="1"/>
      <c r="G53" s="1"/>
      <c r="H53" s="1"/>
      <c r="I53" s="1"/>
      <c r="J53" s="1"/>
      <c r="K53" s="1"/>
      <c r="L53" s="1"/>
      <c r="M53" s="1"/>
      <c r="N53" s="18"/>
    </row>
    <row r="54" spans="2:14" ht="15" customHeight="1" x14ac:dyDescent="0.25">
      <c r="B54" s="20"/>
      <c r="C54" s="7" t="s">
        <v>9</v>
      </c>
      <c r="D54" s="8"/>
      <c r="E54" s="12">
        <v>1.7817E-2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 customHeight="1" x14ac:dyDescent="0.25">
      <c r="B56" s="20"/>
      <c r="C56" s="7" t="s">
        <v>10</v>
      </c>
      <c r="D56" s="8"/>
      <c r="E56" s="12">
        <v>1.1106E-2</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 customHeight="1" x14ac:dyDescent="0.25">
      <c r="B58" s="20"/>
      <c r="C58" s="9" t="s">
        <v>11</v>
      </c>
      <c r="D58" s="10"/>
      <c r="E58" s="13">
        <v>1</v>
      </c>
      <c r="F58" s="1"/>
      <c r="G58" s="1"/>
      <c r="H58" s="1"/>
      <c r="I58" s="1"/>
      <c r="J58" s="1"/>
      <c r="K58" s="1"/>
      <c r="L58" s="1"/>
      <c r="M58" s="1"/>
      <c r="N58" s="18"/>
    </row>
    <row r="59" spans="2:14" ht="15" customHeight="1" thickBot="1" x14ac:dyDescent="0.3">
      <c r="B59" s="21"/>
      <c r="C59" s="22"/>
      <c r="D59" s="22"/>
      <c r="E59" s="22"/>
      <c r="F59" s="22"/>
      <c r="G59" s="22"/>
      <c r="H59" s="22"/>
      <c r="I59" s="22"/>
      <c r="J59" s="22"/>
      <c r="K59" s="22"/>
      <c r="L59" s="22"/>
      <c r="M59" s="22"/>
      <c r="N59" s="23"/>
    </row>
    <row r="60" spans="2:14" ht="15" customHeight="1" thickBot="1" x14ac:dyDescent="0.3"/>
    <row r="61" spans="2:14" ht="15" customHeight="1" x14ac:dyDescent="0.25">
      <c r="B61" s="80" t="s">
        <v>258</v>
      </c>
      <c r="C61" s="81"/>
      <c r="D61" s="81"/>
      <c r="E61" s="81"/>
      <c r="F61" s="81"/>
      <c r="G61" s="81"/>
      <c r="H61" s="81"/>
      <c r="I61" s="81"/>
      <c r="J61" s="81"/>
      <c r="K61" s="81"/>
      <c r="L61" s="81"/>
      <c r="M61" s="81"/>
      <c r="N61" s="82"/>
    </row>
    <row r="62" spans="2:14" ht="15" customHeight="1" x14ac:dyDescent="0.25">
      <c r="B62" s="83"/>
      <c r="C62" s="84"/>
      <c r="D62" s="84"/>
      <c r="E62" s="84"/>
      <c r="F62" s="84"/>
      <c r="G62" s="84"/>
      <c r="H62" s="84"/>
      <c r="I62" s="84"/>
      <c r="J62" s="84"/>
      <c r="K62" s="84"/>
      <c r="L62" s="84"/>
      <c r="M62" s="84"/>
      <c r="N62" s="85"/>
    </row>
    <row r="63" spans="2:14" ht="15" customHeight="1" x14ac:dyDescent="0.25">
      <c r="B63" s="83"/>
      <c r="C63" s="84"/>
      <c r="D63" s="84"/>
      <c r="E63" s="84"/>
      <c r="F63" s="84"/>
      <c r="G63" s="84"/>
      <c r="H63" s="84"/>
      <c r="I63" s="84"/>
      <c r="J63" s="84"/>
      <c r="K63" s="84"/>
      <c r="L63" s="84"/>
      <c r="M63" s="84"/>
      <c r="N63" s="85"/>
    </row>
    <row r="64" spans="2:14" ht="15" customHeight="1" thickBot="1" x14ac:dyDescent="0.3">
      <c r="B64" s="86"/>
      <c r="C64" s="87"/>
      <c r="D64" s="87"/>
      <c r="E64" s="87"/>
      <c r="F64" s="87"/>
      <c r="G64" s="87"/>
      <c r="H64" s="87"/>
      <c r="I64" s="87"/>
      <c r="J64" s="87"/>
      <c r="K64" s="87"/>
      <c r="L64" s="87"/>
      <c r="M64" s="87"/>
      <c r="N64" s="88"/>
    </row>
    <row r="65" spans="2:14" ht="15" customHeight="1" thickBot="1" x14ac:dyDescent="0.3">
      <c r="B65" s="31"/>
      <c r="C65" s="31"/>
      <c r="D65" s="31"/>
      <c r="E65" s="31"/>
      <c r="F65" s="31"/>
      <c r="G65" s="31"/>
      <c r="H65" s="31"/>
      <c r="I65" s="31"/>
      <c r="J65" s="31"/>
      <c r="K65" s="31"/>
      <c r="L65" s="31"/>
      <c r="M65" s="31"/>
      <c r="N65" s="31"/>
    </row>
    <row r="66" spans="2:14" ht="124.5" customHeight="1" thickBot="1" x14ac:dyDescent="0.3">
      <c r="B66" s="89" t="s">
        <v>257</v>
      </c>
      <c r="C66" s="90"/>
      <c r="D66" s="90"/>
      <c r="E66" s="90"/>
      <c r="F66" s="90"/>
      <c r="G66" s="90"/>
      <c r="H66" s="90"/>
      <c r="I66" s="90"/>
      <c r="J66" s="90"/>
      <c r="K66" s="90"/>
      <c r="L66" s="90"/>
      <c r="M66" s="90"/>
      <c r="N66" s="91"/>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sheetData>
  <sortState ref="C39:E51">
    <sortCondition descending="1" ref="E39"/>
  </sortState>
  <mergeCells count="7">
    <mergeCell ref="B61:N64"/>
    <mergeCell ref="B66:N66"/>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28033-CA2E-4C6F-8488-B6F47CD5F60D}">
  <dimension ref="B1:N8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79</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80</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21</v>
      </c>
      <c r="D8" s="6" t="s">
        <v>22</v>
      </c>
      <c r="E8" s="11">
        <v>2.1769E-2</v>
      </c>
      <c r="F8" s="1"/>
      <c r="G8" s="24" t="s">
        <v>15</v>
      </c>
      <c r="H8" s="25">
        <v>1</v>
      </c>
      <c r="I8" s="1"/>
      <c r="J8" s="24" t="s">
        <v>12</v>
      </c>
      <c r="K8" s="24" t="s">
        <v>5</v>
      </c>
      <c r="L8" s="1"/>
      <c r="M8" s="1"/>
      <c r="N8" s="18"/>
    </row>
    <row r="9" spans="2:14" ht="15" customHeight="1" x14ac:dyDescent="0.25">
      <c r="B9" s="20"/>
      <c r="C9" s="5" t="s">
        <v>32</v>
      </c>
      <c r="D9" s="6" t="s">
        <v>22</v>
      </c>
      <c r="E9" s="11">
        <v>7.2589999999999998E-3</v>
      </c>
      <c r="F9" s="1"/>
      <c r="G9" s="1"/>
      <c r="H9" s="1"/>
      <c r="I9" s="1"/>
      <c r="J9" s="24" t="s">
        <v>10</v>
      </c>
      <c r="K9" s="29">
        <v>2.8263E-2</v>
      </c>
      <c r="L9" s="1"/>
      <c r="M9" s="1"/>
      <c r="N9" s="18"/>
    </row>
    <row r="10" spans="2:14" ht="15" customHeight="1" x14ac:dyDescent="0.25">
      <c r="B10" s="20"/>
      <c r="C10" s="5" t="s">
        <v>25</v>
      </c>
      <c r="D10" s="6" t="s">
        <v>22</v>
      </c>
      <c r="E10" s="11">
        <v>3.6289999999999998E-3</v>
      </c>
      <c r="F10" s="1"/>
      <c r="G10" s="1"/>
      <c r="H10" s="1"/>
      <c r="I10" s="1"/>
      <c r="J10" s="24" t="s">
        <v>13</v>
      </c>
      <c r="K10" s="29">
        <v>0.285499</v>
      </c>
      <c r="L10" s="1"/>
      <c r="M10" s="1"/>
      <c r="N10" s="18"/>
    </row>
    <row r="11" spans="2:14" ht="15" customHeight="1" x14ac:dyDescent="0.25">
      <c r="B11" s="20"/>
      <c r="C11" s="5" t="s">
        <v>81</v>
      </c>
      <c r="D11" s="6" t="s">
        <v>22</v>
      </c>
      <c r="E11" s="11">
        <v>3.5799999999999998E-3</v>
      </c>
      <c r="F11" s="1"/>
      <c r="G11" s="1"/>
      <c r="H11" s="1"/>
      <c r="I11" s="1"/>
      <c r="J11" s="24" t="s">
        <v>51</v>
      </c>
      <c r="K11" s="29">
        <v>3.9863000000000003E-2</v>
      </c>
      <c r="L11" s="1"/>
      <c r="M11" s="1"/>
      <c r="N11" s="18"/>
    </row>
    <row r="12" spans="2:14" ht="15" customHeight="1" x14ac:dyDescent="0.25">
      <c r="B12" s="20"/>
      <c r="C12" s="5" t="s">
        <v>26</v>
      </c>
      <c r="D12" s="6" t="s">
        <v>22</v>
      </c>
      <c r="E12" s="11">
        <v>1.8140000000000001E-3</v>
      </c>
      <c r="F12" s="1"/>
      <c r="G12" s="1"/>
      <c r="H12" s="1"/>
      <c r="I12" s="1"/>
      <c r="J12" s="24" t="s">
        <v>52</v>
      </c>
      <c r="K12" s="29">
        <v>0.50747900000000001</v>
      </c>
      <c r="L12" s="1"/>
      <c r="M12" s="1"/>
      <c r="N12" s="18"/>
    </row>
    <row r="13" spans="2:14" ht="15" customHeight="1" x14ac:dyDescent="0.25">
      <c r="B13" s="20"/>
      <c r="C13" s="5" t="s">
        <v>23</v>
      </c>
      <c r="D13" s="6" t="s">
        <v>22</v>
      </c>
      <c r="E13" s="11">
        <v>1.812E-3</v>
      </c>
      <c r="F13" s="1"/>
      <c r="G13" s="1"/>
      <c r="H13" s="1"/>
      <c r="I13" s="1"/>
      <c r="J13" s="24" t="s">
        <v>53</v>
      </c>
      <c r="K13" s="29">
        <v>4.1579999999999999E-2</v>
      </c>
      <c r="L13" s="1"/>
      <c r="M13" s="1"/>
      <c r="N13" s="18"/>
    </row>
    <row r="14" spans="2:14" ht="15.75" customHeight="1" x14ac:dyDescent="0.25">
      <c r="B14" s="20"/>
      <c r="C14" s="7" t="s">
        <v>27</v>
      </c>
      <c r="D14" s="8"/>
      <c r="E14" s="12">
        <v>3.9863000000000003E-2</v>
      </c>
      <c r="F14" s="1"/>
      <c r="G14" s="1"/>
      <c r="H14" s="1"/>
      <c r="I14" s="1"/>
      <c r="J14" s="24" t="s">
        <v>46</v>
      </c>
      <c r="K14" s="29">
        <v>2.8440000000000002E-3</v>
      </c>
      <c r="L14" s="1"/>
      <c r="M14" s="1"/>
      <c r="N14" s="18"/>
    </row>
    <row r="15" spans="2:14" ht="15" customHeight="1" x14ac:dyDescent="0.25">
      <c r="B15" s="20"/>
      <c r="C15" s="5" t="s">
        <v>29</v>
      </c>
      <c r="D15" s="6" t="s">
        <v>22</v>
      </c>
      <c r="E15" s="11">
        <v>2.5264999999999999E-2</v>
      </c>
      <c r="F15" s="1"/>
      <c r="G15" s="1"/>
      <c r="H15" s="1"/>
      <c r="I15" s="1"/>
      <c r="J15" s="24" t="s">
        <v>55</v>
      </c>
      <c r="K15" s="29">
        <v>2.0067999999999999E-2</v>
      </c>
      <c r="L15" s="1"/>
      <c r="M15" s="1"/>
      <c r="N15" s="18"/>
    </row>
    <row r="16" spans="2:14" ht="15" customHeight="1" x14ac:dyDescent="0.25">
      <c r="B16" s="20"/>
      <c r="C16" s="5" t="s">
        <v>25</v>
      </c>
      <c r="D16" s="6" t="s">
        <v>22</v>
      </c>
      <c r="E16" s="11">
        <v>9.0589999999999993E-3</v>
      </c>
      <c r="F16" s="1"/>
      <c r="G16" s="1"/>
      <c r="H16" s="1"/>
      <c r="I16" s="1"/>
      <c r="J16" s="24" t="s">
        <v>90</v>
      </c>
      <c r="K16" s="29">
        <v>7.4403999999999998E-2</v>
      </c>
      <c r="L16" s="1"/>
      <c r="M16" s="1"/>
      <c r="N16" s="18"/>
    </row>
    <row r="17" spans="2:14" ht="15" customHeight="1" x14ac:dyDescent="0.25">
      <c r="B17" s="20"/>
      <c r="C17" s="5" t="s">
        <v>35</v>
      </c>
      <c r="D17" s="6" t="s">
        <v>22</v>
      </c>
      <c r="E17" s="11">
        <v>7.2560000000000003E-3</v>
      </c>
      <c r="F17" s="1"/>
      <c r="G17" s="1"/>
      <c r="H17" s="1"/>
      <c r="I17" s="1"/>
      <c r="J17" s="1"/>
      <c r="K17" s="1"/>
      <c r="L17" s="1"/>
      <c r="M17" s="1"/>
      <c r="N17" s="18"/>
    </row>
    <row r="18" spans="2:14" ht="15.75" customHeight="1" x14ac:dyDescent="0.25">
      <c r="B18" s="20"/>
      <c r="C18" s="7" t="s">
        <v>28</v>
      </c>
      <c r="D18" s="8"/>
      <c r="E18" s="12">
        <v>4.1579999999999999E-2</v>
      </c>
      <c r="F18" s="1"/>
      <c r="G18" s="1"/>
      <c r="H18" s="1"/>
      <c r="I18" s="1"/>
      <c r="J18" s="1"/>
      <c r="K18" s="1"/>
      <c r="L18" s="1"/>
      <c r="M18" s="1"/>
      <c r="N18" s="18"/>
    </row>
    <row r="19" spans="2:14" ht="15" customHeight="1" x14ac:dyDescent="0.25">
      <c r="B19" s="20"/>
      <c r="C19" s="5" t="s">
        <v>29</v>
      </c>
      <c r="D19" s="6" t="s">
        <v>30</v>
      </c>
      <c r="E19" s="11">
        <v>6.9120000000000001E-2</v>
      </c>
      <c r="F19" s="1"/>
      <c r="G19" s="1"/>
      <c r="H19" s="1"/>
      <c r="I19" s="1"/>
      <c r="J19" s="1"/>
      <c r="K19" s="1"/>
      <c r="L19" s="1"/>
      <c r="M19" s="1"/>
      <c r="N19" s="18"/>
    </row>
    <row r="20" spans="2:14" ht="15" customHeight="1" x14ac:dyDescent="0.25">
      <c r="B20" s="20"/>
      <c r="C20" s="5" t="s">
        <v>25</v>
      </c>
      <c r="D20" s="6" t="s">
        <v>30</v>
      </c>
      <c r="E20" s="11">
        <v>6.6336999999999993E-2</v>
      </c>
      <c r="F20" s="1"/>
      <c r="G20" s="1"/>
      <c r="H20" s="1"/>
      <c r="I20" s="1"/>
      <c r="J20" s="1"/>
      <c r="K20" s="1"/>
      <c r="L20" s="1"/>
      <c r="M20" s="1"/>
      <c r="N20" s="18"/>
    </row>
    <row r="21" spans="2:14" ht="15" customHeight="1" x14ac:dyDescent="0.25">
      <c r="B21" s="20"/>
      <c r="C21" s="5" t="s">
        <v>36</v>
      </c>
      <c r="D21" s="6" t="s">
        <v>30</v>
      </c>
      <c r="E21" s="11">
        <v>5.7667000000000003E-2</v>
      </c>
      <c r="F21" s="1"/>
      <c r="G21" s="1"/>
      <c r="H21" s="1"/>
      <c r="I21" s="1"/>
      <c r="J21" s="1"/>
      <c r="K21" s="1"/>
      <c r="L21" s="1"/>
      <c r="M21" s="1"/>
      <c r="N21" s="18"/>
    </row>
    <row r="22" spans="2:14" ht="15" customHeight="1" x14ac:dyDescent="0.25">
      <c r="B22" s="20"/>
      <c r="C22" s="5" t="s">
        <v>41</v>
      </c>
      <c r="D22" s="6" t="s">
        <v>30</v>
      </c>
      <c r="E22" s="11">
        <v>4.8386999999999999E-2</v>
      </c>
      <c r="F22" s="1"/>
      <c r="G22" s="1"/>
      <c r="H22" s="1"/>
      <c r="I22" s="1"/>
      <c r="J22" s="1"/>
      <c r="K22" s="1"/>
      <c r="L22" s="1"/>
      <c r="M22" s="1"/>
      <c r="N22" s="18"/>
    </row>
    <row r="23" spans="2:14" ht="15" customHeight="1" x14ac:dyDescent="0.25">
      <c r="B23" s="20"/>
      <c r="C23" s="5" t="s">
        <v>32</v>
      </c>
      <c r="D23" s="6" t="s">
        <v>30</v>
      </c>
      <c r="E23" s="11">
        <v>4.4451999999999998E-2</v>
      </c>
      <c r="F23" s="1"/>
      <c r="G23" s="1"/>
      <c r="H23" s="1"/>
      <c r="I23" s="1"/>
      <c r="J23" s="1"/>
      <c r="K23" s="1"/>
      <c r="L23" s="1"/>
      <c r="M23" s="1"/>
      <c r="N23" s="18"/>
    </row>
    <row r="24" spans="2:14" ht="15" customHeight="1" x14ac:dyDescent="0.25">
      <c r="B24" s="20"/>
      <c r="C24" s="5" t="s">
        <v>35</v>
      </c>
      <c r="D24" s="6" t="s">
        <v>30</v>
      </c>
      <c r="E24" s="11">
        <v>4.3944999999999998E-2</v>
      </c>
      <c r="F24" s="1"/>
      <c r="G24" s="97" t="s">
        <v>17</v>
      </c>
      <c r="H24" s="98"/>
      <c r="I24" s="98"/>
      <c r="J24" s="98"/>
      <c r="K24" s="98"/>
      <c r="L24" s="26">
        <v>9.7524643861776339E-2</v>
      </c>
      <c r="M24" s="27"/>
      <c r="N24" s="28"/>
    </row>
    <row r="25" spans="2:14" ht="15" customHeight="1" x14ac:dyDescent="0.25">
      <c r="B25" s="20"/>
      <c r="C25" s="5" t="s">
        <v>82</v>
      </c>
      <c r="D25" s="6" t="s">
        <v>30</v>
      </c>
      <c r="E25" s="11">
        <v>3.0883000000000001E-2</v>
      </c>
      <c r="F25" s="1"/>
      <c r="G25" s="1"/>
      <c r="H25" s="1"/>
      <c r="I25" s="1"/>
      <c r="J25" s="1"/>
      <c r="K25" s="1"/>
      <c r="L25" s="1"/>
      <c r="M25" s="1"/>
      <c r="N25" s="18"/>
    </row>
    <row r="26" spans="2:14" ht="15" customHeight="1" x14ac:dyDescent="0.25">
      <c r="B26" s="20"/>
      <c r="C26" s="5" t="s">
        <v>83</v>
      </c>
      <c r="D26" s="6" t="s">
        <v>30</v>
      </c>
      <c r="E26" s="11">
        <v>2.3604E-2</v>
      </c>
      <c r="F26" s="1"/>
      <c r="G26" s="97" t="s">
        <v>18</v>
      </c>
      <c r="H26" s="98"/>
      <c r="I26" s="98"/>
      <c r="J26" s="98"/>
      <c r="K26" s="98"/>
      <c r="L26" s="98"/>
      <c r="M26" s="98"/>
      <c r="N26" s="99"/>
    </row>
    <row r="27" spans="2:14" ht="15" customHeight="1" x14ac:dyDescent="0.25">
      <c r="B27" s="20"/>
      <c r="C27" s="5" t="s">
        <v>38</v>
      </c>
      <c r="D27" s="6" t="s">
        <v>30</v>
      </c>
      <c r="E27" s="11">
        <v>2.1024000000000001E-2</v>
      </c>
      <c r="F27" s="1"/>
      <c r="G27" s="1"/>
      <c r="H27" s="1"/>
      <c r="I27" s="1"/>
      <c r="J27" s="1"/>
      <c r="K27" s="1"/>
      <c r="L27" s="1"/>
      <c r="M27" s="1"/>
      <c r="N27" s="18"/>
    </row>
    <row r="28" spans="2:14" ht="15" customHeight="1" x14ac:dyDescent="0.25">
      <c r="B28" s="20"/>
      <c r="C28" s="5" t="s">
        <v>37</v>
      </c>
      <c r="D28" s="6" t="s">
        <v>30</v>
      </c>
      <c r="E28" s="11">
        <v>1.7094000000000002E-2</v>
      </c>
      <c r="F28" s="1"/>
      <c r="G28" s="1"/>
      <c r="H28" s="1"/>
      <c r="I28" s="1"/>
      <c r="J28" s="1"/>
      <c r="K28" s="1"/>
      <c r="L28" s="1"/>
      <c r="M28" s="1"/>
      <c r="N28" s="18"/>
    </row>
    <row r="29" spans="2:14" ht="15" customHeight="1" x14ac:dyDescent="0.25">
      <c r="B29" s="20"/>
      <c r="C29" s="5" t="s">
        <v>34</v>
      </c>
      <c r="D29" s="6" t="s">
        <v>30</v>
      </c>
      <c r="E29" s="11">
        <v>1.4429000000000001E-2</v>
      </c>
      <c r="F29" s="1"/>
      <c r="G29" s="1"/>
      <c r="H29" s="1"/>
      <c r="I29" s="1"/>
      <c r="J29" s="1"/>
      <c r="K29" s="1"/>
      <c r="L29" s="1"/>
      <c r="M29" s="1"/>
      <c r="N29" s="18"/>
    </row>
    <row r="30" spans="2:14" ht="15" customHeight="1" x14ac:dyDescent="0.25">
      <c r="B30" s="20"/>
      <c r="C30" s="5" t="s">
        <v>39</v>
      </c>
      <c r="D30" s="6" t="s">
        <v>30</v>
      </c>
      <c r="E30" s="11">
        <v>1.342E-2</v>
      </c>
      <c r="F30" s="1"/>
      <c r="G30" s="1"/>
      <c r="H30" s="1"/>
      <c r="I30" s="1"/>
      <c r="J30" s="1"/>
      <c r="K30" s="1"/>
      <c r="L30" s="1"/>
      <c r="M30" s="1"/>
      <c r="N30" s="18"/>
    </row>
    <row r="31" spans="2:14" ht="15" customHeight="1" x14ac:dyDescent="0.25">
      <c r="B31" s="20"/>
      <c r="C31" s="5" t="s">
        <v>84</v>
      </c>
      <c r="D31" s="6" t="s">
        <v>30</v>
      </c>
      <c r="E31" s="11">
        <v>1.235E-2</v>
      </c>
      <c r="F31" s="1"/>
      <c r="G31" s="1"/>
      <c r="H31" s="1"/>
      <c r="I31" s="1"/>
      <c r="J31" s="1"/>
      <c r="K31" s="1"/>
      <c r="L31" s="1"/>
      <c r="M31" s="1"/>
      <c r="N31" s="18"/>
    </row>
    <row r="32" spans="2:14" ht="15" customHeight="1" x14ac:dyDescent="0.25">
      <c r="B32" s="20"/>
      <c r="C32" s="5" t="s">
        <v>85</v>
      </c>
      <c r="D32" s="6" t="s">
        <v>30</v>
      </c>
      <c r="E32" s="11">
        <v>9.0810000000000005E-3</v>
      </c>
      <c r="F32" s="1"/>
      <c r="G32" s="1"/>
      <c r="H32" s="1"/>
      <c r="I32" s="1"/>
      <c r="J32" s="1"/>
      <c r="K32" s="1"/>
      <c r="L32" s="1"/>
      <c r="M32" s="1"/>
      <c r="N32" s="18"/>
    </row>
    <row r="33" spans="2:14" ht="15" customHeight="1" x14ac:dyDescent="0.25">
      <c r="B33" s="20"/>
      <c r="C33" s="5" t="s">
        <v>77</v>
      </c>
      <c r="D33" s="6" t="s">
        <v>30</v>
      </c>
      <c r="E33" s="11">
        <v>8.7139999999999995E-3</v>
      </c>
      <c r="F33" s="1"/>
      <c r="G33" s="1"/>
      <c r="H33" s="1"/>
      <c r="I33" s="1"/>
      <c r="J33" s="1"/>
      <c r="K33" s="1"/>
      <c r="L33" s="1"/>
      <c r="M33" s="1"/>
      <c r="N33" s="18"/>
    </row>
    <row r="34" spans="2:14" ht="15" customHeight="1" x14ac:dyDescent="0.25">
      <c r="B34" s="20"/>
      <c r="C34" s="5" t="s">
        <v>43</v>
      </c>
      <c r="D34" s="6" t="s">
        <v>30</v>
      </c>
      <c r="E34" s="11">
        <v>8.3660000000000002E-3</v>
      </c>
      <c r="F34" s="1"/>
      <c r="G34" s="1"/>
      <c r="H34" s="1"/>
      <c r="I34" s="1"/>
      <c r="J34" s="1"/>
      <c r="K34" s="1"/>
      <c r="L34" s="1"/>
      <c r="M34" s="1"/>
      <c r="N34" s="18"/>
    </row>
    <row r="35" spans="2:14" ht="15" customHeight="1" x14ac:dyDescent="0.25">
      <c r="B35" s="20"/>
      <c r="C35" s="5" t="s">
        <v>75</v>
      </c>
      <c r="D35" s="6" t="s">
        <v>30</v>
      </c>
      <c r="E35" s="11">
        <v>6.5110000000000003E-3</v>
      </c>
      <c r="F35" s="1"/>
      <c r="G35" s="1"/>
      <c r="H35" s="1"/>
      <c r="I35" s="1"/>
      <c r="J35" s="1"/>
      <c r="K35" s="1"/>
      <c r="L35" s="1"/>
      <c r="M35" s="1"/>
      <c r="N35" s="18"/>
    </row>
    <row r="36" spans="2:14" ht="15" customHeight="1" x14ac:dyDescent="0.25">
      <c r="B36" s="20"/>
      <c r="C36" s="5" t="s">
        <v>33</v>
      </c>
      <c r="D36" s="6" t="s">
        <v>30</v>
      </c>
      <c r="E36" s="11">
        <v>4.8199999999999996E-3</v>
      </c>
      <c r="F36" s="1"/>
      <c r="G36" s="1"/>
      <c r="H36" s="1"/>
      <c r="I36" s="1"/>
      <c r="J36" s="1"/>
      <c r="K36" s="1"/>
      <c r="L36" s="1"/>
      <c r="M36" s="1"/>
      <c r="N36" s="18"/>
    </row>
    <row r="37" spans="2:14" ht="15" customHeight="1" x14ac:dyDescent="0.25">
      <c r="B37" s="20"/>
      <c r="C37" s="5" t="s">
        <v>24</v>
      </c>
      <c r="D37" s="6" t="s">
        <v>30</v>
      </c>
      <c r="E37" s="11">
        <v>3.643E-3</v>
      </c>
      <c r="F37" s="1"/>
      <c r="G37" s="1"/>
      <c r="H37" s="1"/>
      <c r="I37" s="1"/>
      <c r="J37" s="1"/>
      <c r="K37" s="1"/>
      <c r="L37" s="1"/>
      <c r="M37" s="1"/>
      <c r="N37" s="18"/>
    </row>
    <row r="38" spans="2:14" ht="15" customHeight="1" x14ac:dyDescent="0.25">
      <c r="B38" s="20"/>
      <c r="C38" s="5" t="s">
        <v>42</v>
      </c>
      <c r="D38" s="6" t="s">
        <v>30</v>
      </c>
      <c r="E38" s="11">
        <v>3.6319999999999998E-3</v>
      </c>
      <c r="F38" s="1"/>
      <c r="G38" s="1"/>
      <c r="H38" s="1"/>
      <c r="I38" s="1"/>
      <c r="J38" s="1"/>
      <c r="K38" s="1"/>
      <c r="L38" s="1"/>
      <c r="M38" s="1"/>
      <c r="N38" s="18"/>
    </row>
    <row r="39" spans="2:14" ht="15.75" customHeight="1" x14ac:dyDescent="0.25">
      <c r="B39" s="20"/>
      <c r="C39" s="7" t="s">
        <v>45</v>
      </c>
      <c r="D39" s="8"/>
      <c r="E39" s="12">
        <v>0.50747900000000001</v>
      </c>
      <c r="F39" s="1"/>
      <c r="G39" s="1"/>
      <c r="H39" s="1"/>
      <c r="I39" s="1"/>
      <c r="J39" s="1"/>
      <c r="K39" s="1"/>
      <c r="L39" s="1"/>
      <c r="M39" s="1"/>
      <c r="N39" s="18"/>
    </row>
    <row r="40" spans="2:14" ht="15" customHeight="1" x14ac:dyDescent="0.25">
      <c r="B40" s="20"/>
      <c r="C40" s="5" t="s">
        <v>46</v>
      </c>
      <c r="D40" s="6"/>
      <c r="E40" s="11">
        <v>2.8440000000000002E-3</v>
      </c>
      <c r="F40" s="1"/>
      <c r="G40" s="1"/>
      <c r="H40" s="1"/>
      <c r="I40" s="1"/>
      <c r="J40" s="1"/>
      <c r="K40" s="1"/>
      <c r="L40" s="1"/>
      <c r="M40" s="1"/>
      <c r="N40" s="18"/>
    </row>
    <row r="41" spans="2:14" ht="15.75" customHeight="1" x14ac:dyDescent="0.25">
      <c r="B41" s="20"/>
      <c r="C41" s="7" t="s">
        <v>47</v>
      </c>
      <c r="D41" s="8"/>
      <c r="E41" s="12">
        <v>2.8440000000000002E-3</v>
      </c>
      <c r="F41" s="1"/>
      <c r="G41" s="1"/>
      <c r="H41" s="1"/>
      <c r="I41" s="1"/>
      <c r="J41" s="1"/>
      <c r="K41" s="1"/>
      <c r="L41" s="1"/>
      <c r="M41" s="1"/>
      <c r="N41" s="18"/>
    </row>
    <row r="42" spans="2:14" ht="15" customHeight="1" x14ac:dyDescent="0.25">
      <c r="B42" s="20"/>
      <c r="C42" s="5" t="s">
        <v>197</v>
      </c>
      <c r="D42" s="34" t="s">
        <v>173</v>
      </c>
      <c r="E42" s="11">
        <v>4.385E-3</v>
      </c>
      <c r="F42" s="1"/>
      <c r="G42" s="1"/>
      <c r="H42" s="1"/>
      <c r="I42" s="1"/>
      <c r="J42" s="1"/>
      <c r="K42" s="1"/>
      <c r="L42" s="1"/>
      <c r="M42" s="1"/>
      <c r="N42" s="18"/>
    </row>
    <row r="43" spans="2:14" ht="15.75" customHeight="1" x14ac:dyDescent="0.25">
      <c r="B43" s="20"/>
      <c r="C43" s="33" t="s">
        <v>200</v>
      </c>
      <c r="D43" s="34" t="s">
        <v>173</v>
      </c>
      <c r="E43" s="39">
        <v>3.653E-3</v>
      </c>
      <c r="F43" s="1"/>
      <c r="G43" s="1"/>
      <c r="H43" s="1"/>
      <c r="I43" s="1"/>
      <c r="J43" s="1"/>
      <c r="K43" s="1"/>
      <c r="L43" s="1"/>
      <c r="M43" s="1"/>
      <c r="N43" s="18"/>
    </row>
    <row r="44" spans="2:14" ht="15" customHeight="1" x14ac:dyDescent="0.25">
      <c r="B44" s="20"/>
      <c r="C44" s="33" t="s">
        <v>202</v>
      </c>
      <c r="D44" s="34" t="s">
        <v>173</v>
      </c>
      <c r="E44" s="39">
        <v>3.0990000000000002E-3</v>
      </c>
      <c r="F44" s="1"/>
      <c r="G44" s="1"/>
      <c r="H44" s="1"/>
      <c r="I44" s="1"/>
      <c r="J44" s="1"/>
      <c r="K44" s="1"/>
      <c r="L44" s="1"/>
      <c r="M44" s="1"/>
      <c r="N44" s="18"/>
    </row>
    <row r="45" spans="2:14" ht="15" customHeight="1" x14ac:dyDescent="0.25">
      <c r="B45" s="20"/>
      <c r="C45" s="33" t="s">
        <v>196</v>
      </c>
      <c r="D45" s="34" t="s">
        <v>173</v>
      </c>
      <c r="E45" s="39">
        <v>2.5509999999999999E-3</v>
      </c>
      <c r="F45" s="1"/>
      <c r="G45" s="1"/>
      <c r="H45" s="1"/>
      <c r="I45" s="1"/>
      <c r="J45" s="1"/>
      <c r="K45" s="1"/>
      <c r="L45" s="1"/>
      <c r="M45" s="1"/>
      <c r="N45" s="18"/>
    </row>
    <row r="46" spans="2:14" ht="15" customHeight="1" x14ac:dyDescent="0.25">
      <c r="B46" s="20"/>
      <c r="C46" s="33" t="s">
        <v>199</v>
      </c>
      <c r="D46" s="34" t="s">
        <v>173</v>
      </c>
      <c r="E46" s="39">
        <v>1.4610000000000001E-3</v>
      </c>
      <c r="F46" s="1"/>
      <c r="G46" s="1"/>
      <c r="H46" s="1"/>
      <c r="I46" s="1"/>
      <c r="J46" s="1"/>
      <c r="K46" s="1"/>
      <c r="L46" s="1"/>
      <c r="M46" s="1"/>
      <c r="N46" s="18"/>
    </row>
    <row r="47" spans="2:14" ht="15.75" customHeight="1" x14ac:dyDescent="0.25">
      <c r="B47" s="20"/>
      <c r="C47" s="33" t="s">
        <v>201</v>
      </c>
      <c r="D47" s="34" t="s">
        <v>173</v>
      </c>
      <c r="E47" s="39">
        <v>1.4580000000000001E-3</v>
      </c>
      <c r="F47" s="1"/>
      <c r="G47" s="1"/>
      <c r="H47" s="1"/>
      <c r="I47" s="1"/>
      <c r="J47" s="1"/>
      <c r="K47" s="1"/>
      <c r="L47" s="1"/>
      <c r="M47" s="1"/>
      <c r="N47" s="18"/>
    </row>
    <row r="48" spans="2:14" ht="15" customHeight="1" x14ac:dyDescent="0.25">
      <c r="B48" s="20"/>
      <c r="C48" s="33" t="s">
        <v>195</v>
      </c>
      <c r="D48" s="34" t="s">
        <v>173</v>
      </c>
      <c r="E48" s="39">
        <v>1.093E-3</v>
      </c>
      <c r="F48" s="1"/>
      <c r="G48" s="1"/>
      <c r="H48" s="1"/>
      <c r="I48" s="1"/>
      <c r="J48" s="1"/>
      <c r="K48" s="1"/>
      <c r="L48" s="1"/>
      <c r="M48" s="1"/>
      <c r="N48" s="18"/>
    </row>
    <row r="49" spans="2:14" ht="15.75" customHeight="1" x14ac:dyDescent="0.25">
      <c r="B49" s="20"/>
      <c r="C49" s="33" t="s">
        <v>198</v>
      </c>
      <c r="D49" s="34" t="s">
        <v>173</v>
      </c>
      <c r="E49" s="39">
        <v>7.3200000000000001E-4</v>
      </c>
      <c r="F49" s="1"/>
      <c r="G49" s="1"/>
      <c r="H49" s="1"/>
      <c r="I49" s="1"/>
      <c r="J49" s="1"/>
      <c r="K49" s="1"/>
      <c r="L49" s="1"/>
      <c r="M49" s="1"/>
      <c r="N49" s="18"/>
    </row>
    <row r="50" spans="2:14" ht="15" customHeight="1" x14ac:dyDescent="0.25">
      <c r="B50" s="20"/>
      <c r="C50" s="33" t="s">
        <v>194</v>
      </c>
      <c r="D50" s="34" t="s">
        <v>173</v>
      </c>
      <c r="E50" s="39">
        <v>7.2900000000000005E-4</v>
      </c>
      <c r="F50" s="1"/>
      <c r="G50" s="1"/>
      <c r="H50" s="1"/>
      <c r="I50" s="1"/>
      <c r="J50" s="1"/>
      <c r="K50" s="1"/>
      <c r="L50" s="1"/>
      <c r="M50" s="1"/>
      <c r="N50" s="18"/>
    </row>
    <row r="51" spans="2:14" ht="15.75" customHeight="1" x14ac:dyDescent="0.25">
      <c r="B51" s="20"/>
      <c r="C51" s="33" t="s">
        <v>193</v>
      </c>
      <c r="D51" s="34" t="s">
        <v>173</v>
      </c>
      <c r="E51" s="39">
        <v>7.2800000000000002E-4</v>
      </c>
      <c r="F51" s="1"/>
      <c r="G51" s="1"/>
      <c r="H51" s="1"/>
      <c r="I51" s="1"/>
      <c r="J51" s="1"/>
      <c r="K51" s="1"/>
      <c r="L51" s="1"/>
      <c r="M51" s="1"/>
      <c r="N51" s="18"/>
    </row>
    <row r="52" spans="2:14" ht="15" customHeight="1" x14ac:dyDescent="0.25">
      <c r="B52" s="20"/>
      <c r="C52" s="33" t="s">
        <v>203</v>
      </c>
      <c r="D52" s="34" t="s">
        <v>173</v>
      </c>
      <c r="E52" s="39">
        <v>1.7899999999999999E-4</v>
      </c>
      <c r="F52" s="1"/>
      <c r="G52" s="1"/>
      <c r="H52" s="1"/>
      <c r="I52" s="1"/>
      <c r="J52" s="1"/>
      <c r="K52" s="1"/>
      <c r="L52" s="1"/>
      <c r="M52" s="1"/>
      <c r="N52" s="18"/>
    </row>
    <row r="53" spans="2:14" s="31" customFormat="1" ht="15" customHeight="1" x14ac:dyDescent="0.25">
      <c r="B53" s="44"/>
      <c r="C53" s="7" t="s">
        <v>50</v>
      </c>
      <c r="D53" s="8"/>
      <c r="E53" s="12">
        <v>2.0067999999999999E-2</v>
      </c>
      <c r="F53" s="32"/>
      <c r="G53" s="32"/>
      <c r="H53" s="32"/>
      <c r="I53" s="32"/>
      <c r="J53" s="32"/>
      <c r="K53" s="32"/>
      <c r="L53" s="32"/>
      <c r="M53" s="32"/>
      <c r="N53" s="43"/>
    </row>
    <row r="54" spans="2:14" s="31" customFormat="1" ht="15" customHeight="1" x14ac:dyDescent="0.25">
      <c r="B54" s="44"/>
      <c r="C54" s="5" t="s">
        <v>86</v>
      </c>
      <c r="D54" s="34" t="s">
        <v>173</v>
      </c>
      <c r="E54" s="11">
        <v>5.8070999999999998E-2</v>
      </c>
      <c r="F54" s="32"/>
      <c r="G54" s="32"/>
      <c r="H54" s="32"/>
      <c r="I54" s="32"/>
      <c r="J54" s="32"/>
      <c r="K54" s="32"/>
      <c r="L54" s="32"/>
      <c r="M54" s="32"/>
      <c r="N54" s="43"/>
    </row>
    <row r="55" spans="2:14" s="31" customFormat="1" ht="15" customHeight="1" x14ac:dyDescent="0.25">
      <c r="B55" s="44"/>
      <c r="C55" s="5" t="s">
        <v>87</v>
      </c>
      <c r="D55" s="34" t="s">
        <v>173</v>
      </c>
      <c r="E55" s="11">
        <v>9.0849999999999993E-3</v>
      </c>
      <c r="F55" s="32"/>
      <c r="G55" s="32"/>
      <c r="H55" s="32"/>
      <c r="I55" s="32"/>
      <c r="J55" s="32"/>
      <c r="K55" s="32"/>
      <c r="L55" s="32"/>
      <c r="M55" s="32"/>
      <c r="N55" s="43"/>
    </row>
    <row r="56" spans="2:14" s="31" customFormat="1" ht="15" customHeight="1" x14ac:dyDescent="0.25">
      <c r="B56" s="44"/>
      <c r="C56" s="5" t="s">
        <v>88</v>
      </c>
      <c r="D56" s="34" t="s">
        <v>173</v>
      </c>
      <c r="E56" s="11">
        <v>7.2480000000000001E-3</v>
      </c>
      <c r="F56" s="32"/>
      <c r="G56" s="32"/>
      <c r="H56" s="32"/>
      <c r="I56" s="32"/>
      <c r="J56" s="32"/>
      <c r="K56" s="32"/>
      <c r="L56" s="32"/>
      <c r="M56" s="32"/>
      <c r="N56" s="43"/>
    </row>
    <row r="57" spans="2:14" s="31" customFormat="1" ht="15" customHeight="1" x14ac:dyDescent="0.25">
      <c r="B57" s="44"/>
      <c r="C57" s="7" t="s">
        <v>89</v>
      </c>
      <c r="D57" s="8"/>
      <c r="E57" s="12">
        <v>7.4403999999999998E-2</v>
      </c>
      <c r="F57" s="32"/>
      <c r="G57" s="32"/>
      <c r="H57" s="32"/>
      <c r="I57" s="32"/>
      <c r="J57" s="32"/>
      <c r="K57" s="32"/>
      <c r="L57" s="32"/>
      <c r="M57" s="32"/>
      <c r="N57" s="43"/>
    </row>
    <row r="58" spans="2:14" s="31" customFormat="1" ht="15" customHeight="1" x14ac:dyDescent="0.25">
      <c r="B58" s="44"/>
      <c r="C58" s="5" t="s">
        <v>8</v>
      </c>
      <c r="D58" s="6"/>
      <c r="E58" s="11">
        <v>0.285499</v>
      </c>
      <c r="F58" s="32"/>
      <c r="G58" s="32"/>
      <c r="H58" s="32"/>
      <c r="I58" s="32"/>
      <c r="J58" s="32"/>
      <c r="K58" s="32"/>
      <c r="L58" s="32"/>
      <c r="M58" s="32"/>
      <c r="N58" s="43"/>
    </row>
    <row r="59" spans="2:14" ht="15" customHeight="1" x14ac:dyDescent="0.25">
      <c r="B59" s="20"/>
      <c r="C59" s="7" t="s">
        <v>9</v>
      </c>
      <c r="D59" s="8"/>
      <c r="E59" s="12">
        <v>0.285499</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7" t="s">
        <v>10</v>
      </c>
      <c r="D61" s="8"/>
      <c r="E61" s="12">
        <v>2.8263E-2</v>
      </c>
      <c r="F61" s="1"/>
      <c r="G61" s="1"/>
      <c r="H61" s="1"/>
      <c r="I61" s="1"/>
      <c r="J61" s="1"/>
      <c r="K61" s="1"/>
      <c r="L61" s="1"/>
      <c r="M61" s="1"/>
      <c r="N61" s="18"/>
    </row>
    <row r="62" spans="2:14" ht="15" customHeight="1" x14ac:dyDescent="0.25">
      <c r="B62" s="20"/>
      <c r="C62" s="5"/>
      <c r="D62" s="6"/>
      <c r="E62" s="11"/>
      <c r="F62" s="1"/>
      <c r="G62" s="1"/>
      <c r="H62" s="1"/>
      <c r="I62" s="1"/>
      <c r="J62" s="1"/>
      <c r="K62" s="1"/>
      <c r="L62" s="1"/>
      <c r="M62" s="1"/>
      <c r="N62" s="18"/>
    </row>
    <row r="63" spans="2:14" ht="15" customHeight="1" x14ac:dyDescent="0.25">
      <c r="B63" s="20"/>
      <c r="C63" s="9" t="s">
        <v>11</v>
      </c>
      <c r="D63" s="10"/>
      <c r="E63" s="13">
        <v>1</v>
      </c>
      <c r="F63" s="1"/>
      <c r="G63" s="1"/>
      <c r="H63" s="1"/>
      <c r="I63" s="1"/>
      <c r="J63" s="1"/>
      <c r="K63" s="1"/>
      <c r="L63" s="1"/>
      <c r="M63" s="1"/>
      <c r="N63" s="18"/>
    </row>
    <row r="64" spans="2:14" ht="15" customHeight="1" x14ac:dyDescent="0.25">
      <c r="B64" s="20"/>
      <c r="C64" s="1"/>
      <c r="D64" s="1"/>
      <c r="E64" s="1"/>
      <c r="F64" s="1"/>
      <c r="G64" s="1"/>
      <c r="H64" s="1"/>
      <c r="I64" s="1"/>
      <c r="J64" s="1"/>
      <c r="K64" s="1"/>
      <c r="L64" s="1"/>
      <c r="M64" s="1"/>
      <c r="N64" s="18"/>
    </row>
    <row r="65" spans="2:14" ht="15" customHeight="1" thickBot="1" x14ac:dyDescent="0.3">
      <c r="B65" s="21"/>
      <c r="C65" s="22"/>
      <c r="D65" s="22"/>
      <c r="E65" s="22"/>
      <c r="F65" s="22"/>
      <c r="G65" s="22"/>
      <c r="H65" s="22"/>
      <c r="I65" s="22"/>
      <c r="J65" s="22"/>
      <c r="K65" s="22"/>
      <c r="L65" s="22"/>
      <c r="M65" s="22"/>
      <c r="N65" s="23"/>
    </row>
    <row r="66" spans="2:14" ht="15" customHeight="1" thickBot="1" x14ac:dyDescent="0.3"/>
    <row r="67" spans="2:14" ht="15" customHeight="1" x14ac:dyDescent="0.25">
      <c r="B67" s="80" t="s">
        <v>258</v>
      </c>
      <c r="C67" s="81"/>
      <c r="D67" s="81"/>
      <c r="E67" s="81"/>
      <c r="F67" s="81"/>
      <c r="G67" s="81"/>
      <c r="H67" s="81"/>
      <c r="I67" s="81"/>
      <c r="J67" s="81"/>
      <c r="K67" s="81"/>
      <c r="L67" s="81"/>
      <c r="M67" s="81"/>
      <c r="N67" s="82"/>
    </row>
    <row r="68" spans="2:14" ht="15" customHeight="1" x14ac:dyDescent="0.25">
      <c r="B68" s="83"/>
      <c r="C68" s="84"/>
      <c r="D68" s="84"/>
      <c r="E68" s="84"/>
      <c r="F68" s="84"/>
      <c r="G68" s="84"/>
      <c r="H68" s="84"/>
      <c r="I68" s="84"/>
      <c r="J68" s="84"/>
      <c r="K68" s="84"/>
      <c r="L68" s="84"/>
      <c r="M68" s="84"/>
      <c r="N68" s="85"/>
    </row>
    <row r="69" spans="2:14" ht="15" customHeight="1" x14ac:dyDescent="0.25">
      <c r="B69" s="83"/>
      <c r="C69" s="84"/>
      <c r="D69" s="84"/>
      <c r="E69" s="84"/>
      <c r="F69" s="84"/>
      <c r="G69" s="84"/>
      <c r="H69" s="84"/>
      <c r="I69" s="84"/>
      <c r="J69" s="84"/>
      <c r="K69" s="84"/>
      <c r="L69" s="84"/>
      <c r="M69" s="84"/>
      <c r="N69" s="85"/>
    </row>
    <row r="70" spans="2:14" ht="15" customHeight="1" thickBot="1" x14ac:dyDescent="0.3">
      <c r="B70" s="86"/>
      <c r="C70" s="87"/>
      <c r="D70" s="87"/>
      <c r="E70" s="87"/>
      <c r="F70" s="87"/>
      <c r="G70" s="87"/>
      <c r="H70" s="87"/>
      <c r="I70" s="87"/>
      <c r="J70" s="87"/>
      <c r="K70" s="87"/>
      <c r="L70" s="87"/>
      <c r="M70" s="87"/>
      <c r="N70" s="88"/>
    </row>
    <row r="71" spans="2:14" ht="15" customHeight="1" thickBot="1" x14ac:dyDescent="0.3">
      <c r="B71" s="31"/>
      <c r="C71" s="31"/>
      <c r="D71" s="31"/>
      <c r="E71" s="31"/>
      <c r="F71" s="31"/>
      <c r="G71" s="31"/>
      <c r="H71" s="31"/>
      <c r="I71" s="31"/>
      <c r="J71" s="31"/>
      <c r="K71" s="31"/>
      <c r="L71" s="31"/>
      <c r="M71" s="31"/>
      <c r="N71" s="31"/>
    </row>
    <row r="72" spans="2:14" ht="126.75" customHeight="1" thickBot="1" x14ac:dyDescent="0.3">
      <c r="B72" s="89" t="s">
        <v>257</v>
      </c>
      <c r="C72" s="90"/>
      <c r="D72" s="90"/>
      <c r="E72" s="90"/>
      <c r="F72" s="90"/>
      <c r="G72" s="90"/>
      <c r="H72" s="90"/>
      <c r="I72" s="90"/>
      <c r="J72" s="90"/>
      <c r="K72" s="90"/>
      <c r="L72" s="90"/>
      <c r="M72" s="90"/>
      <c r="N72" s="91"/>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sheetData>
  <sortState ref="C42:E52">
    <sortCondition descending="1" ref="E42"/>
  </sortState>
  <mergeCells count="7">
    <mergeCell ref="B67:N70"/>
    <mergeCell ref="B72:N7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BD0D-DA3C-4190-91D7-67AAAFE212CE}">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135</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136</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21</v>
      </c>
      <c r="D8" s="6" t="s">
        <v>22</v>
      </c>
      <c r="E8" s="11">
        <v>0.115355</v>
      </c>
      <c r="F8" s="1"/>
      <c r="G8" s="24" t="s">
        <v>15</v>
      </c>
      <c r="H8" s="29">
        <v>0.90779799999999999</v>
      </c>
      <c r="I8" s="1"/>
      <c r="J8" s="24" t="s">
        <v>12</v>
      </c>
      <c r="K8" s="24" t="s">
        <v>5</v>
      </c>
      <c r="L8" s="1"/>
      <c r="M8" s="1"/>
      <c r="N8" s="18"/>
    </row>
    <row r="9" spans="2:14" ht="15" customHeight="1" x14ac:dyDescent="0.25">
      <c r="B9" s="20"/>
      <c r="C9" s="5" t="s">
        <v>26</v>
      </c>
      <c r="D9" s="6" t="s">
        <v>22</v>
      </c>
      <c r="E9" s="11">
        <v>0.113811</v>
      </c>
      <c r="F9" s="1"/>
      <c r="G9" s="24" t="s">
        <v>107</v>
      </c>
      <c r="H9" s="29">
        <v>9.2202000000000006E-2</v>
      </c>
      <c r="I9" s="1"/>
      <c r="J9" s="24" t="s">
        <v>10</v>
      </c>
      <c r="K9" s="29">
        <v>1.7072E-2</v>
      </c>
      <c r="L9" s="1"/>
      <c r="M9" s="1"/>
      <c r="N9" s="18"/>
    </row>
    <row r="10" spans="2:14" ht="15" customHeight="1" x14ac:dyDescent="0.25">
      <c r="B10" s="20"/>
      <c r="C10" s="5" t="s">
        <v>23</v>
      </c>
      <c r="D10" s="6" t="s">
        <v>22</v>
      </c>
      <c r="E10" s="11">
        <v>8.6285000000000001E-2</v>
      </c>
      <c r="F10" s="1"/>
      <c r="G10" s="1"/>
      <c r="H10" s="1"/>
      <c r="I10" s="1"/>
      <c r="J10" s="24" t="s">
        <v>13</v>
      </c>
      <c r="K10" s="29">
        <v>7.7140000000000004E-3</v>
      </c>
      <c r="L10" s="1"/>
      <c r="M10" s="1"/>
      <c r="N10" s="18"/>
    </row>
    <row r="11" spans="2:14" ht="15" customHeight="1" x14ac:dyDescent="0.25">
      <c r="B11" s="20"/>
      <c r="C11" s="5" t="s">
        <v>137</v>
      </c>
      <c r="D11" s="6" t="s">
        <v>22</v>
      </c>
      <c r="E11" s="11">
        <v>4.3201000000000003E-2</v>
      </c>
      <c r="F11" s="1"/>
      <c r="G11" s="1"/>
      <c r="H11" s="1"/>
      <c r="I11" s="1"/>
      <c r="J11" s="24" t="s">
        <v>51</v>
      </c>
      <c r="K11" s="29">
        <v>0.35865200000000003</v>
      </c>
      <c r="L11" s="1"/>
      <c r="M11" s="1"/>
      <c r="N11" s="18"/>
    </row>
    <row r="12" spans="2:14" ht="15.75" customHeight="1" x14ac:dyDescent="0.25">
      <c r="B12" s="20"/>
      <c r="C12" s="7" t="s">
        <v>27</v>
      </c>
      <c r="D12" s="8"/>
      <c r="E12" s="12">
        <v>0.35865200000000003</v>
      </c>
      <c r="F12" s="1"/>
      <c r="G12" s="1"/>
      <c r="H12" s="1"/>
      <c r="I12" s="1"/>
      <c r="J12" s="24" t="s">
        <v>52</v>
      </c>
      <c r="K12" s="29">
        <v>0.47783199999999998</v>
      </c>
      <c r="L12" s="1"/>
      <c r="M12" s="1"/>
      <c r="N12" s="18"/>
    </row>
    <row r="13" spans="2:14" ht="15" customHeight="1" x14ac:dyDescent="0.25">
      <c r="B13" s="20"/>
      <c r="C13" s="5" t="s">
        <v>35</v>
      </c>
      <c r="D13" s="6" t="s">
        <v>22</v>
      </c>
      <c r="E13" s="11">
        <v>2.307E-2</v>
      </c>
      <c r="F13" s="1"/>
      <c r="G13" s="1"/>
      <c r="H13" s="1"/>
      <c r="I13" s="1"/>
      <c r="J13" s="24" t="s">
        <v>53</v>
      </c>
      <c r="K13" s="29">
        <v>2.307E-2</v>
      </c>
      <c r="L13" s="1"/>
      <c r="M13" s="1"/>
      <c r="N13" s="18"/>
    </row>
    <row r="14" spans="2:14" ht="15.75" customHeight="1" x14ac:dyDescent="0.25">
      <c r="B14" s="20"/>
      <c r="C14" s="7" t="s">
        <v>28</v>
      </c>
      <c r="D14" s="8"/>
      <c r="E14" s="12">
        <v>2.307E-2</v>
      </c>
      <c r="F14" s="1"/>
      <c r="G14" s="1"/>
      <c r="H14" s="1"/>
      <c r="I14" s="1"/>
      <c r="J14" s="24" t="s">
        <v>46</v>
      </c>
      <c r="K14" s="29">
        <v>4.0980000000000001E-3</v>
      </c>
      <c r="L14" s="1"/>
      <c r="M14" s="1"/>
      <c r="N14" s="18"/>
    </row>
    <row r="15" spans="2:14" ht="15" customHeight="1" x14ac:dyDescent="0.25">
      <c r="B15" s="20"/>
      <c r="C15" s="5" t="s">
        <v>32</v>
      </c>
      <c r="D15" s="6" t="s">
        <v>30</v>
      </c>
      <c r="E15" s="11">
        <v>0.11002099999999999</v>
      </c>
      <c r="F15" s="1"/>
      <c r="G15" s="1"/>
      <c r="H15" s="1"/>
      <c r="I15" s="1"/>
      <c r="J15" s="24" t="s">
        <v>54</v>
      </c>
      <c r="K15" s="29">
        <v>0.11156199999999999</v>
      </c>
      <c r="L15" s="1"/>
      <c r="M15" s="1"/>
      <c r="N15" s="18"/>
    </row>
    <row r="16" spans="2:14" ht="15" customHeight="1" x14ac:dyDescent="0.25">
      <c r="B16" s="20"/>
      <c r="C16" s="5" t="s">
        <v>97</v>
      </c>
      <c r="D16" s="6" t="s">
        <v>98</v>
      </c>
      <c r="E16" s="11">
        <v>9.2202000000000006E-2</v>
      </c>
      <c r="F16" s="1"/>
      <c r="G16" s="1"/>
      <c r="H16" s="1"/>
      <c r="I16" s="1"/>
      <c r="J16" s="1"/>
      <c r="K16" s="1"/>
      <c r="L16" s="1"/>
      <c r="M16" s="1"/>
      <c r="N16" s="18"/>
    </row>
    <row r="17" spans="2:14" ht="15" customHeight="1" x14ac:dyDescent="0.25">
      <c r="B17" s="20"/>
      <c r="C17" s="5" t="s">
        <v>75</v>
      </c>
      <c r="D17" s="6" t="s">
        <v>30</v>
      </c>
      <c r="E17" s="11">
        <v>9.1386999999999996E-2</v>
      </c>
      <c r="F17" s="1"/>
      <c r="G17" s="1"/>
      <c r="H17" s="1"/>
      <c r="I17" s="1"/>
      <c r="J17" s="1"/>
      <c r="K17" s="1"/>
      <c r="L17" s="1"/>
      <c r="M17" s="1"/>
      <c r="N17" s="18"/>
    </row>
    <row r="18" spans="2:14" ht="15" customHeight="1" x14ac:dyDescent="0.25">
      <c r="B18" s="20"/>
      <c r="C18" s="5" t="s">
        <v>36</v>
      </c>
      <c r="D18" s="6" t="s">
        <v>30</v>
      </c>
      <c r="E18" s="11">
        <v>6.9509000000000001E-2</v>
      </c>
      <c r="F18" s="1"/>
      <c r="G18" s="1"/>
      <c r="H18" s="1"/>
      <c r="I18" s="1"/>
      <c r="J18" s="1"/>
      <c r="K18" s="1"/>
      <c r="L18" s="1"/>
      <c r="M18" s="1"/>
      <c r="N18" s="18"/>
    </row>
    <row r="19" spans="2:14" ht="15" customHeight="1" x14ac:dyDescent="0.25">
      <c r="B19" s="20"/>
      <c r="C19" s="5" t="s">
        <v>33</v>
      </c>
      <c r="D19" s="6" t="s">
        <v>30</v>
      </c>
      <c r="E19" s="11">
        <v>6.8735000000000004E-2</v>
      </c>
      <c r="F19" s="1"/>
      <c r="G19" s="1"/>
      <c r="H19" s="1"/>
      <c r="I19" s="1"/>
      <c r="J19" s="1"/>
      <c r="K19" s="1"/>
      <c r="L19" s="1"/>
      <c r="M19" s="1"/>
      <c r="N19" s="18"/>
    </row>
    <row r="20" spans="2:14" ht="15" customHeight="1" x14ac:dyDescent="0.25">
      <c r="B20" s="20"/>
      <c r="C20" s="5" t="s">
        <v>77</v>
      </c>
      <c r="D20" s="6" t="s">
        <v>30</v>
      </c>
      <c r="E20" s="11">
        <v>4.5977999999999998E-2</v>
      </c>
      <c r="F20" s="1"/>
      <c r="G20" s="1"/>
      <c r="H20" s="1"/>
      <c r="I20" s="1"/>
      <c r="J20" s="1"/>
      <c r="K20" s="1"/>
      <c r="L20" s="1"/>
      <c r="M20" s="1"/>
      <c r="N20" s="18"/>
    </row>
    <row r="21" spans="2:14" ht="15.75" customHeight="1" x14ac:dyDescent="0.25">
      <c r="B21" s="20"/>
      <c r="C21" s="7" t="s">
        <v>45</v>
      </c>
      <c r="D21" s="8"/>
      <c r="E21" s="12">
        <v>0.47783199999999998</v>
      </c>
      <c r="F21" s="1"/>
      <c r="G21" s="1"/>
      <c r="H21" s="1"/>
      <c r="I21" s="1"/>
      <c r="J21" s="1"/>
      <c r="K21" s="1"/>
      <c r="L21" s="1"/>
      <c r="M21" s="1"/>
      <c r="N21" s="18"/>
    </row>
    <row r="22" spans="2:14" ht="15" customHeight="1" x14ac:dyDescent="0.25">
      <c r="B22" s="20"/>
      <c r="C22" s="5" t="s">
        <v>46</v>
      </c>
      <c r="D22" s="6"/>
      <c r="E22" s="11">
        <v>4.0980000000000001E-3</v>
      </c>
      <c r="F22" s="1"/>
      <c r="G22" s="1"/>
      <c r="H22" s="1"/>
      <c r="I22" s="1"/>
      <c r="J22" s="1"/>
      <c r="K22" s="1"/>
      <c r="L22" s="1"/>
      <c r="M22" s="1"/>
      <c r="N22" s="18"/>
    </row>
    <row r="23" spans="2:14" ht="15.75" customHeight="1" x14ac:dyDescent="0.25">
      <c r="B23" s="20"/>
      <c r="C23" s="7" t="s">
        <v>47</v>
      </c>
      <c r="D23" s="8"/>
      <c r="E23" s="12">
        <v>4.0980000000000001E-3</v>
      </c>
      <c r="F23" s="1"/>
      <c r="G23" s="1"/>
      <c r="H23" s="1"/>
      <c r="I23" s="1"/>
      <c r="J23" s="1"/>
      <c r="K23" s="1"/>
      <c r="L23" s="1"/>
      <c r="M23" s="1"/>
      <c r="N23" s="18"/>
    </row>
    <row r="24" spans="2:14" ht="15" customHeight="1" x14ac:dyDescent="0.25">
      <c r="B24" s="20"/>
      <c r="C24" s="5" t="s">
        <v>48</v>
      </c>
      <c r="D24" s="34" t="s">
        <v>173</v>
      </c>
      <c r="E24" s="11">
        <v>5.6021000000000001E-2</v>
      </c>
      <c r="F24" s="1"/>
      <c r="G24" s="97" t="s">
        <v>17</v>
      </c>
      <c r="H24" s="98"/>
      <c r="I24" s="98"/>
      <c r="J24" s="98"/>
      <c r="K24" s="98"/>
      <c r="L24" s="26">
        <v>1.2146577702647261</v>
      </c>
      <c r="M24" s="27"/>
      <c r="N24" s="28"/>
    </row>
    <row r="25" spans="2:14" ht="15" customHeight="1" x14ac:dyDescent="0.25">
      <c r="B25" s="20"/>
      <c r="C25" s="5" t="s">
        <v>66</v>
      </c>
      <c r="D25" s="34" t="s">
        <v>173</v>
      </c>
      <c r="E25" s="11">
        <v>4.6288000000000003E-2</v>
      </c>
      <c r="F25" s="1"/>
      <c r="G25" s="1"/>
      <c r="H25" s="1"/>
      <c r="I25" s="1"/>
      <c r="J25" s="1"/>
      <c r="K25" s="1"/>
      <c r="L25" s="1"/>
      <c r="M25" s="1"/>
      <c r="N25" s="18"/>
    </row>
    <row r="26" spans="2:14" ht="15" customHeight="1" x14ac:dyDescent="0.25">
      <c r="B26" s="20"/>
      <c r="C26" s="5" t="s">
        <v>61</v>
      </c>
      <c r="D26" s="34" t="s">
        <v>173</v>
      </c>
      <c r="E26" s="11">
        <v>9.2530000000000008E-3</v>
      </c>
      <c r="F26" s="1"/>
      <c r="G26" s="97" t="s">
        <v>18</v>
      </c>
      <c r="H26" s="98"/>
      <c r="I26" s="98"/>
      <c r="J26" s="98"/>
      <c r="K26" s="98"/>
      <c r="L26" s="98"/>
      <c r="M26" s="98"/>
      <c r="N26" s="99"/>
    </row>
    <row r="27" spans="2:14" ht="15.75" customHeight="1" x14ac:dyDescent="0.25">
      <c r="B27" s="20"/>
      <c r="C27" s="7" t="s">
        <v>49</v>
      </c>
      <c r="D27" s="8"/>
      <c r="E27" s="12">
        <v>0.11156199999999999</v>
      </c>
      <c r="F27" s="1"/>
      <c r="G27" s="1"/>
      <c r="H27" s="1"/>
      <c r="I27" s="1"/>
      <c r="J27" s="1"/>
      <c r="K27" s="1"/>
      <c r="L27" s="1"/>
      <c r="M27" s="1"/>
      <c r="N27" s="18"/>
    </row>
    <row r="28" spans="2:14" ht="15" customHeight="1" x14ac:dyDescent="0.25">
      <c r="B28" s="20"/>
      <c r="C28" s="5" t="s">
        <v>8</v>
      </c>
      <c r="D28" s="6"/>
      <c r="E28" s="11">
        <v>7.7140000000000004E-3</v>
      </c>
      <c r="F28" s="1"/>
      <c r="G28" s="1"/>
      <c r="H28" s="1"/>
      <c r="I28" s="1"/>
      <c r="J28" s="1"/>
      <c r="K28" s="1"/>
      <c r="L28" s="1"/>
      <c r="M28" s="1"/>
      <c r="N28" s="18"/>
    </row>
    <row r="29" spans="2:14" ht="15.75" customHeight="1" x14ac:dyDescent="0.25">
      <c r="B29" s="20"/>
      <c r="C29" s="7" t="s">
        <v>9</v>
      </c>
      <c r="D29" s="8"/>
      <c r="E29" s="12">
        <v>7.7140000000000004E-3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1.7072E-2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11</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0" t="s">
        <v>258</v>
      </c>
      <c r="C45" s="81"/>
      <c r="D45" s="81"/>
      <c r="E45" s="81"/>
      <c r="F45" s="81"/>
      <c r="G45" s="81"/>
      <c r="H45" s="81"/>
      <c r="I45" s="81"/>
      <c r="J45" s="81"/>
      <c r="K45" s="81"/>
      <c r="L45" s="81"/>
      <c r="M45" s="81"/>
      <c r="N45" s="82"/>
    </row>
    <row r="46" spans="2:14" ht="15" customHeight="1" x14ac:dyDescent="0.25">
      <c r="B46" s="83"/>
      <c r="C46" s="84"/>
      <c r="D46" s="84"/>
      <c r="E46" s="84"/>
      <c r="F46" s="84"/>
      <c r="G46" s="84"/>
      <c r="H46" s="84"/>
      <c r="I46" s="84"/>
      <c r="J46" s="84"/>
      <c r="K46" s="84"/>
      <c r="L46" s="84"/>
      <c r="M46" s="84"/>
      <c r="N46" s="85"/>
    </row>
    <row r="47" spans="2:14" ht="15" customHeight="1" x14ac:dyDescent="0.25">
      <c r="B47" s="83"/>
      <c r="C47" s="84"/>
      <c r="D47" s="84"/>
      <c r="E47" s="84"/>
      <c r="F47" s="84"/>
      <c r="G47" s="84"/>
      <c r="H47" s="84"/>
      <c r="I47" s="84"/>
      <c r="J47" s="84"/>
      <c r="K47" s="84"/>
      <c r="L47" s="84"/>
      <c r="M47" s="84"/>
      <c r="N47" s="85"/>
    </row>
    <row r="48" spans="2:14" ht="15" customHeight="1" thickBot="1" x14ac:dyDescent="0.3">
      <c r="B48" s="86"/>
      <c r="C48" s="87"/>
      <c r="D48" s="87"/>
      <c r="E48" s="87"/>
      <c r="F48" s="87"/>
      <c r="G48" s="87"/>
      <c r="H48" s="87"/>
      <c r="I48" s="87"/>
      <c r="J48" s="87"/>
      <c r="K48" s="87"/>
      <c r="L48" s="87"/>
      <c r="M48" s="87"/>
      <c r="N48" s="88"/>
    </row>
    <row r="49" spans="2:14" ht="15" customHeight="1" thickBot="1" x14ac:dyDescent="0.3">
      <c r="B49" s="31"/>
      <c r="C49" s="31"/>
      <c r="D49" s="31"/>
      <c r="E49" s="31"/>
      <c r="F49" s="31"/>
      <c r="G49" s="31"/>
      <c r="H49" s="31"/>
      <c r="I49" s="31"/>
      <c r="J49" s="31"/>
      <c r="K49" s="31"/>
      <c r="L49" s="31"/>
      <c r="M49" s="31"/>
      <c r="N49" s="31"/>
    </row>
    <row r="50" spans="2:14" ht="119.25" customHeight="1" thickBot="1" x14ac:dyDescent="0.3">
      <c r="B50" s="89" t="s">
        <v>257</v>
      </c>
      <c r="C50" s="90"/>
      <c r="D50" s="90"/>
      <c r="E50" s="90"/>
      <c r="F50" s="90"/>
      <c r="G50" s="90"/>
      <c r="H50" s="90"/>
      <c r="I50" s="90"/>
      <c r="J50" s="90"/>
      <c r="K50" s="90"/>
      <c r="L50" s="90"/>
      <c r="M50" s="90"/>
      <c r="N50" s="91"/>
    </row>
    <row r="51" spans="2:14" ht="15" customHeight="1" x14ac:dyDescent="0.25"/>
    <row r="52" spans="2:14" ht="15" customHeight="1" x14ac:dyDescent="0.25"/>
    <row r="53"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354D-811E-440D-8139-050C5CAAAE49}">
  <dimension ref="B1:N52"/>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t="s">
        <v>172</v>
      </c>
      <c r="C2" s="16"/>
      <c r="D2" s="16"/>
      <c r="E2" s="16"/>
      <c r="F2" s="16"/>
      <c r="G2" s="16"/>
      <c r="H2" s="16"/>
      <c r="I2" s="16"/>
      <c r="J2" s="16"/>
      <c r="K2" s="16"/>
      <c r="L2" s="16"/>
      <c r="M2" s="16"/>
      <c r="N2" s="17"/>
    </row>
    <row r="3" spans="2:14" ht="20.25" customHeight="1" x14ac:dyDescent="0.25">
      <c r="B3" s="20"/>
      <c r="C3" s="92" t="s">
        <v>91</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92</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93</v>
      </c>
      <c r="D8" s="6" t="s">
        <v>94</v>
      </c>
      <c r="E8" s="11">
        <v>0.108153</v>
      </c>
      <c r="F8" s="1"/>
      <c r="G8" s="24" t="s">
        <v>106</v>
      </c>
      <c r="H8" s="29">
        <v>0.62231599999999998</v>
      </c>
      <c r="I8" s="1"/>
      <c r="J8" s="24" t="s">
        <v>12</v>
      </c>
      <c r="K8" s="24" t="s">
        <v>5</v>
      </c>
      <c r="L8" s="1"/>
      <c r="M8" s="1"/>
      <c r="N8" s="18"/>
    </row>
    <row r="9" spans="2:14" ht="15" customHeight="1" x14ac:dyDescent="0.25">
      <c r="B9" s="20"/>
      <c r="C9" s="5" t="s">
        <v>95</v>
      </c>
      <c r="D9" s="6" t="s">
        <v>94</v>
      </c>
      <c r="E9" s="11">
        <v>0.10762099999999999</v>
      </c>
      <c r="F9" s="1"/>
      <c r="G9" s="24" t="s">
        <v>15</v>
      </c>
      <c r="H9" s="29">
        <v>0.30945400000000001</v>
      </c>
      <c r="I9" s="1"/>
      <c r="J9" s="24" t="s">
        <v>10</v>
      </c>
      <c r="K9" s="29">
        <v>3.2603E-2</v>
      </c>
      <c r="L9" s="1"/>
      <c r="M9" s="1"/>
      <c r="N9" s="18"/>
    </row>
    <row r="10" spans="2:14" ht="15" customHeight="1" x14ac:dyDescent="0.25">
      <c r="B10" s="20"/>
      <c r="C10" s="5" t="s">
        <v>96</v>
      </c>
      <c r="D10" s="6" t="s">
        <v>94</v>
      </c>
      <c r="E10" s="11">
        <v>8.1865999999999994E-2</v>
      </c>
      <c r="F10" s="1"/>
      <c r="G10" s="24" t="s">
        <v>107</v>
      </c>
      <c r="H10" s="29">
        <v>6.8229999999999999E-2</v>
      </c>
      <c r="I10" s="1"/>
      <c r="J10" s="24" t="s">
        <v>13</v>
      </c>
      <c r="K10" s="29">
        <v>1.5410000000000001E-3</v>
      </c>
      <c r="L10" s="1"/>
      <c r="M10" s="1"/>
      <c r="N10" s="18"/>
    </row>
    <row r="11" spans="2:14" ht="15" customHeight="1" x14ac:dyDescent="0.25">
      <c r="B11" s="20"/>
      <c r="C11" s="5" t="s">
        <v>97</v>
      </c>
      <c r="D11" s="6" t="s">
        <v>98</v>
      </c>
      <c r="E11" s="11">
        <v>6.8229999999999999E-2</v>
      </c>
      <c r="F11" s="1"/>
      <c r="G11" s="1"/>
      <c r="H11" s="1"/>
      <c r="I11" s="1"/>
      <c r="J11" s="24" t="s">
        <v>52</v>
      </c>
      <c r="K11" s="29">
        <v>0.69054599999999999</v>
      </c>
      <c r="L11" s="1"/>
      <c r="M11" s="1"/>
      <c r="N11" s="18"/>
    </row>
    <row r="12" spans="2:14" ht="15" customHeight="1" x14ac:dyDescent="0.25">
      <c r="B12" s="20"/>
      <c r="C12" s="5" t="s">
        <v>99</v>
      </c>
      <c r="D12" s="6" t="s">
        <v>94</v>
      </c>
      <c r="E12" s="11">
        <v>6.7681000000000005E-2</v>
      </c>
      <c r="F12" s="1"/>
      <c r="G12" s="1"/>
      <c r="H12" s="1"/>
      <c r="I12" s="1"/>
      <c r="J12" s="24" t="s">
        <v>46</v>
      </c>
      <c r="K12" s="29">
        <v>3.9119999999999997E-3</v>
      </c>
      <c r="L12" s="1"/>
      <c r="M12" s="1"/>
      <c r="N12" s="18"/>
    </row>
    <row r="13" spans="2:14" ht="15" customHeight="1" x14ac:dyDescent="0.25">
      <c r="B13" s="20"/>
      <c r="C13" s="5" t="s">
        <v>100</v>
      </c>
      <c r="D13" s="6" t="s">
        <v>94</v>
      </c>
      <c r="E13" s="11">
        <v>5.5598000000000002E-2</v>
      </c>
      <c r="F13" s="1"/>
      <c r="G13" s="1"/>
      <c r="H13" s="1"/>
      <c r="I13" s="1"/>
      <c r="J13" s="24" t="s">
        <v>54</v>
      </c>
      <c r="K13" s="29">
        <v>0.205737</v>
      </c>
      <c r="L13" s="1"/>
      <c r="M13" s="1"/>
      <c r="N13" s="18"/>
    </row>
    <row r="14" spans="2:14" ht="15" customHeight="1" x14ac:dyDescent="0.25">
      <c r="B14" s="20"/>
      <c r="C14" s="5" t="s">
        <v>101</v>
      </c>
      <c r="D14" s="6" t="s">
        <v>94</v>
      </c>
      <c r="E14" s="11">
        <v>5.4587999999999998E-2</v>
      </c>
      <c r="F14" s="1"/>
      <c r="G14" s="1"/>
      <c r="H14" s="1"/>
      <c r="I14" s="1"/>
      <c r="J14" s="24" t="s">
        <v>71</v>
      </c>
      <c r="K14" s="29">
        <v>6.5660999999999997E-2</v>
      </c>
      <c r="L14" s="1"/>
      <c r="M14" s="1"/>
      <c r="N14" s="18"/>
    </row>
    <row r="15" spans="2:14" ht="15" customHeight="1" x14ac:dyDescent="0.25">
      <c r="B15" s="20"/>
      <c r="C15" s="5" t="s">
        <v>102</v>
      </c>
      <c r="D15" s="6" t="s">
        <v>94</v>
      </c>
      <c r="E15" s="11">
        <v>5.4308000000000002E-2</v>
      </c>
      <c r="F15" s="1"/>
      <c r="G15" s="1"/>
      <c r="H15" s="1"/>
      <c r="I15" s="1"/>
      <c r="J15" s="1"/>
      <c r="K15" s="1"/>
      <c r="L15" s="1"/>
      <c r="M15" s="1"/>
      <c r="N15" s="18"/>
    </row>
    <row r="16" spans="2:14" ht="15" customHeight="1" x14ac:dyDescent="0.25">
      <c r="B16" s="20"/>
      <c r="C16" s="5" t="s">
        <v>103</v>
      </c>
      <c r="D16" s="6" t="s">
        <v>94</v>
      </c>
      <c r="E16" s="11">
        <v>5.1730999999999999E-2</v>
      </c>
      <c r="F16" s="1"/>
      <c r="G16" s="1"/>
      <c r="H16" s="1"/>
      <c r="I16" s="1"/>
      <c r="J16" s="1"/>
      <c r="K16" s="1"/>
      <c r="L16" s="1"/>
      <c r="M16" s="1"/>
      <c r="N16" s="18"/>
    </row>
    <row r="17" spans="2:14" ht="15" customHeight="1" x14ac:dyDescent="0.25">
      <c r="B17" s="20"/>
      <c r="C17" s="5" t="s">
        <v>104</v>
      </c>
      <c r="D17" s="6" t="s">
        <v>94</v>
      </c>
      <c r="E17" s="11">
        <v>4.0770000000000001E-2</v>
      </c>
      <c r="F17" s="1"/>
      <c r="G17" s="1"/>
      <c r="H17" s="1"/>
      <c r="I17" s="1"/>
      <c r="J17" s="1"/>
      <c r="K17" s="1"/>
      <c r="L17" s="1"/>
      <c r="M17" s="1"/>
      <c r="N17" s="18"/>
    </row>
    <row r="18" spans="2:14" ht="15.75" customHeight="1" x14ac:dyDescent="0.25">
      <c r="B18" s="20"/>
      <c r="C18" s="7" t="s">
        <v>45</v>
      </c>
      <c r="D18" s="8"/>
      <c r="E18" s="12">
        <v>0.69054599999999999</v>
      </c>
      <c r="F18" s="1"/>
      <c r="G18" s="1"/>
      <c r="H18" s="1"/>
      <c r="I18" s="1"/>
      <c r="J18" s="1"/>
      <c r="K18" s="1"/>
      <c r="L18" s="1"/>
      <c r="M18" s="1"/>
      <c r="N18" s="18"/>
    </row>
    <row r="19" spans="2:14" ht="15" customHeight="1" x14ac:dyDescent="0.25">
      <c r="B19" s="20"/>
      <c r="C19" s="5" t="s">
        <v>46</v>
      </c>
      <c r="D19" s="6"/>
      <c r="E19" s="11">
        <v>3.9119999999999997E-3</v>
      </c>
      <c r="F19" s="1"/>
      <c r="G19" s="1"/>
      <c r="H19" s="1"/>
      <c r="I19" s="1"/>
      <c r="J19" s="1"/>
      <c r="K19" s="1"/>
      <c r="L19" s="1"/>
      <c r="M19" s="1"/>
      <c r="N19" s="18"/>
    </row>
    <row r="20" spans="2:14" ht="15.75" customHeight="1" x14ac:dyDescent="0.25">
      <c r="B20" s="20"/>
      <c r="C20" s="7" t="s">
        <v>47</v>
      </c>
      <c r="D20" s="8"/>
      <c r="E20" s="12">
        <v>3.9119999999999997E-3</v>
      </c>
      <c r="F20" s="1"/>
      <c r="G20" s="1"/>
      <c r="H20" s="1"/>
      <c r="I20" s="1"/>
      <c r="J20" s="1"/>
      <c r="K20" s="1"/>
      <c r="L20" s="1"/>
      <c r="M20" s="1"/>
      <c r="N20" s="18"/>
    </row>
    <row r="21" spans="2:14" ht="15" customHeight="1" x14ac:dyDescent="0.25">
      <c r="B21" s="20"/>
      <c r="C21" s="5" t="s">
        <v>105</v>
      </c>
      <c r="D21" s="34" t="s">
        <v>173</v>
      </c>
      <c r="E21" s="11">
        <v>0.137318</v>
      </c>
      <c r="F21" s="1"/>
      <c r="G21" s="1"/>
      <c r="H21" s="1"/>
      <c r="I21" s="1"/>
      <c r="J21" s="1"/>
      <c r="K21" s="1"/>
      <c r="L21" s="1"/>
      <c r="M21" s="1"/>
      <c r="N21" s="18"/>
    </row>
    <row r="22" spans="2:14" ht="15" customHeight="1" x14ac:dyDescent="0.25">
      <c r="B22" s="20"/>
      <c r="C22" s="5" t="s">
        <v>58</v>
      </c>
      <c r="D22" s="34" t="s">
        <v>173</v>
      </c>
      <c r="E22" s="11">
        <v>5.4774999999999997E-2</v>
      </c>
      <c r="F22" s="1"/>
      <c r="G22" s="1"/>
      <c r="H22" s="1"/>
      <c r="I22" s="1"/>
      <c r="J22" s="1"/>
      <c r="K22" s="1"/>
      <c r="L22" s="1"/>
      <c r="M22" s="1"/>
      <c r="N22" s="18"/>
    </row>
    <row r="23" spans="2:14" ht="15" customHeight="1" x14ac:dyDescent="0.25">
      <c r="B23" s="20"/>
      <c r="C23" s="5" t="s">
        <v>66</v>
      </c>
      <c r="D23" s="34" t="s">
        <v>173</v>
      </c>
      <c r="E23" s="11">
        <v>1.3644E-2</v>
      </c>
      <c r="F23" s="1"/>
      <c r="G23" s="1"/>
      <c r="H23" s="1"/>
      <c r="I23" s="1"/>
      <c r="J23" s="1"/>
      <c r="K23" s="1"/>
      <c r="L23" s="1"/>
      <c r="M23" s="1"/>
      <c r="N23" s="18"/>
    </row>
    <row r="24" spans="2:14" ht="15.75" customHeight="1" x14ac:dyDescent="0.25">
      <c r="B24" s="20"/>
      <c r="C24" s="7" t="s">
        <v>49</v>
      </c>
      <c r="D24" s="8"/>
      <c r="E24" s="12">
        <v>0.205737</v>
      </c>
      <c r="F24" s="1"/>
      <c r="G24" s="97" t="s">
        <v>17</v>
      </c>
      <c r="H24" s="98"/>
      <c r="I24" s="98"/>
      <c r="J24" s="98"/>
      <c r="K24" s="98"/>
      <c r="L24" s="26">
        <v>3.269568579270794</v>
      </c>
      <c r="M24" s="27"/>
      <c r="N24" s="28"/>
    </row>
    <row r="25" spans="2:14" ht="15" customHeight="1" x14ac:dyDescent="0.25">
      <c r="B25" s="20"/>
      <c r="C25" s="33" t="s">
        <v>259</v>
      </c>
      <c r="D25" s="6" t="s">
        <v>69</v>
      </c>
      <c r="E25" s="11">
        <v>6.5660999999999997E-2</v>
      </c>
      <c r="F25" s="1"/>
      <c r="G25" s="1"/>
      <c r="H25" s="1"/>
      <c r="I25" s="1"/>
      <c r="J25" s="1"/>
      <c r="K25" s="1"/>
      <c r="L25" s="1"/>
      <c r="M25" s="1"/>
      <c r="N25" s="18"/>
    </row>
    <row r="26" spans="2:14" ht="15.75" customHeight="1" x14ac:dyDescent="0.25">
      <c r="B26" s="20"/>
      <c r="C26" s="7" t="s">
        <v>70</v>
      </c>
      <c r="D26" s="8"/>
      <c r="E26" s="12">
        <v>6.5660999999999997E-2</v>
      </c>
      <c r="F26" s="1"/>
      <c r="G26" s="97" t="s">
        <v>18</v>
      </c>
      <c r="H26" s="98"/>
      <c r="I26" s="98"/>
      <c r="J26" s="98"/>
      <c r="K26" s="98"/>
      <c r="L26" s="98"/>
      <c r="M26" s="98"/>
      <c r="N26" s="99"/>
    </row>
    <row r="27" spans="2:14" ht="15" customHeight="1" x14ac:dyDescent="0.25">
      <c r="B27" s="20"/>
      <c r="C27" s="5" t="s">
        <v>8</v>
      </c>
      <c r="D27" s="6"/>
      <c r="E27" s="11">
        <v>1.5410000000000001E-3</v>
      </c>
      <c r="F27" s="1"/>
      <c r="G27" s="1"/>
      <c r="H27" s="1"/>
      <c r="I27" s="1"/>
      <c r="J27" s="1"/>
      <c r="K27" s="1"/>
      <c r="L27" s="1"/>
      <c r="M27" s="1"/>
      <c r="N27" s="18"/>
    </row>
    <row r="28" spans="2:14" ht="15.75" customHeight="1" x14ac:dyDescent="0.25">
      <c r="B28" s="20"/>
      <c r="C28" s="7" t="s">
        <v>9</v>
      </c>
      <c r="D28" s="8"/>
      <c r="E28" s="12">
        <v>1.5410000000000001E-3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10</v>
      </c>
      <c r="D30" s="8"/>
      <c r="E30" s="12">
        <v>3.2603E-2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11</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32" t="s">
        <v>260</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80" t="s">
        <v>258</v>
      </c>
      <c r="C45" s="81"/>
      <c r="D45" s="81"/>
      <c r="E45" s="81"/>
      <c r="F45" s="81"/>
      <c r="G45" s="81"/>
      <c r="H45" s="81"/>
      <c r="I45" s="81"/>
      <c r="J45" s="81"/>
      <c r="K45" s="81"/>
      <c r="L45" s="81"/>
      <c r="M45" s="81"/>
      <c r="N45" s="82"/>
    </row>
    <row r="46" spans="2:14" ht="15" customHeight="1" x14ac:dyDescent="0.25">
      <c r="B46" s="83"/>
      <c r="C46" s="84"/>
      <c r="D46" s="84"/>
      <c r="E46" s="84"/>
      <c r="F46" s="84"/>
      <c r="G46" s="84"/>
      <c r="H46" s="84"/>
      <c r="I46" s="84"/>
      <c r="J46" s="84"/>
      <c r="K46" s="84"/>
      <c r="L46" s="84"/>
      <c r="M46" s="84"/>
      <c r="N46" s="85"/>
    </row>
    <row r="47" spans="2:14" ht="15" customHeight="1" x14ac:dyDescent="0.25">
      <c r="B47" s="83"/>
      <c r="C47" s="84"/>
      <c r="D47" s="84"/>
      <c r="E47" s="84"/>
      <c r="F47" s="84"/>
      <c r="G47" s="84"/>
      <c r="H47" s="84"/>
      <c r="I47" s="84"/>
      <c r="J47" s="84"/>
      <c r="K47" s="84"/>
      <c r="L47" s="84"/>
      <c r="M47" s="84"/>
      <c r="N47" s="85"/>
    </row>
    <row r="48" spans="2:14" ht="15" customHeight="1" thickBot="1" x14ac:dyDescent="0.3">
      <c r="B48" s="86"/>
      <c r="C48" s="87"/>
      <c r="D48" s="87"/>
      <c r="E48" s="87"/>
      <c r="F48" s="87"/>
      <c r="G48" s="87"/>
      <c r="H48" s="87"/>
      <c r="I48" s="87"/>
      <c r="J48" s="87"/>
      <c r="K48" s="87"/>
      <c r="L48" s="87"/>
      <c r="M48" s="87"/>
      <c r="N48" s="88"/>
    </row>
    <row r="49" spans="2:14" ht="15" customHeight="1" thickBot="1" x14ac:dyDescent="0.3">
      <c r="B49" s="31"/>
      <c r="C49" s="31"/>
      <c r="D49" s="31"/>
      <c r="E49" s="31"/>
      <c r="F49" s="31"/>
      <c r="G49" s="31"/>
      <c r="H49" s="31"/>
      <c r="I49" s="31"/>
      <c r="J49" s="31"/>
      <c r="K49" s="31"/>
      <c r="L49" s="31"/>
      <c r="M49" s="31"/>
      <c r="N49" s="31"/>
    </row>
    <row r="50" spans="2:14" ht="123.75" customHeight="1" thickBot="1" x14ac:dyDescent="0.3">
      <c r="B50" s="89" t="s">
        <v>257</v>
      </c>
      <c r="C50" s="90"/>
      <c r="D50" s="90"/>
      <c r="E50" s="90"/>
      <c r="F50" s="90"/>
      <c r="G50" s="90"/>
      <c r="H50" s="90"/>
      <c r="I50" s="90"/>
      <c r="J50" s="90"/>
      <c r="K50" s="90"/>
      <c r="L50" s="90"/>
      <c r="M50" s="90"/>
      <c r="N50" s="91"/>
    </row>
    <row r="51" spans="2:14" ht="15" customHeight="1" x14ac:dyDescent="0.25"/>
    <row r="52"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255F-BBE9-4E87-9A50-BA85BF0F9C69}">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141</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142</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59</v>
      </c>
      <c r="D8" s="34" t="s">
        <v>173</v>
      </c>
      <c r="E8" s="11">
        <v>0.85559099999999999</v>
      </c>
      <c r="F8" s="1"/>
      <c r="G8" s="24" t="s">
        <v>15</v>
      </c>
      <c r="H8" s="25">
        <v>1</v>
      </c>
      <c r="I8" s="1"/>
      <c r="J8" s="24" t="s">
        <v>12</v>
      </c>
      <c r="K8" s="24" t="s">
        <v>5</v>
      </c>
      <c r="L8" s="1"/>
      <c r="M8" s="1"/>
      <c r="N8" s="18"/>
    </row>
    <row r="9" spans="2:14" ht="15" customHeight="1" x14ac:dyDescent="0.25">
      <c r="B9" s="20"/>
      <c r="C9" s="5" t="s">
        <v>58</v>
      </c>
      <c r="D9" s="34" t="s">
        <v>173</v>
      </c>
      <c r="E9" s="11">
        <v>0.129496</v>
      </c>
      <c r="F9" s="1"/>
      <c r="G9" s="1"/>
      <c r="H9" s="1"/>
      <c r="I9" s="1"/>
      <c r="J9" s="24" t="s">
        <v>10</v>
      </c>
      <c r="K9" s="29">
        <v>1.1573E-2</v>
      </c>
      <c r="L9" s="1"/>
      <c r="M9" s="1"/>
      <c r="N9" s="18"/>
    </row>
    <row r="10" spans="2:14" ht="15" customHeight="1" x14ac:dyDescent="0.25">
      <c r="B10" s="20"/>
      <c r="C10" s="5" t="s">
        <v>125</v>
      </c>
      <c r="D10" s="34" t="s">
        <v>173</v>
      </c>
      <c r="E10" s="30">
        <v>4.1E-5</v>
      </c>
      <c r="F10" s="1"/>
      <c r="G10" s="1"/>
      <c r="H10" s="1"/>
      <c r="I10" s="1"/>
      <c r="J10" s="24" t="s">
        <v>13</v>
      </c>
      <c r="K10" s="29">
        <v>3.2989999999999998E-3</v>
      </c>
      <c r="L10" s="1"/>
      <c r="M10" s="1"/>
      <c r="N10" s="18"/>
    </row>
    <row r="11" spans="2:14" ht="15.75" customHeight="1" x14ac:dyDescent="0.25">
      <c r="B11" s="20"/>
      <c r="C11" s="7" t="s">
        <v>49</v>
      </c>
      <c r="D11" s="8"/>
      <c r="E11" s="12">
        <v>0.985128</v>
      </c>
      <c r="F11" s="1"/>
      <c r="G11" s="1"/>
      <c r="H11" s="1"/>
      <c r="I11" s="1"/>
      <c r="J11" s="24" t="s">
        <v>54</v>
      </c>
      <c r="K11" s="29">
        <v>0.985128</v>
      </c>
      <c r="L11" s="1"/>
      <c r="M11" s="1"/>
      <c r="N11" s="18"/>
    </row>
    <row r="12" spans="2:14" ht="15" customHeight="1" x14ac:dyDescent="0.25">
      <c r="B12" s="20"/>
      <c r="C12" s="5" t="s">
        <v>8</v>
      </c>
      <c r="D12" s="6"/>
      <c r="E12" s="11">
        <v>3.2989999999999998E-3</v>
      </c>
      <c r="F12" s="1"/>
      <c r="G12" s="1"/>
      <c r="H12" s="1"/>
      <c r="I12" s="1"/>
      <c r="J12" s="1"/>
      <c r="K12" s="1"/>
      <c r="L12" s="1"/>
      <c r="M12" s="1"/>
      <c r="N12" s="18"/>
    </row>
    <row r="13" spans="2:14" ht="15.75" customHeight="1" x14ac:dyDescent="0.25">
      <c r="B13" s="20"/>
      <c r="C13" s="7" t="s">
        <v>9</v>
      </c>
      <c r="D13" s="8"/>
      <c r="E13" s="12">
        <v>3.2989999999999998E-3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1.1573E-2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27.198095048331542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89" t="s">
        <v>257</v>
      </c>
      <c r="C45" s="90"/>
      <c r="D45" s="90"/>
      <c r="E45" s="90"/>
      <c r="F45" s="90"/>
      <c r="G45" s="90"/>
      <c r="H45" s="90"/>
      <c r="I45" s="90"/>
      <c r="J45" s="90"/>
      <c r="K45" s="90"/>
      <c r="L45" s="90"/>
      <c r="M45" s="90"/>
      <c r="N45" s="91"/>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EF01E-4D2D-4D7E-8EB2-86DF0AC3CFF1}">
  <dimension ref="B1:N43"/>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t="s">
        <v>172</v>
      </c>
      <c r="C2" s="16"/>
      <c r="D2" s="16"/>
      <c r="E2" s="16"/>
      <c r="F2" s="16"/>
      <c r="G2" s="16"/>
      <c r="H2" s="16"/>
      <c r="I2" s="16"/>
      <c r="J2" s="16"/>
      <c r="K2" s="16"/>
      <c r="L2" s="16"/>
      <c r="M2" s="16"/>
      <c r="N2" s="17"/>
    </row>
    <row r="3" spans="2:14" ht="20.25" customHeight="1" x14ac:dyDescent="0.25">
      <c r="B3" s="20"/>
      <c r="C3" s="92" t="s">
        <v>138</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139</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58</v>
      </c>
      <c r="D8" s="34" t="s">
        <v>173</v>
      </c>
      <c r="E8" s="11">
        <v>0.501166</v>
      </c>
      <c r="F8" s="1"/>
      <c r="G8" s="24" t="s">
        <v>15</v>
      </c>
      <c r="H8" s="25">
        <v>1</v>
      </c>
      <c r="I8" s="1"/>
      <c r="J8" s="24" t="s">
        <v>12</v>
      </c>
      <c r="K8" s="24" t="s">
        <v>5</v>
      </c>
      <c r="L8" s="1"/>
      <c r="M8" s="1"/>
      <c r="N8" s="18"/>
    </row>
    <row r="9" spans="2:14" ht="15" customHeight="1" x14ac:dyDescent="0.25">
      <c r="B9" s="20"/>
      <c r="C9" s="5" t="s">
        <v>110</v>
      </c>
      <c r="D9" s="34" t="s">
        <v>173</v>
      </c>
      <c r="E9" s="11">
        <v>0.25664100000000001</v>
      </c>
      <c r="F9" s="1"/>
      <c r="G9" s="1"/>
      <c r="H9" s="1"/>
      <c r="I9" s="1"/>
      <c r="J9" s="24" t="s">
        <v>10</v>
      </c>
      <c r="K9" s="29">
        <v>5.9829999999999996E-3</v>
      </c>
      <c r="L9" s="1"/>
      <c r="M9" s="1"/>
      <c r="N9" s="18"/>
    </row>
    <row r="10" spans="2:14" ht="15" customHeight="1" x14ac:dyDescent="0.25">
      <c r="B10" s="20"/>
      <c r="C10" s="5" t="s">
        <v>140</v>
      </c>
      <c r="D10" s="34" t="s">
        <v>173</v>
      </c>
      <c r="E10" s="11">
        <v>0.19260099999999999</v>
      </c>
      <c r="F10" s="1"/>
      <c r="G10" s="1"/>
      <c r="H10" s="1"/>
      <c r="I10" s="1"/>
      <c r="J10" s="24" t="s">
        <v>13</v>
      </c>
      <c r="K10" s="29">
        <v>3.0525E-2</v>
      </c>
      <c r="L10" s="1"/>
      <c r="M10" s="1"/>
      <c r="N10" s="18"/>
    </row>
    <row r="11" spans="2:14" ht="15" customHeight="1" x14ac:dyDescent="0.25">
      <c r="B11" s="20"/>
      <c r="C11" s="5" t="s">
        <v>68</v>
      </c>
      <c r="D11" s="34" t="s">
        <v>173</v>
      </c>
      <c r="E11" s="11">
        <v>6.5669999999999999E-3</v>
      </c>
      <c r="F11" s="1"/>
      <c r="G11" s="1"/>
      <c r="H11" s="1"/>
      <c r="I11" s="1"/>
      <c r="J11" s="24" t="s">
        <v>54</v>
      </c>
      <c r="K11" s="29">
        <v>0.96349200000000002</v>
      </c>
      <c r="L11" s="1"/>
      <c r="M11" s="1"/>
      <c r="N11" s="18"/>
    </row>
    <row r="12" spans="2:14" ht="15" customHeight="1" x14ac:dyDescent="0.25">
      <c r="B12" s="20"/>
      <c r="C12" s="5" t="s">
        <v>62</v>
      </c>
      <c r="D12" s="34" t="s">
        <v>173</v>
      </c>
      <c r="E12" s="11">
        <v>4.4270000000000004E-3</v>
      </c>
      <c r="F12" s="1"/>
      <c r="G12" s="1"/>
      <c r="H12" s="1"/>
      <c r="I12" s="1"/>
      <c r="J12" s="1"/>
      <c r="K12" s="1"/>
      <c r="L12" s="1"/>
      <c r="M12" s="1"/>
      <c r="N12" s="18"/>
    </row>
    <row r="13" spans="2:14" ht="15" customHeight="1" x14ac:dyDescent="0.25">
      <c r="B13" s="20"/>
      <c r="C13" s="5" t="s">
        <v>125</v>
      </c>
      <c r="D13" s="34" t="s">
        <v>173</v>
      </c>
      <c r="E13" s="11">
        <v>2.0899999999999998E-3</v>
      </c>
      <c r="F13" s="1"/>
      <c r="G13" s="1"/>
      <c r="H13" s="1"/>
      <c r="I13" s="1"/>
      <c r="J13" s="1"/>
      <c r="K13" s="1"/>
      <c r="L13" s="1"/>
      <c r="M13" s="1"/>
      <c r="N13" s="18"/>
    </row>
    <row r="14" spans="2:14" ht="15.75" customHeight="1" x14ac:dyDescent="0.25">
      <c r="B14" s="20"/>
      <c r="C14" s="7" t="s">
        <v>49</v>
      </c>
      <c r="D14" s="8"/>
      <c r="E14" s="12">
        <v>0.96349200000000002</v>
      </c>
      <c r="F14" s="1"/>
      <c r="G14" s="1"/>
      <c r="H14" s="1"/>
      <c r="I14" s="1"/>
      <c r="J14" s="1"/>
      <c r="K14" s="1"/>
      <c r="L14" s="1"/>
      <c r="M14" s="1"/>
      <c r="N14" s="18"/>
    </row>
    <row r="15" spans="2:14" ht="15" customHeight="1" x14ac:dyDescent="0.25">
      <c r="B15" s="20"/>
      <c r="C15" s="5" t="s">
        <v>8</v>
      </c>
      <c r="D15" s="6"/>
      <c r="E15" s="11">
        <v>3.0525E-2</v>
      </c>
      <c r="F15" s="1"/>
      <c r="G15" s="1"/>
      <c r="H15" s="1"/>
      <c r="I15" s="1"/>
      <c r="J15" s="1"/>
      <c r="K15" s="1"/>
      <c r="L15" s="1"/>
      <c r="M15" s="1"/>
      <c r="N15" s="18"/>
    </row>
    <row r="16" spans="2:14" ht="15.75" customHeight="1" x14ac:dyDescent="0.25">
      <c r="B16" s="20"/>
      <c r="C16" s="7" t="s">
        <v>9</v>
      </c>
      <c r="D16" s="8"/>
      <c r="E16" s="12">
        <v>3.0525E-2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5.9829999999999996E-3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10.489592748360806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sheetData>
  <mergeCells count="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37BB-8C66-416C-9972-DD9A92D1BA14}">
  <dimension ref="B1:N43"/>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117</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118</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119</v>
      </c>
      <c r="D8" s="34" t="s">
        <v>173</v>
      </c>
      <c r="E8" s="11">
        <v>0.32389299999999999</v>
      </c>
      <c r="F8" s="1"/>
      <c r="G8" s="24" t="s">
        <v>15</v>
      </c>
      <c r="H8" s="25">
        <v>1</v>
      </c>
      <c r="I8" s="1"/>
      <c r="J8" s="24" t="s">
        <v>12</v>
      </c>
      <c r="K8" s="24" t="s">
        <v>5</v>
      </c>
      <c r="L8" s="1"/>
      <c r="M8" s="1"/>
      <c r="N8" s="18"/>
    </row>
    <row r="9" spans="2:14" ht="15" customHeight="1" x14ac:dyDescent="0.25">
      <c r="B9" s="20"/>
      <c r="C9" s="5" t="s">
        <v>78</v>
      </c>
      <c r="D9" s="34" t="s">
        <v>173</v>
      </c>
      <c r="E9" s="11">
        <v>0.29297600000000001</v>
      </c>
      <c r="F9" s="1"/>
      <c r="G9" s="1"/>
      <c r="H9" s="1"/>
      <c r="I9" s="1"/>
      <c r="J9" s="24" t="s">
        <v>10</v>
      </c>
      <c r="K9" s="29">
        <v>2.0046000000000001E-2</v>
      </c>
      <c r="L9" s="1"/>
      <c r="M9" s="1"/>
      <c r="N9" s="18"/>
    </row>
    <row r="10" spans="2:14" ht="15" customHeight="1" x14ac:dyDescent="0.25">
      <c r="B10" s="20"/>
      <c r="C10" s="5" t="s">
        <v>120</v>
      </c>
      <c r="D10" s="34" t="s">
        <v>173</v>
      </c>
      <c r="E10" s="11">
        <v>0.18992500000000001</v>
      </c>
      <c r="F10" s="1"/>
      <c r="G10" s="1"/>
      <c r="H10" s="1"/>
      <c r="I10" s="1"/>
      <c r="J10" s="24" t="s">
        <v>13</v>
      </c>
      <c r="K10" s="29">
        <v>8.7480000000000006E-3</v>
      </c>
      <c r="L10" s="1"/>
      <c r="M10" s="1"/>
      <c r="N10" s="18"/>
    </row>
    <row r="11" spans="2:14" ht="15" customHeight="1" x14ac:dyDescent="0.25">
      <c r="B11" s="20"/>
      <c r="C11" s="5" t="s">
        <v>121</v>
      </c>
      <c r="D11" s="34" t="s">
        <v>173</v>
      </c>
      <c r="E11" s="11">
        <v>0.101409</v>
      </c>
      <c r="F11" s="1"/>
      <c r="G11" s="1"/>
      <c r="H11" s="1"/>
      <c r="I11" s="1"/>
      <c r="J11" s="24" t="s">
        <v>54</v>
      </c>
      <c r="K11" s="29">
        <v>0.97120600000000001</v>
      </c>
      <c r="L11" s="1"/>
      <c r="M11" s="1"/>
      <c r="N11" s="18"/>
    </row>
    <row r="12" spans="2:14" ht="15" customHeight="1" x14ac:dyDescent="0.25">
      <c r="B12" s="20"/>
      <c r="C12" s="5" t="s">
        <v>122</v>
      </c>
      <c r="D12" s="34" t="s">
        <v>173</v>
      </c>
      <c r="E12" s="11">
        <v>6.3003000000000003E-2</v>
      </c>
      <c r="F12" s="1"/>
      <c r="G12" s="1"/>
      <c r="H12" s="1"/>
      <c r="I12" s="1"/>
      <c r="J12" s="1"/>
      <c r="K12" s="1"/>
      <c r="L12" s="1"/>
      <c r="M12" s="1"/>
      <c r="N12" s="18"/>
    </row>
    <row r="13" spans="2:14" ht="15.75" customHeight="1" x14ac:dyDescent="0.25">
      <c r="B13" s="20"/>
      <c r="C13" s="7" t="s">
        <v>49</v>
      </c>
      <c r="D13" s="8"/>
      <c r="E13" s="12">
        <v>0.97120600000000001</v>
      </c>
      <c r="F13" s="1"/>
      <c r="G13" s="1"/>
      <c r="H13" s="1"/>
      <c r="I13" s="1"/>
      <c r="J13" s="1"/>
      <c r="K13" s="1"/>
      <c r="L13" s="1"/>
      <c r="M13" s="1"/>
      <c r="N13" s="18"/>
    </row>
    <row r="14" spans="2:14" ht="15" customHeight="1" x14ac:dyDescent="0.25">
      <c r="B14" s="20"/>
      <c r="C14" s="5" t="s">
        <v>8</v>
      </c>
      <c r="D14" s="6"/>
      <c r="E14" s="11">
        <v>8.7480000000000006E-3</v>
      </c>
      <c r="F14" s="1"/>
      <c r="G14" s="1"/>
      <c r="H14" s="1"/>
      <c r="I14" s="1"/>
      <c r="J14" s="1"/>
      <c r="K14" s="1"/>
      <c r="L14" s="1"/>
      <c r="M14" s="1"/>
      <c r="N14" s="18"/>
    </row>
    <row r="15" spans="2:14" ht="15.75" customHeight="1" x14ac:dyDescent="0.25">
      <c r="B15" s="20"/>
      <c r="C15" s="7" t="s">
        <v>9</v>
      </c>
      <c r="D15" s="8"/>
      <c r="E15" s="12">
        <v>8.7480000000000006E-3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2.0046000000000001E-2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2.0126546872867719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sheetData>
  <mergeCells count="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541DB-4358-4C5D-B9DD-734A6B329A97}">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130</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131</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48</v>
      </c>
      <c r="D8" s="34" t="s">
        <v>173</v>
      </c>
      <c r="E8" s="11">
        <v>0.77646599999999999</v>
      </c>
      <c r="F8" s="1"/>
      <c r="G8" s="24" t="s">
        <v>15</v>
      </c>
      <c r="H8" s="25">
        <v>1</v>
      </c>
      <c r="I8" s="1"/>
      <c r="J8" s="24" t="s">
        <v>12</v>
      </c>
      <c r="K8" s="24" t="s">
        <v>5</v>
      </c>
      <c r="L8" s="1"/>
      <c r="M8" s="1"/>
      <c r="N8" s="18"/>
    </row>
    <row r="9" spans="2:14" ht="15" customHeight="1" x14ac:dyDescent="0.25">
      <c r="B9" s="20"/>
      <c r="C9" s="5" t="s">
        <v>68</v>
      </c>
      <c r="D9" s="34" t="s">
        <v>173</v>
      </c>
      <c r="E9" s="11">
        <v>9.8309999999999995E-2</v>
      </c>
      <c r="F9" s="1"/>
      <c r="G9" s="1"/>
      <c r="H9" s="1"/>
      <c r="I9" s="1"/>
      <c r="J9" s="24" t="s">
        <v>10</v>
      </c>
      <c r="K9" s="29">
        <v>1.3239000000000001E-2</v>
      </c>
      <c r="L9" s="1"/>
      <c r="M9" s="1"/>
      <c r="N9" s="18"/>
    </row>
    <row r="10" spans="2:14" ht="15" customHeight="1" x14ac:dyDescent="0.25">
      <c r="B10" s="20"/>
      <c r="C10" s="5" t="s">
        <v>62</v>
      </c>
      <c r="D10" s="34" t="s">
        <v>173</v>
      </c>
      <c r="E10" s="11">
        <v>8.8385000000000005E-2</v>
      </c>
      <c r="F10" s="1"/>
      <c r="G10" s="1"/>
      <c r="H10" s="1"/>
      <c r="I10" s="1"/>
      <c r="J10" s="24" t="s">
        <v>13</v>
      </c>
      <c r="K10" s="29">
        <v>2.3599999999999999E-2</v>
      </c>
      <c r="L10" s="1"/>
      <c r="M10" s="1"/>
      <c r="N10" s="18"/>
    </row>
    <row r="11" spans="2:14" ht="15.75" customHeight="1" x14ac:dyDescent="0.25">
      <c r="B11" s="20"/>
      <c r="C11" s="7" t="s">
        <v>49</v>
      </c>
      <c r="D11" s="8"/>
      <c r="E11" s="12">
        <v>0.96316100000000004</v>
      </c>
      <c r="F11" s="1"/>
      <c r="G11" s="1"/>
      <c r="H11" s="1"/>
      <c r="I11" s="1"/>
      <c r="J11" s="24" t="s">
        <v>54</v>
      </c>
      <c r="K11" s="29">
        <v>0.96316100000000004</v>
      </c>
      <c r="L11" s="1"/>
      <c r="M11" s="1"/>
      <c r="N11" s="18"/>
    </row>
    <row r="12" spans="2:14" ht="15" customHeight="1" x14ac:dyDescent="0.25">
      <c r="B12" s="20"/>
      <c r="C12" s="5" t="s">
        <v>8</v>
      </c>
      <c r="D12" s="6"/>
      <c r="E12" s="11">
        <v>2.3599999999999999E-2</v>
      </c>
      <c r="F12" s="1"/>
      <c r="G12" s="1"/>
      <c r="H12" s="1"/>
      <c r="I12" s="1"/>
      <c r="J12" s="1"/>
      <c r="K12" s="1"/>
      <c r="L12" s="1"/>
      <c r="M12" s="1"/>
      <c r="N12" s="18"/>
    </row>
    <row r="13" spans="2:14" ht="15.75" customHeight="1" x14ac:dyDescent="0.25">
      <c r="B13" s="20"/>
      <c r="C13" s="7" t="s">
        <v>9</v>
      </c>
      <c r="D13" s="8"/>
      <c r="E13" s="12">
        <v>2.3599999999999999E-2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1.3239000000000001E-2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3.1864930434693108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B998-75CA-4302-8D2A-621FCD3D0766}">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123</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124</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125</v>
      </c>
      <c r="D8" s="34" t="s">
        <v>173</v>
      </c>
      <c r="E8" s="11">
        <v>0.63942200000000005</v>
      </c>
      <c r="F8" s="1"/>
      <c r="G8" s="24" t="s">
        <v>15</v>
      </c>
      <c r="H8" s="25">
        <v>1</v>
      </c>
      <c r="I8" s="1"/>
      <c r="J8" s="24" t="s">
        <v>12</v>
      </c>
      <c r="K8" s="24" t="s">
        <v>5</v>
      </c>
      <c r="L8" s="1"/>
      <c r="M8" s="1"/>
      <c r="N8" s="18"/>
    </row>
    <row r="9" spans="2:14" ht="15" customHeight="1" x14ac:dyDescent="0.25">
      <c r="B9" s="20"/>
      <c r="C9" s="5" t="s">
        <v>126</v>
      </c>
      <c r="D9" s="34" t="s">
        <v>173</v>
      </c>
      <c r="E9" s="11">
        <v>0.26351999999999998</v>
      </c>
      <c r="F9" s="1"/>
      <c r="G9" s="1"/>
      <c r="H9" s="1"/>
      <c r="I9" s="1"/>
      <c r="J9" s="24" t="s">
        <v>10</v>
      </c>
      <c r="K9" s="29">
        <v>1.7559999999999999E-2</v>
      </c>
      <c r="L9" s="1"/>
      <c r="M9" s="1"/>
      <c r="N9" s="18"/>
    </row>
    <row r="10" spans="2:14" ht="15" customHeight="1" x14ac:dyDescent="0.25">
      <c r="B10" s="20"/>
      <c r="C10" s="5" t="s">
        <v>48</v>
      </c>
      <c r="D10" s="34" t="s">
        <v>173</v>
      </c>
      <c r="E10" s="11">
        <v>6.8269999999999997E-2</v>
      </c>
      <c r="F10" s="1"/>
      <c r="G10" s="1"/>
      <c r="H10" s="1"/>
      <c r="I10" s="1"/>
      <c r="J10" s="24" t="s">
        <v>13</v>
      </c>
      <c r="K10" s="29">
        <v>1.1228E-2</v>
      </c>
      <c r="L10" s="1"/>
      <c r="M10" s="1"/>
      <c r="N10" s="18"/>
    </row>
    <row r="11" spans="2:14" ht="15.75" customHeight="1" x14ac:dyDescent="0.25">
      <c r="B11" s="20"/>
      <c r="C11" s="7" t="s">
        <v>49</v>
      </c>
      <c r="D11" s="8"/>
      <c r="E11" s="12">
        <v>0.97121199999999996</v>
      </c>
      <c r="F11" s="1"/>
      <c r="G11" s="1"/>
      <c r="H11" s="1"/>
      <c r="I11" s="1"/>
      <c r="J11" s="24" t="s">
        <v>54</v>
      </c>
      <c r="K11" s="29">
        <v>0.97121199999999996</v>
      </c>
      <c r="L11" s="1"/>
      <c r="M11" s="1"/>
      <c r="N11" s="18"/>
    </row>
    <row r="12" spans="2:14" ht="15" customHeight="1" x14ac:dyDescent="0.25">
      <c r="B12" s="20"/>
      <c r="C12" s="5" t="s">
        <v>8</v>
      </c>
      <c r="D12" s="6"/>
      <c r="E12" s="11">
        <v>1.1228E-2</v>
      </c>
      <c r="F12" s="1"/>
      <c r="G12" s="1"/>
      <c r="H12" s="1"/>
      <c r="I12" s="1"/>
      <c r="J12" s="1"/>
      <c r="K12" s="1"/>
      <c r="L12" s="1"/>
      <c r="M12" s="1"/>
      <c r="N12" s="18"/>
    </row>
    <row r="13" spans="2:14" ht="15.75" customHeight="1" x14ac:dyDescent="0.25">
      <c r="B13" s="20"/>
      <c r="C13" s="7" t="s">
        <v>9</v>
      </c>
      <c r="D13" s="8"/>
      <c r="E13" s="12">
        <v>1.1228E-2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1.7559999999999999E-2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3.695215041426605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F0D5B-5431-4B92-A233-0C37FEB76CAC}">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127</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128</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110</v>
      </c>
      <c r="D8" s="34" t="s">
        <v>173</v>
      </c>
      <c r="E8" s="11">
        <v>0.74130700000000005</v>
      </c>
      <c r="F8" s="1"/>
      <c r="G8" s="24" t="s">
        <v>15</v>
      </c>
      <c r="H8" s="25">
        <v>1</v>
      </c>
      <c r="I8" s="1"/>
      <c r="J8" s="24" t="s">
        <v>12</v>
      </c>
      <c r="K8" s="24" t="s">
        <v>5</v>
      </c>
      <c r="L8" s="1"/>
      <c r="M8" s="1"/>
      <c r="N8" s="18"/>
    </row>
    <row r="9" spans="2:14" ht="15" customHeight="1" x14ac:dyDescent="0.25">
      <c r="B9" s="20"/>
      <c r="C9" s="5" t="s">
        <v>111</v>
      </c>
      <c r="D9" s="34" t="s">
        <v>173</v>
      </c>
      <c r="E9" s="11">
        <v>0.23144799999999999</v>
      </c>
      <c r="F9" s="1"/>
      <c r="G9" s="1"/>
      <c r="H9" s="1"/>
      <c r="I9" s="1"/>
      <c r="J9" s="24" t="s">
        <v>10</v>
      </c>
      <c r="K9" s="29">
        <v>7.633E-3</v>
      </c>
      <c r="L9" s="1"/>
      <c r="M9" s="1"/>
      <c r="N9" s="18"/>
    </row>
    <row r="10" spans="2:14" ht="15.75" customHeight="1" x14ac:dyDescent="0.25">
      <c r="B10" s="20"/>
      <c r="C10" s="7" t="s">
        <v>49</v>
      </c>
      <c r="D10" s="8"/>
      <c r="E10" s="12">
        <v>0.97275500000000004</v>
      </c>
      <c r="F10" s="1"/>
      <c r="G10" s="1"/>
      <c r="H10" s="1"/>
      <c r="I10" s="1"/>
      <c r="J10" s="24" t="s">
        <v>13</v>
      </c>
      <c r="K10" s="29">
        <v>1.9612000000000001E-2</v>
      </c>
      <c r="L10" s="1"/>
      <c r="M10" s="1"/>
      <c r="N10" s="18"/>
    </row>
    <row r="11" spans="2:14" ht="15" customHeight="1" x14ac:dyDescent="0.25">
      <c r="B11" s="20"/>
      <c r="C11" s="5" t="s">
        <v>8</v>
      </c>
      <c r="D11" s="6"/>
      <c r="E11" s="11">
        <v>1.9612000000000001E-2</v>
      </c>
      <c r="F11" s="1"/>
      <c r="G11" s="1"/>
      <c r="H11" s="1"/>
      <c r="I11" s="1"/>
      <c r="J11" s="24" t="s">
        <v>54</v>
      </c>
      <c r="K11" s="29">
        <v>0.97275500000000004</v>
      </c>
      <c r="L11" s="1"/>
      <c r="M11" s="1"/>
      <c r="N11" s="18"/>
    </row>
    <row r="12" spans="2:14" ht="15.75" customHeight="1" x14ac:dyDescent="0.25">
      <c r="B12" s="20"/>
      <c r="C12" s="7" t="s">
        <v>9</v>
      </c>
      <c r="D12" s="8"/>
      <c r="E12" s="12">
        <v>1.9612000000000001E-2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7.633E-3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7.6163835266947553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5234-86E8-4DE5-A1E0-1CAB7B37BD9A}">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112</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113</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114</v>
      </c>
      <c r="D8" s="34" t="s">
        <v>173</v>
      </c>
      <c r="E8" s="11">
        <v>0.12813099999999999</v>
      </c>
      <c r="F8" s="1"/>
      <c r="G8" s="24" t="s">
        <v>15</v>
      </c>
      <c r="H8" s="25">
        <v>1</v>
      </c>
      <c r="I8" s="1"/>
      <c r="J8" s="24" t="s">
        <v>12</v>
      </c>
      <c r="K8" s="24" t="s">
        <v>5</v>
      </c>
      <c r="L8" s="1"/>
      <c r="M8" s="1"/>
      <c r="N8" s="18"/>
    </row>
    <row r="9" spans="2:14" ht="15.75" customHeight="1" x14ac:dyDescent="0.25">
      <c r="B9" s="20"/>
      <c r="C9" s="7" t="s">
        <v>49</v>
      </c>
      <c r="D9" s="8"/>
      <c r="E9" s="12">
        <v>0.12813099999999999</v>
      </c>
      <c r="F9" s="1"/>
      <c r="G9" s="1"/>
      <c r="H9" s="1"/>
      <c r="I9" s="1"/>
      <c r="J9" s="24" t="s">
        <v>10</v>
      </c>
      <c r="K9" s="29">
        <v>1.6511000000000001E-2</v>
      </c>
      <c r="L9" s="1"/>
      <c r="M9" s="1"/>
      <c r="N9" s="18"/>
    </row>
    <row r="10" spans="2:14" ht="15" customHeight="1" x14ac:dyDescent="0.25">
      <c r="B10" s="20"/>
      <c r="C10" s="5" t="s">
        <v>213</v>
      </c>
      <c r="D10" s="34" t="s">
        <v>173</v>
      </c>
      <c r="E10" s="11">
        <v>0.15525800000000001</v>
      </c>
      <c r="F10" s="1"/>
      <c r="G10" s="1"/>
      <c r="H10" s="1"/>
      <c r="I10" s="1"/>
      <c r="J10" s="24" t="s">
        <v>13</v>
      </c>
      <c r="K10" s="29">
        <v>1.7545000000000002E-2</v>
      </c>
      <c r="L10" s="1"/>
      <c r="M10" s="1"/>
      <c r="N10" s="18"/>
    </row>
    <row r="11" spans="2:14" ht="15.75" customHeight="1" x14ac:dyDescent="0.25">
      <c r="B11" s="20"/>
      <c r="C11" s="33" t="s">
        <v>208</v>
      </c>
      <c r="D11" s="34" t="s">
        <v>173</v>
      </c>
      <c r="E11" s="39">
        <v>0.12920599999999999</v>
      </c>
      <c r="F11" s="1"/>
      <c r="G11" s="1"/>
      <c r="H11" s="1"/>
      <c r="I11" s="1"/>
      <c r="J11" s="24" t="s">
        <v>54</v>
      </c>
      <c r="K11" s="29">
        <v>0.12813099999999999</v>
      </c>
      <c r="L11" s="1"/>
      <c r="M11" s="1"/>
      <c r="N11" s="18"/>
    </row>
    <row r="12" spans="2:14" ht="15" customHeight="1" x14ac:dyDescent="0.25">
      <c r="B12" s="20"/>
      <c r="C12" s="33" t="s">
        <v>210</v>
      </c>
      <c r="D12" s="34" t="s">
        <v>173</v>
      </c>
      <c r="E12" s="39">
        <v>8.8330000000000006E-2</v>
      </c>
      <c r="F12" s="1"/>
      <c r="G12" s="1"/>
      <c r="H12" s="1"/>
      <c r="I12" s="1"/>
      <c r="J12" s="24" t="s">
        <v>55</v>
      </c>
      <c r="K12" s="29">
        <v>0.83781300000000003</v>
      </c>
      <c r="L12" s="1"/>
      <c r="M12" s="1"/>
      <c r="N12" s="18"/>
    </row>
    <row r="13" spans="2:14" ht="15.75" customHeight="1" x14ac:dyDescent="0.25">
      <c r="B13" s="20"/>
      <c r="C13" s="33" t="s">
        <v>216</v>
      </c>
      <c r="D13" s="34" t="s">
        <v>173</v>
      </c>
      <c r="E13" s="39">
        <v>5.4216E-2</v>
      </c>
      <c r="F13" s="1"/>
      <c r="G13" s="1"/>
      <c r="H13" s="1"/>
      <c r="I13" s="1"/>
      <c r="J13" s="1"/>
      <c r="K13" s="1"/>
      <c r="L13" s="1"/>
      <c r="M13" s="1"/>
      <c r="N13" s="18"/>
    </row>
    <row r="14" spans="2:14" ht="15" customHeight="1" x14ac:dyDescent="0.25">
      <c r="B14" s="20"/>
      <c r="C14" s="33" t="s">
        <v>221</v>
      </c>
      <c r="D14" s="34" t="s">
        <v>173</v>
      </c>
      <c r="E14" s="39">
        <v>4.4349E-2</v>
      </c>
      <c r="F14" s="1"/>
      <c r="G14" s="1"/>
      <c r="H14" s="1"/>
      <c r="I14" s="1"/>
      <c r="J14" s="1"/>
      <c r="K14" s="1"/>
      <c r="L14" s="1"/>
      <c r="M14" s="1"/>
      <c r="N14" s="18"/>
    </row>
    <row r="15" spans="2:14" ht="15.75" customHeight="1" x14ac:dyDescent="0.25">
      <c r="B15" s="20"/>
      <c r="C15" s="33" t="s">
        <v>206</v>
      </c>
      <c r="D15" s="34" t="s">
        <v>173</v>
      </c>
      <c r="E15" s="39">
        <v>4.4005000000000002E-2</v>
      </c>
      <c r="F15" s="1"/>
      <c r="G15" s="1"/>
      <c r="H15" s="1"/>
      <c r="I15" s="1"/>
      <c r="J15" s="1"/>
      <c r="K15" s="1"/>
      <c r="L15" s="1"/>
      <c r="M15" s="1"/>
      <c r="N15" s="18"/>
    </row>
    <row r="16" spans="2:14" ht="15" customHeight="1" x14ac:dyDescent="0.25">
      <c r="B16" s="20"/>
      <c r="C16" s="33" t="s">
        <v>211</v>
      </c>
      <c r="D16" s="34" t="s">
        <v>173</v>
      </c>
      <c r="E16" s="39">
        <v>4.3912E-2</v>
      </c>
      <c r="F16" s="1"/>
      <c r="G16" s="1"/>
      <c r="H16" s="1"/>
      <c r="I16" s="1"/>
      <c r="J16" s="1"/>
      <c r="K16" s="1"/>
      <c r="L16" s="1"/>
      <c r="M16" s="1"/>
      <c r="N16" s="18"/>
    </row>
    <row r="17" spans="2:14" ht="15" customHeight="1" x14ac:dyDescent="0.25">
      <c r="B17" s="20"/>
      <c r="C17" s="33" t="s">
        <v>205</v>
      </c>
      <c r="D17" s="34" t="s">
        <v>173</v>
      </c>
      <c r="E17" s="39">
        <v>4.3843E-2</v>
      </c>
      <c r="F17" s="1"/>
      <c r="G17" s="1"/>
      <c r="H17" s="1"/>
      <c r="I17" s="1"/>
      <c r="J17" s="1"/>
      <c r="K17" s="1"/>
      <c r="L17" s="1"/>
      <c r="M17" s="1"/>
      <c r="N17" s="18"/>
    </row>
    <row r="18" spans="2:14" ht="15" customHeight="1" x14ac:dyDescent="0.25">
      <c r="B18" s="20"/>
      <c r="C18" s="33" t="s">
        <v>212</v>
      </c>
      <c r="D18" s="34" t="s">
        <v>173</v>
      </c>
      <c r="E18" s="39">
        <v>3.5970000000000002E-2</v>
      </c>
      <c r="F18" s="1"/>
      <c r="G18" s="1"/>
      <c r="H18" s="1"/>
      <c r="I18" s="1"/>
      <c r="J18" s="1"/>
      <c r="K18" s="1"/>
      <c r="L18" s="1"/>
      <c r="M18" s="1"/>
      <c r="N18" s="18"/>
    </row>
    <row r="19" spans="2:14" ht="15" customHeight="1" x14ac:dyDescent="0.25">
      <c r="B19" s="20"/>
      <c r="C19" s="33" t="s">
        <v>217</v>
      </c>
      <c r="D19" s="34" t="s">
        <v>173</v>
      </c>
      <c r="E19" s="39">
        <v>3.5707000000000003E-2</v>
      </c>
      <c r="F19" s="1"/>
      <c r="G19" s="1"/>
      <c r="H19" s="1"/>
      <c r="I19" s="1"/>
      <c r="J19" s="1"/>
      <c r="K19" s="1"/>
      <c r="L19" s="1"/>
      <c r="M19" s="1"/>
      <c r="N19" s="18"/>
    </row>
    <row r="20" spans="2:14" ht="15" customHeight="1" x14ac:dyDescent="0.25">
      <c r="B20" s="20"/>
      <c r="C20" s="33" t="s">
        <v>214</v>
      </c>
      <c r="D20" s="34" t="s">
        <v>173</v>
      </c>
      <c r="E20" s="39">
        <v>3.5478999999999997E-2</v>
      </c>
      <c r="F20" s="1"/>
      <c r="G20" s="1"/>
      <c r="H20" s="1"/>
      <c r="I20" s="1"/>
      <c r="J20" s="1"/>
      <c r="K20" s="1"/>
      <c r="L20" s="1"/>
      <c r="M20" s="1"/>
      <c r="N20" s="18"/>
    </row>
    <row r="21" spans="2:14" ht="15" customHeight="1" x14ac:dyDescent="0.25">
      <c r="B21" s="20"/>
      <c r="C21" s="33" t="s">
        <v>176</v>
      </c>
      <c r="D21" s="34" t="s">
        <v>173</v>
      </c>
      <c r="E21" s="39">
        <v>3.091E-2</v>
      </c>
      <c r="F21" s="1"/>
      <c r="G21" s="1"/>
      <c r="H21" s="1"/>
      <c r="I21" s="1"/>
      <c r="J21" s="1"/>
      <c r="K21" s="1"/>
      <c r="L21" s="1"/>
      <c r="M21" s="1"/>
      <c r="N21" s="18"/>
    </row>
    <row r="22" spans="2:14" ht="15" customHeight="1" x14ac:dyDescent="0.25">
      <c r="B22" s="20"/>
      <c r="C22" s="33" t="s">
        <v>215</v>
      </c>
      <c r="D22" s="34" t="s">
        <v>173</v>
      </c>
      <c r="E22" s="39">
        <v>3.0183000000000001E-2</v>
      </c>
      <c r="F22" s="1"/>
      <c r="G22" s="1"/>
      <c r="H22" s="1"/>
      <c r="I22" s="1"/>
      <c r="J22" s="1"/>
      <c r="K22" s="1"/>
      <c r="L22" s="1"/>
      <c r="M22" s="1"/>
      <c r="N22" s="18"/>
    </row>
    <row r="23" spans="2:14" ht="15" customHeight="1" x14ac:dyDescent="0.25">
      <c r="B23" s="20"/>
      <c r="C23" s="33" t="s">
        <v>204</v>
      </c>
      <c r="D23" s="34" t="s">
        <v>173</v>
      </c>
      <c r="E23" s="39">
        <v>2.1836999999999999E-2</v>
      </c>
      <c r="F23" s="1"/>
      <c r="G23" s="1"/>
      <c r="H23" s="1"/>
      <c r="I23" s="1"/>
      <c r="J23" s="1"/>
      <c r="K23" s="1"/>
      <c r="L23" s="1"/>
      <c r="M23" s="1"/>
      <c r="N23" s="18"/>
    </row>
    <row r="24" spans="2:14" ht="15" customHeight="1" x14ac:dyDescent="0.25">
      <c r="B24" s="20"/>
      <c r="C24" s="33" t="s">
        <v>219</v>
      </c>
      <c r="D24" s="34" t="s">
        <v>173</v>
      </c>
      <c r="E24" s="39">
        <v>1.7573999999999999E-2</v>
      </c>
      <c r="F24" s="1"/>
      <c r="G24" s="97" t="s">
        <v>17</v>
      </c>
      <c r="H24" s="98"/>
      <c r="I24" s="98"/>
      <c r="J24" s="98"/>
      <c r="K24" s="98"/>
      <c r="L24" s="26">
        <v>2.5469800892148386</v>
      </c>
      <c r="M24" s="27"/>
      <c r="N24" s="28"/>
    </row>
    <row r="25" spans="2:14" ht="15" customHeight="1" x14ac:dyDescent="0.25">
      <c r="B25" s="20"/>
      <c r="C25" s="33" t="s">
        <v>218</v>
      </c>
      <c r="D25" s="34" t="s">
        <v>173</v>
      </c>
      <c r="E25" s="39">
        <v>8.7849999999999994E-3</v>
      </c>
      <c r="F25" s="1"/>
      <c r="G25" s="1"/>
      <c r="H25" s="1"/>
      <c r="I25" s="1"/>
      <c r="J25" s="1"/>
      <c r="K25" s="1"/>
      <c r="L25" s="1"/>
      <c r="M25" s="1"/>
      <c r="N25" s="18"/>
    </row>
    <row r="26" spans="2:14" ht="15" customHeight="1" x14ac:dyDescent="0.25">
      <c r="B26" s="20"/>
      <c r="C26" s="33" t="s">
        <v>220</v>
      </c>
      <c r="D26" s="34" t="s">
        <v>173</v>
      </c>
      <c r="E26" s="39">
        <v>8.7810000000000006E-3</v>
      </c>
      <c r="F26" s="1"/>
      <c r="G26" s="97" t="s">
        <v>18</v>
      </c>
      <c r="H26" s="98"/>
      <c r="I26" s="98"/>
      <c r="J26" s="98"/>
      <c r="K26" s="98"/>
      <c r="L26" s="98"/>
      <c r="M26" s="98"/>
      <c r="N26" s="99"/>
    </row>
    <row r="27" spans="2:14" ht="15" customHeight="1" x14ac:dyDescent="0.25">
      <c r="B27" s="20"/>
      <c r="C27" s="33" t="s">
        <v>209</v>
      </c>
      <c r="D27" s="34" t="s">
        <v>173</v>
      </c>
      <c r="E27" s="39">
        <v>5.11E-3</v>
      </c>
      <c r="F27" s="1"/>
      <c r="G27" s="1"/>
      <c r="H27" s="1"/>
      <c r="I27" s="1"/>
      <c r="J27" s="1"/>
      <c r="K27" s="1"/>
      <c r="L27" s="1"/>
      <c r="M27" s="1"/>
      <c r="N27" s="18"/>
    </row>
    <row r="28" spans="2:14" ht="15" customHeight="1" x14ac:dyDescent="0.25">
      <c r="B28" s="20"/>
      <c r="C28" s="33" t="s">
        <v>207</v>
      </c>
      <c r="D28" s="34" t="s">
        <v>173</v>
      </c>
      <c r="E28" s="39">
        <v>4.3579999999999999E-3</v>
      </c>
      <c r="F28" s="1"/>
      <c r="G28" s="1"/>
      <c r="H28" s="1"/>
      <c r="I28" s="1"/>
      <c r="J28" s="1"/>
      <c r="K28" s="1"/>
      <c r="L28" s="1"/>
      <c r="M28" s="1"/>
      <c r="N28" s="18"/>
    </row>
    <row r="29" spans="2:14" ht="15" customHeight="1" x14ac:dyDescent="0.25">
      <c r="B29" s="20"/>
      <c r="C29" s="7" t="s">
        <v>50</v>
      </c>
      <c r="D29" s="8"/>
      <c r="E29" s="12">
        <v>0.83781300000000003</v>
      </c>
      <c r="F29" s="1"/>
      <c r="G29" s="1"/>
      <c r="H29" s="1"/>
      <c r="I29" s="1"/>
      <c r="J29" s="1"/>
      <c r="K29" s="1"/>
      <c r="L29" s="1"/>
      <c r="M29" s="1"/>
      <c r="N29" s="18"/>
    </row>
    <row r="30" spans="2:14" ht="15" customHeight="1" x14ac:dyDescent="0.25">
      <c r="B30" s="20"/>
      <c r="C30" s="5" t="s">
        <v>8</v>
      </c>
      <c r="D30" s="6"/>
      <c r="E30" s="11">
        <v>1.7545000000000002E-2</v>
      </c>
      <c r="F30" s="1"/>
      <c r="G30" s="1"/>
      <c r="H30" s="1"/>
      <c r="I30" s="1"/>
      <c r="J30" s="1"/>
      <c r="K30" s="1"/>
      <c r="L30" s="1"/>
      <c r="M30" s="1"/>
      <c r="N30" s="18"/>
    </row>
    <row r="31" spans="2:14" ht="15" customHeight="1" x14ac:dyDescent="0.25">
      <c r="B31" s="20"/>
      <c r="C31" s="7" t="s">
        <v>9</v>
      </c>
      <c r="D31" s="8"/>
      <c r="E31" s="12">
        <v>1.7545000000000002E-2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10</v>
      </c>
      <c r="D33" s="8"/>
      <c r="E33" s="12">
        <v>1.6511000000000001E-2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11</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4296-04B3-4304-BA68-1DCCAC3536B2}">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115</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116</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48</v>
      </c>
      <c r="D8" s="34" t="s">
        <v>173</v>
      </c>
      <c r="E8" s="11">
        <v>0.18326799999999999</v>
      </c>
      <c r="F8" s="1"/>
      <c r="G8" s="24" t="s">
        <v>15</v>
      </c>
      <c r="H8" s="25">
        <v>1</v>
      </c>
      <c r="I8" s="1"/>
      <c r="J8" s="24" t="s">
        <v>12</v>
      </c>
      <c r="K8" s="24" t="s">
        <v>5</v>
      </c>
      <c r="L8" s="1"/>
      <c r="M8" s="1"/>
      <c r="N8" s="18"/>
    </row>
    <row r="9" spans="2:14" ht="15.75" customHeight="1" x14ac:dyDescent="0.25">
      <c r="B9" s="20"/>
      <c r="C9" s="7" t="s">
        <v>49</v>
      </c>
      <c r="D9" s="8"/>
      <c r="E9" s="12">
        <v>0.18326799999999999</v>
      </c>
      <c r="F9" s="1"/>
      <c r="G9" s="1"/>
      <c r="H9" s="1"/>
      <c r="I9" s="1"/>
      <c r="J9" s="24" t="s">
        <v>10</v>
      </c>
      <c r="K9" s="29">
        <v>1.1638000000000001E-2</v>
      </c>
      <c r="L9" s="1"/>
      <c r="M9" s="1"/>
      <c r="N9" s="18"/>
    </row>
    <row r="10" spans="2:14" ht="15" customHeight="1" x14ac:dyDescent="0.25">
      <c r="B10" s="20"/>
      <c r="C10" s="5" t="s">
        <v>225</v>
      </c>
      <c r="D10" s="34" t="s">
        <v>173</v>
      </c>
      <c r="E10" s="11">
        <v>0.17363200000000001</v>
      </c>
      <c r="F10" s="1"/>
      <c r="G10" s="1"/>
      <c r="H10" s="1"/>
      <c r="I10" s="1"/>
      <c r="J10" s="24" t="s">
        <v>13</v>
      </c>
      <c r="K10" s="29">
        <v>9.0340000000000004E-3</v>
      </c>
      <c r="L10" s="1"/>
      <c r="M10" s="1"/>
      <c r="N10" s="18"/>
    </row>
    <row r="11" spans="2:14" ht="15.75" customHeight="1" x14ac:dyDescent="0.25">
      <c r="B11" s="20"/>
      <c r="C11" s="33" t="s">
        <v>188</v>
      </c>
      <c r="D11" s="34" t="s">
        <v>173</v>
      </c>
      <c r="E11" s="39">
        <v>0.15179400000000001</v>
      </c>
      <c r="F11" s="1"/>
      <c r="G11" s="1"/>
      <c r="H11" s="1"/>
      <c r="I11" s="1"/>
      <c r="J11" s="24" t="s">
        <v>54</v>
      </c>
      <c r="K11" s="29">
        <v>0.18326799999999999</v>
      </c>
      <c r="L11" s="1"/>
      <c r="M11" s="1"/>
      <c r="N11" s="18"/>
    </row>
    <row r="12" spans="2:14" ht="15" customHeight="1" x14ac:dyDescent="0.25">
      <c r="B12" s="20"/>
      <c r="C12" s="33" t="s">
        <v>223</v>
      </c>
      <c r="D12" s="34" t="s">
        <v>173</v>
      </c>
      <c r="E12" s="39">
        <v>0.13120499999999999</v>
      </c>
      <c r="F12" s="1"/>
      <c r="G12" s="1"/>
      <c r="H12" s="1"/>
      <c r="I12" s="1"/>
      <c r="J12" s="24" t="s">
        <v>55</v>
      </c>
      <c r="K12" s="29">
        <v>0.79605999999999999</v>
      </c>
      <c r="L12" s="1"/>
      <c r="M12" s="1"/>
      <c r="N12" s="18"/>
    </row>
    <row r="13" spans="2:14" ht="15.75" customHeight="1" x14ac:dyDescent="0.25">
      <c r="B13" s="20"/>
      <c r="C13" s="33" t="s">
        <v>231</v>
      </c>
      <c r="D13" s="34" t="s">
        <v>173</v>
      </c>
      <c r="E13" s="39">
        <v>0.119487</v>
      </c>
      <c r="F13" s="1"/>
      <c r="G13" s="1"/>
      <c r="H13" s="1"/>
      <c r="I13" s="1"/>
      <c r="J13" s="1"/>
      <c r="K13" s="1"/>
      <c r="L13" s="1"/>
      <c r="M13" s="1"/>
      <c r="N13" s="18"/>
    </row>
    <row r="14" spans="2:14" ht="15" customHeight="1" x14ac:dyDescent="0.25">
      <c r="B14" s="20"/>
      <c r="C14" s="33" t="s">
        <v>228</v>
      </c>
      <c r="D14" s="34" t="s">
        <v>173</v>
      </c>
      <c r="E14" s="39">
        <v>5.9727000000000002E-2</v>
      </c>
      <c r="F14" s="1"/>
      <c r="G14" s="1"/>
      <c r="H14" s="1"/>
      <c r="I14" s="1"/>
      <c r="J14" s="1"/>
      <c r="K14" s="1"/>
      <c r="L14" s="1"/>
      <c r="M14" s="1"/>
      <c r="N14" s="18"/>
    </row>
    <row r="15" spans="2:14" ht="15.75" customHeight="1" x14ac:dyDescent="0.25">
      <c r="B15" s="20"/>
      <c r="C15" s="33" t="s">
        <v>226</v>
      </c>
      <c r="D15" s="34" t="s">
        <v>173</v>
      </c>
      <c r="E15" s="39">
        <v>5.7867000000000002E-2</v>
      </c>
      <c r="F15" s="1"/>
      <c r="G15" s="1"/>
      <c r="H15" s="1"/>
      <c r="I15" s="1"/>
      <c r="J15" s="1"/>
      <c r="K15" s="1"/>
      <c r="L15" s="1"/>
      <c r="M15" s="1"/>
      <c r="N15" s="18"/>
    </row>
    <row r="16" spans="2:14" ht="15" customHeight="1" x14ac:dyDescent="0.25">
      <c r="B16" s="20"/>
      <c r="C16" s="33" t="s">
        <v>227</v>
      </c>
      <c r="D16" s="34" t="s">
        <v>173</v>
      </c>
      <c r="E16" s="39">
        <v>3.5873000000000002E-2</v>
      </c>
      <c r="F16" s="1"/>
      <c r="G16" s="1"/>
      <c r="H16" s="1"/>
      <c r="I16" s="1"/>
      <c r="J16" s="1"/>
      <c r="K16" s="1"/>
      <c r="L16" s="1"/>
      <c r="M16" s="1"/>
      <c r="N16" s="18"/>
    </row>
    <row r="17" spans="2:14" ht="15" customHeight="1" x14ac:dyDescent="0.25">
      <c r="B17" s="20"/>
      <c r="C17" s="33" t="s">
        <v>230</v>
      </c>
      <c r="D17" s="34" t="s">
        <v>173</v>
      </c>
      <c r="E17" s="39">
        <v>2.9840999999999999E-2</v>
      </c>
      <c r="F17" s="1"/>
      <c r="G17" s="1"/>
      <c r="H17" s="1"/>
      <c r="I17" s="1"/>
      <c r="J17" s="1"/>
      <c r="K17" s="1"/>
      <c r="L17" s="1"/>
      <c r="M17" s="1"/>
      <c r="N17" s="18"/>
    </row>
    <row r="18" spans="2:14" ht="15" customHeight="1" x14ac:dyDescent="0.25">
      <c r="B18" s="20"/>
      <c r="C18" s="33" t="s">
        <v>229</v>
      </c>
      <c r="D18" s="34" t="s">
        <v>173</v>
      </c>
      <c r="E18" s="39">
        <v>2.6984999999999999E-2</v>
      </c>
      <c r="F18" s="1"/>
      <c r="G18" s="1"/>
      <c r="H18" s="1"/>
      <c r="I18" s="1"/>
      <c r="J18" s="1"/>
      <c r="K18" s="1"/>
      <c r="L18" s="1"/>
      <c r="M18" s="1"/>
      <c r="N18" s="18"/>
    </row>
    <row r="19" spans="2:14" ht="15" customHeight="1" x14ac:dyDescent="0.25">
      <c r="B19" s="20"/>
      <c r="C19" s="33" t="s">
        <v>222</v>
      </c>
      <c r="D19" s="34" t="s">
        <v>173</v>
      </c>
      <c r="E19" s="39">
        <v>6.0169999999999998E-3</v>
      </c>
      <c r="F19" s="1"/>
      <c r="G19" s="1"/>
      <c r="H19" s="1"/>
      <c r="I19" s="1"/>
      <c r="J19" s="1"/>
      <c r="K19" s="1"/>
      <c r="L19" s="1"/>
      <c r="M19" s="1"/>
      <c r="N19" s="18"/>
    </row>
    <row r="20" spans="2:14" ht="15" customHeight="1" x14ac:dyDescent="0.25">
      <c r="B20" s="20"/>
      <c r="C20" s="33" t="s">
        <v>224</v>
      </c>
      <c r="D20" s="34" t="s">
        <v>173</v>
      </c>
      <c r="E20" s="39">
        <v>3.6319999999999998E-3</v>
      </c>
      <c r="F20" s="1"/>
      <c r="G20" s="1"/>
      <c r="H20" s="1"/>
      <c r="I20" s="1"/>
      <c r="J20" s="1"/>
      <c r="K20" s="1"/>
      <c r="L20" s="1"/>
      <c r="M20" s="1"/>
      <c r="N20" s="18"/>
    </row>
    <row r="21" spans="2:14" ht="15" customHeight="1" x14ac:dyDescent="0.25">
      <c r="B21" s="20"/>
      <c r="C21" s="7" t="s">
        <v>50</v>
      </c>
      <c r="D21" s="8"/>
      <c r="E21" s="12">
        <v>0.79605999999999999</v>
      </c>
      <c r="F21" s="1"/>
      <c r="G21" s="1"/>
      <c r="H21" s="1"/>
      <c r="I21" s="1"/>
      <c r="J21" s="1"/>
      <c r="K21" s="1"/>
      <c r="L21" s="1"/>
      <c r="M21" s="1"/>
      <c r="N21" s="18"/>
    </row>
    <row r="22" spans="2:14" ht="15" customHeight="1" x14ac:dyDescent="0.25">
      <c r="B22" s="20"/>
      <c r="C22" s="5" t="s">
        <v>8</v>
      </c>
      <c r="D22" s="6"/>
      <c r="E22" s="11">
        <v>9.0340000000000004E-3</v>
      </c>
      <c r="F22" s="1"/>
      <c r="G22" s="1"/>
      <c r="H22" s="1"/>
      <c r="I22" s="1"/>
      <c r="J22" s="1"/>
      <c r="K22" s="1"/>
      <c r="L22" s="1"/>
      <c r="M22" s="1"/>
      <c r="N22" s="18"/>
    </row>
    <row r="23" spans="2:14" ht="15" customHeight="1" x14ac:dyDescent="0.25">
      <c r="B23" s="20"/>
      <c r="C23" s="7" t="s">
        <v>9</v>
      </c>
      <c r="D23" s="8"/>
      <c r="E23" s="12">
        <v>9.0340000000000004E-3</v>
      </c>
      <c r="F23" s="1"/>
      <c r="G23" s="1"/>
      <c r="H23" s="1"/>
      <c r="I23" s="1"/>
      <c r="J23" s="1"/>
      <c r="K23" s="1"/>
      <c r="L23" s="1"/>
      <c r="M23" s="1"/>
      <c r="N23" s="18"/>
    </row>
    <row r="24" spans="2:14" ht="15" customHeight="1" x14ac:dyDescent="0.25">
      <c r="B24" s="20"/>
      <c r="C24" s="5"/>
      <c r="D24" s="6"/>
      <c r="E24" s="11"/>
      <c r="F24" s="1"/>
      <c r="G24" s="97" t="s">
        <v>17</v>
      </c>
      <c r="H24" s="98"/>
      <c r="I24" s="98"/>
      <c r="J24" s="98"/>
      <c r="K24" s="98"/>
      <c r="L24" s="26">
        <v>3.3958756960405343</v>
      </c>
      <c r="M24" s="27"/>
      <c r="N24" s="28"/>
    </row>
    <row r="25" spans="2:14" ht="15" customHeight="1" x14ac:dyDescent="0.25">
      <c r="B25" s="20"/>
      <c r="C25" s="7" t="s">
        <v>10</v>
      </c>
      <c r="D25" s="8"/>
      <c r="E25" s="12">
        <v>1.1638000000000001E-2</v>
      </c>
      <c r="F25" s="1"/>
      <c r="G25" s="1"/>
      <c r="H25" s="1"/>
      <c r="I25" s="1"/>
      <c r="J25" s="1"/>
      <c r="K25" s="1"/>
      <c r="L25" s="1"/>
      <c r="M25" s="1"/>
      <c r="N25" s="18"/>
    </row>
    <row r="26" spans="2:14" ht="15" customHeight="1" x14ac:dyDescent="0.25">
      <c r="B26" s="20"/>
      <c r="C26" s="5"/>
      <c r="D26" s="6"/>
      <c r="E26" s="11"/>
      <c r="F26" s="1"/>
      <c r="G26" s="97" t="s">
        <v>18</v>
      </c>
      <c r="H26" s="98"/>
      <c r="I26" s="98"/>
      <c r="J26" s="98"/>
      <c r="K26" s="98"/>
      <c r="L26" s="98"/>
      <c r="M26" s="98"/>
      <c r="N26" s="99"/>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7FCD-E81E-47F7-B644-E728BF667D93}">
  <dimension ref="B1:N45"/>
  <sheetViews>
    <sheetView showGridLines="0" zoomScale="75" zoomScaleNormal="75" workbookViewId="0"/>
  </sheetViews>
  <sheetFormatPr defaultRowHeight="15" x14ac:dyDescent="0.25"/>
  <cols>
    <col min="1" max="1" width="2.85546875" customWidth="1"/>
    <col min="2" max="2" width="3.85546875" customWidth="1"/>
    <col min="3" max="3" width="54.28515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108</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109</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110</v>
      </c>
      <c r="D8" s="34" t="s">
        <v>173</v>
      </c>
      <c r="E8" s="11">
        <v>8.1698000000000007E-2</v>
      </c>
      <c r="F8" s="1"/>
      <c r="G8" s="24" t="s">
        <v>15</v>
      </c>
      <c r="H8" s="25">
        <v>1</v>
      </c>
      <c r="I8" s="1"/>
      <c r="J8" s="24" t="s">
        <v>12</v>
      </c>
      <c r="K8" s="24" t="s">
        <v>5</v>
      </c>
      <c r="L8" s="1"/>
      <c r="M8" s="1"/>
      <c r="N8" s="18"/>
    </row>
    <row r="9" spans="2:14" ht="15" customHeight="1" x14ac:dyDescent="0.25">
      <c r="B9" s="20"/>
      <c r="C9" s="5" t="s">
        <v>111</v>
      </c>
      <c r="D9" s="34" t="s">
        <v>173</v>
      </c>
      <c r="E9" s="11">
        <v>1.3528E-2</v>
      </c>
      <c r="F9" s="1"/>
      <c r="G9" s="1"/>
      <c r="H9" s="1"/>
      <c r="I9" s="1"/>
      <c r="J9" s="24" t="s">
        <v>10</v>
      </c>
      <c r="K9" s="29">
        <v>2.4681000000000002E-2</v>
      </c>
      <c r="L9" s="1"/>
      <c r="M9" s="1"/>
      <c r="N9" s="18"/>
    </row>
    <row r="10" spans="2:14" ht="15.75" customHeight="1" x14ac:dyDescent="0.25">
      <c r="B10" s="20"/>
      <c r="C10" s="7" t="s">
        <v>49</v>
      </c>
      <c r="D10" s="8"/>
      <c r="E10" s="12">
        <v>9.5226000000000005E-2</v>
      </c>
      <c r="F10" s="1"/>
      <c r="G10" s="1"/>
      <c r="H10" s="1"/>
      <c r="I10" s="1"/>
      <c r="J10" s="24" t="s">
        <v>13</v>
      </c>
      <c r="K10" s="29">
        <v>7.3280000000000003E-3</v>
      </c>
      <c r="L10" s="1"/>
      <c r="M10" s="1"/>
      <c r="N10" s="18"/>
    </row>
    <row r="11" spans="2:14" ht="15" customHeight="1" x14ac:dyDescent="0.25">
      <c r="B11" s="20"/>
      <c r="C11" s="5" t="s">
        <v>253</v>
      </c>
      <c r="D11" s="34" t="s">
        <v>173</v>
      </c>
      <c r="E11" s="11">
        <v>0.14606</v>
      </c>
      <c r="F11" s="1"/>
      <c r="G11" s="1"/>
      <c r="H11" s="1"/>
      <c r="I11" s="1"/>
      <c r="J11" s="24" t="s">
        <v>54</v>
      </c>
      <c r="K11" s="29">
        <v>9.5226000000000005E-2</v>
      </c>
      <c r="L11" s="1"/>
      <c r="M11" s="1"/>
      <c r="N11" s="18"/>
    </row>
    <row r="12" spans="2:14" ht="15.75" customHeight="1" x14ac:dyDescent="0.25">
      <c r="B12" s="20"/>
      <c r="C12" s="33" t="s">
        <v>254</v>
      </c>
      <c r="D12" s="34" t="s">
        <v>173</v>
      </c>
      <c r="E12" s="39">
        <v>0.14594499999999999</v>
      </c>
      <c r="F12" s="1"/>
      <c r="G12" s="1"/>
      <c r="H12" s="1"/>
      <c r="I12" s="1"/>
      <c r="J12" s="24" t="s">
        <v>55</v>
      </c>
      <c r="K12" s="29">
        <v>0.87276500000000001</v>
      </c>
      <c r="L12" s="1"/>
      <c r="M12" s="1"/>
      <c r="N12" s="18"/>
    </row>
    <row r="13" spans="2:14" ht="15" customHeight="1" x14ac:dyDescent="0.25">
      <c r="B13" s="20"/>
      <c r="C13" s="33" t="s">
        <v>251</v>
      </c>
      <c r="D13" s="34" t="s">
        <v>173</v>
      </c>
      <c r="E13" s="39">
        <v>0.122929</v>
      </c>
      <c r="F13" s="1"/>
      <c r="G13" s="1"/>
      <c r="H13" s="1"/>
      <c r="I13" s="1"/>
      <c r="J13" s="1"/>
      <c r="K13" s="1"/>
      <c r="L13" s="1"/>
      <c r="M13" s="1"/>
      <c r="N13" s="18"/>
    </row>
    <row r="14" spans="2:14" ht="15.75" customHeight="1" x14ac:dyDescent="0.25">
      <c r="B14" s="20"/>
      <c r="C14" s="33" t="s">
        <v>252</v>
      </c>
      <c r="D14" s="34" t="s">
        <v>173</v>
      </c>
      <c r="E14" s="39">
        <v>8.2002000000000005E-2</v>
      </c>
      <c r="F14" s="1"/>
      <c r="G14" s="1"/>
      <c r="H14" s="1"/>
      <c r="I14" s="1"/>
      <c r="J14" s="1"/>
      <c r="K14" s="1"/>
      <c r="L14" s="1"/>
      <c r="M14" s="1"/>
      <c r="N14" s="18"/>
    </row>
    <row r="15" spans="2:14" ht="15" customHeight="1" x14ac:dyDescent="0.25">
      <c r="B15" s="20"/>
      <c r="C15" s="33" t="s">
        <v>249</v>
      </c>
      <c r="D15" s="34" t="s">
        <v>173</v>
      </c>
      <c r="E15" s="39">
        <v>6.6893999999999995E-2</v>
      </c>
      <c r="F15" s="1"/>
      <c r="G15" s="1"/>
      <c r="H15" s="1"/>
      <c r="I15" s="1"/>
      <c r="J15" s="1"/>
      <c r="K15" s="1"/>
      <c r="L15" s="1"/>
      <c r="M15" s="1"/>
      <c r="N15" s="18"/>
    </row>
    <row r="16" spans="2:14" ht="15.75" customHeight="1" x14ac:dyDescent="0.25">
      <c r="B16" s="20"/>
      <c r="C16" s="33" t="s">
        <v>242</v>
      </c>
      <c r="D16" s="34" t="s">
        <v>173</v>
      </c>
      <c r="E16" s="39">
        <v>4.2820999999999998E-2</v>
      </c>
      <c r="F16" s="1"/>
      <c r="G16" s="1"/>
      <c r="H16" s="1"/>
      <c r="I16" s="1"/>
      <c r="J16" s="1"/>
      <c r="K16" s="1"/>
      <c r="L16" s="1"/>
      <c r="M16" s="1"/>
      <c r="N16" s="18"/>
    </row>
    <row r="17" spans="2:14" ht="15" customHeight="1" x14ac:dyDescent="0.25">
      <c r="B17" s="20"/>
      <c r="C17" s="33" t="s">
        <v>244</v>
      </c>
      <c r="D17" s="34" t="s">
        <v>173</v>
      </c>
      <c r="E17" s="39">
        <v>3.2957E-2</v>
      </c>
      <c r="F17" s="1"/>
      <c r="G17" s="1"/>
      <c r="H17" s="1"/>
      <c r="I17" s="1"/>
      <c r="J17" s="1"/>
      <c r="K17" s="1"/>
      <c r="L17" s="1"/>
      <c r="M17" s="1"/>
      <c r="N17" s="18"/>
    </row>
    <row r="18" spans="2:14" ht="15" customHeight="1" x14ac:dyDescent="0.25">
      <c r="B18" s="20"/>
      <c r="C18" s="33" t="s">
        <v>245</v>
      </c>
      <c r="D18" s="34" t="s">
        <v>173</v>
      </c>
      <c r="E18" s="39">
        <v>2.9116E-2</v>
      </c>
      <c r="F18" s="1"/>
      <c r="G18" s="1"/>
      <c r="H18" s="1"/>
      <c r="I18" s="1"/>
      <c r="J18" s="1"/>
      <c r="K18" s="1"/>
      <c r="L18" s="1"/>
      <c r="M18" s="1"/>
      <c r="N18" s="18"/>
    </row>
    <row r="19" spans="2:14" ht="15" customHeight="1" x14ac:dyDescent="0.25">
      <c r="B19" s="20"/>
      <c r="C19" s="33" t="s">
        <v>238</v>
      </c>
      <c r="D19" s="34" t="s">
        <v>173</v>
      </c>
      <c r="E19" s="39">
        <v>2.8153999999999998E-2</v>
      </c>
      <c r="F19" s="1"/>
      <c r="G19" s="1"/>
      <c r="H19" s="1"/>
      <c r="I19" s="1"/>
      <c r="J19" s="1"/>
      <c r="K19" s="1"/>
      <c r="L19" s="1"/>
      <c r="M19" s="1"/>
      <c r="N19" s="18"/>
    </row>
    <row r="20" spans="2:14" ht="15" customHeight="1" x14ac:dyDescent="0.25">
      <c r="B20" s="20"/>
      <c r="C20" s="33" t="s">
        <v>235</v>
      </c>
      <c r="D20" s="34" t="s">
        <v>173</v>
      </c>
      <c r="E20" s="39">
        <v>2.6353999999999999E-2</v>
      </c>
      <c r="F20" s="1"/>
      <c r="G20" s="1"/>
      <c r="H20" s="1"/>
      <c r="I20" s="1"/>
      <c r="J20" s="1"/>
      <c r="K20" s="1"/>
      <c r="L20" s="1"/>
      <c r="M20" s="1"/>
      <c r="N20" s="18"/>
    </row>
    <row r="21" spans="2:14" ht="15" customHeight="1" x14ac:dyDescent="0.25">
      <c r="B21" s="20"/>
      <c r="C21" s="33" t="s">
        <v>237</v>
      </c>
      <c r="D21" s="34" t="s">
        <v>173</v>
      </c>
      <c r="E21" s="39">
        <v>1.9805E-2</v>
      </c>
      <c r="F21" s="1"/>
      <c r="G21" s="1"/>
      <c r="H21" s="1"/>
      <c r="I21" s="1"/>
      <c r="J21" s="1"/>
      <c r="K21" s="1"/>
      <c r="L21" s="1"/>
      <c r="M21" s="1"/>
      <c r="N21" s="18"/>
    </row>
    <row r="22" spans="2:14" ht="15" customHeight="1" x14ac:dyDescent="0.25">
      <c r="B22" s="20"/>
      <c r="C22" s="33" t="s">
        <v>240</v>
      </c>
      <c r="D22" s="34" t="s">
        <v>173</v>
      </c>
      <c r="E22" s="39">
        <v>1.5654000000000001E-2</v>
      </c>
      <c r="F22" s="1"/>
      <c r="G22" s="1"/>
      <c r="H22" s="1"/>
      <c r="I22" s="1"/>
      <c r="J22" s="1"/>
      <c r="K22" s="1"/>
      <c r="L22" s="1"/>
      <c r="M22" s="1"/>
      <c r="N22" s="18"/>
    </row>
    <row r="23" spans="2:14" ht="15" customHeight="1" x14ac:dyDescent="0.25">
      <c r="B23" s="20"/>
      <c r="C23" s="33" t="s">
        <v>232</v>
      </c>
      <c r="D23" s="34" t="s">
        <v>173</v>
      </c>
      <c r="E23" s="39">
        <v>1.4730999999999999E-2</v>
      </c>
      <c r="F23" s="1"/>
      <c r="G23" s="1"/>
      <c r="H23" s="1"/>
      <c r="I23" s="1"/>
      <c r="J23" s="1"/>
      <c r="K23" s="1"/>
      <c r="L23" s="1"/>
      <c r="M23" s="1"/>
      <c r="N23" s="18"/>
    </row>
    <row r="24" spans="2:14" ht="15" customHeight="1" x14ac:dyDescent="0.25">
      <c r="B24" s="20"/>
      <c r="C24" s="33" t="s">
        <v>243</v>
      </c>
      <c r="D24" s="34" t="s">
        <v>173</v>
      </c>
      <c r="E24" s="39">
        <v>1.4629E-2</v>
      </c>
      <c r="F24" s="1"/>
      <c r="G24" s="97" t="s">
        <v>17</v>
      </c>
      <c r="H24" s="98"/>
      <c r="I24" s="98"/>
      <c r="J24" s="98"/>
      <c r="K24" s="98"/>
      <c r="L24" s="26">
        <v>7.9055476797642887</v>
      </c>
      <c r="M24" s="27"/>
      <c r="N24" s="28"/>
    </row>
    <row r="25" spans="2:14" ht="15" customHeight="1" x14ac:dyDescent="0.25">
      <c r="B25" s="20"/>
      <c r="C25" s="33" t="s">
        <v>250</v>
      </c>
      <c r="D25" s="34" t="s">
        <v>173</v>
      </c>
      <c r="E25" s="39">
        <v>1.4614E-2</v>
      </c>
      <c r="F25" s="1"/>
      <c r="G25" s="1"/>
      <c r="H25" s="1"/>
      <c r="I25" s="1"/>
      <c r="J25" s="1"/>
      <c r="K25" s="1"/>
      <c r="L25" s="1"/>
      <c r="M25" s="1"/>
      <c r="N25" s="18"/>
    </row>
    <row r="26" spans="2:14" ht="15" customHeight="1" x14ac:dyDescent="0.25">
      <c r="B26" s="20"/>
      <c r="C26" s="33" t="s">
        <v>241</v>
      </c>
      <c r="D26" s="34" t="s">
        <v>173</v>
      </c>
      <c r="E26" s="39">
        <v>1.4265999999999999E-2</v>
      </c>
      <c r="F26" s="1"/>
      <c r="G26" s="97" t="s">
        <v>18</v>
      </c>
      <c r="H26" s="98"/>
      <c r="I26" s="98"/>
      <c r="J26" s="98"/>
      <c r="K26" s="98"/>
      <c r="L26" s="98"/>
      <c r="M26" s="98"/>
      <c r="N26" s="99"/>
    </row>
    <row r="27" spans="2:14" ht="15" customHeight="1" x14ac:dyDescent="0.25">
      <c r="B27" s="20"/>
      <c r="C27" s="33" t="s">
        <v>236</v>
      </c>
      <c r="D27" s="34" t="s">
        <v>173</v>
      </c>
      <c r="E27" s="39">
        <v>1.4121999999999999E-2</v>
      </c>
      <c r="F27" s="1"/>
      <c r="G27" s="1"/>
      <c r="H27" s="1"/>
      <c r="I27" s="1"/>
      <c r="J27" s="1"/>
      <c r="K27" s="1"/>
      <c r="L27" s="1"/>
      <c r="M27" s="1"/>
      <c r="N27" s="18"/>
    </row>
    <row r="28" spans="2:14" ht="15" customHeight="1" x14ac:dyDescent="0.25">
      <c r="B28" s="20"/>
      <c r="C28" s="33" t="s">
        <v>234</v>
      </c>
      <c r="D28" s="34" t="s">
        <v>173</v>
      </c>
      <c r="E28" s="39">
        <v>1.3891000000000001E-2</v>
      </c>
      <c r="F28" s="1"/>
      <c r="G28" s="1"/>
      <c r="H28" s="1"/>
      <c r="I28" s="1"/>
      <c r="J28" s="1"/>
      <c r="K28" s="1"/>
      <c r="L28" s="1"/>
      <c r="M28" s="1"/>
      <c r="N28" s="18"/>
    </row>
    <row r="29" spans="2:14" ht="15" customHeight="1" x14ac:dyDescent="0.25">
      <c r="B29" s="20"/>
      <c r="C29" s="33" t="s">
        <v>248</v>
      </c>
      <c r="D29" s="34" t="s">
        <v>173</v>
      </c>
      <c r="E29" s="39">
        <v>8.6949999999999996E-3</v>
      </c>
      <c r="F29" s="1"/>
      <c r="G29" s="1"/>
      <c r="H29" s="1"/>
      <c r="I29" s="1"/>
      <c r="J29" s="1"/>
      <c r="K29" s="1"/>
      <c r="L29" s="1"/>
      <c r="M29" s="1"/>
      <c r="N29" s="18"/>
    </row>
    <row r="30" spans="2:14" ht="15" customHeight="1" x14ac:dyDescent="0.25">
      <c r="B30" s="20"/>
      <c r="C30" s="33" t="s">
        <v>247</v>
      </c>
      <c r="D30" s="34" t="s">
        <v>173</v>
      </c>
      <c r="E30" s="39">
        <v>7.084E-3</v>
      </c>
      <c r="F30" s="1"/>
      <c r="G30" s="1"/>
      <c r="H30" s="1"/>
      <c r="I30" s="1"/>
      <c r="J30" s="1"/>
      <c r="K30" s="1"/>
      <c r="L30" s="1"/>
      <c r="M30" s="1"/>
      <c r="N30" s="18"/>
    </row>
    <row r="31" spans="2:14" ht="15" customHeight="1" x14ac:dyDescent="0.25">
      <c r="B31" s="20"/>
      <c r="C31" s="33" t="s">
        <v>246</v>
      </c>
      <c r="D31" s="34" t="s">
        <v>173</v>
      </c>
      <c r="E31" s="39">
        <v>5.5659999999999998E-3</v>
      </c>
      <c r="F31" s="1"/>
      <c r="G31" s="1"/>
      <c r="H31" s="1"/>
      <c r="I31" s="1"/>
      <c r="J31" s="1"/>
      <c r="K31" s="1"/>
      <c r="L31" s="1"/>
      <c r="M31" s="1"/>
      <c r="N31" s="18"/>
    </row>
    <row r="32" spans="2:14" ht="15" customHeight="1" x14ac:dyDescent="0.25">
      <c r="B32" s="20"/>
      <c r="C32" s="33" t="s">
        <v>239</v>
      </c>
      <c r="D32" s="34" t="s">
        <v>173</v>
      </c>
      <c r="E32" s="39">
        <v>3.9719999999999998E-3</v>
      </c>
      <c r="F32" s="1"/>
      <c r="G32" s="1"/>
      <c r="H32" s="1"/>
      <c r="I32" s="1"/>
      <c r="J32" s="1"/>
      <c r="K32" s="1"/>
      <c r="L32" s="1"/>
      <c r="M32" s="1"/>
      <c r="N32" s="18"/>
    </row>
    <row r="33" spans="2:14" ht="15" customHeight="1" x14ac:dyDescent="0.25">
      <c r="B33" s="20"/>
      <c r="C33" s="33" t="s">
        <v>233</v>
      </c>
      <c r="D33" s="34" t="s">
        <v>173</v>
      </c>
      <c r="E33" s="39">
        <v>2.5040000000000001E-3</v>
      </c>
      <c r="F33" s="1"/>
      <c r="G33" s="1"/>
      <c r="H33" s="1"/>
      <c r="I33" s="1"/>
      <c r="J33" s="1"/>
      <c r="K33" s="1"/>
      <c r="L33" s="1"/>
      <c r="M33" s="1"/>
      <c r="N33" s="18"/>
    </row>
    <row r="34" spans="2:14" ht="15" customHeight="1" x14ac:dyDescent="0.25">
      <c r="B34" s="20"/>
      <c r="C34" s="35" t="s">
        <v>50</v>
      </c>
      <c r="D34" s="36"/>
      <c r="E34" s="40">
        <v>0.87276500000000001</v>
      </c>
      <c r="F34" s="1"/>
      <c r="G34" s="1"/>
      <c r="H34" s="1"/>
      <c r="I34" s="1"/>
      <c r="J34" s="1"/>
      <c r="K34" s="1"/>
      <c r="L34" s="1"/>
      <c r="M34" s="1"/>
      <c r="N34" s="18"/>
    </row>
    <row r="35" spans="2:14" ht="15" customHeight="1" x14ac:dyDescent="0.25">
      <c r="B35" s="20"/>
      <c r="C35" s="33" t="s">
        <v>8</v>
      </c>
      <c r="D35" s="34"/>
      <c r="E35" s="39">
        <v>7.3280000000000003E-3</v>
      </c>
      <c r="F35" s="1"/>
      <c r="G35" s="1"/>
      <c r="H35" s="1"/>
      <c r="I35" s="1"/>
      <c r="J35" s="1"/>
      <c r="K35" s="1"/>
      <c r="L35" s="1"/>
      <c r="M35" s="1"/>
      <c r="N35" s="18"/>
    </row>
    <row r="36" spans="2:14" ht="15" customHeight="1" x14ac:dyDescent="0.25">
      <c r="B36" s="20"/>
      <c r="C36" s="35" t="s">
        <v>9</v>
      </c>
      <c r="D36" s="36"/>
      <c r="E36" s="40">
        <v>7.3280000000000003E-3</v>
      </c>
      <c r="F36" s="1"/>
      <c r="G36" s="1"/>
      <c r="H36" s="1"/>
      <c r="I36" s="1"/>
      <c r="J36" s="1"/>
      <c r="K36" s="1"/>
      <c r="L36" s="1"/>
      <c r="M36" s="1"/>
      <c r="N36" s="18"/>
    </row>
    <row r="37" spans="2:14" ht="15" customHeight="1" x14ac:dyDescent="0.25">
      <c r="B37" s="20"/>
      <c r="C37" s="33"/>
      <c r="D37" s="34"/>
      <c r="E37" s="39"/>
      <c r="F37" s="1"/>
      <c r="G37" s="1"/>
      <c r="H37" s="1"/>
      <c r="I37" s="1"/>
      <c r="J37" s="1"/>
      <c r="K37" s="1"/>
      <c r="L37" s="1"/>
      <c r="M37" s="1"/>
      <c r="N37" s="18"/>
    </row>
    <row r="38" spans="2:14" ht="15" customHeight="1" x14ac:dyDescent="0.25">
      <c r="B38" s="20"/>
      <c r="C38" s="35" t="s">
        <v>10</v>
      </c>
      <c r="D38" s="36"/>
      <c r="E38" s="40">
        <v>2.4681000000000002E-2</v>
      </c>
      <c r="F38" s="1"/>
      <c r="G38" s="1"/>
      <c r="H38" s="1"/>
      <c r="I38" s="1"/>
      <c r="J38" s="1"/>
      <c r="K38" s="1"/>
      <c r="L38" s="1"/>
      <c r="M38" s="1"/>
      <c r="N38" s="18"/>
    </row>
    <row r="39" spans="2:14" ht="15" customHeight="1" x14ac:dyDescent="0.25">
      <c r="B39" s="20"/>
      <c r="C39" s="33"/>
      <c r="D39" s="34"/>
      <c r="E39" s="39"/>
      <c r="F39" s="1"/>
      <c r="G39" s="1"/>
      <c r="H39" s="1"/>
      <c r="I39" s="1"/>
      <c r="J39" s="1"/>
      <c r="K39" s="1"/>
      <c r="L39" s="1"/>
      <c r="M39" s="1"/>
      <c r="N39" s="18"/>
    </row>
    <row r="40" spans="2:14" ht="15" customHeight="1" x14ac:dyDescent="0.25">
      <c r="B40" s="20"/>
      <c r="C40" s="37" t="s">
        <v>11</v>
      </c>
      <c r="D40" s="38"/>
      <c r="E40" s="41">
        <v>1</v>
      </c>
      <c r="F40" s="1"/>
      <c r="G40" s="1"/>
      <c r="H40" s="1"/>
      <c r="I40" s="1"/>
      <c r="J40" s="1"/>
      <c r="K40" s="1"/>
      <c r="L40" s="1"/>
      <c r="M40" s="1"/>
      <c r="N40" s="18"/>
    </row>
    <row r="41" spans="2:14" ht="15" customHeight="1" x14ac:dyDescent="0.25">
      <c r="B41" s="20"/>
      <c r="C41" s="32"/>
      <c r="D41" s="32"/>
      <c r="E41" s="32"/>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140B-7640-46B2-B3CC-FFB18512AAB1}">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92" t="s">
        <v>0</v>
      </c>
      <c r="D3" s="93"/>
      <c r="E3" s="93"/>
      <c r="F3" s="93"/>
      <c r="G3" s="93"/>
      <c r="H3" s="93"/>
      <c r="I3" s="93"/>
      <c r="J3" s="93"/>
      <c r="K3" s="93"/>
      <c r="L3" s="93"/>
      <c r="M3" s="93"/>
      <c r="N3" s="94"/>
    </row>
    <row r="4" spans="2:14" ht="15.75" customHeight="1" x14ac:dyDescent="0.25">
      <c r="B4" s="20"/>
      <c r="C4" s="14"/>
      <c r="D4" s="1"/>
      <c r="E4" s="1"/>
      <c r="F4" s="1"/>
      <c r="G4" s="1"/>
      <c r="H4" s="1"/>
      <c r="I4" s="1"/>
      <c r="J4" s="1"/>
      <c r="K4" s="1"/>
      <c r="L4" s="1"/>
      <c r="M4" s="1"/>
      <c r="N4" s="18"/>
    </row>
    <row r="5" spans="2:14" ht="18" customHeight="1" x14ac:dyDescent="0.25">
      <c r="B5" s="20"/>
      <c r="C5" s="15" t="s">
        <v>1</v>
      </c>
      <c r="D5" s="95" t="s">
        <v>2</v>
      </c>
      <c r="E5" s="9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97" t="s">
        <v>16</v>
      </c>
      <c r="H7" s="98"/>
      <c r="I7" s="98"/>
      <c r="J7" s="98"/>
      <c r="K7" s="98"/>
      <c r="L7" s="98"/>
      <c r="M7" s="98"/>
      <c r="N7" s="99"/>
    </row>
    <row r="8" spans="2:14" ht="15" customHeight="1" x14ac:dyDescent="0.25">
      <c r="B8" s="20"/>
      <c r="C8" s="5" t="s">
        <v>6</v>
      </c>
      <c r="D8" s="6"/>
      <c r="E8" s="11">
        <v>0.60460800000000003</v>
      </c>
      <c r="F8" s="1"/>
      <c r="G8" s="24" t="s">
        <v>15</v>
      </c>
      <c r="H8" s="25">
        <v>1</v>
      </c>
      <c r="I8" s="1"/>
      <c r="J8" s="24" t="s">
        <v>12</v>
      </c>
      <c r="K8" s="24" t="s">
        <v>5</v>
      </c>
      <c r="L8" s="1"/>
      <c r="M8" s="1"/>
      <c r="N8" s="18"/>
    </row>
    <row r="9" spans="2:14" ht="15" customHeight="1" x14ac:dyDescent="0.25">
      <c r="B9" s="20"/>
      <c r="C9" s="5" t="s">
        <v>255</v>
      </c>
      <c r="D9" s="6"/>
      <c r="E9" s="11">
        <v>0.38772899999999999</v>
      </c>
      <c r="F9" s="1"/>
      <c r="G9" s="1"/>
      <c r="H9" s="1"/>
      <c r="I9" s="1"/>
      <c r="J9" s="24" t="s">
        <v>10</v>
      </c>
      <c r="K9" s="29">
        <v>-6.9700000000000003E-4</v>
      </c>
      <c r="L9" s="1"/>
      <c r="M9" s="1"/>
      <c r="N9" s="18"/>
    </row>
    <row r="10" spans="2:14" ht="15.75" customHeight="1" x14ac:dyDescent="0.25">
      <c r="B10" s="20"/>
      <c r="C10" s="7" t="s">
        <v>7</v>
      </c>
      <c r="D10" s="8"/>
      <c r="E10" s="12">
        <v>0.99233700000000002</v>
      </c>
      <c r="F10" s="1"/>
      <c r="G10" s="1"/>
      <c r="H10" s="1"/>
      <c r="I10" s="1"/>
      <c r="J10" s="24" t="s">
        <v>13</v>
      </c>
      <c r="K10" s="29">
        <v>8.3599999999999994E-3</v>
      </c>
      <c r="L10" s="1"/>
      <c r="M10" s="1"/>
      <c r="N10" s="18"/>
    </row>
    <row r="11" spans="2:14" ht="15" customHeight="1" x14ac:dyDescent="0.25">
      <c r="B11" s="20"/>
      <c r="C11" s="5" t="s">
        <v>8</v>
      </c>
      <c r="D11" s="6"/>
      <c r="E11" s="11">
        <v>8.3599999999999994E-3</v>
      </c>
      <c r="F11" s="1"/>
      <c r="G11" s="1"/>
      <c r="H11" s="1"/>
      <c r="I11" s="1"/>
      <c r="J11" s="24" t="s">
        <v>14</v>
      </c>
      <c r="K11" s="29">
        <v>0.99233700000000002</v>
      </c>
      <c r="L11" s="1"/>
      <c r="M11" s="1"/>
      <c r="N11" s="18"/>
    </row>
    <row r="12" spans="2:14" ht="15.75" customHeight="1" x14ac:dyDescent="0.25">
      <c r="B12" s="20"/>
      <c r="C12" s="7" t="s">
        <v>9</v>
      </c>
      <c r="D12" s="8"/>
      <c r="E12" s="12">
        <v>8.3599999999999994E-3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-6.9700000000000003E-4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97" t="s">
        <v>17</v>
      </c>
      <c r="H24" s="98"/>
      <c r="I24" s="98"/>
      <c r="J24" s="98"/>
      <c r="K24" s="98"/>
      <c r="L24" s="26">
        <v>2.7588109001547885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97" t="s">
        <v>18</v>
      </c>
      <c r="H26" s="98"/>
      <c r="I26" s="98"/>
      <c r="J26" s="98"/>
      <c r="K26" s="98"/>
      <c r="L26" s="98"/>
      <c r="M26" s="98"/>
      <c r="N26" s="9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89" t="s">
        <v>257</v>
      </c>
      <c r="C45" s="90"/>
      <c r="D45" s="90"/>
      <c r="E45" s="90"/>
      <c r="F45" s="90"/>
      <c r="G45" s="90"/>
      <c r="H45" s="90"/>
      <c r="I45" s="90"/>
      <c r="J45" s="90"/>
      <c r="K45" s="90"/>
      <c r="L45" s="90"/>
      <c r="M45" s="90"/>
      <c r="N45" s="91"/>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DBE9-F397-4703-8E00-87CE0D4F1EA4}">
  <sheetPr>
    <tabColor rgb="FFE5E3E3"/>
    <pageSetUpPr fitToPage="1"/>
  </sheetPr>
  <dimension ref="B1:X691"/>
  <sheetViews>
    <sheetView showGridLines="0" zoomScale="75" zoomScaleNormal="75" workbookViewId="0"/>
  </sheetViews>
  <sheetFormatPr defaultRowHeight="15" x14ac:dyDescent="0.2"/>
  <cols>
    <col min="1" max="1" width="2.85546875" style="47" customWidth="1"/>
    <col min="2" max="2" width="3.85546875" style="47" customWidth="1"/>
    <col min="3" max="3" width="60.5703125" style="47" customWidth="1"/>
    <col min="4" max="4" width="15.42578125" style="47" bestFit="1" customWidth="1"/>
    <col min="5" max="5" width="9.140625" style="47"/>
    <col min="6" max="6" width="10.7109375" style="47" customWidth="1"/>
    <col min="7" max="7" width="10.5703125" style="47" bestFit="1" customWidth="1"/>
    <col min="8" max="9" width="9.140625" style="47"/>
    <col min="10" max="11" width="16.42578125" style="47" customWidth="1"/>
    <col min="12" max="18" width="9.140625" style="47"/>
    <col min="19" max="19" width="9.85546875" style="47" customWidth="1"/>
    <col min="20" max="21" width="9.28515625" style="47" bestFit="1" customWidth="1"/>
    <col min="22" max="16384" width="9.140625" style="47"/>
  </cols>
  <sheetData>
    <row r="1" spans="2:24" ht="15.75" thickBot="1" x14ac:dyDescent="0.25"/>
    <row r="2" spans="2:24" x14ac:dyDescent="0.2">
      <c r="B2" s="48"/>
      <c r="C2" s="49"/>
      <c r="D2" s="49"/>
      <c r="E2" s="49"/>
      <c r="F2" s="49"/>
      <c r="G2" s="49"/>
      <c r="H2" s="49"/>
      <c r="I2" s="49"/>
      <c r="J2" s="49"/>
      <c r="K2" s="49"/>
      <c r="L2" s="49"/>
      <c r="M2" s="50"/>
    </row>
    <row r="3" spans="2:24" ht="20.25" customHeight="1" x14ac:dyDescent="0.2">
      <c r="B3" s="51"/>
      <c r="C3" s="100" t="s">
        <v>281</v>
      </c>
      <c r="D3" s="100"/>
      <c r="E3" s="100"/>
      <c r="F3" s="100"/>
      <c r="G3" s="100"/>
      <c r="H3" s="100"/>
      <c r="I3" s="100"/>
      <c r="J3" s="100"/>
      <c r="K3" s="100"/>
      <c r="L3" s="100"/>
      <c r="M3" s="101"/>
    </row>
    <row r="4" spans="2:24" ht="15.75" x14ac:dyDescent="0.25">
      <c r="B4" s="51"/>
      <c r="C4" s="52"/>
      <c r="D4" s="53"/>
      <c r="E4" s="53"/>
      <c r="F4" s="54"/>
      <c r="G4" s="54"/>
      <c r="H4" s="54"/>
      <c r="I4" s="54"/>
      <c r="J4" s="54"/>
      <c r="K4" s="54"/>
      <c r="L4" s="54"/>
      <c r="M4" s="55"/>
    </row>
    <row r="5" spans="2:24" ht="20.25" customHeight="1" x14ac:dyDescent="0.25">
      <c r="B5" s="51"/>
      <c r="C5" s="42" t="s">
        <v>1</v>
      </c>
      <c r="D5" s="56" t="s">
        <v>300</v>
      </c>
      <c r="E5" s="57"/>
      <c r="F5" s="54"/>
      <c r="G5" s="54"/>
      <c r="H5" s="54"/>
      <c r="I5" s="54"/>
      <c r="J5" s="54"/>
      <c r="K5" s="54"/>
      <c r="L5" s="54"/>
      <c r="M5" s="55"/>
    </row>
    <row r="6" spans="2:24" x14ac:dyDescent="0.2">
      <c r="B6" s="51"/>
      <c r="C6" s="54"/>
      <c r="D6" s="54"/>
      <c r="E6" s="54"/>
      <c r="F6" s="54"/>
      <c r="G6" s="54"/>
      <c r="H6" s="54"/>
      <c r="I6" s="54"/>
      <c r="J6" s="54"/>
      <c r="K6" s="54"/>
      <c r="L6" s="54"/>
      <c r="M6" s="55"/>
    </row>
    <row r="7" spans="2:24" ht="15.75" x14ac:dyDescent="0.2">
      <c r="B7" s="51"/>
      <c r="C7" s="58" t="s">
        <v>3</v>
      </c>
      <c r="D7" s="59" t="s">
        <v>5</v>
      </c>
      <c r="E7" s="54"/>
      <c r="F7" s="102" t="s">
        <v>18</v>
      </c>
      <c r="G7" s="102"/>
      <c r="H7" s="102"/>
      <c r="I7" s="102"/>
      <c r="J7" s="102"/>
      <c r="K7" s="102"/>
      <c r="L7" s="102"/>
      <c r="M7" s="103"/>
    </row>
    <row r="8" spans="2:24" x14ac:dyDescent="0.2">
      <c r="B8" s="51"/>
      <c r="C8" s="60" t="s">
        <v>282</v>
      </c>
      <c r="D8" s="61">
        <v>0.98590900000000004</v>
      </c>
      <c r="E8" s="54"/>
      <c r="F8" s="54"/>
      <c r="G8" s="62"/>
      <c r="H8" s="54"/>
      <c r="I8" s="54" t="s">
        <v>283</v>
      </c>
      <c r="J8" s="63">
        <f>D9</f>
        <v>0.98590900000000004</v>
      </c>
      <c r="K8" s="54"/>
      <c r="L8" s="54"/>
      <c r="M8" s="55"/>
      <c r="S8" s="64"/>
      <c r="W8" s="47" t="s">
        <v>284</v>
      </c>
      <c r="X8" s="47">
        <v>0.25058799999999998</v>
      </c>
    </row>
    <row r="9" spans="2:24" ht="15.75" x14ac:dyDescent="0.25">
      <c r="B9" s="51"/>
      <c r="C9" s="65" t="s">
        <v>283</v>
      </c>
      <c r="D9" s="66">
        <v>0.98590900000000004</v>
      </c>
      <c r="E9" s="54"/>
      <c r="F9" s="54"/>
      <c r="G9" s="54"/>
      <c r="H9" s="54"/>
      <c r="I9" s="54" t="s">
        <v>10</v>
      </c>
      <c r="J9" s="63">
        <f>D13</f>
        <v>-1.5172E-2</v>
      </c>
      <c r="K9" s="54"/>
      <c r="L9" s="54"/>
      <c r="M9" s="55"/>
      <c r="S9" s="64"/>
      <c r="W9" s="47" t="s">
        <v>285</v>
      </c>
      <c r="X9" s="47">
        <v>6.1296999999999997E-2</v>
      </c>
    </row>
    <row r="10" spans="2:24" x14ac:dyDescent="0.2">
      <c r="B10" s="51"/>
      <c r="C10" s="67" t="s">
        <v>8</v>
      </c>
      <c r="D10" s="68">
        <v>2.9263000000000001E-2</v>
      </c>
      <c r="E10" s="54"/>
      <c r="F10" s="54"/>
      <c r="G10" s="54"/>
      <c r="I10" s="47" t="s">
        <v>9</v>
      </c>
      <c r="J10" s="63">
        <f>D11</f>
        <v>2.9263000000000001E-2</v>
      </c>
      <c r="K10" s="54"/>
      <c r="L10" s="54"/>
      <c r="M10" s="55"/>
      <c r="S10" s="64"/>
      <c r="W10" s="47" t="s">
        <v>286</v>
      </c>
      <c r="X10" s="47">
        <v>3.0130999999999998E-2</v>
      </c>
    </row>
    <row r="11" spans="2:24" ht="15.75" x14ac:dyDescent="0.2">
      <c r="B11" s="51"/>
      <c r="C11" s="69" t="s">
        <v>9</v>
      </c>
      <c r="D11" s="70">
        <v>2.9263000000000001E-2</v>
      </c>
      <c r="E11" s="54"/>
      <c r="F11" s="54"/>
      <c r="G11" s="54"/>
      <c r="J11" s="54"/>
      <c r="K11" s="54"/>
      <c r="L11" s="54"/>
      <c r="M11" s="55"/>
      <c r="S11" s="64"/>
      <c r="W11" s="47" t="s">
        <v>287</v>
      </c>
      <c r="X11" s="47">
        <v>2.7299E-2</v>
      </c>
    </row>
    <row r="12" spans="2:24" x14ac:dyDescent="0.2">
      <c r="B12" s="51"/>
      <c r="C12" s="67"/>
      <c r="D12" s="71"/>
      <c r="E12" s="54"/>
      <c r="F12" s="54"/>
      <c r="G12" s="54"/>
      <c r="J12" s="54"/>
      <c r="K12" s="54"/>
      <c r="L12" s="54"/>
      <c r="M12" s="55"/>
      <c r="S12" s="64"/>
      <c r="W12" s="47" t="s">
        <v>288</v>
      </c>
      <c r="X12" s="47">
        <v>2.5925E-2</v>
      </c>
    </row>
    <row r="13" spans="2:24" ht="15.75" x14ac:dyDescent="0.2">
      <c r="B13" s="51"/>
      <c r="C13" s="69" t="s">
        <v>10</v>
      </c>
      <c r="D13" s="70">
        <v>-1.5172E-2</v>
      </c>
      <c r="E13" s="54"/>
      <c r="F13" s="54"/>
      <c r="G13" s="54"/>
      <c r="J13" s="54"/>
      <c r="K13" s="54"/>
      <c r="L13" s="54"/>
      <c r="M13" s="55"/>
      <c r="S13" s="64"/>
      <c r="W13" s="47" t="s">
        <v>289</v>
      </c>
      <c r="X13" s="47">
        <v>2.3822000000000003E-2</v>
      </c>
    </row>
    <row r="14" spans="2:24" x14ac:dyDescent="0.2">
      <c r="B14" s="51"/>
      <c r="C14" s="67"/>
      <c r="D14" s="71"/>
      <c r="E14" s="54"/>
      <c r="F14" s="54"/>
      <c r="G14" s="54"/>
      <c r="H14" s="54"/>
      <c r="I14" s="54"/>
      <c r="J14" s="54"/>
      <c r="K14" s="54"/>
      <c r="L14" s="54"/>
      <c r="M14" s="55"/>
      <c r="S14" s="64"/>
      <c r="W14" s="47" t="s">
        <v>290</v>
      </c>
      <c r="X14" s="47">
        <v>2.3753E-2</v>
      </c>
    </row>
    <row r="15" spans="2:24" ht="15.75" x14ac:dyDescent="0.2">
      <c r="B15" s="51"/>
      <c r="C15" s="72" t="s">
        <v>11</v>
      </c>
      <c r="D15" s="73">
        <f>D13+D11+D9</f>
        <v>1</v>
      </c>
      <c r="E15" s="54"/>
      <c r="F15" s="54"/>
      <c r="G15" s="54"/>
      <c r="H15" s="54"/>
      <c r="I15" s="54"/>
      <c r="J15" s="54"/>
      <c r="K15" s="54"/>
      <c r="L15" s="54"/>
      <c r="M15" s="55"/>
      <c r="S15" s="64"/>
      <c r="W15" s="47" t="s">
        <v>291</v>
      </c>
      <c r="X15" s="47">
        <v>1.8620999999999999E-2</v>
      </c>
    </row>
    <row r="16" spans="2:24" x14ac:dyDescent="0.2">
      <c r="B16" s="51"/>
      <c r="E16" s="54"/>
      <c r="F16" s="54"/>
      <c r="G16" s="54"/>
      <c r="H16" s="54"/>
      <c r="I16" s="54"/>
      <c r="J16" s="54"/>
      <c r="K16" s="54"/>
      <c r="L16" s="54"/>
      <c r="M16" s="55"/>
      <c r="S16" s="64"/>
      <c r="W16" s="47" t="s">
        <v>292</v>
      </c>
      <c r="X16" s="47">
        <v>1.7219000000000002E-2</v>
      </c>
    </row>
    <row r="17" spans="2:24" ht="15.75" x14ac:dyDescent="0.25">
      <c r="B17" s="51"/>
      <c r="C17" s="74"/>
      <c r="D17" s="75"/>
      <c r="E17" s="54"/>
      <c r="F17" s="54"/>
      <c r="G17" s="54"/>
      <c r="H17" s="54"/>
      <c r="I17" s="54"/>
      <c r="J17" s="54"/>
      <c r="K17" s="54"/>
      <c r="L17" s="54"/>
      <c r="M17" s="55"/>
      <c r="S17" s="64"/>
      <c r="W17" s="47" t="s">
        <v>293</v>
      </c>
      <c r="X17" s="47">
        <v>1.6056000000000001E-2</v>
      </c>
    </row>
    <row r="18" spans="2:24" x14ac:dyDescent="0.2">
      <c r="B18" s="51"/>
      <c r="C18" s="76"/>
      <c r="D18" s="76"/>
      <c r="E18" s="54"/>
      <c r="F18" s="54"/>
      <c r="G18" s="54"/>
      <c r="H18" s="54"/>
      <c r="I18" s="54"/>
      <c r="J18" s="54"/>
      <c r="K18" s="54"/>
      <c r="L18" s="54"/>
      <c r="M18" s="55"/>
      <c r="S18" s="64"/>
      <c r="W18" s="47" t="s">
        <v>294</v>
      </c>
      <c r="X18" s="47">
        <v>1.41E-2</v>
      </c>
    </row>
    <row r="19" spans="2:24" ht="15.75" x14ac:dyDescent="0.25">
      <c r="B19" s="51"/>
      <c r="C19" s="74"/>
      <c r="D19" s="77"/>
      <c r="E19" s="54"/>
      <c r="F19" s="54"/>
      <c r="G19" s="54"/>
      <c r="H19" s="54"/>
      <c r="I19" s="54"/>
      <c r="J19" s="54"/>
      <c r="K19" s="54"/>
      <c r="L19" s="54"/>
      <c r="M19" s="55"/>
      <c r="S19" s="64"/>
      <c r="W19" s="47" t="s">
        <v>295</v>
      </c>
      <c r="X19" s="47">
        <v>1.1167E-2</v>
      </c>
    </row>
    <row r="20" spans="2:24" x14ac:dyDescent="0.2">
      <c r="B20" s="51"/>
      <c r="E20" s="54"/>
      <c r="F20" s="54"/>
      <c r="G20" s="54"/>
      <c r="H20" s="54"/>
      <c r="I20" s="54"/>
      <c r="J20" s="54"/>
      <c r="K20" s="54"/>
      <c r="L20" s="54"/>
      <c r="M20" s="55"/>
      <c r="S20" s="64"/>
      <c r="W20" s="47" t="s">
        <v>296</v>
      </c>
      <c r="X20" s="47">
        <v>1.1159000000000001E-2</v>
      </c>
    </row>
    <row r="21" spans="2:24" x14ac:dyDescent="0.2">
      <c r="B21" s="51"/>
      <c r="E21" s="54"/>
      <c r="F21" s="54"/>
      <c r="G21" s="54"/>
      <c r="H21" s="54"/>
      <c r="I21" s="54"/>
      <c r="J21" s="54"/>
      <c r="K21" s="54"/>
      <c r="L21" s="54"/>
      <c r="M21" s="55"/>
      <c r="S21" s="64"/>
      <c r="W21" s="47" t="s">
        <v>297</v>
      </c>
      <c r="X21" s="47">
        <v>1.0543E-2</v>
      </c>
    </row>
    <row r="22" spans="2:24" ht="16.5" thickBot="1" x14ac:dyDescent="0.3">
      <c r="B22" s="78"/>
      <c r="C22" s="104"/>
      <c r="D22" s="104"/>
      <c r="E22" s="104"/>
      <c r="F22" s="104"/>
      <c r="G22" s="104"/>
      <c r="H22" s="104"/>
      <c r="I22" s="104"/>
      <c r="J22" s="104"/>
      <c r="K22" s="104"/>
      <c r="L22" s="104"/>
      <c r="M22" s="105"/>
      <c r="S22" s="64"/>
    </row>
    <row r="23" spans="2:24" ht="15.75" thickBot="1" x14ac:dyDescent="0.25">
      <c r="S23" s="64"/>
    </row>
    <row r="24" spans="2:24" ht="15" customHeight="1" x14ac:dyDescent="0.2">
      <c r="B24" s="106" t="s">
        <v>298</v>
      </c>
      <c r="C24" s="107"/>
      <c r="D24" s="107"/>
      <c r="E24" s="107"/>
      <c r="F24" s="107"/>
      <c r="G24" s="107"/>
      <c r="H24" s="107"/>
      <c r="I24" s="107"/>
      <c r="J24" s="107"/>
      <c r="K24" s="107"/>
      <c r="L24" s="107"/>
      <c r="M24" s="107"/>
      <c r="N24" s="108"/>
      <c r="S24" s="64"/>
    </row>
    <row r="25" spans="2:24" ht="15.75" customHeight="1" x14ac:dyDescent="0.2">
      <c r="B25" s="109"/>
      <c r="C25" s="110"/>
      <c r="D25" s="110"/>
      <c r="E25" s="110"/>
      <c r="F25" s="110"/>
      <c r="G25" s="110"/>
      <c r="H25" s="110"/>
      <c r="I25" s="110"/>
      <c r="J25" s="110"/>
      <c r="K25" s="110"/>
      <c r="L25" s="110"/>
      <c r="M25" s="110"/>
      <c r="N25" s="111"/>
      <c r="S25" s="64"/>
    </row>
    <row r="26" spans="2:24" ht="15.75" customHeight="1" x14ac:dyDescent="0.2">
      <c r="B26" s="109"/>
      <c r="C26" s="110"/>
      <c r="D26" s="110"/>
      <c r="E26" s="110"/>
      <c r="F26" s="110"/>
      <c r="G26" s="110"/>
      <c r="H26" s="110"/>
      <c r="I26" s="110"/>
      <c r="J26" s="110"/>
      <c r="K26" s="110"/>
      <c r="L26" s="110"/>
      <c r="M26" s="110"/>
      <c r="N26" s="111"/>
      <c r="S26" s="64"/>
    </row>
    <row r="27" spans="2:24" ht="15.75" customHeight="1" x14ac:dyDescent="0.2">
      <c r="B27" s="109"/>
      <c r="C27" s="110"/>
      <c r="D27" s="110"/>
      <c r="E27" s="110"/>
      <c r="F27" s="110"/>
      <c r="G27" s="110"/>
      <c r="H27" s="110"/>
      <c r="I27" s="110"/>
      <c r="J27" s="110"/>
      <c r="K27" s="110"/>
      <c r="L27" s="110"/>
      <c r="M27" s="110"/>
      <c r="N27" s="111"/>
      <c r="S27" s="64"/>
    </row>
    <row r="28" spans="2:24" ht="15.75" customHeight="1" x14ac:dyDescent="0.2">
      <c r="B28" s="109"/>
      <c r="C28" s="110"/>
      <c r="D28" s="110"/>
      <c r="E28" s="110"/>
      <c r="F28" s="110"/>
      <c r="G28" s="110"/>
      <c r="H28" s="110"/>
      <c r="I28" s="110"/>
      <c r="J28" s="110"/>
      <c r="K28" s="110"/>
      <c r="L28" s="110"/>
      <c r="M28" s="110"/>
      <c r="N28" s="111"/>
      <c r="S28" s="64"/>
    </row>
    <row r="29" spans="2:24" ht="15.75" customHeight="1" x14ac:dyDescent="0.2">
      <c r="B29" s="109"/>
      <c r="C29" s="110"/>
      <c r="D29" s="110"/>
      <c r="E29" s="110"/>
      <c r="F29" s="110"/>
      <c r="G29" s="110"/>
      <c r="H29" s="110"/>
      <c r="I29" s="110"/>
      <c r="J29" s="110"/>
      <c r="K29" s="110"/>
      <c r="L29" s="110"/>
      <c r="M29" s="110"/>
      <c r="N29" s="111"/>
      <c r="S29" s="64"/>
    </row>
    <row r="30" spans="2:24" ht="28.5" customHeight="1" thickBot="1" x14ac:dyDescent="0.25">
      <c r="B30" s="112"/>
      <c r="C30" s="113"/>
      <c r="D30" s="113"/>
      <c r="E30" s="113"/>
      <c r="F30" s="113"/>
      <c r="G30" s="113"/>
      <c r="H30" s="113"/>
      <c r="I30" s="113"/>
      <c r="J30" s="113"/>
      <c r="K30" s="113"/>
      <c r="L30" s="113"/>
      <c r="M30" s="113"/>
      <c r="N30" s="114"/>
      <c r="S30" s="64"/>
    </row>
    <row r="31" spans="2:24" ht="15.75" thickBot="1" x14ac:dyDescent="0.25">
      <c r="S31" s="64"/>
    </row>
    <row r="32" spans="2:24" x14ac:dyDescent="0.2">
      <c r="B32" s="106" t="s">
        <v>299</v>
      </c>
      <c r="C32" s="107"/>
      <c r="D32" s="107"/>
      <c r="E32" s="107"/>
      <c r="F32" s="107"/>
      <c r="G32" s="107"/>
      <c r="H32" s="107"/>
      <c r="I32" s="107"/>
      <c r="J32" s="107"/>
      <c r="K32" s="107"/>
      <c r="L32" s="107"/>
      <c r="M32" s="107"/>
      <c r="N32" s="108"/>
      <c r="S32" s="64"/>
    </row>
    <row r="33" spans="2:19" x14ac:dyDescent="0.2">
      <c r="B33" s="109"/>
      <c r="C33" s="110"/>
      <c r="D33" s="110"/>
      <c r="E33" s="110"/>
      <c r="F33" s="110"/>
      <c r="G33" s="110"/>
      <c r="H33" s="110"/>
      <c r="I33" s="110"/>
      <c r="J33" s="110"/>
      <c r="K33" s="110"/>
      <c r="L33" s="110"/>
      <c r="M33" s="110"/>
      <c r="N33" s="111"/>
      <c r="S33" s="64"/>
    </row>
    <row r="34" spans="2:19" x14ac:dyDescent="0.2">
      <c r="B34" s="109"/>
      <c r="C34" s="110"/>
      <c r="D34" s="110"/>
      <c r="E34" s="110"/>
      <c r="F34" s="110"/>
      <c r="G34" s="110"/>
      <c r="H34" s="110"/>
      <c r="I34" s="110"/>
      <c r="J34" s="110"/>
      <c r="K34" s="110"/>
      <c r="L34" s="110"/>
      <c r="M34" s="110"/>
      <c r="N34" s="111"/>
      <c r="S34" s="64"/>
    </row>
    <row r="35" spans="2:19" x14ac:dyDescent="0.2">
      <c r="B35" s="109"/>
      <c r="C35" s="110"/>
      <c r="D35" s="110"/>
      <c r="E35" s="110"/>
      <c r="F35" s="110"/>
      <c r="G35" s="110"/>
      <c r="H35" s="110"/>
      <c r="I35" s="110"/>
      <c r="J35" s="110"/>
      <c r="K35" s="110"/>
      <c r="L35" s="110"/>
      <c r="M35" s="110"/>
      <c r="N35" s="111"/>
      <c r="S35" s="64"/>
    </row>
    <row r="36" spans="2:19" x14ac:dyDescent="0.2">
      <c r="B36" s="109"/>
      <c r="C36" s="110"/>
      <c r="D36" s="110"/>
      <c r="E36" s="110"/>
      <c r="F36" s="110"/>
      <c r="G36" s="110"/>
      <c r="H36" s="110"/>
      <c r="I36" s="110"/>
      <c r="J36" s="110"/>
      <c r="K36" s="110"/>
      <c r="L36" s="110"/>
      <c r="M36" s="110"/>
      <c r="N36" s="111"/>
      <c r="S36" s="64"/>
    </row>
    <row r="37" spans="2:19" x14ac:dyDescent="0.2">
      <c r="B37" s="109"/>
      <c r="C37" s="110"/>
      <c r="D37" s="110"/>
      <c r="E37" s="110"/>
      <c r="F37" s="110"/>
      <c r="G37" s="110"/>
      <c r="H37" s="110"/>
      <c r="I37" s="110"/>
      <c r="J37" s="110"/>
      <c r="K37" s="110"/>
      <c r="L37" s="110"/>
      <c r="M37" s="110"/>
      <c r="N37" s="111"/>
      <c r="S37" s="64"/>
    </row>
    <row r="38" spans="2:19" ht="15.75" thickBot="1" x14ac:dyDescent="0.25">
      <c r="B38" s="112"/>
      <c r="C38" s="113"/>
      <c r="D38" s="113"/>
      <c r="E38" s="113"/>
      <c r="F38" s="113"/>
      <c r="G38" s="113"/>
      <c r="H38" s="113"/>
      <c r="I38" s="113"/>
      <c r="J38" s="113"/>
      <c r="K38" s="113"/>
      <c r="L38" s="113"/>
      <c r="M38" s="113"/>
      <c r="N38" s="114"/>
      <c r="S38" s="64"/>
    </row>
    <row r="39" spans="2:19" x14ac:dyDescent="0.2">
      <c r="S39" s="64"/>
    </row>
    <row r="40" spans="2:19" x14ac:dyDescent="0.2">
      <c r="S40" s="64"/>
    </row>
    <row r="41" spans="2:19" x14ac:dyDescent="0.2">
      <c r="S41" s="64"/>
    </row>
    <row r="42" spans="2:19" x14ac:dyDescent="0.2">
      <c r="S42" s="64"/>
    </row>
    <row r="43" spans="2:19" x14ac:dyDescent="0.2">
      <c r="S43" s="64"/>
    </row>
    <row r="44" spans="2:19" x14ac:dyDescent="0.2">
      <c r="S44" s="64"/>
    </row>
    <row r="45" spans="2:19" x14ac:dyDescent="0.2">
      <c r="S45" s="64"/>
    </row>
    <row r="46" spans="2:19" x14ac:dyDescent="0.2">
      <c r="S46" s="64"/>
    </row>
    <row r="47" spans="2:19" x14ac:dyDescent="0.2">
      <c r="S47" s="64"/>
    </row>
    <row r="48" spans="2:19" x14ac:dyDescent="0.2">
      <c r="S48" s="64"/>
    </row>
    <row r="49" spans="19:19" x14ac:dyDescent="0.2">
      <c r="S49" s="64"/>
    </row>
    <row r="50" spans="19:19" x14ac:dyDescent="0.2">
      <c r="S50" s="64"/>
    </row>
    <row r="51" spans="19:19" x14ac:dyDescent="0.2">
      <c r="S51" s="64"/>
    </row>
    <row r="52" spans="19:19" x14ac:dyDescent="0.2">
      <c r="S52" s="64"/>
    </row>
    <row r="53" spans="19:19" x14ac:dyDescent="0.2">
      <c r="S53" s="64"/>
    </row>
    <row r="54" spans="19:19" x14ac:dyDescent="0.2">
      <c r="S54" s="64"/>
    </row>
    <row r="55" spans="19:19" x14ac:dyDescent="0.2">
      <c r="S55" s="64"/>
    </row>
    <row r="56" spans="19:19" x14ac:dyDescent="0.2">
      <c r="S56" s="64"/>
    </row>
    <row r="57" spans="19:19" x14ac:dyDescent="0.2">
      <c r="S57" s="64"/>
    </row>
    <row r="58" spans="19:19" x14ac:dyDescent="0.2">
      <c r="S58" s="64"/>
    </row>
    <row r="59" spans="19:19" x14ac:dyDescent="0.2">
      <c r="S59" s="64"/>
    </row>
    <row r="60" spans="19:19" x14ac:dyDescent="0.2">
      <c r="S60" s="64"/>
    </row>
    <row r="61" spans="19:19" x14ac:dyDescent="0.2">
      <c r="S61" s="64"/>
    </row>
    <row r="62" spans="19:19" x14ac:dyDescent="0.2">
      <c r="S62" s="64"/>
    </row>
    <row r="63" spans="19:19" x14ac:dyDescent="0.2">
      <c r="S63" s="64"/>
    </row>
    <row r="64" spans="19:19" x14ac:dyDescent="0.2">
      <c r="S64" s="64"/>
    </row>
    <row r="65" spans="19:19" x14ac:dyDescent="0.2">
      <c r="S65" s="64"/>
    </row>
    <row r="66" spans="19:19" x14ac:dyDescent="0.2">
      <c r="S66" s="64"/>
    </row>
    <row r="67" spans="19:19" x14ac:dyDescent="0.2">
      <c r="S67" s="64"/>
    </row>
    <row r="68" spans="19:19" x14ac:dyDescent="0.2">
      <c r="S68" s="64"/>
    </row>
    <row r="69" spans="19:19" x14ac:dyDescent="0.2">
      <c r="S69" s="64"/>
    </row>
    <row r="70" spans="19:19" x14ac:dyDescent="0.2">
      <c r="S70" s="64"/>
    </row>
    <row r="71" spans="19:19" x14ac:dyDescent="0.2">
      <c r="S71" s="64"/>
    </row>
    <row r="72" spans="19:19" x14ac:dyDescent="0.2">
      <c r="S72" s="64"/>
    </row>
    <row r="73" spans="19:19" x14ac:dyDescent="0.2">
      <c r="S73" s="64"/>
    </row>
    <row r="74" spans="19:19" x14ac:dyDescent="0.2">
      <c r="S74" s="64"/>
    </row>
    <row r="75" spans="19:19" x14ac:dyDescent="0.2">
      <c r="S75" s="64"/>
    </row>
    <row r="76" spans="19:19" x14ac:dyDescent="0.2">
      <c r="S76" s="64"/>
    </row>
    <row r="77" spans="19:19" x14ac:dyDescent="0.2">
      <c r="S77" s="64"/>
    </row>
    <row r="78" spans="19:19" x14ac:dyDescent="0.2">
      <c r="S78" s="64"/>
    </row>
    <row r="79" spans="19:19" x14ac:dyDescent="0.2">
      <c r="S79" s="64"/>
    </row>
    <row r="80" spans="19:19" x14ac:dyDescent="0.2">
      <c r="S80" s="64"/>
    </row>
    <row r="81" spans="19:19" x14ac:dyDescent="0.2">
      <c r="S81" s="64"/>
    </row>
    <row r="82" spans="19:19" x14ac:dyDescent="0.2">
      <c r="S82" s="64"/>
    </row>
    <row r="83" spans="19:19" x14ac:dyDescent="0.2">
      <c r="S83" s="64"/>
    </row>
    <row r="84" spans="19:19" x14ac:dyDescent="0.2">
      <c r="S84" s="64"/>
    </row>
    <row r="85" spans="19:19" x14ac:dyDescent="0.2">
      <c r="S85" s="64"/>
    </row>
    <row r="86" spans="19:19" x14ac:dyDescent="0.2">
      <c r="S86" s="64"/>
    </row>
    <row r="87" spans="19:19" x14ac:dyDescent="0.2">
      <c r="S87" s="64"/>
    </row>
    <row r="88" spans="19:19" x14ac:dyDescent="0.2">
      <c r="S88" s="64"/>
    </row>
    <row r="89" spans="19:19" x14ac:dyDescent="0.2">
      <c r="S89" s="64"/>
    </row>
    <row r="90" spans="19:19" x14ac:dyDescent="0.2">
      <c r="S90" s="64"/>
    </row>
    <row r="91" spans="19:19" x14ac:dyDescent="0.2">
      <c r="S91" s="64"/>
    </row>
    <row r="92" spans="19:19" x14ac:dyDescent="0.2">
      <c r="S92" s="64"/>
    </row>
    <row r="93" spans="19:19" x14ac:dyDescent="0.2">
      <c r="S93" s="64"/>
    </row>
    <row r="94" spans="19:19" x14ac:dyDescent="0.2">
      <c r="S94" s="64"/>
    </row>
    <row r="95" spans="19:19" x14ac:dyDescent="0.2">
      <c r="S95" s="64"/>
    </row>
    <row r="96" spans="19:19" x14ac:dyDescent="0.2">
      <c r="S96" s="64"/>
    </row>
    <row r="97" spans="19:19" x14ac:dyDescent="0.2">
      <c r="S97" s="64"/>
    </row>
    <row r="98" spans="19:19" x14ac:dyDescent="0.2">
      <c r="S98" s="64"/>
    </row>
    <row r="99" spans="19:19" x14ac:dyDescent="0.2">
      <c r="S99" s="64"/>
    </row>
    <row r="100" spans="19:19" x14ac:dyDescent="0.2">
      <c r="S100" s="64"/>
    </row>
    <row r="101" spans="19:19" x14ac:dyDescent="0.2">
      <c r="S101" s="64"/>
    </row>
    <row r="102" spans="19:19" x14ac:dyDescent="0.2">
      <c r="S102" s="64"/>
    </row>
    <row r="103" spans="19:19" x14ac:dyDescent="0.2">
      <c r="S103" s="64"/>
    </row>
    <row r="104" spans="19:19" x14ac:dyDescent="0.2">
      <c r="S104" s="64"/>
    </row>
    <row r="105" spans="19:19" x14ac:dyDescent="0.2">
      <c r="S105" s="64"/>
    </row>
    <row r="106" spans="19:19" x14ac:dyDescent="0.2">
      <c r="S106" s="64"/>
    </row>
    <row r="107" spans="19:19" x14ac:dyDescent="0.2">
      <c r="S107" s="64"/>
    </row>
    <row r="108" spans="19:19" x14ac:dyDescent="0.2">
      <c r="S108" s="64"/>
    </row>
    <row r="109" spans="19:19" x14ac:dyDescent="0.2">
      <c r="S109" s="64"/>
    </row>
    <row r="110" spans="19:19" x14ac:dyDescent="0.2">
      <c r="S110" s="64"/>
    </row>
    <row r="111" spans="19:19" x14ac:dyDescent="0.2">
      <c r="S111" s="64"/>
    </row>
    <row r="112" spans="19:19" x14ac:dyDescent="0.2">
      <c r="S112" s="64"/>
    </row>
    <row r="113" spans="19:19" x14ac:dyDescent="0.2">
      <c r="S113" s="64"/>
    </row>
    <row r="114" spans="19:19" x14ac:dyDescent="0.2">
      <c r="S114" s="64"/>
    </row>
    <row r="115" spans="19:19" x14ac:dyDescent="0.2">
      <c r="S115" s="64"/>
    </row>
    <row r="116" spans="19:19" x14ac:dyDescent="0.2">
      <c r="S116" s="64"/>
    </row>
    <row r="117" spans="19:19" x14ac:dyDescent="0.2">
      <c r="S117" s="64"/>
    </row>
    <row r="118" spans="19:19" x14ac:dyDescent="0.2">
      <c r="S118" s="64"/>
    </row>
    <row r="119" spans="19:19" x14ac:dyDescent="0.2">
      <c r="S119" s="64"/>
    </row>
    <row r="120" spans="19:19" x14ac:dyDescent="0.2">
      <c r="S120" s="64"/>
    </row>
    <row r="121" spans="19:19" x14ac:dyDescent="0.2">
      <c r="S121" s="64"/>
    </row>
    <row r="122" spans="19:19" x14ac:dyDescent="0.2">
      <c r="S122" s="64"/>
    </row>
    <row r="123" spans="19:19" x14ac:dyDescent="0.2">
      <c r="S123" s="64"/>
    </row>
    <row r="124" spans="19:19" x14ac:dyDescent="0.2">
      <c r="S124" s="64"/>
    </row>
    <row r="125" spans="19:19" x14ac:dyDescent="0.2">
      <c r="S125" s="64"/>
    </row>
    <row r="126" spans="19:19" x14ac:dyDescent="0.2">
      <c r="S126" s="64"/>
    </row>
    <row r="127" spans="19:19" x14ac:dyDescent="0.2">
      <c r="S127" s="64"/>
    </row>
    <row r="128" spans="19:19" x14ac:dyDescent="0.2">
      <c r="S128" s="64"/>
    </row>
    <row r="129" spans="19:19" x14ac:dyDescent="0.2">
      <c r="S129" s="64"/>
    </row>
    <row r="130" spans="19:19" x14ac:dyDescent="0.2">
      <c r="S130" s="64"/>
    </row>
    <row r="131" spans="19:19" x14ac:dyDescent="0.2">
      <c r="S131" s="64"/>
    </row>
    <row r="132" spans="19:19" x14ac:dyDescent="0.2">
      <c r="S132" s="64"/>
    </row>
    <row r="133" spans="19:19" x14ac:dyDescent="0.2">
      <c r="S133" s="64"/>
    </row>
    <row r="134" spans="19:19" x14ac:dyDescent="0.2">
      <c r="S134" s="64"/>
    </row>
    <row r="135" spans="19:19" x14ac:dyDescent="0.2">
      <c r="S135" s="64"/>
    </row>
    <row r="136" spans="19:19" x14ac:dyDescent="0.2">
      <c r="S136" s="64"/>
    </row>
    <row r="137" spans="19:19" x14ac:dyDescent="0.2">
      <c r="S137" s="64"/>
    </row>
    <row r="138" spans="19:19" x14ac:dyDescent="0.2">
      <c r="S138" s="64"/>
    </row>
    <row r="139" spans="19:19" x14ac:dyDescent="0.2">
      <c r="S139" s="64"/>
    </row>
    <row r="140" spans="19:19" x14ac:dyDescent="0.2">
      <c r="S140" s="64"/>
    </row>
    <row r="141" spans="19:19" x14ac:dyDescent="0.2">
      <c r="S141" s="64"/>
    </row>
    <row r="142" spans="19:19" x14ac:dyDescent="0.2">
      <c r="S142" s="64"/>
    </row>
    <row r="143" spans="19:19" x14ac:dyDescent="0.2">
      <c r="S143" s="64"/>
    </row>
    <row r="144" spans="19:19" x14ac:dyDescent="0.2">
      <c r="S144" s="64"/>
    </row>
    <row r="145" spans="19:19" x14ac:dyDescent="0.2">
      <c r="S145" s="64"/>
    </row>
    <row r="146" spans="19:19" x14ac:dyDescent="0.2">
      <c r="S146" s="64"/>
    </row>
    <row r="147" spans="19:19" x14ac:dyDescent="0.2">
      <c r="S147" s="64"/>
    </row>
    <row r="148" spans="19:19" x14ac:dyDescent="0.2">
      <c r="S148" s="64"/>
    </row>
    <row r="149" spans="19:19" x14ac:dyDescent="0.2">
      <c r="S149" s="64"/>
    </row>
    <row r="150" spans="19:19" x14ac:dyDescent="0.2">
      <c r="S150" s="64"/>
    </row>
    <row r="151" spans="19:19" x14ac:dyDescent="0.2">
      <c r="S151" s="64"/>
    </row>
    <row r="152" spans="19:19" x14ac:dyDescent="0.2">
      <c r="S152" s="64"/>
    </row>
    <row r="153" spans="19:19" x14ac:dyDescent="0.2">
      <c r="S153" s="64"/>
    </row>
    <row r="154" spans="19:19" x14ac:dyDescent="0.2">
      <c r="S154" s="64"/>
    </row>
    <row r="155" spans="19:19" x14ac:dyDescent="0.2">
      <c r="S155" s="64"/>
    </row>
    <row r="156" spans="19:19" x14ac:dyDescent="0.2">
      <c r="S156" s="64"/>
    </row>
    <row r="157" spans="19:19" x14ac:dyDescent="0.2">
      <c r="S157" s="64"/>
    </row>
    <row r="158" spans="19:19" x14ac:dyDescent="0.2">
      <c r="S158" s="64"/>
    </row>
    <row r="159" spans="19:19" x14ac:dyDescent="0.2">
      <c r="S159" s="64"/>
    </row>
    <row r="160" spans="19:19" x14ac:dyDescent="0.2">
      <c r="S160" s="64"/>
    </row>
    <row r="161" spans="19:19" x14ac:dyDescent="0.2">
      <c r="S161" s="64"/>
    </row>
    <row r="162" spans="19:19" x14ac:dyDescent="0.2">
      <c r="S162" s="64"/>
    </row>
    <row r="163" spans="19:19" x14ac:dyDescent="0.2">
      <c r="S163" s="64"/>
    </row>
    <row r="164" spans="19:19" x14ac:dyDescent="0.2">
      <c r="S164" s="64"/>
    </row>
    <row r="165" spans="19:19" x14ac:dyDescent="0.2">
      <c r="S165" s="64"/>
    </row>
    <row r="166" spans="19:19" x14ac:dyDescent="0.2">
      <c r="S166" s="64"/>
    </row>
    <row r="167" spans="19:19" x14ac:dyDescent="0.2">
      <c r="S167" s="64"/>
    </row>
    <row r="168" spans="19:19" x14ac:dyDescent="0.2">
      <c r="S168" s="64"/>
    </row>
    <row r="169" spans="19:19" x14ac:dyDescent="0.2">
      <c r="S169" s="64"/>
    </row>
    <row r="170" spans="19:19" x14ac:dyDescent="0.2">
      <c r="S170" s="64"/>
    </row>
    <row r="171" spans="19:19" x14ac:dyDescent="0.2">
      <c r="S171" s="64"/>
    </row>
    <row r="172" spans="19:19" x14ac:dyDescent="0.2">
      <c r="S172" s="64"/>
    </row>
    <row r="173" spans="19:19" x14ac:dyDescent="0.2">
      <c r="S173" s="64"/>
    </row>
    <row r="174" spans="19:19" x14ac:dyDescent="0.2">
      <c r="S174" s="64"/>
    </row>
    <row r="175" spans="19:19" x14ac:dyDescent="0.2">
      <c r="S175" s="64"/>
    </row>
    <row r="176" spans="19:19" x14ac:dyDescent="0.2">
      <c r="S176" s="64"/>
    </row>
    <row r="177" spans="19:19" x14ac:dyDescent="0.2">
      <c r="S177" s="64"/>
    </row>
    <row r="178" spans="19:19" x14ac:dyDescent="0.2">
      <c r="S178" s="64"/>
    </row>
    <row r="179" spans="19:19" x14ac:dyDescent="0.2">
      <c r="S179" s="64"/>
    </row>
    <row r="180" spans="19:19" x14ac:dyDescent="0.2">
      <c r="S180" s="64"/>
    </row>
    <row r="181" spans="19:19" x14ac:dyDescent="0.2">
      <c r="S181" s="64"/>
    </row>
    <row r="182" spans="19:19" x14ac:dyDescent="0.2">
      <c r="S182" s="64"/>
    </row>
    <row r="183" spans="19:19" x14ac:dyDescent="0.2">
      <c r="S183" s="64"/>
    </row>
    <row r="184" spans="19:19" x14ac:dyDescent="0.2">
      <c r="S184" s="64"/>
    </row>
    <row r="185" spans="19:19" x14ac:dyDescent="0.2">
      <c r="S185" s="64"/>
    </row>
    <row r="186" spans="19:19" x14ac:dyDescent="0.2">
      <c r="S186" s="64"/>
    </row>
    <row r="187" spans="19:19" x14ac:dyDescent="0.2">
      <c r="S187" s="64"/>
    </row>
    <row r="188" spans="19:19" x14ac:dyDescent="0.2">
      <c r="S188" s="64"/>
    </row>
    <row r="189" spans="19:19" x14ac:dyDescent="0.2">
      <c r="S189" s="64"/>
    </row>
    <row r="190" spans="19:19" x14ac:dyDescent="0.2">
      <c r="S190" s="64"/>
    </row>
    <row r="191" spans="19:19" x14ac:dyDescent="0.2">
      <c r="S191" s="64"/>
    </row>
    <row r="192" spans="19:19" x14ac:dyDescent="0.2">
      <c r="S192" s="64"/>
    </row>
    <row r="193" spans="19:19" x14ac:dyDescent="0.2">
      <c r="S193" s="64"/>
    </row>
    <row r="194" spans="19:19" x14ac:dyDescent="0.2">
      <c r="S194" s="64"/>
    </row>
    <row r="195" spans="19:19" x14ac:dyDescent="0.2">
      <c r="S195" s="64"/>
    </row>
    <row r="196" spans="19:19" x14ac:dyDescent="0.2">
      <c r="S196" s="64"/>
    </row>
    <row r="197" spans="19:19" x14ac:dyDescent="0.2">
      <c r="S197" s="64"/>
    </row>
    <row r="198" spans="19:19" x14ac:dyDescent="0.2">
      <c r="S198" s="64"/>
    </row>
    <row r="199" spans="19:19" x14ac:dyDescent="0.2">
      <c r="S199" s="64"/>
    </row>
    <row r="200" spans="19:19" x14ac:dyDescent="0.2">
      <c r="S200" s="64"/>
    </row>
    <row r="201" spans="19:19" x14ac:dyDescent="0.2">
      <c r="S201" s="64"/>
    </row>
    <row r="202" spans="19:19" x14ac:dyDescent="0.2">
      <c r="S202" s="64"/>
    </row>
    <row r="203" spans="19:19" x14ac:dyDescent="0.2">
      <c r="S203" s="64"/>
    </row>
    <row r="204" spans="19:19" x14ac:dyDescent="0.2">
      <c r="S204" s="64"/>
    </row>
    <row r="205" spans="19:19" x14ac:dyDescent="0.2">
      <c r="S205" s="64"/>
    </row>
    <row r="206" spans="19:19" x14ac:dyDescent="0.2">
      <c r="S206" s="64"/>
    </row>
    <row r="207" spans="19:19" x14ac:dyDescent="0.2">
      <c r="S207" s="64"/>
    </row>
    <row r="208" spans="19:19" x14ac:dyDescent="0.2">
      <c r="S208" s="64"/>
    </row>
    <row r="209" spans="19:19" x14ac:dyDescent="0.2">
      <c r="S209" s="64"/>
    </row>
    <row r="210" spans="19:19" x14ac:dyDescent="0.2">
      <c r="S210" s="64"/>
    </row>
    <row r="211" spans="19:19" x14ac:dyDescent="0.2">
      <c r="S211" s="64"/>
    </row>
    <row r="212" spans="19:19" x14ac:dyDescent="0.2">
      <c r="S212" s="64"/>
    </row>
    <row r="213" spans="19:19" x14ac:dyDescent="0.2">
      <c r="S213" s="64"/>
    </row>
    <row r="214" spans="19:19" x14ac:dyDescent="0.2">
      <c r="S214" s="64"/>
    </row>
    <row r="215" spans="19:19" x14ac:dyDescent="0.2">
      <c r="S215" s="64"/>
    </row>
    <row r="216" spans="19:19" x14ac:dyDescent="0.2">
      <c r="S216" s="64"/>
    </row>
    <row r="217" spans="19:19" x14ac:dyDescent="0.2">
      <c r="S217" s="64"/>
    </row>
    <row r="218" spans="19:19" x14ac:dyDescent="0.2">
      <c r="S218" s="64"/>
    </row>
    <row r="219" spans="19:19" x14ac:dyDescent="0.2">
      <c r="S219" s="64"/>
    </row>
    <row r="220" spans="19:19" x14ac:dyDescent="0.2">
      <c r="S220" s="64"/>
    </row>
    <row r="221" spans="19:19" x14ac:dyDescent="0.2">
      <c r="S221" s="64"/>
    </row>
    <row r="222" spans="19:19" x14ac:dyDescent="0.2">
      <c r="S222" s="64"/>
    </row>
    <row r="223" spans="19:19" x14ac:dyDescent="0.2">
      <c r="S223" s="64"/>
    </row>
    <row r="224" spans="19:19" x14ac:dyDescent="0.2">
      <c r="S224" s="64"/>
    </row>
    <row r="225" spans="19:19" x14ac:dyDescent="0.2">
      <c r="S225" s="64"/>
    </row>
    <row r="226" spans="19:19" x14ac:dyDescent="0.2">
      <c r="S226" s="64"/>
    </row>
    <row r="227" spans="19:19" x14ac:dyDescent="0.2">
      <c r="S227" s="64"/>
    </row>
    <row r="228" spans="19:19" x14ac:dyDescent="0.2">
      <c r="S228" s="64"/>
    </row>
    <row r="229" spans="19:19" x14ac:dyDescent="0.2">
      <c r="S229" s="64"/>
    </row>
    <row r="230" spans="19:19" x14ac:dyDescent="0.2">
      <c r="S230" s="64"/>
    </row>
    <row r="231" spans="19:19" x14ac:dyDescent="0.2">
      <c r="S231" s="64"/>
    </row>
    <row r="232" spans="19:19" x14ac:dyDescent="0.2">
      <c r="S232" s="64"/>
    </row>
    <row r="233" spans="19:19" x14ac:dyDescent="0.2">
      <c r="S233" s="64"/>
    </row>
    <row r="234" spans="19:19" x14ac:dyDescent="0.2">
      <c r="S234" s="64"/>
    </row>
    <row r="235" spans="19:19" x14ac:dyDescent="0.2">
      <c r="S235" s="64"/>
    </row>
    <row r="236" spans="19:19" x14ac:dyDescent="0.2">
      <c r="S236" s="64"/>
    </row>
    <row r="237" spans="19:19" x14ac:dyDescent="0.2">
      <c r="S237" s="64"/>
    </row>
    <row r="238" spans="19:19" x14ac:dyDescent="0.2">
      <c r="S238" s="64"/>
    </row>
    <row r="239" spans="19:19" x14ac:dyDescent="0.2">
      <c r="S239" s="64"/>
    </row>
    <row r="240" spans="19:19" x14ac:dyDescent="0.2">
      <c r="S240" s="64"/>
    </row>
    <row r="241" spans="19:19" x14ac:dyDescent="0.2">
      <c r="S241" s="64"/>
    </row>
    <row r="242" spans="19:19" x14ac:dyDescent="0.2">
      <c r="S242" s="64"/>
    </row>
    <row r="243" spans="19:19" x14ac:dyDescent="0.2">
      <c r="S243" s="64"/>
    </row>
    <row r="244" spans="19:19" x14ac:dyDescent="0.2">
      <c r="S244" s="64"/>
    </row>
    <row r="245" spans="19:19" x14ac:dyDescent="0.2">
      <c r="S245" s="64"/>
    </row>
    <row r="246" spans="19:19" x14ac:dyDescent="0.2">
      <c r="S246" s="64"/>
    </row>
    <row r="247" spans="19:19" x14ac:dyDescent="0.2">
      <c r="S247" s="64"/>
    </row>
    <row r="248" spans="19:19" x14ac:dyDescent="0.2">
      <c r="S248" s="64"/>
    </row>
    <row r="249" spans="19:19" x14ac:dyDescent="0.2">
      <c r="S249" s="64"/>
    </row>
    <row r="250" spans="19:19" x14ac:dyDescent="0.2">
      <c r="S250" s="64"/>
    </row>
    <row r="251" spans="19:19" x14ac:dyDescent="0.2">
      <c r="S251" s="64"/>
    </row>
    <row r="252" spans="19:19" x14ac:dyDescent="0.2">
      <c r="S252" s="64"/>
    </row>
    <row r="253" spans="19:19" x14ac:dyDescent="0.2">
      <c r="S253" s="64"/>
    </row>
    <row r="254" spans="19:19" x14ac:dyDescent="0.2">
      <c r="S254" s="64"/>
    </row>
    <row r="255" spans="19:19" x14ac:dyDescent="0.2">
      <c r="S255" s="64"/>
    </row>
    <row r="256" spans="19:19" x14ac:dyDescent="0.2">
      <c r="S256" s="64"/>
    </row>
    <row r="257" spans="19:19" x14ac:dyDescent="0.2">
      <c r="S257" s="64"/>
    </row>
    <row r="258" spans="19:19" x14ac:dyDescent="0.2">
      <c r="S258" s="64"/>
    </row>
    <row r="259" spans="19:19" x14ac:dyDescent="0.2">
      <c r="S259" s="64"/>
    </row>
    <row r="260" spans="19:19" x14ac:dyDescent="0.2">
      <c r="S260" s="64"/>
    </row>
    <row r="261" spans="19:19" x14ac:dyDescent="0.2">
      <c r="S261" s="64"/>
    </row>
    <row r="262" spans="19:19" x14ac:dyDescent="0.2">
      <c r="S262" s="64"/>
    </row>
    <row r="263" spans="19:19" x14ac:dyDescent="0.2">
      <c r="S263" s="64"/>
    </row>
    <row r="264" spans="19:19" x14ac:dyDescent="0.2">
      <c r="S264" s="64"/>
    </row>
    <row r="265" spans="19:19" x14ac:dyDescent="0.2">
      <c r="S265" s="64"/>
    </row>
    <row r="266" spans="19:19" x14ac:dyDescent="0.2">
      <c r="S266" s="64"/>
    </row>
    <row r="267" spans="19:19" x14ac:dyDescent="0.2">
      <c r="S267" s="64"/>
    </row>
    <row r="268" spans="19:19" x14ac:dyDescent="0.2">
      <c r="S268" s="64"/>
    </row>
    <row r="269" spans="19:19" x14ac:dyDescent="0.2">
      <c r="S269" s="64"/>
    </row>
    <row r="270" spans="19:19" x14ac:dyDescent="0.2">
      <c r="S270" s="64"/>
    </row>
    <row r="271" spans="19:19" x14ac:dyDescent="0.2">
      <c r="S271" s="64"/>
    </row>
    <row r="272" spans="19:19" x14ac:dyDescent="0.2">
      <c r="S272" s="64"/>
    </row>
    <row r="273" spans="19:19" x14ac:dyDescent="0.2">
      <c r="S273" s="64"/>
    </row>
    <row r="274" spans="19:19" x14ac:dyDescent="0.2">
      <c r="S274" s="64"/>
    </row>
    <row r="275" spans="19:19" x14ac:dyDescent="0.2">
      <c r="S275" s="64"/>
    </row>
    <row r="276" spans="19:19" x14ac:dyDescent="0.2">
      <c r="S276" s="64"/>
    </row>
    <row r="277" spans="19:19" x14ac:dyDescent="0.2">
      <c r="S277" s="64"/>
    </row>
    <row r="278" spans="19:19" x14ac:dyDescent="0.2">
      <c r="S278" s="64"/>
    </row>
    <row r="279" spans="19:19" x14ac:dyDescent="0.2">
      <c r="S279" s="64"/>
    </row>
    <row r="280" spans="19:19" x14ac:dyDescent="0.2">
      <c r="S280" s="64"/>
    </row>
    <row r="281" spans="19:19" x14ac:dyDescent="0.2">
      <c r="S281" s="64"/>
    </row>
    <row r="282" spans="19:19" x14ac:dyDescent="0.2">
      <c r="S282" s="64"/>
    </row>
    <row r="283" spans="19:19" x14ac:dyDescent="0.2">
      <c r="S283" s="64"/>
    </row>
    <row r="284" spans="19:19" x14ac:dyDescent="0.2">
      <c r="S284" s="64"/>
    </row>
    <row r="285" spans="19:19" x14ac:dyDescent="0.2">
      <c r="S285" s="64"/>
    </row>
    <row r="286" spans="19:19" x14ac:dyDescent="0.2">
      <c r="S286" s="64"/>
    </row>
    <row r="287" spans="19:19" x14ac:dyDescent="0.2">
      <c r="S287" s="64"/>
    </row>
    <row r="288" spans="19:19" x14ac:dyDescent="0.2">
      <c r="S288" s="64"/>
    </row>
    <row r="289" spans="19:19" x14ac:dyDescent="0.2">
      <c r="S289" s="64"/>
    </row>
    <row r="290" spans="19:19" x14ac:dyDescent="0.2">
      <c r="S290" s="64"/>
    </row>
    <row r="291" spans="19:19" x14ac:dyDescent="0.2">
      <c r="S291" s="64"/>
    </row>
    <row r="292" spans="19:19" x14ac:dyDescent="0.2">
      <c r="S292" s="64"/>
    </row>
    <row r="293" spans="19:19" x14ac:dyDescent="0.2">
      <c r="S293" s="64"/>
    </row>
    <row r="294" spans="19:19" x14ac:dyDescent="0.2">
      <c r="S294" s="64"/>
    </row>
    <row r="295" spans="19:19" x14ac:dyDescent="0.2">
      <c r="S295" s="64"/>
    </row>
    <row r="296" spans="19:19" x14ac:dyDescent="0.2">
      <c r="S296" s="64"/>
    </row>
    <row r="297" spans="19:19" x14ac:dyDescent="0.2">
      <c r="S297" s="64"/>
    </row>
    <row r="298" spans="19:19" x14ac:dyDescent="0.2">
      <c r="S298" s="64"/>
    </row>
    <row r="299" spans="19:19" x14ac:dyDescent="0.2">
      <c r="S299" s="64"/>
    </row>
    <row r="300" spans="19:19" x14ac:dyDescent="0.2">
      <c r="S300" s="64"/>
    </row>
    <row r="301" spans="19:19" x14ac:dyDescent="0.2">
      <c r="S301" s="64"/>
    </row>
    <row r="302" spans="19:19" x14ac:dyDescent="0.2">
      <c r="S302" s="64"/>
    </row>
    <row r="303" spans="19:19" x14ac:dyDescent="0.2">
      <c r="S303" s="64"/>
    </row>
    <row r="304" spans="19:19" x14ac:dyDescent="0.2">
      <c r="S304" s="64"/>
    </row>
    <row r="305" spans="19:19" x14ac:dyDescent="0.2">
      <c r="S305" s="64"/>
    </row>
    <row r="306" spans="19:19" x14ac:dyDescent="0.2">
      <c r="S306" s="64"/>
    </row>
    <row r="307" spans="19:19" x14ac:dyDescent="0.2">
      <c r="S307" s="64"/>
    </row>
    <row r="308" spans="19:19" x14ac:dyDescent="0.2">
      <c r="S308" s="64"/>
    </row>
    <row r="309" spans="19:19" x14ac:dyDescent="0.2">
      <c r="S309" s="64"/>
    </row>
    <row r="310" spans="19:19" x14ac:dyDescent="0.2">
      <c r="S310" s="64"/>
    </row>
    <row r="311" spans="19:19" x14ac:dyDescent="0.2">
      <c r="S311" s="64"/>
    </row>
    <row r="312" spans="19:19" x14ac:dyDescent="0.2">
      <c r="S312" s="64"/>
    </row>
    <row r="313" spans="19:19" x14ac:dyDescent="0.2">
      <c r="S313" s="64"/>
    </row>
    <row r="314" spans="19:19" x14ac:dyDescent="0.2">
      <c r="S314" s="64"/>
    </row>
    <row r="315" spans="19:19" x14ac:dyDescent="0.2">
      <c r="S315" s="64"/>
    </row>
    <row r="316" spans="19:19" x14ac:dyDescent="0.2">
      <c r="S316" s="64"/>
    </row>
    <row r="317" spans="19:19" x14ac:dyDescent="0.2">
      <c r="S317" s="64"/>
    </row>
    <row r="318" spans="19:19" x14ac:dyDescent="0.2">
      <c r="S318" s="64"/>
    </row>
    <row r="319" spans="19:19" x14ac:dyDescent="0.2">
      <c r="S319" s="64"/>
    </row>
    <row r="320" spans="19:19" x14ac:dyDescent="0.2">
      <c r="S320" s="64"/>
    </row>
    <row r="321" spans="19:19" x14ac:dyDescent="0.2">
      <c r="S321" s="64"/>
    </row>
    <row r="322" spans="19:19" x14ac:dyDescent="0.2">
      <c r="S322" s="64"/>
    </row>
    <row r="323" spans="19:19" x14ac:dyDescent="0.2">
      <c r="S323" s="64"/>
    </row>
    <row r="324" spans="19:19" x14ac:dyDescent="0.2">
      <c r="S324" s="64"/>
    </row>
    <row r="325" spans="19:19" x14ac:dyDescent="0.2">
      <c r="S325" s="64"/>
    </row>
    <row r="326" spans="19:19" x14ac:dyDescent="0.2">
      <c r="S326" s="64"/>
    </row>
    <row r="327" spans="19:19" x14ac:dyDescent="0.2">
      <c r="S327" s="64"/>
    </row>
    <row r="328" spans="19:19" x14ac:dyDescent="0.2">
      <c r="S328" s="64"/>
    </row>
    <row r="329" spans="19:19" x14ac:dyDescent="0.2">
      <c r="S329" s="64"/>
    </row>
    <row r="330" spans="19:19" x14ac:dyDescent="0.2">
      <c r="S330" s="64"/>
    </row>
    <row r="331" spans="19:19" x14ac:dyDescent="0.2">
      <c r="S331" s="64"/>
    </row>
    <row r="332" spans="19:19" x14ac:dyDescent="0.2">
      <c r="S332" s="64"/>
    </row>
    <row r="333" spans="19:19" x14ac:dyDescent="0.2">
      <c r="S333" s="64"/>
    </row>
    <row r="334" spans="19:19" x14ac:dyDescent="0.2">
      <c r="S334" s="64"/>
    </row>
    <row r="335" spans="19:19" x14ac:dyDescent="0.2">
      <c r="S335" s="64"/>
    </row>
    <row r="336" spans="19:19" x14ac:dyDescent="0.2">
      <c r="S336" s="64"/>
    </row>
    <row r="337" spans="19:19" x14ac:dyDescent="0.2">
      <c r="S337" s="64"/>
    </row>
    <row r="338" spans="19:19" x14ac:dyDescent="0.2">
      <c r="S338" s="64"/>
    </row>
    <row r="339" spans="19:19" x14ac:dyDescent="0.2">
      <c r="S339" s="64"/>
    </row>
    <row r="340" spans="19:19" x14ac:dyDescent="0.2">
      <c r="S340" s="64"/>
    </row>
    <row r="341" spans="19:19" x14ac:dyDescent="0.2">
      <c r="S341" s="64"/>
    </row>
    <row r="342" spans="19:19" x14ac:dyDescent="0.2">
      <c r="S342" s="64"/>
    </row>
    <row r="343" spans="19:19" x14ac:dyDescent="0.2">
      <c r="S343" s="64"/>
    </row>
    <row r="344" spans="19:19" x14ac:dyDescent="0.2">
      <c r="S344" s="64"/>
    </row>
    <row r="345" spans="19:19" x14ac:dyDescent="0.2">
      <c r="S345" s="64"/>
    </row>
    <row r="346" spans="19:19" x14ac:dyDescent="0.2">
      <c r="S346" s="64"/>
    </row>
    <row r="347" spans="19:19" x14ac:dyDescent="0.2">
      <c r="S347" s="64"/>
    </row>
    <row r="348" spans="19:19" x14ac:dyDescent="0.2">
      <c r="S348" s="64"/>
    </row>
    <row r="349" spans="19:19" x14ac:dyDescent="0.2">
      <c r="S349" s="64"/>
    </row>
    <row r="350" spans="19:19" x14ac:dyDescent="0.2">
      <c r="S350" s="64"/>
    </row>
    <row r="351" spans="19:19" x14ac:dyDescent="0.2">
      <c r="S351" s="64"/>
    </row>
    <row r="352" spans="19:19" x14ac:dyDescent="0.2">
      <c r="S352" s="64"/>
    </row>
    <row r="353" spans="19:19" x14ac:dyDescent="0.2">
      <c r="S353" s="64"/>
    </row>
    <row r="354" spans="19:19" x14ac:dyDescent="0.2">
      <c r="S354" s="64"/>
    </row>
    <row r="355" spans="19:19" x14ac:dyDescent="0.2">
      <c r="S355" s="64"/>
    </row>
    <row r="356" spans="19:19" x14ac:dyDescent="0.2">
      <c r="S356" s="64"/>
    </row>
    <row r="357" spans="19:19" x14ac:dyDescent="0.2">
      <c r="S357" s="64"/>
    </row>
    <row r="358" spans="19:19" x14ac:dyDescent="0.2">
      <c r="S358" s="64"/>
    </row>
    <row r="359" spans="19:19" x14ac:dyDescent="0.2">
      <c r="S359" s="64"/>
    </row>
    <row r="360" spans="19:19" x14ac:dyDescent="0.2">
      <c r="S360" s="64"/>
    </row>
    <row r="361" spans="19:19" x14ac:dyDescent="0.2">
      <c r="S361" s="64"/>
    </row>
    <row r="362" spans="19:19" x14ac:dyDescent="0.2">
      <c r="S362" s="64"/>
    </row>
    <row r="363" spans="19:19" x14ac:dyDescent="0.2">
      <c r="S363" s="64"/>
    </row>
    <row r="364" spans="19:19" x14ac:dyDescent="0.2">
      <c r="S364" s="64"/>
    </row>
    <row r="365" spans="19:19" x14ac:dyDescent="0.2">
      <c r="S365" s="64"/>
    </row>
    <row r="366" spans="19:19" x14ac:dyDescent="0.2">
      <c r="S366" s="64"/>
    </row>
    <row r="367" spans="19:19" x14ac:dyDescent="0.2">
      <c r="S367" s="64"/>
    </row>
    <row r="368" spans="19:19" x14ac:dyDescent="0.2">
      <c r="S368" s="64"/>
    </row>
    <row r="369" spans="19:19" x14ac:dyDescent="0.2">
      <c r="S369" s="64"/>
    </row>
    <row r="370" spans="19:19" x14ac:dyDescent="0.2">
      <c r="S370" s="64"/>
    </row>
    <row r="371" spans="19:19" x14ac:dyDescent="0.2">
      <c r="S371" s="64"/>
    </row>
    <row r="372" spans="19:19" x14ac:dyDescent="0.2">
      <c r="S372" s="64"/>
    </row>
    <row r="373" spans="19:19" x14ac:dyDescent="0.2">
      <c r="S373" s="64"/>
    </row>
    <row r="374" spans="19:19" x14ac:dyDescent="0.2">
      <c r="S374" s="64"/>
    </row>
    <row r="375" spans="19:19" x14ac:dyDescent="0.2">
      <c r="S375" s="64"/>
    </row>
    <row r="376" spans="19:19" x14ac:dyDescent="0.2">
      <c r="S376" s="64"/>
    </row>
    <row r="377" spans="19:19" x14ac:dyDescent="0.2">
      <c r="S377" s="64"/>
    </row>
    <row r="378" spans="19:19" x14ac:dyDescent="0.2">
      <c r="S378" s="64"/>
    </row>
    <row r="379" spans="19:19" x14ac:dyDescent="0.2">
      <c r="S379" s="64"/>
    </row>
    <row r="380" spans="19:19" x14ac:dyDescent="0.2">
      <c r="S380" s="64"/>
    </row>
    <row r="381" spans="19:19" x14ac:dyDescent="0.2">
      <c r="S381" s="64"/>
    </row>
    <row r="382" spans="19:19" x14ac:dyDescent="0.2">
      <c r="S382" s="64"/>
    </row>
    <row r="383" spans="19:19" x14ac:dyDescent="0.2">
      <c r="S383" s="64"/>
    </row>
    <row r="384" spans="19:19" x14ac:dyDescent="0.2">
      <c r="S384" s="64"/>
    </row>
    <row r="385" spans="19:19" x14ac:dyDescent="0.2">
      <c r="S385" s="64"/>
    </row>
    <row r="386" spans="19:19" x14ac:dyDescent="0.2">
      <c r="S386" s="64"/>
    </row>
    <row r="387" spans="19:19" x14ac:dyDescent="0.2">
      <c r="S387" s="64"/>
    </row>
    <row r="388" spans="19:19" x14ac:dyDescent="0.2">
      <c r="S388" s="64"/>
    </row>
    <row r="389" spans="19:19" x14ac:dyDescent="0.2">
      <c r="S389" s="64"/>
    </row>
    <row r="390" spans="19:19" x14ac:dyDescent="0.2">
      <c r="S390" s="64"/>
    </row>
    <row r="391" spans="19:19" x14ac:dyDescent="0.2">
      <c r="S391" s="64"/>
    </row>
    <row r="392" spans="19:19" x14ac:dyDescent="0.2">
      <c r="S392" s="64"/>
    </row>
    <row r="393" spans="19:19" x14ac:dyDescent="0.2">
      <c r="S393" s="64"/>
    </row>
    <row r="394" spans="19:19" x14ac:dyDescent="0.2">
      <c r="S394" s="64"/>
    </row>
    <row r="395" spans="19:19" x14ac:dyDescent="0.2">
      <c r="S395" s="64"/>
    </row>
    <row r="396" spans="19:19" x14ac:dyDescent="0.2">
      <c r="S396" s="64"/>
    </row>
    <row r="397" spans="19:19" x14ac:dyDescent="0.2">
      <c r="S397" s="64"/>
    </row>
    <row r="398" spans="19:19" x14ac:dyDescent="0.2">
      <c r="S398" s="64"/>
    </row>
    <row r="399" spans="19:19" x14ac:dyDescent="0.2">
      <c r="S399" s="64"/>
    </row>
    <row r="400" spans="19:19" x14ac:dyDescent="0.2">
      <c r="S400" s="64"/>
    </row>
    <row r="401" spans="19:19" x14ac:dyDescent="0.2">
      <c r="S401" s="64"/>
    </row>
    <row r="402" spans="19:19" x14ac:dyDescent="0.2">
      <c r="S402" s="64"/>
    </row>
    <row r="403" spans="19:19" x14ac:dyDescent="0.2">
      <c r="S403" s="64"/>
    </row>
    <row r="404" spans="19:19" x14ac:dyDescent="0.2">
      <c r="S404" s="64"/>
    </row>
    <row r="405" spans="19:19" x14ac:dyDescent="0.2">
      <c r="S405" s="64"/>
    </row>
    <row r="406" spans="19:19" x14ac:dyDescent="0.2">
      <c r="S406" s="64"/>
    </row>
    <row r="407" spans="19:19" x14ac:dyDescent="0.2">
      <c r="S407" s="64"/>
    </row>
    <row r="408" spans="19:19" x14ac:dyDescent="0.2">
      <c r="S408" s="64"/>
    </row>
    <row r="409" spans="19:19" x14ac:dyDescent="0.2">
      <c r="S409" s="64"/>
    </row>
    <row r="410" spans="19:19" x14ac:dyDescent="0.2">
      <c r="S410" s="64"/>
    </row>
    <row r="411" spans="19:19" x14ac:dyDescent="0.2">
      <c r="S411" s="64"/>
    </row>
    <row r="412" spans="19:19" x14ac:dyDescent="0.2">
      <c r="S412" s="64"/>
    </row>
    <row r="413" spans="19:19" x14ac:dyDescent="0.2">
      <c r="S413" s="64"/>
    </row>
    <row r="414" spans="19:19" x14ac:dyDescent="0.2">
      <c r="S414" s="64"/>
    </row>
    <row r="415" spans="19:19" x14ac:dyDescent="0.2">
      <c r="S415" s="64"/>
    </row>
    <row r="416" spans="19:19" x14ac:dyDescent="0.2">
      <c r="S416" s="64"/>
    </row>
    <row r="417" spans="19:19" x14ac:dyDescent="0.2">
      <c r="S417" s="64"/>
    </row>
    <row r="418" spans="19:19" x14ac:dyDescent="0.2">
      <c r="S418" s="64"/>
    </row>
    <row r="419" spans="19:19" x14ac:dyDescent="0.2">
      <c r="S419" s="64"/>
    </row>
    <row r="420" spans="19:19" x14ac:dyDescent="0.2">
      <c r="S420" s="64"/>
    </row>
    <row r="421" spans="19:19" x14ac:dyDescent="0.2">
      <c r="S421" s="64"/>
    </row>
    <row r="422" spans="19:19" x14ac:dyDescent="0.2">
      <c r="S422" s="64"/>
    </row>
    <row r="423" spans="19:19" x14ac:dyDescent="0.2">
      <c r="S423" s="64"/>
    </row>
    <row r="424" spans="19:19" x14ac:dyDescent="0.2">
      <c r="S424" s="64"/>
    </row>
    <row r="425" spans="19:19" x14ac:dyDescent="0.2">
      <c r="S425" s="64"/>
    </row>
    <row r="426" spans="19:19" x14ac:dyDescent="0.2">
      <c r="S426" s="64"/>
    </row>
    <row r="427" spans="19:19" x14ac:dyDescent="0.2">
      <c r="S427" s="64"/>
    </row>
    <row r="428" spans="19:19" x14ac:dyDescent="0.2">
      <c r="S428" s="64"/>
    </row>
    <row r="429" spans="19:19" x14ac:dyDescent="0.2">
      <c r="S429" s="64"/>
    </row>
    <row r="430" spans="19:19" x14ac:dyDescent="0.2">
      <c r="S430" s="64"/>
    </row>
    <row r="431" spans="19:19" x14ac:dyDescent="0.2">
      <c r="S431" s="64"/>
    </row>
    <row r="432" spans="19:19" x14ac:dyDescent="0.2">
      <c r="S432" s="64"/>
    </row>
    <row r="433" spans="19:19" x14ac:dyDescent="0.2">
      <c r="S433" s="64"/>
    </row>
    <row r="434" spans="19:19" x14ac:dyDescent="0.2">
      <c r="S434" s="64"/>
    </row>
    <row r="435" spans="19:19" x14ac:dyDescent="0.2">
      <c r="S435" s="64"/>
    </row>
    <row r="436" spans="19:19" x14ac:dyDescent="0.2">
      <c r="S436" s="64"/>
    </row>
    <row r="437" spans="19:19" x14ac:dyDescent="0.2">
      <c r="S437" s="64"/>
    </row>
    <row r="438" spans="19:19" x14ac:dyDescent="0.2">
      <c r="S438" s="64"/>
    </row>
    <row r="439" spans="19:19" x14ac:dyDescent="0.2">
      <c r="S439" s="64"/>
    </row>
    <row r="440" spans="19:19" x14ac:dyDescent="0.2">
      <c r="S440" s="64"/>
    </row>
    <row r="441" spans="19:19" x14ac:dyDescent="0.2">
      <c r="S441" s="64"/>
    </row>
    <row r="442" spans="19:19" x14ac:dyDescent="0.2">
      <c r="S442" s="64"/>
    </row>
    <row r="443" spans="19:19" x14ac:dyDescent="0.2">
      <c r="S443" s="64"/>
    </row>
    <row r="444" spans="19:19" x14ac:dyDescent="0.2">
      <c r="S444" s="64"/>
    </row>
    <row r="445" spans="19:19" x14ac:dyDescent="0.2">
      <c r="S445" s="64"/>
    </row>
    <row r="446" spans="19:19" x14ac:dyDescent="0.2">
      <c r="S446" s="64"/>
    </row>
    <row r="447" spans="19:19" x14ac:dyDescent="0.2">
      <c r="S447" s="64"/>
    </row>
    <row r="448" spans="19:19" x14ac:dyDescent="0.2">
      <c r="S448" s="64"/>
    </row>
    <row r="449" spans="19:19" x14ac:dyDescent="0.2">
      <c r="S449" s="64"/>
    </row>
    <row r="450" spans="19:19" x14ac:dyDescent="0.2">
      <c r="S450" s="64"/>
    </row>
    <row r="451" spans="19:19" x14ac:dyDescent="0.2">
      <c r="S451" s="64"/>
    </row>
    <row r="452" spans="19:19" x14ac:dyDescent="0.2">
      <c r="S452" s="64"/>
    </row>
    <row r="453" spans="19:19" x14ac:dyDescent="0.2">
      <c r="S453" s="64"/>
    </row>
    <row r="454" spans="19:19" x14ac:dyDescent="0.2">
      <c r="S454" s="64"/>
    </row>
    <row r="455" spans="19:19" x14ac:dyDescent="0.2">
      <c r="S455" s="64"/>
    </row>
    <row r="456" spans="19:19" x14ac:dyDescent="0.2">
      <c r="S456" s="64"/>
    </row>
    <row r="457" spans="19:19" x14ac:dyDescent="0.2">
      <c r="S457" s="64"/>
    </row>
    <row r="458" spans="19:19" x14ac:dyDescent="0.2">
      <c r="S458" s="64"/>
    </row>
    <row r="459" spans="19:19" x14ac:dyDescent="0.2">
      <c r="S459" s="64"/>
    </row>
    <row r="460" spans="19:19" x14ac:dyDescent="0.2">
      <c r="S460" s="64"/>
    </row>
    <row r="461" spans="19:19" x14ac:dyDescent="0.2">
      <c r="S461" s="64"/>
    </row>
    <row r="462" spans="19:19" x14ac:dyDescent="0.2">
      <c r="S462" s="64"/>
    </row>
    <row r="463" spans="19:19" x14ac:dyDescent="0.2">
      <c r="S463" s="64"/>
    </row>
    <row r="464" spans="19:19" x14ac:dyDescent="0.2">
      <c r="S464" s="64"/>
    </row>
    <row r="465" spans="19:19" x14ac:dyDescent="0.2">
      <c r="S465" s="64"/>
    </row>
    <row r="466" spans="19:19" x14ac:dyDescent="0.2">
      <c r="S466" s="64"/>
    </row>
    <row r="467" spans="19:19" x14ac:dyDescent="0.2">
      <c r="S467" s="64"/>
    </row>
    <row r="468" spans="19:19" x14ac:dyDescent="0.2">
      <c r="S468" s="64"/>
    </row>
    <row r="469" spans="19:19" x14ac:dyDescent="0.2">
      <c r="S469" s="64"/>
    </row>
    <row r="470" spans="19:19" x14ac:dyDescent="0.2">
      <c r="S470" s="64"/>
    </row>
    <row r="471" spans="19:19" x14ac:dyDescent="0.2">
      <c r="S471" s="64"/>
    </row>
    <row r="472" spans="19:19" x14ac:dyDescent="0.2">
      <c r="S472" s="64"/>
    </row>
    <row r="473" spans="19:19" x14ac:dyDescent="0.2">
      <c r="S473" s="64"/>
    </row>
    <row r="474" spans="19:19" x14ac:dyDescent="0.2">
      <c r="S474" s="64"/>
    </row>
    <row r="475" spans="19:19" x14ac:dyDescent="0.2">
      <c r="S475" s="64"/>
    </row>
    <row r="476" spans="19:19" x14ac:dyDescent="0.2">
      <c r="S476" s="64"/>
    </row>
    <row r="477" spans="19:19" x14ac:dyDescent="0.2">
      <c r="S477" s="64"/>
    </row>
    <row r="478" spans="19:19" x14ac:dyDescent="0.2">
      <c r="S478" s="64"/>
    </row>
    <row r="479" spans="19:19" x14ac:dyDescent="0.2">
      <c r="S479" s="64"/>
    </row>
    <row r="480" spans="19:19" x14ac:dyDescent="0.2">
      <c r="S480" s="64"/>
    </row>
    <row r="481" spans="19:19" x14ac:dyDescent="0.2">
      <c r="S481" s="64"/>
    </row>
    <row r="482" spans="19:19" x14ac:dyDescent="0.2">
      <c r="S482" s="64"/>
    </row>
    <row r="483" spans="19:19" x14ac:dyDescent="0.2">
      <c r="S483" s="64"/>
    </row>
    <row r="484" spans="19:19" x14ac:dyDescent="0.2">
      <c r="S484" s="64"/>
    </row>
    <row r="485" spans="19:19" x14ac:dyDescent="0.2">
      <c r="S485" s="64"/>
    </row>
    <row r="486" spans="19:19" x14ac:dyDescent="0.2">
      <c r="S486" s="64"/>
    </row>
    <row r="487" spans="19:19" x14ac:dyDescent="0.2">
      <c r="S487" s="64"/>
    </row>
    <row r="488" spans="19:19" x14ac:dyDescent="0.2">
      <c r="S488" s="64"/>
    </row>
    <row r="489" spans="19:19" x14ac:dyDescent="0.2">
      <c r="S489" s="64"/>
    </row>
    <row r="490" spans="19:19" x14ac:dyDescent="0.2">
      <c r="S490" s="64"/>
    </row>
    <row r="491" spans="19:19" x14ac:dyDescent="0.2">
      <c r="S491" s="64"/>
    </row>
    <row r="492" spans="19:19" x14ac:dyDescent="0.2">
      <c r="S492" s="64"/>
    </row>
    <row r="493" spans="19:19" x14ac:dyDescent="0.2">
      <c r="S493" s="64"/>
    </row>
    <row r="494" spans="19:19" x14ac:dyDescent="0.2">
      <c r="S494" s="64"/>
    </row>
    <row r="495" spans="19:19" x14ac:dyDescent="0.2">
      <c r="S495" s="64"/>
    </row>
    <row r="496" spans="19:19" x14ac:dyDescent="0.2">
      <c r="S496" s="64"/>
    </row>
    <row r="497" spans="19:19" x14ac:dyDescent="0.2">
      <c r="S497" s="64"/>
    </row>
    <row r="498" spans="19:19" x14ac:dyDescent="0.2">
      <c r="S498" s="64"/>
    </row>
    <row r="499" spans="19:19" x14ac:dyDescent="0.2">
      <c r="S499" s="64"/>
    </row>
    <row r="500" spans="19:19" x14ac:dyDescent="0.2">
      <c r="S500" s="64"/>
    </row>
    <row r="501" spans="19:19" x14ac:dyDescent="0.2">
      <c r="S501" s="64"/>
    </row>
    <row r="502" spans="19:19" x14ac:dyDescent="0.2">
      <c r="S502" s="64"/>
    </row>
    <row r="503" spans="19:19" x14ac:dyDescent="0.2">
      <c r="S503" s="64"/>
    </row>
    <row r="504" spans="19:19" x14ac:dyDescent="0.2">
      <c r="S504" s="64"/>
    </row>
    <row r="505" spans="19:19" x14ac:dyDescent="0.2">
      <c r="S505" s="64"/>
    </row>
    <row r="506" spans="19:19" x14ac:dyDescent="0.2">
      <c r="S506" s="64"/>
    </row>
    <row r="507" spans="19:19" x14ac:dyDescent="0.2">
      <c r="S507" s="64"/>
    </row>
    <row r="508" spans="19:19" x14ac:dyDescent="0.2">
      <c r="S508" s="64"/>
    </row>
    <row r="509" spans="19:19" x14ac:dyDescent="0.2">
      <c r="S509" s="64"/>
    </row>
    <row r="510" spans="19:19" x14ac:dyDescent="0.2">
      <c r="S510" s="64"/>
    </row>
    <row r="511" spans="19:19" x14ac:dyDescent="0.2">
      <c r="S511" s="64"/>
    </row>
    <row r="512" spans="19:19" x14ac:dyDescent="0.2">
      <c r="S512" s="64"/>
    </row>
    <row r="513" spans="19:19" x14ac:dyDescent="0.2">
      <c r="S513" s="64"/>
    </row>
    <row r="514" spans="19:19" x14ac:dyDescent="0.2">
      <c r="S514" s="64"/>
    </row>
    <row r="515" spans="19:19" x14ac:dyDescent="0.2">
      <c r="S515" s="64"/>
    </row>
    <row r="516" spans="19:19" x14ac:dyDescent="0.2">
      <c r="S516" s="64"/>
    </row>
    <row r="517" spans="19:19" x14ac:dyDescent="0.2">
      <c r="S517" s="64"/>
    </row>
    <row r="518" spans="19:19" x14ac:dyDescent="0.2">
      <c r="S518" s="64"/>
    </row>
    <row r="519" spans="19:19" x14ac:dyDescent="0.2">
      <c r="S519" s="64"/>
    </row>
    <row r="520" spans="19:19" x14ac:dyDescent="0.2">
      <c r="S520" s="64"/>
    </row>
    <row r="521" spans="19:19" x14ac:dyDescent="0.2">
      <c r="S521" s="64"/>
    </row>
    <row r="522" spans="19:19" x14ac:dyDescent="0.2">
      <c r="S522" s="64"/>
    </row>
    <row r="523" spans="19:19" x14ac:dyDescent="0.2">
      <c r="S523" s="64"/>
    </row>
    <row r="524" spans="19:19" x14ac:dyDescent="0.2">
      <c r="S524" s="64"/>
    </row>
    <row r="525" spans="19:19" x14ac:dyDescent="0.2">
      <c r="S525" s="64"/>
    </row>
    <row r="526" spans="19:19" x14ac:dyDescent="0.2">
      <c r="S526" s="64"/>
    </row>
    <row r="527" spans="19:19" x14ac:dyDescent="0.2">
      <c r="S527" s="64"/>
    </row>
    <row r="528" spans="19:19" x14ac:dyDescent="0.2">
      <c r="S528" s="64"/>
    </row>
    <row r="529" spans="19:19" x14ac:dyDescent="0.2">
      <c r="S529" s="64"/>
    </row>
    <row r="530" spans="19:19" x14ac:dyDescent="0.2">
      <c r="S530" s="64"/>
    </row>
    <row r="531" spans="19:19" x14ac:dyDescent="0.2">
      <c r="S531" s="64"/>
    </row>
    <row r="532" spans="19:19" x14ac:dyDescent="0.2">
      <c r="S532" s="64"/>
    </row>
    <row r="533" spans="19:19" x14ac:dyDescent="0.2">
      <c r="S533" s="64"/>
    </row>
    <row r="534" spans="19:19" x14ac:dyDescent="0.2">
      <c r="S534" s="64"/>
    </row>
    <row r="535" spans="19:19" x14ac:dyDescent="0.2">
      <c r="S535" s="64"/>
    </row>
    <row r="536" spans="19:19" x14ac:dyDescent="0.2">
      <c r="S536" s="64"/>
    </row>
    <row r="537" spans="19:19" x14ac:dyDescent="0.2">
      <c r="S537" s="64"/>
    </row>
    <row r="538" spans="19:19" x14ac:dyDescent="0.2">
      <c r="S538" s="64"/>
    </row>
    <row r="539" spans="19:19" x14ac:dyDescent="0.2">
      <c r="S539" s="64"/>
    </row>
    <row r="540" spans="19:19" x14ac:dyDescent="0.2">
      <c r="S540" s="64"/>
    </row>
    <row r="541" spans="19:19" x14ac:dyDescent="0.2">
      <c r="S541" s="64"/>
    </row>
    <row r="542" spans="19:19" x14ac:dyDescent="0.2">
      <c r="S542" s="64"/>
    </row>
    <row r="543" spans="19:19" x14ac:dyDescent="0.2">
      <c r="S543" s="64"/>
    </row>
    <row r="544" spans="19:19" x14ac:dyDescent="0.2">
      <c r="S544" s="64"/>
    </row>
    <row r="545" spans="19:19" x14ac:dyDescent="0.2">
      <c r="S545" s="64"/>
    </row>
    <row r="546" spans="19:19" x14ac:dyDescent="0.2">
      <c r="S546" s="64"/>
    </row>
    <row r="547" spans="19:19" x14ac:dyDescent="0.2">
      <c r="S547" s="64"/>
    </row>
    <row r="548" spans="19:19" x14ac:dyDescent="0.2">
      <c r="S548" s="64"/>
    </row>
    <row r="549" spans="19:19" x14ac:dyDescent="0.2">
      <c r="S549" s="64"/>
    </row>
    <row r="550" spans="19:19" x14ac:dyDescent="0.2">
      <c r="S550" s="64"/>
    </row>
    <row r="551" spans="19:19" x14ac:dyDescent="0.2">
      <c r="S551" s="64"/>
    </row>
    <row r="552" spans="19:19" x14ac:dyDescent="0.2">
      <c r="S552" s="64"/>
    </row>
    <row r="553" spans="19:19" x14ac:dyDescent="0.2">
      <c r="S553" s="64"/>
    </row>
    <row r="554" spans="19:19" x14ac:dyDescent="0.2">
      <c r="S554" s="64"/>
    </row>
    <row r="555" spans="19:19" x14ac:dyDescent="0.2">
      <c r="S555" s="64"/>
    </row>
    <row r="556" spans="19:19" x14ac:dyDescent="0.2">
      <c r="S556" s="64"/>
    </row>
    <row r="557" spans="19:19" x14ac:dyDescent="0.2">
      <c r="S557" s="64"/>
    </row>
    <row r="558" spans="19:19" x14ac:dyDescent="0.2">
      <c r="S558" s="64"/>
    </row>
    <row r="559" spans="19:19" x14ac:dyDescent="0.2">
      <c r="S559" s="64"/>
    </row>
    <row r="560" spans="19:19" x14ac:dyDescent="0.2">
      <c r="S560" s="64"/>
    </row>
    <row r="561" spans="19:19" x14ac:dyDescent="0.2">
      <c r="S561" s="64"/>
    </row>
    <row r="562" spans="19:19" x14ac:dyDescent="0.2">
      <c r="S562" s="64"/>
    </row>
    <row r="563" spans="19:19" x14ac:dyDescent="0.2">
      <c r="S563" s="64"/>
    </row>
    <row r="564" spans="19:19" x14ac:dyDescent="0.2">
      <c r="S564" s="64"/>
    </row>
    <row r="565" spans="19:19" x14ac:dyDescent="0.2">
      <c r="S565" s="64"/>
    </row>
    <row r="566" spans="19:19" x14ac:dyDescent="0.2">
      <c r="S566" s="64"/>
    </row>
    <row r="567" spans="19:19" x14ac:dyDescent="0.2">
      <c r="S567" s="64"/>
    </row>
    <row r="568" spans="19:19" x14ac:dyDescent="0.2">
      <c r="S568" s="64"/>
    </row>
    <row r="569" spans="19:19" x14ac:dyDescent="0.2">
      <c r="S569" s="64"/>
    </row>
    <row r="570" spans="19:19" x14ac:dyDescent="0.2">
      <c r="S570" s="64"/>
    </row>
    <row r="571" spans="19:19" x14ac:dyDescent="0.2">
      <c r="S571" s="64"/>
    </row>
    <row r="572" spans="19:19" x14ac:dyDescent="0.2">
      <c r="S572" s="64"/>
    </row>
    <row r="573" spans="19:19" x14ac:dyDescent="0.2">
      <c r="S573" s="64"/>
    </row>
    <row r="574" spans="19:19" x14ac:dyDescent="0.2">
      <c r="S574" s="64"/>
    </row>
    <row r="575" spans="19:19" x14ac:dyDescent="0.2">
      <c r="S575" s="64"/>
    </row>
    <row r="576" spans="19:19" x14ac:dyDescent="0.2">
      <c r="S576" s="64"/>
    </row>
    <row r="577" spans="19:19" x14ac:dyDescent="0.2">
      <c r="S577" s="64"/>
    </row>
    <row r="578" spans="19:19" x14ac:dyDescent="0.2">
      <c r="S578" s="64"/>
    </row>
    <row r="579" spans="19:19" x14ac:dyDescent="0.2">
      <c r="S579" s="64"/>
    </row>
    <row r="580" spans="19:19" x14ac:dyDescent="0.2">
      <c r="S580" s="64"/>
    </row>
    <row r="581" spans="19:19" x14ac:dyDescent="0.2">
      <c r="S581" s="64"/>
    </row>
    <row r="582" spans="19:19" x14ac:dyDescent="0.2">
      <c r="S582" s="64"/>
    </row>
    <row r="583" spans="19:19" x14ac:dyDescent="0.2">
      <c r="S583" s="64"/>
    </row>
    <row r="584" spans="19:19" x14ac:dyDescent="0.2">
      <c r="S584" s="64"/>
    </row>
    <row r="585" spans="19:19" x14ac:dyDescent="0.2">
      <c r="S585" s="64"/>
    </row>
    <row r="586" spans="19:19" x14ac:dyDescent="0.2">
      <c r="S586" s="64"/>
    </row>
    <row r="587" spans="19:19" x14ac:dyDescent="0.2">
      <c r="S587" s="64"/>
    </row>
    <row r="588" spans="19:19" x14ac:dyDescent="0.2">
      <c r="S588" s="64"/>
    </row>
    <row r="589" spans="19:19" x14ac:dyDescent="0.2">
      <c r="S589" s="64"/>
    </row>
    <row r="590" spans="19:19" x14ac:dyDescent="0.2">
      <c r="S590" s="64"/>
    </row>
    <row r="591" spans="19:19" x14ac:dyDescent="0.2">
      <c r="S591" s="64"/>
    </row>
    <row r="592" spans="19:19" x14ac:dyDescent="0.2">
      <c r="S592" s="64"/>
    </row>
    <row r="593" spans="19:19" x14ac:dyDescent="0.2">
      <c r="S593" s="64"/>
    </row>
    <row r="594" spans="19:19" x14ac:dyDescent="0.2">
      <c r="S594" s="64"/>
    </row>
    <row r="595" spans="19:19" x14ac:dyDescent="0.2">
      <c r="S595" s="64"/>
    </row>
    <row r="596" spans="19:19" x14ac:dyDescent="0.2">
      <c r="S596" s="64"/>
    </row>
    <row r="597" spans="19:19" x14ac:dyDescent="0.2">
      <c r="S597" s="64"/>
    </row>
    <row r="598" spans="19:19" x14ac:dyDescent="0.2">
      <c r="S598" s="64"/>
    </row>
    <row r="599" spans="19:19" x14ac:dyDescent="0.2">
      <c r="S599" s="64"/>
    </row>
    <row r="600" spans="19:19" x14ac:dyDescent="0.2">
      <c r="S600" s="64"/>
    </row>
    <row r="601" spans="19:19" x14ac:dyDescent="0.2">
      <c r="S601" s="64"/>
    </row>
    <row r="602" spans="19:19" x14ac:dyDescent="0.2">
      <c r="S602" s="64"/>
    </row>
    <row r="603" spans="19:19" x14ac:dyDescent="0.2">
      <c r="S603" s="64"/>
    </row>
    <row r="604" spans="19:19" x14ac:dyDescent="0.2">
      <c r="S604" s="64"/>
    </row>
    <row r="605" spans="19:19" x14ac:dyDescent="0.2">
      <c r="S605" s="64"/>
    </row>
    <row r="606" spans="19:19" x14ac:dyDescent="0.2">
      <c r="S606" s="64"/>
    </row>
    <row r="607" spans="19:19" x14ac:dyDescent="0.2">
      <c r="S607" s="64"/>
    </row>
    <row r="608" spans="19:19" x14ac:dyDescent="0.2">
      <c r="S608" s="64"/>
    </row>
    <row r="609" spans="19:19" x14ac:dyDescent="0.2">
      <c r="S609" s="64"/>
    </row>
    <row r="610" spans="19:19" x14ac:dyDescent="0.2">
      <c r="S610" s="64"/>
    </row>
    <row r="611" spans="19:19" x14ac:dyDescent="0.2">
      <c r="S611" s="64"/>
    </row>
    <row r="612" spans="19:19" x14ac:dyDescent="0.2">
      <c r="S612" s="64"/>
    </row>
    <row r="613" spans="19:19" x14ac:dyDescent="0.2">
      <c r="S613" s="64"/>
    </row>
    <row r="614" spans="19:19" x14ac:dyDescent="0.2">
      <c r="S614" s="64"/>
    </row>
    <row r="615" spans="19:19" x14ac:dyDescent="0.2">
      <c r="S615" s="64"/>
    </row>
    <row r="616" spans="19:19" x14ac:dyDescent="0.2">
      <c r="S616" s="64"/>
    </row>
    <row r="617" spans="19:19" x14ac:dyDescent="0.2">
      <c r="S617" s="64"/>
    </row>
    <row r="618" spans="19:19" x14ac:dyDescent="0.2">
      <c r="S618" s="64"/>
    </row>
    <row r="619" spans="19:19" x14ac:dyDescent="0.2">
      <c r="S619" s="64"/>
    </row>
    <row r="620" spans="19:19" x14ac:dyDescent="0.2">
      <c r="S620" s="64"/>
    </row>
    <row r="621" spans="19:19" x14ac:dyDescent="0.2">
      <c r="S621" s="64"/>
    </row>
    <row r="622" spans="19:19" x14ac:dyDescent="0.2">
      <c r="S622" s="64"/>
    </row>
    <row r="623" spans="19:19" x14ac:dyDescent="0.2">
      <c r="S623" s="64"/>
    </row>
    <row r="624" spans="19:19" x14ac:dyDescent="0.2">
      <c r="S624" s="64"/>
    </row>
    <row r="625" spans="19:19" x14ac:dyDescent="0.2">
      <c r="S625" s="64"/>
    </row>
    <row r="626" spans="19:19" x14ac:dyDescent="0.2">
      <c r="S626" s="64"/>
    </row>
    <row r="627" spans="19:19" x14ac:dyDescent="0.2">
      <c r="S627" s="64"/>
    </row>
    <row r="628" spans="19:19" x14ac:dyDescent="0.2">
      <c r="S628" s="64"/>
    </row>
    <row r="629" spans="19:19" x14ac:dyDescent="0.2">
      <c r="S629" s="64"/>
    </row>
    <row r="630" spans="19:19" x14ac:dyDescent="0.2">
      <c r="S630" s="64"/>
    </row>
    <row r="631" spans="19:19" x14ac:dyDescent="0.2">
      <c r="S631" s="64"/>
    </row>
    <row r="632" spans="19:19" x14ac:dyDescent="0.2">
      <c r="S632" s="64"/>
    </row>
    <row r="633" spans="19:19" x14ac:dyDescent="0.2">
      <c r="S633" s="64"/>
    </row>
    <row r="634" spans="19:19" x14ac:dyDescent="0.2">
      <c r="S634" s="64"/>
    </row>
    <row r="635" spans="19:19" x14ac:dyDescent="0.2">
      <c r="S635" s="64"/>
    </row>
    <row r="636" spans="19:19" x14ac:dyDescent="0.2">
      <c r="S636" s="64"/>
    </row>
    <row r="637" spans="19:19" x14ac:dyDescent="0.2">
      <c r="S637" s="64"/>
    </row>
    <row r="638" spans="19:19" x14ac:dyDescent="0.2">
      <c r="S638" s="64"/>
    </row>
    <row r="639" spans="19:19" x14ac:dyDescent="0.2">
      <c r="S639" s="64"/>
    </row>
    <row r="640" spans="19:19" x14ac:dyDescent="0.2">
      <c r="S640" s="64"/>
    </row>
    <row r="641" spans="19:19" x14ac:dyDescent="0.2">
      <c r="S641" s="64"/>
    </row>
    <row r="642" spans="19:19" x14ac:dyDescent="0.2">
      <c r="S642" s="64"/>
    </row>
    <row r="643" spans="19:19" x14ac:dyDescent="0.2">
      <c r="S643" s="64"/>
    </row>
    <row r="644" spans="19:19" x14ac:dyDescent="0.2">
      <c r="S644" s="64"/>
    </row>
    <row r="645" spans="19:19" x14ac:dyDescent="0.2">
      <c r="S645" s="64"/>
    </row>
    <row r="646" spans="19:19" x14ac:dyDescent="0.2">
      <c r="S646" s="64"/>
    </row>
    <row r="647" spans="19:19" x14ac:dyDescent="0.2">
      <c r="S647" s="64"/>
    </row>
    <row r="648" spans="19:19" x14ac:dyDescent="0.2">
      <c r="S648" s="64"/>
    </row>
    <row r="649" spans="19:19" x14ac:dyDescent="0.2">
      <c r="S649" s="64"/>
    </row>
    <row r="650" spans="19:19" x14ac:dyDescent="0.2">
      <c r="S650" s="64"/>
    </row>
    <row r="651" spans="19:19" x14ac:dyDescent="0.2">
      <c r="S651" s="64"/>
    </row>
    <row r="652" spans="19:19" x14ac:dyDescent="0.2">
      <c r="S652" s="64"/>
    </row>
    <row r="653" spans="19:19" x14ac:dyDescent="0.2">
      <c r="S653" s="64"/>
    </row>
    <row r="654" spans="19:19" x14ac:dyDescent="0.2">
      <c r="S654" s="64"/>
    </row>
    <row r="655" spans="19:19" x14ac:dyDescent="0.2">
      <c r="S655" s="64"/>
    </row>
    <row r="656" spans="19:19" x14ac:dyDescent="0.2">
      <c r="S656" s="64"/>
    </row>
    <row r="657" spans="19:19" x14ac:dyDescent="0.2">
      <c r="S657" s="64"/>
    </row>
    <row r="658" spans="19:19" x14ac:dyDescent="0.2">
      <c r="S658" s="64"/>
    </row>
    <row r="659" spans="19:19" x14ac:dyDescent="0.2">
      <c r="S659" s="64"/>
    </row>
    <row r="660" spans="19:19" x14ac:dyDescent="0.2">
      <c r="S660" s="64"/>
    </row>
    <row r="661" spans="19:19" x14ac:dyDescent="0.2">
      <c r="S661" s="64"/>
    </row>
    <row r="662" spans="19:19" x14ac:dyDescent="0.2">
      <c r="S662" s="64"/>
    </row>
    <row r="663" spans="19:19" x14ac:dyDescent="0.2">
      <c r="S663" s="64"/>
    </row>
    <row r="664" spans="19:19" x14ac:dyDescent="0.2">
      <c r="S664" s="64"/>
    </row>
    <row r="665" spans="19:19" x14ac:dyDescent="0.2">
      <c r="S665" s="64"/>
    </row>
    <row r="666" spans="19:19" x14ac:dyDescent="0.2">
      <c r="S666" s="64"/>
    </row>
    <row r="667" spans="19:19" x14ac:dyDescent="0.2">
      <c r="S667" s="64"/>
    </row>
    <row r="668" spans="19:19" x14ac:dyDescent="0.2">
      <c r="S668" s="64"/>
    </row>
    <row r="669" spans="19:19" x14ac:dyDescent="0.2">
      <c r="S669" s="64"/>
    </row>
    <row r="670" spans="19:19" x14ac:dyDescent="0.2">
      <c r="S670" s="64"/>
    </row>
    <row r="671" spans="19:19" x14ac:dyDescent="0.2">
      <c r="S671" s="64"/>
    </row>
    <row r="672" spans="19:19" x14ac:dyDescent="0.2">
      <c r="S672" s="64"/>
    </row>
    <row r="673" spans="19:19" x14ac:dyDescent="0.2">
      <c r="S673" s="64"/>
    </row>
    <row r="674" spans="19:19" x14ac:dyDescent="0.2">
      <c r="S674" s="64"/>
    </row>
    <row r="675" spans="19:19" x14ac:dyDescent="0.2">
      <c r="S675" s="64"/>
    </row>
    <row r="676" spans="19:19" x14ac:dyDescent="0.2">
      <c r="S676" s="64"/>
    </row>
    <row r="677" spans="19:19" x14ac:dyDescent="0.2">
      <c r="S677" s="64"/>
    </row>
    <row r="678" spans="19:19" x14ac:dyDescent="0.2">
      <c r="S678" s="64"/>
    </row>
    <row r="679" spans="19:19" x14ac:dyDescent="0.2">
      <c r="S679" s="64"/>
    </row>
    <row r="680" spans="19:19" x14ac:dyDescent="0.2">
      <c r="S680" s="64"/>
    </row>
    <row r="681" spans="19:19" x14ac:dyDescent="0.2">
      <c r="S681" s="64"/>
    </row>
    <row r="682" spans="19:19" x14ac:dyDescent="0.2">
      <c r="S682" s="64"/>
    </row>
    <row r="683" spans="19:19" x14ac:dyDescent="0.2">
      <c r="S683" s="64"/>
    </row>
    <row r="684" spans="19:19" x14ac:dyDescent="0.2">
      <c r="S684" s="64"/>
    </row>
    <row r="685" spans="19:19" x14ac:dyDescent="0.2">
      <c r="S685" s="64"/>
    </row>
    <row r="686" spans="19:19" x14ac:dyDescent="0.2">
      <c r="S686" s="64"/>
    </row>
    <row r="687" spans="19:19" x14ac:dyDescent="0.2">
      <c r="S687" s="64"/>
    </row>
    <row r="688" spans="19:19" x14ac:dyDescent="0.2">
      <c r="S688" s="64"/>
    </row>
    <row r="689" spans="19:19" x14ac:dyDescent="0.2">
      <c r="S689" s="64"/>
    </row>
    <row r="690" spans="19:19" x14ac:dyDescent="0.2">
      <c r="S690" s="64"/>
    </row>
    <row r="691" spans="19:19" x14ac:dyDescent="0.2">
      <c r="S691" s="6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MMF</vt:lpstr>
      <vt:lpstr>BANDHAN LDF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2024-03-01T04:11:57Z</dcterms:created>
  <dcterms:modified xsi:type="dcterms:W3CDTF">2024-03-04T06:51:38Z</dcterms:modified>
</cp:coreProperties>
</file>