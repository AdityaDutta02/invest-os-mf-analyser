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roduct 2\"/>
    </mc:Choice>
  </mc:AlternateContent>
  <bookViews>
    <workbookView xWindow="0" yWindow="0" windowWidth="14370" windowHeight="7440"/>
  </bookViews>
  <sheets>
    <sheet name="IDFC OF" sheetId="16" r:id="rId1"/>
    <sheet name="IDFC CF" sheetId="7" r:id="rId2"/>
    <sheet name="IDFC LDF" sheetId="14" r:id="rId3"/>
    <sheet name="IDFC USTF" sheetId="17" r:id="rId4"/>
    <sheet name="IDFC MMF" sheetId="15"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2" r:id="rId14"/>
    <sheet name="IDFC GSF - CMP" sheetId="13" r:id="rId15"/>
    <sheet name="IDFC ASBF" sheetId="2" r:id="rId16"/>
    <sheet name="Disclaimer" sheetId="18" r:id="rId1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 i="9" l="1"/>
  <c r="H9" i="9"/>
  <c r="H8" i="9"/>
</calcChain>
</file>

<file path=xl/sharedStrings.xml><?xml version="1.0" encoding="utf-8"?>
<sst xmlns="http://schemas.openxmlformats.org/spreadsheetml/2006/main" count="1055" uniqueCount="228">
  <si>
    <t>IDFC ALL SEASONS BOND FUND (26 March, 2021 )</t>
  </si>
  <si>
    <t>Name</t>
  </si>
  <si>
    <t>Rating</t>
  </si>
  <si>
    <t>Total</t>
  </si>
  <si>
    <t>IDFC-IDFC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</si>
  <si>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</si>
  <si>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</si>
  <si>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</si>
  <si>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</si>
  <si>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</si>
  <si>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</si>
  <si>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</si>
  <si>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</si>
  <si>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</si>
  <si>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</si>
  <si>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</si>
  <si>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</si>
  <si>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</si>
  <si>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(26 March, 2021 )</t>
  </si>
  <si>
    <t>Axis Bank Limited</t>
  </si>
  <si>
    <t xml:space="preserve"> A1+</t>
  </si>
  <si>
    <t>Export Import Bank of India</t>
  </si>
  <si>
    <t>Bank of Baroda</t>
  </si>
  <si>
    <t>Certificate of Deposit Total</t>
  </si>
  <si>
    <t>National Bank For Agriculture and Rural Development</t>
  </si>
  <si>
    <t>Commercial Paper Total</t>
  </si>
  <si>
    <t xml:space="preserve"> AAA</t>
  </si>
  <si>
    <t>Power Finance Corporation Limited</t>
  </si>
  <si>
    <t>Indian Railway Finance Corporation Limited</t>
  </si>
  <si>
    <t>REC Limited</t>
  </si>
  <si>
    <t>Housing Development Finance Corporation Limited</t>
  </si>
  <si>
    <t>National Highways Auth Of Ind</t>
  </si>
  <si>
    <t>Hindustan Petroleum Corporation Limited</t>
  </si>
  <si>
    <t>LIC Housing Finance Limited</t>
  </si>
  <si>
    <t>Small Industries Dev Bank of India</t>
  </si>
  <si>
    <t>National Housing Bank</t>
  </si>
  <si>
    <t>ICICI Bank Limited</t>
  </si>
  <si>
    <t>Reliance Industries Limited</t>
  </si>
  <si>
    <t>Power Grid Corporation of India Limited</t>
  </si>
  <si>
    <t>Housing &amp; Urban Development Corporation Limited</t>
  </si>
  <si>
    <t>NTPC Limited</t>
  </si>
  <si>
    <t>NHPC Limited</t>
  </si>
  <si>
    <t>Larsen &amp; Toubro Limited</t>
  </si>
  <si>
    <t>Bajaj Finance Limited</t>
  </si>
  <si>
    <t>Indian Oil Corporation Limited</t>
  </si>
  <si>
    <t>Tata Sons Private Ltd</t>
  </si>
  <si>
    <t>Corporate Bond Total</t>
  </si>
  <si>
    <t>7.16% GOI (MD 20/05/2023)</t>
  </si>
  <si>
    <t>SOV</t>
  </si>
  <si>
    <t>7.37% GOI (MD 16/04/2023)</t>
  </si>
  <si>
    <t>7.32% GOI (MD 28/01/2024)</t>
  </si>
  <si>
    <t>6.84% GOI (MD 19/12/2022)</t>
  </si>
  <si>
    <t>5.22% GOI (MD 15/06/2025)</t>
  </si>
  <si>
    <t>6.18% GOI (MD 04/11/2024)</t>
  </si>
  <si>
    <t>8.13% GOI (MD 21/09/2022)</t>
  </si>
  <si>
    <t>7.72% GOI (MD 25/05/2025)</t>
  </si>
  <si>
    <t>7.8% GOI (MD 11/04/2021)</t>
  </si>
  <si>
    <t>Government Bond Total</t>
  </si>
  <si>
    <t>State Government Bond Total</t>
  </si>
  <si>
    <t>Zero Coupon Bond Total</t>
  </si>
  <si>
    <t>Certificate of Deposit</t>
  </si>
  <si>
    <t>Corporate Bond</t>
  </si>
  <si>
    <t>Commercial Paper</t>
  </si>
  <si>
    <t>Government Bond</t>
  </si>
  <si>
    <t>State Government Bond</t>
  </si>
  <si>
    <t>Zero Coupon Bond</t>
  </si>
  <si>
    <t>IDFC BOND FUND - INCOME PLAN (26 March, 2021 )</t>
  </si>
  <si>
    <t>6.79% GOI (MD 15/05/2027)</t>
  </si>
  <si>
    <t>8.24% GOI (MD 15/02/2027)</t>
  </si>
  <si>
    <t>6.97% GOI (MD 06/09/2026)</t>
  </si>
  <si>
    <t>7.27% GOI (MD 08/04/2026)</t>
  </si>
  <si>
    <t>7.59% GOI(MD 11/01/2026)</t>
  </si>
  <si>
    <t>8.15% GOI (MD 24/11/2026)</t>
  </si>
  <si>
    <t>5.15% GOI (MD 09/11/2025)</t>
  </si>
  <si>
    <t>7.26% GOI (MD 14/01/2029)</t>
  </si>
  <si>
    <t>7.73% GOI (MD 19/12/2034)</t>
  </si>
  <si>
    <t>IDFC BOND FUND - MEDIUM TERM PLAN (26 March, 2021 )</t>
  </si>
  <si>
    <t>8.33% GOI 2026 (M/D 09/07/2026)</t>
  </si>
  <si>
    <t xml:space="preserve"> AAA(SO)</t>
  </si>
  <si>
    <t>PTC Total</t>
  </si>
  <si>
    <t>364 Days Tbill (MD 30/03/2021)</t>
  </si>
  <si>
    <t>Treasury Bill Total</t>
  </si>
  <si>
    <t>PTC</t>
  </si>
  <si>
    <t>Treasury Bill</t>
  </si>
  <si>
    <t>IDFC BOND FUND - SHORT TERM PLAN (26 March, 2021 )</t>
  </si>
  <si>
    <t>8.28% GOI (M/D 21/09/2027)</t>
  </si>
  <si>
    <t>IDFC CASH FUND (26 March, 2021 )</t>
  </si>
  <si>
    <t>Reliance Retail Ventures Limited</t>
  </si>
  <si>
    <t>ICICI Securities Limited</t>
  </si>
  <si>
    <t>HDB Financial Services Limited</t>
  </si>
  <si>
    <t>364 Days Tbill (MD 27/05/2021)</t>
  </si>
  <si>
    <t>91 Days Tbill (MD 27/05/2021)</t>
  </si>
  <si>
    <t>364 Days Tbill (MD 07/05/2021)</t>
  </si>
  <si>
    <t>91 Days Tbill (MD 24/06/2021)</t>
  </si>
  <si>
    <t>182 Days Tbill (MD 06/05/2021)</t>
  </si>
  <si>
    <t>364 Days Tbill (MD 29/04/2021)</t>
  </si>
  <si>
    <t>182 Days Tbill (MD 03/06/2021)</t>
  </si>
  <si>
    <t>91 Days Tbill (MD 29/04/2021)</t>
  </si>
  <si>
    <t>364 Days Tbill (MD 03/06/2021)</t>
  </si>
  <si>
    <t>Bajaj Housing Finance Limited</t>
  </si>
  <si>
    <t>IDFC CORPORATE BOND FUND (26 March, 2021 )</t>
  </si>
  <si>
    <t>UltraTech Cement Limited</t>
  </si>
  <si>
    <t>Mahindra &amp; Mahindra Limited</t>
  </si>
  <si>
    <t>IDFC CREDIT RISK FUND (26 March, 2021 )</t>
  </si>
  <si>
    <t xml:space="preserve"> AA(CE)</t>
  </si>
  <si>
    <t>Afcons Infrastructure Limited</t>
  </si>
  <si>
    <t xml:space="preserve"> A+</t>
  </si>
  <si>
    <t>IndusInd Bank Limited</t>
  </si>
  <si>
    <t xml:space="preserve"> AA</t>
  </si>
  <si>
    <t>Tata Steel Limited</t>
  </si>
  <si>
    <t xml:space="preserve"> AA-</t>
  </si>
  <si>
    <t>Bharti Hexacom Limited</t>
  </si>
  <si>
    <t>Tata Power Company Limited</t>
  </si>
  <si>
    <t>7.17% GOI (MD 08/01/2028)</t>
  </si>
  <si>
    <t>Aditya Birla Fashion and Retail Limited</t>
  </si>
  <si>
    <t>AA</t>
  </si>
  <si>
    <t>AA-</t>
  </si>
  <si>
    <t>IDFC DYNAMIC BOND FUND (26 March, 2021 )</t>
  </si>
  <si>
    <t>8.20% GOI (MD 24/09/2025)</t>
  </si>
  <si>
    <t>IDFC FLOATING RATE FUND (26 March, 2021 )</t>
  </si>
  <si>
    <t>The Federal Bank  Limited</t>
  </si>
  <si>
    <t>RBL Bank Limited</t>
  </si>
  <si>
    <t>L&amp;T Finance Limited</t>
  </si>
  <si>
    <t>Sikka Ports and Terminals Limited</t>
  </si>
  <si>
    <t>Jamnagar Utilities &amp; Power Private Limited</t>
  </si>
  <si>
    <t>Floating Rate Note Total</t>
  </si>
  <si>
    <t>Interest Rate Swaps</t>
  </si>
  <si>
    <t>Floating Rate Note</t>
  </si>
  <si>
    <t>IDFC GOVERNMENT SECURITIES FUND - INVESTMENT PLAN (26 March, 2021 )</t>
  </si>
  <si>
    <t>IDFC GOVERNMENT SECURITIES FUND-CONSTANT MATURITY (26 March, 2021 )</t>
  </si>
  <si>
    <t>6.19% GOI (MD 16/09/2034)</t>
  </si>
  <si>
    <t>6.68% GOI (MD 17/09/2031)</t>
  </si>
  <si>
    <t>IDFC LOW DURATION FUND (26 March, 2021 )</t>
  </si>
  <si>
    <t>Kotak Mahindra Prime Limited</t>
  </si>
  <si>
    <t>Kotak Mahindra Investments Limited</t>
  </si>
  <si>
    <t>Grasim Industries Limited</t>
  </si>
  <si>
    <t>8.79% GOI (MD 08/11/2021)</t>
  </si>
  <si>
    <t>7.68% GOI (MD 15/12/2023)</t>
  </si>
  <si>
    <t>7.94% GOI (MD 24/05/2021)</t>
  </si>
  <si>
    <t>91 Days Tbill (MD 11/06/2021)</t>
  </si>
  <si>
    <t>Sundaram Finance Limited</t>
  </si>
  <si>
    <t>IDFC MONEY MANAGER FUND (26 March, 2021 )</t>
  </si>
  <si>
    <t>8.20% GOI (MD 15/02/2022)</t>
  </si>
  <si>
    <t>IDFC OVERNIGHT FUND (26 March, 2021 )</t>
  </si>
  <si>
    <t>IDFC ULTRA SHORT TERM FUND (26 March, 2021 )</t>
  </si>
  <si>
    <t>8.90% TAMILNADU SDL(MD/20/09/2022)</t>
  </si>
  <si>
    <t>8.48% Karnataka SDL (MD 17/10/2022)</t>
  </si>
  <si>
    <t>8.38% Haryana SDL (MD 27/01/2026)</t>
  </si>
  <si>
    <t>8.79% Gujrat SDL (MD 25/10/2022)</t>
  </si>
  <si>
    <t>8.05% Gujarat SDL (MD 25/02/2025)</t>
  </si>
  <si>
    <t>8.99% Gujrat SDL (MD 14/03/2022)</t>
  </si>
  <si>
    <t>9.20% Andhra Pradesh SDL (MD 11/04/2022)</t>
  </si>
  <si>
    <t>8.86% Tamil Nadu SDL (MD 03/10/2022)</t>
  </si>
  <si>
    <t>8.85% Maharashtra SDL (MD 03/10/2022)</t>
  </si>
  <si>
    <t>8.92% Tamilnadu SDL (MD 08/08/2022)</t>
  </si>
  <si>
    <t>9.23% Gujarat SDL (MD 23/11/2021)</t>
  </si>
  <si>
    <t>8.92%  TAMIL NADU SDL (MD 05/09/2022)</t>
  </si>
  <si>
    <t>8.75% Tamilnadu SDL (MD 22/02/2022)</t>
  </si>
  <si>
    <t>8.92% Tamil Nadu SDL (MD 07/03/2022)</t>
  </si>
  <si>
    <t>8.95% Maharashtra SDL (MD 07/03/2022)</t>
  </si>
  <si>
    <t>9.22% Tamil Nadu SDL (MD 23/11/2021)</t>
  </si>
  <si>
    <t>8.56% Andhra Pradesh SDL (MD 10/08/2021)</t>
  </si>
  <si>
    <t>8.59% Gujrat SDL (MD 24/08/2021)</t>
  </si>
  <si>
    <t>8.85% Maharashtra SDL (MD 18/07/2022)</t>
  </si>
  <si>
    <t>8.84% Tamil Nadu SDL (MD 18/07/2022)</t>
  </si>
  <si>
    <t>6.92% MAHARASTRA SDL(MD 11/01/2022)</t>
  </si>
  <si>
    <t>8.38% Karnataka SDL (MD 31/10/2022)</t>
  </si>
  <si>
    <t>8.31% Karnataka SDL (MD 14/11/2022)</t>
  </si>
  <si>
    <t>7.9% CHHATISGARH SDL (MD 28/11/2021)</t>
  </si>
  <si>
    <t>8.84% Gujrat SDL (MD 17/10/2022)</t>
  </si>
  <si>
    <t>8.90% Andhra pradesh SDL (MD 04/07/2022)</t>
  </si>
  <si>
    <t>8.79% Maharashtra SDL (MD 21/12/2021)</t>
  </si>
  <si>
    <t>7.03% Gujarat SDL (MD 26/10/2021)</t>
  </si>
  <si>
    <t>7.55% Odisha SDL (MD 11/04/2021)</t>
  </si>
  <si>
    <t>8.67% Andhra Pradesh SDL(MD 26/05/2021)</t>
  </si>
  <si>
    <t>8.66% Andhra Pradesh SDL (MD 06/07/2021)</t>
  </si>
  <si>
    <t>8.2% Gujarat SDL (MD 24/06/2025)</t>
  </si>
  <si>
    <t>8.25% Maharastra SDL  ( MD 13/05/2025)</t>
  </si>
  <si>
    <t>8.37% Tamil Nadu SDL (MD 05/12/2028)</t>
  </si>
  <si>
    <t>8.25% Andhra PradeshSDL (MD 25/04/2023)</t>
  </si>
  <si>
    <t>8.68% Gujarat SDL (MD 06/02/2023)</t>
  </si>
  <si>
    <t>8.10% TAMIL NADU SDL (MD 08/05/2023)</t>
  </si>
  <si>
    <t>9.25% Haryana SDL (MD 09-Oct-2023)</t>
  </si>
  <si>
    <t>5.41% Andhra Pradesh SDL (MD 12/08/2024)</t>
  </si>
  <si>
    <t>5.68% Maharashtra SDL (MD 23/09/2024)</t>
  </si>
  <si>
    <t>8.62% Maharashtra SDL (MD 06/03/2023)</t>
  </si>
  <si>
    <t>7.93% Chattisgarh SDL (MD 13/02/2024)</t>
  </si>
  <si>
    <t>7.77% Gujarat SDL (MD 19/06/2023)</t>
  </si>
  <si>
    <t>5.93% ODISHA SDL (MD 08/04/2022)</t>
  </si>
  <si>
    <t>8.48% Tamilnadu SDL (MD 04/07/2023)</t>
  </si>
  <si>
    <t>9.22% Gujarat SDL (MD 09/10/2023)</t>
  </si>
  <si>
    <t>7.68% Chattisgarh SDL (MD 20/03/2024)</t>
  </si>
  <si>
    <t>8.14% Gujarat SDL (MD 14/01/2025)</t>
  </si>
  <si>
    <t>6.49% Madhya Pradesh SDL (MD 31/03/2024)</t>
  </si>
  <si>
    <t>8.06% Maharastra SDL (MD 11/02/2025)</t>
  </si>
  <si>
    <t>6.68% Andhra Pradesh SDL (MD 15/04/2024)</t>
  </si>
  <si>
    <t>6.64% Rajasthan SDL (MD 05/02/2024)</t>
  </si>
  <si>
    <t>8.83% Tamilnadu SDL (MD 11/06/2024)</t>
  </si>
  <si>
    <t>8.13% TAMIL NADU SDL MAT - 14-Jan-2025</t>
  </si>
  <si>
    <t>8.08% Haryana SDL (MD 28/01/2025)</t>
  </si>
  <si>
    <t>6.99% Madhya Pradesh SDL (MD 24/03/2024)</t>
  </si>
  <si>
    <t>6.7% Odisha SDL (MD 08/04/2024)</t>
  </si>
  <si>
    <t>9.55% Karnataka SDL (MD 12/02/2024)</t>
  </si>
  <si>
    <t>5.6% Haryana SDL (MD 20/05/2024)</t>
  </si>
  <si>
    <t>9.47% Haryana SDL (MD 26/03/2024)</t>
  </si>
  <si>
    <t>9.63% Andhra Pradesh SDL (MD 12/02/2024)</t>
  </si>
  <si>
    <t>9.80% Haryana SDL (MD 26/02/2024)</t>
  </si>
  <si>
    <t>8.96% Maharashtra SDL  (MD 09/07/2024)</t>
  </si>
  <si>
    <t>5.6% Maharashtra SDL (MD 09/09/2024)</t>
  </si>
  <si>
    <t>9.48% Andhra Pradesh SDL (MD 26/03/2024)</t>
  </si>
  <si>
    <t>8.05% Maharashtra SDL (MD 28/01/2025)</t>
  </si>
  <si>
    <t>9.5% Gujrat SDL (MD 11/09/2023)</t>
  </si>
  <si>
    <t>9.71% Haryana SDL (MD 12/03/2024)</t>
  </si>
  <si>
    <t>9.24% Haryana SDL (MD 16/01/2024)</t>
  </si>
  <si>
    <t>9.37% Gujarat SDL (MD 30/01/2024)</t>
  </si>
  <si>
    <t>9.11% Maharashtra SDL (MD 28/05/2024)</t>
  </si>
  <si>
    <t>8.07% Gujrat SDL (MD 11/02/2025)</t>
  </si>
  <si>
    <t>5.75% Tamilnadu SDL (MD 27/05/2025)</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</si>
  <si>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</si>
  <si>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 Corporate Guarantee from Tata Power</t>
  </si>
  <si>
    <t>^PTC originated by Reliance Industries Limited</t>
  </si>
  <si>
    <t>^^AT1 Bonds under Basel III</t>
  </si>
  <si>
    <t>Bank of Baroda^^</t>
  </si>
  <si>
    <t>Indian Bank^^</t>
  </si>
  <si>
    <t>Tata Power Renewable Energy Limited*</t>
  </si>
  <si>
    <t>IndusInd Bank Limited^^</t>
  </si>
  <si>
    <t>First Business Receivables Trust^</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</si>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</sst>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Black]\(0.00%\)"/>
    <numFmt numFmtId="166" formatCode="0.000%;[Black]\(0.000%\)"/>
    <numFmt numFmtId="167"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4">
    <fill>
      <patternFill patternType="none"/>
    </fill>
    <fill>
      <patternFill patternType="gray125"/>
    </fill>
    <fill>
      <patternFill patternType="solid">
        <fgColor rgb="FFD8D8D8"/>
        <bgColor indexed="64"/>
      </patternFill>
    </fill>
    <fill>
      <patternFill patternType="solid">
        <fgColor theme="0"/>
        <bgColor indexed="64"/>
      </patternFill>
    </fill>
  </fills>
  <borders count="27">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applyAlignment="1">
      <alignment horizontal="center" vertical="center"/>
    </xf>
    <xf numFmtId="0" fontId="0" fillId="0" borderId="22" xfId="0" applyBorder="1"/>
    <xf numFmtId="0" fontId="0" fillId="0" borderId="22" xfId="0" applyBorder="1" applyAlignment="1">
      <alignment vertical="center"/>
    </xf>
    <xf numFmtId="0" fontId="0" fillId="0" borderId="23" xfId="0" applyBorder="1"/>
    <xf numFmtId="0" fontId="0" fillId="0" borderId="24" xfId="0" applyBorder="1"/>
    <xf numFmtId="0" fontId="0" fillId="0" borderId="25" xfId="0" applyBorder="1"/>
    <xf numFmtId="166" fontId="1" fillId="0" borderId="2" xfId="0" applyNumberFormat="1" applyFont="1" applyBorder="1" applyAlignment="1">
      <alignment vertical="center"/>
    </xf>
    <xf numFmtId="167" fontId="1" fillId="0" borderId="2" xfId="0" applyNumberFormat="1" applyFont="1" applyBorder="1" applyAlignment="1">
      <alignment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applyAlignment="1">
      <alignment horizontal="left" vertical="top" wrapText="1"/>
    </xf>
    <xf numFmtId="0" fontId="0" fillId="3" borderId="0" xfId="0" applyFill="1"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0" xfId="0" applyFill="1" applyBorder="1"/>
    <xf numFmtId="0" fontId="1" fillId="0" borderId="26" xfId="0" applyFont="1" applyBorder="1" applyAlignment="1">
      <alignment vertical="center"/>
    </xf>
    <xf numFmtId="164" fontId="1" fillId="0" borderId="26"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305147616701"/>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5813-4112-93AD-2D53AB35CA9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5813-4112-93AD-2D53AB35CA9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layout>
                <c:manualLayout>
                  <c:x val="0.19279333659309716"/>
                  <c:y val="9.73648293963254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677D-454D-8492-8D5B1118A902}"/>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677D-454D-8492-8D5B1118A90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TRI Party Repo</c:v>
                </c:pt>
                <c:pt idx="1">
                  <c:v>Net Current Asset</c:v>
                </c:pt>
              </c:strCache>
            </c:strRef>
          </c:cat>
          <c:val>
            <c:numRef>
              <c:f>'IDFC OF'!$K$9:$K$10</c:f>
              <c:numCache>
                <c:formatCode>0.00%</c:formatCode>
                <c:ptCount val="2"/>
                <c:pt idx="0">
                  <c:v>0.99641299999999999</c:v>
                </c:pt>
                <c:pt idx="1">
                  <c:v>3.5869999999999999E-3</c:v>
                </c:pt>
              </c:numCache>
            </c:numRef>
          </c:val>
          <c:extLst>
            <c:ext xmlns:c16="http://schemas.microsoft.com/office/drawing/2014/chart" uri="{C3380CC4-5D6E-409C-BE32-E72D297353CC}">
              <c16:uniqueId val="{0000000C-677D-454D-8492-8D5B1118A90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BBD-48CC-BB93-6463AE47163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9BBD-48CC-BB93-6463AE47163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8F36-4ED5-A1D1-042E1C3CA51D}"/>
                </c:ext>
              </c:extLst>
            </c:dLbl>
            <c:dLbl>
              <c:idx val="1"/>
              <c:layout>
                <c:manualLayout>
                  <c:x val="-1.7935726449611358E-2"/>
                  <c:y val="-0.1448351648351648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8F36-4ED5-A1D1-042E1C3CA51D}"/>
                </c:ext>
              </c:extLst>
            </c:dLbl>
            <c:dLbl>
              <c:idx val="2"/>
              <c:layout>
                <c:manualLayout>
                  <c:x val="2.1254025527323004E-2"/>
                  <c:y val="-1.86799342389893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8F36-4ED5-A1D1-042E1C3CA51D}"/>
                </c:ext>
              </c:extLst>
            </c:dLbl>
            <c:dLbl>
              <c:idx val="3"/>
              <c:layout>
                <c:manualLayout>
                  <c:x val="-0.11597700180411068"/>
                  <c:y val="0.1752337111707190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8F36-4ED5-A1D1-042E1C3CA51D}"/>
                </c:ext>
              </c:extLst>
            </c:dLbl>
            <c:dLbl>
              <c:idx val="4"/>
              <c:layout>
                <c:manualLayout>
                  <c:x val="5.3450235208821598E-2"/>
                  <c:y val="0.495911049580340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8F36-4ED5-A1D1-042E1C3CA51D}"/>
                </c:ext>
              </c:extLst>
            </c:dLbl>
            <c:dLbl>
              <c:idx val="5"/>
              <c:layout>
                <c:manualLayout>
                  <c:x val="-0.17620394881046722"/>
                  <c:y val="-4.63362464307346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8F36-4ED5-A1D1-042E1C3CA51D}"/>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8F36-4ED5-A1D1-042E1C3CA51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TRI Party Repo</c:v>
                </c:pt>
                <c:pt idx="1">
                  <c:v>Certificate of Deposit</c:v>
                </c:pt>
                <c:pt idx="2">
                  <c:v>Corporate Bond</c:v>
                </c:pt>
                <c:pt idx="3">
                  <c:v>Commercial Paper</c:v>
                </c:pt>
                <c:pt idx="4">
                  <c:v>Treasury Bill</c:v>
                </c:pt>
                <c:pt idx="5">
                  <c:v>Zero Coupon Bond</c:v>
                </c:pt>
                <c:pt idx="6">
                  <c:v>Net Current Asset</c:v>
                </c:pt>
              </c:strCache>
            </c:strRef>
          </c:cat>
          <c:val>
            <c:numRef>
              <c:f>'IDFC CF'!$K$9:$K$15</c:f>
              <c:numCache>
                <c:formatCode>0.00%</c:formatCode>
                <c:ptCount val="7"/>
                <c:pt idx="0">
                  <c:v>0.156024</c:v>
                </c:pt>
                <c:pt idx="1">
                  <c:v>8.7500000000000008E-3</c:v>
                </c:pt>
                <c:pt idx="2">
                  <c:v>1.0047E-2</c:v>
                </c:pt>
                <c:pt idx="3">
                  <c:v>0.36186499999999999</c:v>
                </c:pt>
                <c:pt idx="4">
                  <c:v>0.44285200000000002</c:v>
                </c:pt>
                <c:pt idx="5">
                  <c:v>1.9547999999999999E-2</c:v>
                </c:pt>
                <c:pt idx="6">
                  <c:v>9.1399999999999999E-4</c:v>
                </c:pt>
              </c:numCache>
            </c:numRef>
          </c:val>
          <c:extLst>
            <c:ext xmlns:c16="http://schemas.microsoft.com/office/drawing/2014/chart" uri="{C3380CC4-5D6E-409C-BE32-E72D297353CC}">
              <c16:uniqueId val="{0000000C-8F36-4ED5-A1D1-042E1C3CA51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0"/>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DBF5-49A0-82D3-A028624131E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DBF5-49A0-82D3-A028624131E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7.5302399298588743E-2"/>
                  <c:y val="-0.1097394984217281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8CCA-4343-957F-68D3DC0920FE}"/>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8CCA-4343-957F-68D3DC0920FE}"/>
                </c:ext>
              </c:extLst>
            </c:dLbl>
            <c:dLbl>
              <c:idx val="2"/>
              <c:layout>
                <c:manualLayout>
                  <c:x val="-4.983206595963513E-2"/>
                  <c:y val="4.54576988449131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8CCA-4343-957F-68D3DC0920FE}"/>
                </c:ext>
              </c:extLst>
            </c:dLbl>
            <c:dLbl>
              <c:idx val="3"/>
              <c:layout>
                <c:manualLayout>
                  <c:x val="-4.7403429496366487E-3"/>
                  <c:y val="0.441531444032051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8CCA-4343-957F-68D3DC0920FE}"/>
                </c:ext>
              </c:extLst>
            </c:dLbl>
            <c:dLbl>
              <c:idx val="4"/>
              <c:layout>
                <c:manualLayout>
                  <c:x val="-1.2685511473806673E-2"/>
                  <c:y val="-8.69610461687883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8CCA-4343-957F-68D3DC0920FE}"/>
                </c:ext>
              </c:extLst>
            </c:dLbl>
            <c:dLbl>
              <c:idx val="5"/>
              <c:layout>
                <c:manualLayout>
                  <c:x val="-0.11316368510681347"/>
                  <c:y val="-0.1979048874397308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8CCA-4343-957F-68D3DC0920FE}"/>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8CCA-4343-957F-68D3DC0920FE}"/>
                </c:ext>
              </c:extLst>
            </c:dLbl>
            <c:dLbl>
              <c:idx val="7"/>
              <c:layout>
                <c:manualLayout>
                  <c:x val="-1.80986865399855E-2"/>
                  <c:y val="-4.700475215928405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8CCA-4343-957F-68D3DC0920FE}"/>
                </c:ext>
              </c:extLst>
            </c:dLbl>
            <c:dLbl>
              <c:idx val="8"/>
              <c:layout>
                <c:manualLayout>
                  <c:x val="0.11259134364093139"/>
                  <c:y val="-2.13843699053036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8CCA-4343-957F-68D3DC0920FE}"/>
                </c:ext>
              </c:extLst>
            </c:dLbl>
            <c:dLbl>
              <c:idx val="9"/>
              <c:layout>
                <c:manualLayout>
                  <c:x val="0.26112175217926448"/>
                  <c:y val="-3.23975857643345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6-8CCA-4343-957F-68D3DC0920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LDF'!$J$9:$J$18</c:f>
              <c:strCache>
                <c:ptCount val="10"/>
                <c:pt idx="0">
                  <c:v>TRI Party Repo</c:v>
                </c:pt>
                <c:pt idx="1">
                  <c:v>Certificate of Deposit</c:v>
                </c:pt>
                <c:pt idx="2">
                  <c:v>Corporate Bond</c:v>
                </c:pt>
                <c:pt idx="3">
                  <c:v>Commercial Paper</c:v>
                </c:pt>
                <c:pt idx="4">
                  <c:v>Floating Rate Note</c:v>
                </c:pt>
                <c:pt idx="5">
                  <c:v>Government Bond</c:v>
                </c:pt>
                <c:pt idx="6">
                  <c:v>State Government Bond</c:v>
                </c:pt>
                <c:pt idx="7">
                  <c:v>Treasury Bill</c:v>
                </c:pt>
                <c:pt idx="8">
                  <c:v>Zero Coupon Bond</c:v>
                </c:pt>
                <c:pt idx="9">
                  <c:v>Net Current Asset</c:v>
                </c:pt>
              </c:strCache>
            </c:strRef>
          </c:cat>
          <c:val>
            <c:numRef>
              <c:f>'IDFC LDF'!$K$9:$K$18</c:f>
              <c:numCache>
                <c:formatCode>0.00%</c:formatCode>
                <c:ptCount val="10"/>
                <c:pt idx="0">
                  <c:v>0.22713900000000001</c:v>
                </c:pt>
                <c:pt idx="1">
                  <c:v>0.158529</c:v>
                </c:pt>
                <c:pt idx="2">
                  <c:v>0.328685</c:v>
                </c:pt>
                <c:pt idx="3">
                  <c:v>0.13576199999999999</c:v>
                </c:pt>
                <c:pt idx="4">
                  <c:v>1.4475E-2</c:v>
                </c:pt>
                <c:pt idx="5">
                  <c:v>0.10831499999999999</c:v>
                </c:pt>
                <c:pt idx="6">
                  <c:v>1.7239999999999998E-2</c:v>
                </c:pt>
                <c:pt idx="7">
                  <c:v>3.594E-3</c:v>
                </c:pt>
                <c:pt idx="8">
                  <c:v>1.7017999999999998E-2</c:v>
                </c:pt>
                <c:pt idx="9">
                  <c:v>-1.0756999999999999E-2</c:v>
                </c:pt>
              </c:numCache>
            </c:numRef>
          </c:val>
          <c:extLst>
            <c:ext xmlns:c16="http://schemas.microsoft.com/office/drawing/2014/chart" uri="{C3380CC4-5D6E-409C-BE32-E72D297353CC}">
              <c16:uniqueId val="{0000000C-8CCA-4343-957F-68D3DC0920F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6.16740088105726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C13-4527-82AC-4597A2FE99D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9C13-4527-82AC-4597A2FE99D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manualLayout>
                  <c:x val="-8.9603601477010228E-2"/>
                  <c:y val="-0.1193527133432645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0E1-49E7-B2E9-F804FDF79A5D}"/>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30E1-49E7-B2E9-F804FDF79A5D}"/>
                </c:ext>
              </c:extLst>
            </c:dLbl>
            <c:dLbl>
              <c:idx val="2"/>
              <c:layout>
                <c:manualLayout>
                  <c:x val="0.12576202599942674"/>
                  <c:y val="6.185145775696956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30E1-49E7-B2E9-F804FDF79A5D}"/>
                </c:ext>
              </c:extLst>
            </c:dLbl>
            <c:dLbl>
              <c:idx val="3"/>
              <c:layout>
                <c:manualLayout>
                  <c:x val="-4.7403429496366487E-3"/>
                  <c:y val="0.19002136624813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30E1-49E7-B2E9-F804FDF79A5D}"/>
                </c:ext>
              </c:extLst>
            </c:dLbl>
            <c:dLbl>
              <c:idx val="4"/>
              <c:layout>
                <c:manualLayout>
                  <c:x val="-1.8250096949872702E-2"/>
                  <c:y val="-1.59536922749521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30E1-49E7-B2E9-F804FDF79A5D}"/>
                </c:ext>
              </c:extLst>
            </c:dLbl>
            <c:dLbl>
              <c:idx val="5"/>
              <c:layout>
                <c:manualLayout>
                  <c:x val="-8.2668229105194821E-2"/>
                  <c:y val="-0.1125836135347946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30E1-49E7-B2E9-F804FDF79A5D}"/>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30E1-49E7-B2E9-F804FDF79A5D}"/>
                </c:ext>
              </c:extLst>
            </c:dLbl>
            <c:dLbl>
              <c:idx val="7"/>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30E1-49E7-B2E9-F804FDF79A5D}"/>
                </c:ext>
              </c:extLst>
            </c:dLbl>
            <c:dLbl>
              <c:idx val="8"/>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5-30E1-49E7-B2E9-F804FDF79A5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USTF'!$J$9:$J$17</c:f>
              <c:strCache>
                <c:ptCount val="9"/>
                <c:pt idx="0">
                  <c:v>TRI Party Repo</c:v>
                </c:pt>
                <c:pt idx="1">
                  <c:v>Certificate of Deposit</c:v>
                </c:pt>
                <c:pt idx="2">
                  <c:v>Corporate Bond</c:v>
                </c:pt>
                <c:pt idx="3">
                  <c:v>Commercial Paper</c:v>
                </c:pt>
                <c:pt idx="4">
                  <c:v>Floating Rate Note</c:v>
                </c:pt>
                <c:pt idx="5">
                  <c:v>Government Bond</c:v>
                </c:pt>
                <c:pt idx="6">
                  <c:v>State Government Bond</c:v>
                </c:pt>
                <c:pt idx="7">
                  <c:v>Treasury Bill</c:v>
                </c:pt>
                <c:pt idx="8">
                  <c:v>Net Current Asset</c:v>
                </c:pt>
              </c:strCache>
            </c:strRef>
          </c:cat>
          <c:val>
            <c:numRef>
              <c:f>'IDFC USTF'!$K$9:$K$17</c:f>
              <c:numCache>
                <c:formatCode>0.00%</c:formatCode>
                <c:ptCount val="9"/>
                <c:pt idx="0">
                  <c:v>0.33846999999999999</c:v>
                </c:pt>
                <c:pt idx="1">
                  <c:v>9.8027000000000003E-2</c:v>
                </c:pt>
                <c:pt idx="2">
                  <c:v>0.168324</c:v>
                </c:pt>
                <c:pt idx="3">
                  <c:v>0.21216099999999999</c:v>
                </c:pt>
                <c:pt idx="4">
                  <c:v>1.9980000000000001E-2</c:v>
                </c:pt>
                <c:pt idx="5">
                  <c:v>4.7287000000000003E-2</c:v>
                </c:pt>
                <c:pt idx="6">
                  <c:v>6.0208999999999999E-2</c:v>
                </c:pt>
                <c:pt idx="7">
                  <c:v>5.4782999999999998E-2</c:v>
                </c:pt>
                <c:pt idx="8">
                  <c:v>7.5900000000000002E-4</c:v>
                </c:pt>
              </c:numCache>
            </c:numRef>
          </c:val>
          <c:extLst>
            <c:ext xmlns:c16="http://schemas.microsoft.com/office/drawing/2014/chart" uri="{C3380CC4-5D6E-409C-BE32-E72D297353CC}">
              <c16:uniqueId val="{0000000C-30E1-49E7-B2E9-F804FDF79A5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209774233252963"/>
                  <c:y val="-5.28634361233480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805-41ED-9AC2-FC9D20395B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E805-41ED-9AC2-FC9D20395BC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EE4-416F-960C-C175A5E0FCD6}"/>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EEE4-416F-960C-C175A5E0FCD6}"/>
                </c:ext>
              </c:extLst>
            </c:dLbl>
            <c:dLbl>
              <c:idx val="2"/>
              <c:layout>
                <c:manualLayout>
                  <c:x val="-3.9198688226070241E-2"/>
                  <c:y val="6.747876427919157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EEE4-416F-960C-C175A5E0FCD6}"/>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EEE4-416F-960C-C175A5E0FCD6}"/>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EEE4-416F-960C-C175A5E0FCD6}"/>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EEE4-416F-960C-C175A5E0FC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MMF'!$J$9:$J$14</c:f>
              <c:strCache>
                <c:ptCount val="6"/>
                <c:pt idx="0">
                  <c:v>TRI Party Repo</c:v>
                </c:pt>
                <c:pt idx="1">
                  <c:v>Certificate of Deposit</c:v>
                </c:pt>
                <c:pt idx="2">
                  <c:v>Commercial Paper</c:v>
                </c:pt>
                <c:pt idx="3">
                  <c:v>Government Bond</c:v>
                </c:pt>
                <c:pt idx="4">
                  <c:v>State Government Bond</c:v>
                </c:pt>
                <c:pt idx="5">
                  <c:v>Net Current Asset</c:v>
                </c:pt>
              </c:strCache>
            </c:strRef>
          </c:cat>
          <c:val>
            <c:numRef>
              <c:f>'IDFC MMF'!$K$9:$K$14</c:f>
              <c:numCache>
                <c:formatCode>0.00%</c:formatCode>
                <c:ptCount val="6"/>
                <c:pt idx="0">
                  <c:v>8.3094000000000001E-2</c:v>
                </c:pt>
                <c:pt idx="1">
                  <c:v>0.207951</c:v>
                </c:pt>
                <c:pt idx="2">
                  <c:v>0.38316499999999998</c:v>
                </c:pt>
                <c:pt idx="3">
                  <c:v>0.30322100000000002</c:v>
                </c:pt>
                <c:pt idx="4">
                  <c:v>1.6759E-2</c:v>
                </c:pt>
                <c:pt idx="5">
                  <c:v>5.8100000000000001E-3</c:v>
                </c:pt>
              </c:numCache>
            </c:numRef>
          </c:val>
          <c:extLst>
            <c:ext xmlns:c16="http://schemas.microsoft.com/office/drawing/2014/chart" uri="{C3380CC4-5D6E-409C-BE32-E72D297353CC}">
              <c16:uniqueId val="{0000000C-EEE4-416F-960C-C175A5E0FCD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48F-4E18-9FCB-D1D10EA197D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048F-4E18-9FCB-D1D10EA197D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layout>
                <c:manualLayout>
                  <c:x val="0.2052990271291035"/>
                  <c:y val="1.74418197725284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9E73-41B9-9B76-E039C3CBE7D6}"/>
                </c:ext>
              </c:extLst>
            </c:dLbl>
            <c:dLbl>
              <c:idx val="1"/>
              <c:layout>
                <c:manualLayout>
                  <c:x val="7.4736970780151415E-2"/>
                  <c:y val="-6.930183727034120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9E73-41B9-9B76-E039C3CBE7D6}"/>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9E73-41B9-9B76-E039C3CBE7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TRI Party Repo</c:v>
                </c:pt>
                <c:pt idx="1">
                  <c:v>Government Bond</c:v>
                </c:pt>
                <c:pt idx="2">
                  <c:v>Net Current Asset</c:v>
                </c:pt>
              </c:strCache>
            </c:strRef>
          </c:cat>
          <c:val>
            <c:numRef>
              <c:f>'IDFC DBF'!$K$9:$K$11</c:f>
              <c:numCache>
                <c:formatCode>0.00%</c:formatCode>
                <c:ptCount val="3"/>
                <c:pt idx="0">
                  <c:v>1.3910000000000001E-3</c:v>
                </c:pt>
                <c:pt idx="1">
                  <c:v>0.977912</c:v>
                </c:pt>
                <c:pt idx="2">
                  <c:v>2.0697E-2</c:v>
                </c:pt>
              </c:numCache>
            </c:numRef>
          </c:val>
          <c:extLst>
            <c:ext xmlns:c16="http://schemas.microsoft.com/office/drawing/2014/chart" uri="{C3380CC4-5D6E-409C-BE32-E72D297353CC}">
              <c16:uniqueId val="{0000000C-9E73-41B9-9B76-E039C3CBE7D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7783650036250823"/>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E8E-4C13-B991-3EB8AAE88E5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EE8E-4C13-B991-3EB8AAE88E5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5D3-4061-877F-7F9B5EAEE4C8}"/>
                </c:ext>
              </c:extLst>
            </c:dLbl>
            <c:dLbl>
              <c:idx val="1"/>
              <c:layout>
                <c:manualLayout>
                  <c:x val="3.8849837292822334E-2"/>
                  <c:y val="-2.485739282589676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75D3-4061-877F-7F9B5EAEE4C8}"/>
                </c:ext>
              </c:extLst>
            </c:dLbl>
            <c:dLbl>
              <c:idx val="2"/>
              <c:layout>
                <c:manualLayout>
                  <c:x val="0.23757043619012291"/>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75D3-4061-877F-7F9B5EAEE4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TRI Party Repo</c:v>
                </c:pt>
                <c:pt idx="1">
                  <c:v>Government Bond</c:v>
                </c:pt>
                <c:pt idx="2">
                  <c:v>Net Current Asset</c:v>
                </c:pt>
              </c:strCache>
            </c:strRef>
          </c:cat>
          <c:val>
            <c:numRef>
              <c:f>'IDFC BOND IP'!$K$9:$K$11</c:f>
              <c:numCache>
                <c:formatCode>0.00%</c:formatCode>
                <c:ptCount val="3"/>
                <c:pt idx="0">
                  <c:v>1.4289999999999999E-3</c:v>
                </c:pt>
                <c:pt idx="1">
                  <c:v>0.98213799999999996</c:v>
                </c:pt>
                <c:pt idx="2">
                  <c:v>1.6433E-2</c:v>
                </c:pt>
              </c:numCache>
            </c:numRef>
          </c:val>
          <c:extLst>
            <c:ext xmlns:c16="http://schemas.microsoft.com/office/drawing/2014/chart" uri="{C3380CC4-5D6E-409C-BE32-E72D297353CC}">
              <c16:uniqueId val="{0000000C-75D3-4061-877F-7F9B5EAEE4C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905705710769022"/>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B98A-44CF-B7AD-08523183B7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B98A-44CF-B7AD-08523183B7F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9A1-402E-A16F-CABE0FD85DB2}"/>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09A1-402E-A16F-CABE0FD85DB2}"/>
                </c:ext>
              </c:extLst>
            </c:dLbl>
            <c:dLbl>
              <c:idx val="2"/>
              <c:layout>
                <c:manualLayout>
                  <c:x val="2.1591832605506754E-2"/>
                  <c:y val="5.07465385895018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09A1-402E-A16F-CABE0FD85DB2}"/>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09A1-402E-A16F-CABE0FD85DB2}"/>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09A1-402E-A16F-CABE0FD85DB2}"/>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09A1-402E-A16F-CABE0FD85DB2}"/>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09A1-402E-A16F-CABE0FD85D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MT'!$J$9:$J$15</c:f>
              <c:strCache>
                <c:ptCount val="7"/>
                <c:pt idx="0">
                  <c:v>TRI Party Repo</c:v>
                </c:pt>
                <c:pt idx="1">
                  <c:v>Corporate Bond</c:v>
                </c:pt>
                <c:pt idx="2">
                  <c:v>Government Bond</c:v>
                </c:pt>
                <c:pt idx="3">
                  <c:v>PTC</c:v>
                </c:pt>
                <c:pt idx="4">
                  <c:v>State Government Bond</c:v>
                </c:pt>
                <c:pt idx="5">
                  <c:v>Treasury Bill</c:v>
                </c:pt>
                <c:pt idx="6">
                  <c:v>Net Current Asset</c:v>
                </c:pt>
              </c:strCache>
            </c:strRef>
          </c:cat>
          <c:val>
            <c:numRef>
              <c:f>'IDFC BOND MT'!$K$9:$K$15</c:f>
              <c:numCache>
                <c:formatCode>0.00%</c:formatCode>
                <c:ptCount val="7"/>
                <c:pt idx="0">
                  <c:v>6.6154000000000004E-2</c:v>
                </c:pt>
                <c:pt idx="1">
                  <c:v>0.19470599999999999</c:v>
                </c:pt>
                <c:pt idx="2">
                  <c:v>0.66422999999999999</c:v>
                </c:pt>
                <c:pt idx="3">
                  <c:v>7.6480000000000003E-3</c:v>
                </c:pt>
                <c:pt idx="4">
                  <c:v>7.3670000000000003E-3</c:v>
                </c:pt>
                <c:pt idx="5">
                  <c:v>1.5901999999999999E-2</c:v>
                </c:pt>
                <c:pt idx="6">
                  <c:v>4.3992999999999997E-2</c:v>
                </c:pt>
              </c:numCache>
            </c:numRef>
          </c:val>
          <c:extLst>
            <c:ext xmlns:c16="http://schemas.microsoft.com/office/drawing/2014/chart" uri="{C3380CC4-5D6E-409C-BE32-E72D297353CC}">
              <c16:uniqueId val="{0000000C-09A1-402E-A16F-CABE0FD85DB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7997782798563453"/>
                  <c:y val="-2.55555555555555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8AE-4B23-B47B-5D27E4D692F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38AE-4B23-B47B-5D27E4D692FA}"/>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6.2315162960090376E-2"/>
                  <c:y val="-1.96453239397706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BC6-4ED7-A5AF-96B10277BB37}"/>
                </c:ext>
              </c:extLst>
            </c:dLbl>
            <c:dLbl>
              <c:idx val="1"/>
              <c:layout>
                <c:manualLayout>
                  <c:x val="-0.13350579170109089"/>
                  <c:y val="9.952410553943914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2BC6-4ED7-A5AF-96B10277BB37}"/>
                </c:ext>
              </c:extLst>
            </c:dLbl>
            <c:dLbl>
              <c:idx val="2"/>
              <c:layout>
                <c:manualLayout>
                  <c:x val="-7.3360619804751392E-2"/>
                  <c:y val="-3.64836303356817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2BC6-4ED7-A5AF-96B10277BB37}"/>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2BC6-4ED7-A5AF-96B10277BB37}"/>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2BC6-4ED7-A5AF-96B10277BB37}"/>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2BC6-4ED7-A5AF-96B10277BB3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ST'!$J$9:$J$14</c:f>
              <c:strCache>
                <c:ptCount val="6"/>
                <c:pt idx="0">
                  <c:v>TRI Party Repo</c:v>
                </c:pt>
                <c:pt idx="1">
                  <c:v>Corporate Bond</c:v>
                </c:pt>
                <c:pt idx="2">
                  <c:v>Government Bond</c:v>
                </c:pt>
                <c:pt idx="3">
                  <c:v>PTC</c:v>
                </c:pt>
                <c:pt idx="4">
                  <c:v>Treasury Bill</c:v>
                </c:pt>
                <c:pt idx="5">
                  <c:v>Net Current Asset</c:v>
                </c:pt>
              </c:strCache>
            </c:strRef>
          </c:cat>
          <c:val>
            <c:numRef>
              <c:f>'IDFC BOND ST'!$K$9:$K$14</c:f>
              <c:numCache>
                <c:formatCode>0.00%</c:formatCode>
                <c:ptCount val="6"/>
                <c:pt idx="0">
                  <c:v>2.5801000000000001E-2</c:v>
                </c:pt>
                <c:pt idx="1">
                  <c:v>0.76141199999999998</c:v>
                </c:pt>
                <c:pt idx="2">
                  <c:v>0.16485</c:v>
                </c:pt>
                <c:pt idx="3">
                  <c:v>6.0289999999999996E-3</c:v>
                </c:pt>
                <c:pt idx="4">
                  <c:v>1.1068E-2</c:v>
                </c:pt>
                <c:pt idx="5">
                  <c:v>3.0839999999999999E-2</c:v>
                </c:pt>
              </c:numCache>
            </c:numRef>
          </c:val>
          <c:extLst>
            <c:ext xmlns:c16="http://schemas.microsoft.com/office/drawing/2014/chart" uri="{C3380CC4-5D6E-409C-BE32-E72D297353CC}">
              <c16:uniqueId val="{0000000C-2BC6-4ED7-A5AF-96B10277BB3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638039757878234"/>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79A-4DD0-A1FA-2C6C7D824AD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E79A-4DD0-A1FA-2C6C7D824AD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0.17077011920619131"/>
                  <c:y val="-4.338025224723015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4BC1-43E4-96F9-FC98E37C175E}"/>
                </c:ext>
              </c:extLst>
            </c:dLbl>
            <c:dLbl>
              <c:idx val="1"/>
              <c:layout>
                <c:manualLayout>
                  <c:x val="0.22865753932792662"/>
                  <c:y val="4.65469305274893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4BC1-43E4-96F9-FC98E37C175E}"/>
                </c:ext>
              </c:extLst>
            </c:dLbl>
            <c:dLbl>
              <c:idx val="2"/>
              <c:layout>
                <c:manualLayout>
                  <c:x val="-5.4213862988753893E-2"/>
                  <c:y val="6.07497735349453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4BC1-43E4-96F9-FC98E37C175E}"/>
                </c:ext>
              </c:extLst>
            </c:dLbl>
            <c:dLbl>
              <c:idx val="3"/>
              <c:layout>
                <c:manualLayout>
                  <c:x val="-5.3187037380498743E-2"/>
                  <c:y val="0.5033872204027594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4BC1-43E4-96F9-FC98E37C175E}"/>
                </c:ext>
              </c:extLst>
            </c:dLbl>
            <c:dLbl>
              <c:idx val="4"/>
              <c:layout>
                <c:manualLayout>
                  <c:x val="-0.12238184761166096"/>
                  <c:y val="-1.34255452581701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4BC1-43E4-96F9-FC98E37C175E}"/>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4BC1-43E4-96F9-FC98E37C175E}"/>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4BC1-43E4-96F9-FC98E37C175E}"/>
                </c:ext>
              </c:extLst>
            </c:dLbl>
            <c:dLbl>
              <c:idx val="7"/>
              <c:layout>
                <c:manualLayout>
                  <c:x val="-0.1462905292620007"/>
                  <c:y val="-9.06212110654309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4-4BC1-43E4-96F9-FC98E37C17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TRI Party Repo</c:v>
                </c:pt>
                <c:pt idx="1">
                  <c:v>Certificate of Deposit</c:v>
                </c:pt>
                <c:pt idx="2">
                  <c:v>Corporate Bond</c:v>
                </c:pt>
                <c:pt idx="3">
                  <c:v>Commercial Paper</c:v>
                </c:pt>
                <c:pt idx="4">
                  <c:v>Government Bond</c:v>
                </c:pt>
                <c:pt idx="5">
                  <c:v>State Government Bond</c:v>
                </c:pt>
                <c:pt idx="6">
                  <c:v>Zero Coupon Bond</c:v>
                </c:pt>
                <c:pt idx="7">
                  <c:v>Net Current Asset</c:v>
                </c:pt>
              </c:strCache>
            </c:strRef>
          </c:cat>
          <c:val>
            <c:numRef>
              <c:f>'IDFC BPDF'!$K$9:$K$16</c:f>
              <c:numCache>
                <c:formatCode>0.00%</c:formatCode>
                <c:ptCount val="8"/>
                <c:pt idx="0">
                  <c:v>3.8499999999999998E-4</c:v>
                </c:pt>
                <c:pt idx="1">
                  <c:v>2.9440999999999998E-2</c:v>
                </c:pt>
                <c:pt idx="2">
                  <c:v>0.81149300000000002</c:v>
                </c:pt>
                <c:pt idx="3">
                  <c:v>8.4060000000000003E-3</c:v>
                </c:pt>
                <c:pt idx="4">
                  <c:v>0.11219999999999999</c:v>
                </c:pt>
                <c:pt idx="5">
                  <c:v>7.1739999999999998E-3</c:v>
                </c:pt>
                <c:pt idx="6">
                  <c:v>1.6100000000000001E-4</c:v>
                </c:pt>
                <c:pt idx="7">
                  <c:v>3.074E-2</c:v>
                </c:pt>
              </c:numCache>
            </c:numRef>
          </c:val>
          <c:extLst>
            <c:ext xmlns:c16="http://schemas.microsoft.com/office/drawing/2014/chart" uri="{C3380CC4-5D6E-409C-BE32-E72D297353CC}">
              <c16:uniqueId val="{0000000C-4BC1-43E4-96F9-FC98E37C175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78D6-414E-A5B6-C0025AF9F9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78D6-414E-A5B6-C0025AF9F9A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layout>
                <c:manualLayout>
                  <c:x val="0.2371205887807922"/>
                  <c:y val="-2.61246979889103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CCFF-4F6D-8296-D033E6B76A0D}"/>
                </c:ext>
              </c:extLst>
            </c:dLbl>
            <c:dLbl>
              <c:idx val="1"/>
              <c:layout>
                <c:manualLayout>
                  <c:x val="-6.8806589219174152E-3"/>
                  <c:y val="1.69216596269837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CCFF-4F6D-8296-D033E6B76A0D}"/>
                </c:ext>
              </c:extLst>
            </c:dLbl>
            <c:dLbl>
              <c:idx val="2"/>
              <c:layout>
                <c:manualLayout>
                  <c:x val="-0.14577357567991375"/>
                  <c:y val="0.15431228381220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CCFF-4F6D-8296-D033E6B76A0D}"/>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CCFF-4F6D-8296-D033E6B76A0D}"/>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CCFF-4F6D-8296-D033E6B76A0D}"/>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CCFF-4F6D-8296-D033E6B76A0D}"/>
                </c:ext>
              </c:extLst>
            </c:dLbl>
            <c:dLbl>
              <c:idx val="6"/>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3-CCFF-4F6D-8296-D033E6B76A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'IDFC-CBF'!$J$9:$J$15</c:f>
              <c:strCache>
                <c:ptCount val="7"/>
                <c:pt idx="0">
                  <c:v>TRI Party Repo</c:v>
                </c:pt>
                <c:pt idx="1">
                  <c:v>Certificate of Deposit</c:v>
                </c:pt>
                <c:pt idx="2">
                  <c:v>Corporate Bond</c:v>
                </c:pt>
                <c:pt idx="3">
                  <c:v>Commercial Paper</c:v>
                </c:pt>
                <c:pt idx="4">
                  <c:v>Government Bond</c:v>
                </c:pt>
                <c:pt idx="5">
                  <c:v>State Government Bond</c:v>
                </c:pt>
                <c:pt idx="6">
                  <c:v>Net Current Asset</c:v>
                </c:pt>
              </c:strCache>
            </c:strRef>
          </c:cat>
          <c:val>
            <c:numRef>
              <c:f>'IDFC-CBF'!$K$9:$K$15</c:f>
              <c:numCache>
                <c:formatCode>0.00%</c:formatCode>
                <c:ptCount val="7"/>
                <c:pt idx="0">
                  <c:v>9.0220000000000005E-3</c:v>
                </c:pt>
                <c:pt idx="1">
                  <c:v>2.1919999999999999E-3</c:v>
                </c:pt>
                <c:pt idx="2">
                  <c:v>0.70779700000000001</c:v>
                </c:pt>
                <c:pt idx="3">
                  <c:v>5.372E-3</c:v>
                </c:pt>
                <c:pt idx="4">
                  <c:v>0.184224</c:v>
                </c:pt>
                <c:pt idx="5">
                  <c:v>6.9982000000000003E-2</c:v>
                </c:pt>
                <c:pt idx="6">
                  <c:v>2.1410999999999999E-2</c:v>
                </c:pt>
              </c:numCache>
            </c:numRef>
          </c:val>
          <c:extLst>
            <c:ext xmlns:c16="http://schemas.microsoft.com/office/drawing/2014/chart" uri="{C3380CC4-5D6E-409C-BE32-E72D297353CC}">
              <c16:uniqueId val="{0000000C-CCFF-4F6D-8296-D033E6B76A0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52883204909879"/>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025156384359876"/>
                      <c:h val="0.16519823788546256"/>
                    </c:manualLayout>
                  </c15:layout>
                </c:ext>
                <c:ext xmlns:c16="http://schemas.microsoft.com/office/drawing/2014/chart" uri="{C3380CC4-5D6E-409C-BE32-E72D297353CC}">
                  <c16:uniqueId val="{0000000D-17E6-4973-82BB-929C7B4D7C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c:f>
              <c:strCache>
                <c:ptCount val="1"/>
                <c:pt idx="0">
                  <c:v>AAA EQUIVALENT</c:v>
                </c:pt>
              </c:strCache>
            </c:strRef>
          </c:cat>
          <c:val>
            <c:numRef>
              <c:f>'IDFC FRF'!$H$8</c:f>
              <c:numCache>
                <c:formatCode>0%</c:formatCode>
                <c:ptCount val="1"/>
                <c:pt idx="0">
                  <c:v>1</c:v>
                </c:pt>
              </c:numCache>
            </c:numRef>
          </c:val>
          <c:extLst>
            <c:ext xmlns:c16="http://schemas.microsoft.com/office/drawing/2014/chart" uri="{C3380CC4-5D6E-409C-BE32-E72D297353CC}">
              <c16:uniqueId val="{0000000C-17E6-4973-82BB-929C7B4D7C0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983-44FD-B2C8-309E57459016}"/>
                </c:ext>
              </c:extLst>
            </c:dLbl>
            <c:dLbl>
              <c:idx val="1"/>
              <c:layout>
                <c:manualLayout>
                  <c:x val="-4.7218971825523953E-2"/>
                  <c:y val="0.308845691763831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0983-44FD-B2C8-309E57459016}"/>
                </c:ext>
              </c:extLst>
            </c:dLbl>
            <c:dLbl>
              <c:idx val="2"/>
              <c:layout>
                <c:manualLayout>
                  <c:x val="1.6929386770979108E-2"/>
                  <c:y val="2.6622643629480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0983-44FD-B2C8-309E57459016}"/>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0983-44FD-B2C8-309E57459016}"/>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0983-44FD-B2C8-309E57459016}"/>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0983-44FD-B2C8-309E5745901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FRF'!$J$9:$J$14</c:f>
              <c:strCache>
                <c:ptCount val="6"/>
                <c:pt idx="0">
                  <c:v>TRI Party Repo</c:v>
                </c:pt>
                <c:pt idx="1">
                  <c:v>Certificate of Deposit</c:v>
                </c:pt>
                <c:pt idx="2">
                  <c:v>Corporate Bond</c:v>
                </c:pt>
                <c:pt idx="3">
                  <c:v>Floating Rate Note</c:v>
                </c:pt>
                <c:pt idx="5">
                  <c:v>Net Current Asset</c:v>
                </c:pt>
              </c:strCache>
            </c:strRef>
          </c:cat>
          <c:val>
            <c:numRef>
              <c:f>'IDFC FRF'!$K$9:$K$14</c:f>
              <c:numCache>
                <c:formatCode>0.00%</c:formatCode>
                <c:ptCount val="6"/>
                <c:pt idx="0">
                  <c:v>0.112515</c:v>
                </c:pt>
                <c:pt idx="1">
                  <c:v>0.28060400000000002</c:v>
                </c:pt>
                <c:pt idx="2">
                  <c:v>0.45251000000000002</c:v>
                </c:pt>
                <c:pt idx="3">
                  <c:v>0.14327599999999999</c:v>
                </c:pt>
                <c:pt idx="5">
                  <c:v>1.1141E-2</c:v>
                </c:pt>
              </c:numCache>
            </c:numRef>
          </c:val>
          <c:extLst>
            <c:ext xmlns:c16="http://schemas.microsoft.com/office/drawing/2014/chart" uri="{C3380CC4-5D6E-409C-BE32-E72D297353CC}">
              <c16:uniqueId val="{0000000C-0983-44FD-B2C8-309E5745901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3.5977001804110752E-2"/>
                  <c:y val="0.24312034004598981"/>
                </c:manualLayout>
              </c:layout>
              <c:spPr>
                <a:noFill/>
                <a:ln>
                  <a:noFill/>
                </a:ln>
                <a:effectLst/>
              </c:spPr>
              <c:txPr>
                <a:bodyPr wrap="square" lIns="38100" tIns="19050" rIns="38100" bIns="19050" anchor="ctr">
                  <a:spAutoFit/>
                </a:bodyPr>
                <a:lstStyle/>
                <a:p>
                  <a:pPr>
                    <a:defRPr sz="1100" b="0">
                      <a:latin typeface="+mn-lt"/>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262843750526904"/>
                      <c:h val="0.16592920353982302"/>
                    </c:manualLayout>
                  </c15:layout>
                </c:ext>
                <c:ext xmlns:c16="http://schemas.microsoft.com/office/drawing/2014/chart" uri="{C3380CC4-5D6E-409C-BE32-E72D297353CC}">
                  <c16:uniqueId val="{0000000D-9530-4145-999E-180C870E8BC9}"/>
                </c:ext>
              </c:extLst>
            </c:dLbl>
            <c:dLbl>
              <c:idx val="1"/>
              <c:layout>
                <c:manualLayout>
                  <c:x val="7.4845891854524602E-2"/>
                  <c:y val="-8.2610271061250087E-2"/>
                </c:manualLayout>
              </c:layout>
              <c:spPr>
                <a:noFill/>
                <a:ln>
                  <a:noFill/>
                </a:ln>
                <a:effectLst/>
              </c:spPr>
              <c:txPr>
                <a:bodyPr wrap="square" lIns="38100" tIns="19050" rIns="38100" bIns="19050" anchor="ctr">
                  <a:spAutoFit/>
                </a:bodyPr>
                <a:lstStyle/>
                <a:p>
                  <a:pPr>
                    <a:defRPr sz="1100" b="0">
                      <a:latin typeface="+mn-lt"/>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9530-4145-999E-180C870E8BC9}"/>
                </c:ext>
              </c:extLst>
            </c:dLbl>
            <c:dLbl>
              <c:idx val="2"/>
              <c:layout>
                <c:manualLayout>
                  <c:x val="6.6764319074676698E-2"/>
                  <c:y val="-4.969200752560797E-2"/>
                </c:manualLayout>
              </c:layout>
              <c:spPr>
                <a:noFill/>
                <a:ln>
                  <a:noFill/>
                </a:ln>
                <a:effectLst/>
              </c:spPr>
              <c:txPr>
                <a:bodyPr wrap="square" lIns="38100" tIns="19050" rIns="38100" bIns="19050" anchor="ctr">
                  <a:spAutoFit/>
                </a:bodyPr>
                <a:lstStyle/>
                <a:p>
                  <a:pPr>
                    <a:defRPr sz="1100" b="0">
                      <a:latin typeface="+mn-lt"/>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9530-4145-999E-180C870E8BC9}"/>
                </c:ext>
              </c:extLst>
            </c:dLbl>
            <c:spPr>
              <a:noFill/>
              <a:ln>
                <a:noFill/>
              </a:ln>
              <a:effectLst/>
            </c:spPr>
            <c:txPr>
              <a:bodyPr wrap="square" lIns="38100" tIns="19050" rIns="38100" bIns="19050" anchor="ctr">
                <a:spAutoFit/>
              </a:bodyPr>
              <a:lstStyle/>
              <a:p>
                <a:pPr>
                  <a:defRPr sz="1100">
                    <a:latin typeface="+mn-lt"/>
                  </a:defRPr>
                </a:pPr>
                <a:endParaRPr lang="en-US"/>
              </a:p>
            </c:txPr>
            <c:showLegendKey val="1"/>
            <c:showVal val="1"/>
            <c:showCatName val="1"/>
            <c:showSerName val="0"/>
            <c:showPercent val="0"/>
            <c:showBubbleSize val="0"/>
            <c:separator>,</c:separator>
            <c:showLeaderLines val="0"/>
            <c:extLst>
              <c:ext xmlns:c15="http://schemas.microsoft.com/office/drawing/2012/chart" uri="{CE6537A1-D6FC-4f65-9D91-7224C49458BB}">
                <c15:layout/>
              </c:ext>
            </c:extLst>
          </c:dLbls>
          <c:cat>
            <c:strRef>
              <c:f>'IDFC CRF'!$G$8:$G$11</c:f>
              <c:strCache>
                <c:ptCount val="4"/>
                <c:pt idx="0">
                  <c:v>AAA EQUIVALENT</c:v>
                </c:pt>
                <c:pt idx="1">
                  <c:v>AA</c:v>
                </c:pt>
                <c:pt idx="2">
                  <c:v>AA-</c:v>
                </c:pt>
                <c:pt idx="3">
                  <c:v>A+</c:v>
                </c:pt>
              </c:strCache>
            </c:strRef>
          </c:cat>
          <c:val>
            <c:numRef>
              <c:f>'IDFC CRF'!$H$8:$H$11</c:f>
              <c:numCache>
                <c:formatCode>0.00%</c:formatCode>
                <c:ptCount val="4"/>
                <c:pt idx="0">
                  <c:v>0.599472</c:v>
                </c:pt>
                <c:pt idx="1">
                  <c:v>0.30561900000000003</c:v>
                </c:pt>
                <c:pt idx="2">
                  <c:v>3.1146E-2</c:v>
                </c:pt>
                <c:pt idx="3">
                  <c:v>6.3763E-2</c:v>
                </c:pt>
              </c:numCache>
            </c:numRef>
          </c:val>
          <c:extLst>
            <c:ext xmlns:c16="http://schemas.microsoft.com/office/drawing/2014/chart" uri="{C3380CC4-5D6E-409C-BE32-E72D297353CC}">
              <c16:uniqueId val="{0000000C-9530-4145-999E-180C870E8BC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5538-434F-B576-06BCA0DBC605}"/>
                </c:ext>
              </c:extLst>
            </c:dLbl>
            <c:dLbl>
              <c:idx val="1"/>
              <c:layout>
                <c:manualLayout>
                  <c:x val="-0.10107336154715137"/>
                  <c:y val="0.198492027451954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5538-434F-B576-06BCA0DBC605}"/>
                </c:ext>
              </c:extLst>
            </c:dLbl>
            <c:dLbl>
              <c:idx val="2"/>
              <c:layout>
                <c:manualLayout>
                  <c:x val="2.3717901161712386E-2"/>
                  <c:y val="0.1901217516472029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5538-434F-B576-06BCA0DBC605}"/>
                </c:ext>
              </c:extLst>
            </c:dLbl>
            <c:dLbl>
              <c:idx val="3"/>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5538-434F-B576-06BCA0DBC605}"/>
                </c:ext>
              </c:extLst>
            </c:dLbl>
            <c:dLbl>
              <c:idx val="4"/>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5538-434F-B576-06BCA0DBC605}"/>
                </c:ext>
              </c:extLst>
            </c:dLbl>
            <c:dLbl>
              <c:idx val="5"/>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5538-434F-B576-06BCA0DBC6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CRF'!$J$9:$J$14</c:f>
              <c:strCache>
                <c:ptCount val="6"/>
                <c:pt idx="0">
                  <c:v>TRI Party Repo</c:v>
                </c:pt>
                <c:pt idx="1">
                  <c:v>Corporate Bond</c:v>
                </c:pt>
                <c:pt idx="2">
                  <c:v>Government Bond</c:v>
                </c:pt>
                <c:pt idx="3">
                  <c:v>PTC</c:v>
                </c:pt>
                <c:pt idx="4">
                  <c:v>Zero Coupon Bond</c:v>
                </c:pt>
                <c:pt idx="5">
                  <c:v>Net Current Asset</c:v>
                </c:pt>
              </c:strCache>
            </c:strRef>
          </c:cat>
          <c:val>
            <c:numRef>
              <c:f>'IDFC CRF'!$K$9:$K$14</c:f>
              <c:numCache>
                <c:formatCode>0.00%</c:formatCode>
                <c:ptCount val="6"/>
                <c:pt idx="0">
                  <c:v>0.125307</c:v>
                </c:pt>
                <c:pt idx="1">
                  <c:v>0.45003100000000001</c:v>
                </c:pt>
                <c:pt idx="2">
                  <c:v>0.22333800000000001</c:v>
                </c:pt>
                <c:pt idx="3">
                  <c:v>8.8484999999999994E-2</c:v>
                </c:pt>
                <c:pt idx="4">
                  <c:v>9.3255000000000005E-2</c:v>
                </c:pt>
                <c:pt idx="5">
                  <c:v>1.9584000000000001E-2</c:v>
                </c:pt>
              </c:numCache>
            </c:numRef>
          </c:val>
          <c:extLst>
            <c:ext xmlns:c16="http://schemas.microsoft.com/office/drawing/2014/chart" uri="{C3380CC4-5D6E-409C-BE32-E72D297353CC}">
              <c16:uniqueId val="{0000000C-5538-434F-B576-06BCA0DBC60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995641470940327"/>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8A90-4E44-99D8-87D046AD4B7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8A90-4E44-99D8-87D046AD4B7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manualLayout>
                  <c:x val="0.19084506567300072"/>
                  <c:y val="-2.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EA1A-40E8-ADE8-B6E4CDB36597}"/>
                </c:ext>
              </c:extLst>
            </c:dLbl>
            <c:dLbl>
              <c:idx val="1"/>
              <c:layout>
                <c:manualLayout>
                  <c:x val="7.4911227638301103E-2"/>
                  <c:y val="-1.5819072615923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EA1A-40E8-ADE8-B6E4CDB36597}"/>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EA1A-40E8-ADE8-B6E4CDB3659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TRI Party Repo</c:v>
                </c:pt>
                <c:pt idx="1">
                  <c:v>Government Bond</c:v>
                </c:pt>
                <c:pt idx="2">
                  <c:v>Net Current Asset</c:v>
                </c:pt>
              </c:strCache>
            </c:strRef>
          </c:cat>
          <c:val>
            <c:numRef>
              <c:f>'IDFC GSF-IP'!$K$9:$K$11</c:f>
              <c:numCache>
                <c:formatCode>0.00%</c:formatCode>
                <c:ptCount val="3"/>
                <c:pt idx="0">
                  <c:v>1.8010000000000001E-3</c:v>
                </c:pt>
                <c:pt idx="1">
                  <c:v>0.97894499999999995</c:v>
                </c:pt>
                <c:pt idx="2">
                  <c:v>1.9254E-2</c:v>
                </c:pt>
              </c:numCache>
            </c:numRef>
          </c:val>
          <c:extLst>
            <c:ext xmlns:c16="http://schemas.microsoft.com/office/drawing/2014/chart" uri="{C3380CC4-5D6E-409C-BE32-E72D297353CC}">
              <c16:uniqueId val="{0000000C-EA1A-40E8-ADE8-B6E4CDB3659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1B18-4A16-87D4-99F1869A299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1B18-4A16-87D4-99F1869A299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layout>
                <c:manualLayout>
                  <c:x val="0.10197002141327623"/>
                  <c:y val="6.188626421697288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0DC5-467D-8011-FC093B6B3B9B}"/>
                </c:ext>
              </c:extLst>
            </c:dLbl>
            <c:dLbl>
              <c:idx val="1"/>
              <c:layout>
                <c:manualLayout>
                  <c:x val="0.14648594648367028"/>
                  <c:y val="8.625371828521435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0DC5-467D-8011-FC093B6B3B9B}"/>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0DC5-467D-8011-FC093B6B3B9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TRI Party Repo</c:v>
                </c:pt>
                <c:pt idx="1">
                  <c:v>Government Bond</c:v>
                </c:pt>
                <c:pt idx="2">
                  <c:v>Net Current Asset</c:v>
                </c:pt>
              </c:strCache>
            </c:strRef>
          </c:cat>
          <c:val>
            <c:numRef>
              <c:f>'IDFC GSF - CMP'!$K$9:$K$11</c:f>
              <c:numCache>
                <c:formatCode>0.00%</c:formatCode>
                <c:ptCount val="3"/>
                <c:pt idx="0">
                  <c:v>1.6833000000000001E-2</c:v>
                </c:pt>
                <c:pt idx="1">
                  <c:v>0.97228599999999998</c:v>
                </c:pt>
                <c:pt idx="2">
                  <c:v>1.0881E-2</c:v>
                </c:pt>
              </c:numCache>
            </c:numRef>
          </c:val>
          <c:extLst>
            <c:ext xmlns:c16="http://schemas.microsoft.com/office/drawing/2014/chart" uri="{C3380CC4-5D6E-409C-BE32-E72D297353CC}">
              <c16:uniqueId val="{0000000C-0DC5-467D-8011-FC093B6B3B9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36A5-4430-9EEE-1A94CF6A306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36A5-4430-9EEE-1A94CF6A306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manualLayout>
                  <c:x val="0.17463268643882041"/>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284-481D-BF23-0F17D9CE2274}"/>
                </c:ext>
              </c:extLst>
            </c:dLbl>
            <c:dLbl>
              <c:idx val="1"/>
              <c:layout>
                <c:manualLayout>
                  <c:x val="-7.7630713719671549E-3"/>
                  <c:y val="1.30698162729658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2284-481D-BF23-0F17D9CE2274}"/>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2284-481D-BF23-0F17D9CE22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TRI Party Repo</c:v>
                </c:pt>
                <c:pt idx="1">
                  <c:v>Mutual Fund Units</c:v>
                </c:pt>
                <c:pt idx="2">
                  <c:v>Net Current Asset</c:v>
                </c:pt>
              </c:strCache>
            </c:strRef>
          </c:cat>
          <c:val>
            <c:numRef>
              <c:f>'IDFC ASBF'!$K$9:$K$11</c:f>
              <c:numCache>
                <c:formatCode>0.00%</c:formatCode>
                <c:ptCount val="3"/>
                <c:pt idx="0">
                  <c:v>4.2129999999999997E-3</c:v>
                </c:pt>
                <c:pt idx="1">
                  <c:v>0.99694300000000002</c:v>
                </c:pt>
                <c:pt idx="2">
                  <c:v>-1.1559999999999999E-3</c:v>
                </c:pt>
              </c:numCache>
            </c:numRef>
          </c:val>
          <c:extLst>
            <c:ext xmlns:c16="http://schemas.microsoft.com/office/drawing/2014/chart" uri="{C3380CC4-5D6E-409C-BE32-E72D297353CC}">
              <c16:uniqueId val="{0000000C-2284-481D-BF23-0F17D9CE227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25400</xdr:colOff>
      <xdr:row>7</xdr:row>
      <xdr:rowOff>50800</xdr:rowOff>
    </xdr:from>
    <xdr:to>
      <xdr:col>13</xdr:col>
      <xdr:colOff>571500</xdr:colOff>
      <xdr:row>22</xdr:row>
      <xdr:rowOff>50800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584200</xdr:colOff>
      <xdr:row>7</xdr:row>
      <xdr:rowOff>25401</xdr:rowOff>
    </xdr:from>
    <xdr:to>
      <xdr:col>13</xdr:col>
      <xdr:colOff>520700</xdr:colOff>
      <xdr:row>22</xdr:row>
      <xdr:rowOff>25401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tabSelected="1" zoomScale="75" zoomScaleNormal="75" workbookViewId="0"/>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143</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8</v>
      </c>
      <c r="D8" s="6"/>
      <c r="E8" s="11">
        <v>0.99641299999999999</v>
      </c>
      <c r="F8" s="1"/>
      <c r="G8" s="23" t="s">
        <v>15</v>
      </c>
      <c r="H8" s="24">
        <v>1</v>
      </c>
      <c r="I8" s="1"/>
      <c r="J8" s="23" t="s">
        <v>12</v>
      </c>
      <c r="K8" s="23" t="s">
        <v>3</v>
      </c>
      <c r="L8" s="1"/>
      <c r="M8" s="1"/>
      <c r="N8" s="17"/>
    </row>
    <row r="9" spans="2:14" ht="15.75" customHeight="1" x14ac:dyDescent="0.25">
      <c r="B9" s="19"/>
      <c r="C9" s="7" t="s">
        <v>9</v>
      </c>
      <c r="D9" s="8"/>
      <c r="E9" s="12">
        <v>0.99641299999999999</v>
      </c>
      <c r="F9" s="1"/>
      <c r="G9" s="1"/>
      <c r="H9" s="1"/>
      <c r="I9" s="1"/>
      <c r="J9" s="23" t="s">
        <v>13</v>
      </c>
      <c r="K9" s="25">
        <v>0.99641299999999999</v>
      </c>
      <c r="L9" s="1"/>
      <c r="M9" s="1"/>
      <c r="N9" s="17"/>
    </row>
    <row r="10" spans="2:14" ht="15" customHeight="1" x14ac:dyDescent="0.25">
      <c r="B10" s="19"/>
      <c r="C10" s="5"/>
      <c r="D10" s="6"/>
      <c r="E10" s="11"/>
      <c r="F10" s="1"/>
      <c r="G10" s="1"/>
      <c r="H10" s="1"/>
      <c r="I10" s="1"/>
      <c r="J10" s="23" t="s">
        <v>10</v>
      </c>
      <c r="K10" s="25">
        <v>3.5869999999999999E-3</v>
      </c>
      <c r="L10" s="1"/>
      <c r="M10" s="1"/>
      <c r="N10" s="17"/>
    </row>
    <row r="11" spans="2:14" ht="15.75" customHeight="1" x14ac:dyDescent="0.25">
      <c r="B11" s="19"/>
      <c r="C11" s="7" t="s">
        <v>10</v>
      </c>
      <c r="D11" s="8"/>
      <c r="E11" s="12">
        <v>3.5869999999999999E-3</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11</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29" t="s">
        <v>17</v>
      </c>
      <c r="H26" s="30"/>
      <c r="I26" s="30"/>
      <c r="J26" s="30"/>
      <c r="K26" s="30"/>
      <c r="L26" s="30"/>
      <c r="M26" s="30"/>
      <c r="N26" s="31"/>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x14ac:dyDescent="0.25">
      <c r="B44" s="19"/>
      <c r="C44" s="1"/>
      <c r="D44" s="1"/>
      <c r="E44" s="1"/>
      <c r="F44" s="1"/>
      <c r="G44" s="1"/>
      <c r="H44" s="1"/>
      <c r="I44" s="1"/>
      <c r="J44" s="1"/>
      <c r="K44" s="1"/>
      <c r="L44" s="1"/>
      <c r="M44" s="1"/>
      <c r="N44" s="17"/>
    </row>
    <row r="45" spans="2:14" x14ac:dyDescent="0.25">
      <c r="B45" s="19"/>
      <c r="C45" s="1"/>
      <c r="D45" s="1"/>
      <c r="E45" s="1"/>
      <c r="F45" s="1"/>
      <c r="G45" s="1"/>
      <c r="H45" s="1"/>
      <c r="I45" s="1"/>
      <c r="J45" s="1"/>
      <c r="K45" s="1"/>
      <c r="L45" s="1"/>
      <c r="M45" s="1"/>
      <c r="N45" s="17"/>
    </row>
    <row r="46" spans="2:14" x14ac:dyDescent="0.25">
      <c r="B46" s="19"/>
      <c r="C46" s="1"/>
      <c r="D46" s="1"/>
      <c r="E46" s="1"/>
      <c r="F46" s="1"/>
      <c r="G46" s="1"/>
      <c r="H46" s="1"/>
      <c r="I46" s="1"/>
      <c r="J46" s="1"/>
      <c r="K46" s="1"/>
      <c r="L46" s="1"/>
      <c r="M46" s="1"/>
      <c r="N46" s="17"/>
    </row>
    <row r="47" spans="2:14" x14ac:dyDescent="0.25">
      <c r="B47" s="19"/>
      <c r="C47" s="1"/>
      <c r="D47" s="1"/>
      <c r="E47" s="1"/>
      <c r="F47" s="1"/>
      <c r="G47" s="1"/>
      <c r="H47" s="1"/>
      <c r="I47" s="1"/>
      <c r="J47" s="1"/>
      <c r="K47" s="1"/>
      <c r="L47" s="1"/>
      <c r="M47" s="1"/>
      <c r="N47" s="17"/>
    </row>
    <row r="48" spans="2:14" x14ac:dyDescent="0.25">
      <c r="B48" s="19"/>
      <c r="C48" s="1"/>
      <c r="D48" s="1"/>
      <c r="E48" s="1"/>
      <c r="F48" s="1"/>
      <c r="G48" s="1"/>
      <c r="H48" s="1"/>
      <c r="I48" s="1"/>
      <c r="J48" s="1"/>
      <c r="K48" s="1"/>
      <c r="L48" s="1"/>
      <c r="M48" s="1"/>
      <c r="N48" s="17"/>
    </row>
    <row r="49" spans="2:14" x14ac:dyDescent="0.25">
      <c r="B49" s="19"/>
      <c r="C49" s="1"/>
      <c r="D49" s="1"/>
      <c r="E49" s="1"/>
      <c r="F49" s="1"/>
      <c r="G49" s="1"/>
      <c r="H49" s="1"/>
      <c r="I49" s="1"/>
      <c r="J49" s="1"/>
      <c r="K49" s="1"/>
      <c r="L49" s="1"/>
      <c r="M49" s="1"/>
      <c r="N49" s="17"/>
    </row>
    <row r="50" spans="2:14"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3"/>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86</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19</v>
      </c>
      <c r="D8" s="6" t="s">
        <v>20</v>
      </c>
      <c r="E8" s="11">
        <v>5.8329999999999996E-3</v>
      </c>
      <c r="F8" s="1"/>
      <c r="G8" s="23" t="s">
        <v>15</v>
      </c>
      <c r="H8" s="24">
        <v>1</v>
      </c>
      <c r="I8" s="1"/>
      <c r="J8" s="23" t="s">
        <v>12</v>
      </c>
      <c r="K8" s="23" t="s">
        <v>3</v>
      </c>
      <c r="L8" s="1"/>
      <c r="M8" s="1"/>
      <c r="N8" s="17"/>
    </row>
    <row r="9" spans="2:14" ht="15" customHeight="1" x14ac:dyDescent="0.25">
      <c r="B9" s="19"/>
      <c r="C9" s="5" t="s">
        <v>24</v>
      </c>
      <c r="D9" s="6" t="s">
        <v>20</v>
      </c>
      <c r="E9" s="11">
        <v>2.9169999999999999E-3</v>
      </c>
      <c r="F9" s="1"/>
      <c r="G9" s="1"/>
      <c r="H9" s="1"/>
      <c r="I9" s="1"/>
      <c r="J9" s="23" t="s">
        <v>13</v>
      </c>
      <c r="K9" s="25">
        <v>0.156024</v>
      </c>
      <c r="L9" s="1"/>
      <c r="M9" s="1"/>
      <c r="N9" s="17"/>
    </row>
    <row r="10" spans="2:14" ht="15.75" customHeight="1" x14ac:dyDescent="0.25">
      <c r="B10" s="19"/>
      <c r="C10" s="7" t="s">
        <v>23</v>
      </c>
      <c r="D10" s="8"/>
      <c r="E10" s="12">
        <v>8.7500000000000008E-3</v>
      </c>
      <c r="F10" s="1"/>
      <c r="G10" s="1"/>
      <c r="H10" s="1"/>
      <c r="I10" s="1"/>
      <c r="J10" s="23" t="s">
        <v>60</v>
      </c>
      <c r="K10" s="25">
        <v>8.7500000000000008E-3</v>
      </c>
      <c r="L10" s="1"/>
      <c r="M10" s="1"/>
      <c r="N10" s="17"/>
    </row>
    <row r="11" spans="2:14" ht="15" customHeight="1" x14ac:dyDescent="0.25">
      <c r="B11" s="19"/>
      <c r="C11" s="5" t="s">
        <v>24</v>
      </c>
      <c r="D11" s="6" t="s">
        <v>20</v>
      </c>
      <c r="E11" s="11">
        <v>8.1747E-2</v>
      </c>
      <c r="F11" s="1"/>
      <c r="G11" s="1"/>
      <c r="H11" s="1"/>
      <c r="I11" s="1"/>
      <c r="J11" s="23" t="s">
        <v>61</v>
      </c>
      <c r="K11" s="25">
        <v>1.0047E-2</v>
      </c>
      <c r="L11" s="1"/>
      <c r="M11" s="1"/>
      <c r="N11" s="17"/>
    </row>
    <row r="12" spans="2:14" ht="15" customHeight="1" x14ac:dyDescent="0.25">
      <c r="B12" s="19"/>
      <c r="C12" s="5" t="s">
        <v>37</v>
      </c>
      <c r="D12" s="6" t="s">
        <v>20</v>
      </c>
      <c r="E12" s="11">
        <v>7.5893000000000002E-2</v>
      </c>
      <c r="F12" s="1"/>
      <c r="G12" s="1"/>
      <c r="H12" s="1"/>
      <c r="I12" s="1"/>
      <c r="J12" s="23" t="s">
        <v>62</v>
      </c>
      <c r="K12" s="25">
        <v>0.36186499999999999</v>
      </c>
      <c r="L12" s="1"/>
      <c r="M12" s="1"/>
      <c r="N12" s="17"/>
    </row>
    <row r="13" spans="2:14" ht="15" customHeight="1" x14ac:dyDescent="0.25">
      <c r="B13" s="19"/>
      <c r="C13" s="5" t="s">
        <v>87</v>
      </c>
      <c r="D13" s="6" t="s">
        <v>20</v>
      </c>
      <c r="E13" s="11">
        <v>6.4094999999999999E-2</v>
      </c>
      <c r="F13" s="1"/>
      <c r="G13" s="1"/>
      <c r="H13" s="1"/>
      <c r="I13" s="1"/>
      <c r="J13" s="23" t="s">
        <v>83</v>
      </c>
      <c r="K13" s="25">
        <v>0.44285200000000002</v>
      </c>
      <c r="L13" s="1"/>
      <c r="M13" s="1"/>
      <c r="N13" s="17"/>
    </row>
    <row r="14" spans="2:14" ht="15" customHeight="1" x14ac:dyDescent="0.25">
      <c r="B14" s="19"/>
      <c r="C14" s="5" t="s">
        <v>43</v>
      </c>
      <c r="D14" s="6" t="s">
        <v>20</v>
      </c>
      <c r="E14" s="11">
        <v>5.8432999999999999E-2</v>
      </c>
      <c r="F14" s="1"/>
      <c r="G14" s="1"/>
      <c r="H14" s="1"/>
      <c r="I14" s="1"/>
      <c r="J14" s="23" t="s">
        <v>65</v>
      </c>
      <c r="K14" s="25">
        <v>1.9547999999999999E-2</v>
      </c>
      <c r="L14" s="1"/>
      <c r="M14" s="1"/>
      <c r="N14" s="17"/>
    </row>
    <row r="15" spans="2:14" ht="15" customHeight="1" x14ac:dyDescent="0.25">
      <c r="B15" s="19"/>
      <c r="C15" s="5" t="s">
        <v>21</v>
      </c>
      <c r="D15" s="6" t="s">
        <v>20</v>
      </c>
      <c r="E15" s="11">
        <v>2.9167999999999999E-2</v>
      </c>
      <c r="F15" s="1"/>
      <c r="G15" s="1"/>
      <c r="H15" s="1"/>
      <c r="I15" s="1"/>
      <c r="J15" s="23" t="s">
        <v>10</v>
      </c>
      <c r="K15" s="25">
        <v>9.1399999999999999E-4</v>
      </c>
      <c r="L15" s="1"/>
      <c r="M15" s="1"/>
      <c r="N15" s="17"/>
    </row>
    <row r="16" spans="2:14" ht="15" customHeight="1" x14ac:dyDescent="0.25">
      <c r="B16" s="19"/>
      <c r="C16" s="5" t="s">
        <v>88</v>
      </c>
      <c r="D16" s="6" t="s">
        <v>20</v>
      </c>
      <c r="E16" s="11">
        <v>1.7517999999999999E-2</v>
      </c>
      <c r="F16" s="1"/>
      <c r="G16" s="1"/>
      <c r="H16" s="1"/>
      <c r="I16" s="1"/>
      <c r="J16" s="1"/>
      <c r="K16" s="1"/>
      <c r="L16" s="1"/>
      <c r="M16" s="1"/>
      <c r="N16" s="17"/>
    </row>
    <row r="17" spans="2:14" ht="15" customHeight="1" x14ac:dyDescent="0.25">
      <c r="B17" s="19"/>
      <c r="C17" s="5" t="s">
        <v>33</v>
      </c>
      <c r="D17" s="6" t="s">
        <v>20</v>
      </c>
      <c r="E17" s="11">
        <v>1.1679999999999999E-2</v>
      </c>
      <c r="F17" s="1"/>
      <c r="G17" s="1"/>
      <c r="H17" s="1"/>
      <c r="I17" s="1"/>
      <c r="J17" s="1"/>
      <c r="K17" s="1"/>
      <c r="L17" s="1"/>
      <c r="M17" s="1"/>
      <c r="N17" s="17"/>
    </row>
    <row r="18" spans="2:14" ht="15" customHeight="1" x14ac:dyDescent="0.25">
      <c r="B18" s="19"/>
      <c r="C18" s="5" t="s">
        <v>40</v>
      </c>
      <c r="D18" s="6" t="s">
        <v>20</v>
      </c>
      <c r="E18" s="11">
        <v>1.1668E-2</v>
      </c>
      <c r="F18" s="1"/>
      <c r="G18" s="1"/>
      <c r="H18" s="1"/>
      <c r="I18" s="1"/>
      <c r="J18" s="1"/>
      <c r="K18" s="1"/>
      <c r="L18" s="1"/>
      <c r="M18" s="1"/>
      <c r="N18" s="17"/>
    </row>
    <row r="19" spans="2:14" ht="15" customHeight="1" x14ac:dyDescent="0.25">
      <c r="B19" s="19"/>
      <c r="C19" s="5" t="s">
        <v>32</v>
      </c>
      <c r="D19" s="6" t="s">
        <v>20</v>
      </c>
      <c r="E19" s="11">
        <v>1.1663E-2</v>
      </c>
      <c r="F19" s="1"/>
      <c r="G19" s="1"/>
      <c r="H19" s="1"/>
      <c r="I19" s="1"/>
      <c r="J19" s="1"/>
      <c r="K19" s="1"/>
      <c r="L19" s="1"/>
      <c r="M19" s="1"/>
      <c r="N19" s="17"/>
    </row>
    <row r="20" spans="2:14" ht="15.75" customHeight="1" x14ac:dyDescent="0.25">
      <c r="B20" s="19"/>
      <c r="C20" s="7" t="s">
        <v>25</v>
      </c>
      <c r="D20" s="8"/>
      <c r="E20" s="12">
        <v>0.36186499999999999</v>
      </c>
      <c r="F20" s="1"/>
      <c r="G20" s="1"/>
      <c r="H20" s="1"/>
      <c r="I20" s="1"/>
      <c r="J20" s="1"/>
      <c r="K20" s="1"/>
      <c r="L20" s="1"/>
      <c r="M20" s="1"/>
      <c r="N20" s="17"/>
    </row>
    <row r="21" spans="2:14" ht="15" customHeight="1" x14ac:dyDescent="0.25">
      <c r="B21" s="19"/>
      <c r="C21" s="5" t="s">
        <v>33</v>
      </c>
      <c r="D21" s="6" t="s">
        <v>26</v>
      </c>
      <c r="E21" s="11">
        <v>5.9090000000000002E-3</v>
      </c>
      <c r="F21" s="1"/>
      <c r="G21" s="1"/>
      <c r="H21" s="1"/>
      <c r="I21" s="1"/>
      <c r="J21" s="1"/>
      <c r="K21" s="1"/>
      <c r="L21" s="1"/>
      <c r="M21" s="1"/>
      <c r="N21" s="17"/>
    </row>
    <row r="22" spans="2:14" ht="15" customHeight="1" x14ac:dyDescent="0.25">
      <c r="B22" s="19"/>
      <c r="C22" s="5" t="s">
        <v>89</v>
      </c>
      <c r="D22" s="6" t="s">
        <v>26</v>
      </c>
      <c r="E22" s="11">
        <v>4.1380000000000002E-3</v>
      </c>
      <c r="F22" s="1"/>
      <c r="G22" s="1"/>
      <c r="H22" s="1"/>
      <c r="I22" s="1"/>
      <c r="J22" s="1"/>
      <c r="K22" s="1"/>
      <c r="L22" s="1"/>
      <c r="M22" s="1"/>
      <c r="N22" s="17"/>
    </row>
    <row r="23" spans="2:14" ht="15.75" customHeight="1" x14ac:dyDescent="0.25">
      <c r="B23" s="19"/>
      <c r="C23" s="7" t="s">
        <v>46</v>
      </c>
      <c r="D23" s="8"/>
      <c r="E23" s="12">
        <v>1.0047E-2</v>
      </c>
      <c r="F23" s="1"/>
      <c r="G23" s="1"/>
      <c r="H23" s="1"/>
      <c r="I23" s="1"/>
      <c r="J23" s="1"/>
      <c r="K23" s="1"/>
      <c r="L23" s="1"/>
      <c r="M23" s="1"/>
      <c r="N23" s="17"/>
    </row>
    <row r="24" spans="2:14" ht="15" customHeight="1" x14ac:dyDescent="0.25">
      <c r="B24" s="19"/>
      <c r="C24" s="5" t="s">
        <v>90</v>
      </c>
      <c r="D24" s="6" t="s">
        <v>48</v>
      </c>
      <c r="E24" s="11">
        <v>0.10514800000000001</v>
      </c>
      <c r="F24" s="1"/>
      <c r="G24" s="1"/>
      <c r="H24" s="1"/>
      <c r="I24" s="1"/>
      <c r="J24" s="1"/>
      <c r="K24" s="1"/>
      <c r="L24" s="1"/>
      <c r="M24" s="1"/>
      <c r="N24" s="17"/>
    </row>
    <row r="25" spans="2:14" ht="15" customHeight="1" x14ac:dyDescent="0.25">
      <c r="B25" s="19"/>
      <c r="C25" s="5" t="s">
        <v>91</v>
      </c>
      <c r="D25" s="6" t="s">
        <v>48</v>
      </c>
      <c r="E25" s="11">
        <v>6.7178000000000002E-2</v>
      </c>
      <c r="F25" s="1"/>
      <c r="G25" s="1"/>
      <c r="H25" s="1"/>
      <c r="I25" s="1"/>
      <c r="J25" s="1"/>
      <c r="K25" s="1"/>
      <c r="L25" s="1"/>
      <c r="M25" s="1"/>
      <c r="N25" s="17"/>
    </row>
    <row r="26" spans="2:14" ht="15" customHeight="1" x14ac:dyDescent="0.25">
      <c r="B26" s="19"/>
      <c r="C26" s="5" t="s">
        <v>80</v>
      </c>
      <c r="D26" s="6" t="s">
        <v>48</v>
      </c>
      <c r="E26" s="11">
        <v>6.2239999999999997E-2</v>
      </c>
      <c r="F26" s="1"/>
      <c r="G26" s="29" t="s">
        <v>17</v>
      </c>
      <c r="H26" s="30"/>
      <c r="I26" s="30"/>
      <c r="J26" s="30"/>
      <c r="K26" s="30"/>
      <c r="L26" s="30"/>
      <c r="M26" s="30"/>
      <c r="N26" s="31"/>
    </row>
    <row r="27" spans="2:14" ht="15" customHeight="1" x14ac:dyDescent="0.25">
      <c r="B27" s="19"/>
      <c r="C27" s="5" t="s">
        <v>92</v>
      </c>
      <c r="D27" s="6" t="s">
        <v>48</v>
      </c>
      <c r="E27" s="11">
        <v>6.1445E-2</v>
      </c>
      <c r="F27" s="1"/>
      <c r="G27" s="1"/>
      <c r="H27" s="1"/>
      <c r="I27" s="1"/>
      <c r="J27" s="1"/>
      <c r="K27" s="1"/>
      <c r="L27" s="1"/>
      <c r="M27" s="1"/>
      <c r="N27" s="17"/>
    </row>
    <row r="28" spans="2:14" ht="15" customHeight="1" x14ac:dyDescent="0.25">
      <c r="B28" s="19"/>
      <c r="C28" s="5" t="s">
        <v>93</v>
      </c>
      <c r="D28" s="6" t="s">
        <v>48</v>
      </c>
      <c r="E28" s="11">
        <v>5.8268E-2</v>
      </c>
      <c r="F28" s="1"/>
      <c r="G28" s="1"/>
      <c r="H28" s="1"/>
      <c r="I28" s="1"/>
      <c r="J28" s="1"/>
      <c r="K28" s="1"/>
      <c r="L28" s="1"/>
      <c r="M28" s="1"/>
      <c r="N28" s="17"/>
    </row>
    <row r="29" spans="2:14" ht="15" customHeight="1" x14ac:dyDescent="0.25">
      <c r="B29" s="19"/>
      <c r="C29" s="5" t="s">
        <v>94</v>
      </c>
      <c r="D29" s="6" t="s">
        <v>48</v>
      </c>
      <c r="E29" s="11">
        <v>4.0967000000000003E-2</v>
      </c>
      <c r="F29" s="1"/>
      <c r="G29" s="1"/>
      <c r="H29" s="1"/>
      <c r="I29" s="1"/>
      <c r="J29" s="1"/>
      <c r="K29" s="1"/>
      <c r="L29" s="1"/>
      <c r="M29" s="1"/>
      <c r="N29" s="17"/>
    </row>
    <row r="30" spans="2:14" ht="15" customHeight="1" x14ac:dyDescent="0.25">
      <c r="B30" s="19"/>
      <c r="C30" s="5" t="s">
        <v>95</v>
      </c>
      <c r="D30" s="6" t="s">
        <v>48</v>
      </c>
      <c r="E30" s="11">
        <v>1.5812E-2</v>
      </c>
      <c r="F30" s="1"/>
      <c r="G30" s="1"/>
      <c r="H30" s="1"/>
      <c r="I30" s="1"/>
      <c r="J30" s="1"/>
      <c r="K30" s="1"/>
      <c r="L30" s="1"/>
      <c r="M30" s="1"/>
      <c r="N30" s="17"/>
    </row>
    <row r="31" spans="2:14" ht="15" customHeight="1" x14ac:dyDescent="0.25">
      <c r="B31" s="19"/>
      <c r="C31" s="5" t="s">
        <v>96</v>
      </c>
      <c r="D31" s="6" t="s">
        <v>48</v>
      </c>
      <c r="E31" s="11">
        <v>1.1676000000000001E-2</v>
      </c>
      <c r="F31" s="1"/>
      <c r="G31" s="1"/>
      <c r="H31" s="1"/>
      <c r="I31" s="1"/>
      <c r="J31" s="1"/>
      <c r="K31" s="1"/>
      <c r="L31" s="1"/>
      <c r="M31" s="1"/>
      <c r="N31" s="17"/>
    </row>
    <row r="32" spans="2:14" ht="15" customHeight="1" x14ac:dyDescent="0.25">
      <c r="B32" s="19"/>
      <c r="C32" s="5" t="s">
        <v>97</v>
      </c>
      <c r="D32" s="6" t="s">
        <v>48</v>
      </c>
      <c r="E32" s="11">
        <v>1.1361E-2</v>
      </c>
      <c r="F32" s="1"/>
      <c r="G32" s="1"/>
      <c r="H32" s="1"/>
      <c r="I32" s="1"/>
      <c r="J32" s="1"/>
      <c r="K32" s="1"/>
      <c r="L32" s="1"/>
      <c r="M32" s="1"/>
      <c r="N32" s="17"/>
    </row>
    <row r="33" spans="2:14" ht="15" customHeight="1" x14ac:dyDescent="0.25">
      <c r="B33" s="19"/>
      <c r="C33" s="5" t="s">
        <v>98</v>
      </c>
      <c r="D33" s="6" t="s">
        <v>48</v>
      </c>
      <c r="E33" s="11">
        <v>8.7569999999999992E-3</v>
      </c>
      <c r="F33" s="1"/>
      <c r="G33" s="1"/>
      <c r="H33" s="1"/>
      <c r="I33" s="1"/>
      <c r="J33" s="1"/>
      <c r="K33" s="1"/>
      <c r="L33" s="1"/>
      <c r="M33" s="1"/>
      <c r="N33" s="17"/>
    </row>
    <row r="34" spans="2:14" ht="15.75" customHeight="1" x14ac:dyDescent="0.25">
      <c r="B34" s="19"/>
      <c r="C34" s="7" t="s">
        <v>81</v>
      </c>
      <c r="D34" s="8"/>
      <c r="E34" s="12">
        <v>0.44285200000000002</v>
      </c>
      <c r="F34" s="1"/>
      <c r="G34" s="1"/>
      <c r="H34" s="1"/>
      <c r="I34" s="1"/>
      <c r="J34" s="1"/>
      <c r="K34" s="1"/>
      <c r="L34" s="1"/>
      <c r="M34" s="1"/>
      <c r="N34" s="17"/>
    </row>
    <row r="35" spans="2:14" ht="15" customHeight="1" x14ac:dyDescent="0.25">
      <c r="B35" s="19"/>
      <c r="C35" s="5" t="s">
        <v>8</v>
      </c>
      <c r="D35" s="6"/>
      <c r="E35" s="11">
        <v>0.156024</v>
      </c>
      <c r="F35" s="1"/>
      <c r="G35" s="1"/>
      <c r="H35" s="1"/>
      <c r="I35" s="1"/>
      <c r="J35" s="1"/>
      <c r="K35" s="1"/>
      <c r="L35" s="1"/>
      <c r="M35" s="1"/>
      <c r="N35" s="17"/>
    </row>
    <row r="36" spans="2:14" ht="15.75" customHeight="1" x14ac:dyDescent="0.25">
      <c r="B36" s="19"/>
      <c r="C36" s="7" t="s">
        <v>9</v>
      </c>
      <c r="D36" s="8"/>
      <c r="E36" s="12">
        <v>0.156024</v>
      </c>
      <c r="F36" s="1"/>
      <c r="G36" s="1"/>
      <c r="H36" s="1"/>
      <c r="I36" s="1"/>
      <c r="J36" s="1"/>
      <c r="K36" s="1"/>
      <c r="L36" s="1"/>
      <c r="M36" s="1"/>
      <c r="N36" s="17"/>
    </row>
    <row r="37" spans="2:14" ht="15" customHeight="1" x14ac:dyDescent="0.25">
      <c r="B37" s="19"/>
      <c r="C37" s="5" t="s">
        <v>89</v>
      </c>
      <c r="D37" s="6" t="s">
        <v>26</v>
      </c>
      <c r="E37" s="11">
        <v>1.7292999999999999E-2</v>
      </c>
      <c r="F37" s="1"/>
      <c r="G37" s="1"/>
      <c r="H37" s="1"/>
      <c r="I37" s="1"/>
      <c r="J37" s="1"/>
      <c r="K37" s="1"/>
      <c r="L37" s="1"/>
      <c r="M37" s="1"/>
      <c r="N37" s="17"/>
    </row>
    <row r="38" spans="2:14" ht="15" customHeight="1" x14ac:dyDescent="0.25">
      <c r="B38" s="19"/>
      <c r="C38" s="5" t="s">
        <v>99</v>
      </c>
      <c r="D38" s="6" t="s">
        <v>26</v>
      </c>
      <c r="E38" s="11">
        <v>2.2550000000000001E-3</v>
      </c>
      <c r="F38" s="1"/>
      <c r="G38" s="1"/>
      <c r="H38" s="1"/>
      <c r="I38" s="1"/>
      <c r="J38" s="1"/>
      <c r="K38" s="1"/>
      <c r="L38" s="1"/>
      <c r="M38" s="1"/>
      <c r="N38" s="17"/>
    </row>
    <row r="39" spans="2:14" ht="15.75" customHeight="1" x14ac:dyDescent="0.25">
      <c r="B39" s="19"/>
      <c r="C39" s="7" t="s">
        <v>59</v>
      </c>
      <c r="D39" s="8"/>
      <c r="E39" s="12">
        <v>1.9547999999999999E-2</v>
      </c>
      <c r="F39" s="1"/>
      <c r="G39" s="1"/>
      <c r="H39" s="1"/>
      <c r="I39" s="1"/>
      <c r="J39" s="1"/>
      <c r="K39" s="1"/>
      <c r="L39" s="1"/>
      <c r="M39" s="1"/>
      <c r="N39" s="17"/>
    </row>
    <row r="40" spans="2:14" ht="15" customHeight="1" x14ac:dyDescent="0.25">
      <c r="B40" s="19"/>
      <c r="C40" s="5"/>
      <c r="D40" s="6"/>
      <c r="E40" s="11"/>
      <c r="F40" s="1"/>
      <c r="G40" s="1"/>
      <c r="H40" s="1"/>
      <c r="I40" s="1"/>
      <c r="J40" s="1"/>
      <c r="K40" s="1"/>
      <c r="L40" s="1"/>
      <c r="M40" s="1"/>
      <c r="N40" s="17"/>
    </row>
    <row r="41" spans="2:14" ht="15.75" customHeight="1" x14ac:dyDescent="0.25">
      <c r="B41" s="19"/>
      <c r="C41" s="7" t="s">
        <v>10</v>
      </c>
      <c r="D41" s="8"/>
      <c r="E41" s="12">
        <v>9.1399999999999999E-4</v>
      </c>
      <c r="F41" s="1"/>
      <c r="G41" s="1"/>
      <c r="H41" s="1"/>
      <c r="I41" s="1"/>
      <c r="J41" s="1"/>
      <c r="K41" s="1"/>
      <c r="L41" s="1"/>
      <c r="M41" s="1"/>
      <c r="N41" s="17"/>
    </row>
    <row r="42" spans="2:14" ht="15" customHeight="1" x14ac:dyDescent="0.25">
      <c r="B42" s="19"/>
      <c r="C42" s="5"/>
      <c r="D42" s="6"/>
      <c r="E42" s="11"/>
      <c r="F42" s="1"/>
      <c r="G42" s="1"/>
      <c r="H42" s="1"/>
      <c r="I42" s="1"/>
      <c r="J42" s="1"/>
      <c r="K42" s="1"/>
      <c r="L42" s="1"/>
      <c r="M42" s="1"/>
      <c r="N42" s="17"/>
    </row>
    <row r="43" spans="2:14" ht="15" customHeight="1" x14ac:dyDescent="0.25">
      <c r="B43" s="19"/>
      <c r="C43" s="9" t="s">
        <v>11</v>
      </c>
      <c r="D43" s="10"/>
      <c r="E43" s="13">
        <v>1</v>
      </c>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mergeCells count="3">
    <mergeCell ref="C3:N3"/>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2"/>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32"/>
      <c r="C2" s="33"/>
      <c r="D2" s="33"/>
      <c r="E2" s="33"/>
      <c r="F2" s="33"/>
      <c r="G2" s="33"/>
      <c r="H2" s="33"/>
      <c r="I2" s="33"/>
      <c r="J2" s="33"/>
      <c r="K2" s="33"/>
      <c r="L2" s="33"/>
      <c r="M2" s="33"/>
      <c r="N2" s="34"/>
    </row>
    <row r="3" spans="2:14" ht="20.25" customHeight="1" x14ac:dyDescent="0.25">
      <c r="B3" s="35"/>
      <c r="C3" s="26" t="s">
        <v>132</v>
      </c>
      <c r="D3" s="27"/>
      <c r="E3" s="27"/>
      <c r="F3" s="27"/>
      <c r="G3" s="27"/>
      <c r="H3" s="27"/>
      <c r="I3" s="27"/>
      <c r="J3" s="27"/>
      <c r="K3" s="27"/>
      <c r="L3" s="27"/>
      <c r="M3" s="27"/>
      <c r="N3" s="36"/>
    </row>
    <row r="4" spans="2:14" ht="15.75" customHeight="1" x14ac:dyDescent="0.25">
      <c r="B4" s="35"/>
      <c r="C4" s="14"/>
      <c r="D4" s="1"/>
      <c r="E4" s="1"/>
      <c r="F4" s="1"/>
      <c r="G4" s="1"/>
      <c r="H4" s="1"/>
      <c r="I4" s="1"/>
      <c r="J4" s="1"/>
      <c r="K4" s="1"/>
      <c r="L4" s="1"/>
      <c r="M4" s="1"/>
      <c r="N4" s="37"/>
    </row>
    <row r="5" spans="2:14" ht="18" customHeight="1" x14ac:dyDescent="0.25">
      <c r="B5" s="35"/>
      <c r="C5" s="14"/>
      <c r="D5" s="1"/>
      <c r="E5" s="1"/>
      <c r="F5" s="1"/>
      <c r="G5" s="1"/>
      <c r="H5" s="1"/>
      <c r="I5" s="1"/>
      <c r="J5" s="1"/>
      <c r="K5" s="1"/>
      <c r="L5" s="1"/>
      <c r="M5" s="1"/>
      <c r="N5" s="37"/>
    </row>
    <row r="6" spans="2:14" ht="15" customHeight="1" x14ac:dyDescent="0.25">
      <c r="B6" s="35"/>
      <c r="C6" s="1"/>
      <c r="D6" s="1"/>
      <c r="E6" s="1"/>
      <c r="F6" s="1"/>
      <c r="G6" s="1"/>
      <c r="H6" s="1"/>
      <c r="I6" s="1"/>
      <c r="J6" s="1"/>
      <c r="K6" s="1"/>
      <c r="L6" s="1"/>
      <c r="M6" s="1"/>
      <c r="N6" s="37"/>
    </row>
    <row r="7" spans="2:14" ht="32.25" customHeight="1" x14ac:dyDescent="0.25">
      <c r="B7" s="35"/>
      <c r="C7" s="4" t="s">
        <v>1</v>
      </c>
      <c r="D7" s="3" t="s">
        <v>2</v>
      </c>
      <c r="E7" s="2" t="s">
        <v>3</v>
      </c>
      <c r="F7" s="1"/>
      <c r="G7" s="29" t="s">
        <v>16</v>
      </c>
      <c r="H7" s="30"/>
      <c r="I7" s="30"/>
      <c r="J7" s="30"/>
      <c r="K7" s="30"/>
      <c r="L7" s="30"/>
      <c r="M7" s="30"/>
      <c r="N7" s="38"/>
    </row>
    <row r="8" spans="2:14" ht="15" customHeight="1" x14ac:dyDescent="0.25">
      <c r="B8" s="35"/>
      <c r="C8" s="5" t="s">
        <v>19</v>
      </c>
      <c r="D8" s="6" t="s">
        <v>20</v>
      </c>
      <c r="E8" s="11">
        <v>8.9478000000000002E-2</v>
      </c>
      <c r="F8" s="1"/>
      <c r="G8" s="23" t="s">
        <v>15</v>
      </c>
      <c r="H8" s="24">
        <v>1</v>
      </c>
      <c r="I8" s="1"/>
      <c r="J8" s="23" t="s">
        <v>12</v>
      </c>
      <c r="K8" s="23" t="s">
        <v>3</v>
      </c>
      <c r="L8" s="1"/>
      <c r="M8" s="1"/>
      <c r="N8" s="37"/>
    </row>
    <row r="9" spans="2:14" ht="15" customHeight="1" x14ac:dyDescent="0.25">
      <c r="B9" s="35"/>
      <c r="C9" s="5" t="s">
        <v>22</v>
      </c>
      <c r="D9" s="6" t="s">
        <v>20</v>
      </c>
      <c r="E9" s="11">
        <v>3.9579000000000003E-2</v>
      </c>
      <c r="F9" s="1"/>
      <c r="G9" s="1"/>
      <c r="H9" s="1"/>
      <c r="I9" s="1"/>
      <c r="J9" s="23" t="s">
        <v>13</v>
      </c>
      <c r="K9" s="25">
        <v>0.22713900000000001</v>
      </c>
      <c r="L9" s="1"/>
      <c r="M9" s="1"/>
      <c r="N9" s="37"/>
    </row>
    <row r="10" spans="2:14" ht="15" customHeight="1" x14ac:dyDescent="0.25">
      <c r="B10" s="35"/>
      <c r="C10" s="5" t="s">
        <v>24</v>
      </c>
      <c r="D10" s="6" t="s">
        <v>20</v>
      </c>
      <c r="E10" s="11">
        <v>2.9472000000000002E-2</v>
      </c>
      <c r="F10" s="1"/>
      <c r="G10" s="1"/>
      <c r="H10" s="1"/>
      <c r="I10" s="1"/>
      <c r="J10" s="23" t="s">
        <v>60</v>
      </c>
      <c r="K10" s="25">
        <v>0.158529</v>
      </c>
      <c r="L10" s="1"/>
      <c r="M10" s="1"/>
      <c r="N10" s="37"/>
    </row>
    <row r="11" spans="2:14" ht="15.75" customHeight="1" x14ac:dyDescent="0.25">
      <c r="B11" s="35"/>
      <c r="C11" s="7" t="s">
        <v>23</v>
      </c>
      <c r="D11" s="8"/>
      <c r="E11" s="12">
        <v>0.158529</v>
      </c>
      <c r="F11" s="1"/>
      <c r="G11" s="1"/>
      <c r="H11" s="1"/>
      <c r="I11" s="1"/>
      <c r="J11" s="23" t="s">
        <v>61</v>
      </c>
      <c r="K11" s="25">
        <v>0.328685</v>
      </c>
      <c r="L11" s="1"/>
      <c r="M11" s="1"/>
      <c r="N11" s="37"/>
    </row>
    <row r="12" spans="2:14" ht="15" customHeight="1" x14ac:dyDescent="0.25">
      <c r="B12" s="35"/>
      <c r="C12" s="5" t="s">
        <v>24</v>
      </c>
      <c r="D12" s="6" t="s">
        <v>20</v>
      </c>
      <c r="E12" s="11">
        <v>5.0264000000000003E-2</v>
      </c>
      <c r="F12" s="1"/>
      <c r="G12" s="1"/>
      <c r="H12" s="1"/>
      <c r="I12" s="1"/>
      <c r="J12" s="23" t="s">
        <v>62</v>
      </c>
      <c r="K12" s="25">
        <v>0.13576199999999999</v>
      </c>
      <c r="L12" s="1"/>
      <c r="M12" s="1"/>
      <c r="N12" s="37"/>
    </row>
    <row r="13" spans="2:14" ht="15" customHeight="1" x14ac:dyDescent="0.25">
      <c r="B13" s="35"/>
      <c r="C13" s="5" t="s">
        <v>21</v>
      </c>
      <c r="D13" s="6" t="s">
        <v>20</v>
      </c>
      <c r="E13" s="11">
        <v>3.9107999999999997E-2</v>
      </c>
      <c r="F13" s="1"/>
      <c r="G13" s="1"/>
      <c r="H13" s="1"/>
      <c r="I13" s="1"/>
      <c r="J13" s="23" t="s">
        <v>127</v>
      </c>
      <c r="K13" s="25">
        <v>1.4475E-2</v>
      </c>
      <c r="L13" s="1"/>
      <c r="M13" s="1"/>
      <c r="N13" s="37"/>
    </row>
    <row r="14" spans="2:14" ht="15" customHeight="1" x14ac:dyDescent="0.25">
      <c r="B14" s="35"/>
      <c r="C14" s="5" t="s">
        <v>133</v>
      </c>
      <c r="D14" s="6" t="s">
        <v>20</v>
      </c>
      <c r="E14" s="11">
        <v>2.6936000000000002E-2</v>
      </c>
      <c r="F14" s="1"/>
      <c r="G14" s="1"/>
      <c r="H14" s="1"/>
      <c r="I14" s="1"/>
      <c r="J14" s="23" t="s">
        <v>63</v>
      </c>
      <c r="K14" s="25">
        <v>0.10831499999999999</v>
      </c>
      <c r="L14" s="1"/>
      <c r="M14" s="1"/>
      <c r="N14" s="37"/>
    </row>
    <row r="15" spans="2:14" ht="15" customHeight="1" x14ac:dyDescent="0.25">
      <c r="B15" s="35"/>
      <c r="C15" s="5" t="s">
        <v>134</v>
      </c>
      <c r="D15" s="6" t="s">
        <v>20</v>
      </c>
      <c r="E15" s="11">
        <v>1.9453999999999999E-2</v>
      </c>
      <c r="F15" s="1"/>
      <c r="G15" s="1"/>
      <c r="H15" s="1"/>
      <c r="I15" s="1"/>
      <c r="J15" s="23" t="s">
        <v>64</v>
      </c>
      <c r="K15" s="25">
        <v>1.7239999999999998E-2</v>
      </c>
      <c r="L15" s="1"/>
      <c r="M15" s="1"/>
      <c r="N15" s="37"/>
    </row>
    <row r="16" spans="2:14" ht="15.75" customHeight="1" x14ac:dyDescent="0.25">
      <c r="B16" s="35"/>
      <c r="C16" s="7" t="s">
        <v>25</v>
      </c>
      <c r="D16" s="8"/>
      <c r="E16" s="12">
        <v>0.13576199999999999</v>
      </c>
      <c r="F16" s="1"/>
      <c r="G16" s="1"/>
      <c r="H16" s="1"/>
      <c r="I16" s="1"/>
      <c r="J16" s="23" t="s">
        <v>83</v>
      </c>
      <c r="K16" s="25">
        <v>3.594E-3</v>
      </c>
      <c r="L16" s="1"/>
      <c r="M16" s="1"/>
      <c r="N16" s="37"/>
    </row>
    <row r="17" spans="2:14" ht="15" customHeight="1" x14ac:dyDescent="0.25">
      <c r="B17" s="35"/>
      <c r="C17" s="5" t="s">
        <v>30</v>
      </c>
      <c r="D17" s="6" t="s">
        <v>26</v>
      </c>
      <c r="E17" s="11">
        <v>7.8220999999999999E-2</v>
      </c>
      <c r="F17" s="1"/>
      <c r="G17" s="1"/>
      <c r="H17" s="1"/>
      <c r="I17" s="1"/>
      <c r="J17" s="23" t="s">
        <v>65</v>
      </c>
      <c r="K17" s="25">
        <v>1.7017999999999998E-2</v>
      </c>
      <c r="L17" s="1"/>
      <c r="M17" s="1"/>
      <c r="N17" s="37"/>
    </row>
    <row r="18" spans="2:14" ht="15" customHeight="1" x14ac:dyDescent="0.25">
      <c r="B18" s="35"/>
      <c r="C18" s="5" t="s">
        <v>33</v>
      </c>
      <c r="D18" s="6" t="s">
        <v>26</v>
      </c>
      <c r="E18" s="11">
        <v>6.5907999999999994E-2</v>
      </c>
      <c r="F18" s="1"/>
      <c r="G18" s="1"/>
      <c r="H18" s="1"/>
      <c r="I18" s="1"/>
      <c r="J18" s="23" t="s">
        <v>10</v>
      </c>
      <c r="K18" s="25">
        <v>-1.0756999999999999E-2</v>
      </c>
      <c r="L18" s="1"/>
      <c r="M18" s="1"/>
      <c r="N18" s="37"/>
    </row>
    <row r="19" spans="2:14" ht="15" customHeight="1" x14ac:dyDescent="0.25">
      <c r="B19" s="35"/>
      <c r="C19" s="5" t="s">
        <v>27</v>
      </c>
      <c r="D19" s="6" t="s">
        <v>26</v>
      </c>
      <c r="E19" s="11">
        <v>4.1073999999999999E-2</v>
      </c>
      <c r="F19" s="1"/>
      <c r="G19" s="1"/>
      <c r="H19" s="1"/>
      <c r="I19" s="1"/>
      <c r="J19" s="1"/>
      <c r="K19" s="1"/>
      <c r="L19" s="1"/>
      <c r="M19" s="1"/>
      <c r="N19" s="37"/>
    </row>
    <row r="20" spans="2:14" ht="15" customHeight="1" x14ac:dyDescent="0.25">
      <c r="B20" s="35"/>
      <c r="C20" s="5" t="s">
        <v>29</v>
      </c>
      <c r="D20" s="6" t="s">
        <v>26</v>
      </c>
      <c r="E20" s="11">
        <v>4.0127000000000003E-2</v>
      </c>
      <c r="F20" s="1"/>
      <c r="G20" s="1"/>
      <c r="H20" s="1"/>
      <c r="I20" s="1"/>
      <c r="J20" s="1"/>
      <c r="K20" s="1"/>
      <c r="L20" s="1"/>
      <c r="M20" s="1"/>
      <c r="N20" s="37"/>
    </row>
    <row r="21" spans="2:14" ht="15" customHeight="1" x14ac:dyDescent="0.25">
      <c r="B21" s="35"/>
      <c r="C21" s="5" t="s">
        <v>42</v>
      </c>
      <c r="D21" s="6" t="s">
        <v>26</v>
      </c>
      <c r="E21" s="11">
        <v>2.5427999999999999E-2</v>
      </c>
      <c r="F21" s="1"/>
      <c r="G21" s="1"/>
      <c r="H21" s="1"/>
      <c r="I21" s="1"/>
      <c r="J21" s="1"/>
      <c r="K21" s="1"/>
      <c r="L21" s="1"/>
      <c r="M21" s="1"/>
      <c r="N21" s="37"/>
    </row>
    <row r="22" spans="2:14" ht="15" customHeight="1" x14ac:dyDescent="0.25">
      <c r="B22" s="35"/>
      <c r="C22" s="5" t="s">
        <v>101</v>
      </c>
      <c r="D22" s="6" t="s">
        <v>26</v>
      </c>
      <c r="E22" s="11">
        <v>2.1602E-2</v>
      </c>
      <c r="F22" s="1"/>
      <c r="G22" s="1"/>
      <c r="H22" s="1"/>
      <c r="I22" s="1"/>
      <c r="J22" s="1"/>
      <c r="K22" s="1"/>
      <c r="L22" s="1"/>
      <c r="M22" s="1"/>
      <c r="N22" s="37"/>
    </row>
    <row r="23" spans="2:14" ht="15" customHeight="1" x14ac:dyDescent="0.25">
      <c r="B23" s="35"/>
      <c r="C23" s="5" t="s">
        <v>43</v>
      </c>
      <c r="D23" s="6" t="s">
        <v>26</v>
      </c>
      <c r="E23" s="11">
        <v>1.7131E-2</v>
      </c>
      <c r="F23" s="1"/>
      <c r="G23" s="1"/>
      <c r="H23" s="1"/>
      <c r="I23" s="1"/>
      <c r="J23" s="1"/>
      <c r="K23" s="1"/>
      <c r="L23" s="1"/>
      <c r="M23" s="1"/>
      <c r="N23" s="37"/>
    </row>
    <row r="24" spans="2:14" ht="15" customHeight="1" x14ac:dyDescent="0.25">
      <c r="B24" s="35"/>
      <c r="C24" s="5" t="s">
        <v>133</v>
      </c>
      <c r="D24" s="6" t="s">
        <v>26</v>
      </c>
      <c r="E24" s="11">
        <v>1.4487E-2</v>
      </c>
      <c r="F24" s="1"/>
      <c r="G24" s="1"/>
      <c r="H24" s="1"/>
      <c r="I24" s="1"/>
      <c r="J24" s="1"/>
      <c r="K24" s="1"/>
      <c r="L24" s="1"/>
      <c r="M24" s="1"/>
      <c r="N24" s="37"/>
    </row>
    <row r="25" spans="2:14" ht="15" customHeight="1" x14ac:dyDescent="0.25">
      <c r="B25" s="35"/>
      <c r="C25" s="5" t="s">
        <v>37</v>
      </c>
      <c r="D25" s="6" t="s">
        <v>26</v>
      </c>
      <c r="E25" s="11">
        <v>1.0966E-2</v>
      </c>
      <c r="F25" s="1"/>
      <c r="G25" s="1"/>
      <c r="H25" s="1"/>
      <c r="I25" s="1"/>
      <c r="J25" s="1"/>
      <c r="K25" s="1"/>
      <c r="L25" s="1"/>
      <c r="M25" s="1"/>
      <c r="N25" s="37"/>
    </row>
    <row r="26" spans="2:14" ht="15" customHeight="1" x14ac:dyDescent="0.25">
      <c r="B26" s="35"/>
      <c r="C26" s="5" t="s">
        <v>24</v>
      </c>
      <c r="D26" s="6" t="s">
        <v>26</v>
      </c>
      <c r="E26" s="11">
        <v>8.9770000000000006E-3</v>
      </c>
      <c r="F26" s="1"/>
      <c r="G26" s="29" t="s">
        <v>17</v>
      </c>
      <c r="H26" s="30"/>
      <c r="I26" s="30"/>
      <c r="J26" s="30"/>
      <c r="K26" s="30"/>
      <c r="L26" s="30"/>
      <c r="M26" s="30"/>
      <c r="N26" s="38"/>
    </row>
    <row r="27" spans="2:14" ht="15" customHeight="1" x14ac:dyDescent="0.25">
      <c r="B27" s="35"/>
      <c r="C27" s="5" t="s">
        <v>135</v>
      </c>
      <c r="D27" s="6" t="s">
        <v>26</v>
      </c>
      <c r="E27" s="11">
        <v>4.4780000000000002E-3</v>
      </c>
      <c r="F27" s="1"/>
      <c r="G27" s="1"/>
      <c r="H27" s="1"/>
      <c r="I27" s="1"/>
      <c r="J27" s="1"/>
      <c r="K27" s="1"/>
      <c r="L27" s="1"/>
      <c r="M27" s="1"/>
      <c r="N27" s="37"/>
    </row>
    <row r="28" spans="2:14" ht="15" customHeight="1" x14ac:dyDescent="0.25">
      <c r="B28" s="35"/>
      <c r="C28" s="5" t="s">
        <v>89</v>
      </c>
      <c r="D28" s="6" t="s">
        <v>26</v>
      </c>
      <c r="E28" s="11">
        <v>1.5100000000000001E-4</v>
      </c>
      <c r="F28" s="1"/>
      <c r="G28" s="1"/>
      <c r="H28" s="1"/>
      <c r="I28" s="1"/>
      <c r="J28" s="1"/>
      <c r="K28" s="1"/>
      <c r="L28" s="1"/>
      <c r="M28" s="1"/>
      <c r="N28" s="37"/>
    </row>
    <row r="29" spans="2:14" ht="15" customHeight="1" x14ac:dyDescent="0.25">
      <c r="B29" s="35"/>
      <c r="C29" s="5" t="s">
        <v>34</v>
      </c>
      <c r="D29" s="6" t="s">
        <v>26</v>
      </c>
      <c r="E29" s="11">
        <v>1.35E-4</v>
      </c>
      <c r="F29" s="1"/>
      <c r="G29" s="1"/>
      <c r="H29" s="1"/>
      <c r="I29" s="1"/>
      <c r="J29" s="1"/>
      <c r="K29" s="1"/>
      <c r="L29" s="1"/>
      <c r="M29" s="1"/>
      <c r="N29" s="37"/>
    </row>
    <row r="30" spans="2:14" ht="15.75" customHeight="1" x14ac:dyDescent="0.25">
      <c r="B30" s="35"/>
      <c r="C30" s="7" t="s">
        <v>46</v>
      </c>
      <c r="D30" s="8"/>
      <c r="E30" s="12">
        <v>0.328685</v>
      </c>
      <c r="F30" s="1"/>
      <c r="G30" s="1"/>
      <c r="H30" s="1"/>
      <c r="I30" s="1"/>
      <c r="J30" s="1"/>
      <c r="K30" s="1"/>
      <c r="L30" s="1"/>
      <c r="M30" s="1"/>
      <c r="N30" s="37"/>
    </row>
    <row r="31" spans="2:14" ht="15" customHeight="1" x14ac:dyDescent="0.25">
      <c r="B31" s="35"/>
      <c r="C31" s="5" t="s">
        <v>19</v>
      </c>
      <c r="D31" s="6" t="s">
        <v>20</v>
      </c>
      <c r="E31" s="11">
        <v>1.4475E-2</v>
      </c>
      <c r="F31" s="1"/>
      <c r="G31" s="1"/>
      <c r="H31" s="1"/>
      <c r="I31" s="1"/>
      <c r="J31" s="1"/>
      <c r="K31" s="1"/>
      <c r="L31" s="1"/>
      <c r="M31" s="1"/>
      <c r="N31" s="37"/>
    </row>
    <row r="32" spans="2:14" ht="15.75" customHeight="1" x14ac:dyDescent="0.25">
      <c r="B32" s="35"/>
      <c r="C32" s="7" t="s">
        <v>125</v>
      </c>
      <c r="D32" s="8"/>
      <c r="E32" s="12">
        <v>1.4475E-2</v>
      </c>
      <c r="F32" s="1"/>
      <c r="G32" s="1"/>
      <c r="H32" s="1"/>
      <c r="I32" s="1"/>
      <c r="J32" s="1"/>
      <c r="K32" s="1"/>
      <c r="L32" s="1"/>
      <c r="M32" s="1"/>
      <c r="N32" s="37"/>
    </row>
    <row r="33" spans="2:14" ht="15" customHeight="1" x14ac:dyDescent="0.25">
      <c r="B33" s="35"/>
      <c r="C33" s="5" t="s">
        <v>136</v>
      </c>
      <c r="D33" s="6" t="s">
        <v>48</v>
      </c>
      <c r="E33" s="11">
        <v>6.4269999999999994E-2</v>
      </c>
      <c r="F33" s="1"/>
      <c r="G33" s="1"/>
      <c r="H33" s="1"/>
      <c r="I33" s="1"/>
      <c r="J33" s="1"/>
      <c r="K33" s="1"/>
      <c r="L33" s="1"/>
      <c r="M33" s="1"/>
      <c r="N33" s="37"/>
    </row>
    <row r="34" spans="2:14" ht="15" customHeight="1" x14ac:dyDescent="0.25">
      <c r="B34" s="35"/>
      <c r="C34" s="5" t="s">
        <v>47</v>
      </c>
      <c r="D34" s="6" t="s">
        <v>48</v>
      </c>
      <c r="E34" s="11">
        <v>2.3605000000000001E-2</v>
      </c>
      <c r="F34" s="1"/>
      <c r="G34" s="1"/>
      <c r="H34" s="1"/>
      <c r="I34" s="1"/>
      <c r="J34" s="1"/>
      <c r="K34" s="1"/>
      <c r="L34" s="1"/>
      <c r="M34" s="1"/>
      <c r="N34" s="37"/>
    </row>
    <row r="35" spans="2:14" ht="15" customHeight="1" x14ac:dyDescent="0.25">
      <c r="B35" s="35"/>
      <c r="C35" s="5" t="s">
        <v>50</v>
      </c>
      <c r="D35" s="6" t="s">
        <v>48</v>
      </c>
      <c r="E35" s="11">
        <v>7.6930000000000002E-3</v>
      </c>
      <c r="F35" s="1"/>
      <c r="G35" s="1"/>
      <c r="H35" s="1"/>
      <c r="I35" s="1"/>
      <c r="J35" s="1"/>
      <c r="K35" s="1"/>
      <c r="L35" s="1"/>
      <c r="M35" s="1"/>
      <c r="N35" s="37"/>
    </row>
    <row r="36" spans="2:14" ht="15" customHeight="1" x14ac:dyDescent="0.25">
      <c r="B36" s="35"/>
      <c r="C36" s="5" t="s">
        <v>137</v>
      </c>
      <c r="D36" s="6" t="s">
        <v>48</v>
      </c>
      <c r="E36" s="11">
        <v>3.869E-3</v>
      </c>
      <c r="F36" s="1"/>
      <c r="G36" s="1"/>
      <c r="H36" s="1"/>
      <c r="I36" s="1"/>
      <c r="J36" s="1"/>
      <c r="K36" s="1"/>
      <c r="L36" s="1"/>
      <c r="M36" s="1"/>
      <c r="N36" s="37"/>
    </row>
    <row r="37" spans="2:14" ht="15" customHeight="1" x14ac:dyDescent="0.25">
      <c r="B37" s="35"/>
      <c r="C37" s="5" t="s">
        <v>49</v>
      </c>
      <c r="D37" s="6" t="s">
        <v>48</v>
      </c>
      <c r="E37" s="11">
        <v>3.82E-3</v>
      </c>
      <c r="F37" s="1"/>
      <c r="G37" s="1"/>
      <c r="H37" s="1"/>
      <c r="I37" s="1"/>
      <c r="J37" s="1"/>
      <c r="K37" s="1"/>
      <c r="L37" s="1"/>
      <c r="M37" s="1"/>
      <c r="N37" s="37"/>
    </row>
    <row r="38" spans="2:14" ht="15" customHeight="1" x14ac:dyDescent="0.25">
      <c r="B38" s="35"/>
      <c r="C38" s="5" t="s">
        <v>53</v>
      </c>
      <c r="D38" s="6" t="s">
        <v>48</v>
      </c>
      <c r="E38" s="11">
        <v>3.7260000000000001E-3</v>
      </c>
      <c r="F38" s="1"/>
      <c r="G38" s="1"/>
      <c r="H38" s="1"/>
      <c r="I38" s="1"/>
      <c r="J38" s="1"/>
      <c r="K38" s="1"/>
      <c r="L38" s="1"/>
      <c r="M38" s="1"/>
      <c r="N38" s="37"/>
    </row>
    <row r="39" spans="2:14" ht="15" customHeight="1" x14ac:dyDescent="0.25">
      <c r="B39" s="35"/>
      <c r="C39" s="5" t="s">
        <v>77</v>
      </c>
      <c r="D39" s="6" t="s">
        <v>48</v>
      </c>
      <c r="E39" s="11">
        <v>7.94E-4</v>
      </c>
      <c r="F39" s="1"/>
      <c r="G39" s="1"/>
      <c r="H39" s="1"/>
      <c r="I39" s="1"/>
      <c r="J39" s="1"/>
      <c r="K39" s="1"/>
      <c r="L39" s="1"/>
      <c r="M39" s="1"/>
      <c r="N39" s="37"/>
    </row>
    <row r="40" spans="2:14" ht="15" customHeight="1" x14ac:dyDescent="0.25">
      <c r="B40" s="35"/>
      <c r="C40" s="5" t="s">
        <v>138</v>
      </c>
      <c r="D40" s="6" t="s">
        <v>48</v>
      </c>
      <c r="E40" s="11">
        <v>2.3499999999999999E-4</v>
      </c>
      <c r="F40" s="1"/>
      <c r="G40" s="1"/>
      <c r="H40" s="1"/>
      <c r="I40" s="1"/>
      <c r="J40" s="1"/>
      <c r="K40" s="1"/>
      <c r="L40" s="1"/>
      <c r="M40" s="1"/>
      <c r="N40" s="37"/>
    </row>
    <row r="41" spans="2:14" ht="15" customHeight="1" x14ac:dyDescent="0.25">
      <c r="B41" s="35"/>
      <c r="C41" s="5" t="s">
        <v>113</v>
      </c>
      <c r="D41" s="6" t="s">
        <v>48</v>
      </c>
      <c r="E41" s="11">
        <v>1.5200000000000001E-4</v>
      </c>
      <c r="F41" s="1"/>
      <c r="G41" s="1"/>
      <c r="H41" s="1"/>
      <c r="I41" s="1"/>
      <c r="J41" s="1"/>
      <c r="K41" s="1"/>
      <c r="L41" s="1"/>
      <c r="M41" s="1"/>
      <c r="N41" s="37"/>
    </row>
    <row r="42" spans="2:14" ht="15" customHeight="1" x14ac:dyDescent="0.25">
      <c r="B42" s="35"/>
      <c r="C42" s="5" t="s">
        <v>51</v>
      </c>
      <c r="D42" s="6" t="s">
        <v>48</v>
      </c>
      <c r="E42" s="11">
        <v>1.5100000000000001E-4</v>
      </c>
      <c r="F42" s="1"/>
      <c r="G42" s="1"/>
      <c r="H42" s="1"/>
      <c r="I42" s="1"/>
      <c r="J42" s="1"/>
      <c r="K42" s="1"/>
      <c r="L42" s="1"/>
      <c r="M42" s="1"/>
      <c r="N42" s="37"/>
    </row>
    <row r="43" spans="2:14" ht="15.75" customHeight="1" x14ac:dyDescent="0.25">
      <c r="B43" s="35"/>
      <c r="C43" s="7" t="s">
        <v>57</v>
      </c>
      <c r="D43" s="8"/>
      <c r="E43" s="12">
        <v>0.10831499999999999</v>
      </c>
      <c r="F43" s="1"/>
      <c r="G43" s="1"/>
      <c r="H43" s="1"/>
      <c r="I43" s="1"/>
      <c r="J43" s="1"/>
      <c r="K43" s="1"/>
      <c r="L43" s="1"/>
      <c r="M43" s="1"/>
      <c r="N43" s="37"/>
    </row>
    <row r="44" spans="2:14" ht="15" customHeight="1" x14ac:dyDescent="0.25">
      <c r="B44" s="35"/>
      <c r="C44" s="5" t="s">
        <v>145</v>
      </c>
      <c r="D44" s="6" t="s">
        <v>48</v>
      </c>
      <c r="E44" s="11">
        <v>4.5999999999999999E-3</v>
      </c>
      <c r="F44" s="1"/>
      <c r="G44" s="1"/>
      <c r="H44" s="1"/>
      <c r="I44" s="1"/>
      <c r="J44" s="1"/>
      <c r="K44" s="1"/>
      <c r="L44" s="1"/>
      <c r="M44" s="1"/>
      <c r="N44" s="37"/>
    </row>
    <row r="45" spans="2:14" ht="15.75" customHeight="1" x14ac:dyDescent="0.25">
      <c r="B45" s="35"/>
      <c r="C45" s="5" t="s">
        <v>146</v>
      </c>
      <c r="D45" s="6" t="s">
        <v>48</v>
      </c>
      <c r="E45" s="11">
        <v>4.5820000000000001E-3</v>
      </c>
      <c r="F45" s="1"/>
      <c r="G45" s="1"/>
      <c r="H45" s="1"/>
      <c r="I45" s="1"/>
      <c r="J45" s="1"/>
      <c r="K45" s="1"/>
      <c r="L45" s="1"/>
      <c r="M45" s="1"/>
      <c r="N45" s="37"/>
    </row>
    <row r="46" spans="2:14" ht="15" customHeight="1" x14ac:dyDescent="0.25">
      <c r="B46" s="35"/>
      <c r="C46" s="5" t="s">
        <v>147</v>
      </c>
      <c r="D46" s="6" t="s">
        <v>48</v>
      </c>
      <c r="E46" s="11">
        <v>2.3440000000000002E-3</v>
      </c>
      <c r="F46" s="1"/>
      <c r="G46" s="1"/>
      <c r="H46" s="1"/>
      <c r="I46" s="1"/>
      <c r="J46" s="1"/>
      <c r="K46" s="1"/>
      <c r="L46" s="1"/>
      <c r="M46" s="1"/>
      <c r="N46" s="37"/>
    </row>
    <row r="47" spans="2:14" ht="15.75" customHeight="1" x14ac:dyDescent="0.25">
      <c r="B47" s="35"/>
      <c r="C47" s="5" t="s">
        <v>148</v>
      </c>
      <c r="D47" s="6" t="s">
        <v>48</v>
      </c>
      <c r="E47" s="11">
        <v>2.3029999999999999E-3</v>
      </c>
      <c r="F47" s="1"/>
      <c r="G47" s="1"/>
      <c r="H47" s="1"/>
      <c r="I47" s="1"/>
      <c r="J47" s="1"/>
      <c r="K47" s="1"/>
      <c r="L47" s="1"/>
      <c r="M47" s="1"/>
      <c r="N47" s="37"/>
    </row>
    <row r="48" spans="2:14" ht="15" customHeight="1" x14ac:dyDescent="0.25">
      <c r="B48" s="35"/>
      <c r="C48" s="5" t="s">
        <v>149</v>
      </c>
      <c r="D48" s="6" t="s">
        <v>48</v>
      </c>
      <c r="E48" s="11">
        <v>7.7999999999999999E-4</v>
      </c>
      <c r="F48" s="1"/>
      <c r="G48" s="1"/>
      <c r="H48" s="1"/>
      <c r="I48" s="1"/>
      <c r="J48" s="1"/>
      <c r="K48" s="1"/>
      <c r="L48" s="1"/>
      <c r="M48" s="1"/>
      <c r="N48" s="37"/>
    </row>
    <row r="49" spans="2:14" ht="15.75" customHeight="1" x14ac:dyDescent="0.25">
      <c r="B49" s="35"/>
      <c r="C49" s="5" t="s">
        <v>150</v>
      </c>
      <c r="D49" s="6" t="s">
        <v>48</v>
      </c>
      <c r="E49" s="11">
        <v>6.9800000000000005E-4</v>
      </c>
      <c r="F49" s="1"/>
      <c r="G49" s="1"/>
      <c r="H49" s="1"/>
      <c r="I49" s="1"/>
      <c r="J49" s="1"/>
      <c r="K49" s="1"/>
      <c r="L49" s="1"/>
      <c r="M49" s="1"/>
      <c r="N49" s="37"/>
    </row>
    <row r="50" spans="2:14" ht="15" customHeight="1" x14ac:dyDescent="0.25">
      <c r="B50" s="35"/>
      <c r="C50" s="5" t="s">
        <v>151</v>
      </c>
      <c r="D50" s="6" t="s">
        <v>48</v>
      </c>
      <c r="E50" s="11">
        <v>4.1100000000000002E-4</v>
      </c>
      <c r="F50" s="1"/>
      <c r="G50" s="1"/>
      <c r="H50" s="1"/>
      <c r="I50" s="1"/>
      <c r="J50" s="1"/>
      <c r="K50" s="1"/>
      <c r="L50" s="1"/>
      <c r="M50" s="1"/>
      <c r="N50" s="37"/>
    </row>
    <row r="51" spans="2:14" ht="15" customHeight="1" x14ac:dyDescent="0.25">
      <c r="B51" s="35"/>
      <c r="C51" s="5" t="s">
        <v>152</v>
      </c>
      <c r="D51" s="6" t="s">
        <v>48</v>
      </c>
      <c r="E51" s="11">
        <v>2.5799999999999998E-4</v>
      </c>
      <c r="F51" s="1"/>
      <c r="G51" s="1"/>
      <c r="H51" s="1"/>
      <c r="I51" s="1"/>
      <c r="J51" s="1"/>
      <c r="K51" s="1"/>
      <c r="L51" s="1"/>
      <c r="M51" s="1"/>
      <c r="N51" s="37"/>
    </row>
    <row r="52" spans="2:14" ht="15" customHeight="1" x14ac:dyDescent="0.25">
      <c r="B52" s="35"/>
      <c r="C52" s="5" t="s">
        <v>153</v>
      </c>
      <c r="D52" s="6" t="s">
        <v>48</v>
      </c>
      <c r="E52" s="11">
        <v>2.3499999999999999E-4</v>
      </c>
      <c r="F52" s="1"/>
      <c r="G52" s="1"/>
      <c r="H52" s="1"/>
      <c r="I52" s="1"/>
      <c r="J52" s="1"/>
      <c r="K52" s="1"/>
      <c r="L52" s="1"/>
      <c r="M52" s="1"/>
      <c r="N52" s="37"/>
    </row>
    <row r="53" spans="2:14" ht="15.75" customHeight="1" x14ac:dyDescent="0.25">
      <c r="B53" s="35"/>
      <c r="C53" s="5" t="s">
        <v>154</v>
      </c>
      <c r="D53" s="6" t="s">
        <v>48</v>
      </c>
      <c r="E53" s="11">
        <v>2.1699999999999999E-4</v>
      </c>
      <c r="F53" s="1"/>
      <c r="G53" s="1"/>
      <c r="H53" s="1"/>
      <c r="I53" s="1"/>
      <c r="J53" s="1"/>
      <c r="K53" s="1"/>
      <c r="L53" s="1"/>
      <c r="M53" s="1"/>
      <c r="N53" s="37"/>
    </row>
    <row r="54" spans="2:14" ht="15" customHeight="1" x14ac:dyDescent="0.25">
      <c r="B54" s="35"/>
      <c r="C54" s="5" t="s">
        <v>155</v>
      </c>
      <c r="D54" s="6" t="s">
        <v>48</v>
      </c>
      <c r="E54" s="11">
        <v>1.4999999999999999E-4</v>
      </c>
      <c r="F54" s="1"/>
      <c r="G54" s="1"/>
      <c r="H54" s="1"/>
      <c r="I54" s="1"/>
      <c r="J54" s="1"/>
      <c r="K54" s="1"/>
      <c r="L54" s="1"/>
      <c r="M54" s="1"/>
      <c r="N54" s="37"/>
    </row>
    <row r="55" spans="2:14" ht="15.75" customHeight="1" x14ac:dyDescent="0.25">
      <c r="B55" s="35"/>
      <c r="C55" s="5" t="s">
        <v>156</v>
      </c>
      <c r="D55" s="6" t="s">
        <v>48</v>
      </c>
      <c r="E55" s="11">
        <v>9.2E-5</v>
      </c>
      <c r="F55" s="1"/>
      <c r="G55" s="1"/>
      <c r="H55" s="1"/>
      <c r="I55" s="1"/>
      <c r="J55" s="1"/>
      <c r="K55" s="1"/>
      <c r="L55" s="1"/>
      <c r="M55" s="1"/>
      <c r="N55" s="37"/>
    </row>
    <row r="56" spans="2:14" ht="15" customHeight="1" x14ac:dyDescent="0.25">
      <c r="B56" s="35"/>
      <c r="C56" s="5" t="s">
        <v>157</v>
      </c>
      <c r="D56" s="6" t="s">
        <v>48</v>
      </c>
      <c r="E56" s="11">
        <v>9.0000000000000006E-5</v>
      </c>
      <c r="F56" s="1"/>
      <c r="G56" s="1"/>
      <c r="H56" s="1"/>
      <c r="I56" s="1"/>
      <c r="J56" s="1"/>
      <c r="K56" s="1"/>
      <c r="L56" s="1"/>
      <c r="M56" s="1"/>
      <c r="N56" s="37"/>
    </row>
    <row r="57" spans="2:14" ht="15" customHeight="1" x14ac:dyDescent="0.25">
      <c r="B57" s="35"/>
      <c r="C57" s="5" t="s">
        <v>158</v>
      </c>
      <c r="D57" s="6" t="s">
        <v>48</v>
      </c>
      <c r="E57" s="11">
        <v>8.2000000000000001E-5</v>
      </c>
      <c r="F57" s="1"/>
      <c r="G57" s="1"/>
      <c r="H57" s="1"/>
      <c r="I57" s="1"/>
      <c r="J57" s="1"/>
      <c r="K57" s="1"/>
      <c r="L57" s="1"/>
      <c r="M57" s="1"/>
      <c r="N57" s="37"/>
    </row>
    <row r="58" spans="2:14" ht="15" customHeight="1" x14ac:dyDescent="0.25">
      <c r="B58" s="35"/>
      <c r="C58" s="5" t="s">
        <v>159</v>
      </c>
      <c r="D58" s="6" t="s">
        <v>48</v>
      </c>
      <c r="E58" s="11">
        <v>7.6000000000000004E-5</v>
      </c>
      <c r="F58" s="1"/>
      <c r="G58" s="1"/>
      <c r="H58" s="1"/>
      <c r="I58" s="1"/>
      <c r="J58" s="1"/>
      <c r="K58" s="1"/>
      <c r="L58" s="1"/>
      <c r="M58" s="1"/>
      <c r="N58" s="37"/>
    </row>
    <row r="59" spans="2:14" ht="15" customHeight="1" x14ac:dyDescent="0.25">
      <c r="B59" s="35"/>
      <c r="C59" s="5" t="s">
        <v>160</v>
      </c>
      <c r="D59" s="6" t="s">
        <v>48</v>
      </c>
      <c r="E59" s="11">
        <v>7.4999999999999993E-5</v>
      </c>
      <c r="F59" s="1"/>
      <c r="G59" s="1"/>
      <c r="H59" s="1"/>
      <c r="I59" s="1"/>
      <c r="J59" s="1"/>
      <c r="K59" s="1"/>
      <c r="L59" s="1"/>
      <c r="M59" s="1"/>
      <c r="N59" s="37"/>
    </row>
    <row r="60" spans="2:14" ht="15" customHeight="1" x14ac:dyDescent="0.25">
      <c r="B60" s="35"/>
      <c r="C60" s="5" t="s">
        <v>161</v>
      </c>
      <c r="D60" s="6" t="s">
        <v>48</v>
      </c>
      <c r="E60" s="11">
        <v>7.3999999999999996E-5</v>
      </c>
      <c r="F60" s="1"/>
      <c r="G60" s="1"/>
      <c r="H60" s="1"/>
      <c r="I60" s="1"/>
      <c r="J60" s="1"/>
      <c r="K60" s="1"/>
      <c r="L60" s="1"/>
      <c r="M60" s="1"/>
      <c r="N60" s="37"/>
    </row>
    <row r="61" spans="2:14" ht="15" customHeight="1" x14ac:dyDescent="0.25">
      <c r="B61" s="35"/>
      <c r="C61" s="5" t="s">
        <v>162</v>
      </c>
      <c r="D61" s="6" t="s">
        <v>48</v>
      </c>
      <c r="E61" s="11">
        <v>7.3999999999999996E-5</v>
      </c>
      <c r="F61" s="1"/>
      <c r="G61" s="1"/>
      <c r="H61" s="1"/>
      <c r="I61" s="1"/>
      <c r="J61" s="1"/>
      <c r="K61" s="1"/>
      <c r="L61" s="1"/>
      <c r="M61" s="1"/>
      <c r="N61" s="37"/>
    </row>
    <row r="62" spans="2:14" ht="15" customHeight="1" x14ac:dyDescent="0.25">
      <c r="B62" s="35"/>
      <c r="C62" s="5" t="s">
        <v>163</v>
      </c>
      <c r="D62" s="6" t="s">
        <v>48</v>
      </c>
      <c r="E62" s="11">
        <v>6.0999999999999999E-5</v>
      </c>
      <c r="F62" s="1"/>
      <c r="G62" s="1"/>
      <c r="H62" s="1"/>
      <c r="I62" s="1"/>
      <c r="J62" s="1"/>
      <c r="K62" s="1"/>
      <c r="L62" s="1"/>
      <c r="M62" s="1"/>
      <c r="N62" s="37"/>
    </row>
    <row r="63" spans="2:14" ht="15" customHeight="1" x14ac:dyDescent="0.25">
      <c r="B63" s="35"/>
      <c r="C63" s="5" t="s">
        <v>164</v>
      </c>
      <c r="D63" s="6" t="s">
        <v>48</v>
      </c>
      <c r="E63" s="42">
        <v>3.8000000000000002E-5</v>
      </c>
      <c r="F63" s="1"/>
      <c r="G63" s="1"/>
      <c r="H63" s="1"/>
      <c r="I63" s="1"/>
      <c r="J63" s="1"/>
      <c r="K63" s="1"/>
      <c r="L63" s="1"/>
      <c r="M63" s="1"/>
      <c r="N63" s="37"/>
    </row>
    <row r="64" spans="2:14" ht="15" customHeight="1" x14ac:dyDescent="0.25">
      <c r="B64" s="35"/>
      <c r="C64" s="7" t="s">
        <v>58</v>
      </c>
      <c r="D64" s="8"/>
      <c r="E64" s="12">
        <v>1.7239999999999998E-2</v>
      </c>
      <c r="F64" s="1"/>
      <c r="G64" s="1"/>
      <c r="H64" s="1"/>
      <c r="I64" s="1"/>
      <c r="J64" s="1"/>
      <c r="K64" s="1"/>
      <c r="L64" s="1"/>
      <c r="M64" s="1"/>
      <c r="N64" s="37"/>
    </row>
    <row r="65" spans="2:14" ht="15" customHeight="1" x14ac:dyDescent="0.25">
      <c r="B65" s="35"/>
      <c r="C65" s="5" t="s">
        <v>139</v>
      </c>
      <c r="D65" s="6" t="s">
        <v>48</v>
      </c>
      <c r="E65" s="11">
        <v>3.594E-3</v>
      </c>
      <c r="F65" s="1"/>
      <c r="G65" s="1"/>
      <c r="H65" s="1"/>
      <c r="I65" s="1"/>
      <c r="J65" s="1"/>
      <c r="K65" s="1"/>
      <c r="L65" s="1"/>
      <c r="M65" s="1"/>
      <c r="N65" s="37"/>
    </row>
    <row r="66" spans="2:14" ht="15" customHeight="1" x14ac:dyDescent="0.25">
      <c r="B66" s="35"/>
      <c r="C66" s="7" t="s">
        <v>81</v>
      </c>
      <c r="D66" s="8"/>
      <c r="E66" s="12">
        <v>3.594E-3</v>
      </c>
      <c r="F66" s="1"/>
      <c r="G66" s="1"/>
      <c r="H66" s="1"/>
      <c r="I66" s="1"/>
      <c r="J66" s="1"/>
      <c r="K66" s="1"/>
      <c r="L66" s="1"/>
      <c r="M66" s="1"/>
      <c r="N66" s="37"/>
    </row>
    <row r="67" spans="2:14" ht="15" customHeight="1" x14ac:dyDescent="0.25">
      <c r="B67" s="35"/>
      <c r="C67" s="5" t="s">
        <v>8</v>
      </c>
      <c r="D67" s="6"/>
      <c r="E67" s="11">
        <v>0.22713900000000001</v>
      </c>
      <c r="F67" s="1"/>
      <c r="G67" s="1"/>
      <c r="H67" s="1"/>
      <c r="I67" s="1"/>
      <c r="J67" s="1"/>
      <c r="K67" s="1"/>
      <c r="L67" s="1"/>
      <c r="M67" s="1"/>
      <c r="N67" s="37"/>
    </row>
    <row r="68" spans="2:14" ht="15" customHeight="1" x14ac:dyDescent="0.25">
      <c r="B68" s="35"/>
      <c r="C68" s="7" t="s">
        <v>9</v>
      </c>
      <c r="D68" s="8"/>
      <c r="E68" s="12">
        <v>0.22713900000000001</v>
      </c>
      <c r="F68" s="1"/>
      <c r="G68" s="1"/>
      <c r="H68" s="1"/>
      <c r="I68" s="1"/>
      <c r="J68" s="1"/>
      <c r="K68" s="1"/>
      <c r="L68" s="1"/>
      <c r="M68" s="1"/>
      <c r="N68" s="37"/>
    </row>
    <row r="69" spans="2:14" ht="15" customHeight="1" x14ac:dyDescent="0.25">
      <c r="B69" s="35"/>
      <c r="C69" s="5" t="s">
        <v>33</v>
      </c>
      <c r="D69" s="6" t="s">
        <v>26</v>
      </c>
      <c r="E69" s="11">
        <v>1.4888E-2</v>
      </c>
      <c r="F69" s="1"/>
      <c r="G69" s="1"/>
      <c r="H69" s="1"/>
      <c r="I69" s="1"/>
      <c r="J69" s="1"/>
      <c r="K69" s="1"/>
      <c r="L69" s="1"/>
      <c r="M69" s="1"/>
      <c r="N69" s="37"/>
    </row>
    <row r="70" spans="2:14" ht="15" customHeight="1" x14ac:dyDescent="0.25">
      <c r="B70" s="35"/>
      <c r="C70" s="5" t="s">
        <v>133</v>
      </c>
      <c r="D70" s="6" t="s">
        <v>26</v>
      </c>
      <c r="E70" s="11">
        <v>1.439E-3</v>
      </c>
      <c r="F70" s="1"/>
      <c r="G70" s="1"/>
      <c r="H70" s="1"/>
      <c r="I70" s="1"/>
      <c r="J70" s="1"/>
      <c r="K70" s="1"/>
      <c r="L70" s="1"/>
      <c r="M70" s="1"/>
      <c r="N70" s="37"/>
    </row>
    <row r="71" spans="2:14" ht="15" customHeight="1" x14ac:dyDescent="0.25">
      <c r="B71" s="35"/>
      <c r="C71" s="5" t="s">
        <v>140</v>
      </c>
      <c r="D71" s="6" t="s">
        <v>26</v>
      </c>
      <c r="E71" s="11">
        <v>6.9099999999999999E-4</v>
      </c>
      <c r="F71" s="1"/>
      <c r="G71" s="1"/>
      <c r="H71" s="1"/>
      <c r="I71" s="1"/>
      <c r="J71" s="1"/>
      <c r="K71" s="1"/>
      <c r="L71" s="1"/>
      <c r="M71" s="1"/>
      <c r="N71" s="37"/>
    </row>
    <row r="72" spans="2:14" ht="15" customHeight="1" x14ac:dyDescent="0.25">
      <c r="B72" s="35"/>
      <c r="C72" s="7" t="s">
        <v>59</v>
      </c>
      <c r="D72" s="8"/>
      <c r="E72" s="12">
        <v>1.7017999999999998E-2</v>
      </c>
      <c r="F72" s="1"/>
      <c r="G72" s="1"/>
      <c r="H72" s="1"/>
      <c r="I72" s="1"/>
      <c r="J72" s="1"/>
      <c r="K72" s="1"/>
      <c r="L72" s="1"/>
      <c r="M72" s="1"/>
      <c r="N72" s="37"/>
    </row>
    <row r="73" spans="2:14" ht="15" customHeight="1" x14ac:dyDescent="0.25">
      <c r="B73" s="35"/>
      <c r="C73" s="5"/>
      <c r="D73" s="6"/>
      <c r="E73" s="11"/>
      <c r="F73" s="1"/>
      <c r="G73" s="1"/>
      <c r="H73" s="1"/>
      <c r="I73" s="1"/>
      <c r="J73" s="1"/>
      <c r="K73" s="1"/>
      <c r="L73" s="1"/>
      <c r="M73" s="1"/>
      <c r="N73" s="37"/>
    </row>
    <row r="74" spans="2:14" ht="15" customHeight="1" x14ac:dyDescent="0.25">
      <c r="B74" s="35"/>
      <c r="C74" s="7" t="s">
        <v>10</v>
      </c>
      <c r="D74" s="8"/>
      <c r="E74" s="12">
        <v>-1.0756999999999999E-2</v>
      </c>
      <c r="F74" s="1"/>
      <c r="G74" s="1"/>
      <c r="H74" s="1"/>
      <c r="I74" s="1"/>
      <c r="J74" s="1"/>
      <c r="K74" s="1"/>
      <c r="L74" s="1"/>
      <c r="M74" s="1"/>
      <c r="N74" s="37"/>
    </row>
    <row r="75" spans="2:14" ht="15" customHeight="1" x14ac:dyDescent="0.25">
      <c r="B75" s="35"/>
      <c r="C75" s="5"/>
      <c r="D75" s="6"/>
      <c r="E75" s="11"/>
      <c r="F75" s="1"/>
      <c r="G75" s="1"/>
      <c r="H75" s="1"/>
      <c r="I75" s="1"/>
      <c r="J75" s="1"/>
      <c r="K75" s="1"/>
      <c r="L75" s="1"/>
      <c r="M75" s="1"/>
      <c r="N75" s="37"/>
    </row>
    <row r="76" spans="2:14" ht="15" customHeight="1" x14ac:dyDescent="0.25">
      <c r="B76" s="35"/>
      <c r="C76" s="9" t="s">
        <v>11</v>
      </c>
      <c r="D76" s="10"/>
      <c r="E76" s="13">
        <v>1</v>
      </c>
      <c r="F76" s="1"/>
      <c r="G76" s="1"/>
      <c r="H76" s="1"/>
      <c r="I76" s="1"/>
      <c r="J76" s="1"/>
      <c r="K76" s="1"/>
      <c r="L76" s="1"/>
      <c r="M76" s="1"/>
      <c r="N76" s="37"/>
    </row>
    <row r="77" spans="2:14" ht="15" customHeight="1" x14ac:dyDescent="0.25">
      <c r="B77" s="35"/>
      <c r="C77" s="1"/>
      <c r="D77" s="1"/>
      <c r="E77" s="1"/>
      <c r="F77" s="1"/>
      <c r="G77" s="1"/>
      <c r="H77" s="1"/>
      <c r="I77" s="1"/>
      <c r="J77" s="1"/>
      <c r="K77" s="1"/>
      <c r="L77" s="1"/>
      <c r="M77" s="1"/>
      <c r="N77" s="37"/>
    </row>
    <row r="78" spans="2:14" ht="15" customHeight="1" x14ac:dyDescent="0.25">
      <c r="B78" s="35"/>
      <c r="C78" s="1"/>
      <c r="D78" s="1"/>
      <c r="E78" s="1"/>
      <c r="F78" s="1"/>
      <c r="G78" s="1"/>
      <c r="H78" s="1"/>
      <c r="I78" s="1"/>
      <c r="J78" s="1"/>
      <c r="K78" s="1"/>
      <c r="L78" s="1"/>
      <c r="M78" s="1"/>
      <c r="N78" s="37"/>
    </row>
    <row r="79" spans="2:14" ht="15" customHeight="1" x14ac:dyDescent="0.25">
      <c r="B79" s="35"/>
      <c r="C79" s="1"/>
      <c r="D79" s="1"/>
      <c r="E79" s="1"/>
      <c r="F79" s="1"/>
      <c r="G79" s="1"/>
      <c r="H79" s="1"/>
      <c r="I79" s="1"/>
      <c r="J79" s="1"/>
      <c r="K79" s="1"/>
      <c r="L79" s="1"/>
      <c r="M79" s="1"/>
      <c r="N79" s="37"/>
    </row>
    <row r="80" spans="2:14" ht="15" customHeight="1" thickBot="1" x14ac:dyDescent="0.3">
      <c r="B80" s="39"/>
      <c r="C80" s="40"/>
      <c r="D80" s="40"/>
      <c r="E80" s="40"/>
      <c r="F80" s="40"/>
      <c r="G80" s="40"/>
      <c r="H80" s="40"/>
      <c r="I80" s="40"/>
      <c r="J80" s="40"/>
      <c r="K80" s="40"/>
      <c r="L80" s="40"/>
      <c r="M80" s="40"/>
      <c r="N80" s="41"/>
    </row>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sheetData>
  <mergeCells count="3">
    <mergeCell ref="C3:N3"/>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8"/>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144</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19</v>
      </c>
      <c r="D8" s="6" t="s">
        <v>20</v>
      </c>
      <c r="E8" s="11">
        <v>7.8720999999999999E-2</v>
      </c>
      <c r="F8" s="1"/>
      <c r="G8" s="23" t="s">
        <v>15</v>
      </c>
      <c r="H8" s="24">
        <v>1</v>
      </c>
      <c r="I8" s="1"/>
      <c r="J8" s="23" t="s">
        <v>12</v>
      </c>
      <c r="K8" s="23" t="s">
        <v>3</v>
      </c>
      <c r="L8" s="1"/>
      <c r="M8" s="1"/>
      <c r="N8" s="17"/>
    </row>
    <row r="9" spans="2:14" ht="15" customHeight="1" x14ac:dyDescent="0.25">
      <c r="B9" s="19"/>
      <c r="C9" s="5" t="s">
        <v>24</v>
      </c>
      <c r="D9" s="6" t="s">
        <v>20</v>
      </c>
      <c r="E9" s="11">
        <v>1.9306E-2</v>
      </c>
      <c r="F9" s="1"/>
      <c r="G9" s="1"/>
      <c r="H9" s="1"/>
      <c r="I9" s="1"/>
      <c r="J9" s="23" t="s">
        <v>13</v>
      </c>
      <c r="K9" s="25">
        <v>0.33846999999999999</v>
      </c>
      <c r="L9" s="1"/>
      <c r="M9" s="1"/>
      <c r="N9" s="17"/>
    </row>
    <row r="10" spans="2:14" ht="15.75" customHeight="1" x14ac:dyDescent="0.25">
      <c r="B10" s="19"/>
      <c r="C10" s="7" t="s">
        <v>23</v>
      </c>
      <c r="D10" s="8"/>
      <c r="E10" s="12">
        <v>9.8027000000000003E-2</v>
      </c>
      <c r="F10" s="1"/>
      <c r="G10" s="1"/>
      <c r="H10" s="1"/>
      <c r="I10" s="1"/>
      <c r="J10" s="23" t="s">
        <v>60</v>
      </c>
      <c r="K10" s="25">
        <v>9.8027000000000003E-2</v>
      </c>
      <c r="L10" s="1"/>
      <c r="M10" s="1"/>
      <c r="N10" s="17"/>
    </row>
    <row r="11" spans="2:14" ht="15" customHeight="1" x14ac:dyDescent="0.25">
      <c r="B11" s="19"/>
      <c r="C11" s="5" t="s">
        <v>33</v>
      </c>
      <c r="D11" s="6" t="s">
        <v>20</v>
      </c>
      <c r="E11" s="11">
        <v>7.3782E-2</v>
      </c>
      <c r="F11" s="1"/>
      <c r="G11" s="1"/>
      <c r="H11" s="1"/>
      <c r="I11" s="1"/>
      <c r="J11" s="23" t="s">
        <v>61</v>
      </c>
      <c r="K11" s="25">
        <v>0.168324</v>
      </c>
      <c r="L11" s="1"/>
      <c r="M11" s="1"/>
      <c r="N11" s="17"/>
    </row>
    <row r="12" spans="2:14" ht="15" customHeight="1" x14ac:dyDescent="0.25">
      <c r="B12" s="19"/>
      <c r="C12" s="5" t="s">
        <v>44</v>
      </c>
      <c r="D12" s="6" t="s">
        <v>20</v>
      </c>
      <c r="E12" s="11">
        <v>4.9738999999999998E-2</v>
      </c>
      <c r="F12" s="1"/>
      <c r="G12" s="1"/>
      <c r="H12" s="1"/>
      <c r="I12" s="1"/>
      <c r="J12" s="23" t="s">
        <v>62</v>
      </c>
      <c r="K12" s="25">
        <v>0.21216099999999999</v>
      </c>
      <c r="L12" s="1"/>
      <c r="M12" s="1"/>
      <c r="N12" s="17"/>
    </row>
    <row r="13" spans="2:14" ht="15" customHeight="1" x14ac:dyDescent="0.25">
      <c r="B13" s="19"/>
      <c r="C13" s="5" t="s">
        <v>30</v>
      </c>
      <c r="D13" s="6" t="s">
        <v>20</v>
      </c>
      <c r="E13" s="11">
        <v>3.9566999999999998E-2</v>
      </c>
      <c r="F13" s="1"/>
      <c r="G13" s="1"/>
      <c r="H13" s="1"/>
      <c r="I13" s="1"/>
      <c r="J13" s="23" t="s">
        <v>127</v>
      </c>
      <c r="K13" s="25">
        <v>1.9980000000000001E-2</v>
      </c>
      <c r="L13" s="1"/>
      <c r="M13" s="1"/>
      <c r="N13" s="17"/>
    </row>
    <row r="14" spans="2:14" ht="15" customHeight="1" x14ac:dyDescent="0.25">
      <c r="B14" s="19"/>
      <c r="C14" s="5" t="s">
        <v>134</v>
      </c>
      <c r="D14" s="6" t="s">
        <v>20</v>
      </c>
      <c r="E14" s="11">
        <v>2.9271999999999999E-2</v>
      </c>
      <c r="F14" s="1"/>
      <c r="G14" s="1"/>
      <c r="H14" s="1"/>
      <c r="I14" s="1"/>
      <c r="J14" s="23" t="s">
        <v>63</v>
      </c>
      <c r="K14" s="25">
        <v>4.7287000000000003E-2</v>
      </c>
      <c r="L14" s="1"/>
      <c r="M14" s="1"/>
      <c r="N14" s="17"/>
    </row>
    <row r="15" spans="2:14" ht="15" customHeight="1" x14ac:dyDescent="0.25">
      <c r="B15" s="19"/>
      <c r="C15" s="5" t="s">
        <v>24</v>
      </c>
      <c r="D15" s="6" t="s">
        <v>20</v>
      </c>
      <c r="E15" s="11">
        <v>1.9800999999999999E-2</v>
      </c>
      <c r="F15" s="1"/>
      <c r="G15" s="1"/>
      <c r="H15" s="1"/>
      <c r="I15" s="1"/>
      <c r="J15" s="23" t="s">
        <v>64</v>
      </c>
      <c r="K15" s="25">
        <v>6.0208999999999999E-2</v>
      </c>
      <c r="L15" s="1"/>
      <c r="M15" s="1"/>
      <c r="N15" s="17"/>
    </row>
    <row r="16" spans="2:14" ht="15.75" customHeight="1" x14ac:dyDescent="0.25">
      <c r="B16" s="19"/>
      <c r="C16" s="7" t="s">
        <v>25</v>
      </c>
      <c r="D16" s="8"/>
      <c r="E16" s="12">
        <v>0.21216099999999999</v>
      </c>
      <c r="F16" s="1"/>
      <c r="G16" s="1"/>
      <c r="H16" s="1"/>
      <c r="I16" s="1"/>
      <c r="J16" s="23" t="s">
        <v>83</v>
      </c>
      <c r="K16" s="25">
        <v>5.4782999999999998E-2</v>
      </c>
      <c r="L16" s="1"/>
      <c r="M16" s="1"/>
      <c r="N16" s="17"/>
    </row>
    <row r="17" spans="2:14" ht="15" customHeight="1" x14ac:dyDescent="0.25">
      <c r="B17" s="19"/>
      <c r="C17" s="5" t="s">
        <v>34</v>
      </c>
      <c r="D17" s="6" t="s">
        <v>26</v>
      </c>
      <c r="E17" s="11">
        <v>4.8666000000000001E-2</v>
      </c>
      <c r="F17" s="1"/>
      <c r="G17" s="1"/>
      <c r="H17" s="1"/>
      <c r="I17" s="1"/>
      <c r="J17" s="23" t="s">
        <v>10</v>
      </c>
      <c r="K17" s="25">
        <v>7.5900000000000002E-4</v>
      </c>
      <c r="L17" s="1"/>
      <c r="M17" s="1"/>
      <c r="N17" s="17"/>
    </row>
    <row r="18" spans="2:14" ht="15" customHeight="1" x14ac:dyDescent="0.25">
      <c r="B18" s="19"/>
      <c r="C18" s="5" t="s">
        <v>33</v>
      </c>
      <c r="D18" s="6" t="s">
        <v>26</v>
      </c>
      <c r="E18" s="11">
        <v>2.9538999999999999E-2</v>
      </c>
      <c r="F18" s="1"/>
      <c r="G18" s="1"/>
      <c r="H18" s="1"/>
      <c r="I18" s="1"/>
      <c r="J18" s="1"/>
      <c r="K18" s="1"/>
      <c r="L18" s="1"/>
      <c r="M18" s="1"/>
      <c r="N18" s="17"/>
    </row>
    <row r="19" spans="2:14" ht="15" customHeight="1" x14ac:dyDescent="0.25">
      <c r="B19" s="19"/>
      <c r="C19" s="5" t="s">
        <v>24</v>
      </c>
      <c r="D19" s="6" t="s">
        <v>26</v>
      </c>
      <c r="E19" s="11">
        <v>2.3418000000000001E-2</v>
      </c>
      <c r="F19" s="1"/>
      <c r="G19" s="1"/>
      <c r="H19" s="1"/>
      <c r="I19" s="1"/>
      <c r="J19" s="1"/>
      <c r="K19" s="1"/>
      <c r="L19" s="1"/>
      <c r="M19" s="1"/>
      <c r="N19" s="17"/>
    </row>
    <row r="20" spans="2:14" ht="15" customHeight="1" x14ac:dyDescent="0.25">
      <c r="B20" s="19"/>
      <c r="C20" s="5" t="s">
        <v>29</v>
      </c>
      <c r="D20" s="6" t="s">
        <v>26</v>
      </c>
      <c r="E20" s="11">
        <v>1.9071000000000001E-2</v>
      </c>
      <c r="F20" s="1"/>
      <c r="G20" s="1"/>
      <c r="H20" s="1"/>
      <c r="I20" s="1"/>
      <c r="J20" s="1"/>
      <c r="K20" s="1"/>
      <c r="L20" s="1"/>
      <c r="M20" s="1"/>
      <c r="N20" s="17"/>
    </row>
    <row r="21" spans="2:14" ht="15" customHeight="1" x14ac:dyDescent="0.25">
      <c r="B21" s="19"/>
      <c r="C21" s="5" t="s">
        <v>30</v>
      </c>
      <c r="D21" s="6" t="s">
        <v>26</v>
      </c>
      <c r="E21" s="11">
        <v>1.503E-2</v>
      </c>
      <c r="F21" s="1"/>
      <c r="G21" s="1"/>
      <c r="H21" s="1"/>
      <c r="I21" s="1"/>
      <c r="J21" s="1"/>
      <c r="K21" s="1"/>
      <c r="L21" s="1"/>
      <c r="M21" s="1"/>
      <c r="N21" s="17"/>
    </row>
    <row r="22" spans="2:14" ht="15" customHeight="1" x14ac:dyDescent="0.25">
      <c r="B22" s="19"/>
      <c r="C22" s="5" t="s">
        <v>27</v>
      </c>
      <c r="D22" s="6" t="s">
        <v>26</v>
      </c>
      <c r="E22" s="11">
        <v>1.3275E-2</v>
      </c>
      <c r="F22" s="1"/>
      <c r="G22" s="1"/>
      <c r="H22" s="1"/>
      <c r="I22" s="1"/>
      <c r="J22" s="1"/>
      <c r="K22" s="1"/>
      <c r="L22" s="1"/>
      <c r="M22" s="1"/>
      <c r="N22" s="17"/>
    </row>
    <row r="23" spans="2:14" ht="15" customHeight="1" x14ac:dyDescent="0.25">
      <c r="B23" s="19"/>
      <c r="C23" s="5" t="s">
        <v>89</v>
      </c>
      <c r="D23" s="6" t="s">
        <v>26</v>
      </c>
      <c r="E23" s="11">
        <v>1.1192000000000001E-2</v>
      </c>
      <c r="F23" s="1"/>
      <c r="G23" s="1"/>
      <c r="H23" s="1"/>
      <c r="I23" s="1"/>
      <c r="J23" s="1"/>
      <c r="K23" s="1"/>
      <c r="L23" s="1"/>
      <c r="M23" s="1"/>
      <c r="N23" s="17"/>
    </row>
    <row r="24" spans="2:14" ht="15" customHeight="1" x14ac:dyDescent="0.25">
      <c r="B24" s="19"/>
      <c r="C24" s="5" t="s">
        <v>140</v>
      </c>
      <c r="D24" s="6" t="s">
        <v>26</v>
      </c>
      <c r="E24" s="11">
        <v>6.0410000000000004E-3</v>
      </c>
      <c r="F24" s="1"/>
      <c r="G24" s="1"/>
      <c r="H24" s="1"/>
      <c r="I24" s="1"/>
      <c r="J24" s="1"/>
      <c r="K24" s="1"/>
      <c r="L24" s="1"/>
      <c r="M24" s="1"/>
      <c r="N24" s="17"/>
    </row>
    <row r="25" spans="2:14" ht="15" customHeight="1" x14ac:dyDescent="0.25">
      <c r="B25" s="19"/>
      <c r="C25" s="5" t="s">
        <v>28</v>
      </c>
      <c r="D25" s="6" t="s">
        <v>26</v>
      </c>
      <c r="E25" s="11">
        <v>1.0790000000000001E-3</v>
      </c>
      <c r="F25" s="1"/>
      <c r="G25" s="1"/>
      <c r="H25" s="1"/>
      <c r="I25" s="1"/>
      <c r="J25" s="1"/>
      <c r="K25" s="1"/>
      <c r="L25" s="1"/>
      <c r="M25" s="1"/>
      <c r="N25" s="17"/>
    </row>
    <row r="26" spans="2:14" ht="15" customHeight="1" x14ac:dyDescent="0.25">
      <c r="B26" s="19"/>
      <c r="C26" s="5" t="s">
        <v>37</v>
      </c>
      <c r="D26" s="6" t="s">
        <v>26</v>
      </c>
      <c r="E26" s="11">
        <v>1.013E-3</v>
      </c>
      <c r="F26" s="1"/>
      <c r="G26" s="29" t="s">
        <v>17</v>
      </c>
      <c r="H26" s="30"/>
      <c r="I26" s="30"/>
      <c r="J26" s="30"/>
      <c r="K26" s="30"/>
      <c r="L26" s="30"/>
      <c r="M26" s="30"/>
      <c r="N26" s="31"/>
    </row>
    <row r="27" spans="2:14" ht="15.75" customHeight="1" x14ac:dyDescent="0.25">
      <c r="B27" s="19"/>
      <c r="C27" s="7" t="s">
        <v>46</v>
      </c>
      <c r="D27" s="8"/>
      <c r="E27" s="12">
        <v>0.168324</v>
      </c>
      <c r="F27" s="1"/>
      <c r="G27" s="1"/>
      <c r="H27" s="1"/>
      <c r="I27" s="1"/>
      <c r="J27" s="1"/>
      <c r="K27" s="1"/>
      <c r="L27" s="1"/>
      <c r="M27" s="1"/>
      <c r="N27" s="17"/>
    </row>
    <row r="28" spans="2:14" ht="15" customHeight="1" x14ac:dyDescent="0.25">
      <c r="B28" s="19"/>
      <c r="C28" s="5" t="s">
        <v>19</v>
      </c>
      <c r="D28" s="6" t="s">
        <v>20</v>
      </c>
      <c r="E28" s="11">
        <v>1.9980000000000001E-2</v>
      </c>
      <c r="F28" s="1"/>
      <c r="G28" s="1"/>
      <c r="H28" s="1"/>
      <c r="I28" s="1"/>
      <c r="J28" s="1"/>
      <c r="K28" s="1"/>
      <c r="L28" s="1"/>
      <c r="M28" s="1"/>
      <c r="N28" s="17"/>
    </row>
    <row r="29" spans="2:14" ht="15.75" customHeight="1" x14ac:dyDescent="0.25">
      <c r="B29" s="19"/>
      <c r="C29" s="7" t="s">
        <v>125</v>
      </c>
      <c r="D29" s="8"/>
      <c r="E29" s="12">
        <v>1.9980000000000001E-2</v>
      </c>
      <c r="F29" s="1"/>
      <c r="G29" s="1"/>
      <c r="H29" s="1"/>
      <c r="I29" s="1"/>
      <c r="J29" s="1"/>
      <c r="K29" s="1"/>
      <c r="L29" s="1"/>
      <c r="M29" s="1"/>
      <c r="N29" s="17"/>
    </row>
    <row r="30" spans="2:14" ht="15" customHeight="1" x14ac:dyDescent="0.25">
      <c r="B30" s="19"/>
      <c r="C30" s="5" t="s">
        <v>138</v>
      </c>
      <c r="D30" s="6" t="s">
        <v>48</v>
      </c>
      <c r="E30" s="11">
        <v>4.7287000000000003E-2</v>
      </c>
      <c r="F30" s="1"/>
      <c r="G30" s="1"/>
      <c r="H30" s="1"/>
      <c r="I30" s="1"/>
      <c r="J30" s="1"/>
      <c r="K30" s="1"/>
      <c r="L30" s="1"/>
      <c r="M30" s="1"/>
      <c r="N30" s="17"/>
    </row>
    <row r="31" spans="2:14" ht="15.75" customHeight="1" x14ac:dyDescent="0.25">
      <c r="B31" s="19"/>
      <c r="C31" s="7" t="s">
        <v>57</v>
      </c>
      <c r="D31" s="8"/>
      <c r="E31" s="12">
        <v>4.7287000000000003E-2</v>
      </c>
      <c r="F31" s="1"/>
      <c r="G31" s="1"/>
      <c r="H31" s="1"/>
      <c r="I31" s="1"/>
      <c r="J31" s="1"/>
      <c r="K31" s="1"/>
      <c r="L31" s="1"/>
      <c r="M31" s="1"/>
      <c r="N31" s="17"/>
    </row>
    <row r="32" spans="2:14" ht="15" customHeight="1" x14ac:dyDescent="0.25">
      <c r="B32" s="19"/>
      <c r="C32" s="5" t="s">
        <v>165</v>
      </c>
      <c r="D32" s="6" t="s">
        <v>48</v>
      </c>
      <c r="E32" s="11">
        <v>2.2463E-2</v>
      </c>
      <c r="F32" s="1"/>
      <c r="G32" s="1"/>
      <c r="H32" s="1"/>
      <c r="I32" s="1"/>
      <c r="J32" s="1"/>
      <c r="K32" s="1"/>
      <c r="L32" s="1"/>
      <c r="M32" s="1"/>
      <c r="N32" s="17"/>
    </row>
    <row r="33" spans="2:14" ht="15.75" customHeight="1" x14ac:dyDescent="0.25">
      <c r="B33" s="19"/>
      <c r="C33" s="5" t="s">
        <v>166</v>
      </c>
      <c r="D33" s="6" t="s">
        <v>48</v>
      </c>
      <c r="E33" s="11">
        <v>1.7913999999999999E-2</v>
      </c>
      <c r="F33" s="1"/>
      <c r="G33" s="1"/>
      <c r="H33" s="1"/>
      <c r="I33" s="1"/>
      <c r="J33" s="1"/>
      <c r="K33" s="1"/>
      <c r="L33" s="1"/>
      <c r="M33" s="1"/>
      <c r="N33" s="17"/>
    </row>
    <row r="34" spans="2:14" ht="15" customHeight="1" x14ac:dyDescent="0.25">
      <c r="B34" s="19"/>
      <c r="C34" s="5" t="s">
        <v>167</v>
      </c>
      <c r="D34" s="6" t="s">
        <v>48</v>
      </c>
      <c r="E34" s="11">
        <v>1.1592999999999999E-2</v>
      </c>
      <c r="F34" s="1"/>
      <c r="G34" s="1"/>
      <c r="H34" s="1"/>
      <c r="I34" s="1"/>
      <c r="J34" s="1"/>
      <c r="K34" s="1"/>
      <c r="L34" s="1"/>
      <c r="M34" s="1"/>
      <c r="N34" s="17"/>
    </row>
    <row r="35" spans="2:14" ht="15.75" customHeight="1" x14ac:dyDescent="0.25">
      <c r="B35" s="19"/>
      <c r="C35" s="5" t="s">
        <v>168</v>
      </c>
      <c r="D35" s="6" t="s">
        <v>48</v>
      </c>
      <c r="E35" s="11">
        <v>3.0769999999999999E-3</v>
      </c>
      <c r="F35" s="1"/>
      <c r="G35" s="1"/>
      <c r="H35" s="1"/>
      <c r="I35" s="1"/>
      <c r="J35" s="1"/>
      <c r="K35" s="1"/>
      <c r="L35" s="1"/>
      <c r="M35" s="1"/>
      <c r="N35" s="17"/>
    </row>
    <row r="36" spans="2:14" ht="15" customHeight="1" x14ac:dyDescent="0.25">
      <c r="B36" s="19"/>
      <c r="C36" s="5" t="s">
        <v>169</v>
      </c>
      <c r="D36" s="6" t="s">
        <v>48</v>
      </c>
      <c r="E36" s="11">
        <v>1.059E-3</v>
      </c>
      <c r="F36" s="1"/>
      <c r="G36" s="1"/>
      <c r="H36" s="1"/>
      <c r="I36" s="1"/>
      <c r="J36" s="1"/>
      <c r="K36" s="1"/>
      <c r="L36" s="1"/>
      <c r="M36" s="1"/>
      <c r="N36" s="17"/>
    </row>
    <row r="37" spans="2:14" ht="15.75" customHeight="1" x14ac:dyDescent="0.25">
      <c r="B37" s="19"/>
      <c r="C37" s="5" t="s">
        <v>170</v>
      </c>
      <c r="D37" s="6" t="s">
        <v>48</v>
      </c>
      <c r="E37" s="11">
        <v>1.0499999999999999E-3</v>
      </c>
      <c r="F37" s="1"/>
      <c r="G37" s="1"/>
      <c r="H37" s="1"/>
      <c r="I37" s="1"/>
      <c r="J37" s="1"/>
      <c r="K37" s="1"/>
      <c r="L37" s="1"/>
      <c r="M37" s="1"/>
      <c r="N37" s="17"/>
    </row>
    <row r="38" spans="2:14" ht="15" customHeight="1" x14ac:dyDescent="0.25">
      <c r="B38" s="19"/>
      <c r="C38" s="5" t="s">
        <v>171</v>
      </c>
      <c r="D38" s="6" t="s">
        <v>48</v>
      </c>
      <c r="E38" s="11">
        <v>1.0349999999999999E-3</v>
      </c>
      <c r="F38" s="1"/>
      <c r="G38" s="1"/>
      <c r="H38" s="1"/>
      <c r="I38" s="1"/>
      <c r="J38" s="1"/>
      <c r="K38" s="1"/>
      <c r="L38" s="1"/>
      <c r="M38" s="1"/>
      <c r="N38" s="17"/>
    </row>
    <row r="39" spans="2:14" ht="15.75" customHeight="1" x14ac:dyDescent="0.25">
      <c r="B39" s="19"/>
      <c r="C39" s="5" t="s">
        <v>172</v>
      </c>
      <c r="D39" s="6" t="s">
        <v>48</v>
      </c>
      <c r="E39" s="11">
        <v>1.018E-3</v>
      </c>
      <c r="F39" s="1"/>
      <c r="G39" s="1"/>
      <c r="H39" s="1"/>
      <c r="I39" s="1"/>
      <c r="J39" s="1"/>
      <c r="K39" s="1"/>
      <c r="L39" s="1"/>
      <c r="M39" s="1"/>
      <c r="N39" s="17"/>
    </row>
    <row r="40" spans="2:14" ht="15" customHeight="1" x14ac:dyDescent="0.25">
      <c r="B40" s="19"/>
      <c r="C40" s="5" t="s">
        <v>173</v>
      </c>
      <c r="D40" s="6" t="s">
        <v>48</v>
      </c>
      <c r="E40" s="11">
        <v>1E-3</v>
      </c>
      <c r="F40" s="1"/>
      <c r="G40" s="1"/>
      <c r="H40" s="1"/>
      <c r="I40" s="1"/>
      <c r="J40" s="1"/>
      <c r="K40" s="1"/>
      <c r="L40" s="1"/>
      <c r="M40" s="1"/>
      <c r="N40" s="17"/>
    </row>
    <row r="41" spans="2:14" ht="15" customHeight="1" x14ac:dyDescent="0.25">
      <c r="B41" s="19"/>
      <c r="C41" s="7" t="s">
        <v>58</v>
      </c>
      <c r="D41" s="8"/>
      <c r="E41" s="12">
        <v>6.0208999999999999E-2</v>
      </c>
      <c r="F41" s="1"/>
      <c r="G41" s="1"/>
      <c r="H41" s="1"/>
      <c r="I41" s="1"/>
      <c r="J41" s="1"/>
      <c r="K41" s="1"/>
      <c r="L41" s="1"/>
      <c r="M41" s="1"/>
      <c r="N41" s="17"/>
    </row>
    <row r="42" spans="2:14" ht="15" customHeight="1" x14ac:dyDescent="0.25">
      <c r="B42" s="19"/>
      <c r="C42" s="5" t="s">
        <v>95</v>
      </c>
      <c r="D42" s="6" t="s">
        <v>48</v>
      </c>
      <c r="E42" s="11">
        <v>5.4782999999999998E-2</v>
      </c>
      <c r="F42" s="1"/>
      <c r="G42" s="1"/>
      <c r="H42" s="1"/>
      <c r="I42" s="1"/>
      <c r="J42" s="1"/>
      <c r="K42" s="1"/>
      <c r="L42" s="1"/>
      <c r="M42" s="1"/>
      <c r="N42" s="17"/>
    </row>
    <row r="43" spans="2:14" ht="15" customHeight="1" x14ac:dyDescent="0.25">
      <c r="B43" s="19"/>
      <c r="C43" s="7" t="s">
        <v>81</v>
      </c>
      <c r="D43" s="8"/>
      <c r="E43" s="12">
        <v>5.4782999999999998E-2</v>
      </c>
      <c r="F43" s="1"/>
      <c r="G43" s="1"/>
      <c r="H43" s="1"/>
      <c r="I43" s="1"/>
      <c r="J43" s="1"/>
      <c r="K43" s="1"/>
      <c r="L43" s="1"/>
      <c r="M43" s="1"/>
      <c r="N43" s="17"/>
    </row>
    <row r="44" spans="2:14" ht="15" customHeight="1" x14ac:dyDescent="0.25">
      <c r="B44" s="19"/>
      <c r="C44" s="5" t="s">
        <v>8</v>
      </c>
      <c r="D44" s="6"/>
      <c r="E44" s="11">
        <v>0.33846999999999999</v>
      </c>
      <c r="F44" s="1"/>
      <c r="G44" s="1"/>
      <c r="H44" s="1"/>
      <c r="I44" s="1"/>
      <c r="J44" s="1"/>
      <c r="K44" s="1"/>
      <c r="L44" s="1"/>
      <c r="M44" s="1"/>
      <c r="N44" s="17"/>
    </row>
    <row r="45" spans="2:14" ht="15" customHeight="1" x14ac:dyDescent="0.25">
      <c r="B45" s="19"/>
      <c r="C45" s="7" t="s">
        <v>9</v>
      </c>
      <c r="D45" s="8"/>
      <c r="E45" s="12">
        <v>0.33846999999999999</v>
      </c>
      <c r="F45" s="1"/>
      <c r="G45" s="1"/>
      <c r="H45" s="1"/>
      <c r="I45" s="1"/>
      <c r="J45" s="1"/>
      <c r="K45" s="1"/>
      <c r="L45" s="1"/>
      <c r="M45" s="1"/>
      <c r="N45" s="17"/>
    </row>
    <row r="46" spans="2:14" ht="15" customHeight="1" x14ac:dyDescent="0.25">
      <c r="B46" s="19"/>
      <c r="C46" s="5"/>
      <c r="D46" s="6"/>
      <c r="E46" s="11"/>
      <c r="F46" s="1"/>
      <c r="G46" s="1"/>
      <c r="H46" s="1"/>
      <c r="I46" s="1"/>
      <c r="J46" s="1"/>
      <c r="K46" s="1"/>
      <c r="L46" s="1"/>
      <c r="M46" s="1"/>
      <c r="N46" s="17"/>
    </row>
    <row r="47" spans="2:14" ht="15" customHeight="1" x14ac:dyDescent="0.25">
      <c r="B47" s="19"/>
      <c r="C47" s="7" t="s">
        <v>10</v>
      </c>
      <c r="D47" s="8"/>
      <c r="E47" s="12">
        <v>7.5900000000000002E-4</v>
      </c>
      <c r="F47" s="1"/>
      <c r="G47" s="1"/>
      <c r="H47" s="1"/>
      <c r="I47" s="1"/>
      <c r="J47" s="1"/>
      <c r="K47" s="1"/>
      <c r="L47" s="1"/>
      <c r="M47" s="1"/>
      <c r="N47" s="17"/>
    </row>
    <row r="48" spans="2:14" ht="15" customHeight="1" x14ac:dyDescent="0.25">
      <c r="B48" s="19"/>
      <c r="C48" s="5"/>
      <c r="D48" s="6"/>
      <c r="E48" s="11"/>
      <c r="F48" s="1"/>
      <c r="G48" s="1"/>
      <c r="H48" s="1"/>
      <c r="I48" s="1"/>
      <c r="J48" s="1"/>
      <c r="K48" s="1"/>
      <c r="L48" s="1"/>
      <c r="M48" s="1"/>
      <c r="N48" s="17"/>
    </row>
    <row r="49" spans="2:14" ht="15" customHeight="1" x14ac:dyDescent="0.25">
      <c r="B49" s="19"/>
      <c r="C49" s="9" t="s">
        <v>11</v>
      </c>
      <c r="D49" s="10"/>
      <c r="E49" s="13">
        <v>1</v>
      </c>
      <c r="F49" s="1"/>
      <c r="G49" s="1"/>
      <c r="H49" s="1"/>
      <c r="I49" s="1"/>
      <c r="J49" s="1"/>
      <c r="K49" s="1"/>
      <c r="L49" s="1"/>
      <c r="M49" s="1"/>
      <c r="N49" s="17"/>
    </row>
    <row r="50" spans="2:14" ht="15" customHeight="1" x14ac:dyDescent="0.25">
      <c r="B50" s="19"/>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x14ac:dyDescent="0.25">
      <c r="B53" s="19"/>
      <c r="C53" s="1"/>
      <c r="D53" s="1"/>
      <c r="E53" s="1"/>
      <c r="F53" s="1"/>
      <c r="G53" s="1"/>
      <c r="H53" s="1"/>
      <c r="I53" s="1"/>
      <c r="J53" s="1"/>
      <c r="K53" s="1"/>
      <c r="L53" s="1"/>
      <c r="M53" s="1"/>
      <c r="N53" s="17"/>
    </row>
    <row r="54" spans="2:14" ht="15" customHeight="1" x14ac:dyDescent="0.25">
      <c r="B54" s="19"/>
      <c r="C54" s="1"/>
      <c r="D54" s="1"/>
      <c r="E54" s="1"/>
      <c r="F54" s="1"/>
      <c r="G54" s="1"/>
      <c r="H54" s="1"/>
      <c r="I54" s="1"/>
      <c r="J54" s="1"/>
      <c r="K54" s="1"/>
      <c r="L54" s="1"/>
      <c r="M54" s="1"/>
      <c r="N54" s="17"/>
    </row>
    <row r="55" spans="2:14" ht="15" customHeight="1" x14ac:dyDescent="0.25">
      <c r="B55" s="19"/>
      <c r="C55" s="1"/>
      <c r="D55" s="1"/>
      <c r="E55" s="1"/>
      <c r="F55" s="1"/>
      <c r="G55" s="1"/>
      <c r="H55" s="1"/>
      <c r="I55" s="1"/>
      <c r="J55" s="1"/>
      <c r="K55" s="1"/>
      <c r="L55" s="1"/>
      <c r="M55" s="1"/>
      <c r="N55" s="17"/>
    </row>
    <row r="56" spans="2:14" ht="15" customHeight="1" x14ac:dyDescent="0.25">
      <c r="B56" s="19"/>
      <c r="C56" s="1"/>
      <c r="D56" s="1"/>
      <c r="E56" s="1"/>
      <c r="F56" s="1"/>
      <c r="G56" s="1"/>
      <c r="H56" s="1"/>
      <c r="I56" s="1"/>
      <c r="J56" s="1"/>
      <c r="K56" s="1"/>
      <c r="L56" s="1"/>
      <c r="M56" s="1"/>
      <c r="N56" s="17"/>
    </row>
    <row r="57" spans="2:14" ht="15" customHeight="1" x14ac:dyDescent="0.25">
      <c r="B57" s="19"/>
      <c r="C57" s="1"/>
      <c r="D57" s="1"/>
      <c r="E57" s="1"/>
      <c r="F57" s="1"/>
      <c r="G57" s="1"/>
      <c r="H57" s="1"/>
      <c r="I57" s="1"/>
      <c r="J57" s="1"/>
      <c r="K57" s="1"/>
      <c r="L57" s="1"/>
      <c r="M57" s="1"/>
      <c r="N57" s="17"/>
    </row>
    <row r="58" spans="2:14" ht="15" customHeight="1" x14ac:dyDescent="0.25">
      <c r="B58" s="19"/>
      <c r="C58" s="1"/>
      <c r="D58" s="1"/>
      <c r="E58" s="1"/>
      <c r="F58" s="1"/>
      <c r="G58" s="1"/>
      <c r="H58" s="1"/>
      <c r="I58" s="1"/>
      <c r="J58" s="1"/>
      <c r="K58" s="1"/>
      <c r="L58" s="1"/>
      <c r="M58" s="1"/>
      <c r="N58" s="17"/>
    </row>
    <row r="59" spans="2:14" ht="15" customHeight="1" x14ac:dyDescent="0.25">
      <c r="B59" s="19"/>
      <c r="C59" s="1"/>
      <c r="D59" s="1"/>
      <c r="E59" s="1"/>
      <c r="F59" s="1"/>
      <c r="G59" s="1"/>
      <c r="H59" s="1"/>
      <c r="I59" s="1"/>
      <c r="J59" s="1"/>
      <c r="K59" s="1"/>
      <c r="L59" s="1"/>
      <c r="M59" s="1"/>
      <c r="N59" s="17"/>
    </row>
    <row r="60" spans="2:14" ht="15" customHeight="1" thickBot="1" x14ac:dyDescent="0.3">
      <c r="B60" s="20"/>
      <c r="C60" s="21"/>
      <c r="D60" s="21"/>
      <c r="E60" s="21"/>
      <c r="F60" s="21"/>
      <c r="G60" s="21"/>
      <c r="H60" s="21"/>
      <c r="I60" s="21"/>
      <c r="J60" s="21"/>
      <c r="K60" s="21"/>
      <c r="L60" s="21"/>
      <c r="M60" s="21"/>
      <c r="N60" s="22"/>
    </row>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sheetData>
  <mergeCells count="3">
    <mergeCell ref="C3:N3"/>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2"/>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141</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19</v>
      </c>
      <c r="D8" s="6" t="s">
        <v>20</v>
      </c>
      <c r="E8" s="11">
        <v>9.9797999999999998E-2</v>
      </c>
      <c r="F8" s="1"/>
      <c r="G8" s="23" t="s">
        <v>15</v>
      </c>
      <c r="H8" s="24">
        <v>1</v>
      </c>
      <c r="I8" s="1"/>
      <c r="J8" s="23" t="s">
        <v>12</v>
      </c>
      <c r="K8" s="23" t="s">
        <v>3</v>
      </c>
      <c r="L8" s="1"/>
      <c r="M8" s="1"/>
      <c r="N8" s="17"/>
    </row>
    <row r="9" spans="2:14" ht="15" customHeight="1" x14ac:dyDescent="0.25">
      <c r="B9" s="19"/>
      <c r="C9" s="5" t="s">
        <v>34</v>
      </c>
      <c r="D9" s="6" t="s">
        <v>20</v>
      </c>
      <c r="E9" s="11">
        <v>4.6760999999999997E-2</v>
      </c>
      <c r="F9" s="1"/>
      <c r="G9" s="1"/>
      <c r="H9" s="1"/>
      <c r="I9" s="1"/>
      <c r="J9" s="23" t="s">
        <v>13</v>
      </c>
      <c r="K9" s="25">
        <v>8.3094000000000001E-2</v>
      </c>
      <c r="L9" s="1"/>
      <c r="M9" s="1"/>
      <c r="N9" s="17"/>
    </row>
    <row r="10" spans="2:14" ht="15" customHeight="1" x14ac:dyDescent="0.25">
      <c r="B10" s="19"/>
      <c r="C10" s="5" t="s">
        <v>24</v>
      </c>
      <c r="D10" s="6" t="s">
        <v>20</v>
      </c>
      <c r="E10" s="11">
        <v>4.5692999999999998E-2</v>
      </c>
      <c r="F10" s="1"/>
      <c r="G10" s="1"/>
      <c r="H10" s="1"/>
      <c r="I10" s="1"/>
      <c r="J10" s="23" t="s">
        <v>60</v>
      </c>
      <c r="K10" s="25">
        <v>0.207951</v>
      </c>
      <c r="L10" s="1"/>
      <c r="M10" s="1"/>
      <c r="N10" s="17"/>
    </row>
    <row r="11" spans="2:14" ht="15" customHeight="1" x14ac:dyDescent="0.25">
      <c r="B11" s="19"/>
      <c r="C11" s="5" t="s">
        <v>22</v>
      </c>
      <c r="D11" s="6" t="s">
        <v>20</v>
      </c>
      <c r="E11" s="11">
        <v>1.5699000000000001E-2</v>
      </c>
      <c r="F11" s="1"/>
      <c r="G11" s="1"/>
      <c r="H11" s="1"/>
      <c r="I11" s="1"/>
      <c r="J11" s="23" t="s">
        <v>62</v>
      </c>
      <c r="K11" s="25">
        <v>0.38316499999999998</v>
      </c>
      <c r="L11" s="1"/>
      <c r="M11" s="1"/>
      <c r="N11" s="17"/>
    </row>
    <row r="12" spans="2:14" ht="15.75" customHeight="1" x14ac:dyDescent="0.25">
      <c r="B12" s="19"/>
      <c r="C12" s="7" t="s">
        <v>23</v>
      </c>
      <c r="D12" s="8"/>
      <c r="E12" s="12">
        <v>0.207951</v>
      </c>
      <c r="F12" s="1"/>
      <c r="G12" s="1"/>
      <c r="H12" s="1"/>
      <c r="I12" s="1"/>
      <c r="J12" s="23" t="s">
        <v>63</v>
      </c>
      <c r="K12" s="25">
        <v>0.30322100000000002</v>
      </c>
      <c r="L12" s="1"/>
      <c r="M12" s="1"/>
      <c r="N12" s="17"/>
    </row>
    <row r="13" spans="2:14" ht="15" customHeight="1" x14ac:dyDescent="0.25">
      <c r="B13" s="19"/>
      <c r="C13" s="5" t="s">
        <v>30</v>
      </c>
      <c r="D13" s="6" t="s">
        <v>20</v>
      </c>
      <c r="E13" s="11">
        <v>7.9097000000000001E-2</v>
      </c>
      <c r="F13" s="1"/>
      <c r="G13" s="1"/>
      <c r="H13" s="1"/>
      <c r="I13" s="1"/>
      <c r="J13" s="23" t="s">
        <v>64</v>
      </c>
      <c r="K13" s="25">
        <v>1.6759E-2</v>
      </c>
      <c r="L13" s="1"/>
      <c r="M13" s="1"/>
      <c r="N13" s="17"/>
    </row>
    <row r="14" spans="2:14" ht="15" customHeight="1" x14ac:dyDescent="0.25">
      <c r="B14" s="19"/>
      <c r="C14" s="5" t="s">
        <v>33</v>
      </c>
      <c r="D14" s="6" t="s">
        <v>20</v>
      </c>
      <c r="E14" s="11">
        <v>7.1480000000000002E-2</v>
      </c>
      <c r="F14" s="1"/>
      <c r="G14" s="1"/>
      <c r="H14" s="1"/>
      <c r="I14" s="1"/>
      <c r="J14" s="23" t="s">
        <v>10</v>
      </c>
      <c r="K14" s="25">
        <v>5.8100000000000001E-3</v>
      </c>
      <c r="L14" s="1"/>
      <c r="M14" s="1"/>
      <c r="N14" s="17"/>
    </row>
    <row r="15" spans="2:14" ht="15" customHeight="1" x14ac:dyDescent="0.25">
      <c r="B15" s="19"/>
      <c r="C15" s="5" t="s">
        <v>133</v>
      </c>
      <c r="D15" s="6" t="s">
        <v>20</v>
      </c>
      <c r="E15" s="11">
        <v>6.1917E-2</v>
      </c>
      <c r="F15" s="1"/>
      <c r="G15" s="1"/>
      <c r="H15" s="1"/>
      <c r="I15" s="1"/>
      <c r="J15" s="1"/>
      <c r="K15" s="1"/>
      <c r="L15" s="1"/>
      <c r="M15" s="1"/>
      <c r="N15" s="17"/>
    </row>
    <row r="16" spans="2:14" ht="15" customHeight="1" x14ac:dyDescent="0.25">
      <c r="B16" s="19"/>
      <c r="C16" s="5" t="s">
        <v>24</v>
      </c>
      <c r="D16" s="6" t="s">
        <v>20</v>
      </c>
      <c r="E16" s="11">
        <v>5.6099000000000003E-2</v>
      </c>
      <c r="F16" s="1"/>
      <c r="G16" s="1"/>
      <c r="H16" s="1"/>
      <c r="I16" s="1"/>
      <c r="J16" s="1"/>
      <c r="K16" s="1"/>
      <c r="L16" s="1"/>
      <c r="M16" s="1"/>
      <c r="N16" s="17"/>
    </row>
    <row r="17" spans="2:14" ht="15" customHeight="1" x14ac:dyDescent="0.25">
      <c r="B17" s="19"/>
      <c r="C17" s="5" t="s">
        <v>134</v>
      </c>
      <c r="D17" s="6" t="s">
        <v>20</v>
      </c>
      <c r="E17" s="11">
        <v>5.0547000000000002E-2</v>
      </c>
      <c r="F17" s="1"/>
      <c r="G17" s="1"/>
      <c r="H17" s="1"/>
      <c r="I17" s="1"/>
      <c r="J17" s="1"/>
      <c r="K17" s="1"/>
      <c r="L17" s="1"/>
      <c r="M17" s="1"/>
      <c r="N17" s="17"/>
    </row>
    <row r="18" spans="2:14" ht="15" customHeight="1" x14ac:dyDescent="0.25">
      <c r="B18" s="19"/>
      <c r="C18" s="5" t="s">
        <v>42</v>
      </c>
      <c r="D18" s="6" t="s">
        <v>20</v>
      </c>
      <c r="E18" s="11">
        <v>4.7944000000000001E-2</v>
      </c>
      <c r="F18" s="1"/>
      <c r="G18" s="1"/>
      <c r="H18" s="1"/>
      <c r="I18" s="1"/>
      <c r="J18" s="1"/>
      <c r="K18" s="1"/>
      <c r="L18" s="1"/>
      <c r="M18" s="1"/>
      <c r="N18" s="17"/>
    </row>
    <row r="19" spans="2:14" ht="15" customHeight="1" x14ac:dyDescent="0.25">
      <c r="B19" s="19"/>
      <c r="C19" s="5" t="s">
        <v>37</v>
      </c>
      <c r="D19" s="6" t="s">
        <v>20</v>
      </c>
      <c r="E19" s="11">
        <v>1.6081000000000002E-2</v>
      </c>
      <c r="F19" s="1"/>
      <c r="G19" s="1"/>
      <c r="H19" s="1"/>
      <c r="I19" s="1"/>
      <c r="J19" s="1"/>
      <c r="K19" s="1"/>
      <c r="L19" s="1"/>
      <c r="M19" s="1"/>
      <c r="N19" s="17"/>
    </row>
    <row r="20" spans="2:14" ht="15.75" customHeight="1" x14ac:dyDescent="0.25">
      <c r="B20" s="19"/>
      <c r="C20" s="7" t="s">
        <v>25</v>
      </c>
      <c r="D20" s="8"/>
      <c r="E20" s="12">
        <v>0.38316499999999998</v>
      </c>
      <c r="F20" s="1"/>
      <c r="G20" s="1"/>
      <c r="H20" s="1"/>
      <c r="I20" s="1"/>
      <c r="J20" s="1"/>
      <c r="K20" s="1"/>
      <c r="L20" s="1"/>
      <c r="M20" s="1"/>
      <c r="N20" s="17"/>
    </row>
    <row r="21" spans="2:14" ht="15" customHeight="1" x14ac:dyDescent="0.25">
      <c r="B21" s="19"/>
      <c r="C21" s="5" t="s">
        <v>136</v>
      </c>
      <c r="D21" s="6" t="s">
        <v>48</v>
      </c>
      <c r="E21" s="11">
        <v>0.21060100000000001</v>
      </c>
      <c r="F21" s="1"/>
      <c r="G21" s="1"/>
      <c r="H21" s="1"/>
      <c r="I21" s="1"/>
      <c r="J21" s="1"/>
      <c r="K21" s="1"/>
      <c r="L21" s="1"/>
      <c r="M21" s="1"/>
      <c r="N21" s="17"/>
    </row>
    <row r="22" spans="2:14" ht="15" customHeight="1" x14ac:dyDescent="0.25">
      <c r="B22" s="19"/>
      <c r="C22" s="5" t="s">
        <v>142</v>
      </c>
      <c r="D22" s="6" t="s">
        <v>48</v>
      </c>
      <c r="E22" s="11">
        <v>9.1970999999999997E-2</v>
      </c>
      <c r="F22" s="1"/>
      <c r="G22" s="1"/>
      <c r="H22" s="1"/>
      <c r="I22" s="1"/>
      <c r="J22" s="1"/>
      <c r="K22" s="1"/>
      <c r="L22" s="1"/>
      <c r="M22" s="1"/>
      <c r="N22" s="17"/>
    </row>
    <row r="23" spans="2:14" ht="15" customHeight="1" x14ac:dyDescent="0.25">
      <c r="B23" s="19"/>
      <c r="C23" s="5" t="s">
        <v>56</v>
      </c>
      <c r="D23" s="6" t="s">
        <v>48</v>
      </c>
      <c r="E23" s="11">
        <v>6.4899999999999995E-4</v>
      </c>
      <c r="F23" s="1"/>
      <c r="G23" s="1"/>
      <c r="H23" s="1"/>
      <c r="I23" s="1"/>
      <c r="J23" s="1"/>
      <c r="K23" s="1"/>
      <c r="L23" s="1"/>
      <c r="M23" s="1"/>
      <c r="N23" s="17"/>
    </row>
    <row r="24" spans="2:14" ht="15.75" customHeight="1" x14ac:dyDescent="0.25">
      <c r="B24" s="19"/>
      <c r="C24" s="7" t="s">
        <v>57</v>
      </c>
      <c r="D24" s="8"/>
      <c r="E24" s="12">
        <v>0.30322100000000002</v>
      </c>
      <c r="F24" s="1"/>
      <c r="G24" s="1"/>
      <c r="H24" s="1"/>
      <c r="I24" s="1"/>
      <c r="J24" s="1"/>
      <c r="K24" s="1"/>
      <c r="L24" s="1"/>
      <c r="M24" s="1"/>
      <c r="N24" s="17"/>
    </row>
    <row r="25" spans="2:14" ht="15" customHeight="1" x14ac:dyDescent="0.25">
      <c r="B25" s="19"/>
      <c r="C25" s="5" t="s">
        <v>175</v>
      </c>
      <c r="D25" s="6" t="s">
        <v>48</v>
      </c>
      <c r="E25" s="11">
        <v>1.6413000000000001E-2</v>
      </c>
      <c r="F25" s="1"/>
      <c r="G25" s="1"/>
      <c r="H25" s="1"/>
      <c r="I25" s="1"/>
      <c r="J25" s="1"/>
      <c r="K25" s="1"/>
      <c r="L25" s="1"/>
      <c r="M25" s="1"/>
      <c r="N25" s="17"/>
    </row>
    <row r="26" spans="2:14" ht="15.75" customHeight="1" x14ac:dyDescent="0.25">
      <c r="B26" s="19"/>
      <c r="C26" s="5" t="s">
        <v>174</v>
      </c>
      <c r="D26" s="6" t="s">
        <v>48</v>
      </c>
      <c r="E26" s="11">
        <v>3.4600000000000001E-4</v>
      </c>
      <c r="F26" s="1"/>
      <c r="G26" s="29" t="s">
        <v>17</v>
      </c>
      <c r="H26" s="30"/>
      <c r="I26" s="30"/>
      <c r="J26" s="30"/>
      <c r="K26" s="30"/>
      <c r="L26" s="30"/>
      <c r="M26" s="30"/>
      <c r="N26" s="31"/>
    </row>
    <row r="27" spans="2:14" ht="15" customHeight="1" x14ac:dyDescent="0.25">
      <c r="B27" s="19"/>
      <c r="C27" s="7" t="s">
        <v>58</v>
      </c>
      <c r="D27" s="8"/>
      <c r="E27" s="12">
        <v>1.6759E-2</v>
      </c>
      <c r="F27" s="1"/>
      <c r="G27" s="1"/>
      <c r="H27" s="1"/>
      <c r="I27" s="1"/>
      <c r="J27" s="1"/>
      <c r="K27" s="1"/>
      <c r="L27" s="1"/>
      <c r="M27" s="1"/>
      <c r="N27" s="17"/>
    </row>
    <row r="28" spans="2:14" ht="15.75" customHeight="1" x14ac:dyDescent="0.25">
      <c r="B28" s="19"/>
      <c r="C28" s="5" t="s">
        <v>8</v>
      </c>
      <c r="D28" s="6"/>
      <c r="E28" s="11">
        <v>8.3094000000000001E-2</v>
      </c>
      <c r="F28" s="1"/>
      <c r="G28" s="1"/>
      <c r="H28" s="1"/>
      <c r="I28" s="1"/>
      <c r="J28" s="1"/>
      <c r="K28" s="1"/>
      <c r="L28" s="1"/>
      <c r="M28" s="1"/>
      <c r="N28" s="17"/>
    </row>
    <row r="29" spans="2:14" ht="15" customHeight="1" x14ac:dyDescent="0.25">
      <c r="B29" s="19"/>
      <c r="C29" s="7" t="s">
        <v>9</v>
      </c>
      <c r="D29" s="8"/>
      <c r="E29" s="12">
        <v>8.3094000000000001E-2</v>
      </c>
      <c r="F29" s="1"/>
      <c r="G29" s="1"/>
      <c r="H29" s="1"/>
      <c r="I29" s="1"/>
      <c r="J29" s="1"/>
      <c r="K29" s="1"/>
      <c r="L29" s="1"/>
      <c r="M29" s="1"/>
      <c r="N29" s="17"/>
    </row>
    <row r="30" spans="2:14" ht="15.75" customHeight="1" x14ac:dyDescent="0.25">
      <c r="B30" s="19"/>
      <c r="C30" s="5"/>
      <c r="D30" s="6"/>
      <c r="E30" s="11"/>
      <c r="F30" s="1"/>
      <c r="G30" s="1"/>
      <c r="H30" s="1"/>
      <c r="I30" s="1"/>
      <c r="J30" s="1"/>
      <c r="K30" s="1"/>
      <c r="L30" s="1"/>
      <c r="M30" s="1"/>
      <c r="N30" s="17"/>
    </row>
    <row r="31" spans="2:14" ht="15" customHeight="1" x14ac:dyDescent="0.25">
      <c r="B31" s="19"/>
      <c r="C31" s="7" t="s">
        <v>10</v>
      </c>
      <c r="D31" s="8"/>
      <c r="E31" s="12">
        <v>5.8100000000000001E-3</v>
      </c>
      <c r="F31" s="1"/>
      <c r="G31" s="1"/>
      <c r="H31" s="1"/>
      <c r="I31" s="1"/>
      <c r="J31" s="1"/>
      <c r="K31" s="1"/>
      <c r="L31" s="1"/>
      <c r="M31" s="1"/>
      <c r="N31" s="17"/>
    </row>
    <row r="32" spans="2:14" ht="15" customHeight="1" x14ac:dyDescent="0.25">
      <c r="B32" s="19"/>
      <c r="C32" s="5"/>
      <c r="D32" s="6"/>
      <c r="E32" s="11"/>
      <c r="F32" s="1"/>
      <c r="G32" s="1"/>
      <c r="H32" s="1"/>
      <c r="I32" s="1"/>
      <c r="J32" s="1"/>
      <c r="K32" s="1"/>
      <c r="L32" s="1"/>
      <c r="M32" s="1"/>
      <c r="N32" s="17"/>
    </row>
    <row r="33" spans="2:14" ht="15" customHeight="1" x14ac:dyDescent="0.25">
      <c r="B33" s="19"/>
      <c r="C33" s="9" t="s">
        <v>11</v>
      </c>
      <c r="D33" s="10"/>
      <c r="E33" s="13">
        <v>1</v>
      </c>
      <c r="F33" s="1"/>
      <c r="G33" s="1"/>
      <c r="H33" s="1"/>
      <c r="I33" s="1"/>
      <c r="J33" s="1"/>
      <c r="K33" s="1"/>
      <c r="L33" s="1"/>
      <c r="M33" s="1"/>
      <c r="N33" s="17"/>
    </row>
    <row r="34" spans="2:14" ht="15" customHeight="1" x14ac:dyDescent="0.25">
      <c r="B34" s="19"/>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sheetData>
  <sortState ref="C25:E26">
    <sortCondition descending="1" ref="E25"/>
  </sortState>
  <mergeCells count="3">
    <mergeCell ref="C3:N3"/>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117</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67</v>
      </c>
      <c r="D8" s="6" t="s">
        <v>48</v>
      </c>
      <c r="E8" s="11">
        <v>0.41036800000000001</v>
      </c>
      <c r="F8" s="1"/>
      <c r="G8" s="23" t="s">
        <v>15</v>
      </c>
      <c r="H8" s="24">
        <v>1</v>
      </c>
      <c r="I8" s="1"/>
      <c r="J8" s="23" t="s">
        <v>12</v>
      </c>
      <c r="K8" s="23" t="s">
        <v>3</v>
      </c>
      <c r="L8" s="1"/>
      <c r="M8" s="1"/>
      <c r="N8" s="17"/>
    </row>
    <row r="9" spans="2:14" ht="15" customHeight="1" x14ac:dyDescent="0.25">
      <c r="B9" s="19"/>
      <c r="C9" s="5" t="s">
        <v>70</v>
      </c>
      <c r="D9" s="6" t="s">
        <v>48</v>
      </c>
      <c r="E9" s="11">
        <v>0.21912499999999999</v>
      </c>
      <c r="F9" s="1"/>
      <c r="G9" s="1"/>
      <c r="H9" s="1"/>
      <c r="I9" s="1"/>
      <c r="J9" s="23" t="s">
        <v>13</v>
      </c>
      <c r="K9" s="25">
        <v>1.3910000000000001E-3</v>
      </c>
      <c r="L9" s="1"/>
      <c r="M9" s="1"/>
      <c r="N9" s="17"/>
    </row>
    <row r="10" spans="2:14" ht="15" customHeight="1" x14ac:dyDescent="0.25">
      <c r="B10" s="19"/>
      <c r="C10" s="5" t="s">
        <v>68</v>
      </c>
      <c r="D10" s="6" t="s">
        <v>48</v>
      </c>
      <c r="E10" s="11">
        <v>0.14829999999999999</v>
      </c>
      <c r="F10" s="1"/>
      <c r="G10" s="1"/>
      <c r="H10" s="1"/>
      <c r="I10" s="1"/>
      <c r="J10" s="23" t="s">
        <v>63</v>
      </c>
      <c r="K10" s="25">
        <v>0.977912</v>
      </c>
      <c r="L10" s="1"/>
      <c r="M10" s="1"/>
      <c r="N10" s="17"/>
    </row>
    <row r="11" spans="2:14" ht="15" customHeight="1" x14ac:dyDescent="0.25">
      <c r="B11" s="19"/>
      <c r="C11" s="5" t="s">
        <v>69</v>
      </c>
      <c r="D11" s="6" t="s">
        <v>48</v>
      </c>
      <c r="E11" s="11">
        <v>0.14133499999999999</v>
      </c>
      <c r="F11" s="1"/>
      <c r="G11" s="1"/>
      <c r="H11" s="1"/>
      <c r="I11" s="1"/>
      <c r="J11" s="23" t="s">
        <v>10</v>
      </c>
      <c r="K11" s="25">
        <v>2.0697E-2</v>
      </c>
      <c r="L11" s="1"/>
      <c r="M11" s="1"/>
      <c r="N11" s="17"/>
    </row>
    <row r="12" spans="2:14" ht="15" customHeight="1" x14ac:dyDescent="0.25">
      <c r="B12" s="19"/>
      <c r="C12" s="5" t="s">
        <v>72</v>
      </c>
      <c r="D12" s="6" t="s">
        <v>48</v>
      </c>
      <c r="E12" s="11">
        <v>4.9269E-2</v>
      </c>
      <c r="F12" s="1"/>
      <c r="G12" s="1"/>
      <c r="H12" s="1"/>
      <c r="I12" s="1"/>
      <c r="J12" s="1"/>
      <c r="K12" s="1"/>
      <c r="L12" s="1"/>
      <c r="M12" s="1"/>
      <c r="N12" s="17"/>
    </row>
    <row r="13" spans="2:14" ht="15" customHeight="1" x14ac:dyDescent="0.25">
      <c r="B13" s="19"/>
      <c r="C13" s="5" t="s">
        <v>71</v>
      </c>
      <c r="D13" s="6" t="s">
        <v>48</v>
      </c>
      <c r="E13" s="11">
        <v>9.4610000000000007E-3</v>
      </c>
      <c r="F13" s="1"/>
      <c r="G13" s="1"/>
      <c r="H13" s="1"/>
      <c r="I13" s="1"/>
      <c r="J13" s="1"/>
      <c r="K13" s="1"/>
      <c r="L13" s="1"/>
      <c r="M13" s="1"/>
      <c r="N13" s="17"/>
    </row>
    <row r="14" spans="2:14" ht="15" customHeight="1" x14ac:dyDescent="0.25">
      <c r="B14" s="19"/>
      <c r="C14" s="5" t="s">
        <v>118</v>
      </c>
      <c r="D14" s="6" t="s">
        <v>48</v>
      </c>
      <c r="E14" s="11">
        <v>2.8E-5</v>
      </c>
      <c r="F14" s="1"/>
      <c r="G14" s="1"/>
      <c r="H14" s="1"/>
      <c r="I14" s="1"/>
      <c r="J14" s="1"/>
      <c r="K14" s="1"/>
      <c r="L14" s="1"/>
      <c r="M14" s="1"/>
      <c r="N14" s="17"/>
    </row>
    <row r="15" spans="2:14" ht="15" customHeight="1" x14ac:dyDescent="0.25">
      <c r="B15" s="19"/>
      <c r="C15" s="5" t="s">
        <v>113</v>
      </c>
      <c r="D15" s="6" t="s">
        <v>48</v>
      </c>
      <c r="E15" s="11">
        <v>2.5999999999999998E-5</v>
      </c>
      <c r="F15" s="1"/>
      <c r="G15" s="1"/>
      <c r="H15" s="1"/>
      <c r="I15" s="1"/>
      <c r="J15" s="1"/>
      <c r="K15" s="1"/>
      <c r="L15" s="1"/>
      <c r="M15" s="1"/>
      <c r="N15" s="17"/>
    </row>
    <row r="16" spans="2:14" ht="15.75" customHeight="1" x14ac:dyDescent="0.25">
      <c r="B16" s="19"/>
      <c r="C16" s="7" t="s">
        <v>57</v>
      </c>
      <c r="D16" s="8"/>
      <c r="E16" s="12">
        <v>0.977912</v>
      </c>
      <c r="F16" s="1"/>
      <c r="G16" s="1"/>
      <c r="H16" s="1"/>
      <c r="I16" s="1"/>
      <c r="J16" s="1"/>
      <c r="K16" s="1"/>
      <c r="L16" s="1"/>
      <c r="M16" s="1"/>
      <c r="N16" s="17"/>
    </row>
    <row r="17" spans="2:14" ht="15" customHeight="1" x14ac:dyDescent="0.25">
      <c r="B17" s="19"/>
      <c r="C17" s="5" t="s">
        <v>8</v>
      </c>
      <c r="D17" s="6"/>
      <c r="E17" s="11">
        <v>1.3910000000000001E-3</v>
      </c>
      <c r="F17" s="1"/>
      <c r="G17" s="1"/>
      <c r="H17" s="1"/>
      <c r="I17" s="1"/>
      <c r="J17" s="1"/>
      <c r="K17" s="1"/>
      <c r="L17" s="1"/>
      <c r="M17" s="1"/>
      <c r="N17" s="17"/>
    </row>
    <row r="18" spans="2:14" ht="15.75" customHeight="1" x14ac:dyDescent="0.25">
      <c r="B18" s="19"/>
      <c r="C18" s="7" t="s">
        <v>9</v>
      </c>
      <c r="D18" s="8"/>
      <c r="E18" s="12">
        <v>1.3910000000000001E-3</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75" customHeight="1" x14ac:dyDescent="0.25">
      <c r="B20" s="19"/>
      <c r="C20" s="7" t="s">
        <v>10</v>
      </c>
      <c r="D20" s="8"/>
      <c r="E20" s="12">
        <v>2.0697E-2</v>
      </c>
      <c r="F20" s="1"/>
      <c r="G20" s="1"/>
      <c r="H20" s="1"/>
      <c r="I20" s="1"/>
      <c r="J20" s="1"/>
      <c r="K20" s="1"/>
      <c r="L20" s="1"/>
      <c r="M20" s="1"/>
      <c r="N20" s="17"/>
    </row>
    <row r="21" spans="2:14" ht="15" customHeight="1" x14ac:dyDescent="0.25">
      <c r="B21" s="19"/>
      <c r="C21" s="5"/>
      <c r="D21" s="6"/>
      <c r="E21" s="11"/>
      <c r="F21" s="1"/>
      <c r="G21" s="1"/>
      <c r="H21" s="1"/>
      <c r="I21" s="1"/>
      <c r="J21" s="1"/>
      <c r="K21" s="1"/>
      <c r="L21" s="1"/>
      <c r="M21" s="1"/>
      <c r="N21" s="17"/>
    </row>
    <row r="22" spans="2:14" ht="15" customHeight="1" x14ac:dyDescent="0.25">
      <c r="B22" s="19"/>
      <c r="C22" s="9" t="s">
        <v>11</v>
      </c>
      <c r="D22" s="10"/>
      <c r="E22" s="13">
        <v>1</v>
      </c>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29" t="s">
        <v>17</v>
      </c>
      <c r="H26" s="30"/>
      <c r="I26" s="30"/>
      <c r="J26" s="30"/>
      <c r="K26" s="30"/>
      <c r="L26" s="30"/>
      <c r="M26" s="30"/>
      <c r="N26" s="31"/>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66</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67</v>
      </c>
      <c r="D8" s="6" t="s">
        <v>48</v>
      </c>
      <c r="E8" s="11">
        <v>0.49260500000000002</v>
      </c>
      <c r="F8" s="1"/>
      <c r="G8" s="23" t="s">
        <v>15</v>
      </c>
      <c r="H8" s="24">
        <v>1</v>
      </c>
      <c r="I8" s="1"/>
      <c r="J8" s="23" t="s">
        <v>12</v>
      </c>
      <c r="K8" s="23" t="s">
        <v>3</v>
      </c>
      <c r="L8" s="1"/>
      <c r="M8" s="1"/>
      <c r="N8" s="17"/>
    </row>
    <row r="9" spans="2:14" ht="15" customHeight="1" x14ac:dyDescent="0.25">
      <c r="B9" s="19"/>
      <c r="C9" s="5" t="s">
        <v>68</v>
      </c>
      <c r="D9" s="6" t="s">
        <v>48</v>
      </c>
      <c r="E9" s="11">
        <v>0.35719000000000001</v>
      </c>
      <c r="F9" s="1"/>
      <c r="G9" s="1"/>
      <c r="H9" s="1"/>
      <c r="I9" s="1"/>
      <c r="J9" s="23" t="s">
        <v>13</v>
      </c>
      <c r="K9" s="25">
        <v>1.4289999999999999E-3</v>
      </c>
      <c r="L9" s="1"/>
      <c r="M9" s="1"/>
      <c r="N9" s="17"/>
    </row>
    <row r="10" spans="2:14" ht="15" customHeight="1" x14ac:dyDescent="0.25">
      <c r="B10" s="19"/>
      <c r="C10" s="5" t="s">
        <v>69</v>
      </c>
      <c r="D10" s="6" t="s">
        <v>48</v>
      </c>
      <c r="E10" s="11">
        <v>7.1345000000000006E-2</v>
      </c>
      <c r="F10" s="1"/>
      <c r="G10" s="1"/>
      <c r="H10" s="1"/>
      <c r="I10" s="1"/>
      <c r="J10" s="23" t="s">
        <v>63</v>
      </c>
      <c r="K10" s="25">
        <v>0.98213799999999996</v>
      </c>
      <c r="L10" s="1"/>
      <c r="M10" s="1"/>
      <c r="N10" s="17"/>
    </row>
    <row r="11" spans="2:14" ht="15" customHeight="1" x14ac:dyDescent="0.25">
      <c r="B11" s="19"/>
      <c r="C11" s="5" t="s">
        <v>70</v>
      </c>
      <c r="D11" s="6" t="s">
        <v>48</v>
      </c>
      <c r="E11" s="11">
        <v>2.6152000000000002E-2</v>
      </c>
      <c r="F11" s="1"/>
      <c r="G11" s="1"/>
      <c r="H11" s="1"/>
      <c r="I11" s="1"/>
      <c r="J11" s="23" t="s">
        <v>10</v>
      </c>
      <c r="K11" s="25">
        <v>1.6433E-2</v>
      </c>
      <c r="L11" s="1"/>
      <c r="M11" s="1"/>
      <c r="N11" s="17"/>
    </row>
    <row r="12" spans="2:14" ht="15" customHeight="1" x14ac:dyDescent="0.25">
      <c r="B12" s="19"/>
      <c r="C12" s="5" t="s">
        <v>71</v>
      </c>
      <c r="D12" s="6" t="s">
        <v>48</v>
      </c>
      <c r="E12" s="11">
        <v>1.7118000000000001E-2</v>
      </c>
      <c r="F12" s="1"/>
      <c r="G12" s="1"/>
      <c r="H12" s="1"/>
      <c r="I12" s="1"/>
      <c r="J12" s="1"/>
      <c r="K12" s="1"/>
      <c r="L12" s="1"/>
      <c r="M12" s="1"/>
      <c r="N12" s="17"/>
    </row>
    <row r="13" spans="2:14" ht="15" customHeight="1" x14ac:dyDescent="0.25">
      <c r="B13" s="19"/>
      <c r="C13" s="5" t="s">
        <v>72</v>
      </c>
      <c r="D13" s="6" t="s">
        <v>48</v>
      </c>
      <c r="E13" s="11">
        <v>1.2747E-2</v>
      </c>
      <c r="F13" s="1"/>
      <c r="G13" s="1"/>
      <c r="H13" s="1"/>
      <c r="I13" s="1"/>
      <c r="J13" s="1"/>
      <c r="K13" s="1"/>
      <c r="L13" s="1"/>
      <c r="M13" s="1"/>
      <c r="N13" s="17"/>
    </row>
    <row r="14" spans="2:14" ht="15" customHeight="1" x14ac:dyDescent="0.25">
      <c r="B14" s="19"/>
      <c r="C14" s="5" t="s">
        <v>73</v>
      </c>
      <c r="D14" s="6" t="s">
        <v>48</v>
      </c>
      <c r="E14" s="11">
        <v>2.8549999999999999E-3</v>
      </c>
      <c r="F14" s="1"/>
      <c r="G14" s="1"/>
      <c r="H14" s="1"/>
      <c r="I14" s="1"/>
      <c r="J14" s="1"/>
      <c r="K14" s="1"/>
      <c r="L14" s="1"/>
      <c r="M14" s="1"/>
      <c r="N14" s="17"/>
    </row>
    <row r="15" spans="2:14" ht="15" customHeight="1" x14ac:dyDescent="0.25">
      <c r="B15" s="19"/>
      <c r="C15" s="5" t="s">
        <v>74</v>
      </c>
      <c r="D15" s="6" t="s">
        <v>48</v>
      </c>
      <c r="E15" s="11">
        <v>1.531E-3</v>
      </c>
      <c r="F15" s="1"/>
      <c r="G15" s="1"/>
      <c r="H15" s="1"/>
      <c r="I15" s="1"/>
      <c r="J15" s="1"/>
      <c r="K15" s="1"/>
      <c r="L15" s="1"/>
      <c r="M15" s="1"/>
      <c r="N15" s="17"/>
    </row>
    <row r="16" spans="2:14" ht="15" customHeight="1" x14ac:dyDescent="0.25">
      <c r="B16" s="19"/>
      <c r="C16" s="5" t="s">
        <v>75</v>
      </c>
      <c r="D16" s="6" t="s">
        <v>48</v>
      </c>
      <c r="E16" s="11">
        <v>5.9500000000000004E-4</v>
      </c>
      <c r="F16" s="1"/>
      <c r="G16" s="1"/>
      <c r="H16" s="1"/>
      <c r="I16" s="1"/>
      <c r="J16" s="1"/>
      <c r="K16" s="1"/>
      <c r="L16" s="1"/>
      <c r="M16" s="1"/>
      <c r="N16" s="17"/>
    </row>
    <row r="17" spans="2:14" ht="15.75" customHeight="1" x14ac:dyDescent="0.25">
      <c r="B17" s="19"/>
      <c r="C17" s="7" t="s">
        <v>57</v>
      </c>
      <c r="D17" s="8"/>
      <c r="E17" s="12">
        <v>0.98213799999999996</v>
      </c>
      <c r="F17" s="1"/>
      <c r="G17" s="1"/>
      <c r="H17" s="1"/>
      <c r="I17" s="1"/>
      <c r="J17" s="1"/>
      <c r="K17" s="1"/>
      <c r="L17" s="1"/>
      <c r="M17" s="1"/>
      <c r="N17" s="17"/>
    </row>
    <row r="18" spans="2:14" ht="15" customHeight="1" x14ac:dyDescent="0.25">
      <c r="B18" s="19"/>
      <c r="C18" s="5" t="s">
        <v>8</v>
      </c>
      <c r="D18" s="6"/>
      <c r="E18" s="11">
        <v>1.4289999999999999E-3</v>
      </c>
      <c r="F18" s="1"/>
      <c r="G18" s="1"/>
      <c r="H18" s="1"/>
      <c r="I18" s="1"/>
      <c r="J18" s="1"/>
      <c r="K18" s="1"/>
      <c r="L18" s="1"/>
      <c r="M18" s="1"/>
      <c r="N18" s="17"/>
    </row>
    <row r="19" spans="2:14" ht="15.75" customHeight="1" x14ac:dyDescent="0.25">
      <c r="B19" s="19"/>
      <c r="C19" s="7" t="s">
        <v>9</v>
      </c>
      <c r="D19" s="8"/>
      <c r="E19" s="12">
        <v>1.4289999999999999E-3</v>
      </c>
      <c r="F19" s="1"/>
      <c r="G19" s="1"/>
      <c r="H19" s="1"/>
      <c r="I19" s="1"/>
      <c r="J19" s="1"/>
      <c r="K19" s="1"/>
      <c r="L19" s="1"/>
      <c r="M19" s="1"/>
      <c r="N19" s="17"/>
    </row>
    <row r="20" spans="2:14" ht="15" customHeight="1" x14ac:dyDescent="0.25">
      <c r="B20" s="19"/>
      <c r="C20" s="5"/>
      <c r="D20" s="6"/>
      <c r="E20" s="11"/>
      <c r="F20" s="1"/>
      <c r="G20" s="1"/>
      <c r="H20" s="1"/>
      <c r="I20" s="1"/>
      <c r="J20" s="1"/>
      <c r="K20" s="1"/>
      <c r="L20" s="1"/>
      <c r="M20" s="1"/>
      <c r="N20" s="17"/>
    </row>
    <row r="21" spans="2:14" ht="15.75" customHeight="1" x14ac:dyDescent="0.25">
      <c r="B21" s="19"/>
      <c r="C21" s="7" t="s">
        <v>10</v>
      </c>
      <c r="D21" s="8"/>
      <c r="E21" s="12">
        <v>1.6433E-2</v>
      </c>
      <c r="F21" s="1"/>
      <c r="G21" s="1"/>
      <c r="H21" s="1"/>
      <c r="I21" s="1"/>
      <c r="J21" s="1"/>
      <c r="K21" s="1"/>
      <c r="L21" s="1"/>
      <c r="M21" s="1"/>
      <c r="N21" s="17"/>
    </row>
    <row r="22" spans="2:14" ht="15" customHeight="1" x14ac:dyDescent="0.25">
      <c r="B22" s="19"/>
      <c r="C22" s="5"/>
      <c r="D22" s="6"/>
      <c r="E22" s="11"/>
      <c r="F22" s="1"/>
      <c r="G22" s="1"/>
      <c r="H22" s="1"/>
      <c r="I22" s="1"/>
      <c r="J22" s="1"/>
      <c r="K22" s="1"/>
      <c r="L22" s="1"/>
      <c r="M22" s="1"/>
      <c r="N22" s="17"/>
    </row>
    <row r="23" spans="2:14" ht="15" customHeight="1" x14ac:dyDescent="0.25">
      <c r="B23" s="19"/>
      <c r="C23" s="9" t="s">
        <v>11</v>
      </c>
      <c r="D23" s="10"/>
      <c r="E23" s="13">
        <v>1</v>
      </c>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29" t="s">
        <v>17</v>
      </c>
      <c r="H26" s="30"/>
      <c r="I26" s="30"/>
      <c r="J26" s="30"/>
      <c r="K26" s="30"/>
      <c r="L26" s="30"/>
      <c r="M26" s="30"/>
      <c r="N26" s="31"/>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7"/>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76</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27</v>
      </c>
      <c r="D8" s="6" t="s">
        <v>26</v>
      </c>
      <c r="E8" s="11">
        <v>6.4108999999999999E-2</v>
      </c>
      <c r="F8" s="1"/>
      <c r="G8" s="23" t="s">
        <v>15</v>
      </c>
      <c r="H8" s="24">
        <v>1</v>
      </c>
      <c r="I8" s="1"/>
      <c r="J8" s="23" t="s">
        <v>12</v>
      </c>
      <c r="K8" s="23" t="s">
        <v>3</v>
      </c>
      <c r="L8" s="1"/>
      <c r="M8" s="1"/>
      <c r="N8" s="17"/>
    </row>
    <row r="9" spans="2:14" ht="15" customHeight="1" x14ac:dyDescent="0.25">
      <c r="B9" s="19"/>
      <c r="C9" s="5" t="s">
        <v>37</v>
      </c>
      <c r="D9" s="6" t="s">
        <v>26</v>
      </c>
      <c r="E9" s="11">
        <v>5.9520999999999998E-2</v>
      </c>
      <c r="F9" s="1"/>
      <c r="G9" s="1"/>
      <c r="H9" s="1"/>
      <c r="I9" s="1"/>
      <c r="J9" s="23" t="s">
        <v>13</v>
      </c>
      <c r="K9" s="25">
        <v>6.6154000000000004E-2</v>
      </c>
      <c r="L9" s="1"/>
      <c r="M9" s="1"/>
      <c r="N9" s="17"/>
    </row>
    <row r="10" spans="2:14" ht="15" customHeight="1" x14ac:dyDescent="0.25">
      <c r="B10" s="19"/>
      <c r="C10" s="5" t="s">
        <v>33</v>
      </c>
      <c r="D10" s="6" t="s">
        <v>26</v>
      </c>
      <c r="E10" s="11">
        <v>2.4677999999999999E-2</v>
      </c>
      <c r="F10" s="1"/>
      <c r="G10" s="1"/>
      <c r="H10" s="1"/>
      <c r="I10" s="1"/>
      <c r="J10" s="23" t="s">
        <v>61</v>
      </c>
      <c r="K10" s="25">
        <v>0.19470599999999999</v>
      </c>
      <c r="L10" s="1"/>
      <c r="M10" s="1"/>
      <c r="N10" s="17"/>
    </row>
    <row r="11" spans="2:14" ht="15" customHeight="1" x14ac:dyDescent="0.25">
      <c r="B11" s="19"/>
      <c r="C11" s="5" t="s">
        <v>30</v>
      </c>
      <c r="D11" s="6" t="s">
        <v>26</v>
      </c>
      <c r="E11" s="11">
        <v>2.0929E-2</v>
      </c>
      <c r="F11" s="1"/>
      <c r="G11" s="1"/>
      <c r="H11" s="1"/>
      <c r="I11" s="1"/>
      <c r="J11" s="23" t="s">
        <v>63</v>
      </c>
      <c r="K11" s="25">
        <v>0.66422999999999999</v>
      </c>
      <c r="L11" s="1"/>
      <c r="M11" s="1"/>
      <c r="N11" s="17"/>
    </row>
    <row r="12" spans="2:14" ht="15" customHeight="1" x14ac:dyDescent="0.25">
      <c r="B12" s="19"/>
      <c r="C12" s="5" t="s">
        <v>29</v>
      </c>
      <c r="D12" s="6" t="s">
        <v>26</v>
      </c>
      <c r="E12" s="11">
        <v>1.9792000000000001E-2</v>
      </c>
      <c r="F12" s="1"/>
      <c r="G12" s="1"/>
      <c r="H12" s="1"/>
      <c r="I12" s="1"/>
      <c r="J12" s="23" t="s">
        <v>82</v>
      </c>
      <c r="K12" s="25">
        <v>7.6480000000000003E-3</v>
      </c>
      <c r="L12" s="1"/>
      <c r="M12" s="1"/>
      <c r="N12" s="17"/>
    </row>
    <row r="13" spans="2:14" ht="15" customHeight="1" x14ac:dyDescent="0.25">
      <c r="B13" s="19"/>
      <c r="C13" s="5" t="s">
        <v>28</v>
      </c>
      <c r="D13" s="6" t="s">
        <v>26</v>
      </c>
      <c r="E13" s="11">
        <v>5.4520000000000002E-3</v>
      </c>
      <c r="F13" s="1"/>
      <c r="G13" s="1"/>
      <c r="H13" s="1"/>
      <c r="I13" s="1"/>
      <c r="J13" s="23" t="s">
        <v>64</v>
      </c>
      <c r="K13" s="25">
        <v>7.3670000000000003E-3</v>
      </c>
      <c r="L13" s="1"/>
      <c r="M13" s="1"/>
      <c r="N13" s="17"/>
    </row>
    <row r="14" spans="2:14" ht="15" customHeight="1" x14ac:dyDescent="0.25">
      <c r="B14" s="19"/>
      <c r="C14" s="5" t="s">
        <v>24</v>
      </c>
      <c r="D14" s="6" t="s">
        <v>26</v>
      </c>
      <c r="E14" s="11">
        <v>2.2499999999999999E-4</v>
      </c>
      <c r="F14" s="1"/>
      <c r="G14" s="1"/>
      <c r="H14" s="1"/>
      <c r="I14" s="1"/>
      <c r="J14" s="23" t="s">
        <v>83</v>
      </c>
      <c r="K14" s="25">
        <v>1.5901999999999999E-2</v>
      </c>
      <c r="L14" s="1"/>
      <c r="M14" s="1"/>
      <c r="N14" s="17"/>
    </row>
    <row r="15" spans="2:14" ht="15.75" customHeight="1" x14ac:dyDescent="0.25">
      <c r="B15" s="19"/>
      <c r="C15" s="7" t="s">
        <v>46</v>
      </c>
      <c r="D15" s="8"/>
      <c r="E15" s="12">
        <v>0.19470599999999999</v>
      </c>
      <c r="F15" s="1"/>
      <c r="G15" s="1"/>
      <c r="H15" s="1"/>
      <c r="I15" s="1"/>
      <c r="J15" s="23" t="s">
        <v>10</v>
      </c>
      <c r="K15" s="25">
        <v>4.3992999999999997E-2</v>
      </c>
      <c r="L15" s="1"/>
      <c r="M15" s="1"/>
      <c r="N15" s="17"/>
    </row>
    <row r="16" spans="2:14" ht="15" customHeight="1" x14ac:dyDescent="0.25">
      <c r="B16" s="19"/>
      <c r="C16" s="5" t="s">
        <v>67</v>
      </c>
      <c r="D16" s="6" t="s">
        <v>48</v>
      </c>
      <c r="E16" s="11">
        <v>0.23155700000000001</v>
      </c>
      <c r="F16" s="1"/>
      <c r="G16" s="1"/>
      <c r="H16" s="1"/>
      <c r="I16" s="1"/>
      <c r="J16" s="1"/>
      <c r="K16" s="1"/>
      <c r="L16" s="1"/>
      <c r="M16" s="1"/>
      <c r="N16" s="17"/>
    </row>
    <row r="17" spans="2:14" ht="15" customHeight="1" x14ac:dyDescent="0.25">
      <c r="B17" s="19"/>
      <c r="C17" s="5" t="s">
        <v>70</v>
      </c>
      <c r="D17" s="6" t="s">
        <v>48</v>
      </c>
      <c r="E17" s="11">
        <v>0.164552</v>
      </c>
      <c r="F17" s="1"/>
      <c r="G17" s="1"/>
      <c r="H17" s="1"/>
      <c r="I17" s="1"/>
      <c r="J17" s="1"/>
      <c r="K17" s="1"/>
      <c r="L17" s="1"/>
      <c r="M17" s="1"/>
      <c r="N17" s="17"/>
    </row>
    <row r="18" spans="2:14" ht="15" customHeight="1" x14ac:dyDescent="0.25">
      <c r="B18" s="19"/>
      <c r="C18" s="5" t="s">
        <v>68</v>
      </c>
      <c r="D18" s="6" t="s">
        <v>48</v>
      </c>
      <c r="E18" s="11">
        <v>0.10130500000000001</v>
      </c>
      <c r="F18" s="1"/>
      <c r="G18" s="1"/>
      <c r="H18" s="1"/>
      <c r="I18" s="1"/>
      <c r="J18" s="1"/>
      <c r="K18" s="1"/>
      <c r="L18" s="1"/>
      <c r="M18" s="1"/>
      <c r="N18" s="17"/>
    </row>
    <row r="19" spans="2:14" ht="15" customHeight="1" x14ac:dyDescent="0.25">
      <c r="B19" s="19"/>
      <c r="C19" s="5" t="s">
        <v>72</v>
      </c>
      <c r="D19" s="6" t="s">
        <v>48</v>
      </c>
      <c r="E19" s="11">
        <v>8.8239999999999999E-2</v>
      </c>
      <c r="F19" s="1"/>
      <c r="G19" s="1"/>
      <c r="H19" s="1"/>
      <c r="I19" s="1"/>
      <c r="J19" s="1"/>
      <c r="K19" s="1"/>
      <c r="L19" s="1"/>
      <c r="M19" s="1"/>
      <c r="N19" s="17"/>
    </row>
    <row r="20" spans="2:14" ht="15" customHeight="1" x14ac:dyDescent="0.25">
      <c r="B20" s="19"/>
      <c r="C20" s="5" t="s">
        <v>69</v>
      </c>
      <c r="D20" s="6" t="s">
        <v>48</v>
      </c>
      <c r="E20" s="11">
        <v>4.9331E-2</v>
      </c>
      <c r="F20" s="1"/>
      <c r="G20" s="1"/>
      <c r="H20" s="1"/>
      <c r="I20" s="1"/>
      <c r="J20" s="1"/>
      <c r="K20" s="1"/>
      <c r="L20" s="1"/>
      <c r="M20" s="1"/>
      <c r="N20" s="17"/>
    </row>
    <row r="21" spans="2:14" ht="15" customHeight="1" x14ac:dyDescent="0.25">
      <c r="B21" s="19"/>
      <c r="C21" s="5" t="s">
        <v>71</v>
      </c>
      <c r="D21" s="6" t="s">
        <v>48</v>
      </c>
      <c r="E21" s="11">
        <v>1.8822999999999999E-2</v>
      </c>
      <c r="F21" s="1"/>
      <c r="G21" s="1"/>
      <c r="H21" s="1"/>
      <c r="I21" s="1"/>
      <c r="J21" s="1"/>
      <c r="K21" s="1"/>
      <c r="L21" s="1"/>
      <c r="M21" s="1"/>
      <c r="N21" s="17"/>
    </row>
    <row r="22" spans="2:14" ht="15" customHeight="1" x14ac:dyDescent="0.25">
      <c r="B22" s="19"/>
      <c r="C22" s="5" t="s">
        <v>77</v>
      </c>
      <c r="D22" s="6" t="s">
        <v>48</v>
      </c>
      <c r="E22" s="11">
        <v>1.0005E-2</v>
      </c>
      <c r="F22" s="1"/>
      <c r="G22" s="1"/>
      <c r="H22" s="1"/>
      <c r="I22" s="1"/>
      <c r="J22" s="1"/>
      <c r="K22" s="1"/>
      <c r="L22" s="1"/>
      <c r="M22" s="1"/>
      <c r="N22" s="17"/>
    </row>
    <row r="23" spans="2:14" ht="15" customHeight="1" x14ac:dyDescent="0.25">
      <c r="B23" s="19"/>
      <c r="C23" s="5" t="s">
        <v>52</v>
      </c>
      <c r="D23" s="6" t="s">
        <v>48</v>
      </c>
      <c r="E23" s="11">
        <v>2.0900000000000001E-4</v>
      </c>
      <c r="F23" s="1"/>
      <c r="G23" s="1"/>
      <c r="H23" s="1"/>
      <c r="I23" s="1"/>
      <c r="J23" s="1"/>
      <c r="K23" s="1"/>
      <c r="L23" s="1"/>
      <c r="M23" s="1"/>
      <c r="N23" s="17"/>
    </row>
    <row r="24" spans="2:14" ht="15" customHeight="1" x14ac:dyDescent="0.25">
      <c r="B24" s="19"/>
      <c r="C24" s="5" t="s">
        <v>73</v>
      </c>
      <c r="D24" s="6" t="s">
        <v>48</v>
      </c>
      <c r="E24" s="11">
        <v>2.0799999999999999E-4</v>
      </c>
      <c r="F24" s="1"/>
      <c r="G24" s="1"/>
      <c r="H24" s="1"/>
      <c r="I24" s="1"/>
      <c r="J24" s="1"/>
      <c r="K24" s="1"/>
      <c r="L24" s="1"/>
      <c r="M24" s="1"/>
      <c r="N24" s="17"/>
    </row>
    <row r="25" spans="2:14" ht="15.75" customHeight="1" x14ac:dyDescent="0.25">
      <c r="B25" s="19"/>
      <c r="C25" s="7" t="s">
        <v>57</v>
      </c>
      <c r="D25" s="8"/>
      <c r="E25" s="12">
        <v>0.66422999999999999</v>
      </c>
      <c r="F25" s="1"/>
      <c r="G25" s="1"/>
      <c r="H25" s="1"/>
      <c r="I25" s="1"/>
      <c r="J25" s="1"/>
      <c r="K25" s="1"/>
      <c r="L25" s="1"/>
      <c r="M25" s="1"/>
      <c r="N25" s="17"/>
    </row>
    <row r="26" spans="2:14" ht="15" customHeight="1" x14ac:dyDescent="0.25">
      <c r="B26" s="19"/>
      <c r="C26" s="5" t="s">
        <v>226</v>
      </c>
      <c r="D26" s="6" t="s">
        <v>78</v>
      </c>
      <c r="E26" s="11">
        <v>7.6480000000000003E-3</v>
      </c>
      <c r="F26" s="1"/>
      <c r="G26" s="29" t="s">
        <v>17</v>
      </c>
      <c r="H26" s="30"/>
      <c r="I26" s="30"/>
      <c r="J26" s="30"/>
      <c r="K26" s="30"/>
      <c r="L26" s="30"/>
      <c r="M26" s="30"/>
      <c r="N26" s="31"/>
    </row>
    <row r="27" spans="2:14" ht="15.75" customHeight="1" x14ac:dyDescent="0.25">
      <c r="B27" s="19"/>
      <c r="C27" s="7" t="s">
        <v>79</v>
      </c>
      <c r="D27" s="8"/>
      <c r="E27" s="12">
        <v>7.6480000000000003E-3</v>
      </c>
      <c r="F27" s="1"/>
      <c r="G27" s="1"/>
      <c r="H27" s="1"/>
      <c r="I27" s="1"/>
      <c r="J27" s="1"/>
      <c r="K27" s="1"/>
      <c r="L27" s="1"/>
      <c r="M27" s="1"/>
      <c r="N27" s="17"/>
    </row>
    <row r="28" spans="2:14" ht="15" customHeight="1" x14ac:dyDescent="0.25">
      <c r="B28" s="19"/>
      <c r="C28" s="5" t="s">
        <v>176</v>
      </c>
      <c r="D28" s="6" t="s">
        <v>48</v>
      </c>
      <c r="E28" s="11">
        <v>3.4559999999999999E-3</v>
      </c>
      <c r="F28" s="1"/>
      <c r="G28" s="1"/>
      <c r="H28" s="1"/>
      <c r="I28" s="1"/>
      <c r="J28" s="1"/>
      <c r="K28" s="1"/>
      <c r="L28" s="1"/>
      <c r="M28" s="1"/>
      <c r="N28" s="17"/>
    </row>
    <row r="29" spans="2:14" ht="15.75" customHeight="1" x14ac:dyDescent="0.25">
      <c r="B29" s="19"/>
      <c r="C29" s="5" t="s">
        <v>177</v>
      </c>
      <c r="D29" s="6" t="s">
        <v>48</v>
      </c>
      <c r="E29" s="11">
        <v>3.4550000000000002E-3</v>
      </c>
      <c r="F29" s="1"/>
      <c r="G29" s="1"/>
      <c r="H29" s="1"/>
      <c r="I29" s="1"/>
      <c r="J29" s="1"/>
      <c r="K29" s="1"/>
      <c r="L29" s="1"/>
      <c r="M29" s="1"/>
      <c r="N29" s="17"/>
    </row>
    <row r="30" spans="2:14" ht="15" customHeight="1" x14ac:dyDescent="0.25">
      <c r="B30" s="19"/>
      <c r="C30" s="5" t="s">
        <v>178</v>
      </c>
      <c r="D30" s="6" t="s">
        <v>48</v>
      </c>
      <c r="E30" s="11">
        <v>4.4999999999999999E-4</v>
      </c>
      <c r="F30" s="1"/>
      <c r="G30" s="1"/>
      <c r="H30" s="1"/>
      <c r="I30" s="1"/>
      <c r="J30" s="1"/>
      <c r="K30" s="1"/>
      <c r="L30" s="1"/>
      <c r="M30" s="1"/>
      <c r="N30" s="17"/>
    </row>
    <row r="31" spans="2:14" ht="15.75" customHeight="1" x14ac:dyDescent="0.25">
      <c r="B31" s="19"/>
      <c r="C31" s="5" t="s">
        <v>179</v>
      </c>
      <c r="D31" s="6" t="s">
        <v>48</v>
      </c>
      <c r="E31" s="42">
        <v>5.0000000000000004E-6</v>
      </c>
      <c r="F31" s="1"/>
      <c r="G31" s="1"/>
      <c r="H31" s="1"/>
      <c r="I31" s="1"/>
      <c r="J31" s="1"/>
      <c r="K31" s="1"/>
      <c r="L31" s="1"/>
      <c r="M31" s="1"/>
      <c r="N31" s="17"/>
    </row>
    <row r="32" spans="2:14" ht="15" customHeight="1" x14ac:dyDescent="0.25">
      <c r="B32" s="19"/>
      <c r="C32" s="5" t="s">
        <v>180</v>
      </c>
      <c r="D32" s="6" t="s">
        <v>48</v>
      </c>
      <c r="E32" s="43">
        <v>9.9999999999999995E-7</v>
      </c>
      <c r="F32" s="1"/>
      <c r="G32" s="1"/>
      <c r="H32" s="1"/>
      <c r="I32" s="1"/>
      <c r="J32" s="1"/>
      <c r="K32" s="1"/>
      <c r="L32" s="1"/>
      <c r="M32" s="1"/>
      <c r="N32" s="17"/>
    </row>
    <row r="33" spans="2:14" ht="15.75" customHeight="1" x14ac:dyDescent="0.25">
      <c r="B33" s="19"/>
      <c r="C33" s="7" t="s">
        <v>58</v>
      </c>
      <c r="D33" s="8"/>
      <c r="E33" s="12">
        <v>7.3670000000000003E-3</v>
      </c>
      <c r="F33" s="1"/>
      <c r="G33" s="1"/>
      <c r="H33" s="1"/>
      <c r="I33" s="1"/>
      <c r="J33" s="1"/>
      <c r="K33" s="1"/>
      <c r="L33" s="1"/>
      <c r="M33" s="1"/>
      <c r="N33" s="17"/>
    </row>
    <row r="34" spans="2:14" ht="15" customHeight="1" x14ac:dyDescent="0.25">
      <c r="B34" s="19"/>
      <c r="C34" s="5" t="s">
        <v>80</v>
      </c>
      <c r="D34" s="6" t="s">
        <v>48</v>
      </c>
      <c r="E34" s="11">
        <v>1.5901999999999999E-2</v>
      </c>
      <c r="F34" s="1"/>
      <c r="G34" s="1"/>
      <c r="H34" s="1"/>
      <c r="I34" s="1"/>
      <c r="J34" s="1"/>
      <c r="K34" s="1"/>
      <c r="L34" s="1"/>
      <c r="M34" s="1"/>
      <c r="N34" s="17"/>
    </row>
    <row r="35" spans="2:14" ht="15.75" customHeight="1" x14ac:dyDescent="0.25">
      <c r="B35" s="19"/>
      <c r="C35" s="7" t="s">
        <v>81</v>
      </c>
      <c r="D35" s="8"/>
      <c r="E35" s="12">
        <v>1.5901999999999999E-2</v>
      </c>
      <c r="F35" s="1"/>
      <c r="G35" s="1"/>
      <c r="H35" s="1"/>
      <c r="I35" s="1"/>
      <c r="J35" s="1"/>
      <c r="K35" s="1"/>
      <c r="L35" s="1"/>
      <c r="M35" s="1"/>
      <c r="N35" s="17"/>
    </row>
    <row r="36" spans="2:14" ht="15" customHeight="1" x14ac:dyDescent="0.25">
      <c r="B36" s="19"/>
      <c r="C36" s="5" t="s">
        <v>8</v>
      </c>
      <c r="D36" s="6"/>
      <c r="E36" s="11">
        <v>6.6154000000000004E-2</v>
      </c>
      <c r="F36" s="1"/>
      <c r="G36" s="1"/>
      <c r="H36" s="1"/>
      <c r="I36" s="1"/>
      <c r="J36" s="1"/>
      <c r="K36" s="1"/>
      <c r="L36" s="1"/>
      <c r="M36" s="1"/>
      <c r="N36" s="17"/>
    </row>
    <row r="37" spans="2:14" ht="15" customHeight="1" x14ac:dyDescent="0.25">
      <c r="B37" s="19"/>
      <c r="C37" s="7" t="s">
        <v>9</v>
      </c>
      <c r="D37" s="8"/>
      <c r="E37" s="12">
        <v>6.6154000000000004E-2</v>
      </c>
      <c r="F37" s="1"/>
      <c r="G37" s="1"/>
      <c r="H37" s="1"/>
      <c r="I37" s="1"/>
      <c r="J37" s="1"/>
      <c r="K37" s="1"/>
      <c r="L37" s="1"/>
      <c r="M37" s="1"/>
      <c r="N37" s="17"/>
    </row>
    <row r="38" spans="2:14" ht="15" customHeight="1" x14ac:dyDescent="0.25">
      <c r="B38" s="19"/>
      <c r="C38" s="5"/>
      <c r="D38" s="6"/>
      <c r="E38" s="11"/>
      <c r="F38" s="1"/>
      <c r="G38" s="1"/>
      <c r="H38" s="1"/>
      <c r="I38" s="1"/>
      <c r="J38" s="1"/>
      <c r="K38" s="1"/>
      <c r="L38" s="1"/>
      <c r="M38" s="1"/>
      <c r="N38" s="17"/>
    </row>
    <row r="39" spans="2:14" ht="15" customHeight="1" x14ac:dyDescent="0.25">
      <c r="B39" s="19"/>
      <c r="C39" s="7" t="s">
        <v>10</v>
      </c>
      <c r="D39" s="8"/>
      <c r="E39" s="12">
        <v>4.3992999999999997E-2</v>
      </c>
      <c r="F39" s="1"/>
      <c r="G39" s="1"/>
      <c r="H39" s="1"/>
      <c r="I39" s="1"/>
      <c r="J39" s="1"/>
      <c r="K39" s="1"/>
      <c r="L39" s="1"/>
      <c r="M39" s="1"/>
      <c r="N39" s="17"/>
    </row>
    <row r="40" spans="2:14" ht="15" customHeight="1" x14ac:dyDescent="0.25">
      <c r="B40" s="19"/>
      <c r="C40" s="5"/>
      <c r="D40" s="6"/>
      <c r="E40" s="11"/>
      <c r="F40" s="1"/>
      <c r="G40" s="1"/>
      <c r="H40" s="1"/>
      <c r="I40" s="1"/>
      <c r="J40" s="1"/>
      <c r="K40" s="1"/>
      <c r="L40" s="1"/>
      <c r="M40" s="1"/>
      <c r="N40" s="17"/>
    </row>
    <row r="41" spans="2:14" ht="15" customHeight="1" x14ac:dyDescent="0.25">
      <c r="B41" s="19"/>
      <c r="C41" s="9" t="s">
        <v>11</v>
      </c>
      <c r="D41" s="10"/>
      <c r="E41" s="13">
        <v>1</v>
      </c>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t="s">
        <v>220</v>
      </c>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sheetData>
  <mergeCells count="3">
    <mergeCell ref="C3:N3"/>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6"/>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84</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24</v>
      </c>
      <c r="D8" s="6" t="s">
        <v>26</v>
      </c>
      <c r="E8" s="11">
        <v>0.1036</v>
      </c>
      <c r="F8" s="1"/>
      <c r="G8" s="23" t="s">
        <v>15</v>
      </c>
      <c r="H8" s="24">
        <v>1</v>
      </c>
      <c r="I8" s="1"/>
      <c r="J8" s="23" t="s">
        <v>12</v>
      </c>
      <c r="K8" s="23" t="s">
        <v>3</v>
      </c>
      <c r="L8" s="1"/>
      <c r="M8" s="1"/>
      <c r="N8" s="17"/>
    </row>
    <row r="9" spans="2:14" ht="15" customHeight="1" x14ac:dyDescent="0.25">
      <c r="B9" s="19"/>
      <c r="C9" s="5" t="s">
        <v>37</v>
      </c>
      <c r="D9" s="6" t="s">
        <v>26</v>
      </c>
      <c r="E9" s="11">
        <v>0.102725</v>
      </c>
      <c r="F9" s="1"/>
      <c r="G9" s="1"/>
      <c r="H9" s="1"/>
      <c r="I9" s="1"/>
      <c r="J9" s="23" t="s">
        <v>13</v>
      </c>
      <c r="K9" s="25">
        <v>2.5801000000000001E-2</v>
      </c>
      <c r="L9" s="1"/>
      <c r="M9" s="1"/>
      <c r="N9" s="17"/>
    </row>
    <row r="10" spans="2:14" ht="15" customHeight="1" x14ac:dyDescent="0.25">
      <c r="B10" s="19"/>
      <c r="C10" s="5" t="s">
        <v>33</v>
      </c>
      <c r="D10" s="6" t="s">
        <v>26</v>
      </c>
      <c r="E10" s="11">
        <v>9.0783000000000003E-2</v>
      </c>
      <c r="F10" s="1"/>
      <c r="G10" s="1"/>
      <c r="H10" s="1"/>
      <c r="I10" s="1"/>
      <c r="J10" s="23" t="s">
        <v>61</v>
      </c>
      <c r="K10" s="25">
        <v>0.76141199999999998</v>
      </c>
      <c r="L10" s="1"/>
      <c r="M10" s="1"/>
      <c r="N10" s="17"/>
    </row>
    <row r="11" spans="2:14" ht="15" customHeight="1" x14ac:dyDescent="0.25">
      <c r="B11" s="19"/>
      <c r="C11" s="5" t="s">
        <v>27</v>
      </c>
      <c r="D11" s="6" t="s">
        <v>26</v>
      </c>
      <c r="E11" s="11">
        <v>9.0246000000000007E-2</v>
      </c>
      <c r="F11" s="1"/>
      <c r="G11" s="1"/>
      <c r="H11" s="1"/>
      <c r="I11" s="1"/>
      <c r="J11" s="23" t="s">
        <v>63</v>
      </c>
      <c r="K11" s="25">
        <v>0.16485</v>
      </c>
      <c r="L11" s="1"/>
      <c r="M11" s="1"/>
      <c r="N11" s="17"/>
    </row>
    <row r="12" spans="2:14" ht="15" customHeight="1" x14ac:dyDescent="0.25">
      <c r="B12" s="19"/>
      <c r="C12" s="5" t="s">
        <v>30</v>
      </c>
      <c r="D12" s="6" t="s">
        <v>26</v>
      </c>
      <c r="E12" s="11">
        <v>7.1060999999999999E-2</v>
      </c>
      <c r="F12" s="1"/>
      <c r="G12" s="1"/>
      <c r="H12" s="1"/>
      <c r="I12" s="1"/>
      <c r="J12" s="23" t="s">
        <v>82</v>
      </c>
      <c r="K12" s="25">
        <v>6.0289999999999996E-3</v>
      </c>
      <c r="L12" s="1"/>
      <c r="M12" s="1"/>
      <c r="N12" s="17"/>
    </row>
    <row r="13" spans="2:14" ht="15" customHeight="1" x14ac:dyDescent="0.25">
      <c r="B13" s="19"/>
      <c r="C13" s="5" t="s">
        <v>28</v>
      </c>
      <c r="D13" s="6" t="s">
        <v>26</v>
      </c>
      <c r="E13" s="11">
        <v>6.9713999999999998E-2</v>
      </c>
      <c r="F13" s="1"/>
      <c r="G13" s="1"/>
      <c r="H13" s="1"/>
      <c r="I13" s="1"/>
      <c r="J13" s="23" t="s">
        <v>83</v>
      </c>
      <c r="K13" s="25">
        <v>1.1068E-2</v>
      </c>
      <c r="L13" s="1"/>
      <c r="M13" s="1"/>
      <c r="N13" s="17"/>
    </row>
    <row r="14" spans="2:14" ht="15" customHeight="1" x14ac:dyDescent="0.25">
      <c r="B14" s="19"/>
      <c r="C14" s="5" t="s">
        <v>29</v>
      </c>
      <c r="D14" s="6" t="s">
        <v>26</v>
      </c>
      <c r="E14" s="11">
        <v>6.9567000000000004E-2</v>
      </c>
      <c r="F14" s="1"/>
      <c r="G14" s="1"/>
      <c r="H14" s="1"/>
      <c r="I14" s="1"/>
      <c r="J14" s="23" t="s">
        <v>10</v>
      </c>
      <c r="K14" s="25">
        <v>3.0839999999999999E-2</v>
      </c>
      <c r="L14" s="1"/>
      <c r="M14" s="1"/>
      <c r="N14" s="17"/>
    </row>
    <row r="15" spans="2:14" ht="15" customHeight="1" x14ac:dyDescent="0.25">
      <c r="B15" s="19"/>
      <c r="C15" s="5" t="s">
        <v>34</v>
      </c>
      <c r="D15" s="6" t="s">
        <v>26</v>
      </c>
      <c r="E15" s="11">
        <v>3.7960000000000001E-2</v>
      </c>
      <c r="F15" s="1"/>
      <c r="G15" s="1"/>
      <c r="H15" s="1"/>
      <c r="I15" s="1"/>
      <c r="J15" s="1"/>
      <c r="K15" s="1"/>
      <c r="L15" s="1"/>
      <c r="M15" s="1"/>
      <c r="N15" s="17"/>
    </row>
    <row r="16" spans="2:14" ht="15" customHeight="1" x14ac:dyDescent="0.25">
      <c r="B16" s="19"/>
      <c r="C16" s="5" t="s">
        <v>35</v>
      </c>
      <c r="D16" s="6" t="s">
        <v>26</v>
      </c>
      <c r="E16" s="11">
        <v>2.7977999999999999E-2</v>
      </c>
      <c r="F16" s="1"/>
      <c r="G16" s="1"/>
      <c r="H16" s="1"/>
      <c r="I16" s="1"/>
      <c r="J16" s="1"/>
      <c r="K16" s="1"/>
      <c r="L16" s="1"/>
      <c r="M16" s="1"/>
      <c r="N16" s="17"/>
    </row>
    <row r="17" spans="2:14" ht="15" customHeight="1" x14ac:dyDescent="0.25">
      <c r="B17" s="19"/>
      <c r="C17" s="5" t="s">
        <v>31</v>
      </c>
      <c r="D17" s="6" t="s">
        <v>26</v>
      </c>
      <c r="E17" s="11">
        <v>2.6544999999999999E-2</v>
      </c>
      <c r="F17" s="1"/>
      <c r="G17" s="1"/>
      <c r="H17" s="1"/>
      <c r="I17" s="1"/>
      <c r="J17" s="1"/>
      <c r="K17" s="1"/>
      <c r="L17" s="1"/>
      <c r="M17" s="1"/>
      <c r="N17" s="17"/>
    </row>
    <row r="18" spans="2:14" ht="15" customHeight="1" x14ac:dyDescent="0.25">
      <c r="B18" s="19"/>
      <c r="C18" s="5" t="s">
        <v>42</v>
      </c>
      <c r="D18" s="6" t="s">
        <v>26</v>
      </c>
      <c r="E18" s="11">
        <v>2.2571999999999998E-2</v>
      </c>
      <c r="F18" s="1"/>
      <c r="G18" s="1"/>
      <c r="H18" s="1"/>
      <c r="I18" s="1"/>
      <c r="J18" s="1"/>
      <c r="K18" s="1"/>
      <c r="L18" s="1"/>
      <c r="M18" s="1"/>
      <c r="N18" s="17"/>
    </row>
    <row r="19" spans="2:14" ht="15" customHeight="1" x14ac:dyDescent="0.25">
      <c r="B19" s="19"/>
      <c r="C19" s="5" t="s">
        <v>38</v>
      </c>
      <c r="D19" s="6" t="s">
        <v>26</v>
      </c>
      <c r="E19" s="11">
        <v>2.205E-2</v>
      </c>
      <c r="F19" s="1"/>
      <c r="G19" s="1"/>
      <c r="H19" s="1"/>
      <c r="I19" s="1"/>
      <c r="J19" s="1"/>
      <c r="K19" s="1"/>
      <c r="L19" s="1"/>
      <c r="M19" s="1"/>
      <c r="N19" s="17"/>
    </row>
    <row r="20" spans="2:14" ht="15" customHeight="1" x14ac:dyDescent="0.25">
      <c r="B20" s="19"/>
      <c r="C20" s="5" t="s">
        <v>40</v>
      </c>
      <c r="D20" s="6" t="s">
        <v>26</v>
      </c>
      <c r="E20" s="11">
        <v>1.8727000000000001E-2</v>
      </c>
      <c r="F20" s="1"/>
      <c r="G20" s="1"/>
      <c r="H20" s="1"/>
      <c r="I20" s="1"/>
      <c r="J20" s="1"/>
      <c r="K20" s="1"/>
      <c r="L20" s="1"/>
      <c r="M20" s="1"/>
      <c r="N20" s="17"/>
    </row>
    <row r="21" spans="2:14" ht="15" customHeight="1" x14ac:dyDescent="0.25">
      <c r="B21" s="19"/>
      <c r="C21" s="5" t="s">
        <v>44</v>
      </c>
      <c r="D21" s="6" t="s">
        <v>26</v>
      </c>
      <c r="E21" s="11">
        <v>6.7039999999999999E-3</v>
      </c>
      <c r="F21" s="1"/>
      <c r="G21" s="1"/>
      <c r="H21" s="1"/>
      <c r="I21" s="1"/>
      <c r="J21" s="1"/>
      <c r="K21" s="1"/>
      <c r="L21" s="1"/>
      <c r="M21" s="1"/>
      <c r="N21" s="17"/>
    </row>
    <row r="22" spans="2:14" ht="15" customHeight="1" x14ac:dyDescent="0.25">
      <c r="B22" s="19"/>
      <c r="C22" s="5" t="s">
        <v>43</v>
      </c>
      <c r="D22" s="6" t="s">
        <v>26</v>
      </c>
      <c r="E22" s="11">
        <v>7.7499999999999997E-4</v>
      </c>
      <c r="F22" s="1"/>
      <c r="G22" s="1"/>
      <c r="H22" s="1"/>
      <c r="I22" s="1"/>
      <c r="J22" s="1"/>
      <c r="K22" s="1"/>
      <c r="L22" s="1"/>
      <c r="M22" s="1"/>
      <c r="N22" s="17"/>
    </row>
    <row r="23" spans="2:14" ht="15" customHeight="1" x14ac:dyDescent="0.25">
      <c r="B23" s="19"/>
      <c r="C23" s="5" t="s">
        <v>21</v>
      </c>
      <c r="D23" s="6" t="s">
        <v>26</v>
      </c>
      <c r="E23" s="11">
        <v>4.0499999999999998E-4</v>
      </c>
      <c r="F23" s="1"/>
      <c r="G23" s="1"/>
      <c r="H23" s="1"/>
      <c r="I23" s="1"/>
      <c r="J23" s="1"/>
      <c r="K23" s="1"/>
      <c r="L23" s="1"/>
      <c r="M23" s="1"/>
      <c r="N23" s="17"/>
    </row>
    <row r="24" spans="2:14" ht="15.75" customHeight="1" x14ac:dyDescent="0.25">
      <c r="B24" s="19"/>
      <c r="C24" s="7" t="s">
        <v>46</v>
      </c>
      <c r="D24" s="8"/>
      <c r="E24" s="12">
        <v>0.76141199999999998</v>
      </c>
      <c r="F24" s="1"/>
      <c r="G24" s="1"/>
      <c r="H24" s="1"/>
      <c r="I24" s="1"/>
      <c r="J24" s="1"/>
      <c r="K24" s="1"/>
      <c r="L24" s="1"/>
      <c r="M24" s="1"/>
      <c r="N24" s="17"/>
    </row>
    <row r="25" spans="2:14" ht="15" customHeight="1" x14ac:dyDescent="0.25">
      <c r="B25" s="19"/>
      <c r="C25" s="5" t="s">
        <v>68</v>
      </c>
      <c r="D25" s="6" t="s">
        <v>48</v>
      </c>
      <c r="E25" s="11">
        <v>3.6133999999999999E-2</v>
      </c>
      <c r="F25" s="1"/>
      <c r="G25" s="1"/>
      <c r="H25" s="1"/>
      <c r="I25" s="1"/>
      <c r="J25" s="1"/>
      <c r="K25" s="1"/>
      <c r="L25" s="1"/>
      <c r="M25" s="1"/>
      <c r="N25" s="17"/>
    </row>
    <row r="26" spans="2:14" ht="15" customHeight="1" x14ac:dyDescent="0.25">
      <c r="B26" s="19"/>
      <c r="C26" s="5" t="s">
        <v>52</v>
      </c>
      <c r="D26" s="6" t="s">
        <v>48</v>
      </c>
      <c r="E26" s="11">
        <v>2.7439999999999999E-2</v>
      </c>
      <c r="F26" s="1"/>
      <c r="G26" s="29" t="s">
        <v>17</v>
      </c>
      <c r="H26" s="30"/>
      <c r="I26" s="30"/>
      <c r="J26" s="30"/>
      <c r="K26" s="30"/>
      <c r="L26" s="30"/>
      <c r="M26" s="30"/>
      <c r="N26" s="31"/>
    </row>
    <row r="27" spans="2:14" ht="15" customHeight="1" x14ac:dyDescent="0.25">
      <c r="B27" s="19"/>
      <c r="C27" s="5" t="s">
        <v>67</v>
      </c>
      <c r="D27" s="6" t="s">
        <v>48</v>
      </c>
      <c r="E27" s="11">
        <v>2.1666999999999999E-2</v>
      </c>
      <c r="F27" s="1"/>
      <c r="G27" s="1"/>
      <c r="H27" s="1"/>
      <c r="I27" s="1"/>
      <c r="J27" s="1"/>
      <c r="K27" s="1"/>
      <c r="L27" s="1"/>
      <c r="M27" s="1"/>
      <c r="N27" s="17"/>
    </row>
    <row r="28" spans="2:14" ht="15" customHeight="1" x14ac:dyDescent="0.25">
      <c r="B28" s="19"/>
      <c r="C28" s="5" t="s">
        <v>72</v>
      </c>
      <c r="D28" s="6" t="s">
        <v>48</v>
      </c>
      <c r="E28" s="11">
        <v>2.0899000000000001E-2</v>
      </c>
      <c r="F28" s="1"/>
      <c r="G28" s="1"/>
      <c r="H28" s="1"/>
      <c r="I28" s="1"/>
      <c r="J28" s="1"/>
      <c r="K28" s="1"/>
      <c r="L28" s="1"/>
      <c r="M28" s="1"/>
      <c r="N28" s="17"/>
    </row>
    <row r="29" spans="2:14" ht="15" customHeight="1" x14ac:dyDescent="0.25">
      <c r="B29" s="19"/>
      <c r="C29" s="5" t="s">
        <v>77</v>
      </c>
      <c r="D29" s="6" t="s">
        <v>48</v>
      </c>
      <c r="E29" s="11">
        <v>1.9434E-2</v>
      </c>
      <c r="F29" s="1"/>
      <c r="G29" s="1"/>
      <c r="H29" s="1"/>
      <c r="I29" s="1"/>
      <c r="J29" s="1"/>
      <c r="K29" s="1"/>
      <c r="L29" s="1"/>
      <c r="M29" s="1"/>
      <c r="N29" s="17"/>
    </row>
    <row r="30" spans="2:14" ht="15" customHeight="1" x14ac:dyDescent="0.25">
      <c r="B30" s="19"/>
      <c r="C30" s="5" t="s">
        <v>55</v>
      </c>
      <c r="D30" s="6" t="s">
        <v>48</v>
      </c>
      <c r="E30" s="11">
        <v>1.2729000000000001E-2</v>
      </c>
      <c r="F30" s="1"/>
      <c r="G30" s="1"/>
      <c r="H30" s="1"/>
      <c r="I30" s="1"/>
      <c r="J30" s="1"/>
      <c r="K30" s="1"/>
      <c r="L30" s="1"/>
      <c r="M30" s="1"/>
      <c r="N30" s="17"/>
    </row>
    <row r="31" spans="2:14" ht="15" customHeight="1" x14ac:dyDescent="0.25">
      <c r="B31" s="19"/>
      <c r="C31" s="5" t="s">
        <v>69</v>
      </c>
      <c r="D31" s="6" t="s">
        <v>48</v>
      </c>
      <c r="E31" s="11">
        <v>9.1579999999999995E-3</v>
      </c>
      <c r="F31" s="1"/>
      <c r="G31" s="1"/>
      <c r="H31" s="1"/>
      <c r="I31" s="1"/>
      <c r="J31" s="1"/>
      <c r="K31" s="1"/>
      <c r="L31" s="1"/>
      <c r="M31" s="1"/>
      <c r="N31" s="17"/>
    </row>
    <row r="32" spans="2:14" ht="15" customHeight="1" x14ac:dyDescent="0.25">
      <c r="B32" s="19"/>
      <c r="C32" s="5" t="s">
        <v>70</v>
      </c>
      <c r="D32" s="6" t="s">
        <v>48</v>
      </c>
      <c r="E32" s="11">
        <v>8.4740000000000006E-3</v>
      </c>
      <c r="F32" s="1"/>
      <c r="G32" s="1"/>
      <c r="H32" s="1"/>
      <c r="I32" s="1"/>
      <c r="J32" s="1"/>
      <c r="K32" s="1"/>
      <c r="L32" s="1"/>
      <c r="M32" s="1"/>
      <c r="N32" s="17"/>
    </row>
    <row r="33" spans="2:14" ht="15" customHeight="1" x14ac:dyDescent="0.25">
      <c r="B33" s="19"/>
      <c r="C33" s="5" t="s">
        <v>71</v>
      </c>
      <c r="D33" s="6" t="s">
        <v>48</v>
      </c>
      <c r="E33" s="11">
        <v>8.1639999999999994E-3</v>
      </c>
      <c r="F33" s="1"/>
      <c r="G33" s="1"/>
      <c r="H33" s="1"/>
      <c r="I33" s="1"/>
      <c r="J33" s="1"/>
      <c r="K33" s="1"/>
      <c r="L33" s="1"/>
      <c r="M33" s="1"/>
      <c r="N33" s="17"/>
    </row>
    <row r="34" spans="2:14" ht="15" customHeight="1" x14ac:dyDescent="0.25">
      <c r="B34" s="19"/>
      <c r="C34" s="5" t="s">
        <v>85</v>
      </c>
      <c r="D34" s="6" t="s">
        <v>48</v>
      </c>
      <c r="E34" s="11">
        <v>6.7599999999999995E-4</v>
      </c>
      <c r="F34" s="1"/>
      <c r="G34" s="1"/>
      <c r="H34" s="1"/>
      <c r="I34" s="1"/>
      <c r="J34" s="1"/>
      <c r="K34" s="1"/>
      <c r="L34" s="1"/>
      <c r="M34" s="1"/>
      <c r="N34" s="17"/>
    </row>
    <row r="35" spans="2:14" ht="15" customHeight="1" x14ac:dyDescent="0.25">
      <c r="B35" s="19"/>
      <c r="C35" s="5" t="s">
        <v>73</v>
      </c>
      <c r="D35" s="6" t="s">
        <v>48</v>
      </c>
      <c r="E35" s="11">
        <v>7.4999999999999993E-5</v>
      </c>
      <c r="F35" s="1"/>
      <c r="G35" s="1"/>
      <c r="H35" s="1"/>
      <c r="I35" s="1"/>
      <c r="J35" s="1"/>
      <c r="K35" s="1"/>
      <c r="L35" s="1"/>
      <c r="M35" s="1"/>
      <c r="N35" s="17"/>
    </row>
    <row r="36" spans="2:14" ht="15.75" customHeight="1" x14ac:dyDescent="0.25">
      <c r="B36" s="19"/>
      <c r="C36" s="7" t="s">
        <v>57</v>
      </c>
      <c r="D36" s="8"/>
      <c r="E36" s="12">
        <v>0.16485</v>
      </c>
      <c r="F36" s="1"/>
      <c r="G36" s="1"/>
      <c r="H36" s="1"/>
      <c r="I36" s="1"/>
      <c r="J36" s="1"/>
      <c r="K36" s="1"/>
      <c r="L36" s="1"/>
      <c r="M36" s="1"/>
      <c r="N36" s="17"/>
    </row>
    <row r="37" spans="2:14" ht="15" customHeight="1" x14ac:dyDescent="0.25">
      <c r="B37" s="19"/>
      <c r="C37" s="5" t="s">
        <v>226</v>
      </c>
      <c r="D37" s="6" t="s">
        <v>78</v>
      </c>
      <c r="E37" s="11">
        <v>6.0289999999999996E-3</v>
      </c>
      <c r="F37" s="1"/>
      <c r="G37" s="1"/>
      <c r="H37" s="1"/>
      <c r="I37" s="1"/>
      <c r="J37" s="1"/>
      <c r="K37" s="1"/>
      <c r="L37" s="1"/>
      <c r="M37" s="1"/>
      <c r="N37" s="17"/>
    </row>
    <row r="38" spans="2:14" ht="15.75" customHeight="1" x14ac:dyDescent="0.25">
      <c r="B38" s="19"/>
      <c r="C38" s="7" t="s">
        <v>79</v>
      </c>
      <c r="D38" s="8"/>
      <c r="E38" s="12">
        <v>6.0289999999999996E-3</v>
      </c>
      <c r="F38" s="1"/>
      <c r="G38" s="1"/>
      <c r="H38" s="1"/>
      <c r="I38" s="1"/>
      <c r="J38" s="1"/>
      <c r="K38" s="1"/>
      <c r="L38" s="1"/>
      <c r="M38" s="1"/>
      <c r="N38" s="17"/>
    </row>
    <row r="39" spans="2:14" ht="15" customHeight="1" x14ac:dyDescent="0.25">
      <c r="B39" s="19"/>
      <c r="C39" s="5" t="s">
        <v>80</v>
      </c>
      <c r="D39" s="6" t="s">
        <v>48</v>
      </c>
      <c r="E39" s="11">
        <v>1.1068E-2</v>
      </c>
      <c r="F39" s="1"/>
      <c r="G39" s="1"/>
      <c r="H39" s="1"/>
      <c r="I39" s="1"/>
      <c r="J39" s="1"/>
      <c r="K39" s="1"/>
      <c r="L39" s="1"/>
      <c r="M39" s="1"/>
      <c r="N39" s="17"/>
    </row>
    <row r="40" spans="2:14" ht="15.75" customHeight="1" x14ac:dyDescent="0.25">
      <c r="B40" s="19"/>
      <c r="C40" s="7" t="s">
        <v>81</v>
      </c>
      <c r="D40" s="8"/>
      <c r="E40" s="12">
        <v>1.1068E-2</v>
      </c>
      <c r="F40" s="1"/>
      <c r="G40" s="1"/>
      <c r="H40" s="1"/>
      <c r="I40" s="1"/>
      <c r="J40" s="1"/>
      <c r="K40" s="1"/>
      <c r="L40" s="1"/>
      <c r="M40" s="1"/>
      <c r="N40" s="17"/>
    </row>
    <row r="41" spans="2:14" ht="15" customHeight="1" x14ac:dyDescent="0.25">
      <c r="B41" s="19"/>
      <c r="C41" s="5" t="s">
        <v>8</v>
      </c>
      <c r="D41" s="6"/>
      <c r="E41" s="11">
        <v>2.5801000000000001E-2</v>
      </c>
      <c r="F41" s="1"/>
      <c r="G41" s="1"/>
      <c r="H41" s="1"/>
      <c r="I41" s="1"/>
      <c r="J41" s="1"/>
      <c r="K41" s="1"/>
      <c r="L41" s="1"/>
      <c r="M41" s="1"/>
      <c r="N41" s="17"/>
    </row>
    <row r="42" spans="2:14" ht="15.75" customHeight="1" x14ac:dyDescent="0.25">
      <c r="B42" s="19"/>
      <c r="C42" s="7" t="s">
        <v>9</v>
      </c>
      <c r="D42" s="8"/>
      <c r="E42" s="12">
        <v>2.5801000000000001E-2</v>
      </c>
      <c r="F42" s="1"/>
      <c r="G42" s="1"/>
      <c r="H42" s="1"/>
      <c r="I42" s="1"/>
      <c r="J42" s="1"/>
      <c r="K42" s="1"/>
      <c r="L42" s="1"/>
      <c r="M42" s="1"/>
      <c r="N42" s="17"/>
    </row>
    <row r="43" spans="2:14" ht="15" customHeight="1" x14ac:dyDescent="0.25">
      <c r="B43" s="19"/>
      <c r="C43" s="5"/>
      <c r="D43" s="6"/>
      <c r="E43" s="11"/>
      <c r="F43" s="1"/>
      <c r="G43" s="1"/>
      <c r="H43" s="1"/>
      <c r="I43" s="1"/>
      <c r="J43" s="1"/>
      <c r="K43" s="1"/>
      <c r="L43" s="1"/>
      <c r="M43" s="1"/>
      <c r="N43" s="17"/>
    </row>
    <row r="44" spans="2:14" ht="15.75" customHeight="1" x14ac:dyDescent="0.25">
      <c r="B44" s="19"/>
      <c r="C44" s="7" t="s">
        <v>10</v>
      </c>
      <c r="D44" s="8"/>
      <c r="E44" s="12">
        <v>3.0839999999999999E-2</v>
      </c>
      <c r="F44" s="1"/>
      <c r="G44" s="1"/>
      <c r="H44" s="1"/>
      <c r="I44" s="1"/>
      <c r="J44" s="1"/>
      <c r="K44" s="1"/>
      <c r="L44" s="1"/>
      <c r="M44" s="1"/>
      <c r="N44" s="17"/>
    </row>
    <row r="45" spans="2:14" ht="15" customHeight="1" x14ac:dyDescent="0.25">
      <c r="B45" s="19"/>
      <c r="C45" s="5"/>
      <c r="D45" s="6"/>
      <c r="E45" s="11"/>
      <c r="F45" s="1"/>
      <c r="G45" s="1"/>
      <c r="H45" s="1"/>
      <c r="I45" s="1"/>
      <c r="J45" s="1"/>
      <c r="K45" s="1"/>
      <c r="L45" s="1"/>
      <c r="M45" s="1"/>
      <c r="N45" s="17"/>
    </row>
    <row r="46" spans="2:14" ht="15" customHeight="1" x14ac:dyDescent="0.25">
      <c r="B46" s="19"/>
      <c r="C46" s="9" t="s">
        <v>11</v>
      </c>
      <c r="D46" s="10"/>
      <c r="E46" s="13">
        <v>1</v>
      </c>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t="s">
        <v>220</v>
      </c>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x14ac:dyDescent="0.25">
      <c r="B53" s="19"/>
      <c r="C53" s="1"/>
      <c r="D53" s="1"/>
      <c r="E53" s="1"/>
      <c r="F53" s="1"/>
      <c r="G53" s="1"/>
      <c r="H53" s="1"/>
      <c r="I53" s="1"/>
      <c r="J53" s="1"/>
      <c r="K53" s="1"/>
      <c r="L53" s="1"/>
      <c r="M53" s="1"/>
      <c r="N53" s="17"/>
    </row>
    <row r="54" spans="2:14" ht="15" customHeight="1" thickBot="1" x14ac:dyDescent="0.3">
      <c r="B54" s="20"/>
      <c r="C54" s="21"/>
      <c r="D54" s="21"/>
      <c r="E54" s="21"/>
      <c r="F54" s="21"/>
      <c r="G54" s="21"/>
      <c r="H54" s="21"/>
      <c r="I54" s="21"/>
      <c r="J54" s="21"/>
      <c r="K54" s="21"/>
      <c r="L54" s="21"/>
      <c r="M54" s="21"/>
      <c r="N54" s="22"/>
    </row>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mergeCells count="3">
    <mergeCell ref="C3:N3"/>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7"/>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18</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19</v>
      </c>
      <c r="D8" s="6" t="s">
        <v>20</v>
      </c>
      <c r="E8" s="11">
        <v>2.0378E-2</v>
      </c>
      <c r="F8" s="1"/>
      <c r="G8" s="23" t="s">
        <v>15</v>
      </c>
      <c r="H8" s="24">
        <v>1</v>
      </c>
      <c r="I8" s="1"/>
      <c r="J8" s="23" t="s">
        <v>12</v>
      </c>
      <c r="K8" s="23" t="s">
        <v>3</v>
      </c>
      <c r="L8" s="1"/>
      <c r="M8" s="1"/>
      <c r="N8" s="17"/>
    </row>
    <row r="9" spans="2:14" ht="15" customHeight="1" x14ac:dyDescent="0.25">
      <c r="B9" s="19"/>
      <c r="C9" s="5" t="s">
        <v>21</v>
      </c>
      <c r="D9" s="6" t="s">
        <v>20</v>
      </c>
      <c r="E9" s="11">
        <v>7.6600000000000001E-3</v>
      </c>
      <c r="F9" s="1"/>
      <c r="G9" s="1"/>
      <c r="H9" s="1"/>
      <c r="I9" s="1"/>
      <c r="J9" s="23" t="s">
        <v>13</v>
      </c>
      <c r="K9" s="25">
        <v>3.8499999999999998E-4</v>
      </c>
      <c r="L9" s="1"/>
      <c r="M9" s="1"/>
      <c r="N9" s="17"/>
    </row>
    <row r="10" spans="2:14" ht="15" customHeight="1" x14ac:dyDescent="0.25">
      <c r="B10" s="19"/>
      <c r="C10" s="5" t="s">
        <v>22</v>
      </c>
      <c r="D10" s="6" t="s">
        <v>20</v>
      </c>
      <c r="E10" s="11">
        <v>1.403E-3</v>
      </c>
      <c r="F10" s="1"/>
      <c r="G10" s="1"/>
      <c r="H10" s="1"/>
      <c r="I10" s="1"/>
      <c r="J10" s="23" t="s">
        <v>60</v>
      </c>
      <c r="K10" s="25">
        <v>2.9440999999999998E-2</v>
      </c>
      <c r="L10" s="1"/>
      <c r="M10" s="1"/>
      <c r="N10" s="17"/>
    </row>
    <row r="11" spans="2:14" ht="15.75" customHeight="1" x14ac:dyDescent="0.25">
      <c r="B11" s="19"/>
      <c r="C11" s="7" t="s">
        <v>23</v>
      </c>
      <c r="D11" s="8"/>
      <c r="E11" s="12">
        <v>2.9440999999999998E-2</v>
      </c>
      <c r="F11" s="1"/>
      <c r="G11" s="1"/>
      <c r="H11" s="1"/>
      <c r="I11" s="1"/>
      <c r="J11" s="23" t="s">
        <v>61</v>
      </c>
      <c r="K11" s="25">
        <v>0.81149300000000002</v>
      </c>
      <c r="L11" s="1"/>
      <c r="M11" s="1"/>
      <c r="N11" s="17"/>
    </row>
    <row r="12" spans="2:14" ht="15" customHeight="1" x14ac:dyDescent="0.25">
      <c r="B12" s="19"/>
      <c r="C12" s="5" t="s">
        <v>21</v>
      </c>
      <c r="D12" s="6" t="s">
        <v>20</v>
      </c>
      <c r="E12" s="11">
        <v>5.6090000000000003E-3</v>
      </c>
      <c r="F12" s="1"/>
      <c r="G12" s="1"/>
      <c r="H12" s="1"/>
      <c r="I12" s="1"/>
      <c r="J12" s="23" t="s">
        <v>62</v>
      </c>
      <c r="K12" s="25">
        <v>8.4060000000000003E-3</v>
      </c>
      <c r="L12" s="1"/>
      <c r="M12" s="1"/>
      <c r="N12" s="17"/>
    </row>
    <row r="13" spans="2:14" ht="15" customHeight="1" x14ac:dyDescent="0.25">
      <c r="B13" s="19"/>
      <c r="C13" s="5" t="s">
        <v>24</v>
      </c>
      <c r="D13" s="6" t="s">
        <v>20</v>
      </c>
      <c r="E13" s="11">
        <v>2.797E-3</v>
      </c>
      <c r="F13" s="1"/>
      <c r="G13" s="1"/>
      <c r="H13" s="1"/>
      <c r="I13" s="1"/>
      <c r="J13" s="23" t="s">
        <v>63</v>
      </c>
      <c r="K13" s="25">
        <v>0.11219999999999999</v>
      </c>
      <c r="L13" s="1"/>
      <c r="M13" s="1"/>
      <c r="N13" s="17"/>
    </row>
    <row r="14" spans="2:14" ht="15.75" customHeight="1" x14ac:dyDescent="0.25">
      <c r="B14" s="19"/>
      <c r="C14" s="7" t="s">
        <v>25</v>
      </c>
      <c r="D14" s="8"/>
      <c r="E14" s="12">
        <v>8.4060000000000003E-3</v>
      </c>
      <c r="F14" s="1"/>
      <c r="G14" s="1"/>
      <c r="H14" s="1"/>
      <c r="I14" s="1"/>
      <c r="J14" s="23" t="s">
        <v>64</v>
      </c>
      <c r="K14" s="25">
        <v>7.1739999999999998E-3</v>
      </c>
      <c r="L14" s="1"/>
      <c r="M14" s="1"/>
      <c r="N14" s="17"/>
    </row>
    <row r="15" spans="2:14" ht="15" customHeight="1" x14ac:dyDescent="0.25">
      <c r="B15" s="19"/>
      <c r="C15" s="5" t="s">
        <v>24</v>
      </c>
      <c r="D15" s="6" t="s">
        <v>26</v>
      </c>
      <c r="E15" s="11">
        <v>9.4581999999999999E-2</v>
      </c>
      <c r="F15" s="1"/>
      <c r="G15" s="1"/>
      <c r="H15" s="1"/>
      <c r="I15" s="1"/>
      <c r="J15" s="23" t="s">
        <v>65</v>
      </c>
      <c r="K15" s="25">
        <v>1.6100000000000001E-4</v>
      </c>
      <c r="L15" s="1"/>
      <c r="M15" s="1"/>
      <c r="N15" s="17"/>
    </row>
    <row r="16" spans="2:14" ht="15" customHeight="1" x14ac:dyDescent="0.25">
      <c r="B16" s="19"/>
      <c r="C16" s="5" t="s">
        <v>27</v>
      </c>
      <c r="D16" s="6" t="s">
        <v>26</v>
      </c>
      <c r="E16" s="11">
        <v>7.8951999999999994E-2</v>
      </c>
      <c r="F16" s="1"/>
      <c r="G16" s="1"/>
      <c r="H16" s="1"/>
      <c r="I16" s="1"/>
      <c r="J16" s="23" t="s">
        <v>10</v>
      </c>
      <c r="K16" s="25">
        <v>3.074E-2</v>
      </c>
      <c r="L16" s="1"/>
      <c r="M16" s="1"/>
      <c r="N16" s="17"/>
    </row>
    <row r="17" spans="2:14" ht="15" customHeight="1" x14ac:dyDescent="0.25">
      <c r="B17" s="19"/>
      <c r="C17" s="5" t="s">
        <v>28</v>
      </c>
      <c r="D17" s="6" t="s">
        <v>26</v>
      </c>
      <c r="E17" s="11">
        <v>6.1173999999999999E-2</v>
      </c>
      <c r="F17" s="1"/>
      <c r="G17" s="1"/>
      <c r="H17" s="1"/>
      <c r="I17" s="1"/>
      <c r="J17" s="1"/>
      <c r="K17" s="1"/>
      <c r="L17" s="1"/>
      <c r="M17" s="1"/>
      <c r="N17" s="17"/>
    </row>
    <row r="18" spans="2:14" ht="15" customHeight="1" x14ac:dyDescent="0.25">
      <c r="B18" s="19"/>
      <c r="C18" s="5" t="s">
        <v>29</v>
      </c>
      <c r="D18" s="6" t="s">
        <v>26</v>
      </c>
      <c r="E18" s="11">
        <v>5.9646999999999999E-2</v>
      </c>
      <c r="F18" s="1"/>
      <c r="G18" s="1"/>
      <c r="H18" s="1"/>
      <c r="I18" s="1"/>
      <c r="J18" s="1"/>
      <c r="K18" s="1"/>
      <c r="L18" s="1"/>
      <c r="M18" s="1"/>
      <c r="N18" s="17"/>
    </row>
    <row r="19" spans="2:14" ht="15" customHeight="1" x14ac:dyDescent="0.25">
      <c r="B19" s="19"/>
      <c r="C19" s="5" t="s">
        <v>30</v>
      </c>
      <c r="D19" s="6" t="s">
        <v>26</v>
      </c>
      <c r="E19" s="11">
        <v>5.9376999999999999E-2</v>
      </c>
      <c r="F19" s="1"/>
      <c r="G19" s="1"/>
      <c r="H19" s="1"/>
      <c r="I19" s="1"/>
      <c r="J19" s="1"/>
      <c r="K19" s="1"/>
      <c r="L19" s="1"/>
      <c r="M19" s="1"/>
      <c r="N19" s="17"/>
    </row>
    <row r="20" spans="2:14" ht="15" customHeight="1" x14ac:dyDescent="0.25">
      <c r="B20" s="19"/>
      <c r="C20" s="5" t="s">
        <v>19</v>
      </c>
      <c r="D20" s="6" t="s">
        <v>26</v>
      </c>
      <c r="E20" s="11">
        <v>5.7145000000000001E-2</v>
      </c>
      <c r="F20" s="1"/>
      <c r="G20" s="1"/>
      <c r="H20" s="1"/>
      <c r="I20" s="1"/>
      <c r="J20" s="1"/>
      <c r="K20" s="1"/>
      <c r="L20" s="1"/>
      <c r="M20" s="1"/>
      <c r="N20" s="17"/>
    </row>
    <row r="21" spans="2:14" ht="15" customHeight="1" x14ac:dyDescent="0.25">
      <c r="B21" s="19"/>
      <c r="C21" s="5" t="s">
        <v>31</v>
      </c>
      <c r="D21" s="6" t="s">
        <v>26</v>
      </c>
      <c r="E21" s="11">
        <v>5.5029000000000002E-2</v>
      </c>
      <c r="F21" s="1"/>
      <c r="G21" s="1"/>
      <c r="H21" s="1"/>
      <c r="I21" s="1"/>
      <c r="J21" s="1"/>
      <c r="K21" s="1"/>
      <c r="L21" s="1"/>
      <c r="M21" s="1"/>
      <c r="N21" s="17"/>
    </row>
    <row r="22" spans="2:14" ht="15" customHeight="1" x14ac:dyDescent="0.25">
      <c r="B22" s="19"/>
      <c r="C22" s="5" t="s">
        <v>32</v>
      </c>
      <c r="D22" s="6" t="s">
        <v>26</v>
      </c>
      <c r="E22" s="11">
        <v>5.3943999999999999E-2</v>
      </c>
      <c r="F22" s="1"/>
      <c r="G22" s="1"/>
      <c r="H22" s="1"/>
      <c r="I22" s="1"/>
      <c r="J22" s="1"/>
      <c r="K22" s="1"/>
      <c r="L22" s="1"/>
      <c r="M22" s="1"/>
      <c r="N22" s="17"/>
    </row>
    <row r="23" spans="2:14" ht="15" customHeight="1" x14ac:dyDescent="0.25">
      <c r="B23" s="19"/>
      <c r="C23" s="5" t="s">
        <v>33</v>
      </c>
      <c r="D23" s="6" t="s">
        <v>26</v>
      </c>
      <c r="E23" s="11">
        <v>5.1548999999999998E-2</v>
      </c>
      <c r="F23" s="1"/>
      <c r="G23" s="1"/>
      <c r="H23" s="1"/>
      <c r="I23" s="1"/>
      <c r="J23" s="1"/>
      <c r="K23" s="1"/>
      <c r="L23" s="1"/>
      <c r="M23" s="1"/>
      <c r="N23" s="17"/>
    </row>
    <row r="24" spans="2:14" ht="15" customHeight="1" x14ac:dyDescent="0.25">
      <c r="B24" s="19"/>
      <c r="C24" s="5" t="s">
        <v>34</v>
      </c>
      <c r="D24" s="6" t="s">
        <v>26</v>
      </c>
      <c r="E24" s="11">
        <v>4.6713999999999999E-2</v>
      </c>
      <c r="F24" s="1"/>
      <c r="G24" s="1"/>
      <c r="H24" s="1"/>
      <c r="I24" s="1"/>
      <c r="J24" s="1"/>
      <c r="K24" s="1"/>
      <c r="L24" s="1"/>
      <c r="M24" s="1"/>
      <c r="N24" s="17"/>
    </row>
    <row r="25" spans="2:14" ht="15" customHeight="1" x14ac:dyDescent="0.25">
      <c r="B25" s="19"/>
      <c r="C25" s="5" t="s">
        <v>35</v>
      </c>
      <c r="D25" s="6" t="s">
        <v>26</v>
      </c>
      <c r="E25" s="11">
        <v>3.7454000000000001E-2</v>
      </c>
      <c r="F25" s="1"/>
      <c r="G25" s="1"/>
      <c r="H25" s="1"/>
      <c r="I25" s="1"/>
      <c r="J25" s="1"/>
      <c r="K25" s="1"/>
      <c r="L25" s="1"/>
      <c r="M25" s="1"/>
      <c r="N25" s="17"/>
    </row>
    <row r="26" spans="2:14" ht="15" customHeight="1" x14ac:dyDescent="0.25">
      <c r="B26" s="19"/>
      <c r="C26" s="5" t="s">
        <v>21</v>
      </c>
      <c r="D26" s="6" t="s">
        <v>26</v>
      </c>
      <c r="E26" s="11">
        <v>2.8607E-2</v>
      </c>
      <c r="F26" s="1"/>
      <c r="G26" s="29" t="s">
        <v>17</v>
      </c>
      <c r="H26" s="30"/>
      <c r="I26" s="30"/>
      <c r="J26" s="30"/>
      <c r="K26" s="30"/>
      <c r="L26" s="30"/>
      <c r="M26" s="30"/>
      <c r="N26" s="31"/>
    </row>
    <row r="27" spans="2:14" ht="15" customHeight="1" x14ac:dyDescent="0.25">
      <c r="B27" s="19"/>
      <c r="C27" s="5" t="s">
        <v>36</v>
      </c>
      <c r="D27" s="6" t="s">
        <v>26</v>
      </c>
      <c r="E27" s="11">
        <v>2.6948E-2</v>
      </c>
      <c r="F27" s="1"/>
      <c r="G27" s="1"/>
      <c r="H27" s="1"/>
      <c r="I27" s="1"/>
      <c r="J27" s="1"/>
      <c r="K27" s="1"/>
      <c r="L27" s="1"/>
      <c r="M27" s="1"/>
      <c r="N27" s="17"/>
    </row>
    <row r="28" spans="2:14" ht="15" customHeight="1" x14ac:dyDescent="0.25">
      <c r="B28" s="19"/>
      <c r="C28" s="5" t="s">
        <v>37</v>
      </c>
      <c r="D28" s="6" t="s">
        <v>26</v>
      </c>
      <c r="E28" s="11">
        <v>2.3934E-2</v>
      </c>
      <c r="F28" s="1"/>
      <c r="G28" s="1"/>
      <c r="H28" s="1"/>
      <c r="I28" s="1"/>
      <c r="J28" s="1"/>
      <c r="K28" s="1"/>
      <c r="L28" s="1"/>
      <c r="M28" s="1"/>
      <c r="N28" s="17"/>
    </row>
    <row r="29" spans="2:14" ht="15" customHeight="1" x14ac:dyDescent="0.25">
      <c r="B29" s="19"/>
      <c r="C29" s="5" t="s">
        <v>38</v>
      </c>
      <c r="D29" s="6" t="s">
        <v>26</v>
      </c>
      <c r="E29" s="11">
        <v>2.2506999999999999E-2</v>
      </c>
      <c r="F29" s="1"/>
      <c r="G29" s="1"/>
      <c r="H29" s="1"/>
      <c r="I29" s="1"/>
      <c r="J29" s="1"/>
      <c r="K29" s="1"/>
      <c r="L29" s="1"/>
      <c r="M29" s="1"/>
      <c r="N29" s="17"/>
    </row>
    <row r="30" spans="2:14" ht="15" customHeight="1" x14ac:dyDescent="0.25">
      <c r="B30" s="19"/>
      <c r="C30" s="5" t="s">
        <v>39</v>
      </c>
      <c r="D30" s="6" t="s">
        <v>26</v>
      </c>
      <c r="E30" s="11">
        <v>1.7641E-2</v>
      </c>
      <c r="F30" s="1"/>
      <c r="G30" s="1"/>
      <c r="H30" s="1"/>
      <c r="I30" s="1"/>
      <c r="J30" s="1"/>
      <c r="K30" s="1"/>
      <c r="L30" s="1"/>
      <c r="M30" s="1"/>
      <c r="N30" s="17"/>
    </row>
    <row r="31" spans="2:14" ht="15" customHeight="1" x14ac:dyDescent="0.25">
      <c r="B31" s="19"/>
      <c r="C31" s="5" t="s">
        <v>40</v>
      </c>
      <c r="D31" s="6" t="s">
        <v>26</v>
      </c>
      <c r="E31" s="11">
        <v>1.4037000000000001E-2</v>
      </c>
      <c r="F31" s="1"/>
      <c r="G31" s="1"/>
      <c r="H31" s="1"/>
      <c r="I31" s="1"/>
      <c r="J31" s="1"/>
      <c r="K31" s="1"/>
      <c r="L31" s="1"/>
      <c r="M31" s="1"/>
      <c r="N31" s="17"/>
    </row>
    <row r="32" spans="2:14" ht="15" customHeight="1" x14ac:dyDescent="0.25">
      <c r="B32" s="19"/>
      <c r="C32" s="5" t="s">
        <v>41</v>
      </c>
      <c r="D32" s="6" t="s">
        <v>26</v>
      </c>
      <c r="E32" s="11">
        <v>9.8370000000000003E-3</v>
      </c>
      <c r="F32" s="1"/>
      <c r="G32" s="1"/>
      <c r="H32" s="1"/>
      <c r="I32" s="1"/>
      <c r="J32" s="1"/>
      <c r="K32" s="1"/>
      <c r="L32" s="1"/>
      <c r="M32" s="1"/>
      <c r="N32" s="17"/>
    </row>
    <row r="33" spans="2:14" ht="15" customHeight="1" x14ac:dyDescent="0.25">
      <c r="B33" s="19"/>
      <c r="C33" s="5" t="s">
        <v>42</v>
      </c>
      <c r="D33" s="6" t="s">
        <v>26</v>
      </c>
      <c r="E33" s="11">
        <v>8.8229999999999992E-3</v>
      </c>
      <c r="F33" s="1"/>
      <c r="G33" s="1"/>
      <c r="H33" s="1"/>
      <c r="I33" s="1"/>
      <c r="J33" s="1"/>
      <c r="K33" s="1"/>
      <c r="L33" s="1"/>
      <c r="M33" s="1"/>
      <c r="N33" s="17"/>
    </row>
    <row r="34" spans="2:14" ht="15" customHeight="1" x14ac:dyDescent="0.25">
      <c r="B34" s="19"/>
      <c r="C34" s="5" t="s">
        <v>43</v>
      </c>
      <c r="D34" s="6" t="s">
        <v>26</v>
      </c>
      <c r="E34" s="11">
        <v>2.905E-3</v>
      </c>
      <c r="F34" s="1"/>
      <c r="G34" s="1"/>
      <c r="H34" s="1"/>
      <c r="I34" s="1"/>
      <c r="J34" s="1"/>
      <c r="K34" s="1"/>
      <c r="L34" s="1"/>
      <c r="M34" s="1"/>
      <c r="N34" s="17"/>
    </row>
    <row r="35" spans="2:14" ht="15" customHeight="1" x14ac:dyDescent="0.25">
      <c r="B35" s="19"/>
      <c r="C35" s="5" t="s">
        <v>44</v>
      </c>
      <c r="D35" s="6" t="s">
        <v>26</v>
      </c>
      <c r="E35" s="11">
        <v>5.6899999999999995E-4</v>
      </c>
      <c r="F35" s="1"/>
      <c r="G35" s="1"/>
      <c r="H35" s="1"/>
      <c r="I35" s="1"/>
      <c r="J35" s="1"/>
      <c r="K35" s="1"/>
      <c r="L35" s="1"/>
      <c r="M35" s="1"/>
      <c r="N35" s="17"/>
    </row>
    <row r="36" spans="2:14" ht="15" customHeight="1" x14ac:dyDescent="0.25">
      <c r="B36" s="19"/>
      <c r="C36" s="5" t="s">
        <v>45</v>
      </c>
      <c r="D36" s="6" t="s">
        <v>26</v>
      </c>
      <c r="E36" s="11">
        <v>1.18E-4</v>
      </c>
      <c r="F36" s="1"/>
      <c r="G36" s="1"/>
      <c r="H36" s="1"/>
      <c r="I36" s="1"/>
      <c r="J36" s="1"/>
      <c r="K36" s="1"/>
      <c r="L36" s="1"/>
      <c r="M36" s="1"/>
      <c r="N36" s="17"/>
    </row>
    <row r="37" spans="2:14" ht="15.75" customHeight="1" x14ac:dyDescent="0.25">
      <c r="B37" s="19"/>
      <c r="C37" s="7" t="s">
        <v>46</v>
      </c>
      <c r="D37" s="8"/>
      <c r="E37" s="12">
        <v>0.81149300000000002</v>
      </c>
      <c r="F37" s="1"/>
      <c r="G37" s="1"/>
      <c r="H37" s="1"/>
      <c r="I37" s="1"/>
      <c r="J37" s="1"/>
      <c r="K37" s="1"/>
      <c r="L37" s="1"/>
      <c r="M37" s="1"/>
      <c r="N37" s="17"/>
    </row>
    <row r="38" spans="2:14" ht="15" customHeight="1" x14ac:dyDescent="0.25">
      <c r="B38" s="19"/>
      <c r="C38" s="5" t="s">
        <v>47</v>
      </c>
      <c r="D38" s="6" t="s">
        <v>48</v>
      </c>
      <c r="E38" s="11">
        <v>3.0588000000000001E-2</v>
      </c>
      <c r="F38" s="1"/>
      <c r="G38" s="1"/>
      <c r="H38" s="1"/>
      <c r="I38" s="1"/>
      <c r="J38" s="1"/>
      <c r="K38" s="1"/>
      <c r="L38" s="1"/>
      <c r="M38" s="1"/>
      <c r="N38" s="17"/>
    </row>
    <row r="39" spans="2:14" ht="15" customHeight="1" x14ac:dyDescent="0.25">
      <c r="B39" s="19"/>
      <c r="C39" s="5" t="s">
        <v>49</v>
      </c>
      <c r="D39" s="6" t="s">
        <v>48</v>
      </c>
      <c r="E39" s="11">
        <v>2.8604999999999998E-2</v>
      </c>
      <c r="F39" s="1"/>
      <c r="G39" s="1"/>
      <c r="H39" s="1"/>
      <c r="I39" s="1"/>
      <c r="J39" s="1"/>
      <c r="K39" s="1"/>
      <c r="L39" s="1"/>
      <c r="M39" s="1"/>
      <c r="N39" s="17"/>
    </row>
    <row r="40" spans="2:14" ht="15" customHeight="1" x14ac:dyDescent="0.25">
      <c r="B40" s="19"/>
      <c r="C40" s="5" t="s">
        <v>50</v>
      </c>
      <c r="D40" s="6" t="s">
        <v>48</v>
      </c>
      <c r="E40" s="11">
        <v>2.4001000000000001E-2</v>
      </c>
      <c r="F40" s="1"/>
      <c r="G40" s="1"/>
      <c r="H40" s="1"/>
      <c r="I40" s="1"/>
      <c r="J40" s="1"/>
      <c r="K40" s="1"/>
      <c r="L40" s="1"/>
      <c r="M40" s="1"/>
      <c r="N40" s="17"/>
    </row>
    <row r="41" spans="2:14" ht="15" customHeight="1" x14ac:dyDescent="0.25">
      <c r="B41" s="19"/>
      <c r="C41" s="5" t="s">
        <v>51</v>
      </c>
      <c r="D41" s="6" t="s">
        <v>48</v>
      </c>
      <c r="E41" s="11">
        <v>1.2066E-2</v>
      </c>
      <c r="F41" s="1"/>
      <c r="G41" s="1"/>
      <c r="H41" s="1"/>
      <c r="I41" s="1"/>
      <c r="J41" s="1"/>
      <c r="K41" s="1"/>
      <c r="L41" s="1"/>
      <c r="M41" s="1"/>
      <c r="N41" s="17"/>
    </row>
    <row r="42" spans="2:14" ht="15" customHeight="1" x14ac:dyDescent="0.25">
      <c r="B42" s="19"/>
      <c r="C42" s="5" t="s">
        <v>52</v>
      </c>
      <c r="D42" s="6" t="s">
        <v>48</v>
      </c>
      <c r="E42" s="11">
        <v>8.6390000000000008E-3</v>
      </c>
      <c r="F42" s="1"/>
      <c r="G42" s="1"/>
      <c r="H42" s="1"/>
      <c r="I42" s="1"/>
      <c r="J42" s="1"/>
      <c r="K42" s="1"/>
      <c r="L42" s="1"/>
      <c r="M42" s="1"/>
      <c r="N42" s="17"/>
    </row>
    <row r="43" spans="2:14" ht="15" customHeight="1" x14ac:dyDescent="0.25">
      <c r="B43" s="19"/>
      <c r="C43" s="5" t="s">
        <v>53</v>
      </c>
      <c r="D43" s="6" t="s">
        <v>48</v>
      </c>
      <c r="E43" s="11">
        <v>3.4880000000000002E-3</v>
      </c>
      <c r="F43" s="1"/>
      <c r="G43" s="1"/>
      <c r="H43" s="1"/>
      <c r="I43" s="1"/>
      <c r="J43" s="1"/>
      <c r="K43" s="1"/>
      <c r="L43" s="1"/>
      <c r="M43" s="1"/>
      <c r="N43" s="17"/>
    </row>
    <row r="44" spans="2:14" ht="15" customHeight="1" x14ac:dyDescent="0.25">
      <c r="B44" s="19"/>
      <c r="C44" s="5" t="s">
        <v>54</v>
      </c>
      <c r="D44" s="6" t="s">
        <v>48</v>
      </c>
      <c r="E44" s="11">
        <v>2.977E-3</v>
      </c>
      <c r="F44" s="1"/>
      <c r="G44" s="1"/>
      <c r="H44" s="1"/>
      <c r="I44" s="1"/>
      <c r="J44" s="1"/>
      <c r="K44" s="1"/>
      <c r="L44" s="1"/>
      <c r="M44" s="1"/>
      <c r="N44" s="17"/>
    </row>
    <row r="45" spans="2:14" ht="15" customHeight="1" x14ac:dyDescent="0.25">
      <c r="B45" s="19"/>
      <c r="C45" s="5" t="s">
        <v>55</v>
      </c>
      <c r="D45" s="6" t="s">
        <v>48</v>
      </c>
      <c r="E45" s="11">
        <v>1.214E-3</v>
      </c>
      <c r="F45" s="1"/>
      <c r="G45" s="1"/>
      <c r="H45" s="1"/>
      <c r="I45" s="1"/>
      <c r="J45" s="1"/>
      <c r="K45" s="1"/>
      <c r="L45" s="1"/>
      <c r="M45" s="1"/>
      <c r="N45" s="17"/>
    </row>
    <row r="46" spans="2:14" ht="15" customHeight="1" x14ac:dyDescent="0.25">
      <c r="B46" s="19"/>
      <c r="C46" s="5" t="s">
        <v>56</v>
      </c>
      <c r="D46" s="6" t="s">
        <v>48</v>
      </c>
      <c r="E46" s="11">
        <v>6.2200000000000005E-4</v>
      </c>
      <c r="F46" s="1"/>
      <c r="G46" s="1"/>
      <c r="H46" s="1"/>
      <c r="I46" s="1"/>
      <c r="J46" s="1"/>
      <c r="K46" s="1"/>
      <c r="L46" s="1"/>
      <c r="M46" s="1"/>
      <c r="N46" s="17"/>
    </row>
    <row r="47" spans="2:14" ht="15.75" customHeight="1" x14ac:dyDescent="0.25">
      <c r="B47" s="19"/>
      <c r="C47" s="7" t="s">
        <v>57</v>
      </c>
      <c r="D47" s="8"/>
      <c r="E47" s="12">
        <v>0.11219999999999999</v>
      </c>
      <c r="F47" s="1"/>
      <c r="G47" s="1"/>
      <c r="H47" s="1"/>
      <c r="I47" s="1"/>
      <c r="J47" s="1"/>
      <c r="K47" s="1"/>
      <c r="L47" s="1"/>
      <c r="M47" s="1"/>
      <c r="N47" s="17"/>
    </row>
    <row r="48" spans="2:14" ht="15" customHeight="1" x14ac:dyDescent="0.25">
      <c r="B48" s="19"/>
      <c r="C48" s="5" t="s">
        <v>182</v>
      </c>
      <c r="D48" s="6" t="s">
        <v>48</v>
      </c>
      <c r="E48" s="11">
        <v>3.0829999999999998E-3</v>
      </c>
      <c r="F48" s="1"/>
      <c r="G48" s="1"/>
      <c r="H48" s="1"/>
      <c r="I48" s="1"/>
      <c r="J48" s="1"/>
      <c r="K48" s="1"/>
      <c r="L48" s="1"/>
      <c r="M48" s="1"/>
      <c r="N48" s="17"/>
    </row>
    <row r="49" spans="2:14" ht="15.75" customHeight="1" x14ac:dyDescent="0.25">
      <c r="B49" s="19"/>
      <c r="C49" s="5" t="s">
        <v>183</v>
      </c>
      <c r="D49" s="6" t="s">
        <v>48</v>
      </c>
      <c r="E49" s="11">
        <v>1.4059999999999999E-3</v>
      </c>
      <c r="F49" s="1"/>
      <c r="G49" s="1"/>
      <c r="H49" s="1"/>
      <c r="I49" s="1"/>
      <c r="J49" s="1"/>
      <c r="K49" s="1"/>
      <c r="L49" s="1"/>
      <c r="M49" s="1"/>
      <c r="N49" s="17"/>
    </row>
    <row r="50" spans="2:14" ht="15" customHeight="1" x14ac:dyDescent="0.25">
      <c r="B50" s="19"/>
      <c r="C50" s="5" t="s">
        <v>184</v>
      </c>
      <c r="D50" s="6" t="s">
        <v>48</v>
      </c>
      <c r="E50" s="11">
        <v>8.4999999999999995E-4</v>
      </c>
      <c r="F50" s="1"/>
      <c r="G50" s="1"/>
      <c r="H50" s="1"/>
      <c r="I50" s="1"/>
      <c r="J50" s="1"/>
      <c r="K50" s="1"/>
      <c r="L50" s="1"/>
      <c r="M50" s="1"/>
      <c r="N50" s="17"/>
    </row>
    <row r="51" spans="2:14" ht="15.75" customHeight="1" x14ac:dyDescent="0.25">
      <c r="B51" s="19"/>
      <c r="C51" s="5" t="s">
        <v>185</v>
      </c>
      <c r="D51" s="6" t="s">
        <v>48</v>
      </c>
      <c r="E51" s="11">
        <v>6.02E-4</v>
      </c>
      <c r="F51" s="1"/>
      <c r="G51" s="1"/>
      <c r="H51" s="1"/>
      <c r="I51" s="1"/>
      <c r="J51" s="1"/>
      <c r="K51" s="1"/>
      <c r="L51" s="1"/>
      <c r="M51" s="1"/>
      <c r="N51" s="17"/>
    </row>
    <row r="52" spans="2:14" ht="15" customHeight="1" x14ac:dyDescent="0.25">
      <c r="B52" s="19"/>
      <c r="C52" s="5" t="s">
        <v>186</v>
      </c>
      <c r="D52" s="6" t="s">
        <v>48</v>
      </c>
      <c r="E52" s="11">
        <v>6.02E-4</v>
      </c>
      <c r="F52" s="1"/>
      <c r="G52" s="1"/>
      <c r="H52" s="1"/>
      <c r="I52" s="1"/>
      <c r="J52" s="1"/>
      <c r="K52" s="1"/>
      <c r="L52" s="1"/>
      <c r="M52" s="1"/>
      <c r="N52" s="17"/>
    </row>
    <row r="53" spans="2:14" ht="15.75" customHeight="1" x14ac:dyDescent="0.25">
      <c r="B53" s="19"/>
      <c r="C53" s="5" t="s">
        <v>187</v>
      </c>
      <c r="D53" s="6" t="s">
        <v>48</v>
      </c>
      <c r="E53" s="11">
        <v>2.9799999999999998E-4</v>
      </c>
      <c r="F53" s="1"/>
      <c r="G53" s="1"/>
      <c r="H53" s="1"/>
      <c r="I53" s="1"/>
      <c r="J53" s="1"/>
      <c r="K53" s="1"/>
      <c r="L53" s="1"/>
      <c r="M53" s="1"/>
      <c r="N53" s="17"/>
    </row>
    <row r="54" spans="2:14" ht="15" customHeight="1" x14ac:dyDescent="0.25">
      <c r="B54" s="19"/>
      <c r="C54" s="5" t="s">
        <v>188</v>
      </c>
      <c r="D54" s="6" t="s">
        <v>48</v>
      </c>
      <c r="E54" s="11">
        <v>1.7200000000000001E-4</v>
      </c>
      <c r="F54" s="1"/>
      <c r="G54" s="1"/>
      <c r="H54" s="1"/>
      <c r="I54" s="1"/>
      <c r="J54" s="1"/>
      <c r="K54" s="1"/>
      <c r="L54" s="1"/>
      <c r="M54" s="1"/>
      <c r="N54" s="17"/>
    </row>
    <row r="55" spans="2:14" ht="15.75" customHeight="1" x14ac:dyDescent="0.25">
      <c r="B55" s="19"/>
      <c r="C55" s="5" t="s">
        <v>189</v>
      </c>
      <c r="D55" s="6" t="s">
        <v>48</v>
      </c>
      <c r="E55" s="11">
        <v>1.3200000000000001E-4</v>
      </c>
      <c r="F55" s="1"/>
      <c r="G55" s="1"/>
      <c r="H55" s="1"/>
      <c r="I55" s="1"/>
      <c r="J55" s="1"/>
      <c r="K55" s="1"/>
      <c r="L55" s="1"/>
      <c r="M55" s="1"/>
      <c r="N55" s="17"/>
    </row>
    <row r="56" spans="2:14" ht="15" customHeight="1" x14ac:dyDescent="0.25">
      <c r="B56" s="19"/>
      <c r="C56" s="5" t="s">
        <v>181</v>
      </c>
      <c r="D56" s="6" t="s">
        <v>48</v>
      </c>
      <c r="E56" s="42">
        <v>2.9E-5</v>
      </c>
      <c r="F56" s="1"/>
      <c r="G56" s="1"/>
      <c r="H56" s="1"/>
      <c r="I56" s="1"/>
      <c r="J56" s="1"/>
      <c r="K56" s="1"/>
      <c r="L56" s="1"/>
      <c r="M56" s="1"/>
      <c r="N56" s="17"/>
    </row>
    <row r="57" spans="2:14" ht="15" customHeight="1" x14ac:dyDescent="0.25">
      <c r="B57" s="19"/>
      <c r="C57" s="7" t="s">
        <v>58</v>
      </c>
      <c r="D57" s="8"/>
      <c r="E57" s="12">
        <v>7.1739999999999998E-3</v>
      </c>
      <c r="F57" s="1"/>
      <c r="G57" s="1"/>
      <c r="H57" s="1"/>
      <c r="I57" s="1"/>
      <c r="J57" s="1"/>
      <c r="K57" s="1"/>
      <c r="L57" s="1"/>
      <c r="M57" s="1"/>
      <c r="N57" s="17"/>
    </row>
    <row r="58" spans="2:14" ht="15" customHeight="1" x14ac:dyDescent="0.25">
      <c r="B58" s="19"/>
      <c r="C58" s="5" t="s">
        <v>8</v>
      </c>
      <c r="D58" s="6"/>
      <c r="E58" s="11">
        <v>3.8499999999999998E-4</v>
      </c>
      <c r="F58" s="1"/>
      <c r="G58" s="1"/>
      <c r="H58" s="1"/>
      <c r="I58" s="1"/>
      <c r="J58" s="1"/>
      <c r="K58" s="1"/>
      <c r="L58" s="1"/>
      <c r="M58" s="1"/>
      <c r="N58" s="17"/>
    </row>
    <row r="59" spans="2:14" ht="15" customHeight="1" x14ac:dyDescent="0.25">
      <c r="B59" s="19"/>
      <c r="C59" s="7" t="s">
        <v>9</v>
      </c>
      <c r="D59" s="8"/>
      <c r="E59" s="12">
        <v>3.8499999999999998E-4</v>
      </c>
      <c r="F59" s="1"/>
      <c r="G59" s="1"/>
      <c r="H59" s="1"/>
      <c r="I59" s="1"/>
      <c r="J59" s="1"/>
      <c r="K59" s="1"/>
      <c r="L59" s="1"/>
      <c r="M59" s="1"/>
      <c r="N59" s="17"/>
    </row>
    <row r="60" spans="2:14" ht="15" customHeight="1" x14ac:dyDescent="0.25">
      <c r="B60" s="19"/>
      <c r="C60" s="5" t="s">
        <v>33</v>
      </c>
      <c r="D60" s="6" t="s">
        <v>26</v>
      </c>
      <c r="E60" s="11">
        <v>1.6100000000000001E-4</v>
      </c>
      <c r="F60" s="1"/>
      <c r="G60" s="1"/>
      <c r="H60" s="1"/>
      <c r="I60" s="1"/>
      <c r="J60" s="1"/>
      <c r="K60" s="1"/>
      <c r="L60" s="1"/>
      <c r="M60" s="1"/>
      <c r="N60" s="17"/>
    </row>
    <row r="61" spans="2:14" ht="15" customHeight="1" x14ac:dyDescent="0.25">
      <c r="B61" s="19"/>
      <c r="C61" s="7" t="s">
        <v>59</v>
      </c>
      <c r="D61" s="8"/>
      <c r="E61" s="12">
        <v>1.6100000000000001E-4</v>
      </c>
      <c r="F61" s="1"/>
      <c r="G61" s="1"/>
      <c r="H61" s="1"/>
      <c r="I61" s="1"/>
      <c r="J61" s="1"/>
      <c r="K61" s="1"/>
      <c r="L61" s="1"/>
      <c r="M61" s="1"/>
      <c r="N61" s="17"/>
    </row>
    <row r="62" spans="2:14" ht="15" customHeight="1" x14ac:dyDescent="0.25">
      <c r="B62" s="19"/>
      <c r="C62" s="5"/>
      <c r="D62" s="6"/>
      <c r="E62" s="11"/>
      <c r="F62" s="1"/>
      <c r="G62" s="1"/>
      <c r="H62" s="1"/>
      <c r="I62" s="1"/>
      <c r="J62" s="1"/>
      <c r="K62" s="1"/>
      <c r="L62" s="1"/>
      <c r="M62" s="1"/>
      <c r="N62" s="17"/>
    </row>
    <row r="63" spans="2:14" ht="15" customHeight="1" x14ac:dyDescent="0.25">
      <c r="B63" s="19"/>
      <c r="C63" s="7" t="s">
        <v>10</v>
      </c>
      <c r="D63" s="8"/>
      <c r="E63" s="12">
        <v>3.074E-2</v>
      </c>
      <c r="F63" s="1"/>
      <c r="G63" s="1"/>
      <c r="H63" s="1"/>
      <c r="I63" s="1"/>
      <c r="J63" s="1"/>
      <c r="K63" s="1"/>
      <c r="L63" s="1"/>
      <c r="M63" s="1"/>
      <c r="N63" s="17"/>
    </row>
    <row r="64" spans="2:14" ht="15" customHeight="1" x14ac:dyDescent="0.25">
      <c r="B64" s="19"/>
      <c r="C64" s="5"/>
      <c r="D64" s="6"/>
      <c r="E64" s="11"/>
      <c r="F64" s="1"/>
      <c r="G64" s="1"/>
      <c r="H64" s="1"/>
      <c r="I64" s="1"/>
      <c r="J64" s="1"/>
      <c r="K64" s="1"/>
      <c r="L64" s="1"/>
      <c r="M64" s="1"/>
      <c r="N64" s="17"/>
    </row>
    <row r="65" spans="2:14" ht="15" customHeight="1" x14ac:dyDescent="0.25">
      <c r="B65" s="19"/>
      <c r="C65" s="9" t="s">
        <v>11</v>
      </c>
      <c r="D65" s="10"/>
      <c r="E65" s="13">
        <v>1</v>
      </c>
      <c r="F65" s="1"/>
      <c r="G65" s="1"/>
      <c r="H65" s="1"/>
      <c r="I65" s="1"/>
      <c r="J65" s="1"/>
      <c r="K65" s="1"/>
      <c r="L65" s="1"/>
      <c r="M65" s="1"/>
      <c r="N65" s="17"/>
    </row>
    <row r="66" spans="2:14" ht="15" customHeight="1" x14ac:dyDescent="0.25">
      <c r="B66" s="19"/>
      <c r="F66" s="1"/>
      <c r="G66" s="1"/>
      <c r="H66" s="1"/>
      <c r="I66" s="1"/>
      <c r="J66" s="1"/>
      <c r="K66" s="1"/>
      <c r="L66" s="1"/>
      <c r="M66" s="1"/>
      <c r="N66" s="17"/>
    </row>
    <row r="67" spans="2:14" ht="15" customHeight="1" x14ac:dyDescent="0.25">
      <c r="B67" s="19"/>
      <c r="F67" s="1"/>
      <c r="G67" s="1"/>
      <c r="H67" s="1"/>
      <c r="I67" s="1"/>
      <c r="J67" s="1"/>
      <c r="K67" s="1"/>
      <c r="L67" s="1"/>
      <c r="M67" s="1"/>
      <c r="N67" s="17"/>
    </row>
    <row r="68" spans="2:14" ht="15" customHeight="1" x14ac:dyDescent="0.25">
      <c r="B68" s="19"/>
      <c r="F68" s="1"/>
      <c r="G68" s="1"/>
      <c r="H68" s="1"/>
      <c r="I68" s="1"/>
      <c r="J68" s="1"/>
      <c r="K68" s="1"/>
      <c r="L68" s="1"/>
      <c r="M68" s="1"/>
      <c r="N68" s="17"/>
    </row>
    <row r="69" spans="2:14" ht="15" customHeight="1" x14ac:dyDescent="0.25">
      <c r="B69" s="19"/>
      <c r="F69" s="1"/>
      <c r="G69" s="1"/>
      <c r="H69" s="1"/>
      <c r="I69" s="1"/>
      <c r="J69" s="1"/>
      <c r="K69" s="1"/>
      <c r="L69" s="1"/>
      <c r="M69" s="1"/>
      <c r="N69" s="17"/>
    </row>
    <row r="70" spans="2:14" ht="15" customHeight="1" x14ac:dyDescent="0.25">
      <c r="B70" s="19"/>
      <c r="F70" s="1"/>
      <c r="G70" s="1"/>
      <c r="H70" s="1"/>
      <c r="I70" s="1"/>
      <c r="J70" s="1"/>
      <c r="K70" s="1"/>
      <c r="L70" s="1"/>
      <c r="M70" s="1"/>
      <c r="N70" s="17"/>
    </row>
    <row r="71" spans="2:14" ht="15" customHeight="1" x14ac:dyDescent="0.25">
      <c r="B71" s="19"/>
      <c r="F71" s="1"/>
      <c r="G71" s="1"/>
      <c r="H71" s="1"/>
      <c r="I71" s="1"/>
      <c r="J71" s="1"/>
      <c r="K71" s="1"/>
      <c r="L71" s="1"/>
      <c r="M71" s="1"/>
      <c r="N71" s="17"/>
    </row>
    <row r="72" spans="2:14" ht="15" customHeight="1" x14ac:dyDescent="0.25">
      <c r="B72" s="19"/>
      <c r="F72" s="1"/>
      <c r="G72" s="1"/>
      <c r="H72" s="1"/>
      <c r="I72" s="1"/>
      <c r="J72" s="1"/>
      <c r="K72" s="1"/>
      <c r="L72" s="1"/>
      <c r="M72" s="1"/>
      <c r="N72" s="17"/>
    </row>
    <row r="73" spans="2:14" ht="15" customHeight="1" x14ac:dyDescent="0.25">
      <c r="B73" s="19"/>
      <c r="F73" s="1"/>
      <c r="G73" s="1"/>
      <c r="H73" s="1"/>
      <c r="I73" s="1"/>
      <c r="J73" s="1"/>
      <c r="K73" s="1"/>
      <c r="L73" s="1"/>
      <c r="M73" s="1"/>
      <c r="N73" s="17"/>
    </row>
    <row r="74" spans="2:14" ht="15" customHeight="1" x14ac:dyDescent="0.25">
      <c r="B74" s="19"/>
      <c r="F74" s="1"/>
      <c r="G74" s="1"/>
      <c r="H74" s="1"/>
      <c r="I74" s="1"/>
      <c r="J74" s="1"/>
      <c r="K74" s="1"/>
      <c r="L74" s="1"/>
      <c r="M74" s="1"/>
      <c r="N74" s="17"/>
    </row>
    <row r="75" spans="2:14" ht="15" customHeight="1" thickBot="1" x14ac:dyDescent="0.3">
      <c r="B75" s="20"/>
      <c r="C75" s="21"/>
      <c r="D75" s="21"/>
      <c r="E75" s="21"/>
      <c r="F75" s="21"/>
      <c r="G75" s="21"/>
      <c r="H75" s="21"/>
      <c r="I75" s="21"/>
      <c r="J75" s="21"/>
      <c r="K75" s="21"/>
      <c r="L75" s="21"/>
      <c r="M75" s="21"/>
      <c r="N75" s="22"/>
    </row>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sheetData>
  <mergeCells count="3">
    <mergeCell ref="C3:N3"/>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1"/>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100</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19</v>
      </c>
      <c r="D8" s="6" t="s">
        <v>20</v>
      </c>
      <c r="E8" s="11">
        <v>2.1919999999999999E-3</v>
      </c>
      <c r="F8" s="1"/>
      <c r="G8" s="23" t="s">
        <v>15</v>
      </c>
      <c r="H8" s="24">
        <v>1</v>
      </c>
      <c r="I8" s="1"/>
      <c r="J8" s="23" t="s">
        <v>12</v>
      </c>
      <c r="K8" s="23" t="s">
        <v>3</v>
      </c>
      <c r="L8" s="1"/>
      <c r="M8" s="1"/>
      <c r="N8" s="17"/>
    </row>
    <row r="9" spans="2:14" ht="15.75" customHeight="1" x14ac:dyDescent="0.25">
      <c r="B9" s="19"/>
      <c r="C9" s="7" t="s">
        <v>23</v>
      </c>
      <c r="D9" s="8"/>
      <c r="E9" s="12">
        <v>2.1919999999999999E-3</v>
      </c>
      <c r="F9" s="1"/>
      <c r="G9" s="1"/>
      <c r="H9" s="1"/>
      <c r="I9" s="1"/>
      <c r="J9" s="23" t="s">
        <v>13</v>
      </c>
      <c r="K9" s="25">
        <v>9.0220000000000005E-3</v>
      </c>
      <c r="L9" s="1"/>
      <c r="M9" s="1"/>
      <c r="N9" s="17"/>
    </row>
    <row r="10" spans="2:14" ht="15" customHeight="1" x14ac:dyDescent="0.25">
      <c r="B10" s="19"/>
      <c r="C10" s="5" t="s">
        <v>89</v>
      </c>
      <c r="D10" s="6" t="s">
        <v>20</v>
      </c>
      <c r="E10" s="11">
        <v>3.222E-3</v>
      </c>
      <c r="F10" s="1"/>
      <c r="G10" s="1"/>
      <c r="H10" s="1"/>
      <c r="I10" s="1"/>
      <c r="J10" s="23" t="s">
        <v>60</v>
      </c>
      <c r="K10" s="25">
        <v>2.1919999999999999E-3</v>
      </c>
      <c r="L10" s="1"/>
      <c r="M10" s="1"/>
      <c r="N10" s="17"/>
    </row>
    <row r="11" spans="2:14" ht="15" customHeight="1" x14ac:dyDescent="0.25">
      <c r="B11" s="19"/>
      <c r="C11" s="5" t="s">
        <v>30</v>
      </c>
      <c r="D11" s="6" t="s">
        <v>20</v>
      </c>
      <c r="E11" s="11">
        <v>2.15E-3</v>
      </c>
      <c r="F11" s="1"/>
      <c r="G11" s="1"/>
      <c r="H11" s="1"/>
      <c r="I11" s="1"/>
      <c r="J11" s="23" t="s">
        <v>61</v>
      </c>
      <c r="K11" s="25">
        <v>0.70779700000000001</v>
      </c>
      <c r="L11" s="1"/>
      <c r="M11" s="1"/>
      <c r="N11" s="17"/>
    </row>
    <row r="12" spans="2:14" ht="15.75" customHeight="1" x14ac:dyDescent="0.25">
      <c r="B12" s="19"/>
      <c r="C12" s="7" t="s">
        <v>25</v>
      </c>
      <c r="D12" s="8"/>
      <c r="E12" s="12">
        <v>5.372E-3</v>
      </c>
      <c r="F12" s="1"/>
      <c r="G12" s="1"/>
      <c r="H12" s="1"/>
      <c r="I12" s="1"/>
      <c r="J12" s="23" t="s">
        <v>62</v>
      </c>
      <c r="K12" s="25">
        <v>5.372E-3</v>
      </c>
      <c r="L12" s="1"/>
      <c r="M12" s="1"/>
      <c r="N12" s="17"/>
    </row>
    <row r="13" spans="2:14" ht="15" customHeight="1" x14ac:dyDescent="0.25">
      <c r="B13" s="19"/>
      <c r="C13" s="5" t="s">
        <v>24</v>
      </c>
      <c r="D13" s="6" t="s">
        <v>26</v>
      </c>
      <c r="E13" s="11">
        <v>9.7111000000000003E-2</v>
      </c>
      <c r="F13" s="1"/>
      <c r="G13" s="1"/>
      <c r="H13" s="1"/>
      <c r="I13" s="1"/>
      <c r="J13" s="23" t="s">
        <v>63</v>
      </c>
      <c r="K13" s="25">
        <v>0.184224</v>
      </c>
      <c r="L13" s="1"/>
      <c r="M13" s="1"/>
      <c r="N13" s="17"/>
    </row>
    <row r="14" spans="2:14" ht="15" customHeight="1" x14ac:dyDescent="0.25">
      <c r="B14" s="19"/>
      <c r="C14" s="5" t="s">
        <v>30</v>
      </c>
      <c r="D14" s="6" t="s">
        <v>26</v>
      </c>
      <c r="E14" s="11">
        <v>9.1905000000000001E-2</v>
      </c>
      <c r="F14" s="1"/>
      <c r="G14" s="1"/>
      <c r="H14" s="1"/>
      <c r="I14" s="1"/>
      <c r="J14" s="23" t="s">
        <v>64</v>
      </c>
      <c r="K14" s="25">
        <v>6.9982000000000003E-2</v>
      </c>
      <c r="L14" s="1"/>
      <c r="M14" s="1"/>
      <c r="N14" s="17"/>
    </row>
    <row r="15" spans="2:14" ht="15" customHeight="1" x14ac:dyDescent="0.25">
      <c r="B15" s="19"/>
      <c r="C15" s="5" t="s">
        <v>33</v>
      </c>
      <c r="D15" s="6" t="s">
        <v>26</v>
      </c>
      <c r="E15" s="11">
        <v>8.6663000000000004E-2</v>
      </c>
      <c r="F15" s="1"/>
      <c r="G15" s="1"/>
      <c r="H15" s="1"/>
      <c r="I15" s="1"/>
      <c r="J15" s="23" t="s">
        <v>10</v>
      </c>
      <c r="K15" s="25">
        <v>2.1410999999999999E-2</v>
      </c>
      <c r="L15" s="1"/>
      <c r="M15" s="1"/>
      <c r="N15" s="17"/>
    </row>
    <row r="16" spans="2:14" ht="15" customHeight="1" x14ac:dyDescent="0.25">
      <c r="B16" s="19"/>
      <c r="C16" s="5" t="s">
        <v>29</v>
      </c>
      <c r="D16" s="6" t="s">
        <v>26</v>
      </c>
      <c r="E16" s="11">
        <v>8.2895999999999997E-2</v>
      </c>
      <c r="F16" s="1"/>
      <c r="G16" s="1"/>
      <c r="H16" s="1"/>
      <c r="I16" s="1"/>
      <c r="J16" s="1"/>
      <c r="K16" s="1"/>
      <c r="L16" s="1"/>
      <c r="M16" s="1"/>
      <c r="N16" s="17"/>
    </row>
    <row r="17" spans="2:14" ht="15" customHeight="1" x14ac:dyDescent="0.25">
      <c r="B17" s="19"/>
      <c r="C17" s="5" t="s">
        <v>37</v>
      </c>
      <c r="D17" s="6" t="s">
        <v>26</v>
      </c>
      <c r="E17" s="11">
        <v>8.0104999999999996E-2</v>
      </c>
      <c r="F17" s="1"/>
      <c r="G17" s="1"/>
      <c r="H17" s="1"/>
      <c r="I17" s="1"/>
      <c r="J17" s="1"/>
      <c r="K17" s="1"/>
      <c r="L17" s="1"/>
      <c r="M17" s="1"/>
      <c r="N17" s="17"/>
    </row>
    <row r="18" spans="2:14" ht="15" customHeight="1" x14ac:dyDescent="0.25">
      <c r="B18" s="19"/>
      <c r="C18" s="5" t="s">
        <v>27</v>
      </c>
      <c r="D18" s="6" t="s">
        <v>26</v>
      </c>
      <c r="E18" s="11">
        <v>5.3547999999999998E-2</v>
      </c>
      <c r="F18" s="1"/>
      <c r="G18" s="1"/>
      <c r="H18" s="1"/>
      <c r="I18" s="1"/>
      <c r="J18" s="1"/>
      <c r="K18" s="1"/>
      <c r="L18" s="1"/>
      <c r="M18" s="1"/>
      <c r="N18" s="17"/>
    </row>
    <row r="19" spans="2:14" ht="15" customHeight="1" x14ac:dyDescent="0.25">
      <c r="B19" s="19"/>
      <c r="C19" s="5" t="s">
        <v>42</v>
      </c>
      <c r="D19" s="6" t="s">
        <v>26</v>
      </c>
      <c r="E19" s="11">
        <v>4.8466000000000002E-2</v>
      </c>
      <c r="F19" s="1"/>
      <c r="G19" s="1"/>
      <c r="H19" s="1"/>
      <c r="I19" s="1"/>
      <c r="J19" s="1"/>
      <c r="K19" s="1"/>
      <c r="L19" s="1"/>
      <c r="M19" s="1"/>
      <c r="N19" s="17"/>
    </row>
    <row r="20" spans="2:14" ht="15" customHeight="1" x14ac:dyDescent="0.25">
      <c r="B20" s="19"/>
      <c r="C20" s="5" t="s">
        <v>35</v>
      </c>
      <c r="D20" s="6" t="s">
        <v>26</v>
      </c>
      <c r="E20" s="11">
        <v>4.4900000000000002E-2</v>
      </c>
      <c r="F20" s="1"/>
      <c r="G20" s="1"/>
      <c r="H20" s="1"/>
      <c r="I20" s="1"/>
      <c r="J20" s="1"/>
      <c r="K20" s="1"/>
      <c r="L20" s="1"/>
      <c r="M20" s="1"/>
      <c r="N20" s="17"/>
    </row>
    <row r="21" spans="2:14" ht="15" customHeight="1" x14ac:dyDescent="0.25">
      <c r="B21" s="19"/>
      <c r="C21" s="5" t="s">
        <v>32</v>
      </c>
      <c r="D21" s="6" t="s">
        <v>26</v>
      </c>
      <c r="E21" s="11">
        <v>2.7473000000000001E-2</v>
      </c>
      <c r="F21" s="1"/>
      <c r="G21" s="1"/>
      <c r="H21" s="1"/>
      <c r="I21" s="1"/>
      <c r="J21" s="1"/>
      <c r="K21" s="1"/>
      <c r="L21" s="1"/>
      <c r="M21" s="1"/>
      <c r="N21" s="17"/>
    </row>
    <row r="22" spans="2:14" ht="15" customHeight="1" x14ac:dyDescent="0.25">
      <c r="B22" s="19"/>
      <c r="C22" s="5" t="s">
        <v>28</v>
      </c>
      <c r="D22" s="6" t="s">
        <v>26</v>
      </c>
      <c r="E22" s="11">
        <v>1.6334000000000001E-2</v>
      </c>
      <c r="F22" s="1"/>
      <c r="G22" s="1"/>
      <c r="H22" s="1"/>
      <c r="I22" s="1"/>
      <c r="J22" s="1"/>
      <c r="K22" s="1"/>
      <c r="L22" s="1"/>
      <c r="M22" s="1"/>
      <c r="N22" s="17"/>
    </row>
    <row r="23" spans="2:14" ht="15" customHeight="1" x14ac:dyDescent="0.25">
      <c r="B23" s="19"/>
      <c r="C23" s="5" t="s">
        <v>44</v>
      </c>
      <c r="D23" s="6" t="s">
        <v>26</v>
      </c>
      <c r="E23" s="11">
        <v>1.3602E-2</v>
      </c>
      <c r="F23" s="1"/>
      <c r="G23" s="1"/>
      <c r="H23" s="1"/>
      <c r="I23" s="1"/>
      <c r="J23" s="1"/>
      <c r="K23" s="1"/>
      <c r="L23" s="1"/>
      <c r="M23" s="1"/>
      <c r="N23" s="17"/>
    </row>
    <row r="24" spans="2:14" ht="15" customHeight="1" x14ac:dyDescent="0.25">
      <c r="B24" s="19"/>
      <c r="C24" s="5" t="s">
        <v>19</v>
      </c>
      <c r="D24" s="6" t="s">
        <v>26</v>
      </c>
      <c r="E24" s="11">
        <v>1.3207E-2</v>
      </c>
      <c r="F24" s="1"/>
      <c r="G24" s="1"/>
      <c r="H24" s="1"/>
      <c r="I24" s="1"/>
      <c r="J24" s="1"/>
      <c r="K24" s="1"/>
      <c r="L24" s="1"/>
      <c r="M24" s="1"/>
      <c r="N24" s="17"/>
    </row>
    <row r="25" spans="2:14" ht="15" customHeight="1" x14ac:dyDescent="0.25">
      <c r="B25" s="19"/>
      <c r="C25" s="5" t="s">
        <v>101</v>
      </c>
      <c r="D25" s="6" t="s">
        <v>26</v>
      </c>
      <c r="E25" s="11">
        <v>1.2714E-2</v>
      </c>
      <c r="F25" s="1"/>
      <c r="G25" s="1"/>
      <c r="H25" s="1"/>
      <c r="I25" s="1"/>
      <c r="J25" s="1"/>
      <c r="K25" s="1"/>
      <c r="L25" s="1"/>
      <c r="M25" s="1"/>
      <c r="N25" s="17"/>
    </row>
    <row r="26" spans="2:14" ht="15" customHeight="1" x14ac:dyDescent="0.25">
      <c r="B26" s="19"/>
      <c r="C26" s="5" t="s">
        <v>36</v>
      </c>
      <c r="D26" s="6" t="s">
        <v>26</v>
      </c>
      <c r="E26" s="11">
        <v>1.1224E-2</v>
      </c>
      <c r="F26" s="1"/>
      <c r="G26" s="29" t="s">
        <v>17</v>
      </c>
      <c r="H26" s="30"/>
      <c r="I26" s="30"/>
      <c r="J26" s="30"/>
      <c r="K26" s="30"/>
      <c r="L26" s="30"/>
      <c r="M26" s="30"/>
      <c r="N26" s="31"/>
    </row>
    <row r="27" spans="2:14" ht="15" customHeight="1" x14ac:dyDescent="0.25">
      <c r="B27" s="19"/>
      <c r="C27" s="5" t="s">
        <v>102</v>
      </c>
      <c r="D27" s="6" t="s">
        <v>26</v>
      </c>
      <c r="E27" s="11">
        <v>9.1310000000000002E-3</v>
      </c>
      <c r="F27" s="1"/>
      <c r="G27" s="1"/>
      <c r="H27" s="1"/>
      <c r="I27" s="1"/>
      <c r="J27" s="1"/>
      <c r="K27" s="1"/>
      <c r="L27" s="1"/>
      <c r="M27" s="1"/>
      <c r="N27" s="17"/>
    </row>
    <row r="28" spans="2:14" ht="15" customHeight="1" x14ac:dyDescent="0.25">
      <c r="B28" s="19"/>
      <c r="C28" s="5" t="s">
        <v>34</v>
      </c>
      <c r="D28" s="6" t="s">
        <v>26</v>
      </c>
      <c r="E28" s="11">
        <v>4.9519999999999998E-3</v>
      </c>
      <c r="F28" s="1"/>
      <c r="G28" s="1"/>
      <c r="H28" s="1"/>
      <c r="I28" s="1"/>
      <c r="J28" s="1"/>
      <c r="K28" s="1"/>
      <c r="L28" s="1"/>
      <c r="M28" s="1"/>
      <c r="N28" s="17"/>
    </row>
    <row r="29" spans="2:14" ht="15" customHeight="1" x14ac:dyDescent="0.25">
      <c r="B29" s="19"/>
      <c r="C29" s="5" t="s">
        <v>43</v>
      </c>
      <c r="D29" s="6" t="s">
        <v>26</v>
      </c>
      <c r="E29" s="11">
        <v>4.5440000000000003E-3</v>
      </c>
      <c r="F29" s="1"/>
      <c r="G29" s="1"/>
      <c r="H29" s="1"/>
      <c r="I29" s="1"/>
      <c r="J29" s="1"/>
      <c r="K29" s="1"/>
      <c r="L29" s="1"/>
      <c r="M29" s="1"/>
      <c r="N29" s="17"/>
    </row>
    <row r="30" spans="2:14" ht="15" customHeight="1" x14ac:dyDescent="0.25">
      <c r="B30" s="19"/>
      <c r="C30" s="5" t="s">
        <v>38</v>
      </c>
      <c r="D30" s="6" t="s">
        <v>26</v>
      </c>
      <c r="E30" s="11">
        <v>3.581E-3</v>
      </c>
      <c r="F30" s="1"/>
      <c r="G30" s="1"/>
      <c r="H30" s="1"/>
      <c r="I30" s="1"/>
      <c r="J30" s="1"/>
      <c r="K30" s="1"/>
      <c r="L30" s="1"/>
      <c r="M30" s="1"/>
      <c r="N30" s="17"/>
    </row>
    <row r="31" spans="2:14" ht="15" customHeight="1" x14ac:dyDescent="0.25">
      <c r="B31" s="19"/>
      <c r="C31" s="5" t="s">
        <v>21</v>
      </c>
      <c r="D31" s="6" t="s">
        <v>26</v>
      </c>
      <c r="E31" s="11">
        <v>2.941E-3</v>
      </c>
      <c r="F31" s="1"/>
      <c r="G31" s="1"/>
      <c r="H31" s="1"/>
      <c r="I31" s="1"/>
      <c r="J31" s="1"/>
      <c r="K31" s="1"/>
      <c r="L31" s="1"/>
      <c r="M31" s="1"/>
      <c r="N31" s="17"/>
    </row>
    <row r="32" spans="2:14" ht="15" customHeight="1" x14ac:dyDescent="0.25">
      <c r="B32" s="19"/>
      <c r="C32" s="5" t="s">
        <v>40</v>
      </c>
      <c r="D32" s="6" t="s">
        <v>26</v>
      </c>
      <c r="E32" s="11">
        <v>1.369E-3</v>
      </c>
      <c r="F32" s="1"/>
      <c r="G32" s="1"/>
      <c r="H32" s="1"/>
      <c r="I32" s="1"/>
      <c r="J32" s="1"/>
      <c r="K32" s="1"/>
      <c r="L32" s="1"/>
      <c r="M32" s="1"/>
      <c r="N32" s="17"/>
    </row>
    <row r="33" spans="2:14" ht="15" customHeight="1" x14ac:dyDescent="0.25">
      <c r="B33" s="19"/>
      <c r="C33" s="5" t="s">
        <v>31</v>
      </c>
      <c r="D33" s="6" t="s">
        <v>26</v>
      </c>
      <c r="E33" s="11">
        <v>6.8400000000000004E-4</v>
      </c>
      <c r="F33" s="1"/>
      <c r="G33" s="1"/>
      <c r="H33" s="1"/>
      <c r="I33" s="1"/>
      <c r="J33" s="1"/>
      <c r="K33" s="1"/>
      <c r="L33" s="1"/>
      <c r="M33" s="1"/>
      <c r="N33" s="17"/>
    </row>
    <row r="34" spans="2:14" ht="15" customHeight="1" x14ac:dyDescent="0.25">
      <c r="B34" s="19"/>
      <c r="C34" s="5" t="s">
        <v>89</v>
      </c>
      <c r="D34" s="6" t="s">
        <v>26</v>
      </c>
      <c r="E34" s="11">
        <v>4.4700000000000002E-4</v>
      </c>
      <c r="F34" s="1"/>
      <c r="G34" s="1"/>
      <c r="H34" s="1"/>
      <c r="I34" s="1"/>
      <c r="J34" s="1"/>
      <c r="K34" s="1"/>
      <c r="L34" s="1"/>
      <c r="M34" s="1"/>
      <c r="N34" s="17"/>
    </row>
    <row r="35" spans="2:14" ht="15.75" customHeight="1" x14ac:dyDescent="0.25">
      <c r="B35" s="19"/>
      <c r="C35" s="7" t="s">
        <v>46</v>
      </c>
      <c r="D35" s="8"/>
      <c r="E35" s="12">
        <v>0.70779700000000001</v>
      </c>
      <c r="F35" s="1"/>
      <c r="G35" s="1"/>
      <c r="H35" s="1"/>
      <c r="I35" s="1"/>
      <c r="J35" s="1"/>
      <c r="K35" s="1"/>
      <c r="L35" s="1"/>
      <c r="M35" s="1"/>
      <c r="N35" s="17"/>
    </row>
    <row r="36" spans="2:14" ht="15" customHeight="1" x14ac:dyDescent="0.25">
      <c r="B36" s="19"/>
      <c r="C36" s="5" t="s">
        <v>52</v>
      </c>
      <c r="D36" s="6" t="s">
        <v>48</v>
      </c>
      <c r="E36" s="11">
        <v>0.13664399999999999</v>
      </c>
      <c r="F36" s="1"/>
      <c r="G36" s="1"/>
      <c r="H36" s="1"/>
      <c r="I36" s="1"/>
      <c r="J36" s="1"/>
      <c r="K36" s="1"/>
      <c r="L36" s="1"/>
      <c r="M36" s="1"/>
      <c r="N36" s="17"/>
    </row>
    <row r="37" spans="2:14" ht="15" customHeight="1" x14ac:dyDescent="0.25">
      <c r="B37" s="19"/>
      <c r="C37" s="5" t="s">
        <v>50</v>
      </c>
      <c r="D37" s="6" t="s">
        <v>48</v>
      </c>
      <c r="E37" s="11">
        <v>4.2935000000000001E-2</v>
      </c>
      <c r="F37" s="1"/>
      <c r="G37" s="1"/>
      <c r="H37" s="1"/>
      <c r="I37" s="1"/>
      <c r="J37" s="1"/>
      <c r="K37" s="1"/>
      <c r="L37" s="1"/>
      <c r="M37" s="1"/>
      <c r="N37" s="17"/>
    </row>
    <row r="38" spans="2:14" ht="15" customHeight="1" x14ac:dyDescent="0.25">
      <c r="B38" s="19"/>
      <c r="C38" s="5" t="s">
        <v>47</v>
      </c>
      <c r="D38" s="6" t="s">
        <v>48</v>
      </c>
      <c r="E38" s="11">
        <v>4.6449999999999998E-3</v>
      </c>
      <c r="F38" s="1"/>
      <c r="G38" s="1"/>
      <c r="H38" s="1"/>
      <c r="I38" s="1"/>
      <c r="J38" s="1"/>
      <c r="K38" s="1"/>
      <c r="L38" s="1"/>
      <c r="M38" s="1"/>
      <c r="N38" s="17"/>
    </row>
    <row r="39" spans="2:14" ht="15.75" customHeight="1" x14ac:dyDescent="0.25">
      <c r="B39" s="19"/>
      <c r="C39" s="7" t="s">
        <v>57</v>
      </c>
      <c r="D39" s="8"/>
      <c r="E39" s="12">
        <v>0.184224</v>
      </c>
      <c r="F39" s="1"/>
      <c r="G39" s="1"/>
      <c r="H39" s="1"/>
      <c r="I39" s="1"/>
      <c r="J39" s="1"/>
      <c r="K39" s="1"/>
      <c r="L39" s="1"/>
      <c r="M39" s="1"/>
      <c r="N39" s="17"/>
    </row>
    <row r="40" spans="2:14" ht="15" customHeight="1" x14ac:dyDescent="0.25">
      <c r="B40" s="19"/>
      <c r="C40" s="5" t="s">
        <v>186</v>
      </c>
      <c r="D40" s="6" t="s">
        <v>48</v>
      </c>
      <c r="E40" s="11">
        <v>1.0121E-2</v>
      </c>
      <c r="F40" s="1"/>
      <c r="G40" s="1"/>
      <c r="H40" s="1"/>
      <c r="I40" s="1"/>
      <c r="J40" s="1"/>
      <c r="K40" s="1"/>
      <c r="L40" s="1"/>
      <c r="M40" s="1"/>
      <c r="N40" s="17"/>
    </row>
    <row r="41" spans="2:14" ht="15.75" customHeight="1" x14ac:dyDescent="0.25">
      <c r="B41" s="19"/>
      <c r="C41" s="5" t="s">
        <v>190</v>
      </c>
      <c r="D41" s="6" t="s">
        <v>48</v>
      </c>
      <c r="E41" s="11">
        <v>6.7549999999999997E-3</v>
      </c>
      <c r="F41" s="1"/>
      <c r="G41" s="1"/>
      <c r="H41" s="1"/>
      <c r="I41" s="1"/>
      <c r="J41" s="1"/>
      <c r="K41" s="1"/>
      <c r="L41" s="1"/>
      <c r="M41" s="1"/>
      <c r="N41" s="17"/>
    </row>
    <row r="42" spans="2:14" ht="15" customHeight="1" x14ac:dyDescent="0.25">
      <c r="B42" s="19"/>
      <c r="C42" s="5" t="s">
        <v>191</v>
      </c>
      <c r="D42" s="6" t="s">
        <v>48</v>
      </c>
      <c r="E42" s="11">
        <v>6.2610000000000001E-3</v>
      </c>
      <c r="F42" s="1"/>
      <c r="G42" s="1"/>
      <c r="H42" s="1"/>
      <c r="I42" s="1"/>
      <c r="J42" s="1"/>
      <c r="K42" s="1"/>
      <c r="L42" s="1"/>
      <c r="M42" s="1"/>
      <c r="N42" s="17"/>
    </row>
    <row r="43" spans="2:14" ht="15.75" customHeight="1" x14ac:dyDescent="0.25">
      <c r="B43" s="19"/>
      <c r="C43" s="5" t="s">
        <v>192</v>
      </c>
      <c r="D43" s="6" t="s">
        <v>48</v>
      </c>
      <c r="E43" s="11">
        <v>4.0480000000000004E-3</v>
      </c>
      <c r="F43" s="1"/>
      <c r="G43" s="1"/>
      <c r="H43" s="1"/>
      <c r="I43" s="1"/>
      <c r="J43" s="1"/>
      <c r="K43" s="1"/>
      <c r="L43" s="1"/>
      <c r="M43" s="1"/>
      <c r="N43" s="17"/>
    </row>
    <row r="44" spans="2:14" ht="15" customHeight="1" x14ac:dyDescent="0.25">
      <c r="B44" s="19"/>
      <c r="C44" s="5" t="s">
        <v>193</v>
      </c>
      <c r="D44" s="6" t="s">
        <v>48</v>
      </c>
      <c r="E44" s="11">
        <v>3.4069999999999999E-3</v>
      </c>
      <c r="F44" s="1"/>
      <c r="G44" s="1"/>
      <c r="H44" s="1"/>
      <c r="I44" s="1"/>
      <c r="J44" s="1"/>
      <c r="K44" s="1"/>
      <c r="L44" s="1"/>
      <c r="M44" s="1"/>
      <c r="N44" s="17"/>
    </row>
    <row r="45" spans="2:14" ht="15.75" customHeight="1" x14ac:dyDescent="0.25">
      <c r="B45" s="19"/>
      <c r="C45" s="5" t="s">
        <v>194</v>
      </c>
      <c r="D45" s="6" t="s">
        <v>48</v>
      </c>
      <c r="E45" s="11">
        <v>3.3310000000000002E-3</v>
      </c>
      <c r="F45" s="1"/>
      <c r="G45" s="1"/>
      <c r="H45" s="1"/>
      <c r="I45" s="1"/>
      <c r="J45" s="1"/>
      <c r="K45" s="1"/>
      <c r="L45" s="1"/>
      <c r="M45" s="1"/>
      <c r="N45" s="17"/>
    </row>
    <row r="46" spans="2:14" ht="15" customHeight="1" x14ac:dyDescent="0.25">
      <c r="B46" s="19"/>
      <c r="C46" s="5" t="s">
        <v>195</v>
      </c>
      <c r="D46" s="6" t="s">
        <v>48</v>
      </c>
      <c r="E46" s="11">
        <v>3.1900000000000001E-3</v>
      </c>
      <c r="F46" s="1"/>
      <c r="G46" s="1"/>
      <c r="H46" s="1"/>
      <c r="I46" s="1"/>
      <c r="J46" s="1"/>
      <c r="K46" s="1"/>
      <c r="L46" s="1"/>
      <c r="M46" s="1"/>
      <c r="N46" s="17"/>
    </row>
    <row r="47" spans="2:14" ht="15" customHeight="1" x14ac:dyDescent="0.25">
      <c r="B47" s="19"/>
      <c r="C47" s="5" t="s">
        <v>196</v>
      </c>
      <c r="D47" s="6" t="s">
        <v>48</v>
      </c>
      <c r="E47" s="11">
        <v>3.186E-3</v>
      </c>
      <c r="F47" s="1"/>
      <c r="G47" s="1"/>
      <c r="H47" s="1"/>
      <c r="I47" s="1"/>
      <c r="J47" s="1"/>
      <c r="K47" s="1"/>
      <c r="L47" s="1"/>
      <c r="M47" s="1"/>
      <c r="N47" s="17"/>
    </row>
    <row r="48" spans="2:14" ht="15" customHeight="1" x14ac:dyDescent="0.25">
      <c r="B48" s="19"/>
      <c r="C48" s="5" t="s">
        <v>197</v>
      </c>
      <c r="D48" s="6" t="s">
        <v>48</v>
      </c>
      <c r="E48" s="11">
        <v>2.4169999999999999E-3</v>
      </c>
      <c r="F48" s="1"/>
      <c r="G48" s="1"/>
      <c r="H48" s="1"/>
      <c r="I48" s="1"/>
      <c r="J48" s="1"/>
      <c r="K48" s="1"/>
      <c r="L48" s="1"/>
      <c r="M48" s="1"/>
      <c r="N48" s="17"/>
    </row>
    <row r="49" spans="2:14" ht="15" customHeight="1" x14ac:dyDescent="0.25">
      <c r="B49" s="19"/>
      <c r="C49" s="5" t="s">
        <v>182</v>
      </c>
      <c r="D49" s="6" t="s">
        <v>48</v>
      </c>
      <c r="E49" s="11">
        <v>2.4109999999999999E-3</v>
      </c>
      <c r="F49" s="1"/>
      <c r="G49" s="1"/>
      <c r="H49" s="1"/>
      <c r="I49" s="1"/>
      <c r="J49" s="1"/>
      <c r="K49" s="1"/>
      <c r="L49" s="1"/>
      <c r="M49" s="1"/>
      <c r="N49" s="17"/>
    </row>
    <row r="50" spans="2:14" ht="15" customHeight="1" x14ac:dyDescent="0.25">
      <c r="B50" s="19"/>
      <c r="C50" s="5" t="s">
        <v>198</v>
      </c>
      <c r="D50" s="6" t="s">
        <v>48</v>
      </c>
      <c r="E50" s="11">
        <v>2.3809999999999999E-3</v>
      </c>
      <c r="F50" s="1"/>
      <c r="G50" s="1"/>
      <c r="H50" s="1"/>
      <c r="I50" s="1"/>
      <c r="J50" s="1"/>
      <c r="K50" s="1"/>
      <c r="L50" s="1"/>
      <c r="M50" s="1"/>
      <c r="N50" s="17"/>
    </row>
    <row r="51" spans="2:14" ht="15" customHeight="1" x14ac:dyDescent="0.25">
      <c r="B51" s="19"/>
      <c r="C51" s="5" t="s">
        <v>199</v>
      </c>
      <c r="D51" s="6" t="s">
        <v>48</v>
      </c>
      <c r="E51" s="11">
        <v>2.3749999999999999E-3</v>
      </c>
      <c r="F51" s="1"/>
      <c r="G51" s="1"/>
      <c r="H51" s="1"/>
      <c r="I51" s="1"/>
      <c r="J51" s="1"/>
      <c r="K51" s="1"/>
      <c r="L51" s="1"/>
      <c r="M51" s="1"/>
      <c r="N51" s="17"/>
    </row>
    <row r="52" spans="2:14" ht="15" customHeight="1" x14ac:dyDescent="0.25">
      <c r="B52" s="19"/>
      <c r="C52" s="5" t="s">
        <v>200</v>
      </c>
      <c r="D52" s="6" t="s">
        <v>48</v>
      </c>
      <c r="E52" s="11">
        <v>2.3010000000000001E-3</v>
      </c>
      <c r="F52" s="1"/>
      <c r="G52" s="1"/>
      <c r="H52" s="1"/>
      <c r="I52" s="1"/>
      <c r="J52" s="1"/>
      <c r="K52" s="1"/>
      <c r="L52" s="1"/>
      <c r="M52" s="1"/>
      <c r="N52" s="17"/>
    </row>
    <row r="53" spans="2:14" ht="15" customHeight="1" x14ac:dyDescent="0.25">
      <c r="B53" s="19"/>
      <c r="C53" s="5" t="s">
        <v>201</v>
      </c>
      <c r="D53" s="6" t="s">
        <v>48</v>
      </c>
      <c r="E53" s="11">
        <v>2.2799999999999999E-3</v>
      </c>
      <c r="F53" s="1"/>
      <c r="G53" s="1"/>
      <c r="H53" s="1"/>
      <c r="I53" s="1"/>
      <c r="J53" s="1"/>
      <c r="K53" s="1"/>
      <c r="L53" s="1"/>
      <c r="M53" s="1"/>
      <c r="N53" s="17"/>
    </row>
    <row r="54" spans="2:14" ht="15" customHeight="1" x14ac:dyDescent="0.25">
      <c r="B54" s="19"/>
      <c r="C54" s="5" t="s">
        <v>202</v>
      </c>
      <c r="D54" s="6" t="s">
        <v>48</v>
      </c>
      <c r="E54" s="11">
        <v>1.9550000000000001E-3</v>
      </c>
      <c r="F54" s="1"/>
      <c r="G54" s="1"/>
      <c r="H54" s="1"/>
      <c r="I54" s="1"/>
      <c r="J54" s="1"/>
      <c r="K54" s="1"/>
      <c r="L54" s="1"/>
      <c r="M54" s="1"/>
      <c r="N54" s="17"/>
    </row>
    <row r="55" spans="2:14" ht="15" customHeight="1" x14ac:dyDescent="0.25">
      <c r="B55" s="19"/>
      <c r="C55" s="5" t="s">
        <v>203</v>
      </c>
      <c r="D55" s="6" t="s">
        <v>48</v>
      </c>
      <c r="E55" s="11">
        <v>1.8890000000000001E-3</v>
      </c>
      <c r="F55" s="1"/>
      <c r="G55" s="1"/>
      <c r="H55" s="1"/>
      <c r="I55" s="1"/>
      <c r="J55" s="1"/>
      <c r="K55" s="1"/>
      <c r="L55" s="1"/>
      <c r="M55" s="1"/>
      <c r="N55" s="17"/>
    </row>
    <row r="56" spans="2:14" ht="15" customHeight="1" x14ac:dyDescent="0.25">
      <c r="B56" s="19"/>
      <c r="C56" s="5" t="s">
        <v>204</v>
      </c>
      <c r="D56" s="6" t="s">
        <v>48</v>
      </c>
      <c r="E56" s="11">
        <v>1.7129999999999999E-3</v>
      </c>
      <c r="F56" s="1"/>
      <c r="G56" s="1"/>
      <c r="H56" s="1"/>
      <c r="I56" s="1"/>
      <c r="J56" s="1"/>
      <c r="K56" s="1"/>
      <c r="L56" s="1"/>
      <c r="M56" s="1"/>
      <c r="N56" s="17"/>
    </row>
    <row r="57" spans="2:14" ht="15" customHeight="1" x14ac:dyDescent="0.25">
      <c r="B57" s="19"/>
      <c r="C57" s="5" t="s">
        <v>205</v>
      </c>
      <c r="D57" s="6" t="s">
        <v>48</v>
      </c>
      <c r="E57" s="11">
        <v>1.4679999999999999E-3</v>
      </c>
      <c r="F57" s="1"/>
      <c r="G57" s="1"/>
      <c r="H57" s="1"/>
      <c r="I57" s="1"/>
      <c r="J57" s="1"/>
      <c r="K57" s="1"/>
      <c r="L57" s="1"/>
      <c r="M57" s="1"/>
      <c r="N57" s="17"/>
    </row>
    <row r="58" spans="2:14" ht="15" customHeight="1" x14ac:dyDescent="0.25">
      <c r="B58" s="19"/>
      <c r="C58" s="5" t="s">
        <v>206</v>
      </c>
      <c r="D58" s="6" t="s">
        <v>48</v>
      </c>
      <c r="E58" s="11">
        <v>1.23E-3</v>
      </c>
      <c r="F58" s="1"/>
      <c r="G58" s="1"/>
      <c r="H58" s="1"/>
      <c r="I58" s="1"/>
      <c r="J58" s="1"/>
      <c r="K58" s="1"/>
      <c r="L58" s="1"/>
      <c r="M58" s="1"/>
      <c r="N58" s="17"/>
    </row>
    <row r="59" spans="2:14" ht="15" customHeight="1" x14ac:dyDescent="0.25">
      <c r="B59" s="19"/>
      <c r="C59" s="5" t="s">
        <v>207</v>
      </c>
      <c r="D59" s="6" t="s">
        <v>48</v>
      </c>
      <c r="E59" s="11">
        <v>1.2149999999999999E-3</v>
      </c>
      <c r="F59" s="1"/>
      <c r="G59" s="1"/>
      <c r="H59" s="1"/>
      <c r="I59" s="1"/>
      <c r="J59" s="1"/>
      <c r="K59" s="1"/>
      <c r="L59" s="1"/>
      <c r="M59" s="1"/>
      <c r="N59" s="17"/>
    </row>
    <row r="60" spans="2:14" ht="15" customHeight="1" x14ac:dyDescent="0.25">
      <c r="B60" s="19"/>
      <c r="C60" s="5" t="s">
        <v>208</v>
      </c>
      <c r="D60" s="6" t="s">
        <v>48</v>
      </c>
      <c r="E60" s="11">
        <v>1.106E-3</v>
      </c>
      <c r="F60" s="1"/>
      <c r="G60" s="1"/>
      <c r="H60" s="1"/>
      <c r="I60" s="1"/>
      <c r="J60" s="1"/>
      <c r="K60" s="1"/>
      <c r="L60" s="1"/>
      <c r="M60" s="1"/>
      <c r="N60" s="17"/>
    </row>
    <row r="61" spans="2:14" ht="15" customHeight="1" x14ac:dyDescent="0.25">
      <c r="B61" s="19"/>
      <c r="C61" s="5" t="s">
        <v>209</v>
      </c>
      <c r="D61" s="6" t="s">
        <v>48</v>
      </c>
      <c r="E61" s="11">
        <v>9.7900000000000005E-4</v>
      </c>
      <c r="F61" s="1"/>
      <c r="G61" s="1"/>
      <c r="H61" s="1"/>
      <c r="I61" s="1"/>
      <c r="J61" s="1"/>
      <c r="K61" s="1"/>
      <c r="L61" s="1"/>
      <c r="M61" s="1"/>
      <c r="N61" s="17"/>
    </row>
    <row r="62" spans="2:14" ht="15" customHeight="1" x14ac:dyDescent="0.25">
      <c r="B62" s="19"/>
      <c r="C62" s="5" t="s">
        <v>210</v>
      </c>
      <c r="D62" s="6" t="s">
        <v>48</v>
      </c>
      <c r="E62" s="11">
        <v>9.5100000000000002E-4</v>
      </c>
      <c r="F62" s="1"/>
      <c r="G62" s="1"/>
      <c r="H62" s="1"/>
      <c r="I62" s="1"/>
      <c r="J62" s="1"/>
      <c r="K62" s="1"/>
      <c r="L62" s="1"/>
      <c r="M62" s="1"/>
      <c r="N62" s="17"/>
    </row>
    <row r="63" spans="2:14" ht="15" customHeight="1" x14ac:dyDescent="0.25">
      <c r="B63" s="19"/>
      <c r="C63" s="5" t="s">
        <v>211</v>
      </c>
      <c r="D63" s="6" t="s">
        <v>48</v>
      </c>
      <c r="E63" s="11">
        <v>7.2599999999999997E-4</v>
      </c>
      <c r="F63" s="1"/>
      <c r="G63" s="1"/>
      <c r="H63" s="1"/>
      <c r="I63" s="1"/>
      <c r="J63" s="1"/>
      <c r="K63" s="1"/>
      <c r="L63" s="1"/>
      <c r="M63" s="1"/>
      <c r="N63" s="17"/>
    </row>
    <row r="64" spans="2:14" ht="15" customHeight="1" x14ac:dyDescent="0.25">
      <c r="B64" s="19"/>
      <c r="C64" s="5" t="s">
        <v>212</v>
      </c>
      <c r="D64" s="6" t="s">
        <v>48</v>
      </c>
      <c r="E64" s="11">
        <v>4.9200000000000003E-4</v>
      </c>
      <c r="F64" s="1"/>
      <c r="G64" s="1"/>
      <c r="H64" s="1"/>
      <c r="I64" s="1"/>
      <c r="J64" s="1"/>
      <c r="K64" s="1"/>
      <c r="L64" s="1"/>
      <c r="M64" s="1"/>
      <c r="N64" s="17"/>
    </row>
    <row r="65" spans="2:14" ht="15" customHeight="1" x14ac:dyDescent="0.25">
      <c r="B65" s="19"/>
      <c r="C65" s="5" t="s">
        <v>213</v>
      </c>
      <c r="D65" s="6" t="s">
        <v>48</v>
      </c>
      <c r="E65" s="11">
        <v>4.84E-4</v>
      </c>
      <c r="F65" s="1"/>
      <c r="G65" s="1"/>
      <c r="H65" s="1"/>
      <c r="I65" s="1"/>
      <c r="J65" s="1"/>
      <c r="K65" s="1"/>
      <c r="L65" s="1"/>
      <c r="M65" s="1"/>
      <c r="N65" s="17"/>
    </row>
    <row r="66" spans="2:14" ht="15" customHeight="1" x14ac:dyDescent="0.25">
      <c r="B66" s="19"/>
      <c r="C66" s="5" t="s">
        <v>149</v>
      </c>
      <c r="D66" s="6" t="s">
        <v>48</v>
      </c>
      <c r="E66" s="11">
        <v>4.7600000000000002E-4</v>
      </c>
      <c r="F66" s="1"/>
      <c r="G66" s="1"/>
      <c r="H66" s="1"/>
      <c r="I66" s="1"/>
      <c r="J66" s="1"/>
      <c r="K66" s="1"/>
      <c r="L66" s="1"/>
      <c r="M66" s="1"/>
      <c r="N66" s="17"/>
    </row>
    <row r="67" spans="2:14" ht="15" customHeight="1" x14ac:dyDescent="0.25">
      <c r="B67" s="19"/>
      <c r="C67" s="5" t="s">
        <v>214</v>
      </c>
      <c r="D67" s="6" t="s">
        <v>48</v>
      </c>
      <c r="E67" s="11">
        <v>2.43E-4</v>
      </c>
      <c r="F67" s="1"/>
      <c r="G67" s="1"/>
      <c r="H67" s="1"/>
      <c r="I67" s="1"/>
      <c r="J67" s="1"/>
      <c r="K67" s="1"/>
      <c r="L67" s="1"/>
      <c r="M67" s="1"/>
      <c r="N67" s="17"/>
    </row>
    <row r="68" spans="2:14" ht="15" customHeight="1" x14ac:dyDescent="0.25">
      <c r="B68" s="19"/>
      <c r="C68" s="5" t="s">
        <v>215</v>
      </c>
      <c r="D68" s="6" t="s">
        <v>48</v>
      </c>
      <c r="E68" s="11">
        <v>2.43E-4</v>
      </c>
      <c r="F68" s="1"/>
      <c r="G68" s="1"/>
      <c r="H68" s="1"/>
      <c r="I68" s="1"/>
      <c r="J68" s="1"/>
      <c r="K68" s="1"/>
      <c r="L68" s="1"/>
      <c r="M68" s="1"/>
      <c r="N68" s="17"/>
    </row>
    <row r="69" spans="2:14" ht="15" customHeight="1" x14ac:dyDescent="0.25">
      <c r="B69" s="19"/>
      <c r="C69" s="5" t="s">
        <v>216</v>
      </c>
      <c r="D69" s="6" t="s">
        <v>48</v>
      </c>
      <c r="E69" s="11">
        <v>2.3800000000000001E-4</v>
      </c>
      <c r="F69" s="1"/>
      <c r="G69" s="1"/>
      <c r="H69" s="1"/>
      <c r="I69" s="1"/>
      <c r="J69" s="1"/>
      <c r="K69" s="1"/>
      <c r="L69" s="1"/>
      <c r="M69" s="1"/>
      <c r="N69" s="17"/>
    </row>
    <row r="70" spans="2:14" ht="15" customHeight="1" x14ac:dyDescent="0.25">
      <c r="B70" s="19"/>
      <c r="C70" s="5" t="s">
        <v>217</v>
      </c>
      <c r="D70" s="6" t="s">
        <v>48</v>
      </c>
      <c r="E70" s="11">
        <v>1.1E-4</v>
      </c>
      <c r="F70" s="1"/>
      <c r="G70" s="1"/>
      <c r="H70" s="1"/>
      <c r="I70" s="1"/>
      <c r="J70" s="1"/>
      <c r="K70" s="1"/>
      <c r="L70" s="1"/>
      <c r="M70" s="1"/>
      <c r="N70" s="17"/>
    </row>
    <row r="71" spans="2:14" ht="15" customHeight="1" x14ac:dyDescent="0.25">
      <c r="B71" s="19"/>
      <c r="C71" s="7" t="s">
        <v>58</v>
      </c>
      <c r="D71" s="8"/>
      <c r="E71" s="12">
        <v>6.9982000000000003E-2</v>
      </c>
      <c r="F71" s="1"/>
      <c r="G71" s="1"/>
      <c r="H71" s="1"/>
      <c r="I71" s="1"/>
      <c r="J71" s="1"/>
      <c r="K71" s="1"/>
      <c r="L71" s="1"/>
      <c r="M71" s="1"/>
      <c r="N71" s="17"/>
    </row>
    <row r="72" spans="2:14" ht="15" customHeight="1" x14ac:dyDescent="0.25">
      <c r="B72" s="19"/>
      <c r="C72" s="5" t="s">
        <v>8</v>
      </c>
      <c r="D72" s="6"/>
      <c r="E72" s="11">
        <v>9.0220000000000005E-3</v>
      </c>
      <c r="F72" s="1"/>
      <c r="G72" s="1"/>
      <c r="H72" s="1"/>
      <c r="I72" s="1"/>
      <c r="J72" s="1"/>
      <c r="K72" s="1"/>
      <c r="L72" s="1"/>
      <c r="M72" s="1"/>
      <c r="N72" s="17"/>
    </row>
    <row r="73" spans="2:14" ht="15" customHeight="1" x14ac:dyDescent="0.25">
      <c r="B73" s="19"/>
      <c r="C73" s="7" t="s">
        <v>9</v>
      </c>
      <c r="D73" s="8"/>
      <c r="E73" s="12">
        <v>9.0220000000000005E-3</v>
      </c>
      <c r="F73" s="1"/>
      <c r="G73" s="1"/>
      <c r="H73" s="1"/>
      <c r="I73" s="1"/>
      <c r="J73" s="1"/>
      <c r="K73" s="1"/>
      <c r="L73" s="1"/>
      <c r="M73" s="1"/>
      <c r="N73" s="17"/>
    </row>
    <row r="74" spans="2:14" ht="15" customHeight="1" x14ac:dyDescent="0.25">
      <c r="B74" s="19"/>
      <c r="C74" s="5"/>
      <c r="D74" s="6"/>
      <c r="E74" s="11"/>
      <c r="F74" s="1"/>
      <c r="G74" s="1"/>
      <c r="H74" s="1"/>
      <c r="I74" s="1"/>
      <c r="J74" s="1"/>
      <c r="K74" s="1"/>
      <c r="L74" s="1"/>
      <c r="M74" s="1"/>
      <c r="N74" s="17"/>
    </row>
    <row r="75" spans="2:14" ht="15" customHeight="1" x14ac:dyDescent="0.25">
      <c r="B75" s="19"/>
      <c r="C75" s="7" t="s">
        <v>10</v>
      </c>
      <c r="D75" s="8"/>
      <c r="E75" s="12">
        <v>2.1410999999999999E-2</v>
      </c>
      <c r="F75" s="1"/>
      <c r="G75" s="1"/>
      <c r="H75" s="1"/>
      <c r="I75" s="1"/>
      <c r="J75" s="1"/>
      <c r="K75" s="1"/>
      <c r="L75" s="1"/>
      <c r="M75" s="1"/>
      <c r="N75" s="17"/>
    </row>
    <row r="76" spans="2:14" ht="15" customHeight="1" x14ac:dyDescent="0.25">
      <c r="B76" s="19"/>
      <c r="C76" s="5"/>
      <c r="D76" s="6"/>
      <c r="E76" s="11"/>
      <c r="F76" s="1"/>
      <c r="G76" s="1"/>
      <c r="H76" s="1"/>
      <c r="I76" s="1"/>
      <c r="J76" s="1"/>
      <c r="K76" s="1"/>
      <c r="L76" s="1"/>
      <c r="M76" s="1"/>
      <c r="N76" s="17"/>
    </row>
    <row r="77" spans="2:14" ht="15" customHeight="1" x14ac:dyDescent="0.25">
      <c r="B77" s="19"/>
      <c r="C77" s="9" t="s">
        <v>11</v>
      </c>
      <c r="D77" s="10"/>
      <c r="E77" s="13">
        <v>1</v>
      </c>
      <c r="F77" s="1"/>
      <c r="G77" s="1"/>
      <c r="H77" s="1"/>
      <c r="I77" s="1"/>
      <c r="J77" s="1"/>
      <c r="K77" s="1"/>
      <c r="L77" s="1"/>
      <c r="M77" s="1"/>
      <c r="N77" s="17"/>
    </row>
    <row r="78" spans="2:14" ht="15" customHeight="1" x14ac:dyDescent="0.25">
      <c r="B78" s="19"/>
      <c r="F78" s="1"/>
      <c r="G78" s="1"/>
      <c r="H78" s="1"/>
      <c r="I78" s="1"/>
      <c r="J78" s="1"/>
      <c r="K78" s="1"/>
      <c r="L78" s="1"/>
      <c r="M78" s="1"/>
      <c r="N78" s="17"/>
    </row>
    <row r="79" spans="2:14" ht="15" customHeight="1" thickBot="1" x14ac:dyDescent="0.3">
      <c r="B79" s="20"/>
      <c r="C79" s="21"/>
      <c r="D79" s="21"/>
      <c r="E79" s="21"/>
      <c r="F79" s="21"/>
      <c r="G79" s="21"/>
      <c r="H79" s="21"/>
      <c r="I79" s="21"/>
      <c r="J79" s="21"/>
      <c r="K79" s="21"/>
      <c r="L79" s="21"/>
      <c r="M79" s="21"/>
      <c r="N79" s="22"/>
    </row>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sheetData>
  <mergeCells count="3">
    <mergeCell ref="C3:N3"/>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1"/>
  <sheetViews>
    <sheetView showGridLines="0" zoomScale="75" zoomScaleNormal="75" workbookViewId="0"/>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119</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24</v>
      </c>
      <c r="D8" s="6" t="s">
        <v>20</v>
      </c>
      <c r="E8" s="11">
        <v>0.11377900000000001</v>
      </c>
      <c r="F8" s="1"/>
      <c r="G8" s="23" t="s">
        <v>15</v>
      </c>
      <c r="H8" s="24">
        <v>1</v>
      </c>
      <c r="I8" s="1"/>
      <c r="J8" s="23" t="s">
        <v>12</v>
      </c>
      <c r="K8" s="23" t="s">
        <v>3</v>
      </c>
      <c r="L8" s="1"/>
      <c r="M8" s="1"/>
      <c r="N8" s="17"/>
    </row>
    <row r="9" spans="2:14" ht="15" customHeight="1" x14ac:dyDescent="0.25">
      <c r="B9" s="19"/>
      <c r="C9" s="5" t="s">
        <v>107</v>
      </c>
      <c r="D9" s="6" t="s">
        <v>20</v>
      </c>
      <c r="E9" s="11">
        <v>5.7917000000000003E-2</v>
      </c>
      <c r="F9" s="1"/>
      <c r="G9" s="1"/>
      <c r="H9" s="1"/>
      <c r="I9" s="1"/>
      <c r="J9" s="23" t="s">
        <v>13</v>
      </c>
      <c r="K9" s="25">
        <v>0.112515</v>
      </c>
      <c r="L9" s="1"/>
      <c r="M9" s="1"/>
      <c r="N9" s="17"/>
    </row>
    <row r="10" spans="2:14" ht="15" customHeight="1" x14ac:dyDescent="0.25">
      <c r="B10" s="19"/>
      <c r="C10" s="5" t="s">
        <v>120</v>
      </c>
      <c r="D10" s="6" t="s">
        <v>20</v>
      </c>
      <c r="E10" s="11">
        <v>5.0271000000000003E-2</v>
      </c>
      <c r="F10" s="1"/>
      <c r="G10" s="1"/>
      <c r="H10" s="1"/>
      <c r="I10" s="1"/>
      <c r="J10" s="23" t="s">
        <v>60</v>
      </c>
      <c r="K10" s="25">
        <v>0.28060400000000002</v>
      </c>
      <c r="L10" s="1"/>
      <c r="M10" s="1"/>
      <c r="N10" s="17"/>
    </row>
    <row r="11" spans="2:14" ht="15" customHeight="1" x14ac:dyDescent="0.25">
      <c r="B11" s="19"/>
      <c r="C11" s="5" t="s">
        <v>121</v>
      </c>
      <c r="D11" s="6" t="s">
        <v>20</v>
      </c>
      <c r="E11" s="11">
        <v>4.1889000000000003E-2</v>
      </c>
      <c r="F11" s="1"/>
      <c r="G11" s="1"/>
      <c r="H11" s="1"/>
      <c r="I11" s="1"/>
      <c r="J11" s="23" t="s">
        <v>61</v>
      </c>
      <c r="K11" s="25">
        <v>0.45251000000000002</v>
      </c>
      <c r="L11" s="1"/>
      <c r="M11" s="1"/>
      <c r="N11" s="17"/>
    </row>
    <row r="12" spans="2:14" ht="15" customHeight="1" x14ac:dyDescent="0.25">
      <c r="B12" s="19"/>
      <c r="C12" s="5" t="s">
        <v>22</v>
      </c>
      <c r="D12" s="6" t="s">
        <v>20</v>
      </c>
      <c r="E12" s="11">
        <v>1.6747999999999999E-2</v>
      </c>
      <c r="F12" s="1"/>
      <c r="G12" s="1"/>
      <c r="H12" s="1"/>
      <c r="I12" s="1"/>
      <c r="J12" s="23" t="s">
        <v>127</v>
      </c>
      <c r="K12" s="25">
        <v>0.14327599999999999</v>
      </c>
      <c r="L12" s="1"/>
      <c r="M12" s="1"/>
      <c r="N12" s="17"/>
    </row>
    <row r="13" spans="2:14" ht="15.75" customHeight="1" x14ac:dyDescent="0.25">
      <c r="B13" s="19"/>
      <c r="C13" s="7" t="s">
        <v>23</v>
      </c>
      <c r="D13" s="8"/>
      <c r="E13" s="12">
        <v>0.28060400000000002</v>
      </c>
      <c r="F13" s="1"/>
      <c r="G13" s="1"/>
      <c r="H13" s="1"/>
      <c r="I13" s="1"/>
      <c r="J13" s="23"/>
      <c r="K13" s="25"/>
      <c r="L13" s="1"/>
      <c r="M13" s="1"/>
      <c r="N13" s="17"/>
    </row>
    <row r="14" spans="2:14" ht="15" customHeight="1" x14ac:dyDescent="0.25">
      <c r="B14" s="19"/>
      <c r="C14" s="5" t="s">
        <v>30</v>
      </c>
      <c r="D14" s="6" t="s">
        <v>26</v>
      </c>
      <c r="E14" s="11">
        <v>9.3992000000000006E-2</v>
      </c>
      <c r="F14" s="1"/>
      <c r="G14" s="1"/>
      <c r="H14" s="1"/>
      <c r="I14" s="1"/>
      <c r="J14" s="23" t="s">
        <v>10</v>
      </c>
      <c r="K14" s="25">
        <v>1.1141E-2</v>
      </c>
      <c r="L14" s="1"/>
      <c r="M14" s="1"/>
      <c r="N14" s="17"/>
    </row>
    <row r="15" spans="2:14" ht="15" customHeight="1" x14ac:dyDescent="0.25">
      <c r="B15" s="19"/>
      <c r="C15" s="5" t="s">
        <v>122</v>
      </c>
      <c r="D15" s="6" t="s">
        <v>26</v>
      </c>
      <c r="E15" s="11">
        <v>8.7559999999999999E-2</v>
      </c>
      <c r="F15" s="1"/>
      <c r="G15" s="1"/>
      <c r="H15" s="1"/>
      <c r="I15" s="1"/>
      <c r="J15" s="1"/>
      <c r="K15" s="1"/>
      <c r="L15" s="1"/>
      <c r="M15" s="1"/>
      <c r="N15" s="17"/>
    </row>
    <row r="16" spans="2:14" ht="15" customHeight="1" x14ac:dyDescent="0.25">
      <c r="B16" s="19"/>
      <c r="C16" s="5" t="s">
        <v>29</v>
      </c>
      <c r="D16" s="6" t="s">
        <v>26</v>
      </c>
      <c r="E16" s="11">
        <v>8.7535000000000002E-2</v>
      </c>
      <c r="F16" s="1"/>
      <c r="G16" s="1"/>
      <c r="H16" s="1"/>
      <c r="I16" s="1"/>
      <c r="J16" s="1"/>
      <c r="K16" s="1"/>
      <c r="L16" s="1"/>
      <c r="M16" s="1"/>
      <c r="N16" s="17"/>
    </row>
    <row r="17" spans="2:14" ht="15" customHeight="1" x14ac:dyDescent="0.25">
      <c r="B17" s="19"/>
      <c r="C17" s="5" t="s">
        <v>123</v>
      </c>
      <c r="D17" s="6" t="s">
        <v>26</v>
      </c>
      <c r="E17" s="11">
        <v>5.3025000000000003E-2</v>
      </c>
      <c r="F17" s="1"/>
      <c r="G17" s="1"/>
      <c r="H17" s="1"/>
      <c r="I17" s="1"/>
      <c r="J17" s="1"/>
      <c r="K17" s="1"/>
      <c r="L17" s="1"/>
      <c r="M17" s="1"/>
      <c r="N17" s="17"/>
    </row>
    <row r="18" spans="2:14" ht="15" customHeight="1" x14ac:dyDescent="0.25">
      <c r="B18" s="19"/>
      <c r="C18" s="5" t="s">
        <v>27</v>
      </c>
      <c r="D18" s="6" t="s">
        <v>26</v>
      </c>
      <c r="E18" s="11">
        <v>5.2146999999999999E-2</v>
      </c>
      <c r="F18" s="1"/>
      <c r="G18" s="1"/>
      <c r="H18" s="1"/>
      <c r="I18" s="1"/>
      <c r="J18" s="1"/>
      <c r="K18" s="1"/>
      <c r="L18" s="1"/>
      <c r="M18" s="1"/>
      <c r="N18" s="17"/>
    </row>
    <row r="19" spans="2:14" ht="15" customHeight="1" x14ac:dyDescent="0.25">
      <c r="B19" s="19"/>
      <c r="C19" s="5" t="s">
        <v>33</v>
      </c>
      <c r="D19" s="6" t="s">
        <v>26</v>
      </c>
      <c r="E19" s="11">
        <v>4.2314999999999998E-2</v>
      </c>
      <c r="F19" s="1"/>
      <c r="G19" s="1"/>
      <c r="H19" s="1"/>
      <c r="I19" s="1"/>
      <c r="J19" s="1"/>
      <c r="K19" s="1"/>
      <c r="L19" s="1"/>
      <c r="M19" s="1"/>
      <c r="N19" s="17"/>
    </row>
    <row r="20" spans="2:14" ht="15" customHeight="1" x14ac:dyDescent="0.25">
      <c r="B20" s="19"/>
      <c r="C20" s="5" t="s">
        <v>124</v>
      </c>
      <c r="D20" s="6" t="s">
        <v>26</v>
      </c>
      <c r="E20" s="11">
        <v>3.5936000000000003E-2</v>
      </c>
      <c r="F20" s="1"/>
      <c r="G20" s="1"/>
      <c r="H20" s="1"/>
      <c r="I20" s="1"/>
      <c r="J20" s="1"/>
      <c r="K20" s="1"/>
      <c r="L20" s="1"/>
      <c r="M20" s="1"/>
      <c r="N20" s="17"/>
    </row>
    <row r="21" spans="2:14" ht="15.75" customHeight="1" x14ac:dyDescent="0.25">
      <c r="B21" s="19"/>
      <c r="C21" s="7" t="s">
        <v>46</v>
      </c>
      <c r="D21" s="8"/>
      <c r="E21" s="12">
        <v>0.45251000000000002</v>
      </c>
      <c r="F21" s="1"/>
      <c r="G21" s="1"/>
      <c r="H21" s="1"/>
      <c r="I21" s="1"/>
      <c r="J21" s="1"/>
      <c r="K21" s="1"/>
      <c r="L21" s="1"/>
      <c r="M21" s="1"/>
      <c r="N21" s="17"/>
    </row>
    <row r="22" spans="2:14" ht="15" customHeight="1" x14ac:dyDescent="0.25">
      <c r="B22" s="19"/>
      <c r="C22" s="5" t="s">
        <v>19</v>
      </c>
      <c r="D22" s="6" t="s">
        <v>20</v>
      </c>
      <c r="E22" s="11">
        <v>0.14327599999999999</v>
      </c>
      <c r="F22" s="1"/>
      <c r="G22" s="1"/>
      <c r="H22" s="1"/>
      <c r="I22" s="1"/>
      <c r="J22" s="1"/>
      <c r="K22" s="1"/>
      <c r="L22" s="1"/>
      <c r="M22" s="1"/>
      <c r="N22" s="17"/>
    </row>
    <row r="23" spans="2:14" ht="15.75" customHeight="1" x14ac:dyDescent="0.25">
      <c r="B23" s="19"/>
      <c r="C23" s="7" t="s">
        <v>125</v>
      </c>
      <c r="D23" s="8"/>
      <c r="E23" s="12">
        <v>0.14327599999999999</v>
      </c>
      <c r="F23" s="1"/>
      <c r="G23" s="1"/>
      <c r="H23" s="1"/>
      <c r="I23" s="1"/>
      <c r="J23" s="1"/>
      <c r="K23" s="1"/>
      <c r="L23" s="1"/>
      <c r="M23" s="1"/>
      <c r="N23" s="17"/>
    </row>
    <row r="24" spans="2:14" ht="15" customHeight="1" x14ac:dyDescent="0.25">
      <c r="B24" s="19"/>
      <c r="C24" s="5" t="s">
        <v>8</v>
      </c>
      <c r="D24" s="6"/>
      <c r="E24" s="11">
        <v>0.112515</v>
      </c>
      <c r="F24" s="1"/>
      <c r="G24" s="1"/>
      <c r="H24" s="1"/>
      <c r="I24" s="1"/>
      <c r="J24" s="1"/>
      <c r="K24" s="1"/>
      <c r="L24" s="1"/>
      <c r="M24" s="1"/>
      <c r="N24" s="17"/>
    </row>
    <row r="25" spans="2:14" ht="15.75" customHeight="1" x14ac:dyDescent="0.25">
      <c r="B25" s="19"/>
      <c r="C25" s="7" t="s">
        <v>9</v>
      </c>
      <c r="D25" s="8"/>
      <c r="E25" s="12">
        <v>0.112515</v>
      </c>
      <c r="F25" s="1"/>
      <c r="G25" s="1"/>
      <c r="H25" s="1"/>
      <c r="I25" s="1"/>
      <c r="J25" s="1"/>
      <c r="K25" s="1"/>
      <c r="L25" s="1"/>
      <c r="M25" s="1"/>
      <c r="N25" s="17"/>
    </row>
    <row r="26" spans="2:14" ht="15" customHeight="1" x14ac:dyDescent="0.25">
      <c r="B26" s="19"/>
      <c r="C26" s="5"/>
      <c r="D26" s="6"/>
      <c r="E26" s="11"/>
      <c r="F26" s="1"/>
      <c r="G26" s="29" t="s">
        <v>17</v>
      </c>
      <c r="H26" s="30"/>
      <c r="I26" s="30"/>
      <c r="J26" s="30"/>
      <c r="K26" s="30"/>
      <c r="L26" s="30"/>
      <c r="M26" s="30"/>
      <c r="N26" s="31"/>
    </row>
    <row r="27" spans="2:14" ht="15.75" customHeight="1" x14ac:dyDescent="0.25">
      <c r="B27" s="19"/>
      <c r="C27" s="7" t="s">
        <v>10</v>
      </c>
      <c r="D27" s="8"/>
      <c r="E27" s="12">
        <v>1.1141E-2</v>
      </c>
      <c r="F27" s="1"/>
      <c r="G27" s="1"/>
      <c r="H27" s="1"/>
      <c r="I27" s="1"/>
      <c r="J27" s="1"/>
      <c r="K27" s="1"/>
      <c r="L27" s="1"/>
      <c r="M27" s="1"/>
      <c r="N27" s="17"/>
    </row>
    <row r="28" spans="2:14" ht="15" customHeight="1" x14ac:dyDescent="0.25">
      <c r="B28" s="19"/>
      <c r="C28" s="5"/>
      <c r="D28" s="6"/>
      <c r="E28" s="11"/>
      <c r="F28" s="1"/>
      <c r="G28" s="1"/>
      <c r="H28" s="1"/>
      <c r="I28" s="1"/>
      <c r="J28" s="1"/>
      <c r="K28" s="1"/>
      <c r="L28" s="1"/>
      <c r="M28" s="1"/>
      <c r="N28" s="17"/>
    </row>
    <row r="29" spans="2:14" ht="15.75" customHeight="1" x14ac:dyDescent="0.25">
      <c r="B29" s="19"/>
      <c r="C29" s="9" t="s">
        <v>11</v>
      </c>
      <c r="D29" s="10"/>
      <c r="E29" s="13">
        <v>1.000046</v>
      </c>
      <c r="F29" s="1"/>
      <c r="G29" s="1"/>
      <c r="H29" s="1"/>
      <c r="I29" s="1"/>
      <c r="J29" s="1"/>
      <c r="K29" s="1"/>
      <c r="L29" s="1"/>
      <c r="M29" s="1"/>
      <c r="N29" s="17"/>
    </row>
    <row r="30" spans="2:14" ht="15" customHeight="1" x14ac:dyDescent="0.25">
      <c r="B30" s="19"/>
      <c r="F30" s="1"/>
      <c r="G30" s="1"/>
      <c r="H30" s="1"/>
      <c r="I30" s="1"/>
      <c r="J30" s="1"/>
      <c r="K30" s="1"/>
      <c r="L30" s="1"/>
      <c r="M30" s="1"/>
      <c r="N30" s="17"/>
    </row>
    <row r="31" spans="2:14" ht="15" customHeight="1" x14ac:dyDescent="0.25">
      <c r="B31" s="19"/>
      <c r="F31" s="1"/>
      <c r="G31" s="1"/>
      <c r="H31" s="1"/>
      <c r="I31" s="1"/>
      <c r="J31" s="1"/>
      <c r="K31" s="1"/>
      <c r="L31" s="1"/>
      <c r="M31" s="1"/>
      <c r="N31" s="17"/>
    </row>
    <row r="32" spans="2:14" ht="15" customHeight="1" x14ac:dyDescent="0.25">
      <c r="B32" s="19"/>
      <c r="C32" s="55" t="s">
        <v>126</v>
      </c>
      <c r="D32" s="55"/>
      <c r="E32" s="56">
        <v>0.303282</v>
      </c>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sheetData>
  <mergeCells count="3">
    <mergeCell ref="C3:N3"/>
    <mergeCell ref="G7:N7"/>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5"/>
  <sheetViews>
    <sheetView showGridLines="0" zoomScale="75" zoomScaleNormal="75" workbookViewId="0"/>
  </sheetViews>
  <sheetFormatPr defaultRowHeight="15" x14ac:dyDescent="0.25"/>
  <cols>
    <col min="1" max="1" width="2.85546875" customWidth="1"/>
    <col min="2" max="2" width="3.85546875" customWidth="1"/>
    <col min="3" max="3" width="56.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103</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224</v>
      </c>
      <c r="D8" s="6" t="s">
        <v>104</v>
      </c>
      <c r="E8" s="11">
        <v>6.3824000000000006E-2</v>
      </c>
      <c r="F8" s="1"/>
      <c r="G8" s="23" t="s">
        <v>15</v>
      </c>
      <c r="H8" s="25">
        <f>72.7059%-E8-E9</f>
        <v>0.599472</v>
      </c>
      <c r="I8" s="1"/>
      <c r="J8" s="23" t="s">
        <v>12</v>
      </c>
      <c r="K8" s="23" t="s">
        <v>3</v>
      </c>
      <c r="L8" s="1"/>
      <c r="M8" s="1"/>
      <c r="N8" s="17"/>
    </row>
    <row r="9" spans="2:14" ht="15" customHeight="1" x14ac:dyDescent="0.25">
      <c r="B9" s="19"/>
      <c r="C9" s="5" t="s">
        <v>105</v>
      </c>
      <c r="D9" s="6" t="s">
        <v>106</v>
      </c>
      <c r="E9" s="11">
        <v>6.3763E-2</v>
      </c>
      <c r="F9" s="1"/>
      <c r="G9" s="23" t="s">
        <v>115</v>
      </c>
      <c r="H9" s="25">
        <f>24.1795%+E8</f>
        <v>0.30561900000000003</v>
      </c>
      <c r="I9" s="1"/>
      <c r="J9" s="23" t="s">
        <v>13</v>
      </c>
      <c r="K9" s="25">
        <v>0.125307</v>
      </c>
      <c r="L9" s="1"/>
      <c r="M9" s="1"/>
      <c r="N9" s="17"/>
    </row>
    <row r="10" spans="2:14" ht="15" customHeight="1" x14ac:dyDescent="0.25">
      <c r="B10" s="19"/>
      <c r="C10" s="5" t="s">
        <v>37</v>
      </c>
      <c r="D10" s="6" t="s">
        <v>26</v>
      </c>
      <c r="E10" s="11">
        <v>6.2889E-2</v>
      </c>
      <c r="F10" s="1"/>
      <c r="G10" s="23" t="s">
        <v>116</v>
      </c>
      <c r="H10" s="25">
        <v>3.1146E-2</v>
      </c>
      <c r="I10" s="1"/>
      <c r="J10" s="23" t="s">
        <v>61</v>
      </c>
      <c r="K10" s="25">
        <v>0.45003100000000001</v>
      </c>
      <c r="L10" s="1"/>
      <c r="M10" s="1"/>
      <c r="N10" s="17"/>
    </row>
    <row r="11" spans="2:14" ht="15" customHeight="1" x14ac:dyDescent="0.25">
      <c r="B11" s="19"/>
      <c r="C11" s="5" t="s">
        <v>31</v>
      </c>
      <c r="D11" s="6" t="s">
        <v>26</v>
      </c>
      <c r="E11" s="11">
        <v>5.9656000000000001E-2</v>
      </c>
      <c r="F11" s="1"/>
      <c r="G11" s="23" t="s">
        <v>227</v>
      </c>
      <c r="H11" s="25">
        <f>E9</f>
        <v>6.3763E-2</v>
      </c>
      <c r="I11" s="1"/>
      <c r="J11" s="23" t="s">
        <v>63</v>
      </c>
      <c r="K11" s="25">
        <v>0.22333800000000001</v>
      </c>
      <c r="L11" s="1"/>
      <c r="M11" s="1"/>
      <c r="N11" s="17"/>
    </row>
    <row r="12" spans="2:14" ht="15" customHeight="1" x14ac:dyDescent="0.25">
      <c r="B12" s="19"/>
      <c r="C12" s="5" t="s">
        <v>225</v>
      </c>
      <c r="D12" s="6" t="s">
        <v>108</v>
      </c>
      <c r="E12" s="11">
        <v>5.6487000000000002E-2</v>
      </c>
      <c r="F12" s="1"/>
      <c r="G12" s="1"/>
      <c r="H12" s="1"/>
      <c r="I12" s="1"/>
      <c r="J12" s="23" t="s">
        <v>82</v>
      </c>
      <c r="K12" s="25">
        <v>8.8484999999999994E-2</v>
      </c>
      <c r="L12" s="1"/>
      <c r="M12" s="1"/>
      <c r="N12" s="17"/>
    </row>
    <row r="13" spans="2:14" ht="15" customHeight="1" x14ac:dyDescent="0.25">
      <c r="B13" s="19"/>
      <c r="C13" s="5" t="s">
        <v>222</v>
      </c>
      <c r="D13" s="6" t="s">
        <v>108</v>
      </c>
      <c r="E13" s="11">
        <v>3.1150000000000001E-2</v>
      </c>
      <c r="F13" s="1"/>
      <c r="G13" s="1"/>
      <c r="H13" s="1"/>
      <c r="I13" s="1"/>
      <c r="J13" s="23" t="s">
        <v>65</v>
      </c>
      <c r="K13" s="25">
        <v>9.3255000000000005E-2</v>
      </c>
      <c r="L13" s="1"/>
      <c r="M13" s="1"/>
      <c r="N13" s="17"/>
    </row>
    <row r="14" spans="2:14" ht="15" customHeight="1" x14ac:dyDescent="0.25">
      <c r="B14" s="19"/>
      <c r="C14" s="5" t="s">
        <v>109</v>
      </c>
      <c r="D14" s="6" t="s">
        <v>110</v>
      </c>
      <c r="E14" s="11">
        <v>3.1146E-2</v>
      </c>
      <c r="F14" s="1"/>
      <c r="G14" s="1"/>
      <c r="H14" s="1"/>
      <c r="I14" s="1"/>
      <c r="J14" s="23" t="s">
        <v>10</v>
      </c>
      <c r="K14" s="25">
        <v>1.9584000000000001E-2</v>
      </c>
      <c r="L14" s="1"/>
      <c r="M14" s="1"/>
      <c r="N14" s="17"/>
    </row>
    <row r="15" spans="2:14" ht="15" customHeight="1" x14ac:dyDescent="0.25">
      <c r="B15" s="19"/>
      <c r="C15" s="5" t="s">
        <v>111</v>
      </c>
      <c r="D15" s="6" t="s">
        <v>108</v>
      </c>
      <c r="E15" s="11">
        <v>3.0141999999999999E-2</v>
      </c>
      <c r="F15" s="1"/>
      <c r="G15" s="1"/>
      <c r="H15" s="1"/>
      <c r="I15" s="1"/>
      <c r="J15" s="1"/>
      <c r="K15" s="1"/>
      <c r="L15" s="1"/>
      <c r="M15" s="1"/>
      <c r="N15" s="17"/>
    </row>
    <row r="16" spans="2:14" ht="15" customHeight="1" x14ac:dyDescent="0.25">
      <c r="B16" s="19"/>
      <c r="C16" s="5" t="s">
        <v>223</v>
      </c>
      <c r="D16" s="6" t="s">
        <v>108</v>
      </c>
      <c r="E16" s="11">
        <v>2.4305E-2</v>
      </c>
      <c r="F16" s="1"/>
      <c r="G16" s="1"/>
      <c r="H16" s="1"/>
      <c r="I16" s="1"/>
      <c r="J16" s="1"/>
      <c r="K16" s="1"/>
      <c r="L16" s="1"/>
      <c r="M16" s="1"/>
      <c r="N16" s="17"/>
    </row>
    <row r="17" spans="2:14" ht="15" customHeight="1" x14ac:dyDescent="0.25">
      <c r="B17" s="19"/>
      <c r="C17" s="5" t="s">
        <v>28</v>
      </c>
      <c r="D17" s="6" t="s">
        <v>26</v>
      </c>
      <c r="E17" s="11">
        <v>1.3480000000000001E-2</v>
      </c>
      <c r="F17" s="1"/>
      <c r="G17" s="1"/>
      <c r="H17" s="1"/>
      <c r="I17" s="1"/>
      <c r="J17" s="1"/>
      <c r="K17" s="1"/>
      <c r="L17" s="1"/>
      <c r="M17" s="1"/>
      <c r="N17" s="17"/>
    </row>
    <row r="18" spans="2:14" ht="15" customHeight="1" x14ac:dyDescent="0.25">
      <c r="B18" s="19"/>
      <c r="C18" s="5" t="s">
        <v>30</v>
      </c>
      <c r="D18" s="6" t="s">
        <v>26</v>
      </c>
      <c r="E18" s="11">
        <v>6.7330000000000003E-3</v>
      </c>
      <c r="F18" s="1"/>
      <c r="G18" s="1"/>
      <c r="H18" s="1"/>
      <c r="I18" s="1"/>
      <c r="J18" s="1"/>
      <c r="K18" s="1"/>
      <c r="L18" s="1"/>
      <c r="M18" s="1"/>
      <c r="N18" s="17"/>
    </row>
    <row r="19" spans="2:14" ht="15" customHeight="1" x14ac:dyDescent="0.25">
      <c r="B19" s="19"/>
      <c r="C19" s="5" t="s">
        <v>112</v>
      </c>
      <c r="D19" s="6" t="s">
        <v>108</v>
      </c>
      <c r="E19" s="11">
        <v>6.4559999999999999E-3</v>
      </c>
      <c r="F19" s="1"/>
      <c r="G19" s="1"/>
      <c r="H19" s="1"/>
      <c r="I19" s="1"/>
      <c r="J19" s="1"/>
      <c r="K19" s="1"/>
      <c r="L19" s="1"/>
      <c r="M19" s="1"/>
      <c r="N19" s="17"/>
    </row>
    <row r="20" spans="2:14" ht="15.75" customHeight="1" x14ac:dyDescent="0.25">
      <c r="B20" s="19"/>
      <c r="C20" s="7" t="s">
        <v>46</v>
      </c>
      <c r="D20" s="8"/>
      <c r="E20" s="12">
        <v>0.45003100000000001</v>
      </c>
      <c r="F20" s="1"/>
      <c r="G20" s="1"/>
      <c r="H20" s="1"/>
      <c r="I20" s="1"/>
      <c r="J20" s="1"/>
      <c r="K20" s="1"/>
      <c r="L20" s="1"/>
      <c r="M20" s="1"/>
      <c r="N20" s="17"/>
    </row>
    <row r="21" spans="2:14" ht="15" customHeight="1" x14ac:dyDescent="0.25">
      <c r="B21" s="19"/>
      <c r="C21" s="5" t="s">
        <v>113</v>
      </c>
      <c r="D21" s="6" t="s">
        <v>48</v>
      </c>
      <c r="E21" s="11">
        <v>0.15420900000000001</v>
      </c>
      <c r="F21" s="1"/>
      <c r="G21" s="1"/>
      <c r="H21" s="1"/>
      <c r="I21" s="1"/>
      <c r="J21" s="1"/>
      <c r="K21" s="1"/>
      <c r="L21" s="1"/>
      <c r="M21" s="1"/>
      <c r="N21" s="17"/>
    </row>
    <row r="22" spans="2:14" ht="15" customHeight="1" x14ac:dyDescent="0.25">
      <c r="B22" s="19"/>
      <c r="C22" s="5" t="s">
        <v>52</v>
      </c>
      <c r="D22" s="6" t="s">
        <v>48</v>
      </c>
      <c r="E22" s="11">
        <v>3.6623000000000003E-2</v>
      </c>
      <c r="F22" s="1"/>
      <c r="G22" s="1"/>
      <c r="H22" s="1"/>
      <c r="I22" s="1"/>
      <c r="J22" s="1"/>
      <c r="K22" s="1"/>
      <c r="L22" s="1"/>
      <c r="M22" s="1"/>
      <c r="N22" s="17"/>
    </row>
    <row r="23" spans="2:14" ht="15" customHeight="1" x14ac:dyDescent="0.25">
      <c r="B23" s="19"/>
      <c r="C23" s="5" t="s">
        <v>71</v>
      </c>
      <c r="D23" s="6" t="s">
        <v>48</v>
      </c>
      <c r="E23" s="11">
        <v>2.6442E-2</v>
      </c>
      <c r="F23" s="1"/>
      <c r="G23" s="1"/>
      <c r="H23" s="1"/>
      <c r="I23" s="1"/>
      <c r="J23" s="1"/>
      <c r="K23" s="1"/>
      <c r="L23" s="1"/>
      <c r="M23" s="1"/>
      <c r="N23" s="17"/>
    </row>
    <row r="24" spans="2:14" ht="15" customHeight="1" x14ac:dyDescent="0.25">
      <c r="B24" s="19"/>
      <c r="C24" s="5" t="s">
        <v>73</v>
      </c>
      <c r="D24" s="6" t="s">
        <v>48</v>
      </c>
      <c r="E24" s="11">
        <v>6.0639999999999999E-3</v>
      </c>
      <c r="F24" s="1"/>
      <c r="G24" s="1"/>
      <c r="H24" s="1"/>
      <c r="I24" s="1"/>
      <c r="J24" s="1"/>
      <c r="K24" s="1"/>
      <c r="L24" s="1"/>
      <c r="M24" s="1"/>
      <c r="N24" s="17"/>
    </row>
    <row r="25" spans="2:14" ht="15.75" customHeight="1" x14ac:dyDescent="0.25">
      <c r="B25" s="19"/>
      <c r="C25" s="7" t="s">
        <v>57</v>
      </c>
      <c r="D25" s="8"/>
      <c r="E25" s="12">
        <v>0.22333800000000001</v>
      </c>
      <c r="F25" s="1"/>
      <c r="G25" s="1"/>
      <c r="H25" s="1"/>
      <c r="I25" s="1"/>
      <c r="J25" s="1"/>
      <c r="K25" s="1"/>
      <c r="L25" s="1"/>
      <c r="M25" s="1"/>
      <c r="N25" s="17"/>
    </row>
    <row r="26" spans="2:14" ht="15" customHeight="1" x14ac:dyDescent="0.25">
      <c r="B26" s="19"/>
      <c r="C26" s="5" t="s">
        <v>226</v>
      </c>
      <c r="D26" s="6" t="s">
        <v>78</v>
      </c>
      <c r="E26" s="11">
        <v>8.8484999999999994E-2</v>
      </c>
      <c r="F26" s="1"/>
      <c r="G26" s="29" t="s">
        <v>17</v>
      </c>
      <c r="H26" s="30"/>
      <c r="I26" s="30"/>
      <c r="J26" s="30"/>
      <c r="K26" s="30"/>
      <c r="L26" s="30"/>
      <c r="M26" s="30"/>
      <c r="N26" s="31"/>
    </row>
    <row r="27" spans="2:14" ht="15.75" customHeight="1" x14ac:dyDescent="0.25">
      <c r="B27" s="19"/>
      <c r="C27" s="7" t="s">
        <v>79</v>
      </c>
      <c r="D27" s="8"/>
      <c r="E27" s="12">
        <v>8.8484999999999994E-2</v>
      </c>
      <c r="F27" s="1"/>
      <c r="G27" s="1"/>
      <c r="H27" s="1"/>
      <c r="I27" s="1"/>
      <c r="J27" s="1"/>
      <c r="K27" s="1"/>
      <c r="L27" s="1"/>
      <c r="M27" s="1"/>
      <c r="N27" s="17"/>
    </row>
    <row r="28" spans="2:14" ht="15" customHeight="1" x14ac:dyDescent="0.25">
      <c r="B28" s="19"/>
      <c r="C28" s="5" t="s">
        <v>8</v>
      </c>
      <c r="D28" s="6"/>
      <c r="E28" s="11">
        <v>0.125307</v>
      </c>
      <c r="F28" s="1"/>
      <c r="G28" s="1"/>
      <c r="H28" s="1"/>
      <c r="I28" s="1"/>
      <c r="J28" s="1"/>
      <c r="K28" s="1"/>
      <c r="L28" s="1"/>
      <c r="M28" s="1"/>
      <c r="N28" s="17"/>
    </row>
    <row r="29" spans="2:14" ht="15.75" customHeight="1" x14ac:dyDescent="0.25">
      <c r="B29" s="19"/>
      <c r="C29" s="7" t="s">
        <v>9</v>
      </c>
      <c r="D29" s="8"/>
      <c r="E29" s="12">
        <v>0.125307</v>
      </c>
      <c r="F29" s="1"/>
      <c r="G29" s="1"/>
      <c r="H29" s="1"/>
      <c r="I29" s="1"/>
      <c r="J29" s="1"/>
      <c r="K29" s="1"/>
      <c r="L29" s="1"/>
      <c r="M29" s="1"/>
      <c r="N29" s="17"/>
    </row>
    <row r="30" spans="2:14" ht="15" customHeight="1" x14ac:dyDescent="0.25">
      <c r="B30" s="19"/>
      <c r="C30" s="5" t="s">
        <v>114</v>
      </c>
      <c r="D30" s="6" t="s">
        <v>108</v>
      </c>
      <c r="E30" s="11">
        <v>9.3255000000000005E-2</v>
      </c>
      <c r="F30" s="1"/>
      <c r="G30" s="1"/>
      <c r="H30" s="1"/>
      <c r="I30" s="1"/>
      <c r="J30" s="1"/>
      <c r="K30" s="1"/>
      <c r="L30" s="1"/>
      <c r="M30" s="1"/>
      <c r="N30" s="17"/>
    </row>
    <row r="31" spans="2:14" ht="15.75" customHeight="1" x14ac:dyDescent="0.25">
      <c r="B31" s="19"/>
      <c r="C31" s="7" t="s">
        <v>59</v>
      </c>
      <c r="D31" s="8"/>
      <c r="E31" s="12">
        <v>9.3255000000000005E-2</v>
      </c>
      <c r="F31" s="1"/>
      <c r="G31" s="1"/>
      <c r="H31" s="1"/>
      <c r="I31" s="1"/>
      <c r="J31" s="1"/>
      <c r="K31" s="1"/>
      <c r="L31" s="1"/>
      <c r="M31" s="1"/>
      <c r="N31" s="17"/>
    </row>
    <row r="32" spans="2:14" ht="15" customHeight="1" x14ac:dyDescent="0.25">
      <c r="B32" s="19"/>
      <c r="C32" s="5"/>
      <c r="D32" s="6"/>
      <c r="E32" s="11"/>
      <c r="F32" s="1"/>
      <c r="G32" s="1"/>
      <c r="H32" s="1"/>
      <c r="I32" s="1"/>
      <c r="J32" s="1"/>
      <c r="K32" s="1"/>
      <c r="L32" s="1"/>
      <c r="M32" s="1"/>
      <c r="N32" s="17"/>
    </row>
    <row r="33" spans="2:14" ht="15.75" customHeight="1" x14ac:dyDescent="0.25">
      <c r="B33" s="19"/>
      <c r="C33" s="7" t="s">
        <v>10</v>
      </c>
      <c r="D33" s="8"/>
      <c r="E33" s="12">
        <v>1.9584000000000001E-2</v>
      </c>
      <c r="F33" s="1"/>
      <c r="G33" s="1"/>
      <c r="H33" s="1"/>
      <c r="I33" s="1"/>
      <c r="J33" s="1"/>
      <c r="K33" s="1"/>
      <c r="L33" s="1"/>
      <c r="M33" s="1"/>
      <c r="N33" s="17"/>
    </row>
    <row r="34" spans="2:14" ht="15" customHeight="1" x14ac:dyDescent="0.25">
      <c r="B34" s="19"/>
      <c r="C34" s="5"/>
      <c r="D34" s="6"/>
      <c r="E34" s="11"/>
      <c r="F34" s="1"/>
      <c r="G34" s="1"/>
      <c r="H34" s="1"/>
      <c r="I34" s="1"/>
      <c r="J34" s="1"/>
      <c r="K34" s="1"/>
      <c r="L34" s="1"/>
      <c r="M34" s="1"/>
      <c r="N34" s="17"/>
    </row>
    <row r="35" spans="2:14" ht="15" customHeight="1" x14ac:dyDescent="0.25">
      <c r="B35" s="19"/>
      <c r="C35" s="9" t="s">
        <v>11</v>
      </c>
      <c r="D35" s="10"/>
      <c r="E35" s="13">
        <v>1</v>
      </c>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t="s">
        <v>219</v>
      </c>
      <c r="D37" s="1"/>
      <c r="E37" s="1"/>
      <c r="F37" s="1"/>
      <c r="G37" s="1"/>
      <c r="H37" s="1"/>
      <c r="I37" s="1"/>
      <c r="J37" s="1"/>
      <c r="K37" s="1"/>
      <c r="L37" s="1"/>
      <c r="M37" s="1"/>
      <c r="N37" s="17"/>
    </row>
    <row r="38" spans="2:14" ht="15" customHeight="1" x14ac:dyDescent="0.25">
      <c r="B38" s="19"/>
      <c r="C38" s="1" t="s">
        <v>220</v>
      </c>
      <c r="D38" s="1"/>
      <c r="E38" s="1"/>
      <c r="F38" s="1"/>
      <c r="G38" s="1"/>
      <c r="H38" s="1"/>
      <c r="I38" s="1"/>
      <c r="J38" s="1"/>
      <c r="K38" s="1"/>
      <c r="L38" s="1"/>
      <c r="M38" s="1"/>
      <c r="N38" s="17"/>
    </row>
    <row r="39" spans="2:14" ht="15" customHeight="1" x14ac:dyDescent="0.25">
      <c r="B39" s="19"/>
      <c r="C39" s="54" t="s">
        <v>221</v>
      </c>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sheetData>
  <mergeCells count="3">
    <mergeCell ref="C3:N3"/>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128</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67</v>
      </c>
      <c r="D8" s="6" t="s">
        <v>48</v>
      </c>
      <c r="E8" s="11">
        <v>0.58885600000000005</v>
      </c>
      <c r="F8" s="1"/>
      <c r="G8" s="23" t="s">
        <v>15</v>
      </c>
      <c r="H8" s="24">
        <v>1</v>
      </c>
      <c r="I8" s="1"/>
      <c r="J8" s="23" t="s">
        <v>12</v>
      </c>
      <c r="K8" s="23" t="s">
        <v>3</v>
      </c>
      <c r="L8" s="1"/>
      <c r="M8" s="1"/>
      <c r="N8" s="17"/>
    </row>
    <row r="9" spans="2:14" ht="15" customHeight="1" x14ac:dyDescent="0.25">
      <c r="B9" s="19"/>
      <c r="C9" s="5" t="s">
        <v>69</v>
      </c>
      <c r="D9" s="6" t="s">
        <v>48</v>
      </c>
      <c r="E9" s="11">
        <v>0.15010699999999999</v>
      </c>
      <c r="F9" s="1"/>
      <c r="G9" s="1"/>
      <c r="H9" s="1"/>
      <c r="I9" s="1"/>
      <c r="J9" s="23" t="s">
        <v>13</v>
      </c>
      <c r="K9" s="25">
        <v>1.8010000000000001E-3</v>
      </c>
      <c r="L9" s="1"/>
      <c r="M9" s="1"/>
      <c r="N9" s="17"/>
    </row>
    <row r="10" spans="2:14" ht="15" customHeight="1" x14ac:dyDescent="0.25">
      <c r="B10" s="19"/>
      <c r="C10" s="5" t="s">
        <v>68</v>
      </c>
      <c r="D10" s="6" t="s">
        <v>48</v>
      </c>
      <c r="E10" s="11">
        <v>0.14524899999999999</v>
      </c>
      <c r="F10" s="1"/>
      <c r="G10" s="1"/>
      <c r="H10" s="1"/>
      <c r="I10" s="1"/>
      <c r="J10" s="23" t="s">
        <v>63</v>
      </c>
      <c r="K10" s="25">
        <v>0.97894499999999995</v>
      </c>
      <c r="L10" s="1"/>
      <c r="M10" s="1"/>
      <c r="N10" s="17"/>
    </row>
    <row r="11" spans="2:14" ht="15" customHeight="1" x14ac:dyDescent="0.25">
      <c r="B11" s="19"/>
      <c r="C11" s="5" t="s">
        <v>70</v>
      </c>
      <c r="D11" s="6" t="s">
        <v>48</v>
      </c>
      <c r="E11" s="11">
        <v>7.5729000000000005E-2</v>
      </c>
      <c r="F11" s="1"/>
      <c r="G11" s="1"/>
      <c r="H11" s="1"/>
      <c r="I11" s="1"/>
      <c r="J11" s="23" t="s">
        <v>10</v>
      </c>
      <c r="K11" s="25">
        <v>1.9254E-2</v>
      </c>
      <c r="L11" s="1"/>
      <c r="M11" s="1"/>
      <c r="N11" s="17"/>
    </row>
    <row r="12" spans="2:14" ht="15" customHeight="1" x14ac:dyDescent="0.25">
      <c r="B12" s="19"/>
      <c r="C12" s="5" t="s">
        <v>72</v>
      </c>
      <c r="D12" s="6" t="s">
        <v>48</v>
      </c>
      <c r="E12" s="11">
        <v>9.6329999999999992E-3</v>
      </c>
      <c r="F12" s="1"/>
      <c r="G12" s="1"/>
      <c r="H12" s="1"/>
      <c r="I12" s="1"/>
      <c r="J12" s="1"/>
      <c r="K12" s="1"/>
      <c r="L12" s="1"/>
      <c r="M12" s="1"/>
      <c r="N12" s="17"/>
    </row>
    <row r="13" spans="2:14" ht="15" customHeight="1" x14ac:dyDescent="0.25">
      <c r="B13" s="19"/>
      <c r="C13" s="5" t="s">
        <v>71</v>
      </c>
      <c r="D13" s="6" t="s">
        <v>48</v>
      </c>
      <c r="E13" s="11">
        <v>7.3920000000000001E-3</v>
      </c>
      <c r="F13" s="1"/>
      <c r="G13" s="1"/>
      <c r="H13" s="1"/>
      <c r="I13" s="1"/>
      <c r="J13" s="1"/>
      <c r="K13" s="1"/>
      <c r="L13" s="1"/>
      <c r="M13" s="1"/>
      <c r="N13" s="17"/>
    </row>
    <row r="14" spans="2:14" ht="15" customHeight="1" x14ac:dyDescent="0.25">
      <c r="B14" s="19"/>
      <c r="C14" s="5" t="s">
        <v>74</v>
      </c>
      <c r="D14" s="6" t="s">
        <v>48</v>
      </c>
      <c r="E14" s="11">
        <v>1.322E-3</v>
      </c>
      <c r="F14" s="1"/>
      <c r="G14" s="1"/>
      <c r="H14" s="1"/>
      <c r="I14" s="1"/>
      <c r="J14" s="1"/>
      <c r="K14" s="1"/>
      <c r="L14" s="1"/>
      <c r="M14" s="1"/>
      <c r="N14" s="17"/>
    </row>
    <row r="15" spans="2:14" ht="15" customHeight="1" x14ac:dyDescent="0.25">
      <c r="B15" s="19"/>
      <c r="C15" s="5" t="s">
        <v>73</v>
      </c>
      <c r="D15" s="6" t="s">
        <v>48</v>
      </c>
      <c r="E15" s="11">
        <v>6.1600000000000001E-4</v>
      </c>
      <c r="F15" s="1"/>
      <c r="G15" s="1"/>
      <c r="H15" s="1"/>
      <c r="I15" s="1"/>
      <c r="J15" s="1"/>
      <c r="K15" s="1"/>
      <c r="L15" s="1"/>
      <c r="M15" s="1"/>
      <c r="N15" s="17"/>
    </row>
    <row r="16" spans="2:14" ht="15" customHeight="1" x14ac:dyDescent="0.25">
      <c r="B16" s="19"/>
      <c r="C16" s="5" t="s">
        <v>113</v>
      </c>
      <c r="D16" s="6" t="s">
        <v>48</v>
      </c>
      <c r="E16" s="11">
        <v>4.1E-5</v>
      </c>
      <c r="F16" s="1"/>
      <c r="G16" s="1"/>
      <c r="H16" s="1"/>
      <c r="I16" s="1"/>
      <c r="J16" s="1"/>
      <c r="K16" s="1"/>
      <c r="L16" s="1"/>
      <c r="M16" s="1"/>
      <c r="N16" s="17"/>
    </row>
    <row r="17" spans="2:14" ht="15.75" customHeight="1" x14ac:dyDescent="0.25">
      <c r="B17" s="19"/>
      <c r="C17" s="7" t="s">
        <v>57</v>
      </c>
      <c r="D17" s="8"/>
      <c r="E17" s="12">
        <v>0.97894499999999995</v>
      </c>
      <c r="F17" s="1"/>
      <c r="G17" s="1"/>
      <c r="H17" s="1"/>
      <c r="I17" s="1"/>
      <c r="J17" s="1"/>
      <c r="K17" s="1"/>
      <c r="L17" s="1"/>
      <c r="M17" s="1"/>
      <c r="N17" s="17"/>
    </row>
    <row r="18" spans="2:14" ht="15" customHeight="1" x14ac:dyDescent="0.25">
      <c r="B18" s="19"/>
      <c r="C18" s="5" t="s">
        <v>8</v>
      </c>
      <c r="D18" s="6"/>
      <c r="E18" s="11">
        <v>1.8010000000000001E-3</v>
      </c>
      <c r="F18" s="1"/>
      <c r="G18" s="1"/>
      <c r="H18" s="1"/>
      <c r="I18" s="1"/>
      <c r="J18" s="1"/>
      <c r="K18" s="1"/>
      <c r="L18" s="1"/>
      <c r="M18" s="1"/>
      <c r="N18" s="17"/>
    </row>
    <row r="19" spans="2:14" ht="15.75" customHeight="1" x14ac:dyDescent="0.25">
      <c r="B19" s="19"/>
      <c r="C19" s="7" t="s">
        <v>9</v>
      </c>
      <c r="D19" s="8"/>
      <c r="E19" s="12">
        <v>1.8010000000000001E-3</v>
      </c>
      <c r="F19" s="1"/>
      <c r="G19" s="1"/>
      <c r="H19" s="1"/>
      <c r="I19" s="1"/>
      <c r="J19" s="1"/>
      <c r="K19" s="1"/>
      <c r="L19" s="1"/>
      <c r="M19" s="1"/>
      <c r="N19" s="17"/>
    </row>
    <row r="20" spans="2:14" ht="15" customHeight="1" x14ac:dyDescent="0.25">
      <c r="B20" s="19"/>
      <c r="C20" s="5"/>
      <c r="D20" s="6"/>
      <c r="E20" s="11"/>
      <c r="F20" s="1"/>
      <c r="G20" s="1"/>
      <c r="H20" s="1"/>
      <c r="I20" s="1"/>
      <c r="J20" s="1"/>
      <c r="K20" s="1"/>
      <c r="L20" s="1"/>
      <c r="M20" s="1"/>
      <c r="N20" s="17"/>
    </row>
    <row r="21" spans="2:14" ht="15.75" customHeight="1" x14ac:dyDescent="0.25">
      <c r="B21" s="19"/>
      <c r="C21" s="7" t="s">
        <v>10</v>
      </c>
      <c r="D21" s="8"/>
      <c r="E21" s="12">
        <v>1.9254E-2</v>
      </c>
      <c r="F21" s="1"/>
      <c r="G21" s="1"/>
      <c r="H21" s="1"/>
      <c r="I21" s="1"/>
      <c r="J21" s="1"/>
      <c r="K21" s="1"/>
      <c r="L21" s="1"/>
      <c r="M21" s="1"/>
      <c r="N21" s="17"/>
    </row>
    <row r="22" spans="2:14" ht="15" customHeight="1" x14ac:dyDescent="0.25">
      <c r="B22" s="19"/>
      <c r="C22" s="5"/>
      <c r="D22" s="6"/>
      <c r="E22" s="11"/>
      <c r="F22" s="1"/>
      <c r="G22" s="1"/>
      <c r="H22" s="1"/>
      <c r="I22" s="1"/>
      <c r="J22" s="1"/>
      <c r="K22" s="1"/>
      <c r="L22" s="1"/>
      <c r="M22" s="1"/>
      <c r="N22" s="17"/>
    </row>
    <row r="23" spans="2:14" ht="15" customHeight="1" x14ac:dyDescent="0.25">
      <c r="B23" s="19"/>
      <c r="C23" s="9" t="s">
        <v>11</v>
      </c>
      <c r="D23" s="10"/>
      <c r="E23" s="13">
        <v>1</v>
      </c>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29" t="s">
        <v>17</v>
      </c>
      <c r="H26" s="30"/>
      <c r="I26" s="30"/>
      <c r="J26" s="30"/>
      <c r="K26" s="30"/>
      <c r="L26" s="30"/>
      <c r="M26" s="30"/>
      <c r="N26" s="31"/>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ht="15" customHeight="1" x14ac:dyDescent="0.25">
      <c r="B51" s="19"/>
      <c r="C51" s="1"/>
      <c r="D51" s="1"/>
      <c r="E51" s="1"/>
      <c r="F51" s="1"/>
      <c r="G51" s="1"/>
      <c r="H51" s="1"/>
      <c r="I51" s="1"/>
      <c r="J51" s="1"/>
      <c r="K51" s="1"/>
      <c r="L51" s="1"/>
      <c r="M51" s="1"/>
      <c r="N51" s="17"/>
    </row>
    <row r="52" spans="2:14" ht="15" customHeight="1" x14ac:dyDescent="0.25">
      <c r="B52" s="19"/>
      <c r="C52" s="1"/>
      <c r="D52" s="1"/>
      <c r="E52" s="1"/>
      <c r="F52" s="1"/>
      <c r="G52" s="1"/>
      <c r="H52" s="1"/>
      <c r="I52" s="1"/>
      <c r="J52" s="1"/>
      <c r="K52" s="1"/>
      <c r="L52" s="1"/>
      <c r="M52" s="1"/>
      <c r="N52" s="17"/>
    </row>
    <row r="53" spans="2:14" ht="15" customHeight="1"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129</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74</v>
      </c>
      <c r="D8" s="6" t="s">
        <v>48</v>
      </c>
      <c r="E8" s="11">
        <v>0.77334199999999997</v>
      </c>
      <c r="F8" s="1"/>
      <c r="G8" s="23" t="s">
        <v>15</v>
      </c>
      <c r="H8" s="24">
        <v>1</v>
      </c>
      <c r="I8" s="1"/>
      <c r="J8" s="23" t="s">
        <v>12</v>
      </c>
      <c r="K8" s="23" t="s">
        <v>3</v>
      </c>
      <c r="L8" s="1"/>
      <c r="M8" s="1"/>
      <c r="N8" s="17"/>
    </row>
    <row r="9" spans="2:14" ht="15" customHeight="1" x14ac:dyDescent="0.25">
      <c r="B9" s="19"/>
      <c r="C9" s="5" t="s">
        <v>130</v>
      </c>
      <c r="D9" s="6" t="s">
        <v>48</v>
      </c>
      <c r="E9" s="11">
        <v>0.154864</v>
      </c>
      <c r="F9" s="1"/>
      <c r="G9" s="1"/>
      <c r="H9" s="1"/>
      <c r="I9" s="1"/>
      <c r="J9" s="23" t="s">
        <v>13</v>
      </c>
      <c r="K9" s="25">
        <v>1.6833000000000001E-2</v>
      </c>
      <c r="L9" s="1"/>
      <c r="M9" s="1"/>
      <c r="N9" s="17"/>
    </row>
    <row r="10" spans="2:14" ht="15" customHeight="1" x14ac:dyDescent="0.25">
      <c r="B10" s="19"/>
      <c r="C10" s="5" t="s">
        <v>75</v>
      </c>
      <c r="D10" s="6" t="s">
        <v>48</v>
      </c>
      <c r="E10" s="11">
        <v>1.7665E-2</v>
      </c>
      <c r="F10" s="1"/>
      <c r="G10" s="1"/>
      <c r="H10" s="1"/>
      <c r="I10" s="1"/>
      <c r="J10" s="23" t="s">
        <v>63</v>
      </c>
      <c r="K10" s="25">
        <v>0.97228599999999998</v>
      </c>
      <c r="L10" s="1"/>
      <c r="M10" s="1"/>
      <c r="N10" s="17"/>
    </row>
    <row r="11" spans="2:14" ht="15" customHeight="1" x14ac:dyDescent="0.25">
      <c r="B11" s="19"/>
      <c r="C11" s="5" t="s">
        <v>131</v>
      </c>
      <c r="D11" s="6" t="s">
        <v>48</v>
      </c>
      <c r="E11" s="11">
        <v>1.6334000000000001E-2</v>
      </c>
      <c r="F11" s="1"/>
      <c r="G11" s="1"/>
      <c r="H11" s="1"/>
      <c r="I11" s="1"/>
      <c r="J11" s="23" t="s">
        <v>10</v>
      </c>
      <c r="K11" s="25">
        <v>1.0881E-2</v>
      </c>
      <c r="L11" s="1"/>
      <c r="M11" s="1"/>
      <c r="N11" s="17"/>
    </row>
    <row r="12" spans="2:14" ht="15" customHeight="1" x14ac:dyDescent="0.25">
      <c r="B12" s="19"/>
      <c r="C12" s="5" t="s">
        <v>67</v>
      </c>
      <c r="D12" s="6" t="s">
        <v>48</v>
      </c>
      <c r="E12" s="11">
        <v>6.6860000000000001E-3</v>
      </c>
      <c r="F12" s="1"/>
      <c r="G12" s="1"/>
      <c r="H12" s="1"/>
      <c r="I12" s="1"/>
      <c r="J12" s="1"/>
      <c r="K12" s="1"/>
      <c r="L12" s="1"/>
      <c r="M12" s="1"/>
      <c r="N12" s="17"/>
    </row>
    <row r="13" spans="2:14" ht="15" customHeight="1" x14ac:dyDescent="0.25">
      <c r="B13" s="19"/>
      <c r="C13" s="5" t="s">
        <v>113</v>
      </c>
      <c r="D13" s="6" t="s">
        <v>48</v>
      </c>
      <c r="E13" s="11">
        <v>3.395E-3</v>
      </c>
      <c r="F13" s="1"/>
      <c r="G13" s="1"/>
      <c r="H13" s="1"/>
      <c r="I13" s="1"/>
      <c r="J13" s="1"/>
      <c r="K13" s="1"/>
      <c r="L13" s="1"/>
      <c r="M13" s="1"/>
      <c r="N13" s="17"/>
    </row>
    <row r="14" spans="2:14" ht="15.75" customHeight="1" x14ac:dyDescent="0.25">
      <c r="B14" s="19"/>
      <c r="C14" s="7" t="s">
        <v>57</v>
      </c>
      <c r="D14" s="8"/>
      <c r="E14" s="12">
        <v>0.97228599999999998</v>
      </c>
      <c r="F14" s="1"/>
      <c r="G14" s="1"/>
      <c r="H14" s="1"/>
      <c r="I14" s="1"/>
      <c r="J14" s="1"/>
      <c r="K14" s="1"/>
      <c r="L14" s="1"/>
      <c r="M14" s="1"/>
      <c r="N14" s="17"/>
    </row>
    <row r="15" spans="2:14" ht="15" customHeight="1" x14ac:dyDescent="0.25">
      <c r="B15" s="19"/>
      <c r="C15" s="5" t="s">
        <v>8</v>
      </c>
      <c r="D15" s="6"/>
      <c r="E15" s="11">
        <v>1.6833000000000001E-2</v>
      </c>
      <c r="F15" s="1"/>
      <c r="G15" s="1"/>
      <c r="H15" s="1"/>
      <c r="I15" s="1"/>
      <c r="J15" s="1"/>
      <c r="K15" s="1"/>
      <c r="L15" s="1"/>
      <c r="M15" s="1"/>
      <c r="N15" s="17"/>
    </row>
    <row r="16" spans="2:14" ht="15.75" customHeight="1" x14ac:dyDescent="0.25">
      <c r="B16" s="19"/>
      <c r="C16" s="7" t="s">
        <v>9</v>
      </c>
      <c r="D16" s="8"/>
      <c r="E16" s="12">
        <v>1.6833000000000001E-2</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75" customHeight="1" x14ac:dyDescent="0.25">
      <c r="B18" s="19"/>
      <c r="C18" s="7" t="s">
        <v>10</v>
      </c>
      <c r="D18" s="8"/>
      <c r="E18" s="12">
        <v>1.0881E-2</v>
      </c>
      <c r="F18" s="1"/>
      <c r="G18" s="1"/>
      <c r="H18" s="1"/>
      <c r="I18" s="1"/>
      <c r="J18" s="1"/>
      <c r="K18" s="1"/>
      <c r="L18" s="1"/>
      <c r="M18" s="1"/>
      <c r="N18" s="17"/>
    </row>
    <row r="19" spans="2:14" ht="15" customHeight="1" x14ac:dyDescent="0.25">
      <c r="B19" s="19"/>
      <c r="C19" s="5"/>
      <c r="D19" s="6"/>
      <c r="E19" s="11"/>
      <c r="F19" s="1"/>
      <c r="G19" s="1"/>
      <c r="H19" s="1"/>
      <c r="I19" s="1"/>
      <c r="J19" s="1"/>
      <c r="K19" s="1"/>
      <c r="L19" s="1"/>
      <c r="M19" s="1"/>
      <c r="N19" s="17"/>
    </row>
    <row r="20" spans="2:14" ht="15" customHeight="1" x14ac:dyDescent="0.25">
      <c r="B20" s="19"/>
      <c r="C20" s="9" t="s">
        <v>11</v>
      </c>
      <c r="D20" s="10"/>
      <c r="E20" s="13">
        <v>1</v>
      </c>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29" t="s">
        <v>17</v>
      </c>
      <c r="H26" s="30"/>
      <c r="I26" s="30"/>
      <c r="J26" s="30"/>
      <c r="K26" s="30"/>
      <c r="L26" s="30"/>
      <c r="M26" s="30"/>
      <c r="N26" s="31"/>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c r="D48" s="1"/>
      <c r="E48" s="1"/>
      <c r="F48" s="1"/>
      <c r="G48" s="1"/>
      <c r="H48" s="1"/>
      <c r="I48" s="1"/>
      <c r="J48" s="1"/>
      <c r="K48" s="1"/>
      <c r="L48" s="1"/>
      <c r="M48" s="1"/>
      <c r="N48" s="17"/>
    </row>
    <row r="49" spans="2:14" ht="15" customHeight="1" x14ac:dyDescent="0.25">
      <c r="B49" s="19"/>
      <c r="C49" s="1"/>
      <c r="D49" s="1"/>
      <c r="E49" s="1"/>
      <c r="F49" s="1"/>
      <c r="G49" s="1"/>
      <c r="H49" s="1"/>
      <c r="I49" s="1"/>
      <c r="J49" s="1"/>
      <c r="K49" s="1"/>
      <c r="L49" s="1"/>
      <c r="M49" s="1"/>
      <c r="N49" s="17"/>
    </row>
    <row r="50" spans="2:14" ht="15" customHeight="1"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9"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26" t="s">
        <v>0</v>
      </c>
      <c r="D3" s="27"/>
      <c r="E3" s="27"/>
      <c r="F3" s="27"/>
      <c r="G3" s="27"/>
      <c r="H3" s="27"/>
      <c r="I3" s="27"/>
      <c r="J3" s="27"/>
      <c r="K3" s="27"/>
      <c r="L3" s="27"/>
      <c r="M3" s="27"/>
      <c r="N3" s="28"/>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29" t="s">
        <v>16</v>
      </c>
      <c r="H7" s="30"/>
      <c r="I7" s="30"/>
      <c r="J7" s="30"/>
      <c r="K7" s="30"/>
      <c r="L7" s="30"/>
      <c r="M7" s="30"/>
      <c r="N7" s="31"/>
    </row>
    <row r="8" spans="2:14" ht="15" customHeight="1" x14ac:dyDescent="0.25">
      <c r="B8" s="19"/>
      <c r="C8" s="5" t="s">
        <v>4</v>
      </c>
      <c r="D8" s="6"/>
      <c r="E8" s="11">
        <v>0.62223399999999995</v>
      </c>
      <c r="F8" s="1"/>
      <c r="G8" s="23" t="s">
        <v>15</v>
      </c>
      <c r="H8" s="24">
        <v>1</v>
      </c>
      <c r="I8" s="1"/>
      <c r="J8" s="23" t="s">
        <v>12</v>
      </c>
      <c r="K8" s="23" t="s">
        <v>3</v>
      </c>
      <c r="L8" s="1"/>
      <c r="M8" s="1"/>
      <c r="N8" s="17"/>
    </row>
    <row r="9" spans="2:14" ht="15" customHeight="1" x14ac:dyDescent="0.25">
      <c r="B9" s="19"/>
      <c r="C9" s="5" t="s">
        <v>5</v>
      </c>
      <c r="D9" s="6"/>
      <c r="E9" s="11">
        <v>0.30865399999999998</v>
      </c>
      <c r="F9" s="1"/>
      <c r="G9" s="1"/>
      <c r="H9" s="1"/>
      <c r="I9" s="1"/>
      <c r="J9" s="23" t="s">
        <v>13</v>
      </c>
      <c r="K9" s="25">
        <v>4.2129999999999997E-3</v>
      </c>
      <c r="L9" s="1"/>
      <c r="M9" s="1"/>
      <c r="N9" s="17"/>
    </row>
    <row r="10" spans="2:14" ht="15" customHeight="1" x14ac:dyDescent="0.25">
      <c r="B10" s="19"/>
      <c r="C10" s="5" t="s">
        <v>6</v>
      </c>
      <c r="D10" s="6"/>
      <c r="E10" s="11">
        <v>6.6055000000000003E-2</v>
      </c>
      <c r="F10" s="1"/>
      <c r="G10" s="1"/>
      <c r="H10" s="1"/>
      <c r="I10" s="1"/>
      <c r="J10" s="23" t="s">
        <v>14</v>
      </c>
      <c r="K10" s="25">
        <v>0.99694300000000002</v>
      </c>
      <c r="L10" s="1"/>
      <c r="M10" s="1"/>
      <c r="N10" s="17"/>
    </row>
    <row r="11" spans="2:14" ht="15.75" customHeight="1" x14ac:dyDescent="0.25">
      <c r="B11" s="19"/>
      <c r="C11" s="7" t="s">
        <v>7</v>
      </c>
      <c r="D11" s="8"/>
      <c r="E11" s="12">
        <v>0.99694300000000002</v>
      </c>
      <c r="F11" s="1"/>
      <c r="G11" s="1"/>
      <c r="H11" s="1"/>
      <c r="I11" s="1"/>
      <c r="J11" s="23" t="s">
        <v>10</v>
      </c>
      <c r="K11" s="25">
        <v>-1.1559999999999999E-3</v>
      </c>
      <c r="L11" s="1"/>
      <c r="M11" s="1"/>
      <c r="N11" s="17"/>
    </row>
    <row r="12" spans="2:14" ht="15" customHeight="1" x14ac:dyDescent="0.25">
      <c r="B12" s="19"/>
      <c r="C12" s="5" t="s">
        <v>8</v>
      </c>
      <c r="D12" s="6"/>
      <c r="E12" s="11">
        <v>4.2129999999999997E-3</v>
      </c>
      <c r="F12" s="1"/>
      <c r="G12" s="1"/>
      <c r="H12" s="1"/>
      <c r="I12" s="1"/>
      <c r="J12" s="1"/>
      <c r="K12" s="1"/>
      <c r="L12" s="1"/>
      <c r="M12" s="1"/>
      <c r="N12" s="17"/>
    </row>
    <row r="13" spans="2:14" ht="15.75" customHeight="1" x14ac:dyDescent="0.25">
      <c r="B13" s="19"/>
      <c r="C13" s="7" t="s">
        <v>9</v>
      </c>
      <c r="D13" s="8"/>
      <c r="E13" s="12">
        <v>4.2129999999999997E-3</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-1.1559999999999999E-3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29" t="s">
        <v>17</v>
      </c>
      <c r="H26" s="30"/>
      <c r="I26" s="30"/>
      <c r="J26" s="30"/>
      <c r="K26" s="30"/>
      <c r="L26" s="30"/>
      <c r="M26" s="30"/>
      <c r="N26" s="31"/>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x14ac:dyDescent="0.25">
      <c r="B44" s="19"/>
      <c r="C44" s="1"/>
      <c r="D44" s="1"/>
      <c r="E44" s="1"/>
      <c r="F44" s="1"/>
      <c r="G44" s="1"/>
      <c r="H44" s="1"/>
      <c r="I44" s="1"/>
      <c r="J44" s="1"/>
      <c r="K44" s="1"/>
      <c r="L44" s="1"/>
      <c r="M44" s="1"/>
      <c r="N44" s="17"/>
    </row>
    <row r="45" spans="2:14" ht="15" customHeight="1" x14ac:dyDescent="0.25">
      <c r="B45" s="19"/>
      <c r="C45" s="1"/>
      <c r="D45" s="1"/>
      <c r="E45" s="1"/>
      <c r="F45" s="1"/>
      <c r="G45" s="1"/>
      <c r="H45" s="1"/>
      <c r="I45" s="1"/>
      <c r="J45" s="1"/>
      <c r="K45" s="1"/>
      <c r="L45" s="1"/>
      <c r="M45" s="1"/>
      <c r="N45" s="17"/>
    </row>
    <row r="46" spans="2:14" ht="15" customHeight="1" x14ac:dyDescent="0.25">
      <c r="B46" s="19"/>
      <c r="C46" s="1"/>
      <c r="D46" s="1"/>
      <c r="E46" s="1"/>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x14ac:dyDescent="0.25">
      <c r="B48" s="19"/>
      <c r="C48" s="1"/>
      <c r="D48" s="1"/>
      <c r="E48" s="1"/>
      <c r="F48" s="1"/>
      <c r="G48" s="1"/>
      <c r="H48" s="1"/>
      <c r="I48" s="1"/>
      <c r="J48" s="1"/>
      <c r="K48" s="1"/>
      <c r="L48" s="1"/>
      <c r="M48" s="1"/>
      <c r="N48" s="17"/>
    </row>
    <row r="49" spans="2:14" x14ac:dyDescent="0.25">
      <c r="B49" s="19"/>
      <c r="C49" s="1"/>
      <c r="D49" s="1"/>
      <c r="E49" s="1"/>
      <c r="F49" s="1"/>
      <c r="G49" s="1"/>
      <c r="H49" s="1"/>
      <c r="I49" s="1"/>
      <c r="J49" s="1"/>
      <c r="K49" s="1"/>
      <c r="L49" s="1"/>
      <c r="M49" s="1"/>
      <c r="N49" s="17"/>
    </row>
    <row r="50" spans="2:14" x14ac:dyDescent="0.25">
      <c r="B50" s="19"/>
      <c r="C50" s="1"/>
      <c r="D50" s="1"/>
      <c r="E50" s="1"/>
      <c r="F50" s="1"/>
      <c r="G50" s="1"/>
      <c r="H50" s="1"/>
      <c r="I50" s="1"/>
      <c r="J50" s="1"/>
      <c r="K50" s="1"/>
      <c r="L50" s="1"/>
      <c r="M50" s="1"/>
      <c r="N50" s="17"/>
    </row>
    <row r="51" spans="2:14" x14ac:dyDescent="0.25">
      <c r="B51" s="19"/>
      <c r="C51" s="1"/>
      <c r="D51" s="1"/>
      <c r="E51" s="1"/>
      <c r="F51" s="1"/>
      <c r="G51" s="1"/>
      <c r="H51" s="1"/>
      <c r="I51" s="1"/>
      <c r="J51" s="1"/>
      <c r="K51" s="1"/>
      <c r="L51" s="1"/>
      <c r="M51" s="1"/>
      <c r="N51" s="17"/>
    </row>
    <row r="52" spans="2:14" x14ac:dyDescent="0.25">
      <c r="B52" s="19"/>
      <c r="C52" s="1"/>
      <c r="D52" s="1"/>
      <c r="E52" s="1"/>
      <c r="F52" s="1"/>
      <c r="G52" s="1"/>
      <c r="H52" s="1"/>
      <c r="I52" s="1"/>
      <c r="J52" s="1"/>
      <c r="K52" s="1"/>
      <c r="L52" s="1"/>
      <c r="M52" s="1"/>
      <c r="N52" s="17"/>
    </row>
    <row r="53" spans="2:14" ht="15.75" thickBot="1" x14ac:dyDescent="0.3">
      <c r="B53" s="20"/>
      <c r="C53" s="21"/>
      <c r="D53" s="21"/>
      <c r="E53" s="21"/>
      <c r="F53" s="21"/>
      <c r="G53" s="21"/>
      <c r="H53" s="21"/>
      <c r="I53" s="21"/>
      <c r="J53" s="21"/>
      <c r="K53" s="21"/>
      <c r="L53" s="21"/>
      <c r="M53" s="21"/>
      <c r="N53" s="22"/>
    </row>
  </sheetData>
  <mergeCells count="3">
    <mergeCell ref="C3:N3"/>
    <mergeCell ref="G7:N7"/>
    <mergeCell ref="G26:N26"/>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showGridLines="0" workbookViewId="0"/>
  </sheetViews>
  <sheetFormatPr defaultRowHeight="15" x14ac:dyDescent="0.25"/>
  <sheetData>
    <row r="1" spans="1:12" ht="15.75" thickBot="1" x14ac:dyDescent="0.3"/>
    <row r="2" spans="1:12" x14ac:dyDescent="0.25">
      <c r="A2" s="44" t="s">
        <v>218</v>
      </c>
      <c r="B2" s="45"/>
      <c r="C2" s="45"/>
      <c r="D2" s="45"/>
      <c r="E2" s="45"/>
      <c r="F2" s="45"/>
      <c r="G2" s="45"/>
      <c r="H2" s="45"/>
      <c r="I2" s="45"/>
      <c r="J2" s="45"/>
      <c r="K2" s="45"/>
      <c r="L2" s="46"/>
    </row>
    <row r="3" spans="1:12" x14ac:dyDescent="0.25">
      <c r="A3" s="47"/>
      <c r="B3" s="48"/>
      <c r="C3" s="48"/>
      <c r="D3" s="48"/>
      <c r="E3" s="48"/>
      <c r="F3" s="48"/>
      <c r="G3" s="48"/>
      <c r="H3" s="48"/>
      <c r="I3" s="48"/>
      <c r="J3" s="48"/>
      <c r="K3" s="48"/>
      <c r="L3" s="49"/>
    </row>
    <row r="4" spans="1:12" x14ac:dyDescent="0.25">
      <c r="A4" s="47"/>
      <c r="B4" s="48"/>
      <c r="C4" s="48"/>
      <c r="D4" s="48"/>
      <c r="E4" s="48"/>
      <c r="F4" s="48"/>
      <c r="G4" s="48"/>
      <c r="H4" s="48"/>
      <c r="I4" s="48"/>
      <c r="J4" s="48"/>
      <c r="K4" s="48"/>
      <c r="L4" s="49"/>
    </row>
    <row r="5" spans="1:12" x14ac:dyDescent="0.25">
      <c r="A5" s="47"/>
      <c r="B5" s="48"/>
      <c r="C5" s="50"/>
      <c r="D5" s="50"/>
      <c r="E5" s="50"/>
      <c r="F5" s="48"/>
      <c r="G5" s="48"/>
      <c r="H5" s="48"/>
      <c r="I5" s="48"/>
      <c r="J5" s="48"/>
      <c r="K5" s="48"/>
      <c r="L5" s="49"/>
    </row>
    <row r="6" spans="1:12" x14ac:dyDescent="0.25">
      <c r="A6" s="47"/>
      <c r="B6" s="48"/>
      <c r="C6" s="48"/>
      <c r="D6" s="48"/>
      <c r="E6" s="48"/>
      <c r="F6" s="48"/>
      <c r="G6" s="48"/>
      <c r="H6" s="48"/>
      <c r="I6" s="48"/>
      <c r="J6" s="48"/>
      <c r="K6" s="48"/>
      <c r="L6" s="49"/>
    </row>
    <row r="7" spans="1:12" x14ac:dyDescent="0.25">
      <c r="A7" s="47"/>
      <c r="B7" s="48"/>
      <c r="C7" s="48"/>
      <c r="D7" s="48"/>
      <c r="E7" s="48"/>
      <c r="F7" s="48"/>
      <c r="G7" s="48"/>
      <c r="H7" s="48"/>
      <c r="I7" s="48"/>
      <c r="J7" s="48"/>
      <c r="K7" s="48"/>
      <c r="L7" s="49"/>
    </row>
    <row r="8" spans="1:12" x14ac:dyDescent="0.25">
      <c r="A8" s="47"/>
      <c r="B8" s="48"/>
      <c r="C8" s="48"/>
      <c r="D8" s="48"/>
      <c r="E8" s="48"/>
      <c r="F8" s="48"/>
      <c r="G8" s="48"/>
      <c r="H8" s="48"/>
      <c r="I8" s="48"/>
      <c r="J8" s="48"/>
      <c r="K8" s="48"/>
      <c r="L8" s="49"/>
    </row>
    <row r="9" spans="1:12" x14ac:dyDescent="0.25">
      <c r="A9" s="47"/>
      <c r="B9" s="48"/>
      <c r="C9" s="48"/>
      <c r="D9" s="48"/>
      <c r="E9" s="48"/>
      <c r="F9" s="48"/>
      <c r="G9" s="48"/>
      <c r="H9" s="48"/>
      <c r="I9" s="48"/>
      <c r="J9" s="48"/>
      <c r="K9" s="48"/>
      <c r="L9" s="49"/>
    </row>
    <row r="10" spans="1:12" x14ac:dyDescent="0.25">
      <c r="A10" s="47"/>
      <c r="B10" s="48"/>
      <c r="C10" s="48"/>
      <c r="D10" s="48"/>
      <c r="E10" s="48"/>
      <c r="F10" s="48"/>
      <c r="G10" s="48"/>
      <c r="H10" s="48"/>
      <c r="I10" s="48"/>
      <c r="J10" s="48"/>
      <c r="K10" s="48"/>
      <c r="L10" s="49"/>
    </row>
    <row r="11" spans="1:12" x14ac:dyDescent="0.25">
      <c r="A11" s="47"/>
      <c r="B11" s="48"/>
      <c r="C11" s="48"/>
      <c r="D11" s="48"/>
      <c r="E11" s="48"/>
      <c r="F11" s="48"/>
      <c r="G11" s="48"/>
      <c r="H11" s="48"/>
      <c r="I11" s="48"/>
      <c r="J11" s="48"/>
      <c r="K11" s="48"/>
      <c r="L11" s="49"/>
    </row>
    <row r="12" spans="1:12" x14ac:dyDescent="0.25">
      <c r="A12" s="47"/>
      <c r="B12" s="48"/>
      <c r="C12" s="48"/>
      <c r="D12" s="48"/>
      <c r="E12" s="48"/>
      <c r="F12" s="48"/>
      <c r="G12" s="48"/>
      <c r="H12" s="48"/>
      <c r="I12" s="48"/>
      <c r="J12" s="48"/>
      <c r="K12" s="48"/>
      <c r="L12" s="49"/>
    </row>
    <row r="13" spans="1:12" x14ac:dyDescent="0.25">
      <c r="A13" s="47"/>
      <c r="B13" s="48"/>
      <c r="C13" s="48"/>
      <c r="D13" s="48"/>
      <c r="E13" s="48"/>
      <c r="F13" s="48"/>
      <c r="G13" s="48"/>
      <c r="H13" s="48"/>
      <c r="I13" s="48"/>
      <c r="J13" s="48"/>
      <c r="K13" s="48"/>
      <c r="L13" s="49"/>
    </row>
    <row r="14" spans="1:12" x14ac:dyDescent="0.25">
      <c r="A14" s="47"/>
      <c r="B14" s="48"/>
      <c r="C14" s="48"/>
      <c r="D14" s="48"/>
      <c r="E14" s="48"/>
      <c r="F14" s="48"/>
      <c r="G14" s="48"/>
      <c r="H14" s="48"/>
      <c r="I14" s="48"/>
      <c r="J14" s="48"/>
      <c r="K14" s="48"/>
      <c r="L14" s="49"/>
    </row>
    <row r="15" spans="1:12" ht="15.75" thickBot="1" x14ac:dyDescent="0.3">
      <c r="A15" s="51"/>
      <c r="B15" s="52"/>
      <c r="C15" s="52"/>
      <c r="D15" s="52"/>
      <c r="E15" s="52"/>
      <c r="F15" s="52"/>
      <c r="G15" s="52"/>
      <c r="H15" s="52"/>
      <c r="I15" s="52"/>
      <c r="J15" s="52"/>
      <c r="K15" s="52"/>
      <c r="L15" s="53"/>
    </row>
  </sheetData>
  <mergeCells count="1">
    <mergeCell ref="A2: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IDFC OF</vt:lpstr>
      <vt:lpstr>IDFC CF</vt:lpstr>
      <vt:lpstr>IDFC LDF</vt:lpstr>
      <vt:lpstr>IDFC USTF</vt:lpstr>
      <vt:lpstr>IDFC MMF</vt:lpstr>
      <vt:lpstr>IDFC DBF</vt:lpstr>
      <vt:lpstr>IDFC BOND IP</vt:lpstr>
      <vt:lpstr>IDFC BOND MT</vt:lpstr>
      <vt:lpstr>IDFC BOND ST</vt:lpstr>
      <vt:lpstr>IDFC BPDF</vt:lpstr>
      <vt:lpstr>IDFC-CBF</vt:lpstr>
      <vt:lpstr>IDFC FRF</vt:lpstr>
      <vt:lpstr>IDFC CRF</vt:lpstr>
      <vt:lpstr>IDFC GSF-IP</vt:lpstr>
      <vt:lpstr>IDFC GSF - CMP</vt:lpstr>
      <vt:lpstr>IDFC ASBF</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IDFCMF Products2</cp:lastModifiedBy>
  <dcterms:created xsi:type="dcterms:W3CDTF">2021-03-28T12:39:17Z</dcterms:created>
  <dcterms:modified xsi:type="dcterms:W3CDTF">2021-03-28T13:06:49Z</dcterms:modified>
</cp:coreProperties>
</file>