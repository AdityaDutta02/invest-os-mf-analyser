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3\April 2023\"/>
    </mc:Choice>
  </mc:AlternateContent>
  <xr:revisionPtr revIDLastSave="0" documentId="13_ncr:1_{53362F60-5642-418A-AC42-6B78150013DB}" xr6:coauthVersionLast="36" xr6:coauthVersionMax="47" xr10:uidLastSave="{00000000-0000-0000-0000-000000000000}"/>
  <bookViews>
    <workbookView xWindow="-120" yWindow="-120" windowWidth="20730" windowHeight="11160" tabRatio="876" xr2:uid="{00000000-000D-0000-FFFF-FFFF00000000}"/>
  </bookViews>
  <sheets>
    <sheet name="BANDHAN-USFOF" sheetId="29" r:id="rId1"/>
    <sheet name="BANDHAN-US TB FOF 0-1 yr" sheetId="38" r:id="rId2"/>
    <sheet name="BANDHAN CEF" sheetId="4" r:id="rId3"/>
    <sheet name="BANDHAN LCF" sheetId="6" r:id="rId4"/>
    <sheet name="BANDHAN FEF" sheetId="7" r:id="rId5"/>
    <sheet name="BANDHAN SVF" sheetId="12" r:id="rId6"/>
    <sheet name="BANDHAN-MCAP" sheetId="33" r:id="rId7"/>
    <sheet name="BANDHAN MCF" sheetId="30" r:id="rId8"/>
    <sheet name="BANDHAN FCF" sheetId="11" r:id="rId9"/>
    <sheet name="BANDHAN EBF" sheetId="28" r:id="rId10"/>
    <sheet name="BANDHAN IF" sheetId="8" r:id="rId11"/>
    <sheet name="BANDHAN TLF" sheetId="37"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s>
  <definedNames>
    <definedName name="_xlnm._FilterDatabase" localSheetId="14" hidden="1">'BANDHAN BAF'!$I$36:$J$44</definedName>
    <definedName name="_xlnm._FilterDatabase" localSheetId="18" hidden="1">'BANDHANAAF-AP'!$C$11:$D$14</definedName>
    <definedName name="_xlnm.Print_Area" localSheetId="13">'BANDHAN-AF'!$C$5:$E$27</definedName>
  </definedNames>
  <calcPr calcId="191029"/>
</workbook>
</file>

<file path=xl/calcChain.xml><?xml version="1.0" encoding="utf-8"?>
<calcChain xmlns="http://schemas.openxmlformats.org/spreadsheetml/2006/main">
  <c r="E27" i="27" l="1"/>
  <c r="J10" i="38"/>
  <c r="J9" i="38"/>
  <c r="J8" i="38"/>
  <c r="E41" i="26" l="1"/>
  <c r="E42" i="5"/>
  <c r="D14" i="21" l="1"/>
  <c r="D11" i="21"/>
  <c r="E37" i="5" l="1"/>
  <c r="E24" i="37" l="1"/>
  <c r="D10" i="19"/>
  <c r="E24" i="35" l="1"/>
  <c r="E24" i="34" l="1"/>
  <c r="K12" i="26"/>
  <c r="K11" i="26"/>
  <c r="E30" i="26"/>
  <c r="K13" i="26"/>
  <c r="E35" i="18"/>
  <c r="E24" i="33"/>
  <c r="K9" i="26" l="1"/>
  <c r="E33" i="25"/>
  <c r="E47" i="5"/>
  <c r="E43" i="18" l="1"/>
  <c r="E23" i="25" l="1"/>
  <c r="E33" i="5"/>
  <c r="E37" i="25" l="1"/>
  <c r="K13" i="25"/>
  <c r="E23" i="5"/>
  <c r="E54" i="5" s="1"/>
  <c r="E24" i="31" l="1"/>
  <c r="K9" i="18" l="1"/>
  <c r="D18" i="21" l="1"/>
  <c r="E24" i="30"/>
  <c r="D15" i="19" l="1"/>
  <c r="J10" i="29"/>
  <c r="J9" i="29"/>
  <c r="K12" i="18" l="1"/>
  <c r="E24" i="12" l="1"/>
  <c r="K9" i="25" l="1"/>
  <c r="S8" i="27"/>
  <c r="S9" i="27" s="1"/>
  <c r="E24" i="8"/>
  <c r="J8" i="29" l="1"/>
  <c r="I9" i="18" l="1"/>
  <c r="I10" i="18"/>
  <c r="K13" i="18" l="1"/>
  <c r="K11" i="18"/>
  <c r="E24" i="28" l="1"/>
  <c r="E24" i="18" l="1"/>
  <c r="K10" i="18" l="1"/>
  <c r="E50" i="18"/>
  <c r="E24" i="26"/>
  <c r="E45" i="26" s="1"/>
  <c r="I10" i="26"/>
  <c r="I9" i="26"/>
  <c r="I8" i="26"/>
  <c r="K10"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19" i="19"/>
</calcChain>
</file>

<file path=xl/sharedStrings.xml><?xml version="1.0" encoding="utf-8"?>
<sst xmlns="http://schemas.openxmlformats.org/spreadsheetml/2006/main" count="1538" uniqueCount="304">
  <si>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</si>
  <si>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</si>
  <si>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</si>
  <si>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</si>
  <si>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</si>
  <si>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</si>
  <si>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</si>
  <si>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</si>
  <si>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</si>
  <si>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</si>
  <si>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</si>
  <si>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</si>
  <si>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</si>
  <si>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</si>
  <si>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</si>
  <si>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</si>
  <si>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</si>
  <si>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</si>
  <si>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</si>
  <si>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</si>
  <si>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</si>
  <si>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</si>
  <si>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</si>
  <si>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</si>
  <si>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</si>
  <si>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</si>
  <si>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</si>
  <si>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</si>
  <si>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</si>
  <si>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</si>
  <si>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</si>
  <si>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</si>
  <si>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</si>
  <si>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</si>
  <si>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</si>
  <si>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</si>
  <si>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</si>
  <si>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</si>
  <si>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</si>
  <si>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</si>
  <si>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</si>
  <si>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</si>
  <si>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</si>
  <si>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</si>
  <si>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</si>
  <si>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</si>
  <si>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</si>
  <si>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</si>
  <si>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</si>
  <si>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</si>
  <si>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</si>
  <si>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</si>
  <si>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</si>
  <si>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</si>
  <si>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</si>
  <si>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</si>
  <si>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</si>
  <si>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</si>
  <si>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</si>
  <si>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</si>
  <si>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</si>
  <si>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</si>
  <si>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</si>
  <si>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</si>
  <si>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</si>
  <si>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</si>
  <si>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</si>
  <si>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</si>
  <si>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</si>
  <si>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</si>
  <si>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</si>
  <si>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</si>
  <si>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</si>
  <si>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</si>
  <si>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</si>
  <si>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</si>
  <si>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</si>
  <si>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</si>
  <si>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</si>
  <si>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</si>
  <si>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</si>
  <si>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PTC</t>
  </si>
  <si>
    <t>HCL Technologies Limited</t>
  </si>
  <si>
    <t>Sun Pharmaceutical Industries Limited</t>
  </si>
  <si>
    <t>6.79% GOI (MD 15/05/2027)</t>
  </si>
  <si>
    <t>National Bank For Agriculture and Rural Development</t>
  </si>
  <si>
    <t>Jindal Steel &amp; Power Limited</t>
  </si>
  <si>
    <t>Power Finance Corporation Limited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</si>
  <si>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</si>
  <si>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</si>
  <si>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</si>
  <si>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</si>
  <si>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</si>
  <si>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</si>
  <si>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</si>
  <si>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</si>
  <si>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</si>
  <si>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</si>
  <si>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</si>
  <si>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</si>
  <si>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</si>
  <si>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</si>
  <si>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</si>
  <si>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</si>
  <si>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</si>
  <si>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</si>
  <si>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</si>
  <si>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</si>
  <si>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</si>
  <si>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</si>
  <si>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</si>
  <si>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</si>
  <si>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</si>
  <si>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</si>
  <si>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</si>
  <si>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</si>
  <si>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</si>
  <si>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</si>
  <si>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</si>
  <si>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</si>
  <si>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</si>
  <si>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</si>
  <si>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</si>
  <si>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</si>
  <si>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</si>
  <si>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</si>
  <si>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</si>
  <si>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</si>
  <si>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</si>
  <si>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</si>
  <si>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Metro Brands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</si>
  <si>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</si>
  <si>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</si>
  <si>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</si>
  <si>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</si>
  <si>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</si>
  <si>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</si>
  <si>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</si>
  <si>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</si>
  <si>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</si>
  <si>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</si>
  <si>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</si>
  <si>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</si>
  <si>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</si>
  <si>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</si>
  <si>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</si>
  <si>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</si>
  <si>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</si>
  <si>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</si>
  <si>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</si>
  <si>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</si>
  <si>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</si>
  <si>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</si>
  <si>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</si>
  <si>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</si>
  <si>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</si>
  <si>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</si>
  <si>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</si>
  <si>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</si>
  <si>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</si>
  <si>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</si>
  <si>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</si>
  <si>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</si>
  <si>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</si>
  <si>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</si>
  <si>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</si>
  <si>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</si>
  <si>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</si>
  <si>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</si>
  <si>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</si>
  <si>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</si>
  <si>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</si>
  <si>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Automotive Axles Limited</t>
  </si>
  <si>
    <t>UNO Minda Limited</t>
  </si>
  <si>
    <t>Industrial Manufacturing</t>
  </si>
  <si>
    <t>Titan Company Limited</t>
  </si>
  <si>
    <t>Sagar Cements Limited</t>
  </si>
  <si>
    <t>Trent Limited</t>
  </si>
  <si>
    <t>Cummins India Limited</t>
  </si>
  <si>
    <t>SRF Limited</t>
  </si>
  <si>
    <t>Bank of Baroda</t>
  </si>
  <si>
    <t>7.38% GOI (MD 20/06/2027)</t>
  </si>
  <si>
    <t>Prataap Snacks Limited</t>
  </si>
  <si>
    <t>Net Equity</t>
  </si>
  <si>
    <t>Power Grid Corporation of India Limited</t>
  </si>
  <si>
    <t>Coal India Limited</t>
  </si>
  <si>
    <t>Kalpataru Power Transmission Limited</t>
  </si>
  <si>
    <t>Dr. Reddy's Laboratories Limited</t>
  </si>
  <si>
    <t>Bajaj Auto Limited</t>
  </si>
  <si>
    <t>Apollo Tyres Limited</t>
  </si>
  <si>
    <t>Escorts Kubota Limited</t>
  </si>
  <si>
    <t>Tube Investments of India Limited</t>
  </si>
  <si>
    <t>Cyient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</si>
  <si>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</si>
  <si>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</si>
  <si>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</si>
  <si>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</si>
  <si>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</si>
  <si>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</si>
  <si>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</si>
  <si>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</si>
  <si>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Ahluwalia Contracts (India) Limited</t>
  </si>
  <si>
    <t>MphasiS Limited</t>
  </si>
  <si>
    <t>182 Days Tbill (MD 11/05/2023)</t>
  </si>
  <si>
    <t>182 Days Tbill (MD 08/06/2023)</t>
  </si>
  <si>
    <t>LTIMindtree Limited</t>
  </si>
  <si>
    <t>Hindustan Aeronautics Limited</t>
  </si>
  <si>
    <t>AIA Engineering Limited</t>
  </si>
  <si>
    <t>Rossari Biotech Limited</t>
  </si>
  <si>
    <t>The Federal Bank Limited</t>
  </si>
  <si>
    <t>MRF Limited</t>
  </si>
  <si>
    <t>NCC Limited</t>
  </si>
  <si>
    <t>Nifty 50 Index</t>
  </si>
  <si>
    <t>Index</t>
  </si>
  <si>
    <t>Godrej Consumer Products Limited</t>
  </si>
  <si>
    <t>0.88 crs</t>
  </si>
  <si>
    <t>L&amp;T Technology Services Limited</t>
  </si>
  <si>
    <t>APL Apollo Tubes Limited</t>
  </si>
  <si>
    <t>The Ramco Cements Limited</t>
  </si>
  <si>
    <t>Zensar Technologies Limited</t>
  </si>
  <si>
    <t>7.1% GOI (MD 18/04/2029)</t>
  </si>
  <si>
    <t>182 Days Tbill (MD 29/06/2023)</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</si>
  <si>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</si>
  <si>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</si>
  <si>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</si>
  <si>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</si>
  <si>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</si>
  <si>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</si>
  <si>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</si>
  <si>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</si>
  <si>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</si>
  <si>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</si>
  <si>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</si>
  <si>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</si>
  <si>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</si>
  <si>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</si>
  <si>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</si>
  <si>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</si>
  <si>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</si>
  <si>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</si>
  <si>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</si>
  <si>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</si>
  <si>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</si>
  <si>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</si>
  <si>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</si>
  <si>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</si>
  <si>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</si>
  <si>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</si>
  <si>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</si>
  <si>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</si>
  <si>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</si>
  <si>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</si>
  <si>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Bandhan Large Cap Fund-Direct Plan-Growth</t>
  </si>
  <si>
    <t xml:space="preserve">Bandhan ASSET ALLOCATION FUND - CONSERVATIVE PLAN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</si>
  <si>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 Ltd (proposed to be changed to Bandhan AMC Limited, awaiting registration). The Scheme may or may not have any present or future positions in the above securities. Investors are advised to consult their own investment advisor before making any investment decision in light of their risk appetite, investment goals and horizon.”</t>
  </si>
  <si>
    <t>JPMorgan ETFs BetaBuilders US Tre Bond0-1 yr UCITS</t>
  </si>
  <si>
    <t>BANDHAN US TREASURY BOND 0-1 YEAR FUND OF FUND</t>
  </si>
  <si>
    <t>Commercial Paper</t>
  </si>
  <si>
    <t>Zero Coupon Bond</t>
  </si>
  <si>
    <t>Sundaram Finance Limited</t>
  </si>
  <si>
    <t>Mutual Fund Units: Bandhan Cash Fund</t>
  </si>
  <si>
    <t>Page Industries Limited</t>
  </si>
  <si>
    <t>Canara Bank</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</si>
  <si>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</si>
  <si>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</si>
  <si>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</si>
  <si>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</si>
  <si>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</si>
  <si>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</si>
  <si>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Zee Entertainment Enterprises Limited</t>
  </si>
  <si>
    <t>Alkem Laboratories Limited</t>
  </si>
  <si>
    <t>Bharat Forge Limited</t>
  </si>
  <si>
    <t>Kirloskar Brothers Limited</t>
  </si>
  <si>
    <t>Portfolio as on - (31st March 2023)</t>
  </si>
  <si>
    <t>Net Assets as on 31st March 2023</t>
  </si>
  <si>
    <t>333.02 crs</t>
  </si>
  <si>
    <t>40.84 crs</t>
  </si>
  <si>
    <t>2378.47 crs</t>
  </si>
  <si>
    <t>1200.14 crs</t>
  </si>
  <si>
    <t>5200.37 crs</t>
  </si>
  <si>
    <t>635.78 crs</t>
  </si>
  <si>
    <t>1206.05 crs</t>
  </si>
  <si>
    <t>5456.92 crs</t>
  </si>
  <si>
    <t>1420.94 crs</t>
  </si>
  <si>
    <t>627.61 crs</t>
  </si>
  <si>
    <t>245.09 crs</t>
  </si>
  <si>
    <t>4169.25 crs</t>
  </si>
  <si>
    <t>2855.78 crs</t>
  </si>
  <si>
    <t>2492.09 crs</t>
  </si>
  <si>
    <t>93.15 crs</t>
  </si>
  <si>
    <t>138.29 crs</t>
  </si>
  <si>
    <t>557.96 crs</t>
  </si>
  <si>
    <t>14.07 crs</t>
  </si>
  <si>
    <t>16.24 crs</t>
  </si>
  <si>
    <t>6.45 crs</t>
  </si>
  <si>
    <t>677.68 crs</t>
  </si>
  <si>
    <t>17.41 crs</t>
  </si>
  <si>
    <t>64.87 crs</t>
  </si>
  <si>
    <t>19.16 crs</t>
  </si>
  <si>
    <t>6.44 crs</t>
  </si>
  <si>
    <t>Tata Chemicals Limited</t>
  </si>
  <si>
    <t>Persistent Systems Limited</t>
  </si>
  <si>
    <t>Navin Fluorine International Limited</t>
  </si>
  <si>
    <t>Tata Communications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</si>
</sst>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3">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8" fontId="3" fillId="0" borderId="9" xfId="1" applyNumberFormat="1" applyFont="1" applyFill="1" applyBorder="1" applyAlignment="1">
      <alignment horizontal="right"/>
    </xf>
    <xf numFmtId="3" fontId="4" fillId="2" borderId="0" xfId="0" applyNumberFormat="1" applyFont="1" applyFill="1" applyBorder="1" applyAlignment="1">
      <alignment horizontal="center" vertical="center"/>
    </xf>
    <xf numFmtId="0" fontId="3" fillId="0" borderId="24" xfId="0" applyFont="1" applyBorder="1" applyAlignment="1">
      <alignment horizontal="left" vertical="top" wrapText="1"/>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2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0.98249600000000004</c:v>
                </c:pt>
                <c:pt idx="1">
                  <c:v>-1.0788000000000001E-2</c:v>
                </c:pt>
                <c:pt idx="2">
                  <c:v>2.8292000000000001E-2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C2A-45AC-8D67-702183324090}"/>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C2A-45AC-8D67-702183324090}"/>
                </c:ext>
              </c:extLst>
            </c:dLbl>
            <c:dLbl>
              <c:idx val="2"/>
              <c:layout>
                <c:manualLayout>
                  <c:x val="0.11050030425453065"/>
                  <c:y val="-9.49256605391421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C2A-45AC-8D67-70218332409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C2A-45AC-8D67-70218332409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1.0140400000000001</c:v>
                </c:pt>
                <c:pt idx="1">
                  <c:v>-0.141873</c:v>
                </c:pt>
                <c:pt idx="2">
                  <c:v>0.127833</c:v>
                </c:pt>
              </c:numCache>
            </c:numRef>
          </c:val>
          <c:extLst>
            <c:ext xmlns:c16="http://schemas.microsoft.com/office/drawing/2014/chart" uri="{C3380CC4-5D6E-409C-BE32-E72D297353CC}">
              <c16:uniqueId val="{00000004-0C2A-45AC-8D67-70218332409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CEF'!$W$8:$W$36</c:f>
              <c:strCache>
                <c:ptCount val="29"/>
                <c:pt idx="0">
                  <c:v>Banks</c:v>
                </c:pt>
                <c:pt idx="1">
                  <c:v>Pharmaceuticals &amp; Biotechnology</c:v>
                </c:pt>
                <c:pt idx="2">
                  <c:v>Finance</c:v>
                </c:pt>
                <c:pt idx="3">
                  <c:v>Auto Components</c:v>
                </c:pt>
                <c:pt idx="4">
                  <c:v>IT - Software</c:v>
                </c:pt>
                <c:pt idx="5">
                  <c:v>Industrial Products</c:v>
                </c:pt>
                <c:pt idx="6">
                  <c:v>Petroleum Products</c:v>
                </c:pt>
                <c:pt idx="7">
                  <c:v>Insurance</c:v>
                </c:pt>
                <c:pt idx="8">
                  <c:v>Retailing</c:v>
                </c:pt>
                <c:pt idx="9">
                  <c:v>Transport Services</c:v>
                </c:pt>
                <c:pt idx="10">
                  <c:v>Gas</c:v>
                </c:pt>
                <c:pt idx="11">
                  <c:v>Power</c:v>
                </c:pt>
                <c:pt idx="12">
                  <c:v>Telecom - Services</c:v>
                </c:pt>
                <c:pt idx="13">
                  <c:v>Entertainment</c:v>
                </c:pt>
                <c:pt idx="14">
                  <c:v>Chemicals &amp; Petrochemicals</c:v>
                </c:pt>
                <c:pt idx="15">
                  <c:v>Automobiles</c:v>
                </c:pt>
                <c:pt idx="16">
                  <c:v>Diversified FMCG</c:v>
                </c:pt>
                <c:pt idx="17">
                  <c:v>Ferrous Metals</c:v>
                </c:pt>
                <c:pt idx="18">
                  <c:v>Capital Markets</c:v>
                </c:pt>
                <c:pt idx="19">
                  <c:v>Personal Products</c:v>
                </c:pt>
                <c:pt idx="20">
                  <c:v>Aerospace &amp; Defense</c:v>
                </c:pt>
                <c:pt idx="21">
                  <c:v>Beverages</c:v>
                </c:pt>
                <c:pt idx="22">
                  <c:v>Construction</c:v>
                </c:pt>
                <c:pt idx="23">
                  <c:v>Cement &amp; Cement Products</c:v>
                </c:pt>
                <c:pt idx="24">
                  <c:v>Diversified</c:v>
                </c:pt>
                <c:pt idx="25">
                  <c:v>Consumer Durables</c:v>
                </c:pt>
                <c:pt idx="26">
                  <c:v>Textiles &amp; Apparels</c:v>
                </c:pt>
                <c:pt idx="27">
                  <c:v>Electrical Equipment</c:v>
                </c:pt>
                <c:pt idx="28">
                  <c:v>Realty</c:v>
                </c:pt>
              </c:strCache>
            </c:strRef>
          </c:cat>
          <c:val>
            <c:numRef>
              <c:f>'BANDHAN CEF'!$X$8:$X$36</c:f>
              <c:numCache>
                <c:formatCode>0.00%</c:formatCode>
                <c:ptCount val="29"/>
                <c:pt idx="0">
                  <c:v>0.23768099999999998</c:v>
                </c:pt>
                <c:pt idx="1">
                  <c:v>9.3451999999999993E-2</c:v>
                </c:pt>
                <c:pt idx="2">
                  <c:v>7.0165000000000005E-2</c:v>
                </c:pt>
                <c:pt idx="3">
                  <c:v>6.0155E-2</c:v>
                </c:pt>
                <c:pt idx="4">
                  <c:v>5.5710000000000003E-2</c:v>
                </c:pt>
                <c:pt idx="5">
                  <c:v>4.9594000000000006E-2</c:v>
                </c:pt>
                <c:pt idx="6">
                  <c:v>4.5279E-2</c:v>
                </c:pt>
                <c:pt idx="7">
                  <c:v>3.8796999999999998E-2</c:v>
                </c:pt>
                <c:pt idx="8">
                  <c:v>3.6720000000000003E-2</c:v>
                </c:pt>
                <c:pt idx="9">
                  <c:v>2.87E-2</c:v>
                </c:pt>
                <c:pt idx="10">
                  <c:v>2.8539999999999999E-2</c:v>
                </c:pt>
                <c:pt idx="11">
                  <c:v>2.8417000000000001E-2</c:v>
                </c:pt>
                <c:pt idx="12">
                  <c:v>2.0853E-2</c:v>
                </c:pt>
                <c:pt idx="13">
                  <c:v>2.0302000000000001E-2</c:v>
                </c:pt>
                <c:pt idx="14">
                  <c:v>1.7302999999999999E-2</c:v>
                </c:pt>
                <c:pt idx="15">
                  <c:v>1.6531000000000001E-2</c:v>
                </c:pt>
                <c:pt idx="16">
                  <c:v>1.4467000000000001E-2</c:v>
                </c:pt>
                <c:pt idx="17">
                  <c:v>1.1474E-2</c:v>
                </c:pt>
                <c:pt idx="18">
                  <c:v>1.1245E-2</c:v>
                </c:pt>
                <c:pt idx="19">
                  <c:v>1.1231E-2</c:v>
                </c:pt>
                <c:pt idx="20">
                  <c:v>1.0664E-2</c:v>
                </c:pt>
                <c:pt idx="21">
                  <c:v>1.0481000000000001E-2</c:v>
                </c:pt>
                <c:pt idx="22">
                  <c:v>9.4669999999999997E-3</c:v>
                </c:pt>
                <c:pt idx="23">
                  <c:v>9.0959999999999999E-3</c:v>
                </c:pt>
                <c:pt idx="24">
                  <c:v>6.6010000000000001E-3</c:v>
                </c:pt>
                <c:pt idx="25">
                  <c:v>6.5909999999999996E-3</c:v>
                </c:pt>
                <c:pt idx="26">
                  <c:v>3.6459999999999999E-3</c:v>
                </c:pt>
                <c:pt idx="27">
                  <c:v>2.7070000000000002E-3</c:v>
                </c:pt>
                <c:pt idx="28">
                  <c:v>2.5969999999999999E-3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LCF'!$W$8:$W$30</c:f>
              <c:strCache>
                <c:ptCount val="23"/>
                <c:pt idx="0">
                  <c:v>Banks</c:v>
                </c:pt>
                <c:pt idx="1">
                  <c:v>IT - Software</c:v>
                </c:pt>
                <c:pt idx="2">
                  <c:v>Petroleum Products</c:v>
                </c:pt>
                <c:pt idx="3">
                  <c:v>Diversified FMCG</c:v>
                </c:pt>
                <c:pt idx="4">
                  <c:v>Finance</c:v>
                </c:pt>
                <c:pt idx="5">
                  <c:v>Chemicals &amp; Petrochemicals</c:v>
                </c:pt>
                <c:pt idx="6">
                  <c:v>Automobiles</c:v>
                </c:pt>
                <c:pt idx="7">
                  <c:v>Consumer Durables</c:v>
                </c:pt>
                <c:pt idx="8">
                  <c:v>Construction</c:v>
                </c:pt>
                <c:pt idx="9">
                  <c:v>Electrical Equipment</c:v>
                </c:pt>
                <c:pt idx="10">
                  <c:v>Cement &amp; Cement Products</c:v>
                </c:pt>
                <c:pt idx="11">
                  <c:v>Pharmaceuticals &amp; Biotechnology</c:v>
                </c:pt>
                <c:pt idx="12">
                  <c:v>Telecom - Services</c:v>
                </c:pt>
                <c:pt idx="13">
                  <c:v>Transport Services</c:v>
                </c:pt>
                <c:pt idx="14">
                  <c:v>Power</c:v>
                </c:pt>
                <c:pt idx="15">
                  <c:v>Industrial Products</c:v>
                </c:pt>
                <c:pt idx="16">
                  <c:v>IT - Services</c:v>
                </c:pt>
                <c:pt idx="17">
                  <c:v>Non - Ferrous Metals</c:v>
                </c:pt>
                <c:pt idx="18">
                  <c:v>Ferrous Metals</c:v>
                </c:pt>
                <c:pt idx="19">
                  <c:v>Food Products</c:v>
                </c:pt>
                <c:pt idx="20">
                  <c:v>Retailing</c:v>
                </c:pt>
                <c:pt idx="21">
                  <c:v>Personal Products</c:v>
                </c:pt>
                <c:pt idx="22">
                  <c:v>Auto Components</c:v>
                </c:pt>
              </c:strCache>
            </c:strRef>
          </c:cat>
          <c:val>
            <c:numRef>
              <c:f>'BANDHAN LCF'!$X$8:$X$30</c:f>
              <c:numCache>
                <c:formatCode>0.00%</c:formatCode>
                <c:ptCount val="23"/>
                <c:pt idx="0">
                  <c:v>0.28054800000000002</c:v>
                </c:pt>
                <c:pt idx="1">
                  <c:v>0.134155</c:v>
                </c:pt>
                <c:pt idx="2">
                  <c:v>9.3195E-2</c:v>
                </c:pt>
                <c:pt idx="3">
                  <c:v>6.7331000000000002E-2</c:v>
                </c:pt>
                <c:pt idx="4">
                  <c:v>6.1745000000000001E-2</c:v>
                </c:pt>
                <c:pt idx="5">
                  <c:v>5.2261000000000002E-2</c:v>
                </c:pt>
                <c:pt idx="6">
                  <c:v>4.8099999999999997E-2</c:v>
                </c:pt>
                <c:pt idx="7">
                  <c:v>2.9698999999999996E-2</c:v>
                </c:pt>
                <c:pt idx="8">
                  <c:v>2.8473999999999999E-2</c:v>
                </c:pt>
                <c:pt idx="9">
                  <c:v>2.7374000000000002E-2</c:v>
                </c:pt>
                <c:pt idx="10">
                  <c:v>2.5152000000000001E-2</c:v>
                </c:pt>
                <c:pt idx="11">
                  <c:v>2.3780000000000003E-2</c:v>
                </c:pt>
                <c:pt idx="12">
                  <c:v>2.0032000000000001E-2</c:v>
                </c:pt>
                <c:pt idx="13">
                  <c:v>1.5765999999999999E-2</c:v>
                </c:pt>
                <c:pt idx="14">
                  <c:v>1.5585999999999999E-2</c:v>
                </c:pt>
                <c:pt idx="15">
                  <c:v>1.524E-2</c:v>
                </c:pt>
                <c:pt idx="16">
                  <c:v>1.1756000000000001E-2</c:v>
                </c:pt>
                <c:pt idx="17">
                  <c:v>1.0748000000000001E-2</c:v>
                </c:pt>
                <c:pt idx="18">
                  <c:v>1.0548E-2</c:v>
                </c:pt>
                <c:pt idx="19">
                  <c:v>9.7970000000000002E-3</c:v>
                </c:pt>
                <c:pt idx="20">
                  <c:v>5.2680000000000001E-3</c:v>
                </c:pt>
                <c:pt idx="21">
                  <c:v>5.2319999999999997E-3</c:v>
                </c:pt>
                <c:pt idx="22">
                  <c:v>4.9059999999999998E-3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FEF'!$W$8:$W$29</c:f>
              <c:strCache>
                <c:ptCount val="22"/>
                <c:pt idx="0">
                  <c:v>Banks</c:v>
                </c:pt>
                <c:pt idx="1">
                  <c:v>IT - Software</c:v>
                </c:pt>
                <c:pt idx="2">
                  <c:v>Chemicals &amp; Petrochemicals</c:v>
                </c:pt>
                <c:pt idx="3">
                  <c:v>Petroleum Products</c:v>
                </c:pt>
                <c:pt idx="4">
                  <c:v>Diversified FMCG</c:v>
                </c:pt>
                <c:pt idx="5">
                  <c:v>Automobiles</c:v>
                </c:pt>
                <c:pt idx="6">
                  <c:v>Finance</c:v>
                </c:pt>
                <c:pt idx="7">
                  <c:v>IT - Services</c:v>
                </c:pt>
                <c:pt idx="8">
                  <c:v>Food Products</c:v>
                </c:pt>
                <c:pt idx="9">
                  <c:v>Transport Services</c:v>
                </c:pt>
                <c:pt idx="10">
                  <c:v>Cement &amp; Cement Products</c:v>
                </c:pt>
                <c:pt idx="11">
                  <c:v>Retailing</c:v>
                </c:pt>
                <c:pt idx="12">
                  <c:v>Construction</c:v>
                </c:pt>
                <c:pt idx="13">
                  <c:v>Realty</c:v>
                </c:pt>
                <c:pt idx="14">
                  <c:v>Power</c:v>
                </c:pt>
                <c:pt idx="15">
                  <c:v>Pharmaceuticals &amp; Biotechnology</c:v>
                </c:pt>
                <c:pt idx="16">
                  <c:v>Leisure Services</c:v>
                </c:pt>
                <c:pt idx="17">
                  <c:v>Ferrous Metals</c:v>
                </c:pt>
                <c:pt idx="18">
                  <c:v>Consumer Durables</c:v>
                </c:pt>
                <c:pt idx="19">
                  <c:v>Telecom - Services</c:v>
                </c:pt>
                <c:pt idx="20">
                  <c:v>Electrical Equipment</c:v>
                </c:pt>
                <c:pt idx="21">
                  <c:v>Industrial Products</c:v>
                </c:pt>
              </c:strCache>
            </c:strRef>
          </c:cat>
          <c:val>
            <c:numRef>
              <c:f>'BANDHAN FEF'!$X$8:$X$29</c:f>
              <c:numCache>
                <c:formatCode>0.00%</c:formatCode>
                <c:ptCount val="22"/>
                <c:pt idx="0">
                  <c:v>0.27666199999999996</c:v>
                </c:pt>
                <c:pt idx="1">
                  <c:v>9.2579999999999996E-2</c:v>
                </c:pt>
                <c:pt idx="2">
                  <c:v>7.6322000000000001E-2</c:v>
                </c:pt>
                <c:pt idx="3">
                  <c:v>6.3612000000000002E-2</c:v>
                </c:pt>
                <c:pt idx="4">
                  <c:v>6.3212000000000004E-2</c:v>
                </c:pt>
                <c:pt idx="5">
                  <c:v>5.6010000000000004E-2</c:v>
                </c:pt>
                <c:pt idx="6">
                  <c:v>3.5489E-2</c:v>
                </c:pt>
                <c:pt idx="7">
                  <c:v>2.7968E-2</c:v>
                </c:pt>
                <c:pt idx="8">
                  <c:v>2.6894000000000001E-2</c:v>
                </c:pt>
                <c:pt idx="9">
                  <c:v>2.5964999999999998E-2</c:v>
                </c:pt>
                <c:pt idx="10">
                  <c:v>2.4486999999999998E-2</c:v>
                </c:pt>
                <c:pt idx="11">
                  <c:v>2.3543000000000001E-2</c:v>
                </c:pt>
                <c:pt idx="12">
                  <c:v>2.2800000000000001E-2</c:v>
                </c:pt>
                <c:pt idx="13">
                  <c:v>2.2131999999999999E-2</c:v>
                </c:pt>
                <c:pt idx="14">
                  <c:v>2.1312999999999999E-2</c:v>
                </c:pt>
                <c:pt idx="15">
                  <c:v>2.0624E-2</c:v>
                </c:pt>
                <c:pt idx="16">
                  <c:v>2.0233999999999999E-2</c:v>
                </c:pt>
                <c:pt idx="17">
                  <c:v>1.9712E-2</c:v>
                </c:pt>
                <c:pt idx="18">
                  <c:v>1.9493E-2</c:v>
                </c:pt>
                <c:pt idx="19">
                  <c:v>1.9112000000000001E-2</c:v>
                </c:pt>
                <c:pt idx="20">
                  <c:v>1.8898000000000002E-2</c:v>
                </c:pt>
                <c:pt idx="21">
                  <c:v>1.8693999999999999E-2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SVF'!$W$8:$W$34</c:f>
              <c:strCache>
                <c:ptCount val="27"/>
                <c:pt idx="0">
                  <c:v>Banks</c:v>
                </c:pt>
                <c:pt idx="1">
                  <c:v>Pharmaceuticals &amp; Biotechnology</c:v>
                </c:pt>
                <c:pt idx="2">
                  <c:v>IT - Software</c:v>
                </c:pt>
                <c:pt idx="3">
                  <c:v>Finance</c:v>
                </c:pt>
                <c:pt idx="4">
                  <c:v>Auto Components</c:v>
                </c:pt>
                <c:pt idx="5">
                  <c:v>Electrical Equipment</c:v>
                </c:pt>
                <c:pt idx="6">
                  <c:v>Ferrous Metals</c:v>
                </c:pt>
                <c:pt idx="7">
                  <c:v>Petroleum Products</c:v>
                </c:pt>
                <c:pt idx="8">
                  <c:v>Leisure Services</c:v>
                </c:pt>
                <c:pt idx="9">
                  <c:v>Industrial Products</c:v>
                </c:pt>
                <c:pt idx="10">
                  <c:v>Cement &amp; Cement Products</c:v>
                </c:pt>
                <c:pt idx="11">
                  <c:v>Automobiles</c:v>
                </c:pt>
                <c:pt idx="12">
                  <c:v>Diversified FMCG</c:v>
                </c:pt>
                <c:pt idx="13">
                  <c:v>Consumer Durables</c:v>
                </c:pt>
                <c:pt idx="14">
                  <c:v>Beverages</c:v>
                </c:pt>
                <c:pt idx="15">
                  <c:v>Transport Services</c:v>
                </c:pt>
                <c:pt idx="16">
                  <c:v>Construction</c:v>
                </c:pt>
                <c:pt idx="17">
                  <c:v>Insurance</c:v>
                </c:pt>
                <c:pt idx="18">
                  <c:v>Personal Products</c:v>
                </c:pt>
                <c:pt idx="19">
                  <c:v>Power</c:v>
                </c:pt>
                <c:pt idx="20">
                  <c:v>Food Products</c:v>
                </c:pt>
                <c:pt idx="21">
                  <c:v>Chemicals &amp; Petrochemicals</c:v>
                </c:pt>
                <c:pt idx="22">
                  <c:v>Gas</c:v>
                </c:pt>
                <c:pt idx="23">
                  <c:v>Textiles &amp; Apparels</c:v>
                </c:pt>
                <c:pt idx="24">
                  <c:v>Oil</c:v>
                </c:pt>
                <c:pt idx="25">
                  <c:v>Retailing</c:v>
                </c:pt>
                <c:pt idx="26">
                  <c:v>Agricultural Food &amp; other Products</c:v>
                </c:pt>
              </c:strCache>
            </c:strRef>
          </c:cat>
          <c:val>
            <c:numRef>
              <c:f>'BANDHAN SVF'!$X$8:$X$34</c:f>
              <c:numCache>
                <c:formatCode>0.00%</c:formatCode>
                <c:ptCount val="27"/>
                <c:pt idx="0" formatCode="0.0%">
                  <c:v>0.17317699999999997</c:v>
                </c:pt>
                <c:pt idx="1">
                  <c:v>7.9062999999999994E-2</c:v>
                </c:pt>
                <c:pt idx="2">
                  <c:v>6.999699999999999E-2</c:v>
                </c:pt>
                <c:pt idx="3">
                  <c:v>4.8354000000000001E-2</c:v>
                </c:pt>
                <c:pt idx="4">
                  <c:v>4.7969999999999999E-2</c:v>
                </c:pt>
                <c:pt idx="5">
                  <c:v>4.7281999999999998E-2</c:v>
                </c:pt>
                <c:pt idx="6">
                  <c:v>4.5642000000000002E-2</c:v>
                </c:pt>
                <c:pt idx="7">
                  <c:v>3.7759000000000001E-2</c:v>
                </c:pt>
                <c:pt idx="8">
                  <c:v>3.2851999999999999E-2</c:v>
                </c:pt>
                <c:pt idx="9">
                  <c:v>3.2035000000000001E-2</c:v>
                </c:pt>
                <c:pt idx="10">
                  <c:v>3.0919000000000002E-2</c:v>
                </c:pt>
                <c:pt idx="11">
                  <c:v>2.989E-2</c:v>
                </c:pt>
                <c:pt idx="12">
                  <c:v>2.9385000000000001E-2</c:v>
                </c:pt>
                <c:pt idx="13">
                  <c:v>2.7874999999999997E-2</c:v>
                </c:pt>
                <c:pt idx="14">
                  <c:v>2.6201000000000002E-2</c:v>
                </c:pt>
                <c:pt idx="15">
                  <c:v>2.5266E-2</c:v>
                </c:pt>
                <c:pt idx="16">
                  <c:v>2.1544000000000001E-2</c:v>
                </c:pt>
                <c:pt idx="17">
                  <c:v>1.9668000000000001E-2</c:v>
                </c:pt>
                <c:pt idx="18">
                  <c:v>1.8546E-2</c:v>
                </c:pt>
                <c:pt idx="19">
                  <c:v>1.6771000000000001E-2</c:v>
                </c:pt>
                <c:pt idx="20">
                  <c:v>1.5897999999999999E-2</c:v>
                </c:pt>
                <c:pt idx="21">
                  <c:v>1.5883000000000001E-2</c:v>
                </c:pt>
                <c:pt idx="22">
                  <c:v>1.5847E-2</c:v>
                </c:pt>
                <c:pt idx="23">
                  <c:v>1.4451E-2</c:v>
                </c:pt>
                <c:pt idx="24">
                  <c:v>1.1573999999999999E-2</c:v>
                </c:pt>
                <c:pt idx="25">
                  <c:v>8.4910000000000003E-3</c:v>
                </c:pt>
                <c:pt idx="26">
                  <c:v>8.1469999999999997E-3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Pharmaceuticals &amp; Biotechnology</c:v>
                </c:pt>
                <c:pt idx="11">
                  <c:v>Beverages</c:v>
                </c:pt>
                <c:pt idx="12">
                  <c:v>Telecom - Services</c:v>
                </c:pt>
                <c:pt idx="13">
                  <c:v>Healthcare Services</c:v>
                </c:pt>
                <c:pt idx="14">
                  <c:v>Finance</c:v>
                </c:pt>
                <c:pt idx="15">
                  <c:v>Fertilizers &amp; Agrochemicals</c:v>
                </c:pt>
                <c:pt idx="16">
                  <c:v>Aerospace &amp; Defense</c:v>
                </c:pt>
                <c:pt idx="17">
                  <c:v>Textiles &amp; Apparels</c:v>
                </c:pt>
                <c:pt idx="18">
                  <c:v>Diversified</c:v>
                </c:pt>
                <c:pt idx="19">
                  <c:v>Capital Markets</c:v>
                </c:pt>
                <c:pt idx="20">
                  <c:v>Industrial Manufacturing</c:v>
                </c:pt>
              </c:strCache>
            </c:strRef>
          </c:cat>
          <c:val>
            <c:numRef>
              <c:f>'BANDHAN-MCAP'!$X$8:$X$28</c:f>
              <c:numCache>
                <c:formatCode>0.00%</c:formatCode>
                <c:ptCount val="21"/>
                <c:pt idx="0">
                  <c:v>0.12624400000000002</c:v>
                </c:pt>
                <c:pt idx="1">
                  <c:v>0.106819</c:v>
                </c:pt>
                <c:pt idx="2">
                  <c:v>0.10462399999999999</c:v>
                </c:pt>
                <c:pt idx="3">
                  <c:v>0.10120899999999999</c:v>
                </c:pt>
                <c:pt idx="4">
                  <c:v>6.6010999999999986E-2</c:v>
                </c:pt>
                <c:pt idx="5">
                  <c:v>5.5898999999999997E-2</c:v>
                </c:pt>
                <c:pt idx="6">
                  <c:v>4.7668000000000002E-2</c:v>
                </c:pt>
                <c:pt idx="7">
                  <c:v>4.6612000000000001E-2</c:v>
                </c:pt>
                <c:pt idx="8">
                  <c:v>4.4970999999999997E-2</c:v>
                </c:pt>
                <c:pt idx="9">
                  <c:v>4.3791999999999998E-2</c:v>
                </c:pt>
                <c:pt idx="10">
                  <c:v>3.1308000000000002E-2</c:v>
                </c:pt>
                <c:pt idx="11">
                  <c:v>2.3866999999999999E-2</c:v>
                </c:pt>
                <c:pt idx="12">
                  <c:v>2.2492000000000002E-2</c:v>
                </c:pt>
                <c:pt idx="13">
                  <c:v>2.0237999999999999E-2</c:v>
                </c:pt>
                <c:pt idx="14">
                  <c:v>1.8381000000000002E-2</c:v>
                </c:pt>
                <c:pt idx="15">
                  <c:v>1.7888999999999999E-2</c:v>
                </c:pt>
                <c:pt idx="16">
                  <c:v>1.4185E-2</c:v>
                </c:pt>
                <c:pt idx="17">
                  <c:v>1.3374E-2</c:v>
                </c:pt>
                <c:pt idx="18">
                  <c:v>1.154E-2</c:v>
                </c:pt>
                <c:pt idx="19">
                  <c:v>9.1229999999999992E-3</c:v>
                </c:pt>
                <c:pt idx="20">
                  <c:v>1.97E-3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March 2023)</c:v>
                </c:pt>
              </c:strCache>
            </c:strRef>
          </c:tx>
          <c:invertIfNegative val="0"/>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Pharmaceuticals &amp; Biotechnology</c:v>
                </c:pt>
                <c:pt idx="11">
                  <c:v>Beverages</c:v>
                </c:pt>
                <c:pt idx="12">
                  <c:v>Telecom - Services</c:v>
                </c:pt>
                <c:pt idx="13">
                  <c:v>Healthcare Services</c:v>
                </c:pt>
                <c:pt idx="14">
                  <c:v>Finance</c:v>
                </c:pt>
                <c:pt idx="15">
                  <c:v>Fertilizers &amp; Agrochemicals</c:v>
                </c:pt>
                <c:pt idx="16">
                  <c:v>Aerospace &amp; Defense</c:v>
                </c:pt>
                <c:pt idx="17">
                  <c:v>Textiles &amp; Apparels</c:v>
                </c:pt>
                <c:pt idx="18">
                  <c:v>Diversified</c:v>
                </c:pt>
                <c:pt idx="19">
                  <c:v>Capital Markets</c:v>
                </c:pt>
                <c:pt idx="20">
                  <c:v>Industrial Manufacturing</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March 2023)</c:v>
                </c:pt>
              </c:strCache>
            </c:strRef>
          </c:tx>
          <c:invertIfNegative val="0"/>
          <c:cat>
            <c:strRef>
              <c:f>'BANDHAN-MCAP'!$W$8:$W$28</c:f>
              <c:strCache>
                <c:ptCount val="21"/>
                <c:pt idx="0">
                  <c:v>Industrial Products</c:v>
                </c:pt>
                <c:pt idx="1">
                  <c:v>Banks</c:v>
                </c:pt>
                <c:pt idx="2">
                  <c:v>Auto Components</c:v>
                </c:pt>
                <c:pt idx="3">
                  <c:v>Chemicals &amp; Petrochemicals</c:v>
                </c:pt>
                <c:pt idx="4">
                  <c:v>IT - Software</c:v>
                </c:pt>
                <c:pt idx="5">
                  <c:v>Automobiles</c:v>
                </c:pt>
                <c:pt idx="6">
                  <c:v>Consumer Durables</c:v>
                </c:pt>
                <c:pt idx="7">
                  <c:v>Leisure Services</c:v>
                </c:pt>
                <c:pt idx="8">
                  <c:v>Retailing</c:v>
                </c:pt>
                <c:pt idx="9">
                  <c:v>Electrical Equipment</c:v>
                </c:pt>
                <c:pt idx="10">
                  <c:v>Pharmaceuticals &amp; Biotechnology</c:v>
                </c:pt>
                <c:pt idx="11">
                  <c:v>Beverages</c:v>
                </c:pt>
                <c:pt idx="12">
                  <c:v>Telecom - Services</c:v>
                </c:pt>
                <c:pt idx="13">
                  <c:v>Healthcare Services</c:v>
                </c:pt>
                <c:pt idx="14">
                  <c:v>Finance</c:v>
                </c:pt>
                <c:pt idx="15">
                  <c:v>Fertilizers &amp; Agrochemicals</c:v>
                </c:pt>
                <c:pt idx="16">
                  <c:v>Aerospace &amp; Defense</c:v>
                </c:pt>
                <c:pt idx="17">
                  <c:v>Textiles &amp; Apparels</c:v>
                </c:pt>
                <c:pt idx="18">
                  <c:v>Diversified</c:v>
                </c:pt>
                <c:pt idx="19">
                  <c:v>Capital Markets</c:v>
                </c:pt>
                <c:pt idx="20">
                  <c:v>Industrial Manufacturing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MCF'!$W$8:$W$37</c:f>
              <c:strCache>
                <c:ptCount val="30"/>
                <c:pt idx="0">
                  <c:v>Banks</c:v>
                </c:pt>
                <c:pt idx="1">
                  <c:v>IT - Software</c:v>
                </c:pt>
                <c:pt idx="2">
                  <c:v>Pharmaceuticals &amp; Biotechnology</c:v>
                </c:pt>
                <c:pt idx="3">
                  <c:v>Cement &amp; Cement Products</c:v>
                </c:pt>
                <c:pt idx="4">
                  <c:v>Finance</c:v>
                </c:pt>
                <c:pt idx="5">
                  <c:v>Auto Components</c:v>
                </c:pt>
                <c:pt idx="6">
                  <c:v>Industrial Products</c:v>
                </c:pt>
                <c:pt idx="7">
                  <c:v>Consumer Durables</c:v>
                </c:pt>
                <c:pt idx="8">
                  <c:v>Construction</c:v>
                </c:pt>
                <c:pt idx="9">
                  <c:v>Petroleum Products</c:v>
                </c:pt>
                <c:pt idx="10">
                  <c:v>Beverages</c:v>
                </c:pt>
                <c:pt idx="11">
                  <c:v>Insurance</c:v>
                </c:pt>
                <c:pt idx="12">
                  <c:v>Automobiles</c:v>
                </c:pt>
                <c:pt idx="13">
                  <c:v>Transport Services</c:v>
                </c:pt>
                <c:pt idx="14">
                  <c:v>IT - Services</c:v>
                </c:pt>
                <c:pt idx="15">
                  <c:v>Entertainment</c:v>
                </c:pt>
                <c:pt idx="16">
                  <c:v>Ferrous Metals</c:v>
                </c:pt>
                <c:pt idx="17">
                  <c:v>Leisure Services</c:v>
                </c:pt>
                <c:pt idx="18">
                  <c:v>Electrical Equipment</c:v>
                </c:pt>
                <c:pt idx="19">
                  <c:v>Realty</c:v>
                </c:pt>
                <c:pt idx="20">
                  <c:v>Food Products</c:v>
                </c:pt>
                <c:pt idx="21">
                  <c:v>Gas</c:v>
                </c:pt>
                <c:pt idx="22">
                  <c:v>Diversified FMCG</c:v>
                </c:pt>
                <c:pt idx="23">
                  <c:v>Chemicals &amp; Petrochemicals</c:v>
                </c:pt>
                <c:pt idx="24">
                  <c:v>Fertilizers &amp; Agrochemicals</c:v>
                </c:pt>
                <c:pt idx="25">
                  <c:v>Telecom - Services</c:v>
                </c:pt>
                <c:pt idx="26">
                  <c:v>Agricultural Food &amp; other Products</c:v>
                </c:pt>
                <c:pt idx="27">
                  <c:v>Retailing</c:v>
                </c:pt>
                <c:pt idx="28">
                  <c:v>Industrial Manufacturing</c:v>
                </c:pt>
                <c:pt idx="29">
                  <c:v>Minerals &amp; Mining</c:v>
                </c:pt>
              </c:strCache>
            </c:strRef>
          </c:cat>
          <c:val>
            <c:numRef>
              <c:f>'BANDHAN MCF'!$X$8:$X$37</c:f>
              <c:numCache>
                <c:formatCode>0.00%</c:formatCode>
                <c:ptCount val="30"/>
                <c:pt idx="0">
                  <c:v>0.14301</c:v>
                </c:pt>
                <c:pt idx="1">
                  <c:v>7.0152000000000006E-2</c:v>
                </c:pt>
                <c:pt idx="2">
                  <c:v>6.5325999999999995E-2</c:v>
                </c:pt>
                <c:pt idx="3">
                  <c:v>6.0775999999999997E-2</c:v>
                </c:pt>
                <c:pt idx="4">
                  <c:v>5.8869000000000005E-2</c:v>
                </c:pt>
                <c:pt idx="5">
                  <c:v>5.2039000000000002E-2</c:v>
                </c:pt>
                <c:pt idx="6">
                  <c:v>4.8520999999999995E-2</c:v>
                </c:pt>
                <c:pt idx="7">
                  <c:v>3.9684999999999998E-2</c:v>
                </c:pt>
                <c:pt idx="8">
                  <c:v>3.9580999999999998E-2</c:v>
                </c:pt>
                <c:pt idx="9">
                  <c:v>3.3992999999999995E-2</c:v>
                </c:pt>
                <c:pt idx="10">
                  <c:v>3.0032000000000003E-2</c:v>
                </c:pt>
                <c:pt idx="11">
                  <c:v>2.8901E-2</c:v>
                </c:pt>
                <c:pt idx="12">
                  <c:v>2.5090999999999999E-2</c:v>
                </c:pt>
                <c:pt idx="13">
                  <c:v>2.3174E-2</c:v>
                </c:pt>
                <c:pt idx="14">
                  <c:v>2.2772000000000001E-2</c:v>
                </c:pt>
                <c:pt idx="15">
                  <c:v>2.2546E-2</c:v>
                </c:pt>
                <c:pt idx="16">
                  <c:v>2.1512E-2</c:v>
                </c:pt>
                <c:pt idx="17">
                  <c:v>2.0521999999999999E-2</c:v>
                </c:pt>
                <c:pt idx="18">
                  <c:v>1.9876999999999999E-2</c:v>
                </c:pt>
                <c:pt idx="19">
                  <c:v>1.9627000000000002E-2</c:v>
                </c:pt>
                <c:pt idx="20">
                  <c:v>1.6605999999999999E-2</c:v>
                </c:pt>
                <c:pt idx="21">
                  <c:v>1.6195999999999999E-2</c:v>
                </c:pt>
                <c:pt idx="22">
                  <c:v>1.5899E-2</c:v>
                </c:pt>
                <c:pt idx="23">
                  <c:v>1.4151E-2</c:v>
                </c:pt>
                <c:pt idx="24">
                  <c:v>1.2796E-2</c:v>
                </c:pt>
                <c:pt idx="25">
                  <c:v>1.2421E-2</c:v>
                </c:pt>
                <c:pt idx="26">
                  <c:v>1.1755E-2</c:v>
                </c:pt>
                <c:pt idx="27">
                  <c:v>1.1653999999999999E-2</c:v>
                </c:pt>
                <c:pt idx="28">
                  <c:v>7.6189999999999999E-3</c:v>
                </c:pt>
                <c:pt idx="29">
                  <c:v>4.1619999999999999E-3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March 2023)</c:v>
                </c:pt>
              </c:strCache>
            </c:strRef>
          </c:tx>
          <c:invertIfNegative val="0"/>
          <c:cat>
            <c:strRef>
              <c:f>'BANDHAN MCF'!$W$8:$W$37</c:f>
              <c:strCache>
                <c:ptCount val="30"/>
                <c:pt idx="0">
                  <c:v>Banks</c:v>
                </c:pt>
                <c:pt idx="1">
                  <c:v>IT - Software</c:v>
                </c:pt>
                <c:pt idx="2">
                  <c:v>Pharmaceuticals &amp; Biotechnology</c:v>
                </c:pt>
                <c:pt idx="3">
                  <c:v>Cement &amp; Cement Products</c:v>
                </c:pt>
                <c:pt idx="4">
                  <c:v>Finance</c:v>
                </c:pt>
                <c:pt idx="5">
                  <c:v>Auto Components</c:v>
                </c:pt>
                <c:pt idx="6">
                  <c:v>Industrial Products</c:v>
                </c:pt>
                <c:pt idx="7">
                  <c:v>Consumer Durables</c:v>
                </c:pt>
                <c:pt idx="8">
                  <c:v>Construction</c:v>
                </c:pt>
                <c:pt idx="9">
                  <c:v>Petroleum Products</c:v>
                </c:pt>
                <c:pt idx="10">
                  <c:v>Beverages</c:v>
                </c:pt>
                <c:pt idx="11">
                  <c:v>Insurance</c:v>
                </c:pt>
                <c:pt idx="12">
                  <c:v>Automobiles</c:v>
                </c:pt>
                <c:pt idx="13">
                  <c:v>Transport Services</c:v>
                </c:pt>
                <c:pt idx="14">
                  <c:v>IT - Services</c:v>
                </c:pt>
                <c:pt idx="15">
                  <c:v>Entertainment</c:v>
                </c:pt>
                <c:pt idx="16">
                  <c:v>Ferrous Metals</c:v>
                </c:pt>
                <c:pt idx="17">
                  <c:v>Leisure Services</c:v>
                </c:pt>
                <c:pt idx="18">
                  <c:v>Electrical Equipment</c:v>
                </c:pt>
                <c:pt idx="19">
                  <c:v>Realty</c:v>
                </c:pt>
                <c:pt idx="20">
                  <c:v>Food Products</c:v>
                </c:pt>
                <c:pt idx="21">
                  <c:v>Gas</c:v>
                </c:pt>
                <c:pt idx="22">
                  <c:v>Diversified FMCG</c:v>
                </c:pt>
                <c:pt idx="23">
                  <c:v>Chemicals &amp; Petrochemicals</c:v>
                </c:pt>
                <c:pt idx="24">
                  <c:v>Fertilizers &amp; Agrochemicals</c:v>
                </c:pt>
                <c:pt idx="25">
                  <c:v>Telecom - Services</c:v>
                </c:pt>
                <c:pt idx="26">
                  <c:v>Agricultural Food &amp; other Products</c:v>
                </c:pt>
                <c:pt idx="27">
                  <c:v>Retailing</c:v>
                </c:pt>
                <c:pt idx="28">
                  <c:v>Industrial Manufacturing</c:v>
                </c:pt>
                <c:pt idx="29">
                  <c:v>Minerals &amp; Mining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FCF'!$W$8:$W$32</c:f>
              <c:strCache>
                <c:ptCount val="25"/>
                <c:pt idx="0">
                  <c:v>Banks</c:v>
                </c:pt>
                <c:pt idx="1">
                  <c:v>IT - Software</c:v>
                </c:pt>
                <c:pt idx="2">
                  <c:v>Auto Components</c:v>
                </c:pt>
                <c:pt idx="3">
                  <c:v>Industrial Products</c:v>
                </c:pt>
                <c:pt idx="4">
                  <c:v>Automobiles</c:v>
                </c:pt>
                <c:pt idx="5">
                  <c:v>Cement &amp; Cement Products</c:v>
                </c:pt>
                <c:pt idx="6">
                  <c:v>Chemicals &amp; Petrochemicals</c:v>
                </c:pt>
                <c:pt idx="7">
                  <c:v>Finance</c:v>
                </c:pt>
                <c:pt idx="8">
                  <c:v>Consumer Durables</c:v>
                </c:pt>
                <c:pt idx="9">
                  <c:v>Construction</c:v>
                </c:pt>
                <c:pt idx="10">
                  <c:v>Retailing</c:v>
                </c:pt>
                <c:pt idx="11">
                  <c:v>Telecom - Services</c:v>
                </c:pt>
                <c:pt idx="12">
                  <c:v>Diversified</c:v>
                </c:pt>
                <c:pt idx="13">
                  <c:v>Diversified FMCG</c:v>
                </c:pt>
                <c:pt idx="14">
                  <c:v>Aerospace &amp; Defense</c:v>
                </c:pt>
                <c:pt idx="15">
                  <c:v>Leisure Services</c:v>
                </c:pt>
                <c:pt idx="16">
                  <c:v>Textiles &amp; Apparels</c:v>
                </c:pt>
                <c:pt idx="17">
                  <c:v>Beverages</c:v>
                </c:pt>
                <c:pt idx="18">
                  <c:v>Healthcare Services</c:v>
                </c:pt>
                <c:pt idx="19">
                  <c:v>Food Products</c:v>
                </c:pt>
                <c:pt idx="20">
                  <c:v>Transport Services</c:v>
                </c:pt>
                <c:pt idx="21">
                  <c:v>Pharmaceuticals &amp; Biotechnology</c:v>
                </c:pt>
                <c:pt idx="22">
                  <c:v>Paper, Forest &amp; Jute Products</c:v>
                </c:pt>
                <c:pt idx="23">
                  <c:v>Personal Products</c:v>
                </c:pt>
                <c:pt idx="24">
                  <c:v>Realty</c:v>
                </c:pt>
              </c:strCache>
            </c:strRef>
          </c:cat>
          <c:val>
            <c:numRef>
              <c:f>'BANDHAN FCF'!$X$8:$X$32</c:f>
              <c:numCache>
                <c:formatCode>0.00%</c:formatCode>
                <c:ptCount val="25"/>
                <c:pt idx="0">
                  <c:v>0.24887300000000001</c:v>
                </c:pt>
                <c:pt idx="1">
                  <c:v>0.10962400000000001</c:v>
                </c:pt>
                <c:pt idx="2">
                  <c:v>7.4878E-2</c:v>
                </c:pt>
                <c:pt idx="3">
                  <c:v>7.0367999999999986E-2</c:v>
                </c:pt>
                <c:pt idx="4">
                  <c:v>5.3712999999999997E-2</c:v>
                </c:pt>
                <c:pt idx="5">
                  <c:v>4.8628999999999999E-2</c:v>
                </c:pt>
                <c:pt idx="6">
                  <c:v>4.7812E-2</c:v>
                </c:pt>
                <c:pt idx="7">
                  <c:v>4.7315000000000003E-2</c:v>
                </c:pt>
                <c:pt idx="8" formatCode="0.0%">
                  <c:v>3.3006000000000001E-2</c:v>
                </c:pt>
                <c:pt idx="9">
                  <c:v>3.056E-2</c:v>
                </c:pt>
                <c:pt idx="10">
                  <c:v>2.8357E-2</c:v>
                </c:pt>
                <c:pt idx="11">
                  <c:v>2.6331E-2</c:v>
                </c:pt>
                <c:pt idx="12">
                  <c:v>1.6605999999999999E-2</c:v>
                </c:pt>
                <c:pt idx="13">
                  <c:v>1.6324000000000002E-2</c:v>
                </c:pt>
                <c:pt idx="14">
                  <c:v>1.6094000000000001E-2</c:v>
                </c:pt>
                <c:pt idx="15">
                  <c:v>1.3065E-2</c:v>
                </c:pt>
                <c:pt idx="16">
                  <c:v>1.1221E-2</c:v>
                </c:pt>
                <c:pt idx="17">
                  <c:v>1.0477999999999999E-2</c:v>
                </c:pt>
                <c:pt idx="18">
                  <c:v>9.9229999999999995E-3</c:v>
                </c:pt>
                <c:pt idx="19">
                  <c:v>8.0099999999999998E-3</c:v>
                </c:pt>
                <c:pt idx="20">
                  <c:v>6.9940000000000002E-3</c:v>
                </c:pt>
                <c:pt idx="21">
                  <c:v>5.8459999999999996E-3</c:v>
                </c:pt>
                <c:pt idx="22">
                  <c:v>5.0860000000000002E-3</c:v>
                </c:pt>
                <c:pt idx="23">
                  <c:v>1.89E-3</c:v>
                </c:pt>
                <c:pt idx="24">
                  <c:v>6.4999999999999997E-4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(31st March 2023)</c:v>
                </c:pt>
              </c:strCache>
            </c:strRef>
          </c:tx>
          <c:invertIfNegative val="0"/>
          <c:cat>
            <c:strRef>
              <c:f>'BANDHAN FCF'!$W$8:$W$32</c:f>
              <c:strCache>
                <c:ptCount val="25"/>
                <c:pt idx="0">
                  <c:v>Banks</c:v>
                </c:pt>
                <c:pt idx="1">
                  <c:v>IT - Software</c:v>
                </c:pt>
                <c:pt idx="2">
                  <c:v>Auto Components</c:v>
                </c:pt>
                <c:pt idx="3">
                  <c:v>Industrial Products</c:v>
                </c:pt>
                <c:pt idx="4">
                  <c:v>Automobiles</c:v>
                </c:pt>
                <c:pt idx="5">
                  <c:v>Cement &amp; Cement Products</c:v>
                </c:pt>
                <c:pt idx="6">
                  <c:v>Chemicals &amp; Petrochemicals</c:v>
                </c:pt>
                <c:pt idx="7">
                  <c:v>Finance</c:v>
                </c:pt>
                <c:pt idx="8">
                  <c:v>Consumer Durables</c:v>
                </c:pt>
                <c:pt idx="9">
                  <c:v>Construction</c:v>
                </c:pt>
                <c:pt idx="10">
                  <c:v>Retailing</c:v>
                </c:pt>
                <c:pt idx="11">
                  <c:v>Telecom - Services</c:v>
                </c:pt>
                <c:pt idx="12">
                  <c:v>Diversified</c:v>
                </c:pt>
                <c:pt idx="13">
                  <c:v>Diversified FMCG</c:v>
                </c:pt>
                <c:pt idx="14">
                  <c:v>Aerospace &amp; Defense</c:v>
                </c:pt>
                <c:pt idx="15">
                  <c:v>Leisure Services</c:v>
                </c:pt>
                <c:pt idx="16">
                  <c:v>Textiles &amp; Apparels</c:v>
                </c:pt>
                <c:pt idx="17">
                  <c:v>Beverages</c:v>
                </c:pt>
                <c:pt idx="18">
                  <c:v>Healthcare Services</c:v>
                </c:pt>
                <c:pt idx="19">
                  <c:v>Food Products</c:v>
                </c:pt>
                <c:pt idx="20">
                  <c:v>Transport Services</c:v>
                </c:pt>
                <c:pt idx="21">
                  <c:v>Pharmaceuticals &amp; Biotechnology</c:v>
                </c:pt>
                <c:pt idx="22">
                  <c:v>Paper, Forest &amp; Jute Products</c:v>
                </c:pt>
                <c:pt idx="23">
                  <c:v>Personal Products</c:v>
                </c:pt>
                <c:pt idx="24">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EBF'!$W$8:$W$38</c:f>
              <c:strCache>
                <c:ptCount val="31"/>
                <c:pt idx="0">
                  <c:v>Consumer Durables</c:v>
                </c:pt>
                <c:pt idx="1">
                  <c:v>Industrial Products</c:v>
                </c:pt>
                <c:pt idx="2">
                  <c:v>Auto Components</c:v>
                </c:pt>
                <c:pt idx="3">
                  <c:v>Leisure Services</c:v>
                </c:pt>
                <c:pt idx="4">
                  <c:v>Capital Markets</c:v>
                </c:pt>
                <c:pt idx="5">
                  <c:v>Finance</c:v>
                </c:pt>
                <c:pt idx="6">
                  <c:v>IT - Software</c:v>
                </c:pt>
                <c:pt idx="7">
                  <c:v>Beverages</c:v>
                </c:pt>
                <c:pt idx="8">
                  <c:v>Cement &amp; Cement Products</c:v>
                </c:pt>
                <c:pt idx="9">
                  <c:v>Chemicals &amp; Petrochemicals</c:v>
                </c:pt>
                <c:pt idx="10">
                  <c:v>Healthcare Services</c:v>
                </c:pt>
                <c:pt idx="11">
                  <c:v>Transport Services</c:v>
                </c:pt>
                <c:pt idx="12">
                  <c:v>Banks</c:v>
                </c:pt>
                <c:pt idx="13">
                  <c:v>Retailing</c:v>
                </c:pt>
                <c:pt idx="14">
                  <c:v>Construction</c:v>
                </c:pt>
                <c:pt idx="15">
                  <c:v>Agricultural Food &amp; other Products</c:v>
                </c:pt>
                <c:pt idx="16">
                  <c:v>Power</c:v>
                </c:pt>
                <c:pt idx="17">
                  <c:v>Pharmaceuticals &amp; Biotechnology</c:v>
                </c:pt>
                <c:pt idx="18">
                  <c:v>IT - Services</c:v>
                </c:pt>
                <c:pt idx="19">
                  <c:v>Food Products</c:v>
                </c:pt>
                <c:pt idx="20">
                  <c:v>Realty</c:v>
                </c:pt>
                <c:pt idx="21">
                  <c:v>Aerospace &amp; Defense</c:v>
                </c:pt>
                <c:pt idx="22">
                  <c:v>Commercial Services &amp; Supplies</c:v>
                </c:pt>
                <c:pt idx="23">
                  <c:v>Textiles &amp; Apparels</c:v>
                </c:pt>
                <c:pt idx="24">
                  <c:v>Cigarettes &amp; Tobacco Products</c:v>
                </c:pt>
                <c:pt idx="25">
                  <c:v>Industrial Manufacturing</c:v>
                </c:pt>
                <c:pt idx="26">
                  <c:v>Petroleum Products</c:v>
                </c:pt>
                <c:pt idx="27">
                  <c:v>Diversified</c:v>
                </c:pt>
                <c:pt idx="28">
                  <c:v>Gas</c:v>
                </c:pt>
                <c:pt idx="29">
                  <c:v>Fertilizers &amp; Agrochemicals</c:v>
                </c:pt>
                <c:pt idx="30">
                  <c:v>Personal Products</c:v>
                </c:pt>
              </c:strCache>
            </c:strRef>
          </c:cat>
          <c:val>
            <c:numRef>
              <c:f>'BANDHAN EBF'!$X$8:$X$38</c:f>
              <c:numCache>
                <c:formatCode>0.00%</c:formatCode>
                <c:ptCount val="31"/>
                <c:pt idx="0">
                  <c:v>9.2487000000000014E-2</c:v>
                </c:pt>
                <c:pt idx="1">
                  <c:v>8.5713999999999985E-2</c:v>
                </c:pt>
                <c:pt idx="2">
                  <c:v>8.3423999999999998E-2</c:v>
                </c:pt>
                <c:pt idx="3">
                  <c:v>5.5948000000000005E-2</c:v>
                </c:pt>
                <c:pt idx="4">
                  <c:v>4.0481999999999997E-2</c:v>
                </c:pt>
                <c:pt idx="5">
                  <c:v>3.9365999999999998E-2</c:v>
                </c:pt>
                <c:pt idx="6">
                  <c:v>3.5783999999999996E-2</c:v>
                </c:pt>
                <c:pt idx="7">
                  <c:v>3.4925999999999999E-2</c:v>
                </c:pt>
                <c:pt idx="8">
                  <c:v>3.4806999999999998E-2</c:v>
                </c:pt>
                <c:pt idx="9">
                  <c:v>3.1071000000000001E-2</c:v>
                </c:pt>
                <c:pt idx="10">
                  <c:v>3.0107000000000002E-2</c:v>
                </c:pt>
                <c:pt idx="11">
                  <c:v>2.9248000000000003E-2</c:v>
                </c:pt>
                <c:pt idx="12">
                  <c:v>2.8558E-2</c:v>
                </c:pt>
                <c:pt idx="13">
                  <c:v>2.6737999999999998E-2</c:v>
                </c:pt>
                <c:pt idx="14">
                  <c:v>2.5203E-2</c:v>
                </c:pt>
                <c:pt idx="15">
                  <c:v>2.5173000000000001E-2</c:v>
                </c:pt>
                <c:pt idx="16">
                  <c:v>2.1565000000000001E-2</c:v>
                </c:pt>
                <c:pt idx="17">
                  <c:v>2.1176E-2</c:v>
                </c:pt>
                <c:pt idx="18">
                  <c:v>1.9619000000000001E-2</c:v>
                </c:pt>
                <c:pt idx="19">
                  <c:v>1.9394000000000002E-2</c:v>
                </c:pt>
                <c:pt idx="20">
                  <c:v>1.9251000000000001E-2</c:v>
                </c:pt>
                <c:pt idx="21">
                  <c:v>1.7850999999999999E-2</c:v>
                </c:pt>
                <c:pt idx="22">
                  <c:v>1.6230999999999999E-2</c:v>
                </c:pt>
                <c:pt idx="23">
                  <c:v>1.4689000000000001E-2</c:v>
                </c:pt>
                <c:pt idx="24">
                  <c:v>1.1837E-2</c:v>
                </c:pt>
                <c:pt idx="25">
                  <c:v>1.1629E-2</c:v>
                </c:pt>
                <c:pt idx="26">
                  <c:v>1.0916E-2</c:v>
                </c:pt>
                <c:pt idx="27">
                  <c:v>9.5779999999999997E-3</c:v>
                </c:pt>
                <c:pt idx="28">
                  <c:v>8.9809999999999994E-3</c:v>
                </c:pt>
                <c:pt idx="29">
                  <c:v>8.9350000000000002E-3</c:v>
                </c:pt>
                <c:pt idx="30">
                  <c:v>5.398E-3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March 2023)</c:v>
                </c:pt>
              </c:strCache>
            </c:strRef>
          </c:tx>
          <c:invertIfNegative val="0"/>
          <c:cat>
            <c:strRef>
              <c:f>'BANDHAN EBF'!$W$8:$W$38</c:f>
              <c:strCache>
                <c:ptCount val="31"/>
                <c:pt idx="0">
                  <c:v>Consumer Durables</c:v>
                </c:pt>
                <c:pt idx="1">
                  <c:v>Industrial Products</c:v>
                </c:pt>
                <c:pt idx="2">
                  <c:v>Auto Components</c:v>
                </c:pt>
                <c:pt idx="3">
                  <c:v>Leisure Services</c:v>
                </c:pt>
                <c:pt idx="4">
                  <c:v>Capital Markets</c:v>
                </c:pt>
                <c:pt idx="5">
                  <c:v>Finance</c:v>
                </c:pt>
                <c:pt idx="6">
                  <c:v>IT - Software</c:v>
                </c:pt>
                <c:pt idx="7">
                  <c:v>Beverages</c:v>
                </c:pt>
                <c:pt idx="8">
                  <c:v>Cement &amp; Cement Products</c:v>
                </c:pt>
                <c:pt idx="9">
                  <c:v>Chemicals &amp; Petrochemicals</c:v>
                </c:pt>
                <c:pt idx="10">
                  <c:v>Healthcare Services</c:v>
                </c:pt>
                <c:pt idx="11">
                  <c:v>Transport Services</c:v>
                </c:pt>
                <c:pt idx="12">
                  <c:v>Banks</c:v>
                </c:pt>
                <c:pt idx="13">
                  <c:v>Retailing</c:v>
                </c:pt>
                <c:pt idx="14">
                  <c:v>Construction</c:v>
                </c:pt>
                <c:pt idx="15">
                  <c:v>Agricultural Food &amp; other Products</c:v>
                </c:pt>
                <c:pt idx="16">
                  <c:v>Power</c:v>
                </c:pt>
                <c:pt idx="17">
                  <c:v>Pharmaceuticals &amp; Biotechnology</c:v>
                </c:pt>
                <c:pt idx="18">
                  <c:v>IT - Services</c:v>
                </c:pt>
                <c:pt idx="19">
                  <c:v>Food Products</c:v>
                </c:pt>
                <c:pt idx="20">
                  <c:v>Realty</c:v>
                </c:pt>
                <c:pt idx="21">
                  <c:v>Aerospace &amp; Defense</c:v>
                </c:pt>
                <c:pt idx="22">
                  <c:v>Commercial Services &amp; Supplies</c:v>
                </c:pt>
                <c:pt idx="23">
                  <c:v>Textiles &amp; Apparels</c:v>
                </c:pt>
                <c:pt idx="24">
                  <c:v>Cigarettes &amp; Tobacco Products</c:v>
                </c:pt>
                <c:pt idx="25">
                  <c:v>Industrial Manufacturing</c:v>
                </c:pt>
                <c:pt idx="26">
                  <c:v>Petroleum Products</c:v>
                </c:pt>
                <c:pt idx="27">
                  <c:v>Diversified</c:v>
                </c:pt>
                <c:pt idx="28">
                  <c:v>Gas</c:v>
                </c:pt>
                <c:pt idx="29">
                  <c:v>Fertilizers &amp; Agrochemicals</c:v>
                </c:pt>
                <c:pt idx="30">
                  <c:v>Personal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March 2023)</c:v>
                </c:pt>
              </c:strCache>
            </c:strRef>
          </c:tx>
          <c:invertIfNegative val="0"/>
          <c:cat>
            <c:strRef>
              <c:f>'BANDHAN EBF'!$W$8:$W$38</c:f>
              <c:strCache>
                <c:ptCount val="31"/>
                <c:pt idx="0">
                  <c:v>Consumer Durables</c:v>
                </c:pt>
                <c:pt idx="1">
                  <c:v>Industrial Products</c:v>
                </c:pt>
                <c:pt idx="2">
                  <c:v>Auto Components</c:v>
                </c:pt>
                <c:pt idx="3">
                  <c:v>Leisure Services</c:v>
                </c:pt>
                <c:pt idx="4">
                  <c:v>Capital Markets</c:v>
                </c:pt>
                <c:pt idx="5">
                  <c:v>Finance</c:v>
                </c:pt>
                <c:pt idx="6">
                  <c:v>IT - Software</c:v>
                </c:pt>
                <c:pt idx="7">
                  <c:v>Beverages</c:v>
                </c:pt>
                <c:pt idx="8">
                  <c:v>Cement &amp; Cement Products</c:v>
                </c:pt>
                <c:pt idx="9">
                  <c:v>Chemicals &amp; Petrochemicals</c:v>
                </c:pt>
                <c:pt idx="10">
                  <c:v>Healthcare Services</c:v>
                </c:pt>
                <c:pt idx="11">
                  <c:v>Transport Services</c:v>
                </c:pt>
                <c:pt idx="12">
                  <c:v>Banks</c:v>
                </c:pt>
                <c:pt idx="13">
                  <c:v>Retailing</c:v>
                </c:pt>
                <c:pt idx="14">
                  <c:v>Construction</c:v>
                </c:pt>
                <c:pt idx="15">
                  <c:v>Agricultural Food &amp; other Products</c:v>
                </c:pt>
                <c:pt idx="16">
                  <c:v>Power</c:v>
                </c:pt>
                <c:pt idx="17">
                  <c:v>Pharmaceuticals &amp; Biotechnology</c:v>
                </c:pt>
                <c:pt idx="18">
                  <c:v>IT - Services</c:v>
                </c:pt>
                <c:pt idx="19">
                  <c:v>Food Products</c:v>
                </c:pt>
                <c:pt idx="20">
                  <c:v>Realty</c:v>
                </c:pt>
                <c:pt idx="21">
                  <c:v>Aerospace &amp; Defense</c:v>
                </c:pt>
                <c:pt idx="22">
                  <c:v>Commercial Services &amp; Supplies</c:v>
                </c:pt>
                <c:pt idx="23">
                  <c:v>Textiles &amp; Apparels</c:v>
                </c:pt>
                <c:pt idx="24">
                  <c:v>Cigarettes &amp; Tobacco Products</c:v>
                </c:pt>
                <c:pt idx="25">
                  <c:v>Industrial Manufacturing</c:v>
                </c:pt>
                <c:pt idx="26">
                  <c:v>Petroleum Products</c:v>
                </c:pt>
                <c:pt idx="27">
                  <c:v>Diversified</c:v>
                </c:pt>
                <c:pt idx="28">
                  <c:v>Gas</c:v>
                </c:pt>
                <c:pt idx="29">
                  <c:v>Fertilizers &amp; Agrochemicals</c:v>
                </c:pt>
                <c:pt idx="30">
                  <c:v>Personal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Electrical Equipment</c:v>
                </c:pt>
                <c:pt idx="3">
                  <c:v>Transport Services</c:v>
                </c:pt>
                <c:pt idx="4">
                  <c:v>Industrial Products</c:v>
                </c:pt>
                <c:pt idx="5">
                  <c:v>Telecom - Services</c:v>
                </c:pt>
                <c:pt idx="6">
                  <c:v>Gas</c:v>
                </c:pt>
                <c:pt idx="7">
                  <c:v>Ferrous Metals</c:v>
                </c:pt>
                <c:pt idx="8">
                  <c:v>Aerospace &amp; Defense</c:v>
                </c:pt>
                <c:pt idx="9">
                  <c:v>Power</c:v>
                </c:pt>
                <c:pt idx="10">
                  <c:v>Realty</c:v>
                </c:pt>
                <c:pt idx="11">
                  <c:v>Petroleum Products</c:v>
                </c:pt>
                <c:pt idx="12">
                  <c:v>Non - Ferrous Metals</c:v>
                </c:pt>
                <c:pt idx="13">
                  <c:v>Paper, Forest &amp; Jute Products</c:v>
                </c:pt>
              </c:strCache>
            </c:strRef>
          </c:cat>
          <c:val>
            <c:numRef>
              <c:f>'BANDHAN IF'!$X$8:$X$21</c:f>
              <c:numCache>
                <c:formatCode>0.00%</c:formatCode>
                <c:ptCount val="14"/>
                <c:pt idx="0">
                  <c:v>0.28478899999999996</c:v>
                </c:pt>
                <c:pt idx="1">
                  <c:v>0.17341600000000001</c:v>
                </c:pt>
                <c:pt idx="2">
                  <c:v>9.4492999999999994E-2</c:v>
                </c:pt>
                <c:pt idx="3">
                  <c:v>8.9608999999999994E-2</c:v>
                </c:pt>
                <c:pt idx="4">
                  <c:v>6.9071999999999995E-2</c:v>
                </c:pt>
                <c:pt idx="5">
                  <c:v>5.0584999999999998E-2</c:v>
                </c:pt>
                <c:pt idx="6">
                  <c:v>5.0085999999999999E-2</c:v>
                </c:pt>
                <c:pt idx="7">
                  <c:v>4.9349999999999998E-2</c:v>
                </c:pt>
                <c:pt idx="8">
                  <c:v>4.1416000000000001E-2</c:v>
                </c:pt>
                <c:pt idx="9">
                  <c:v>3.6018000000000001E-2</c:v>
                </c:pt>
                <c:pt idx="10">
                  <c:v>1.1164E-2</c:v>
                </c:pt>
                <c:pt idx="11">
                  <c:v>9.4330000000000004E-3</c:v>
                </c:pt>
                <c:pt idx="12">
                  <c:v>9.1070000000000005E-3</c:v>
                </c:pt>
                <c:pt idx="13">
                  <c:v>6.8180000000000003E-3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TLF'!$W$8:$W$12</c:f>
              <c:strCache>
                <c:ptCount val="5"/>
                <c:pt idx="0">
                  <c:v>Auto Components</c:v>
                </c:pt>
                <c:pt idx="1">
                  <c:v>Automobiles</c:v>
                </c:pt>
                <c:pt idx="2">
                  <c:v>Transport Services</c:v>
                </c:pt>
                <c:pt idx="3">
                  <c:v>Agricultural, Commercial &amp; Construction Vehicles</c:v>
                </c:pt>
                <c:pt idx="4">
                  <c:v>Industrial Products</c:v>
                </c:pt>
              </c:strCache>
            </c:strRef>
          </c:cat>
          <c:val>
            <c:numRef>
              <c:f>'BANDHAN TLF'!$X$8:$X$12</c:f>
              <c:numCache>
                <c:formatCode>0.00%</c:formatCode>
                <c:ptCount val="5"/>
                <c:pt idx="0">
                  <c:v>0.351775</c:v>
                </c:pt>
                <c:pt idx="1">
                  <c:v>0.33112599999999998</c:v>
                </c:pt>
                <c:pt idx="2">
                  <c:v>0.13297999999999999</c:v>
                </c:pt>
                <c:pt idx="3">
                  <c:v>5.7439000000000004E-2</c:v>
                </c:pt>
                <c:pt idx="4">
                  <c:v>2.3577000000000001E-2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'BANDHAN-TAF'!$W$8:$W$31</c:f>
              <c:strCache>
                <c:ptCount val="24"/>
                <c:pt idx="0">
                  <c:v>Banks</c:v>
                </c:pt>
                <c:pt idx="1">
                  <c:v>IT - Software</c:v>
                </c:pt>
                <c:pt idx="2">
                  <c:v>Pharmaceuticals &amp; Biotechnology</c:v>
                </c:pt>
                <c:pt idx="3">
                  <c:v>Automobiles</c:v>
                </c:pt>
                <c:pt idx="4">
                  <c:v>Finance</c:v>
                </c:pt>
                <c:pt idx="5">
                  <c:v>Cement &amp; Cement Products</c:v>
                </c:pt>
                <c:pt idx="6">
                  <c:v>Electrical Equipment</c:v>
                </c:pt>
                <c:pt idx="7">
                  <c:v>Petroleum Products</c:v>
                </c:pt>
                <c:pt idx="8">
                  <c:v>Auto Components</c:v>
                </c:pt>
                <c:pt idx="9">
                  <c:v>Construction</c:v>
                </c:pt>
                <c:pt idx="10">
                  <c:v>Ferrous Metals</c:v>
                </c:pt>
                <c:pt idx="11">
                  <c:v>Transport Services</c:v>
                </c:pt>
                <c:pt idx="12">
                  <c:v>Chemicals &amp; Petrochemicals</c:v>
                </c:pt>
                <c:pt idx="13">
                  <c:v>Industrial Products</c:v>
                </c:pt>
                <c:pt idx="14">
                  <c:v>Leisure Services</c:v>
                </c:pt>
                <c:pt idx="15">
                  <c:v>Insurance</c:v>
                </c:pt>
                <c:pt idx="16">
                  <c:v>Beverages</c:v>
                </c:pt>
                <c:pt idx="17">
                  <c:v>Telecom - Services</c:v>
                </c:pt>
                <c:pt idx="18">
                  <c:v>Consumer Durables</c:v>
                </c:pt>
                <c:pt idx="19">
                  <c:v>Power</c:v>
                </c:pt>
                <c:pt idx="20">
                  <c:v>Diversified FMCG</c:v>
                </c:pt>
                <c:pt idx="21">
                  <c:v>Agricultural Food &amp; other Products</c:v>
                </c:pt>
                <c:pt idx="22">
                  <c:v>Retailing</c:v>
                </c:pt>
                <c:pt idx="23">
                  <c:v>Food Products</c:v>
                </c:pt>
              </c:strCache>
            </c:strRef>
          </c:cat>
          <c:val>
            <c:numRef>
              <c:f>'BANDHAN-TAF'!$X$8:$X$31</c:f>
              <c:numCache>
                <c:formatCode>0.00%</c:formatCode>
                <c:ptCount val="24"/>
                <c:pt idx="0">
                  <c:v>0.19627300000000003</c:v>
                </c:pt>
                <c:pt idx="1">
                  <c:v>9.3222000000000013E-2</c:v>
                </c:pt>
                <c:pt idx="2">
                  <c:v>6.3232999999999998E-2</c:v>
                </c:pt>
                <c:pt idx="3">
                  <c:v>4.8475000000000004E-2</c:v>
                </c:pt>
                <c:pt idx="4">
                  <c:v>4.8366000000000006E-2</c:v>
                </c:pt>
                <c:pt idx="5">
                  <c:v>4.0312000000000001E-2</c:v>
                </c:pt>
                <c:pt idx="6">
                  <c:v>3.8240999999999997E-2</c:v>
                </c:pt>
                <c:pt idx="7">
                  <c:v>3.7740000000000003E-2</c:v>
                </c:pt>
                <c:pt idx="8">
                  <c:v>3.7569999999999999E-2</c:v>
                </c:pt>
                <c:pt idx="9">
                  <c:v>3.5776000000000002E-2</c:v>
                </c:pt>
                <c:pt idx="10">
                  <c:v>3.4346000000000002E-2</c:v>
                </c:pt>
                <c:pt idx="11">
                  <c:v>3.2232999999999998E-2</c:v>
                </c:pt>
                <c:pt idx="12">
                  <c:v>3.1795000000000004E-2</c:v>
                </c:pt>
                <c:pt idx="13">
                  <c:v>3.0984999999999999E-2</c:v>
                </c:pt>
                <c:pt idx="14">
                  <c:v>2.6716999999999998E-2</c:v>
                </c:pt>
                <c:pt idx="15">
                  <c:v>2.4542000000000001E-2</c:v>
                </c:pt>
                <c:pt idx="16">
                  <c:v>2.3960000000000002E-2</c:v>
                </c:pt>
                <c:pt idx="17">
                  <c:v>2.3803000000000001E-2</c:v>
                </c:pt>
                <c:pt idx="18">
                  <c:v>1.6579E-2</c:v>
                </c:pt>
                <c:pt idx="19">
                  <c:v>1.5539000000000001E-2</c:v>
                </c:pt>
                <c:pt idx="20">
                  <c:v>1.1498E-2</c:v>
                </c:pt>
                <c:pt idx="21">
                  <c:v>1.1051E-2</c:v>
                </c:pt>
                <c:pt idx="22">
                  <c:v>8.1569999999999993E-3</c:v>
                </c:pt>
                <c:pt idx="23">
                  <c:v>4.071E-3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0.69098800000000005</c:v>
                </c:pt>
                <c:pt idx="1">
                  <c:v>0.30901199999999995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Finance</c:v>
                </c:pt>
                <c:pt idx="3">
                  <c:v>Automobiles</c:v>
                </c:pt>
                <c:pt idx="4">
                  <c:v>Auto Components</c:v>
                </c:pt>
                <c:pt idx="5">
                  <c:v>Chemicals &amp; Petrochemicals</c:v>
                </c:pt>
                <c:pt idx="6">
                  <c:v>Index</c:v>
                </c:pt>
                <c:pt idx="7">
                  <c:v>Retailing</c:v>
                </c:pt>
                <c:pt idx="8">
                  <c:v>Petroleum Products</c:v>
                </c:pt>
                <c:pt idx="9">
                  <c:v>Telecom - Services</c:v>
                </c:pt>
                <c:pt idx="10">
                  <c:v>Industrial Products</c:v>
                </c:pt>
                <c:pt idx="11">
                  <c:v>Consumer Durables</c:v>
                </c:pt>
                <c:pt idx="12">
                  <c:v>Diversified FMCG</c:v>
                </c:pt>
                <c:pt idx="13">
                  <c:v>Cement &amp; Cement Products</c:v>
                </c:pt>
                <c:pt idx="14">
                  <c:v>Healthcare Services</c:v>
                </c:pt>
                <c:pt idx="15">
                  <c:v>Beverages</c:v>
                </c:pt>
              </c:strCache>
            </c:strRef>
          </c:cat>
          <c:val>
            <c:numRef>
              <c:f>'BANDHAN BAF'!$X$8:$X$23</c:f>
              <c:numCache>
                <c:formatCode>0.00%</c:formatCode>
                <c:ptCount val="16"/>
                <c:pt idx="0">
                  <c:v>0.13097799999999996</c:v>
                </c:pt>
                <c:pt idx="1">
                  <c:v>6.8926000000000001E-2</c:v>
                </c:pt>
                <c:pt idx="2">
                  <c:v>5.6158E-2</c:v>
                </c:pt>
                <c:pt idx="3">
                  <c:v>4.6652999999999993E-2</c:v>
                </c:pt>
                <c:pt idx="4">
                  <c:v>3.7723E-2</c:v>
                </c:pt>
                <c:pt idx="5">
                  <c:v>3.0879999999999994E-2</c:v>
                </c:pt>
                <c:pt idx="6">
                  <c:v>2.8206999999999999E-2</c:v>
                </c:pt>
                <c:pt idx="7">
                  <c:v>2.6314999999999998E-2</c:v>
                </c:pt>
                <c:pt idx="8">
                  <c:v>2.1677999999999999E-2</c:v>
                </c:pt>
                <c:pt idx="9">
                  <c:v>2.1543E-2</c:v>
                </c:pt>
                <c:pt idx="10">
                  <c:v>1.5960999999999999E-2</c:v>
                </c:pt>
                <c:pt idx="11">
                  <c:v>1.3831E-2</c:v>
                </c:pt>
                <c:pt idx="12">
                  <c:v>1.3190000000000002E-2</c:v>
                </c:pt>
                <c:pt idx="13">
                  <c:v>1.2967999999999999E-2</c:v>
                </c:pt>
                <c:pt idx="14">
                  <c:v>1.1943E-2</c:v>
                </c:pt>
                <c:pt idx="15">
                  <c:v>1.1642999999999999E-2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IT - Software</c:v>
                </c:pt>
                <c:pt idx="2">
                  <c:v>Finance</c:v>
                </c:pt>
                <c:pt idx="3">
                  <c:v>Automobiles</c:v>
                </c:pt>
                <c:pt idx="4">
                  <c:v>Auto Components</c:v>
                </c:pt>
                <c:pt idx="5">
                  <c:v>Chemicals &amp; Petrochemicals</c:v>
                </c:pt>
                <c:pt idx="6">
                  <c:v>Index</c:v>
                </c:pt>
                <c:pt idx="7">
                  <c:v>Retailing</c:v>
                </c:pt>
                <c:pt idx="8">
                  <c:v>Petroleum Products</c:v>
                </c:pt>
                <c:pt idx="9">
                  <c:v>Telecom - Services</c:v>
                </c:pt>
                <c:pt idx="10">
                  <c:v>Industrial Products</c:v>
                </c:pt>
                <c:pt idx="11">
                  <c:v>Consumer Durables</c:v>
                </c:pt>
                <c:pt idx="12">
                  <c:v>Diversified FMCG</c:v>
                </c:pt>
                <c:pt idx="13">
                  <c:v>Cement &amp; Cement Products</c:v>
                </c:pt>
                <c:pt idx="14">
                  <c:v>Healthcare Services</c:v>
                </c:pt>
                <c:pt idx="15">
                  <c:v>Beverages</c:v>
                </c:pt>
                <c:pt idx="16">
                  <c:v>Aerospace &amp; Defense</c:v>
                </c:pt>
              </c:strCache>
            </c:strRef>
          </c:cat>
          <c:val>
            <c:numRef>
              <c:f>'BANDHAN BAF'!$X$8:$X$24</c:f>
              <c:numCache>
                <c:formatCode>0.00%</c:formatCode>
                <c:ptCount val="17"/>
                <c:pt idx="0">
                  <c:v>0.13097799999999996</c:v>
                </c:pt>
                <c:pt idx="1">
                  <c:v>6.8926000000000001E-2</c:v>
                </c:pt>
                <c:pt idx="2">
                  <c:v>5.6158E-2</c:v>
                </c:pt>
                <c:pt idx="3">
                  <c:v>4.6652999999999993E-2</c:v>
                </c:pt>
                <c:pt idx="4">
                  <c:v>3.7723E-2</c:v>
                </c:pt>
                <c:pt idx="5">
                  <c:v>3.0879999999999994E-2</c:v>
                </c:pt>
                <c:pt idx="6">
                  <c:v>2.8206999999999999E-2</c:v>
                </c:pt>
                <c:pt idx="7">
                  <c:v>2.6314999999999998E-2</c:v>
                </c:pt>
                <c:pt idx="8">
                  <c:v>2.1677999999999999E-2</c:v>
                </c:pt>
                <c:pt idx="9">
                  <c:v>2.1543E-2</c:v>
                </c:pt>
                <c:pt idx="10">
                  <c:v>1.5960999999999999E-2</c:v>
                </c:pt>
                <c:pt idx="11">
                  <c:v>1.3831E-2</c:v>
                </c:pt>
                <c:pt idx="12">
                  <c:v>1.3190000000000002E-2</c:v>
                </c:pt>
                <c:pt idx="13">
                  <c:v>1.2967999999999999E-2</c:v>
                </c:pt>
                <c:pt idx="14">
                  <c:v>1.1943E-2</c:v>
                </c:pt>
                <c:pt idx="15">
                  <c:v>1.1642999999999999E-2</c:v>
                </c:pt>
                <c:pt idx="16">
                  <c:v>7.7329999999999994E-3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IT - Software</c:v>
                </c:pt>
                <c:pt idx="2">
                  <c:v>Finance</c:v>
                </c:pt>
                <c:pt idx="3">
                  <c:v>Automobiles</c:v>
                </c:pt>
                <c:pt idx="4">
                  <c:v>Auto Components</c:v>
                </c:pt>
                <c:pt idx="5">
                  <c:v>Chemicals &amp; Petrochemicals</c:v>
                </c:pt>
                <c:pt idx="6">
                  <c:v>Index</c:v>
                </c:pt>
                <c:pt idx="7">
                  <c:v>Retailing</c:v>
                </c:pt>
                <c:pt idx="8">
                  <c:v>Petroleum Products</c:v>
                </c:pt>
                <c:pt idx="9">
                  <c:v>Telecom - Services</c:v>
                </c:pt>
                <c:pt idx="10">
                  <c:v>Industrial Products</c:v>
                </c:pt>
                <c:pt idx="11">
                  <c:v>Consumer Durables</c:v>
                </c:pt>
                <c:pt idx="12">
                  <c:v>Diversified FMCG</c:v>
                </c:pt>
                <c:pt idx="13">
                  <c:v>Cement &amp; Cement Products</c:v>
                </c:pt>
                <c:pt idx="14">
                  <c:v>Healthcare Services</c:v>
                </c:pt>
                <c:pt idx="15">
                  <c:v>Beverages</c:v>
                </c:pt>
                <c:pt idx="16">
                  <c:v>Aerospace &amp; Defense</c:v>
                </c:pt>
                <c:pt idx="17">
                  <c:v>Food Products</c:v>
                </c:pt>
                <c:pt idx="18">
                  <c:v>Electrical Equipment</c:v>
                </c:pt>
                <c:pt idx="19">
                  <c:v>Paper, Forest &amp; Jute Products</c:v>
                </c:pt>
                <c:pt idx="20">
                  <c:v>Fertilizers &amp; Agrochemicals</c:v>
                </c:pt>
                <c:pt idx="21">
                  <c:v>Textiles &amp; Apparels</c:v>
                </c:pt>
                <c:pt idx="22">
                  <c:v>Pharmaceuticals &amp; Biotechnology</c:v>
                </c:pt>
                <c:pt idx="23">
                  <c:v>Personal Products</c:v>
                </c:pt>
                <c:pt idx="24">
                  <c:v>Realty</c:v>
                </c:pt>
              </c:strCache>
            </c:strRef>
          </c:cat>
          <c:val>
            <c:numRef>
              <c:f>'BANDHAN BAF'!$X$8:$X$32</c:f>
              <c:numCache>
                <c:formatCode>0.00%</c:formatCode>
                <c:ptCount val="25"/>
                <c:pt idx="0">
                  <c:v>0.13097799999999996</c:v>
                </c:pt>
                <c:pt idx="1">
                  <c:v>6.8926000000000001E-2</c:v>
                </c:pt>
                <c:pt idx="2">
                  <c:v>5.6158E-2</c:v>
                </c:pt>
                <c:pt idx="3">
                  <c:v>4.6652999999999993E-2</c:v>
                </c:pt>
                <c:pt idx="4">
                  <c:v>3.7723E-2</c:v>
                </c:pt>
                <c:pt idx="5">
                  <c:v>3.0879999999999994E-2</c:v>
                </c:pt>
                <c:pt idx="6">
                  <c:v>2.8206999999999999E-2</c:v>
                </c:pt>
                <c:pt idx="7">
                  <c:v>2.6314999999999998E-2</c:v>
                </c:pt>
                <c:pt idx="8">
                  <c:v>2.1677999999999999E-2</c:v>
                </c:pt>
                <c:pt idx="9">
                  <c:v>2.1543E-2</c:v>
                </c:pt>
                <c:pt idx="10">
                  <c:v>1.5960999999999999E-2</c:v>
                </c:pt>
                <c:pt idx="11">
                  <c:v>1.3831E-2</c:v>
                </c:pt>
                <c:pt idx="12">
                  <c:v>1.3190000000000002E-2</c:v>
                </c:pt>
                <c:pt idx="13">
                  <c:v>1.2967999999999999E-2</c:v>
                </c:pt>
                <c:pt idx="14">
                  <c:v>1.1943E-2</c:v>
                </c:pt>
                <c:pt idx="15">
                  <c:v>1.1642999999999999E-2</c:v>
                </c:pt>
                <c:pt idx="16">
                  <c:v>7.7329999999999994E-3</c:v>
                </c:pt>
                <c:pt idx="17">
                  <c:v>5.9300000000000004E-3</c:v>
                </c:pt>
                <c:pt idx="18">
                  <c:v>5.8710000000000004E-3</c:v>
                </c:pt>
                <c:pt idx="19">
                  <c:v>4.9100000000000003E-3</c:v>
                </c:pt>
                <c:pt idx="20">
                  <c:v>4.6979999999999991E-3</c:v>
                </c:pt>
                <c:pt idx="21">
                  <c:v>3.8890000000000001E-3</c:v>
                </c:pt>
                <c:pt idx="22">
                  <c:v>3.8310000000000019E-3</c:v>
                </c:pt>
                <c:pt idx="23">
                  <c:v>1.6199999999999895E-4</c:v>
                </c:pt>
                <c:pt idx="24">
                  <c:v>-3.9999999999999888E-6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236970174333792"/>
                  <c:y val="-0.1076851718920829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7565407805065034"/>
                  <c:y val="-5.9239544566045653E-3"/>
                </c:manualLayout>
              </c:layout>
              <c:tx>
                <c:rich>
                  <a:bodyPr/>
                  <a:lstStyle/>
                  <a:p>
                    <a:r>
                      <a:rPr lang="en-US"/>
                      <a:t>Net Assets as on 31st March 2023</a:t>
                    </a:r>
                  </a:p>
                </c:rich>
              </c:tx>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'BANDHAN-ESF'!$J$9:$J$13</c:f>
              <c:strCache>
                <c:ptCount val="5"/>
                <c:pt idx="0">
                  <c:v>Net Equity </c:v>
                </c:pt>
                <c:pt idx="1">
                  <c:v>Net Current Asset</c:v>
                </c:pt>
                <c:pt idx="2">
                  <c:v>Arbitrage</c:v>
                </c:pt>
                <c:pt idx="3">
                  <c:v>Corporate Bond</c:v>
                </c:pt>
                <c:pt idx="4">
                  <c:v>Mutual Fund Units: Bandhan Cash Fund</c:v>
                </c:pt>
              </c:strCache>
            </c:strRef>
          </c:cat>
          <c:val>
            <c:numRef>
              <c:f>'BANDHAN-ESF'!$K$9:$K$13</c:f>
              <c:numCache>
                <c:formatCode>0.00%</c:formatCode>
                <c:ptCount val="5"/>
                <c:pt idx="0">
                  <c:v>0.22696</c:v>
                </c:pt>
                <c:pt idx="1">
                  <c:v>9.1304000000000024E-2</c:v>
                </c:pt>
                <c:pt idx="2">
                  <c:v>0.55641600000000002</c:v>
                </c:pt>
                <c:pt idx="3">
                  <c:v>3.4026000000000001E-2</c:v>
                </c:pt>
                <c:pt idx="4">
                  <c:v>9.1294E-2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3.8963999999999999E-2</c:v>
                </c:pt>
                <c:pt idx="1">
                  <c:v>0.23806500000000003</c:v>
                </c:pt>
                <c:pt idx="2">
                  <c:v>9.0711E-2</c:v>
                </c:pt>
                <c:pt idx="3">
                  <c:v>0.55895400000000006</c:v>
                </c:pt>
                <c:pt idx="4">
                  <c:v>7.3305999999999996E-2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2">
                  <c:v>Certificate of Deposit</c:v>
                </c:pt>
                <c:pt idx="3">
                  <c:v>Net Current Asset</c:v>
                </c:pt>
                <c:pt idx="4">
                  <c:v>Government Bond</c:v>
                </c:pt>
              </c:strCache>
            </c:strRef>
          </c:cat>
          <c:val>
            <c:numRef>
              <c:f>'BANDHAN-HEF'!$K$9:$K$13</c:f>
              <c:numCache>
                <c:formatCode>0.00%</c:formatCode>
                <c:ptCount val="5"/>
                <c:pt idx="0">
                  <c:v>6.0229000000000005E-2</c:v>
                </c:pt>
                <c:pt idx="1">
                  <c:v>0.75983000000000001</c:v>
                </c:pt>
                <c:pt idx="2">
                  <c:v>4.4012000000000003E-2</c:v>
                </c:pt>
                <c:pt idx="3">
                  <c:v>1.4296E-2</c:v>
                </c:pt>
                <c:pt idx="4">
                  <c:v>0.12163299999999999</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0.26025600000000004</c:v>
                </c:pt>
                <c:pt idx="1">
                  <c:v>0.72963899999999993</c:v>
                </c:pt>
                <c:pt idx="2">
                  <c:v>1.0105000000000001E-2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0.50748099999999996</c:v>
                </c:pt>
                <c:pt idx="1">
                  <c:v>0.48575699999999999</c:v>
                </c:pt>
                <c:pt idx="2">
                  <c:v>6.7620000000000006E-3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0.70854100000000009</c:v>
                </c:pt>
                <c:pt idx="1">
                  <c:v>0.26910200000000001</c:v>
                </c:pt>
                <c:pt idx="2">
                  <c:v>2.2356999999999998E-2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Non - Ferrous Metals</c:v>
                </c:pt>
                <c:pt idx="16">
                  <c:v>Oil</c:v>
                </c:pt>
                <c:pt idx="17">
                  <c:v>Metals &amp; Minerals Trading</c:v>
                </c:pt>
                <c:pt idx="18">
                  <c:v>Transport Infrastructure</c:v>
                </c:pt>
                <c:pt idx="19">
                  <c:v>Consumable Fuels</c:v>
                </c:pt>
                <c:pt idx="20">
                  <c:v>Healthcare Services</c:v>
                </c:pt>
                <c:pt idx="21">
                  <c:v>Agricultural Food &amp; other Products</c:v>
                </c:pt>
                <c:pt idx="22">
                  <c:v>Fertilizers &amp; Agrochemicals</c:v>
                </c:pt>
              </c:strCache>
            </c:strRef>
          </c:cat>
          <c:val>
            <c:numRef>
              <c:f>'BANDHAN-NIFTY 50 Index'!$X$8:$X$30</c:f>
              <c:numCache>
                <c:formatCode>0.00%</c:formatCode>
                <c:ptCount val="23"/>
                <c:pt idx="0">
                  <c:v>0.27259100000000003</c:v>
                </c:pt>
                <c:pt idx="1">
                  <c:v>0.14079900000000001</c:v>
                </c:pt>
                <c:pt idx="2">
                  <c:v>0.107513</c:v>
                </c:pt>
                <c:pt idx="3">
                  <c:v>9.0824000000000002E-2</c:v>
                </c:pt>
                <c:pt idx="4">
                  <c:v>7.4200000000000002E-2</c:v>
                </c:pt>
                <c:pt idx="5">
                  <c:v>5.2732000000000001E-2</c:v>
                </c:pt>
                <c:pt idx="6">
                  <c:v>3.4238999999999999E-2</c:v>
                </c:pt>
                <c:pt idx="7">
                  <c:v>3.2143000000000005E-2</c:v>
                </c:pt>
                <c:pt idx="8">
                  <c:v>3.0033999999999998E-2</c:v>
                </c:pt>
                <c:pt idx="9">
                  <c:v>2.4053999999999999E-2</c:v>
                </c:pt>
                <c:pt idx="10">
                  <c:v>2.0992999999999998E-2</c:v>
                </c:pt>
                <c:pt idx="11">
                  <c:v>1.9519999999999999E-2</c:v>
                </c:pt>
                <c:pt idx="12">
                  <c:v>1.9400000000000001E-2</c:v>
                </c:pt>
                <c:pt idx="13">
                  <c:v>1.5885999999999997E-2</c:v>
                </c:pt>
                <c:pt idx="14">
                  <c:v>1.2951000000000001E-2</c:v>
                </c:pt>
                <c:pt idx="15">
                  <c:v>7.7510000000000001E-3</c:v>
                </c:pt>
                <c:pt idx="16">
                  <c:v>7.7070000000000003E-3</c:v>
                </c:pt>
                <c:pt idx="17">
                  <c:v>6.2680000000000001E-3</c:v>
                </c:pt>
                <c:pt idx="18">
                  <c:v>6.254E-3</c:v>
                </c:pt>
                <c:pt idx="19">
                  <c:v>5.862E-3</c:v>
                </c:pt>
                <c:pt idx="20">
                  <c:v>5.6810000000000003E-3</c:v>
                </c:pt>
                <c:pt idx="21">
                  <c:v>5.5180000000000003E-3</c:v>
                </c:pt>
                <c:pt idx="22">
                  <c:v>4.8640000000000003E-3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Cement &amp; Cement Products</c:v>
                </c:pt>
                <c:pt idx="12">
                  <c:v>Ferrous Metals</c:v>
                </c:pt>
                <c:pt idx="13">
                  <c:v>Food Products</c:v>
                </c:pt>
              </c:strCache>
            </c:strRef>
          </c:cat>
          <c:val>
            <c:numRef>
              <c:f>'BANDHAN- S&amp;P BSE SENSEX ETF'!$X$8:$X$21</c:f>
              <c:numCache>
                <c:formatCode>0.00%</c:formatCode>
                <c:ptCount val="14"/>
                <c:pt idx="0">
                  <c:v>0.30982500000000002</c:v>
                </c:pt>
                <c:pt idx="1">
                  <c:v>0.161686</c:v>
                </c:pt>
                <c:pt idx="2">
                  <c:v>0.12009499999999999</c:v>
                </c:pt>
                <c:pt idx="3">
                  <c:v>0.105027</c:v>
                </c:pt>
                <c:pt idx="4">
                  <c:v>8.4691000000000002E-2</c:v>
                </c:pt>
                <c:pt idx="5">
                  <c:v>4.3650000000000001E-2</c:v>
                </c:pt>
                <c:pt idx="6">
                  <c:v>3.8984999999999999E-2</c:v>
                </c:pt>
                <c:pt idx="7">
                  <c:v>3.4053E-2</c:v>
                </c:pt>
                <c:pt idx="8">
                  <c:v>2.7404999999999999E-2</c:v>
                </c:pt>
                <c:pt idx="9">
                  <c:v>2.3969999999999998E-2</c:v>
                </c:pt>
                <c:pt idx="10">
                  <c:v>1.5800000000000002E-2</c:v>
                </c:pt>
                <c:pt idx="11">
                  <c:v>1.3028E-2</c:v>
                </c:pt>
                <c:pt idx="12">
                  <c:v>1.2602E-2</c:v>
                </c:pt>
                <c:pt idx="13">
                  <c:v>8.9779999999999999E-3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Non - Ferrous Metals</c:v>
                </c:pt>
                <c:pt idx="16">
                  <c:v>Oil</c:v>
                </c:pt>
                <c:pt idx="17">
                  <c:v>Metals &amp; Minerals Trading</c:v>
                </c:pt>
                <c:pt idx="18">
                  <c:v>Transport Infrastructure</c:v>
                </c:pt>
                <c:pt idx="19">
                  <c:v>Consumable Fuels</c:v>
                </c:pt>
                <c:pt idx="20">
                  <c:v>Healthcare Services</c:v>
                </c:pt>
                <c:pt idx="21">
                  <c:v>Agricultural Food &amp; other Products</c:v>
                </c:pt>
                <c:pt idx="22">
                  <c:v>Fertilizers &amp; Agrochemicals</c:v>
                </c:pt>
              </c:strCache>
            </c:strRef>
          </c:cat>
          <c:val>
            <c:numRef>
              <c:f>'BANDHAN- Nifty 50 ETF'!$X$8:$X$30</c:f>
              <c:numCache>
                <c:formatCode>0.00%</c:formatCode>
                <c:ptCount val="23"/>
                <c:pt idx="0">
                  <c:v>0.27307599999999999</c:v>
                </c:pt>
                <c:pt idx="1">
                  <c:v>0.14103399999999999</c:v>
                </c:pt>
                <c:pt idx="2">
                  <c:v>0.10772100000000001</c:v>
                </c:pt>
                <c:pt idx="3">
                  <c:v>9.0983000000000008E-2</c:v>
                </c:pt>
                <c:pt idx="4">
                  <c:v>7.4329000000000006E-2</c:v>
                </c:pt>
                <c:pt idx="5">
                  <c:v>5.2784999999999999E-2</c:v>
                </c:pt>
                <c:pt idx="6">
                  <c:v>3.4304000000000001E-2</c:v>
                </c:pt>
                <c:pt idx="7">
                  <c:v>3.2170999999999998E-2</c:v>
                </c:pt>
                <c:pt idx="8">
                  <c:v>3.0081E-2</c:v>
                </c:pt>
                <c:pt idx="9">
                  <c:v>2.4093E-2</c:v>
                </c:pt>
                <c:pt idx="10">
                  <c:v>2.1027999999999998E-2</c:v>
                </c:pt>
                <c:pt idx="11">
                  <c:v>1.9561000000000002E-2</c:v>
                </c:pt>
                <c:pt idx="12">
                  <c:v>1.9406E-2</c:v>
                </c:pt>
                <c:pt idx="13">
                  <c:v>1.5849000000000002E-2</c:v>
                </c:pt>
                <c:pt idx="14">
                  <c:v>1.2976E-2</c:v>
                </c:pt>
                <c:pt idx="15">
                  <c:v>7.7640000000000001E-3</c:v>
                </c:pt>
                <c:pt idx="16">
                  <c:v>7.7250000000000001E-3</c:v>
                </c:pt>
                <c:pt idx="17">
                  <c:v>6.2750000000000002E-3</c:v>
                </c:pt>
                <c:pt idx="18">
                  <c:v>6.2620000000000002E-3</c:v>
                </c:pt>
                <c:pt idx="19">
                  <c:v>5.8710000000000004E-3</c:v>
                </c:pt>
                <c:pt idx="20">
                  <c:v>5.6709999999999998E-3</c:v>
                </c:pt>
                <c:pt idx="21">
                  <c:v>5.5259999999999997E-3</c:v>
                </c:pt>
                <c:pt idx="22">
                  <c:v>4.8729999999999997E-3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Finance</c:v>
                </c:pt>
                <c:pt idx="4">
                  <c:v>Diversified FMCG</c:v>
                </c:pt>
                <c:pt idx="5">
                  <c:v>Automobiles</c:v>
                </c:pt>
                <c:pt idx="6">
                  <c:v>Consumer Durables</c:v>
                </c:pt>
                <c:pt idx="7">
                  <c:v>Construction</c:v>
                </c:pt>
                <c:pt idx="8">
                  <c:v>Pharmaceuticals &amp; Biotechnology</c:v>
                </c:pt>
                <c:pt idx="9">
                  <c:v>Power</c:v>
                </c:pt>
                <c:pt idx="10">
                  <c:v>Cement &amp; Cement Products</c:v>
                </c:pt>
                <c:pt idx="11">
                  <c:v>Telecom - Services</c:v>
                </c:pt>
                <c:pt idx="12">
                  <c:v>Insurance</c:v>
                </c:pt>
                <c:pt idx="13">
                  <c:v>Ferrous Metals</c:v>
                </c:pt>
                <c:pt idx="14">
                  <c:v>Food Products</c:v>
                </c:pt>
                <c:pt idx="15">
                  <c:v>Retailing</c:v>
                </c:pt>
                <c:pt idx="16">
                  <c:v>Personal Products</c:v>
                </c:pt>
                <c:pt idx="17">
                  <c:v>Agricultural Food &amp; other Products</c:v>
                </c:pt>
                <c:pt idx="18">
                  <c:v>Chemicals &amp; Petrochemicals</c:v>
                </c:pt>
                <c:pt idx="19">
                  <c:v>Fertilizers &amp; Agrochemicals</c:v>
                </c:pt>
                <c:pt idx="20">
                  <c:v>Non - Ferrous Metals</c:v>
                </c:pt>
                <c:pt idx="21">
                  <c:v>Oil</c:v>
                </c:pt>
                <c:pt idx="22">
                  <c:v>Aerospace &amp; Defense</c:v>
                </c:pt>
                <c:pt idx="23">
                  <c:v>Beverages</c:v>
                </c:pt>
                <c:pt idx="24">
                  <c:v>Gas</c:v>
                </c:pt>
                <c:pt idx="25">
                  <c:v>Metals &amp; Minerals Trading</c:v>
                </c:pt>
                <c:pt idx="26">
                  <c:v>Transport Infrastructure</c:v>
                </c:pt>
                <c:pt idx="27">
                  <c:v>Electrical Equipment</c:v>
                </c:pt>
                <c:pt idx="28">
                  <c:v>Consumable Fuels</c:v>
                </c:pt>
                <c:pt idx="29">
                  <c:v>Healthcare Services</c:v>
                </c:pt>
                <c:pt idx="30">
                  <c:v>Diversified Metals</c:v>
                </c:pt>
                <c:pt idx="31">
                  <c:v>Auto Components</c:v>
                </c:pt>
                <c:pt idx="32">
                  <c:v>Textiles &amp; Apparels</c:v>
                </c:pt>
                <c:pt idx="33">
                  <c:v>Realty</c:v>
                </c:pt>
                <c:pt idx="34">
                  <c:v>Transport Services</c:v>
                </c:pt>
                <c:pt idx="35">
                  <c:v>Leisure Services</c:v>
                </c:pt>
                <c:pt idx="36">
                  <c:v>Capital Markets</c:v>
                </c:pt>
              </c:strCache>
            </c:strRef>
          </c:cat>
          <c:val>
            <c:numRef>
              <c:f>'BANDHAN-Nifty 100 Index'!$X$8:$X$44</c:f>
              <c:numCache>
                <c:formatCode>0.00%</c:formatCode>
                <c:ptCount val="37"/>
                <c:pt idx="0">
                  <c:v>0.24138499999999999</c:v>
                </c:pt>
                <c:pt idx="1">
                  <c:v>0.126748</c:v>
                </c:pt>
                <c:pt idx="2">
                  <c:v>9.6476000000000006E-2</c:v>
                </c:pt>
                <c:pt idx="3">
                  <c:v>8.8454000000000005E-2</c:v>
                </c:pt>
                <c:pt idx="4">
                  <c:v>6.4089000000000007E-2</c:v>
                </c:pt>
                <c:pt idx="5">
                  <c:v>4.6054999999999999E-2</c:v>
                </c:pt>
                <c:pt idx="6">
                  <c:v>3.0878000000000003E-2</c:v>
                </c:pt>
                <c:pt idx="7">
                  <c:v>2.9686000000000001E-2</c:v>
                </c:pt>
                <c:pt idx="8">
                  <c:v>2.9473000000000003E-2</c:v>
                </c:pt>
                <c:pt idx="9">
                  <c:v>2.7247999999999998E-2</c:v>
                </c:pt>
                <c:pt idx="10">
                  <c:v>2.5321000000000003E-2</c:v>
                </c:pt>
                <c:pt idx="11">
                  <c:v>2.2216999999999997E-2</c:v>
                </c:pt>
                <c:pt idx="12">
                  <c:v>1.7365999999999999E-2</c:v>
                </c:pt>
                <c:pt idx="13">
                  <c:v>1.6878000000000001E-2</c:v>
                </c:pt>
                <c:pt idx="14">
                  <c:v>1.3704999999999998E-2</c:v>
                </c:pt>
                <c:pt idx="15">
                  <c:v>1.3067E-2</c:v>
                </c:pt>
                <c:pt idx="16">
                  <c:v>1.1455E-2</c:v>
                </c:pt>
                <c:pt idx="17">
                  <c:v>8.3029999999999996E-3</c:v>
                </c:pt>
                <c:pt idx="18">
                  <c:v>8.0299999999999989E-3</c:v>
                </c:pt>
                <c:pt idx="19">
                  <c:v>6.9700000000000005E-3</c:v>
                </c:pt>
                <c:pt idx="20">
                  <c:v>6.6870000000000002E-3</c:v>
                </c:pt>
                <c:pt idx="21">
                  <c:v>6.6800000000000002E-3</c:v>
                </c:pt>
                <c:pt idx="22">
                  <c:v>6.5420000000000001E-3</c:v>
                </c:pt>
                <c:pt idx="23">
                  <c:v>6.169E-3</c:v>
                </c:pt>
                <c:pt idx="24">
                  <c:v>5.9129999999999999E-3</c:v>
                </c:pt>
                <c:pt idx="25">
                  <c:v>5.4429999999999999E-3</c:v>
                </c:pt>
                <c:pt idx="26">
                  <c:v>5.4169999999999999E-3</c:v>
                </c:pt>
                <c:pt idx="27">
                  <c:v>5.3670000000000002E-3</c:v>
                </c:pt>
                <c:pt idx="28">
                  <c:v>5.0699999999999999E-3</c:v>
                </c:pt>
                <c:pt idx="29">
                  <c:v>4.9240000000000004E-3</c:v>
                </c:pt>
                <c:pt idx="30">
                  <c:v>3.467E-3</c:v>
                </c:pt>
                <c:pt idx="31">
                  <c:v>3.4260000000000002E-3</c:v>
                </c:pt>
                <c:pt idx="32">
                  <c:v>2.5709999999999999E-3</c:v>
                </c:pt>
                <c:pt idx="33">
                  <c:v>2.5070000000000001E-3</c:v>
                </c:pt>
                <c:pt idx="34">
                  <c:v>2.3270000000000001E-3</c:v>
                </c:pt>
                <c:pt idx="35">
                  <c:v>1.977E-3</c:v>
                </c:pt>
                <c:pt idx="36">
                  <c:v>1.5269999999999999E-3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Banks</c:v>
                </c:pt>
                <c:pt idx="1">
                  <c:v>Automobiles</c:v>
                </c:pt>
                <c:pt idx="2">
                  <c:v>Aerospace &amp; Defense</c:v>
                </c:pt>
                <c:pt idx="3">
                  <c:v>Diversified FMCG</c:v>
                </c:pt>
                <c:pt idx="4">
                  <c:v>Power</c:v>
                </c:pt>
                <c:pt idx="5">
                  <c:v>Pharmaceuticals &amp; Biotechnology</c:v>
                </c:pt>
                <c:pt idx="6">
                  <c:v>Telecom - Services</c:v>
                </c:pt>
                <c:pt idx="7">
                  <c:v>Electrical Equipment</c:v>
                </c:pt>
                <c:pt idx="8">
                  <c:v>Consumable Fuels</c:v>
                </c:pt>
                <c:pt idx="9">
                  <c:v>Leisure Services</c:v>
                </c:pt>
                <c:pt idx="10">
                  <c:v>Cement &amp; Cement Products</c:v>
                </c:pt>
                <c:pt idx="11">
                  <c:v>Industrial Products</c:v>
                </c:pt>
                <c:pt idx="12">
                  <c:v>Chemicals &amp; Petrochemicals</c:v>
                </c:pt>
                <c:pt idx="13">
                  <c:v>Retailing</c:v>
                </c:pt>
                <c:pt idx="14">
                  <c:v>Metals &amp; Minerals Trading</c:v>
                </c:pt>
                <c:pt idx="15">
                  <c:v>Ferrous Metals</c:v>
                </c:pt>
                <c:pt idx="16">
                  <c:v>Finance</c:v>
                </c:pt>
                <c:pt idx="17">
                  <c:v>Agricultural, Commercial &amp; Construction Vehicles</c:v>
                </c:pt>
              </c:strCache>
            </c:strRef>
          </c:cat>
          <c:val>
            <c:numRef>
              <c:f>'BANDHAN-Nifty200 Mom30 Index'!$X$8:$X$25</c:f>
              <c:numCache>
                <c:formatCode>0.00%</c:formatCode>
                <c:ptCount val="18"/>
                <c:pt idx="0">
                  <c:v>0.28306599999999998</c:v>
                </c:pt>
                <c:pt idx="1">
                  <c:v>0.12107800000000001</c:v>
                </c:pt>
                <c:pt idx="2">
                  <c:v>7.8834999999999988E-2</c:v>
                </c:pt>
                <c:pt idx="3">
                  <c:v>6.0538000000000002E-2</c:v>
                </c:pt>
                <c:pt idx="4">
                  <c:v>5.5738999999999997E-2</c:v>
                </c:pt>
                <c:pt idx="5">
                  <c:v>5.1704E-2</c:v>
                </c:pt>
                <c:pt idx="6">
                  <c:v>4.8346E-2</c:v>
                </c:pt>
                <c:pt idx="7">
                  <c:v>4.5850000000000002E-2</c:v>
                </c:pt>
                <c:pt idx="8">
                  <c:v>3.5097000000000003E-2</c:v>
                </c:pt>
                <c:pt idx="9">
                  <c:v>3.4882000000000003E-2</c:v>
                </c:pt>
                <c:pt idx="10">
                  <c:v>3.4592999999999999E-2</c:v>
                </c:pt>
                <c:pt idx="11">
                  <c:v>3.0306E-2</c:v>
                </c:pt>
                <c:pt idx="12">
                  <c:v>3.0130000000000001E-2</c:v>
                </c:pt>
                <c:pt idx="13">
                  <c:v>2.9128999999999999E-2</c:v>
                </c:pt>
                <c:pt idx="14">
                  <c:v>2.4441999999999998E-2</c:v>
                </c:pt>
                <c:pt idx="15">
                  <c:v>1.8962E-2</c:v>
                </c:pt>
                <c:pt idx="16">
                  <c:v>9.0290000000000006E-3</c:v>
                </c:pt>
                <c:pt idx="17">
                  <c:v>5.7229999999999998E-3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NIF100LV30'!$W$8:$W$22</c:f>
              <c:strCache>
                <c:ptCount val="15"/>
                <c:pt idx="0">
                  <c:v>IT - Software</c:v>
                </c:pt>
                <c:pt idx="1">
                  <c:v>Pharmaceuticals &amp; Biotechnology</c:v>
                </c:pt>
                <c:pt idx="2">
                  <c:v>Food Products</c:v>
                </c:pt>
                <c:pt idx="3">
                  <c:v>Diversified FMCG</c:v>
                </c:pt>
                <c:pt idx="4">
                  <c:v>Banks</c:v>
                </c:pt>
                <c:pt idx="5">
                  <c:v>Power</c:v>
                </c:pt>
                <c:pt idx="6">
                  <c:v>Automobiles</c:v>
                </c:pt>
                <c:pt idx="7">
                  <c:v>Petroleum Products</c:v>
                </c:pt>
                <c:pt idx="8">
                  <c:v>Consumer Durables</c:v>
                </c:pt>
                <c:pt idx="9">
                  <c:v>Personal Products</c:v>
                </c:pt>
                <c:pt idx="10">
                  <c:v>Insurance</c:v>
                </c:pt>
                <c:pt idx="11">
                  <c:v>Construction</c:v>
                </c:pt>
                <c:pt idx="12">
                  <c:v>Cement &amp; Cement Products</c:v>
                </c:pt>
                <c:pt idx="13">
                  <c:v>Chemicals &amp; Petrochemicals</c:v>
                </c:pt>
                <c:pt idx="14">
                  <c:v>Agricultural Food &amp; other Products</c:v>
                </c:pt>
              </c:strCache>
            </c:strRef>
          </c:cat>
          <c:val>
            <c:numRef>
              <c:f>'BANDHAN NIF100LV30'!$X$8:$X$22</c:f>
              <c:numCache>
                <c:formatCode>0.00%</c:formatCode>
                <c:ptCount val="15"/>
                <c:pt idx="0">
                  <c:v>0.16561899999999999</c:v>
                </c:pt>
                <c:pt idx="1">
                  <c:v>0.11052100000000001</c:v>
                </c:pt>
                <c:pt idx="2">
                  <c:v>7.8490000000000004E-2</c:v>
                </c:pt>
                <c:pt idx="3">
                  <c:v>7.3658000000000001E-2</c:v>
                </c:pt>
                <c:pt idx="4">
                  <c:v>7.1278999999999995E-2</c:v>
                </c:pt>
                <c:pt idx="5">
                  <c:v>6.837E-2</c:v>
                </c:pt>
                <c:pt idx="6">
                  <c:v>6.5935999999999995E-2</c:v>
                </c:pt>
                <c:pt idx="7">
                  <c:v>6.2622999999999998E-2</c:v>
                </c:pt>
                <c:pt idx="8">
                  <c:v>6.0281000000000001E-2</c:v>
                </c:pt>
                <c:pt idx="9">
                  <c:v>5.9277999999999997E-2</c:v>
                </c:pt>
                <c:pt idx="10">
                  <c:v>5.7720999999999995E-2</c:v>
                </c:pt>
                <c:pt idx="11">
                  <c:v>3.4554000000000001E-2</c:v>
                </c:pt>
                <c:pt idx="12">
                  <c:v>3.1607999999999997E-2</c:v>
                </c:pt>
                <c:pt idx="13">
                  <c:v>2.9492000000000001E-2</c:v>
                </c:pt>
                <c:pt idx="14">
                  <c:v>2.9472000000000002E-2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DE77CA00-18A9-415E-B57A-9684572C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31333</xdr:colOff>
      <xdr:row>7</xdr:row>
      <xdr:rowOff>30535</xdr:rowOff>
    </xdr:from>
    <xdr:to>
      <xdr:col>13</xdr:col>
      <xdr:colOff>720308</xdr:colOff>
      <xdr:row>17</xdr:row>
      <xdr:rowOff>166686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530224</xdr:colOff>
      <xdr:row>7</xdr:row>
      <xdr:rowOff>31750</xdr:rowOff>
    </xdr:from>
    <xdr:to>
      <xdr:col>11</xdr:col>
      <xdr:colOff>533400</xdr:colOff>
      <xdr:row>22</xdr:row>
      <xdr:rowOff>50800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20" t="s">
        <v>223</v>
      </c>
      <c r="D3" s="220"/>
      <c r="E3" s="220"/>
      <c r="F3" s="220"/>
      <c r="G3" s="220"/>
      <c r="H3" s="220"/>
      <c r="I3" s="220"/>
      <c r="J3" s="220"/>
      <c r="K3" s="220"/>
      <c r="L3" s="220"/>
      <c r="M3" s="221"/>
    </row>
    <row r="4" spans="2:24" ht="15.75" x14ac:dyDescent="0.25">
      <c r="B4" s="112"/>
      <c r="C4" s="85" t="s">
        <v>273</v>
      </c>
      <c r="D4" s="33"/>
      <c r="E4" s="33"/>
      <c r="F4" s="5"/>
      <c r="G4" s="5"/>
      <c r="H4" s="5"/>
      <c r="I4" s="5"/>
      <c r="J4" s="5"/>
      <c r="K4" s="5"/>
      <c r="L4" s="5"/>
      <c r="M4" s="24"/>
    </row>
    <row r="5" spans="2:24" ht="20.25" customHeight="1" x14ac:dyDescent="0.25">
      <c r="B5" s="112"/>
      <c r="C5" s="86" t="s">
        <v>274</v>
      </c>
      <c r="D5" s="113" t="s">
        <v>275</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1" t="s">
        <v>44</v>
      </c>
      <c r="D7" s="114" t="s">
        <v>46</v>
      </c>
      <c r="E7" s="5"/>
      <c r="F7" s="222" t="s">
        <v>51</v>
      </c>
      <c r="G7" s="222"/>
      <c r="H7" s="222"/>
      <c r="I7" s="222"/>
      <c r="J7" s="222"/>
      <c r="K7" s="222"/>
      <c r="L7" s="222"/>
      <c r="M7" s="223"/>
    </row>
    <row r="8" spans="2:24" ht="30" x14ac:dyDescent="0.2">
      <c r="B8" s="112"/>
      <c r="C8" s="74" t="s">
        <v>109</v>
      </c>
      <c r="D8" s="6">
        <v>0.98249600000000004</v>
      </c>
      <c r="E8" s="5"/>
      <c r="F8" s="5"/>
      <c r="G8" s="35"/>
      <c r="H8" s="5"/>
      <c r="I8" s="5" t="s">
        <v>110</v>
      </c>
      <c r="J8" s="57">
        <f>D9</f>
        <v>0.98249600000000004</v>
      </c>
      <c r="K8" s="5"/>
      <c r="L8" s="5"/>
      <c r="M8" s="24"/>
      <c r="S8" s="59"/>
      <c r="W8" s="3" t="s">
        <v>3</v>
      </c>
      <c r="X8" s="3">
        <v>0.25058799999999998</v>
      </c>
    </row>
    <row r="9" spans="2:24" ht="15.75" x14ac:dyDescent="0.25">
      <c r="B9" s="112"/>
      <c r="C9" s="75" t="s">
        <v>110</v>
      </c>
      <c r="D9" s="8">
        <v>0.98249600000000004</v>
      </c>
      <c r="E9" s="5"/>
      <c r="F9" s="5"/>
      <c r="G9" s="5"/>
      <c r="H9" s="5"/>
      <c r="I9" s="5" t="s">
        <v>20</v>
      </c>
      <c r="J9" s="57">
        <f>D13</f>
        <v>-1.0788000000000001E-2</v>
      </c>
      <c r="K9" s="5"/>
      <c r="L9" s="5"/>
      <c r="M9" s="24"/>
      <c r="S9" s="59"/>
      <c r="W9" s="3" t="s">
        <v>9</v>
      </c>
      <c r="X9" s="3">
        <v>6.1296999999999997E-2</v>
      </c>
    </row>
    <row r="10" spans="2:24" x14ac:dyDescent="0.2">
      <c r="B10" s="112"/>
      <c r="C10" s="202" t="s">
        <v>122</v>
      </c>
      <c r="D10" s="102">
        <v>2.8292000000000001E-2</v>
      </c>
      <c r="E10" s="5"/>
      <c r="F10" s="5"/>
      <c r="G10" s="5"/>
      <c r="I10" s="3" t="s">
        <v>123</v>
      </c>
      <c r="J10" s="57">
        <f>D11</f>
        <v>2.8292000000000001E-2</v>
      </c>
      <c r="K10" s="5"/>
      <c r="L10" s="5"/>
      <c r="M10" s="24"/>
      <c r="S10" s="59"/>
      <c r="W10" s="3" t="s">
        <v>10</v>
      </c>
      <c r="X10" s="3">
        <v>3.0130999999999998E-2</v>
      </c>
    </row>
    <row r="11" spans="2:24" ht="15.75" x14ac:dyDescent="0.2">
      <c r="B11" s="112"/>
      <c r="C11" s="203" t="s">
        <v>123</v>
      </c>
      <c r="D11" s="204">
        <v>2.8292000000000001E-2</v>
      </c>
      <c r="E11" s="5"/>
      <c r="F11" s="5"/>
      <c r="G11" s="5"/>
      <c r="J11" s="5"/>
      <c r="K11" s="5"/>
      <c r="L11" s="5"/>
      <c r="M11" s="24"/>
      <c r="S11" s="59"/>
      <c r="W11" s="3" t="s">
        <v>7</v>
      </c>
      <c r="X11" s="3">
        <v>2.7299E-2</v>
      </c>
    </row>
    <row r="12" spans="2:24" x14ac:dyDescent="0.2">
      <c r="B12" s="112"/>
      <c r="C12" s="202"/>
      <c r="D12" s="102"/>
      <c r="E12" s="5"/>
      <c r="F12" s="5"/>
      <c r="G12" s="5"/>
      <c r="J12" s="5"/>
      <c r="K12" s="5"/>
      <c r="L12" s="5"/>
      <c r="M12" s="24"/>
      <c r="S12" s="59"/>
      <c r="W12" s="3" t="s">
        <v>26</v>
      </c>
      <c r="X12" s="3">
        <v>2.5925E-2</v>
      </c>
    </row>
    <row r="13" spans="2:24" ht="15.75" x14ac:dyDescent="0.2">
      <c r="B13" s="112"/>
      <c r="C13" s="203" t="s">
        <v>20</v>
      </c>
      <c r="D13" s="204">
        <v>-1.0788000000000001E-2</v>
      </c>
      <c r="E13" s="5"/>
      <c r="F13" s="5"/>
      <c r="G13" s="5"/>
      <c r="J13" s="5"/>
      <c r="K13" s="5"/>
      <c r="L13" s="5"/>
      <c r="M13" s="24"/>
      <c r="S13" s="59"/>
      <c r="W13" s="3" t="s">
        <v>8</v>
      </c>
      <c r="X13" s="3">
        <v>2.3822000000000003E-2</v>
      </c>
    </row>
    <row r="14" spans="2:24" x14ac:dyDescent="0.2">
      <c r="B14" s="112"/>
      <c r="C14" s="202"/>
      <c r="D14" s="102"/>
      <c r="E14" s="5"/>
      <c r="F14" s="5"/>
      <c r="G14" s="5"/>
      <c r="H14" s="5"/>
      <c r="I14" s="5"/>
      <c r="J14" s="5"/>
      <c r="K14" s="5"/>
      <c r="L14" s="5"/>
      <c r="M14" s="24"/>
      <c r="S14" s="59"/>
      <c r="W14" s="3" t="s">
        <v>25</v>
      </c>
      <c r="X14" s="3">
        <v>2.3753E-2</v>
      </c>
    </row>
    <row r="15" spans="2:24" ht="15.75" x14ac:dyDescent="0.2">
      <c r="B15" s="112"/>
      <c r="C15" s="205"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27</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4"/>
      <c r="D22" s="224"/>
      <c r="E22" s="224"/>
      <c r="F22" s="224"/>
      <c r="G22" s="224"/>
      <c r="H22" s="224"/>
      <c r="I22" s="224"/>
      <c r="J22" s="224"/>
      <c r="K22" s="224"/>
      <c r="L22" s="224"/>
      <c r="M22" s="225"/>
      <c r="S22" s="59"/>
    </row>
    <row r="23" spans="2:24" ht="15.75" thickBot="1" x14ac:dyDescent="0.25">
      <c r="S23" s="59"/>
    </row>
    <row r="24" spans="2:24" ht="15" customHeight="1" x14ac:dyDescent="0.2">
      <c r="B24" s="226" t="s">
        <v>254</v>
      </c>
      <c r="C24" s="227"/>
      <c r="D24" s="227"/>
      <c r="E24" s="227"/>
      <c r="F24" s="227"/>
      <c r="G24" s="227"/>
      <c r="H24" s="227"/>
      <c r="I24" s="227"/>
      <c r="J24" s="227"/>
      <c r="K24" s="227"/>
      <c r="L24" s="227"/>
      <c r="M24" s="227"/>
      <c r="N24" s="228"/>
      <c r="S24" s="59"/>
    </row>
    <row r="25" spans="2:24" ht="15.75" customHeight="1" x14ac:dyDescent="0.2">
      <c r="B25" s="229"/>
      <c r="C25" s="230"/>
      <c r="D25" s="230"/>
      <c r="E25" s="230"/>
      <c r="F25" s="230"/>
      <c r="G25" s="230"/>
      <c r="H25" s="230"/>
      <c r="I25" s="230"/>
      <c r="J25" s="230"/>
      <c r="K25" s="230"/>
      <c r="L25" s="230"/>
      <c r="M25" s="230"/>
      <c r="N25" s="231"/>
      <c r="S25" s="59"/>
    </row>
    <row r="26" spans="2:24" ht="15.75" customHeight="1" x14ac:dyDescent="0.2">
      <c r="B26" s="229"/>
      <c r="C26" s="230"/>
      <c r="D26" s="230"/>
      <c r="E26" s="230"/>
      <c r="F26" s="230"/>
      <c r="G26" s="230"/>
      <c r="H26" s="230"/>
      <c r="I26" s="230"/>
      <c r="J26" s="230"/>
      <c r="K26" s="230"/>
      <c r="L26" s="230"/>
      <c r="M26" s="230"/>
      <c r="N26" s="231"/>
      <c r="S26" s="59"/>
    </row>
    <row r="27" spans="2:24" ht="15.75" customHeight="1" x14ac:dyDescent="0.2">
      <c r="B27" s="229"/>
      <c r="C27" s="230"/>
      <c r="D27" s="230"/>
      <c r="E27" s="230"/>
      <c r="F27" s="230"/>
      <c r="G27" s="230"/>
      <c r="H27" s="230"/>
      <c r="I27" s="230"/>
      <c r="J27" s="230"/>
      <c r="K27" s="230"/>
      <c r="L27" s="230"/>
      <c r="M27" s="230"/>
      <c r="N27" s="231"/>
      <c r="S27" s="59"/>
    </row>
    <row r="28" spans="2:24" ht="15.75" customHeight="1" x14ac:dyDescent="0.2">
      <c r="B28" s="229"/>
      <c r="C28" s="230"/>
      <c r="D28" s="230"/>
      <c r="E28" s="230"/>
      <c r="F28" s="230"/>
      <c r="G28" s="230"/>
      <c r="H28" s="230"/>
      <c r="I28" s="230"/>
      <c r="J28" s="230"/>
      <c r="K28" s="230"/>
      <c r="L28" s="230"/>
      <c r="M28" s="230"/>
      <c r="N28" s="231"/>
      <c r="S28" s="59"/>
    </row>
    <row r="29" spans="2:24" ht="15.75" customHeight="1" x14ac:dyDescent="0.2">
      <c r="B29" s="229"/>
      <c r="C29" s="230"/>
      <c r="D29" s="230"/>
      <c r="E29" s="230"/>
      <c r="F29" s="230"/>
      <c r="G29" s="230"/>
      <c r="H29" s="230"/>
      <c r="I29" s="230"/>
      <c r="J29" s="230"/>
      <c r="K29" s="230"/>
      <c r="L29" s="230"/>
      <c r="M29" s="230"/>
      <c r="N29" s="231"/>
      <c r="S29" s="59"/>
    </row>
    <row r="30" spans="2:24" ht="28.5" customHeight="1" thickBot="1" x14ac:dyDescent="0.25">
      <c r="B30" s="232"/>
      <c r="C30" s="233"/>
      <c r="D30" s="233"/>
      <c r="E30" s="233"/>
      <c r="F30" s="233"/>
      <c r="G30" s="233"/>
      <c r="H30" s="233"/>
      <c r="I30" s="233"/>
      <c r="J30" s="233"/>
      <c r="K30" s="233"/>
      <c r="L30" s="233"/>
      <c r="M30" s="233"/>
      <c r="N30" s="234"/>
      <c r="S30" s="59"/>
    </row>
    <row r="31" spans="2:24" ht="15.75" thickBot="1" x14ac:dyDescent="0.25">
      <c r="S31" s="59"/>
    </row>
    <row r="32" spans="2:24" x14ac:dyDescent="0.2">
      <c r="B32" s="226" t="s">
        <v>111</v>
      </c>
      <c r="C32" s="227"/>
      <c r="D32" s="227"/>
      <c r="E32" s="227"/>
      <c r="F32" s="227"/>
      <c r="G32" s="227"/>
      <c r="H32" s="227"/>
      <c r="I32" s="227"/>
      <c r="J32" s="227"/>
      <c r="K32" s="227"/>
      <c r="L32" s="227"/>
      <c r="M32" s="227"/>
      <c r="N32" s="228"/>
      <c r="S32" s="59"/>
    </row>
    <row r="33" spans="2:19" x14ac:dyDescent="0.2">
      <c r="B33" s="229"/>
      <c r="C33" s="230"/>
      <c r="D33" s="230"/>
      <c r="E33" s="230"/>
      <c r="F33" s="230"/>
      <c r="G33" s="230"/>
      <c r="H33" s="230"/>
      <c r="I33" s="230"/>
      <c r="J33" s="230"/>
      <c r="K33" s="230"/>
      <c r="L33" s="230"/>
      <c r="M33" s="230"/>
      <c r="N33" s="231"/>
      <c r="S33" s="59"/>
    </row>
    <row r="34" spans="2:19" x14ac:dyDescent="0.2">
      <c r="B34" s="229"/>
      <c r="C34" s="230"/>
      <c r="D34" s="230"/>
      <c r="E34" s="230"/>
      <c r="F34" s="230"/>
      <c r="G34" s="230"/>
      <c r="H34" s="230"/>
      <c r="I34" s="230"/>
      <c r="J34" s="230"/>
      <c r="K34" s="230"/>
      <c r="L34" s="230"/>
      <c r="M34" s="230"/>
      <c r="N34" s="231"/>
      <c r="S34" s="59"/>
    </row>
    <row r="35" spans="2:19" x14ac:dyDescent="0.2">
      <c r="B35" s="229"/>
      <c r="C35" s="230"/>
      <c r="D35" s="230"/>
      <c r="E35" s="230"/>
      <c r="F35" s="230"/>
      <c r="G35" s="230"/>
      <c r="H35" s="230"/>
      <c r="I35" s="230"/>
      <c r="J35" s="230"/>
      <c r="K35" s="230"/>
      <c r="L35" s="230"/>
      <c r="M35" s="230"/>
      <c r="N35" s="231"/>
      <c r="S35" s="59"/>
    </row>
    <row r="36" spans="2:19" x14ac:dyDescent="0.2">
      <c r="B36" s="229"/>
      <c r="C36" s="230"/>
      <c r="D36" s="230"/>
      <c r="E36" s="230"/>
      <c r="F36" s="230"/>
      <c r="G36" s="230"/>
      <c r="H36" s="230"/>
      <c r="I36" s="230"/>
      <c r="J36" s="230"/>
      <c r="K36" s="230"/>
      <c r="L36" s="230"/>
      <c r="M36" s="230"/>
      <c r="N36" s="231"/>
      <c r="S36" s="59"/>
    </row>
    <row r="37" spans="2:19" x14ac:dyDescent="0.2">
      <c r="B37" s="229"/>
      <c r="C37" s="230"/>
      <c r="D37" s="230"/>
      <c r="E37" s="230"/>
      <c r="F37" s="230"/>
      <c r="G37" s="230"/>
      <c r="H37" s="230"/>
      <c r="I37" s="230"/>
      <c r="J37" s="230"/>
      <c r="K37" s="230"/>
      <c r="L37" s="230"/>
      <c r="M37" s="230"/>
      <c r="N37" s="231"/>
      <c r="S37" s="59"/>
    </row>
    <row r="38" spans="2:19" ht="15.75" thickBot="1" x14ac:dyDescent="0.25">
      <c r="B38" s="232"/>
      <c r="C38" s="233"/>
      <c r="D38" s="233"/>
      <c r="E38" s="233"/>
      <c r="F38" s="233"/>
      <c r="G38" s="233"/>
      <c r="H38" s="233"/>
      <c r="I38" s="233"/>
      <c r="J38" s="233"/>
      <c r="K38" s="233"/>
      <c r="L38" s="233"/>
      <c r="M38" s="233"/>
      <c r="N38" s="234"/>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9AB2-DDAE-479D-9E8E-1BB8BA0DF0F8}">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57.285156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20" t="s">
        <v>256</v>
      </c>
      <c r="D3" s="220"/>
      <c r="E3" s="220"/>
      <c r="F3" s="220"/>
      <c r="G3" s="220"/>
      <c r="H3" s="220"/>
      <c r="I3" s="220"/>
      <c r="J3" s="220"/>
      <c r="K3" s="220"/>
      <c r="L3" s="220"/>
      <c r="M3" s="221"/>
    </row>
    <row r="4" spans="2:24" ht="15.75" x14ac:dyDescent="0.25">
      <c r="B4" s="112"/>
      <c r="C4" s="85" t="s">
        <v>273</v>
      </c>
      <c r="D4" s="33"/>
      <c r="E4" s="33"/>
      <c r="F4" s="5"/>
      <c r="G4" s="5"/>
      <c r="H4" s="5"/>
      <c r="I4" s="5"/>
      <c r="J4" s="5"/>
      <c r="K4" s="5"/>
      <c r="L4" s="5"/>
      <c r="M4" s="24"/>
    </row>
    <row r="5" spans="2:24" ht="20.25" customHeight="1" x14ac:dyDescent="0.25">
      <c r="B5" s="112"/>
      <c r="C5" s="86" t="s">
        <v>274</v>
      </c>
      <c r="D5" s="113" t="s">
        <v>276</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1" t="s">
        <v>44</v>
      </c>
      <c r="D7" s="114" t="s">
        <v>46</v>
      </c>
      <c r="E7" s="5"/>
      <c r="F7" s="222" t="s">
        <v>51</v>
      </c>
      <c r="G7" s="222"/>
      <c r="H7" s="222"/>
      <c r="I7" s="222"/>
      <c r="J7" s="222"/>
      <c r="K7" s="222"/>
      <c r="L7" s="222"/>
      <c r="M7" s="223"/>
    </row>
    <row r="8" spans="2:24" ht="30" x14ac:dyDescent="0.2">
      <c r="B8" s="112"/>
      <c r="C8" s="219" t="s">
        <v>255</v>
      </c>
      <c r="D8" s="6">
        <v>1.0140400000000001</v>
      </c>
      <c r="E8" s="5"/>
      <c r="F8" s="5"/>
      <c r="G8" s="35"/>
      <c r="H8" s="5"/>
      <c r="I8" s="5" t="s">
        <v>110</v>
      </c>
      <c r="J8" s="57">
        <f>D9</f>
        <v>1.0140400000000001</v>
      </c>
      <c r="K8" s="5"/>
      <c r="L8" s="5"/>
      <c r="M8" s="24"/>
      <c r="S8" s="59"/>
      <c r="W8" s="3" t="s">
        <v>3</v>
      </c>
      <c r="X8" s="3">
        <v>0.25058799999999998</v>
      </c>
    </row>
    <row r="9" spans="2:24" ht="15.75" x14ac:dyDescent="0.25">
      <c r="B9" s="112"/>
      <c r="C9" s="75" t="s">
        <v>110</v>
      </c>
      <c r="D9" s="8">
        <v>1.0140400000000001</v>
      </c>
      <c r="E9" s="5"/>
      <c r="F9" s="5"/>
      <c r="G9" s="5"/>
      <c r="H9" s="5"/>
      <c r="I9" s="5" t="s">
        <v>20</v>
      </c>
      <c r="J9" s="57">
        <f>D13</f>
        <v>-0.141873</v>
      </c>
      <c r="K9" s="5"/>
      <c r="L9" s="5"/>
      <c r="M9" s="24"/>
      <c r="S9" s="59"/>
      <c r="W9" s="3" t="s">
        <v>9</v>
      </c>
      <c r="X9" s="3">
        <v>6.1296999999999997E-2</v>
      </c>
    </row>
    <row r="10" spans="2:24" x14ac:dyDescent="0.2">
      <c r="B10" s="112"/>
      <c r="C10" s="202" t="s">
        <v>122</v>
      </c>
      <c r="D10" s="102">
        <v>0.127833</v>
      </c>
      <c r="E10" s="5"/>
      <c r="F10" s="5"/>
      <c r="G10" s="5"/>
      <c r="I10" s="3" t="s">
        <v>123</v>
      </c>
      <c r="J10" s="57">
        <f>D11</f>
        <v>0.127833</v>
      </c>
      <c r="K10" s="5"/>
      <c r="L10" s="5"/>
      <c r="M10" s="24"/>
      <c r="S10" s="59"/>
      <c r="W10" s="3" t="s">
        <v>10</v>
      </c>
      <c r="X10" s="3">
        <v>3.0130999999999998E-2</v>
      </c>
    </row>
    <row r="11" spans="2:24" ht="15.75" x14ac:dyDescent="0.2">
      <c r="B11" s="112"/>
      <c r="C11" s="203" t="s">
        <v>123</v>
      </c>
      <c r="D11" s="204">
        <v>0.127833</v>
      </c>
      <c r="E11" s="5"/>
      <c r="F11" s="5"/>
      <c r="G11" s="5"/>
      <c r="J11" s="5"/>
      <c r="K11" s="5"/>
      <c r="L11" s="5"/>
      <c r="M11" s="24"/>
      <c r="S11" s="59"/>
      <c r="W11" s="3" t="s">
        <v>7</v>
      </c>
      <c r="X11" s="3">
        <v>2.7299E-2</v>
      </c>
    </row>
    <row r="12" spans="2:24" x14ac:dyDescent="0.2">
      <c r="B12" s="112"/>
      <c r="C12" s="202"/>
      <c r="D12" s="102"/>
      <c r="E12" s="5"/>
      <c r="F12" s="5"/>
      <c r="G12" s="5"/>
      <c r="J12" s="5"/>
      <c r="K12" s="5"/>
      <c r="L12" s="5"/>
      <c r="M12" s="24"/>
      <c r="S12" s="59"/>
      <c r="W12" s="3" t="s">
        <v>26</v>
      </c>
      <c r="X12" s="3">
        <v>2.5925E-2</v>
      </c>
    </row>
    <row r="13" spans="2:24" ht="15.75" x14ac:dyDescent="0.2">
      <c r="B13" s="112"/>
      <c r="C13" s="203" t="s">
        <v>20</v>
      </c>
      <c r="D13" s="204">
        <v>-0.141873</v>
      </c>
      <c r="E13" s="5"/>
      <c r="F13" s="5"/>
      <c r="G13" s="5"/>
      <c r="J13" s="5"/>
      <c r="K13" s="5"/>
      <c r="L13" s="5"/>
      <c r="M13" s="24"/>
      <c r="S13" s="59"/>
      <c r="W13" s="3" t="s">
        <v>8</v>
      </c>
      <c r="X13" s="3">
        <v>2.3822000000000003E-2</v>
      </c>
    </row>
    <row r="14" spans="2:24" x14ac:dyDescent="0.2">
      <c r="B14" s="112"/>
      <c r="C14" s="202"/>
      <c r="D14" s="102"/>
      <c r="E14" s="5"/>
      <c r="F14" s="5"/>
      <c r="G14" s="5"/>
      <c r="H14" s="5"/>
      <c r="I14" s="5"/>
      <c r="J14" s="5"/>
      <c r="K14" s="5"/>
      <c r="L14" s="5"/>
      <c r="M14" s="24"/>
      <c r="S14" s="59"/>
      <c r="W14" s="3" t="s">
        <v>25</v>
      </c>
      <c r="X14" s="3">
        <v>2.3753E-2</v>
      </c>
    </row>
    <row r="15" spans="2:24" ht="15.75" x14ac:dyDescent="0.2">
      <c r="B15" s="112"/>
      <c r="C15" s="205"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27</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4"/>
      <c r="D22" s="224"/>
      <c r="E22" s="224"/>
      <c r="F22" s="224"/>
      <c r="G22" s="224"/>
      <c r="H22" s="224"/>
      <c r="I22" s="224"/>
      <c r="J22" s="224"/>
      <c r="K22" s="224"/>
      <c r="L22" s="224"/>
      <c r="M22" s="225"/>
      <c r="S22" s="59"/>
    </row>
    <row r="23" spans="2:24" ht="15.75" thickBot="1" x14ac:dyDescent="0.25">
      <c r="S23" s="59"/>
    </row>
    <row r="24" spans="2:24" ht="15" customHeight="1" x14ac:dyDescent="0.2">
      <c r="B24" s="226" t="s">
        <v>254</v>
      </c>
      <c r="C24" s="227"/>
      <c r="D24" s="227"/>
      <c r="E24" s="227"/>
      <c r="F24" s="227"/>
      <c r="G24" s="227"/>
      <c r="H24" s="227"/>
      <c r="I24" s="227"/>
      <c r="J24" s="227"/>
      <c r="K24" s="227"/>
      <c r="L24" s="227"/>
      <c r="M24" s="227"/>
      <c r="N24" s="228"/>
      <c r="S24" s="59"/>
    </row>
    <row r="25" spans="2:24" ht="15.75" customHeight="1" x14ac:dyDescent="0.2">
      <c r="B25" s="229"/>
      <c r="C25" s="230"/>
      <c r="D25" s="230"/>
      <c r="E25" s="230"/>
      <c r="F25" s="230"/>
      <c r="G25" s="230"/>
      <c r="H25" s="230"/>
      <c r="I25" s="230"/>
      <c r="J25" s="230"/>
      <c r="K25" s="230"/>
      <c r="L25" s="230"/>
      <c r="M25" s="230"/>
      <c r="N25" s="231"/>
      <c r="S25" s="59"/>
    </row>
    <row r="26" spans="2:24" ht="15.75" customHeight="1" x14ac:dyDescent="0.2">
      <c r="B26" s="229"/>
      <c r="C26" s="230"/>
      <c r="D26" s="230"/>
      <c r="E26" s="230"/>
      <c r="F26" s="230"/>
      <c r="G26" s="230"/>
      <c r="H26" s="230"/>
      <c r="I26" s="230"/>
      <c r="J26" s="230"/>
      <c r="K26" s="230"/>
      <c r="L26" s="230"/>
      <c r="M26" s="230"/>
      <c r="N26" s="231"/>
      <c r="S26" s="59"/>
    </row>
    <row r="27" spans="2:24" ht="15.75" customHeight="1" x14ac:dyDescent="0.2">
      <c r="B27" s="229"/>
      <c r="C27" s="230"/>
      <c r="D27" s="230"/>
      <c r="E27" s="230"/>
      <c r="F27" s="230"/>
      <c r="G27" s="230"/>
      <c r="H27" s="230"/>
      <c r="I27" s="230"/>
      <c r="J27" s="230"/>
      <c r="K27" s="230"/>
      <c r="L27" s="230"/>
      <c r="M27" s="230"/>
      <c r="N27" s="231"/>
      <c r="S27" s="59"/>
    </row>
    <row r="28" spans="2:24" ht="15.75" customHeight="1" x14ac:dyDescent="0.2">
      <c r="B28" s="229"/>
      <c r="C28" s="230"/>
      <c r="D28" s="230"/>
      <c r="E28" s="230"/>
      <c r="F28" s="230"/>
      <c r="G28" s="230"/>
      <c r="H28" s="230"/>
      <c r="I28" s="230"/>
      <c r="J28" s="230"/>
      <c r="K28" s="230"/>
      <c r="L28" s="230"/>
      <c r="M28" s="230"/>
      <c r="N28" s="231"/>
      <c r="S28" s="59"/>
    </row>
    <row r="29" spans="2:24" ht="15.75" customHeight="1" x14ac:dyDescent="0.2">
      <c r="B29" s="229"/>
      <c r="C29" s="230"/>
      <c r="D29" s="230"/>
      <c r="E29" s="230"/>
      <c r="F29" s="230"/>
      <c r="G29" s="230"/>
      <c r="H29" s="230"/>
      <c r="I29" s="230"/>
      <c r="J29" s="230"/>
      <c r="K29" s="230"/>
      <c r="L29" s="230"/>
      <c r="M29" s="230"/>
      <c r="N29" s="231"/>
      <c r="S29" s="59"/>
    </row>
    <row r="30" spans="2:24" ht="28.5" customHeight="1" thickBot="1" x14ac:dyDescent="0.25">
      <c r="B30" s="232"/>
      <c r="C30" s="233"/>
      <c r="D30" s="233"/>
      <c r="E30" s="233"/>
      <c r="F30" s="233"/>
      <c r="G30" s="233"/>
      <c r="H30" s="233"/>
      <c r="I30" s="233"/>
      <c r="J30" s="233"/>
      <c r="K30" s="233"/>
      <c r="L30" s="233"/>
      <c r="M30" s="233"/>
      <c r="N30" s="234"/>
      <c r="S30" s="59"/>
    </row>
    <row r="31" spans="2:24" ht="15.75" thickBot="1" x14ac:dyDescent="0.25">
      <c r="S31" s="59"/>
    </row>
    <row r="32" spans="2:24" x14ac:dyDescent="0.2">
      <c r="B32" s="226" t="s">
        <v>111</v>
      </c>
      <c r="C32" s="227"/>
      <c r="D32" s="227"/>
      <c r="E32" s="227"/>
      <c r="F32" s="227"/>
      <c r="G32" s="227"/>
      <c r="H32" s="227"/>
      <c r="I32" s="227"/>
      <c r="J32" s="227"/>
      <c r="K32" s="227"/>
      <c r="L32" s="227"/>
      <c r="M32" s="227"/>
      <c r="N32" s="228"/>
      <c r="S32" s="59"/>
    </row>
    <row r="33" spans="2:19" x14ac:dyDescent="0.2">
      <c r="B33" s="229"/>
      <c r="C33" s="230"/>
      <c r="D33" s="230"/>
      <c r="E33" s="230"/>
      <c r="F33" s="230"/>
      <c r="G33" s="230"/>
      <c r="H33" s="230"/>
      <c r="I33" s="230"/>
      <c r="J33" s="230"/>
      <c r="K33" s="230"/>
      <c r="L33" s="230"/>
      <c r="M33" s="230"/>
      <c r="N33" s="231"/>
      <c r="S33" s="59"/>
    </row>
    <row r="34" spans="2:19" x14ac:dyDescent="0.2">
      <c r="B34" s="229"/>
      <c r="C34" s="230"/>
      <c r="D34" s="230"/>
      <c r="E34" s="230"/>
      <c r="F34" s="230"/>
      <c r="G34" s="230"/>
      <c r="H34" s="230"/>
      <c r="I34" s="230"/>
      <c r="J34" s="230"/>
      <c r="K34" s="230"/>
      <c r="L34" s="230"/>
      <c r="M34" s="230"/>
      <c r="N34" s="231"/>
      <c r="S34" s="59"/>
    </row>
    <row r="35" spans="2:19" x14ac:dyDescent="0.2">
      <c r="B35" s="229"/>
      <c r="C35" s="230"/>
      <c r="D35" s="230"/>
      <c r="E35" s="230"/>
      <c r="F35" s="230"/>
      <c r="G35" s="230"/>
      <c r="H35" s="230"/>
      <c r="I35" s="230"/>
      <c r="J35" s="230"/>
      <c r="K35" s="230"/>
      <c r="L35" s="230"/>
      <c r="M35" s="230"/>
      <c r="N35" s="231"/>
      <c r="S35" s="59"/>
    </row>
    <row r="36" spans="2:19" x14ac:dyDescent="0.2">
      <c r="B36" s="229"/>
      <c r="C36" s="230"/>
      <c r="D36" s="230"/>
      <c r="E36" s="230"/>
      <c r="F36" s="230"/>
      <c r="G36" s="230"/>
      <c r="H36" s="230"/>
      <c r="I36" s="230"/>
      <c r="J36" s="230"/>
      <c r="K36" s="230"/>
      <c r="L36" s="230"/>
      <c r="M36" s="230"/>
      <c r="N36" s="231"/>
      <c r="S36" s="59"/>
    </row>
    <row r="37" spans="2:19" x14ac:dyDescent="0.2">
      <c r="B37" s="229"/>
      <c r="C37" s="230"/>
      <c r="D37" s="230"/>
      <c r="E37" s="230"/>
      <c r="F37" s="230"/>
      <c r="G37" s="230"/>
      <c r="H37" s="230"/>
      <c r="I37" s="230"/>
      <c r="J37" s="230"/>
      <c r="K37" s="230"/>
      <c r="L37" s="230"/>
      <c r="M37" s="230"/>
      <c r="N37" s="231"/>
      <c r="S37" s="59"/>
    </row>
    <row r="38" spans="2:19" ht="15.75" thickBot="1" x14ac:dyDescent="0.25">
      <c r="B38" s="232"/>
      <c r="C38" s="233"/>
      <c r="D38" s="233"/>
      <c r="E38" s="233"/>
      <c r="F38" s="233"/>
      <c r="G38" s="233"/>
      <c r="H38" s="233"/>
      <c r="I38" s="233"/>
      <c r="J38" s="233"/>
      <c r="K38" s="233"/>
      <c r="L38" s="233"/>
      <c r="M38" s="233"/>
      <c r="N38" s="234"/>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5" t="s">
        <v>248</v>
      </c>
      <c r="D3" s="236"/>
      <c r="E3" s="236"/>
      <c r="F3" s="236"/>
      <c r="G3" s="236"/>
      <c r="H3" s="236"/>
      <c r="I3" s="236"/>
      <c r="J3" s="236"/>
      <c r="K3" s="236"/>
      <c r="L3" s="236"/>
      <c r="M3" s="236"/>
      <c r="N3" s="236"/>
      <c r="O3" s="236"/>
      <c r="P3" s="236"/>
      <c r="Q3" s="236"/>
      <c r="R3" s="236"/>
      <c r="S3" s="236"/>
      <c r="T3" s="29"/>
    </row>
    <row r="4" spans="1:24" ht="15.75" customHeight="1" x14ac:dyDescent="0.25">
      <c r="B4" s="82"/>
      <c r="C4" s="85" t="s">
        <v>273</v>
      </c>
      <c r="D4" s="33"/>
      <c r="E4" s="197"/>
      <c r="F4" s="197"/>
      <c r="G4" s="197"/>
      <c r="H4" s="197"/>
      <c r="I4" s="197"/>
      <c r="J4" s="197"/>
      <c r="K4" s="33"/>
      <c r="L4" s="33"/>
      <c r="M4" s="33"/>
      <c r="N4" s="33"/>
      <c r="O4" s="33"/>
      <c r="P4" s="33"/>
      <c r="Q4" s="33"/>
      <c r="R4" s="33"/>
      <c r="S4" s="33"/>
      <c r="T4" s="29"/>
    </row>
    <row r="5" spans="1:24" ht="18" customHeight="1" x14ac:dyDescent="0.25">
      <c r="B5" s="82"/>
      <c r="C5" s="86" t="s">
        <v>274</v>
      </c>
      <c r="D5" s="237" t="s">
        <v>277</v>
      </c>
      <c r="E5" s="237"/>
      <c r="F5" s="33"/>
      <c r="G5" s="33"/>
      <c r="H5" s="63"/>
      <c r="I5" s="63"/>
      <c r="J5" s="63"/>
      <c r="K5" s="63"/>
      <c r="L5" s="63"/>
      <c r="M5" s="63"/>
      <c r="N5" s="63"/>
      <c r="O5" s="63"/>
      <c r="P5" s="63"/>
      <c r="Q5" s="63"/>
      <c r="R5" s="63"/>
      <c r="S5" s="63"/>
      <c r="T5" s="64"/>
    </row>
    <row r="6" spans="1:24" ht="15" customHeight="1" x14ac:dyDescent="0.25">
      <c r="B6" s="82"/>
      <c r="C6" s="33"/>
      <c r="D6" s="33"/>
      <c r="E6" s="33"/>
      <c r="F6" s="33"/>
      <c r="G6" s="33"/>
      <c r="H6" s="63"/>
      <c r="I6" s="63"/>
      <c r="J6" s="63"/>
      <c r="K6" s="63"/>
      <c r="L6" s="63"/>
      <c r="M6" s="63"/>
      <c r="N6" s="63"/>
      <c r="O6" s="63"/>
      <c r="P6" s="63"/>
      <c r="Q6" s="63"/>
      <c r="R6" s="63"/>
      <c r="S6" s="63"/>
      <c r="T6" s="64"/>
    </row>
    <row r="7" spans="1:24" ht="32.25" customHeight="1" x14ac:dyDescent="0.25">
      <c r="B7" s="82"/>
      <c r="C7" s="184" t="s">
        <v>0</v>
      </c>
      <c r="D7" s="185" t="s">
        <v>1</v>
      </c>
      <c r="E7" s="184" t="s">
        <v>2</v>
      </c>
      <c r="F7" s="33"/>
      <c r="G7" s="33"/>
      <c r="H7" s="33"/>
      <c r="I7" s="33"/>
      <c r="J7" s="33"/>
      <c r="K7" s="33"/>
      <c r="L7" s="33"/>
      <c r="M7" s="33"/>
      <c r="N7" s="33"/>
      <c r="O7" s="33"/>
      <c r="P7" s="33"/>
      <c r="Q7" s="33"/>
      <c r="R7" s="33"/>
      <c r="S7" s="33"/>
      <c r="T7" s="29"/>
      <c r="W7" s="45" t="s">
        <v>22</v>
      </c>
      <c r="X7" s="45" t="s">
        <v>2</v>
      </c>
    </row>
    <row r="8" spans="1:24" ht="15" customHeight="1" x14ac:dyDescent="0.25">
      <c r="B8" s="82"/>
      <c r="C8" s="15" t="s">
        <v>29</v>
      </c>
      <c r="D8" s="17" t="s">
        <v>3</v>
      </c>
      <c r="E8" s="19">
        <v>9.4538999999999998E-2</v>
      </c>
      <c r="F8" s="163"/>
      <c r="G8" s="33"/>
      <c r="H8" s="33"/>
      <c r="I8" s="33"/>
      <c r="J8" s="33"/>
      <c r="K8" s="33"/>
      <c r="L8" s="33"/>
      <c r="M8" s="33"/>
      <c r="N8" s="33"/>
      <c r="O8" s="33"/>
      <c r="P8" s="33"/>
      <c r="Q8" s="33"/>
      <c r="R8" s="33"/>
      <c r="S8" s="33"/>
      <c r="T8" s="29"/>
      <c r="W8" s="208" t="s">
        <v>3</v>
      </c>
      <c r="X8" s="209">
        <v>0.23768099999999998</v>
      </c>
    </row>
    <row r="9" spans="1:24" ht="15.75" customHeight="1" x14ac:dyDescent="0.25">
      <c r="B9" s="82"/>
      <c r="C9" s="16" t="s">
        <v>33</v>
      </c>
      <c r="D9" s="18" t="s">
        <v>3</v>
      </c>
      <c r="E9" s="20">
        <v>9.2523999999999995E-2</v>
      </c>
      <c r="F9" s="163"/>
      <c r="G9" s="33"/>
      <c r="H9" s="33"/>
      <c r="I9" s="33"/>
      <c r="J9" s="33"/>
      <c r="K9" s="33"/>
      <c r="L9" s="33"/>
      <c r="M9" s="33"/>
      <c r="N9" s="33"/>
      <c r="O9" s="33"/>
      <c r="P9" s="33"/>
      <c r="Q9" s="33"/>
      <c r="R9" s="33"/>
      <c r="S9" s="33"/>
      <c r="T9" s="29"/>
      <c r="W9" s="208" t="s">
        <v>142</v>
      </c>
      <c r="X9" s="209">
        <v>9.3451999999999993E-2</v>
      </c>
    </row>
    <row r="10" spans="1:24" ht="15" customHeight="1" x14ac:dyDescent="0.25">
      <c r="B10" s="82"/>
      <c r="C10" s="16" t="s">
        <v>37</v>
      </c>
      <c r="D10" s="18" t="s">
        <v>3</v>
      </c>
      <c r="E10" s="20">
        <v>5.0618000000000003E-2</v>
      </c>
      <c r="F10" s="163"/>
      <c r="G10" s="33"/>
      <c r="H10" s="33"/>
      <c r="I10" s="33"/>
      <c r="J10" s="33"/>
      <c r="K10" s="33"/>
      <c r="L10" s="33"/>
      <c r="M10" s="33"/>
      <c r="N10" s="33"/>
      <c r="O10" s="33"/>
      <c r="P10" s="33"/>
      <c r="Q10" s="33"/>
      <c r="R10" s="33"/>
      <c r="S10" s="33"/>
      <c r="T10" s="29"/>
      <c r="W10" s="208" t="s">
        <v>4</v>
      </c>
      <c r="X10" s="209">
        <v>7.0165000000000005E-2</v>
      </c>
    </row>
    <row r="11" spans="1:24" ht="15" customHeight="1" x14ac:dyDescent="0.25">
      <c r="B11" s="82"/>
      <c r="C11" s="16" t="s">
        <v>32</v>
      </c>
      <c r="D11" s="18" t="s">
        <v>6</v>
      </c>
      <c r="E11" s="20">
        <v>4.5279E-2</v>
      </c>
      <c r="F11" s="163"/>
      <c r="G11" s="33"/>
      <c r="H11" s="33"/>
      <c r="I11" s="33"/>
      <c r="J11" s="33"/>
      <c r="K11" s="33"/>
      <c r="L11" s="33"/>
      <c r="M11" s="33"/>
      <c r="N11" s="33"/>
      <c r="O11" s="33"/>
      <c r="P11" s="33"/>
      <c r="Q11" s="33"/>
      <c r="R11" s="33"/>
      <c r="S11" s="33"/>
      <c r="T11" s="29"/>
      <c r="W11" s="208" t="s">
        <v>140</v>
      </c>
      <c r="X11" s="209">
        <v>6.0155E-2</v>
      </c>
    </row>
    <row r="12" spans="1:24" ht="15" customHeight="1" x14ac:dyDescent="0.25">
      <c r="B12" s="82"/>
      <c r="C12" s="16" t="s">
        <v>64</v>
      </c>
      <c r="D12" s="18" t="s">
        <v>10</v>
      </c>
      <c r="E12" s="20">
        <v>2.8417000000000001E-2</v>
      </c>
      <c r="F12" s="163"/>
      <c r="G12" s="33"/>
      <c r="H12" s="33"/>
      <c r="I12" s="33"/>
      <c r="J12" s="33"/>
      <c r="K12" s="33"/>
      <c r="L12" s="33"/>
      <c r="M12" s="33"/>
      <c r="N12" s="33"/>
      <c r="O12" s="33"/>
      <c r="P12" s="33"/>
      <c r="Q12" s="33"/>
      <c r="R12" s="33"/>
      <c r="S12" s="33"/>
      <c r="T12" s="29"/>
      <c r="W12" s="208" t="s">
        <v>137</v>
      </c>
      <c r="X12" s="209">
        <v>5.5710000000000003E-2</v>
      </c>
    </row>
    <row r="13" spans="1:24" ht="15" customHeight="1" x14ac:dyDescent="0.25">
      <c r="B13" s="82"/>
      <c r="C13" s="16" t="s">
        <v>28</v>
      </c>
      <c r="D13" s="18" t="s">
        <v>137</v>
      </c>
      <c r="E13" s="20">
        <v>2.315E-2</v>
      </c>
      <c r="F13" s="163"/>
      <c r="G13" s="33"/>
      <c r="H13" s="33"/>
      <c r="I13" s="33"/>
      <c r="J13" s="33"/>
      <c r="K13" s="33"/>
      <c r="L13" s="33"/>
      <c r="M13" s="33"/>
      <c r="N13" s="33"/>
      <c r="O13" s="33"/>
      <c r="P13" s="33"/>
      <c r="Q13" s="33"/>
      <c r="R13" s="33"/>
      <c r="S13" s="33"/>
      <c r="T13" s="29"/>
      <c r="W13" s="208" t="s">
        <v>24</v>
      </c>
      <c r="X13" s="209">
        <v>4.9594000000000006E-2</v>
      </c>
    </row>
    <row r="14" spans="1:24" ht="15" customHeight="1" x14ac:dyDescent="0.25">
      <c r="B14" s="82"/>
      <c r="C14" s="16" t="s">
        <v>197</v>
      </c>
      <c r="D14" s="18" t="s">
        <v>156</v>
      </c>
      <c r="E14" s="20">
        <v>2.1689E-2</v>
      </c>
      <c r="F14" s="163"/>
      <c r="G14" s="33"/>
      <c r="H14" s="33"/>
      <c r="I14" s="33"/>
      <c r="J14" s="33"/>
      <c r="K14" s="33"/>
      <c r="L14" s="33"/>
      <c r="M14" s="33"/>
      <c r="N14" s="33"/>
      <c r="O14" s="33"/>
      <c r="P14" s="33"/>
      <c r="Q14" s="33"/>
      <c r="R14" s="33"/>
      <c r="S14" s="33"/>
      <c r="T14" s="29"/>
      <c r="W14" s="208" t="s">
        <v>6</v>
      </c>
      <c r="X14" s="209">
        <v>4.5279E-2</v>
      </c>
    </row>
    <row r="15" spans="1:24" ht="15.75" x14ac:dyDescent="0.25">
      <c r="B15" s="82"/>
      <c r="C15" s="16" t="s">
        <v>77</v>
      </c>
      <c r="D15" s="18" t="s">
        <v>12</v>
      </c>
      <c r="E15" s="20">
        <v>2.0853E-2</v>
      </c>
      <c r="F15" s="163"/>
      <c r="G15" s="33"/>
      <c r="H15" s="33"/>
      <c r="I15" s="33"/>
      <c r="J15" s="33"/>
      <c r="K15" s="33"/>
      <c r="L15" s="33"/>
      <c r="M15" s="33"/>
      <c r="N15" s="33"/>
      <c r="O15" s="33"/>
      <c r="P15" s="33"/>
      <c r="Q15" s="33"/>
      <c r="R15" s="33"/>
      <c r="S15" s="33"/>
      <c r="T15" s="29"/>
      <c r="W15" s="208" t="s">
        <v>102</v>
      </c>
      <c r="X15" s="209">
        <v>3.8796999999999998E-2</v>
      </c>
    </row>
    <row r="16" spans="1:24" ht="15" customHeight="1" x14ac:dyDescent="0.25">
      <c r="B16" s="82"/>
      <c r="C16" s="16" t="s">
        <v>269</v>
      </c>
      <c r="D16" s="18" t="s">
        <v>113</v>
      </c>
      <c r="E16" s="20">
        <v>2.0302000000000001E-2</v>
      </c>
      <c r="F16" s="163"/>
      <c r="G16" s="33"/>
      <c r="H16" s="33"/>
      <c r="I16" s="33"/>
      <c r="J16" s="33"/>
      <c r="K16" s="33"/>
      <c r="L16" s="33"/>
      <c r="M16" s="33"/>
      <c r="N16" s="33"/>
      <c r="O16" s="33"/>
      <c r="P16" s="33"/>
      <c r="Q16" s="33"/>
      <c r="R16" s="33"/>
      <c r="S16" s="33"/>
      <c r="T16" s="29"/>
      <c r="W16" s="208" t="s">
        <v>26</v>
      </c>
      <c r="X16" s="209">
        <v>3.6720000000000003E-2</v>
      </c>
    </row>
    <row r="17" spans="2:24" ht="15.75" x14ac:dyDescent="0.25">
      <c r="B17" s="82"/>
      <c r="C17" s="16" t="s">
        <v>207</v>
      </c>
      <c r="D17" s="18" t="s">
        <v>24</v>
      </c>
      <c r="E17" s="20">
        <v>1.9366000000000001E-2</v>
      </c>
      <c r="F17" s="163"/>
      <c r="G17" s="33"/>
      <c r="H17" s="33"/>
      <c r="I17" s="33"/>
      <c r="J17" s="33"/>
      <c r="K17" s="33"/>
      <c r="L17" s="33"/>
      <c r="M17" s="33"/>
      <c r="N17" s="33"/>
      <c r="O17" s="33"/>
      <c r="P17" s="33"/>
      <c r="Q17" s="33"/>
      <c r="R17" s="33"/>
      <c r="S17" s="33"/>
      <c r="T17" s="29"/>
      <c r="W17" s="208" t="s">
        <v>156</v>
      </c>
      <c r="X17" s="209">
        <v>2.87E-2</v>
      </c>
    </row>
    <row r="18" spans="2:24" ht="15.75" x14ac:dyDescent="0.25">
      <c r="B18" s="82"/>
      <c r="C18" s="16" t="s">
        <v>87</v>
      </c>
      <c r="D18" s="18" t="s">
        <v>4</v>
      </c>
      <c r="E18" s="20">
        <v>1.7864000000000001E-2</v>
      </c>
      <c r="F18" s="163"/>
      <c r="G18" s="33"/>
      <c r="H18" s="33"/>
      <c r="I18" s="33"/>
      <c r="J18" s="33"/>
      <c r="K18" s="33"/>
      <c r="L18" s="33"/>
      <c r="M18" s="33"/>
      <c r="N18" s="33"/>
      <c r="O18" s="33"/>
      <c r="P18" s="33"/>
      <c r="Q18" s="33"/>
      <c r="R18" s="33"/>
      <c r="S18" s="33"/>
      <c r="T18" s="29"/>
      <c r="W18" s="208" t="s">
        <v>25</v>
      </c>
      <c r="X18" s="209">
        <v>2.8539999999999999E-2</v>
      </c>
    </row>
    <row r="19" spans="2:24" ht="15.75" x14ac:dyDescent="0.25">
      <c r="B19" s="82"/>
      <c r="C19" s="16" t="s">
        <v>173</v>
      </c>
      <c r="D19" s="18" t="s">
        <v>140</v>
      </c>
      <c r="E19" s="20">
        <v>1.7632999999999999E-2</v>
      </c>
      <c r="F19" s="163"/>
      <c r="G19" s="33"/>
      <c r="H19" s="33"/>
      <c r="I19" s="33"/>
      <c r="J19" s="33"/>
      <c r="K19" s="33"/>
      <c r="L19" s="33"/>
      <c r="M19" s="33"/>
      <c r="N19" s="33"/>
      <c r="O19" s="33"/>
      <c r="P19" s="33"/>
      <c r="Q19" s="33"/>
      <c r="R19" s="33"/>
      <c r="S19" s="33"/>
      <c r="T19" s="29"/>
      <c r="W19" s="208" t="s">
        <v>10</v>
      </c>
      <c r="X19" s="209">
        <v>2.8417000000000001E-2</v>
      </c>
    </row>
    <row r="20" spans="2:24" ht="15" customHeight="1" x14ac:dyDescent="0.25">
      <c r="B20" s="82"/>
      <c r="C20" s="16" t="s">
        <v>202</v>
      </c>
      <c r="D20" s="18" t="s">
        <v>137</v>
      </c>
      <c r="E20" s="20">
        <v>1.6988E-2</v>
      </c>
      <c r="F20" s="163"/>
      <c r="G20" s="33"/>
      <c r="H20" s="33"/>
      <c r="I20" s="33"/>
      <c r="J20" s="33"/>
      <c r="K20" s="33"/>
      <c r="L20" s="33"/>
      <c r="M20" s="33"/>
      <c r="N20" s="33"/>
      <c r="O20" s="33"/>
      <c r="P20" s="33"/>
      <c r="Q20" s="33"/>
      <c r="R20" s="33"/>
      <c r="S20" s="33"/>
      <c r="T20" s="29"/>
      <c r="W20" s="208" t="s">
        <v>12</v>
      </c>
      <c r="X20" s="209">
        <v>2.0853E-2</v>
      </c>
    </row>
    <row r="21" spans="2:24" ht="17.25" customHeight="1" x14ac:dyDescent="0.25">
      <c r="B21" s="82"/>
      <c r="C21" s="16" t="s">
        <v>270</v>
      </c>
      <c r="D21" s="18" t="s">
        <v>142</v>
      </c>
      <c r="E21" s="20">
        <v>1.6965000000000001E-2</v>
      </c>
      <c r="F21" s="163"/>
      <c r="G21" s="33"/>
      <c r="H21" s="33"/>
      <c r="I21" s="33"/>
      <c r="J21" s="33"/>
      <c r="K21" s="33"/>
      <c r="L21" s="33"/>
      <c r="M21" s="33"/>
      <c r="N21" s="33"/>
      <c r="O21" s="33"/>
      <c r="P21" s="33"/>
      <c r="Q21" s="33"/>
      <c r="R21" s="33"/>
      <c r="S21" s="33"/>
      <c r="T21" s="29"/>
      <c r="W21" s="208" t="s">
        <v>113</v>
      </c>
      <c r="X21" s="209">
        <v>2.0302000000000001E-2</v>
      </c>
    </row>
    <row r="22" spans="2:24" ht="15" customHeight="1" x14ac:dyDescent="0.25">
      <c r="B22" s="82"/>
      <c r="C22" s="16" t="s">
        <v>30</v>
      </c>
      <c r="D22" s="18" t="s">
        <v>4</v>
      </c>
      <c r="E22" s="20">
        <v>1.6558E-2</v>
      </c>
      <c r="F22" s="163"/>
      <c r="G22" s="33"/>
      <c r="H22" s="33"/>
      <c r="I22" s="33"/>
      <c r="J22" s="33"/>
      <c r="K22" s="33"/>
      <c r="L22" s="33"/>
      <c r="M22" s="33"/>
      <c r="N22" s="33"/>
      <c r="O22" s="33"/>
      <c r="P22" s="33"/>
      <c r="Q22" s="33"/>
      <c r="R22" s="33"/>
      <c r="S22" s="33"/>
      <c r="T22" s="29"/>
      <c r="W22" s="208" t="s">
        <v>147</v>
      </c>
      <c r="X22" s="209">
        <v>1.7302999999999999E-2</v>
      </c>
    </row>
    <row r="23" spans="2:24" ht="15" customHeight="1" x14ac:dyDescent="0.25">
      <c r="B23" s="82"/>
      <c r="C23" s="101"/>
      <c r="D23" s="101"/>
      <c r="E23" s="102"/>
      <c r="F23" s="163"/>
      <c r="G23" s="33"/>
      <c r="H23" s="33"/>
      <c r="I23" s="33"/>
      <c r="J23" s="33"/>
      <c r="K23" s="33"/>
      <c r="L23" s="33"/>
      <c r="M23" s="33"/>
      <c r="N23" s="33"/>
      <c r="O23" s="33"/>
      <c r="P23" s="33"/>
      <c r="Q23" s="33"/>
      <c r="R23" s="33"/>
      <c r="S23" s="33"/>
      <c r="T23" s="29"/>
      <c r="W23" s="208" t="s">
        <v>143</v>
      </c>
      <c r="X23" s="209">
        <v>1.6531000000000001E-2</v>
      </c>
    </row>
    <row r="24" spans="2:24" ht="15" customHeight="1" x14ac:dyDescent="0.25">
      <c r="B24" s="82"/>
      <c r="C24" s="198" t="s">
        <v>56</v>
      </c>
      <c r="D24" s="199"/>
      <c r="E24" s="200">
        <f>SUM(E8:E22)</f>
        <v>0.502745</v>
      </c>
      <c r="F24" s="33"/>
      <c r="G24" s="33"/>
      <c r="H24" s="33"/>
      <c r="I24" s="33"/>
      <c r="J24" s="33"/>
      <c r="K24" s="33"/>
      <c r="L24" s="33"/>
      <c r="M24" s="33"/>
      <c r="N24" s="33"/>
      <c r="O24" s="33"/>
      <c r="P24" s="33"/>
      <c r="Q24" s="33"/>
      <c r="R24" s="33"/>
      <c r="S24" s="33"/>
      <c r="T24" s="29"/>
      <c r="W24" s="208" t="s">
        <v>148</v>
      </c>
      <c r="X24" s="209">
        <v>1.4467000000000001E-2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08" t="s">
        <v>11</v>
      </c>
      <c r="X25" s="209">
        <v>1.1474E-2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08" t="s">
        <v>101</v>
      </c>
      <c r="X26" s="209">
        <v>1.1245E-2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08" t="s">
        <v>152</v>
      </c>
      <c r="X27" s="209">
        <v>1.1231E-2</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08" t="s">
        <v>103</v>
      </c>
      <c r="X28" s="209">
        <v>1.0664E-2</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08" t="s">
        <v>136</v>
      </c>
      <c r="X29" s="209">
        <v>1.0481000000000001E-2</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08" t="s">
        <v>23</v>
      </c>
      <c r="X30" s="209">
        <v>9.4669999999999997E-3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208" t="s">
        <v>99</v>
      </c>
      <c r="X31" s="209">
        <v>9.0959999999999999E-3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208" t="s">
        <v>155</v>
      </c>
      <c r="X32" s="209">
        <v>6.6010000000000001E-3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208" t="s">
        <v>16</v>
      </c>
      <c r="X33" s="209">
        <v>6.5909999999999996E-3</v>
      </c>
    </row>
    <row r="34" spans="2:24" ht="15" customHeight="1" x14ac:dyDescent="0.25">
      <c r="B34" s="82"/>
      <c r="C34" s="33"/>
      <c r="D34" s="33"/>
      <c r="E34" s="33"/>
      <c r="F34" s="33"/>
      <c r="G34" s="33"/>
      <c r="H34" s="33"/>
      <c r="I34" s="33"/>
      <c r="J34" s="33"/>
      <c r="K34" s="33"/>
      <c r="L34" s="33"/>
      <c r="M34" s="33"/>
      <c r="N34" s="33"/>
      <c r="O34" s="33"/>
      <c r="P34" s="33"/>
      <c r="Q34" s="33"/>
      <c r="R34" s="33"/>
      <c r="S34" s="33"/>
      <c r="T34" s="29"/>
      <c r="W34" s="208" t="s">
        <v>153</v>
      </c>
      <c r="X34" s="209">
        <v>3.6459999999999999E-3</v>
      </c>
    </row>
    <row r="35" spans="2:24" ht="15" customHeight="1" x14ac:dyDescent="0.25">
      <c r="B35" s="82"/>
      <c r="C35" s="33"/>
      <c r="D35" s="33"/>
      <c r="E35" s="33"/>
      <c r="F35" s="33"/>
      <c r="G35" s="33"/>
      <c r="H35" s="33"/>
      <c r="I35" s="33"/>
      <c r="J35" s="33"/>
      <c r="K35" s="33"/>
      <c r="L35" s="33"/>
      <c r="M35" s="33"/>
      <c r="N35" s="33"/>
      <c r="O35" s="33"/>
      <c r="P35" s="33"/>
      <c r="Q35" s="33"/>
      <c r="R35" s="33"/>
      <c r="S35" s="33"/>
      <c r="T35" s="29"/>
      <c r="W35" s="208" t="s">
        <v>150</v>
      </c>
      <c r="X35" s="209">
        <v>2.7070000000000002E-3</v>
      </c>
    </row>
    <row r="36" spans="2:24" ht="15" customHeight="1" x14ac:dyDescent="0.25">
      <c r="B36" s="82"/>
      <c r="C36" s="33"/>
      <c r="D36" s="33"/>
      <c r="E36" s="33"/>
      <c r="F36" s="33"/>
      <c r="G36" s="33"/>
      <c r="H36" s="33"/>
      <c r="I36" s="33"/>
      <c r="J36" s="33"/>
      <c r="K36" s="33"/>
      <c r="L36" s="33"/>
      <c r="M36" s="33"/>
      <c r="N36" s="33"/>
      <c r="O36" s="33"/>
      <c r="P36" s="33"/>
      <c r="Q36" s="33"/>
      <c r="R36" s="33"/>
      <c r="S36" s="33"/>
      <c r="T36" s="29"/>
      <c r="W36" s="208" t="s">
        <v>144</v>
      </c>
      <c r="X36" s="209">
        <v>2.5969999999999999E-3</v>
      </c>
    </row>
    <row r="37" spans="2:24" ht="15" customHeight="1" x14ac:dyDescent="0.25">
      <c r="B37" s="82"/>
      <c r="C37" s="33"/>
      <c r="D37" s="33"/>
      <c r="E37" s="33"/>
      <c r="F37" s="33"/>
      <c r="G37" s="33"/>
      <c r="H37" s="33"/>
      <c r="I37" s="33"/>
      <c r="J37" s="33"/>
      <c r="K37" s="33"/>
      <c r="L37" s="33"/>
      <c r="M37" s="33"/>
      <c r="N37" s="33"/>
      <c r="O37" s="33"/>
      <c r="P37" s="33"/>
      <c r="Q37" s="33"/>
      <c r="R37" s="33"/>
      <c r="S37" s="33"/>
      <c r="T37" s="29"/>
    </row>
    <row r="38" spans="2:24" ht="15" customHeight="1" thickBot="1" x14ac:dyDescent="0.3">
      <c r="B38" s="95"/>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6" t="s">
        <v>254</v>
      </c>
      <c r="C42" s="227"/>
      <c r="D42" s="227"/>
      <c r="E42" s="227"/>
      <c r="F42" s="227"/>
      <c r="G42" s="227"/>
      <c r="H42" s="227"/>
      <c r="I42" s="227"/>
      <c r="J42" s="227"/>
      <c r="K42" s="227"/>
      <c r="L42" s="227"/>
      <c r="M42" s="227"/>
      <c r="N42" s="227"/>
      <c r="O42" s="227"/>
      <c r="P42" s="227"/>
      <c r="Q42" s="227"/>
      <c r="R42" s="228"/>
      <c r="T42" s="33"/>
    </row>
    <row r="43" spans="2:24" ht="15" customHeight="1" x14ac:dyDescent="0.25">
      <c r="B43" s="229"/>
      <c r="C43" s="230"/>
      <c r="D43" s="230"/>
      <c r="E43" s="230"/>
      <c r="F43" s="230"/>
      <c r="G43" s="230"/>
      <c r="H43" s="230"/>
      <c r="I43" s="230"/>
      <c r="J43" s="230"/>
      <c r="K43" s="230"/>
      <c r="L43" s="230"/>
      <c r="M43" s="230"/>
      <c r="N43" s="230"/>
      <c r="O43" s="230"/>
      <c r="P43" s="230"/>
      <c r="Q43" s="230"/>
      <c r="R43" s="231"/>
      <c r="T43" s="33"/>
    </row>
    <row r="44" spans="2:24" ht="15" customHeight="1" x14ac:dyDescent="0.25">
      <c r="B44" s="229"/>
      <c r="C44" s="230"/>
      <c r="D44" s="230"/>
      <c r="E44" s="230"/>
      <c r="F44" s="230"/>
      <c r="G44" s="230"/>
      <c r="H44" s="230"/>
      <c r="I44" s="230"/>
      <c r="J44" s="230"/>
      <c r="K44" s="230"/>
      <c r="L44" s="230"/>
      <c r="M44" s="230"/>
      <c r="N44" s="230"/>
      <c r="O44" s="230"/>
      <c r="P44" s="230"/>
      <c r="Q44" s="230"/>
      <c r="R44" s="231"/>
      <c r="T44" s="33"/>
    </row>
    <row r="45" spans="2:24" ht="15" customHeight="1" x14ac:dyDescent="0.25">
      <c r="B45" s="229"/>
      <c r="C45" s="230"/>
      <c r="D45" s="230"/>
      <c r="E45" s="230"/>
      <c r="F45" s="230"/>
      <c r="G45" s="230"/>
      <c r="H45" s="230"/>
      <c r="I45" s="230"/>
      <c r="J45" s="230"/>
      <c r="K45" s="230"/>
      <c r="L45" s="230"/>
      <c r="M45" s="230"/>
      <c r="N45" s="230"/>
      <c r="O45" s="230"/>
      <c r="P45" s="230"/>
      <c r="Q45" s="230"/>
      <c r="R45" s="231"/>
      <c r="T45" s="33"/>
    </row>
    <row r="46" spans="2:24" ht="15" customHeight="1" x14ac:dyDescent="0.25">
      <c r="B46" s="229"/>
      <c r="C46" s="230"/>
      <c r="D46" s="230"/>
      <c r="E46" s="230"/>
      <c r="F46" s="230"/>
      <c r="G46" s="230"/>
      <c r="H46" s="230"/>
      <c r="I46" s="230"/>
      <c r="J46" s="230"/>
      <c r="K46" s="230"/>
      <c r="L46" s="230"/>
      <c r="M46" s="230"/>
      <c r="N46" s="230"/>
      <c r="O46" s="230"/>
      <c r="P46" s="230"/>
      <c r="Q46" s="230"/>
      <c r="R46" s="231"/>
      <c r="T46" s="33"/>
    </row>
    <row r="47" spans="2:24" ht="15" customHeight="1" x14ac:dyDescent="0.25">
      <c r="B47" s="229"/>
      <c r="C47" s="230"/>
      <c r="D47" s="230"/>
      <c r="E47" s="230"/>
      <c r="F47" s="230"/>
      <c r="G47" s="230"/>
      <c r="H47" s="230"/>
      <c r="I47" s="230"/>
      <c r="J47" s="230"/>
      <c r="K47" s="230"/>
      <c r="L47" s="230"/>
      <c r="M47" s="230"/>
      <c r="N47" s="230"/>
      <c r="O47" s="230"/>
      <c r="P47" s="230"/>
      <c r="Q47" s="230"/>
      <c r="R47" s="231"/>
      <c r="T47" s="33"/>
    </row>
    <row r="48" spans="2:24" ht="15" customHeight="1" thickBot="1" x14ac:dyDescent="0.3">
      <c r="B48" s="232"/>
      <c r="C48" s="233"/>
      <c r="D48" s="233"/>
      <c r="E48" s="233"/>
      <c r="F48" s="233"/>
      <c r="G48" s="233"/>
      <c r="H48" s="233"/>
      <c r="I48" s="233"/>
      <c r="J48" s="233"/>
      <c r="K48" s="233"/>
      <c r="L48" s="233"/>
      <c r="M48" s="233"/>
      <c r="N48" s="233"/>
      <c r="O48" s="233"/>
      <c r="P48" s="233"/>
      <c r="Q48" s="233"/>
      <c r="R48" s="234"/>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5" t="s">
        <v>247</v>
      </c>
      <c r="D3" s="236"/>
      <c r="E3" s="236"/>
      <c r="F3" s="236"/>
      <c r="G3" s="236"/>
      <c r="H3" s="236"/>
      <c r="I3" s="236"/>
      <c r="J3" s="236"/>
      <c r="K3" s="236"/>
      <c r="L3" s="236"/>
      <c r="M3" s="236"/>
      <c r="N3" s="236"/>
      <c r="O3" s="236"/>
      <c r="P3" s="236"/>
      <c r="Q3" s="236"/>
      <c r="R3" s="236"/>
      <c r="S3" s="236"/>
      <c r="T3" s="29"/>
    </row>
    <row r="4" spans="1:24" ht="15.75" customHeight="1" x14ac:dyDescent="0.25">
      <c r="B4" s="82"/>
      <c r="C4" s="85" t="s">
        <v>273</v>
      </c>
      <c r="D4" s="33"/>
      <c r="E4" s="33"/>
      <c r="F4" s="33"/>
      <c r="G4" s="33"/>
      <c r="H4" s="33"/>
      <c r="I4" s="33"/>
      <c r="J4" s="33"/>
      <c r="K4" s="33"/>
      <c r="L4" s="33"/>
      <c r="M4" s="33"/>
      <c r="N4" s="33"/>
      <c r="O4" s="33"/>
      <c r="P4" s="33"/>
      <c r="Q4" s="33"/>
      <c r="R4" s="33"/>
      <c r="S4" s="33"/>
      <c r="T4" s="29"/>
    </row>
    <row r="5" spans="1:24" ht="18" customHeight="1" x14ac:dyDescent="0.25">
      <c r="B5" s="82"/>
      <c r="C5" s="86" t="s">
        <v>274</v>
      </c>
      <c r="D5" s="237">
        <v>1040.79</v>
      </c>
      <c r="E5" s="237"/>
      <c r="F5" s="33"/>
      <c r="G5" s="63"/>
      <c r="H5" s="63"/>
      <c r="I5" s="63"/>
      <c r="J5" s="63"/>
      <c r="K5" s="63"/>
      <c r="L5" s="63"/>
      <c r="M5" s="63"/>
      <c r="N5" s="63"/>
      <c r="O5" s="63"/>
      <c r="P5" s="63"/>
      <c r="Q5" s="63"/>
      <c r="R5" s="63"/>
      <c r="S5" s="63"/>
      <c r="T5" s="29"/>
    </row>
    <row r="6" spans="1:24" ht="15" customHeight="1" x14ac:dyDescent="0.25">
      <c r="B6" s="82"/>
      <c r="C6" s="33"/>
      <c r="D6" s="33"/>
      <c r="E6" s="33"/>
      <c r="F6" s="33"/>
      <c r="G6" s="63"/>
      <c r="H6" s="63"/>
      <c r="I6" s="63"/>
      <c r="J6" s="63"/>
      <c r="K6" s="63"/>
      <c r="L6" s="63"/>
      <c r="M6" s="63"/>
      <c r="N6" s="63"/>
      <c r="O6" s="63"/>
      <c r="P6" s="63"/>
      <c r="Q6" s="63"/>
      <c r="R6" s="63"/>
      <c r="S6" s="63"/>
      <c r="T6" s="29"/>
    </row>
    <row r="7" spans="1:24" ht="32.25" customHeight="1" x14ac:dyDescent="0.25">
      <c r="B7" s="82"/>
      <c r="C7" s="87" t="s">
        <v>0</v>
      </c>
      <c r="D7" s="88" t="s">
        <v>1</v>
      </c>
      <c r="E7" s="89" t="s">
        <v>2</v>
      </c>
      <c r="F7" s="33"/>
      <c r="G7" s="33"/>
      <c r="H7" s="33"/>
      <c r="I7" s="33"/>
      <c r="J7" s="33"/>
      <c r="K7" s="33"/>
      <c r="L7" s="33"/>
      <c r="M7" s="33"/>
      <c r="N7" s="33"/>
      <c r="O7" s="33"/>
      <c r="P7" s="33"/>
      <c r="Q7" s="33"/>
      <c r="R7" s="33"/>
      <c r="S7" s="33"/>
      <c r="T7" s="29"/>
      <c r="W7" s="45" t="s">
        <v>22</v>
      </c>
      <c r="X7" s="45" t="s">
        <v>2</v>
      </c>
    </row>
    <row r="8" spans="1:24" ht="15" customHeight="1" x14ac:dyDescent="0.25">
      <c r="B8" s="82"/>
      <c r="C8" s="61" t="s">
        <v>29</v>
      </c>
      <c r="D8" s="17" t="s">
        <v>3</v>
      </c>
      <c r="E8" s="19">
        <v>9.8777000000000004E-2</v>
      </c>
      <c r="F8" s="33"/>
      <c r="G8" s="33"/>
      <c r="H8" s="33"/>
      <c r="I8" s="33"/>
      <c r="J8" s="33"/>
      <c r="K8" s="33"/>
      <c r="L8" s="33"/>
      <c r="M8" s="33"/>
      <c r="N8" s="33"/>
      <c r="O8" s="33"/>
      <c r="P8" s="33"/>
      <c r="Q8" s="33"/>
      <c r="R8" s="33"/>
      <c r="S8" s="33"/>
      <c r="T8" s="29"/>
      <c r="W8" s="208" t="s">
        <v>3</v>
      </c>
      <c r="X8" s="209">
        <v>0.28054800000000002</v>
      </c>
    </row>
    <row r="9" spans="1:24" ht="15.75" customHeight="1" x14ac:dyDescent="0.25">
      <c r="B9" s="82"/>
      <c r="C9" s="62" t="s">
        <v>32</v>
      </c>
      <c r="D9" s="18" t="s">
        <v>6</v>
      </c>
      <c r="E9" s="20">
        <v>9.3195E-2</v>
      </c>
      <c r="F9" s="33"/>
      <c r="G9" s="33"/>
      <c r="H9" s="33"/>
      <c r="I9" s="33"/>
      <c r="J9" s="33"/>
      <c r="K9" s="33"/>
      <c r="L9" s="33"/>
      <c r="M9" s="33"/>
      <c r="N9" s="33"/>
      <c r="O9" s="33"/>
      <c r="P9" s="33"/>
      <c r="Q9" s="33"/>
      <c r="R9" s="33"/>
      <c r="S9" s="33"/>
      <c r="T9" s="29"/>
      <c r="W9" s="208" t="s">
        <v>137</v>
      </c>
      <c r="X9" s="209">
        <v>0.134155</v>
      </c>
    </row>
    <row r="10" spans="1:24" ht="15" customHeight="1" x14ac:dyDescent="0.25">
      <c r="B10" s="82"/>
      <c r="C10" s="62" t="s">
        <v>33</v>
      </c>
      <c r="D10" s="18" t="s">
        <v>3</v>
      </c>
      <c r="E10" s="20">
        <v>7.8964000000000006E-2</v>
      </c>
      <c r="F10" s="33"/>
      <c r="G10" s="33"/>
      <c r="H10" s="33"/>
      <c r="I10" s="33"/>
      <c r="J10" s="33"/>
      <c r="K10" s="33"/>
      <c r="L10" s="33"/>
      <c r="M10" s="33"/>
      <c r="N10" s="33"/>
      <c r="O10" s="33"/>
      <c r="P10" s="33"/>
      <c r="Q10" s="33"/>
      <c r="R10" s="33"/>
      <c r="S10" s="33"/>
      <c r="T10" s="29"/>
      <c r="W10" s="208" t="s">
        <v>6</v>
      </c>
      <c r="X10" s="209">
        <v>9.3195E-2</v>
      </c>
    </row>
    <row r="11" spans="1:24" ht="15" customHeight="1" x14ac:dyDescent="0.25">
      <c r="B11" s="82"/>
      <c r="C11" s="62" t="s">
        <v>28</v>
      </c>
      <c r="D11" s="18" t="s">
        <v>137</v>
      </c>
      <c r="E11" s="20">
        <v>5.6432999999999997E-2</v>
      </c>
      <c r="F11" s="33"/>
      <c r="G11" s="33"/>
      <c r="H11" s="33"/>
      <c r="I11" s="33"/>
      <c r="J11" s="33"/>
      <c r="K11" s="33"/>
      <c r="L11" s="33"/>
      <c r="M11" s="33"/>
      <c r="N11" s="33"/>
      <c r="O11" s="33"/>
      <c r="P11" s="33"/>
      <c r="Q11" s="33"/>
      <c r="R11" s="33"/>
      <c r="S11" s="33"/>
      <c r="T11" s="29"/>
      <c r="W11" s="208" t="s">
        <v>148</v>
      </c>
      <c r="X11" s="209">
        <v>6.7331000000000002E-2</v>
      </c>
    </row>
    <row r="12" spans="1:24" ht="15" customHeight="1" x14ac:dyDescent="0.25">
      <c r="B12" s="82"/>
      <c r="C12" s="62" t="s">
        <v>31</v>
      </c>
      <c r="D12" s="18" t="s">
        <v>148</v>
      </c>
      <c r="E12" s="20">
        <v>4.1339000000000001E-2</v>
      </c>
      <c r="F12" s="33"/>
      <c r="G12" s="33"/>
      <c r="H12" s="33"/>
      <c r="I12" s="33"/>
      <c r="J12" s="33"/>
      <c r="K12" s="33"/>
      <c r="L12" s="33"/>
      <c r="M12" s="33"/>
      <c r="N12" s="33"/>
      <c r="O12" s="33"/>
      <c r="P12" s="33"/>
      <c r="Q12" s="33"/>
      <c r="R12" s="33"/>
      <c r="S12" s="33"/>
      <c r="T12" s="29"/>
      <c r="W12" s="208" t="s">
        <v>4</v>
      </c>
      <c r="X12" s="209">
        <v>6.1745000000000001E-2</v>
      </c>
    </row>
    <row r="13" spans="1:24" ht="15" customHeight="1" x14ac:dyDescent="0.25">
      <c r="B13" s="82"/>
      <c r="C13" s="62" t="s">
        <v>37</v>
      </c>
      <c r="D13" s="18" t="s">
        <v>3</v>
      </c>
      <c r="E13" s="20">
        <v>3.8030000000000001E-2</v>
      </c>
      <c r="F13" s="33"/>
      <c r="G13" s="33"/>
      <c r="H13" s="33"/>
      <c r="I13" s="33"/>
      <c r="J13" s="33"/>
      <c r="K13" s="33"/>
      <c r="L13" s="33"/>
      <c r="M13" s="33"/>
      <c r="N13" s="33"/>
      <c r="O13" s="33"/>
      <c r="P13" s="33"/>
      <c r="Q13" s="33"/>
      <c r="R13" s="33"/>
      <c r="S13" s="33"/>
      <c r="T13" s="29"/>
      <c r="W13" s="208" t="s">
        <v>147</v>
      </c>
      <c r="X13" s="209">
        <v>5.2261000000000002E-2</v>
      </c>
    </row>
    <row r="14" spans="1:24" ht="15" customHeight="1" x14ac:dyDescent="0.25">
      <c r="B14" s="82"/>
      <c r="C14" s="62" t="s">
        <v>30</v>
      </c>
      <c r="D14" s="18" t="s">
        <v>4</v>
      </c>
      <c r="E14" s="20">
        <v>3.7322000000000001E-2</v>
      </c>
      <c r="F14" s="33"/>
      <c r="G14" s="33"/>
      <c r="H14" s="33"/>
      <c r="I14" s="33"/>
      <c r="J14" s="33"/>
      <c r="K14" s="33"/>
      <c r="L14" s="33"/>
      <c r="M14" s="33"/>
      <c r="N14" s="33"/>
      <c r="O14" s="33"/>
      <c r="P14" s="33"/>
      <c r="Q14" s="33"/>
      <c r="R14" s="33"/>
      <c r="S14" s="33"/>
      <c r="T14" s="29"/>
      <c r="W14" s="208" t="s">
        <v>143</v>
      </c>
      <c r="X14" s="209">
        <v>4.8099999999999997E-2</v>
      </c>
    </row>
    <row r="15" spans="1:24" ht="15" customHeight="1" x14ac:dyDescent="0.25">
      <c r="B15" s="82"/>
      <c r="C15" s="62" t="s">
        <v>169</v>
      </c>
      <c r="D15" s="18" t="s">
        <v>147</v>
      </c>
      <c r="E15" s="20">
        <v>3.0547000000000001E-2</v>
      </c>
      <c r="F15" s="33"/>
      <c r="G15" s="33"/>
      <c r="H15" s="33"/>
      <c r="I15" s="33"/>
      <c r="J15" s="33"/>
      <c r="K15" s="33"/>
      <c r="L15" s="33"/>
      <c r="M15" s="33"/>
      <c r="N15" s="33"/>
      <c r="O15" s="33"/>
      <c r="P15" s="33"/>
      <c r="Q15" s="33"/>
      <c r="R15" s="33"/>
      <c r="S15" s="33"/>
      <c r="T15" s="29"/>
      <c r="W15" s="208" t="s">
        <v>16</v>
      </c>
      <c r="X15" s="209">
        <v>2.9698999999999996E-2</v>
      </c>
    </row>
    <row r="16" spans="1:24" ht="15" customHeight="1" x14ac:dyDescent="0.25">
      <c r="B16" s="82"/>
      <c r="C16" s="62" t="s">
        <v>34</v>
      </c>
      <c r="D16" s="18" t="s">
        <v>137</v>
      </c>
      <c r="E16" s="20">
        <v>2.9916999999999999E-2</v>
      </c>
      <c r="F16" s="33"/>
      <c r="G16" s="33"/>
      <c r="H16" s="33"/>
      <c r="I16" s="33"/>
      <c r="J16" s="33"/>
      <c r="K16" s="33"/>
      <c r="L16" s="33"/>
      <c r="M16" s="33"/>
      <c r="N16" s="33"/>
      <c r="O16" s="33"/>
      <c r="P16" s="33"/>
      <c r="Q16" s="33"/>
      <c r="R16" s="33"/>
      <c r="S16" s="33"/>
      <c r="T16" s="29"/>
      <c r="W16" s="208" t="s">
        <v>23</v>
      </c>
      <c r="X16" s="209">
        <v>2.8473999999999999E-2</v>
      </c>
    </row>
    <row r="17" spans="2:24" ht="15" customHeight="1" x14ac:dyDescent="0.25">
      <c r="B17" s="82"/>
      <c r="C17" s="62" t="s">
        <v>35</v>
      </c>
      <c r="D17" s="18" t="s">
        <v>23</v>
      </c>
      <c r="E17" s="20">
        <v>2.8473999999999999E-2</v>
      </c>
      <c r="F17" s="33"/>
      <c r="G17" s="33"/>
      <c r="H17" s="33"/>
      <c r="I17" s="33"/>
      <c r="J17" s="33"/>
      <c r="K17" s="33"/>
      <c r="L17" s="33"/>
      <c r="M17" s="33"/>
      <c r="N17" s="33"/>
      <c r="O17" s="33"/>
      <c r="P17" s="33"/>
      <c r="Q17" s="33"/>
      <c r="R17" s="33"/>
      <c r="S17" s="33"/>
      <c r="T17" s="29"/>
      <c r="W17" s="208" t="s">
        <v>150</v>
      </c>
      <c r="X17" s="209">
        <v>2.7374000000000002E-2</v>
      </c>
    </row>
    <row r="18" spans="2:24" ht="15" customHeight="1" x14ac:dyDescent="0.25">
      <c r="B18" s="82"/>
      <c r="C18" s="62" t="s">
        <v>170</v>
      </c>
      <c r="D18" s="18" t="s">
        <v>3</v>
      </c>
      <c r="E18" s="20">
        <v>2.6825000000000002E-2</v>
      </c>
      <c r="F18" s="33"/>
      <c r="G18" s="33"/>
      <c r="H18" s="33"/>
      <c r="I18" s="33"/>
      <c r="J18" s="33"/>
      <c r="K18" s="33"/>
      <c r="L18" s="33"/>
      <c r="M18" s="33"/>
      <c r="N18" s="33"/>
      <c r="O18" s="33"/>
      <c r="P18" s="33"/>
      <c r="Q18" s="33"/>
      <c r="R18" s="33"/>
      <c r="S18" s="33"/>
      <c r="T18" s="29"/>
      <c r="W18" s="208" t="s">
        <v>99</v>
      </c>
      <c r="X18" s="209">
        <v>2.5152000000000001E-2</v>
      </c>
    </row>
    <row r="19" spans="2:24" ht="15" customHeight="1" x14ac:dyDescent="0.25">
      <c r="B19" s="82"/>
      <c r="C19" s="62" t="s">
        <v>38</v>
      </c>
      <c r="D19" s="18" t="s">
        <v>148</v>
      </c>
      <c r="E19" s="20">
        <v>2.5992000000000001E-2</v>
      </c>
      <c r="F19" s="33"/>
      <c r="G19" s="33"/>
      <c r="H19" s="33"/>
      <c r="I19" s="33"/>
      <c r="J19" s="33"/>
      <c r="K19" s="33"/>
      <c r="L19" s="33"/>
      <c r="M19" s="33"/>
      <c r="N19" s="33"/>
      <c r="O19" s="33"/>
      <c r="P19" s="33"/>
      <c r="Q19" s="33"/>
      <c r="R19" s="33"/>
      <c r="S19" s="33"/>
      <c r="T19" s="29"/>
      <c r="W19" s="208" t="s">
        <v>142</v>
      </c>
      <c r="X19" s="209">
        <v>2.3780000000000003E-2</v>
      </c>
    </row>
    <row r="20" spans="2:24" ht="15" customHeight="1" x14ac:dyDescent="0.25">
      <c r="B20" s="82"/>
      <c r="C20" s="62" t="s">
        <v>67</v>
      </c>
      <c r="D20" s="18" t="s">
        <v>99</v>
      </c>
      <c r="E20" s="20">
        <v>2.5152000000000001E-2</v>
      </c>
      <c r="F20" s="33"/>
      <c r="G20" s="33"/>
      <c r="H20" s="33"/>
      <c r="I20" s="33"/>
      <c r="J20" s="33"/>
      <c r="K20" s="33"/>
      <c r="L20" s="33"/>
      <c r="M20" s="33"/>
      <c r="N20" s="33"/>
      <c r="O20" s="33"/>
      <c r="P20" s="33"/>
      <c r="Q20" s="33"/>
      <c r="R20" s="33"/>
      <c r="S20" s="33"/>
      <c r="T20" s="29"/>
      <c r="W20" s="208" t="s">
        <v>12</v>
      </c>
      <c r="X20" s="209">
        <v>2.0032000000000001E-2</v>
      </c>
    </row>
    <row r="21" spans="2:24" ht="15" customHeight="1" x14ac:dyDescent="0.25">
      <c r="B21" s="82"/>
      <c r="C21" s="62" t="s">
        <v>205</v>
      </c>
      <c r="D21" s="18" t="s">
        <v>137</v>
      </c>
      <c r="E21" s="20">
        <v>2.2401000000000001E-2</v>
      </c>
      <c r="F21" s="33"/>
      <c r="G21" s="33"/>
      <c r="H21" s="33"/>
      <c r="I21" s="33"/>
      <c r="J21" s="33"/>
      <c r="K21" s="33"/>
      <c r="L21" s="33"/>
      <c r="M21" s="33"/>
      <c r="N21" s="33"/>
      <c r="O21" s="33"/>
      <c r="P21" s="33"/>
      <c r="Q21" s="33"/>
      <c r="R21" s="33"/>
      <c r="S21" s="33"/>
      <c r="T21" s="29"/>
      <c r="W21" s="208" t="s">
        <v>156</v>
      </c>
      <c r="X21" s="209">
        <v>1.5765999999999999E-2</v>
      </c>
    </row>
    <row r="22" spans="2:24" ht="15" customHeight="1" x14ac:dyDescent="0.25">
      <c r="B22" s="82"/>
      <c r="C22" s="62" t="s">
        <v>208</v>
      </c>
      <c r="D22" s="18" t="s">
        <v>147</v>
      </c>
      <c r="E22" s="20">
        <v>2.1714000000000001E-2</v>
      </c>
      <c r="F22" s="33"/>
      <c r="G22" s="33"/>
      <c r="H22" s="33"/>
      <c r="I22" s="33"/>
      <c r="J22" s="33"/>
      <c r="K22" s="33"/>
      <c r="L22" s="33"/>
      <c r="M22" s="33"/>
      <c r="N22" s="33"/>
      <c r="O22" s="33"/>
      <c r="P22" s="33"/>
      <c r="Q22" s="33"/>
      <c r="R22" s="33"/>
      <c r="S22" s="33"/>
      <c r="T22" s="29"/>
      <c r="W22" s="208" t="s">
        <v>10</v>
      </c>
      <c r="X22" s="209">
        <v>1.5585999999999999E-2</v>
      </c>
    </row>
    <row r="23" spans="2:24" ht="15" customHeight="1" x14ac:dyDescent="0.25">
      <c r="B23" s="82"/>
      <c r="C23" s="90"/>
      <c r="D23" s="90"/>
      <c r="E23" s="91"/>
      <c r="F23" s="33"/>
      <c r="G23" s="33"/>
      <c r="H23" s="33"/>
      <c r="I23" s="33"/>
      <c r="J23" s="33"/>
      <c r="K23" s="33"/>
      <c r="L23" s="33"/>
      <c r="M23" s="33"/>
      <c r="N23" s="33"/>
      <c r="O23" s="33"/>
      <c r="P23" s="33"/>
      <c r="Q23" s="33"/>
      <c r="R23" s="33"/>
      <c r="S23" s="33"/>
      <c r="T23" s="29"/>
      <c r="W23" s="208" t="s">
        <v>24</v>
      </c>
      <c r="X23" s="209">
        <v>1.524E-2</v>
      </c>
    </row>
    <row r="24" spans="2:24" ht="15" customHeight="1" x14ac:dyDescent="0.25">
      <c r="B24" s="82"/>
      <c r="C24" s="92" t="s">
        <v>56</v>
      </c>
      <c r="D24" s="93"/>
      <c r="E24" s="94">
        <f>SUM(E8:E23)</f>
        <v>0.65508200000000005</v>
      </c>
      <c r="F24" s="33"/>
      <c r="G24" s="33"/>
      <c r="H24" s="33"/>
      <c r="I24" s="33"/>
      <c r="J24" s="33"/>
      <c r="K24" s="33"/>
      <c r="L24" s="33"/>
      <c r="M24" s="33"/>
      <c r="N24" s="33"/>
      <c r="O24" s="33"/>
      <c r="P24" s="33"/>
      <c r="Q24" s="33"/>
      <c r="R24" s="33"/>
      <c r="S24" s="33"/>
      <c r="T24" s="29"/>
      <c r="W24" s="208" t="s">
        <v>145</v>
      </c>
      <c r="X24" s="209">
        <v>1.1756000000000001E-2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08" t="s">
        <v>15</v>
      </c>
      <c r="X25" s="209">
        <v>1.0748000000000001E-2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08" t="s">
        <v>11</v>
      </c>
      <c r="X26" s="209">
        <v>1.0548E-2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08" t="s">
        <v>138</v>
      </c>
      <c r="X27" s="209">
        <v>9.7970000000000002E-3</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08" t="s">
        <v>26</v>
      </c>
      <c r="X28" s="209">
        <v>5.2680000000000001E-3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08" t="s">
        <v>152</v>
      </c>
      <c r="X29" s="209">
        <v>5.2319999999999997E-3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08" t="s">
        <v>140</v>
      </c>
      <c r="X30" s="209">
        <v>4.9059999999999998E-3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68"/>
      <c r="X31" s="69"/>
    </row>
    <row r="32" spans="2:24" ht="15" customHeight="1" x14ac:dyDescent="0.25">
      <c r="B32" s="82"/>
      <c r="C32" s="33"/>
      <c r="D32" s="33"/>
      <c r="E32" s="33"/>
      <c r="F32" s="33"/>
      <c r="G32" s="33"/>
      <c r="H32" s="33"/>
      <c r="I32" s="33"/>
      <c r="J32" s="33"/>
      <c r="K32" s="33"/>
      <c r="L32" s="33"/>
      <c r="M32" s="33"/>
      <c r="N32" s="33"/>
      <c r="O32" s="33"/>
      <c r="P32" s="33"/>
      <c r="Q32" s="33"/>
      <c r="R32" s="33"/>
      <c r="S32" s="33"/>
      <c r="T32" s="29"/>
      <c r="W32" s="68"/>
      <c r="X32" s="69"/>
    </row>
    <row r="33" spans="2:24" ht="15" customHeight="1" x14ac:dyDescent="0.25">
      <c r="B33" s="82"/>
      <c r="C33" s="33"/>
      <c r="D33" s="33"/>
      <c r="E33" s="33"/>
      <c r="F33" s="33"/>
      <c r="G33" s="33"/>
      <c r="H33" s="33"/>
      <c r="I33" s="33"/>
      <c r="J33" s="33"/>
      <c r="K33" s="33"/>
      <c r="L33" s="33"/>
      <c r="M33" s="33"/>
      <c r="N33" s="33"/>
      <c r="O33" s="33"/>
      <c r="P33" s="33"/>
      <c r="Q33" s="33"/>
      <c r="R33" s="33"/>
      <c r="S33" s="33"/>
      <c r="T33" s="29"/>
      <c r="W33" s="45"/>
      <c r="X33" s="69"/>
    </row>
    <row r="34" spans="2:24" ht="15" customHeight="1" x14ac:dyDescent="0.25">
      <c r="B34" s="82"/>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2"/>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2"/>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2"/>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2"/>
      <c r="C38" s="33"/>
      <c r="D38" s="33"/>
      <c r="E38" s="33"/>
      <c r="F38" s="33"/>
      <c r="G38" s="33"/>
      <c r="H38" s="33"/>
      <c r="I38" s="33"/>
      <c r="J38" s="33"/>
      <c r="K38" s="33"/>
      <c r="L38" s="33"/>
      <c r="M38" s="33"/>
      <c r="N38" s="33"/>
      <c r="O38" s="33"/>
      <c r="P38" s="33"/>
      <c r="Q38" s="33"/>
      <c r="R38" s="33"/>
      <c r="S38" s="33"/>
      <c r="T38" s="29"/>
    </row>
    <row r="39" spans="2:24" ht="15" hidden="1" customHeight="1" x14ac:dyDescent="0.25">
      <c r="B39" s="82"/>
      <c r="C39" s="33"/>
      <c r="D39" s="33"/>
      <c r="E39" s="33"/>
      <c r="F39" s="33"/>
      <c r="G39" s="33"/>
      <c r="H39" s="33"/>
      <c r="I39" s="33"/>
      <c r="J39" s="33"/>
      <c r="K39" s="33"/>
      <c r="L39" s="33"/>
      <c r="M39" s="33"/>
      <c r="N39" s="33"/>
      <c r="O39" s="33"/>
      <c r="P39" s="33"/>
      <c r="Q39" s="33"/>
      <c r="R39" s="33"/>
      <c r="S39" s="33"/>
      <c r="T39" s="29"/>
    </row>
    <row r="40" spans="2:24" ht="15" hidden="1" customHeight="1" x14ac:dyDescent="0.25">
      <c r="B40" s="82"/>
      <c r="C40" s="33"/>
      <c r="D40" s="33"/>
      <c r="E40" s="33"/>
      <c r="F40" s="33"/>
      <c r="G40" s="33"/>
      <c r="H40" s="33"/>
      <c r="I40" s="33"/>
      <c r="J40" s="33"/>
      <c r="K40" s="33"/>
      <c r="L40" s="33"/>
      <c r="M40" s="33"/>
      <c r="N40" s="33"/>
      <c r="O40" s="33"/>
      <c r="P40" s="33"/>
      <c r="Q40" s="33"/>
      <c r="R40" s="33"/>
      <c r="S40" s="33"/>
      <c r="T40" s="29"/>
    </row>
    <row r="41" spans="2:24" ht="15" hidden="1" customHeight="1" x14ac:dyDescent="0.25">
      <c r="B41" s="82"/>
      <c r="C41" s="33"/>
      <c r="D41" s="33"/>
      <c r="E41" s="33"/>
      <c r="F41" s="33"/>
      <c r="G41" s="33"/>
      <c r="H41" s="33"/>
      <c r="I41" s="33"/>
      <c r="J41" s="33"/>
      <c r="K41" s="33"/>
      <c r="L41" s="33"/>
      <c r="M41" s="33"/>
      <c r="N41" s="33"/>
      <c r="O41" s="33"/>
      <c r="P41" s="33"/>
      <c r="Q41" s="33"/>
      <c r="R41" s="33"/>
      <c r="S41" s="33"/>
      <c r="T41" s="29"/>
    </row>
    <row r="42" spans="2:24" ht="15" hidden="1" customHeight="1" x14ac:dyDescent="0.25">
      <c r="B42" s="82"/>
      <c r="C42" s="33"/>
      <c r="D42" s="33"/>
      <c r="E42" s="33"/>
      <c r="F42" s="33"/>
      <c r="G42" s="33"/>
      <c r="H42" s="33"/>
      <c r="I42" s="33"/>
      <c r="J42" s="33"/>
      <c r="K42" s="33"/>
      <c r="L42" s="33"/>
      <c r="M42" s="33"/>
      <c r="N42" s="33"/>
      <c r="O42" s="33"/>
      <c r="P42" s="33"/>
      <c r="Q42" s="33"/>
      <c r="R42" s="33"/>
      <c r="S42" s="33"/>
      <c r="T42" s="29"/>
    </row>
    <row r="43" spans="2:24" ht="15" hidden="1" customHeight="1" x14ac:dyDescent="0.25">
      <c r="B43" s="82"/>
      <c r="C43" s="33"/>
      <c r="D43" s="33"/>
      <c r="E43" s="33"/>
      <c r="F43" s="33"/>
      <c r="G43" s="33"/>
      <c r="H43" s="33"/>
      <c r="I43" s="33"/>
      <c r="J43" s="33"/>
      <c r="K43" s="33"/>
      <c r="L43" s="33"/>
      <c r="M43" s="33"/>
      <c r="N43" s="33"/>
      <c r="O43" s="33"/>
      <c r="P43" s="33"/>
      <c r="Q43" s="33"/>
      <c r="R43" s="33"/>
      <c r="S43" s="33"/>
      <c r="T43" s="29"/>
    </row>
    <row r="44" spans="2:24" ht="15" hidden="1" customHeight="1" x14ac:dyDescent="0.25">
      <c r="B44" s="82"/>
      <c r="C44" s="33"/>
      <c r="D44" s="33"/>
      <c r="E44" s="33"/>
      <c r="F44" s="33"/>
      <c r="G44" s="33"/>
      <c r="H44" s="33"/>
      <c r="I44" s="33"/>
      <c r="J44" s="33"/>
      <c r="K44" s="33"/>
      <c r="L44" s="33"/>
      <c r="M44" s="33"/>
      <c r="N44" s="33"/>
      <c r="O44" s="33"/>
      <c r="P44" s="33"/>
      <c r="Q44" s="33"/>
      <c r="R44" s="33"/>
      <c r="S44" s="33"/>
      <c r="T44" s="29"/>
    </row>
    <row r="45" spans="2:24" ht="15" hidden="1" customHeight="1" x14ac:dyDescent="0.25">
      <c r="B45" s="82"/>
      <c r="C45" s="33"/>
      <c r="D45" s="33"/>
      <c r="E45" s="33"/>
      <c r="F45" s="33"/>
      <c r="G45" s="33"/>
      <c r="H45" s="33"/>
      <c r="I45" s="33"/>
      <c r="J45" s="33"/>
      <c r="K45" s="33"/>
      <c r="L45" s="33"/>
      <c r="M45" s="33"/>
      <c r="N45" s="33"/>
      <c r="O45" s="33"/>
      <c r="P45" s="33"/>
      <c r="Q45" s="33"/>
      <c r="R45" s="33"/>
      <c r="S45" s="33"/>
      <c r="T45" s="29"/>
    </row>
    <row r="46" spans="2:24" ht="15" hidden="1" customHeight="1" x14ac:dyDescent="0.25">
      <c r="B46" s="82"/>
      <c r="C46" s="33"/>
      <c r="D46" s="33"/>
      <c r="E46" s="33"/>
      <c r="F46" s="33"/>
      <c r="G46" s="33"/>
      <c r="H46" s="33"/>
      <c r="I46" s="33"/>
      <c r="J46" s="33"/>
      <c r="K46" s="33"/>
      <c r="L46" s="33"/>
      <c r="M46" s="33"/>
      <c r="N46" s="33"/>
      <c r="O46" s="33"/>
      <c r="P46" s="33"/>
      <c r="Q46" s="33"/>
      <c r="R46" s="33"/>
      <c r="S46" s="33"/>
      <c r="T46" s="29"/>
    </row>
    <row r="47" spans="2:24" ht="15" customHeight="1" thickBot="1" x14ac:dyDescent="0.3">
      <c r="B47" s="95"/>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6" t="s">
        <v>254</v>
      </c>
      <c r="C49" s="227"/>
      <c r="D49" s="227"/>
      <c r="E49" s="227"/>
      <c r="F49" s="227"/>
      <c r="G49" s="227"/>
      <c r="H49" s="227"/>
      <c r="I49" s="227"/>
      <c r="J49" s="227"/>
      <c r="K49" s="227"/>
      <c r="L49" s="227"/>
      <c r="M49" s="227"/>
      <c r="N49" s="227"/>
      <c r="O49" s="227"/>
      <c r="P49" s="227"/>
      <c r="Q49" s="227"/>
      <c r="R49" s="228"/>
    </row>
    <row r="50" spans="2:18" ht="15" customHeight="1" x14ac:dyDescent="0.25">
      <c r="B50" s="229"/>
      <c r="C50" s="230"/>
      <c r="D50" s="230"/>
      <c r="E50" s="230"/>
      <c r="F50" s="230"/>
      <c r="G50" s="230"/>
      <c r="H50" s="230"/>
      <c r="I50" s="230"/>
      <c r="J50" s="230"/>
      <c r="K50" s="230"/>
      <c r="L50" s="230"/>
      <c r="M50" s="230"/>
      <c r="N50" s="230"/>
      <c r="O50" s="230"/>
      <c r="P50" s="230"/>
      <c r="Q50" s="230"/>
      <c r="R50" s="231"/>
    </row>
    <row r="51" spans="2:18" ht="15" customHeight="1" x14ac:dyDescent="0.25">
      <c r="B51" s="229"/>
      <c r="C51" s="230"/>
      <c r="D51" s="230"/>
      <c r="E51" s="230"/>
      <c r="F51" s="230"/>
      <c r="G51" s="230"/>
      <c r="H51" s="230"/>
      <c r="I51" s="230"/>
      <c r="J51" s="230"/>
      <c r="K51" s="230"/>
      <c r="L51" s="230"/>
      <c r="M51" s="230"/>
      <c r="N51" s="230"/>
      <c r="O51" s="230"/>
      <c r="P51" s="230"/>
      <c r="Q51" s="230"/>
      <c r="R51" s="231"/>
    </row>
    <row r="52" spans="2:18" ht="15" customHeight="1" x14ac:dyDescent="0.25">
      <c r="B52" s="229"/>
      <c r="C52" s="230"/>
      <c r="D52" s="230"/>
      <c r="E52" s="230"/>
      <c r="F52" s="230"/>
      <c r="G52" s="230"/>
      <c r="H52" s="230"/>
      <c r="I52" s="230"/>
      <c r="J52" s="230"/>
      <c r="K52" s="230"/>
      <c r="L52" s="230"/>
      <c r="M52" s="230"/>
      <c r="N52" s="230"/>
      <c r="O52" s="230"/>
      <c r="P52" s="230"/>
      <c r="Q52" s="230"/>
      <c r="R52" s="231"/>
    </row>
    <row r="53" spans="2:18" ht="15" customHeight="1" x14ac:dyDescent="0.25">
      <c r="B53" s="229"/>
      <c r="C53" s="230"/>
      <c r="D53" s="230"/>
      <c r="E53" s="230"/>
      <c r="F53" s="230"/>
      <c r="G53" s="230"/>
      <c r="H53" s="230"/>
      <c r="I53" s="230"/>
      <c r="J53" s="230"/>
      <c r="K53" s="230"/>
      <c r="L53" s="230"/>
      <c r="M53" s="230"/>
      <c r="N53" s="230"/>
      <c r="O53" s="230"/>
      <c r="P53" s="230"/>
      <c r="Q53" s="230"/>
      <c r="R53" s="231"/>
    </row>
    <row r="54" spans="2:18" ht="15" customHeight="1" x14ac:dyDescent="0.25">
      <c r="B54" s="229"/>
      <c r="C54" s="230"/>
      <c r="D54" s="230"/>
      <c r="E54" s="230"/>
      <c r="F54" s="230"/>
      <c r="G54" s="230"/>
      <c r="H54" s="230"/>
      <c r="I54" s="230"/>
      <c r="J54" s="230"/>
      <c r="K54" s="230"/>
      <c r="L54" s="230"/>
      <c r="M54" s="230"/>
      <c r="N54" s="230"/>
      <c r="O54" s="230"/>
      <c r="P54" s="230"/>
      <c r="Q54" s="230"/>
      <c r="R54" s="231"/>
    </row>
    <row r="55" spans="2:18" ht="15" customHeight="1" thickBot="1" x14ac:dyDescent="0.3">
      <c r="B55" s="232"/>
      <c r="C55" s="233"/>
      <c r="D55" s="233"/>
      <c r="E55" s="233"/>
      <c r="F55" s="233"/>
      <c r="G55" s="233"/>
      <c r="H55" s="233"/>
      <c r="I55" s="233"/>
      <c r="J55" s="233"/>
      <c r="K55" s="233"/>
      <c r="L55" s="233"/>
      <c r="M55" s="233"/>
      <c r="N55" s="233"/>
      <c r="O55" s="233"/>
      <c r="P55" s="233"/>
      <c r="Q55" s="233"/>
      <c r="R55" s="234"/>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246</v>
      </c>
      <c r="D3" s="236"/>
      <c r="E3" s="236"/>
      <c r="F3" s="236"/>
      <c r="G3" s="236"/>
      <c r="H3" s="236"/>
      <c r="I3" s="236"/>
      <c r="J3" s="236"/>
      <c r="K3" s="236"/>
      <c r="L3" s="236"/>
      <c r="M3" s="236"/>
      <c r="N3" s="236"/>
      <c r="O3" s="236"/>
      <c r="P3" s="236"/>
      <c r="Q3" s="236"/>
      <c r="R3" s="236"/>
      <c r="S3" s="236"/>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7" t="s">
        <v>278</v>
      </c>
      <c r="E5" s="237"/>
      <c r="F5" s="33"/>
      <c r="G5" s="189"/>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8" t="s">
        <v>2</v>
      </c>
    </row>
    <row r="8" spans="1:24" ht="15" customHeight="1" x14ac:dyDescent="0.25">
      <c r="B8" s="98"/>
      <c r="C8" s="15" t="s">
        <v>29</v>
      </c>
      <c r="D8" s="17" t="s">
        <v>3</v>
      </c>
      <c r="E8" s="19">
        <v>9.9545999999999996E-2</v>
      </c>
      <c r="F8" s="33"/>
      <c r="G8" s="33"/>
      <c r="H8" s="33"/>
      <c r="I8" s="33"/>
      <c r="J8" s="33"/>
      <c r="K8" s="33"/>
      <c r="L8" s="33"/>
      <c r="M8" s="33"/>
      <c r="N8" s="33"/>
      <c r="O8" s="33"/>
      <c r="P8" s="33"/>
      <c r="Q8" s="33"/>
      <c r="R8" s="33"/>
      <c r="S8" s="33"/>
      <c r="T8" s="26"/>
      <c r="W8" s="208" t="s">
        <v>3</v>
      </c>
      <c r="X8" s="209">
        <v>0.27666199999999996</v>
      </c>
    </row>
    <row r="9" spans="1:24" ht="15.75" customHeight="1" x14ac:dyDescent="0.25">
      <c r="B9" s="98"/>
      <c r="C9" s="16" t="s">
        <v>33</v>
      </c>
      <c r="D9" s="18" t="s">
        <v>3</v>
      </c>
      <c r="E9" s="20">
        <v>7.1763999999999994E-2</v>
      </c>
      <c r="F9" s="33"/>
      <c r="G9" s="33"/>
      <c r="H9" s="33"/>
      <c r="I9" s="33"/>
      <c r="J9" s="33"/>
      <c r="K9" s="33"/>
      <c r="L9" s="33"/>
      <c r="M9" s="33"/>
      <c r="N9" s="33"/>
      <c r="O9" s="33"/>
      <c r="P9" s="33"/>
      <c r="Q9" s="33"/>
      <c r="R9" s="33"/>
      <c r="S9" s="33"/>
      <c r="T9" s="26"/>
      <c r="W9" s="208" t="s">
        <v>137</v>
      </c>
      <c r="X9" s="209">
        <v>9.2579999999999996E-2</v>
      </c>
    </row>
    <row r="10" spans="1:24" ht="15" customHeight="1" x14ac:dyDescent="0.25">
      <c r="B10" s="98"/>
      <c r="C10" s="16" t="s">
        <v>32</v>
      </c>
      <c r="D10" s="18" t="s">
        <v>6</v>
      </c>
      <c r="E10" s="20">
        <v>6.3612000000000002E-2</v>
      </c>
      <c r="F10" s="33"/>
      <c r="G10" s="33"/>
      <c r="H10" s="33"/>
      <c r="I10" s="33"/>
      <c r="J10" s="33"/>
      <c r="K10" s="33"/>
      <c r="L10" s="33"/>
      <c r="M10" s="33"/>
      <c r="N10" s="33"/>
      <c r="O10" s="33"/>
      <c r="P10" s="33"/>
      <c r="Q10" s="33"/>
      <c r="R10" s="33"/>
      <c r="S10" s="33"/>
      <c r="T10" s="26"/>
      <c r="W10" s="208" t="s">
        <v>147</v>
      </c>
      <c r="X10" s="209">
        <v>7.6322000000000001E-2</v>
      </c>
    </row>
    <row r="11" spans="1:24" ht="15" customHeight="1" x14ac:dyDescent="0.25">
      <c r="B11" s="98"/>
      <c r="C11" s="16" t="s">
        <v>28</v>
      </c>
      <c r="D11" s="18" t="s">
        <v>137</v>
      </c>
      <c r="E11" s="20">
        <v>6.2960000000000002E-2</v>
      </c>
      <c r="F11" s="33"/>
      <c r="G11" s="33"/>
      <c r="H11" s="33"/>
      <c r="I11" s="33"/>
      <c r="J11" s="33"/>
      <c r="K11" s="33"/>
      <c r="L11" s="33"/>
      <c r="M11" s="33"/>
      <c r="N11" s="33"/>
      <c r="O11" s="33"/>
      <c r="P11" s="33"/>
      <c r="Q11" s="33"/>
      <c r="R11" s="33"/>
      <c r="S11" s="33"/>
      <c r="T11" s="26"/>
      <c r="W11" s="208" t="s">
        <v>6</v>
      </c>
      <c r="X11" s="209">
        <v>6.3612000000000002E-2</v>
      </c>
    </row>
    <row r="12" spans="1:24" ht="15" customHeight="1" x14ac:dyDescent="0.25">
      <c r="B12" s="98"/>
      <c r="C12" s="16" t="s">
        <v>37</v>
      </c>
      <c r="D12" s="18" t="s">
        <v>3</v>
      </c>
      <c r="E12" s="20">
        <v>5.4822999999999997E-2</v>
      </c>
      <c r="F12" s="33"/>
      <c r="G12" s="33"/>
      <c r="H12" s="33"/>
      <c r="I12" s="33"/>
      <c r="J12" s="33"/>
      <c r="K12" s="33"/>
      <c r="L12" s="33"/>
      <c r="M12" s="33"/>
      <c r="N12" s="33"/>
      <c r="O12" s="33"/>
      <c r="P12" s="33"/>
      <c r="Q12" s="33"/>
      <c r="R12" s="33"/>
      <c r="S12" s="33"/>
      <c r="T12" s="26"/>
      <c r="W12" s="208" t="s">
        <v>148</v>
      </c>
      <c r="X12" s="209">
        <v>6.3212000000000004E-2</v>
      </c>
    </row>
    <row r="13" spans="1:24" ht="15" customHeight="1" x14ac:dyDescent="0.25">
      <c r="B13" s="98"/>
      <c r="C13" s="16" t="s">
        <v>170</v>
      </c>
      <c r="D13" s="18" t="s">
        <v>3</v>
      </c>
      <c r="E13" s="20">
        <v>5.0528999999999998E-2</v>
      </c>
      <c r="F13" s="33"/>
      <c r="G13" s="33"/>
      <c r="H13" s="33"/>
      <c r="I13" s="33"/>
      <c r="J13" s="33"/>
      <c r="K13" s="33"/>
      <c r="L13" s="33"/>
      <c r="M13" s="33"/>
      <c r="N13" s="33"/>
      <c r="O13" s="33"/>
      <c r="P13" s="33"/>
      <c r="Q13" s="33"/>
      <c r="R13" s="33"/>
      <c r="S13" s="33"/>
      <c r="T13" s="26"/>
      <c r="W13" s="208" t="s">
        <v>143</v>
      </c>
      <c r="X13" s="209">
        <v>5.6010000000000004E-2</v>
      </c>
    </row>
    <row r="14" spans="1:24" ht="15" customHeight="1" x14ac:dyDescent="0.25">
      <c r="B14" s="98"/>
      <c r="C14" s="16" t="s">
        <v>169</v>
      </c>
      <c r="D14" s="18" t="s">
        <v>147</v>
      </c>
      <c r="E14" s="20">
        <v>4.6267000000000003E-2</v>
      </c>
      <c r="F14" s="33"/>
      <c r="G14" s="33"/>
      <c r="H14" s="33"/>
      <c r="I14" s="33"/>
      <c r="J14" s="33"/>
      <c r="K14" s="33"/>
      <c r="L14" s="33"/>
      <c r="M14" s="33"/>
      <c r="N14" s="33"/>
      <c r="O14" s="33"/>
      <c r="P14" s="33"/>
      <c r="Q14" s="33"/>
      <c r="R14" s="33"/>
      <c r="S14" s="33"/>
      <c r="T14" s="26"/>
      <c r="W14" s="208" t="s">
        <v>4</v>
      </c>
      <c r="X14" s="209">
        <v>3.5489E-2</v>
      </c>
    </row>
    <row r="15" spans="1:24" ht="15" customHeight="1" x14ac:dyDescent="0.25">
      <c r="B15" s="98"/>
      <c r="C15" s="16" t="s">
        <v>31</v>
      </c>
      <c r="D15" s="18" t="s">
        <v>148</v>
      </c>
      <c r="E15" s="20">
        <v>4.4077999999999999E-2</v>
      </c>
      <c r="F15" s="33"/>
      <c r="G15" s="33"/>
      <c r="H15" s="33"/>
      <c r="I15" s="33"/>
      <c r="J15" s="33"/>
      <c r="K15" s="33"/>
      <c r="L15" s="33"/>
      <c r="M15" s="33"/>
      <c r="N15" s="33"/>
      <c r="O15" s="33"/>
      <c r="P15" s="33"/>
      <c r="Q15" s="33"/>
      <c r="R15" s="33"/>
      <c r="S15" s="33"/>
      <c r="T15" s="26"/>
      <c r="W15" s="208" t="s">
        <v>145</v>
      </c>
      <c r="X15" s="209">
        <v>2.7968E-2</v>
      </c>
    </row>
    <row r="16" spans="1:24" ht="15" customHeight="1" x14ac:dyDescent="0.25">
      <c r="B16" s="98"/>
      <c r="C16" s="16" t="s">
        <v>135</v>
      </c>
      <c r="D16" s="18" t="s">
        <v>4</v>
      </c>
      <c r="E16" s="20">
        <v>3.5489E-2</v>
      </c>
      <c r="F16" s="33"/>
      <c r="G16" s="33"/>
      <c r="H16" s="33"/>
      <c r="I16" s="33"/>
      <c r="J16" s="33"/>
      <c r="K16" s="33"/>
      <c r="L16" s="33"/>
      <c r="M16" s="33"/>
      <c r="N16" s="33"/>
      <c r="O16" s="33"/>
      <c r="P16" s="33"/>
      <c r="Q16" s="33"/>
      <c r="R16" s="33"/>
      <c r="S16" s="33"/>
      <c r="T16" s="26"/>
      <c r="W16" s="208" t="s">
        <v>138</v>
      </c>
      <c r="X16" s="209">
        <v>2.6894000000000001E-2</v>
      </c>
    </row>
    <row r="17" spans="2:24" ht="15" customHeight="1" x14ac:dyDescent="0.25">
      <c r="B17" s="98"/>
      <c r="C17" s="16" t="s">
        <v>208</v>
      </c>
      <c r="D17" s="18" t="s">
        <v>147</v>
      </c>
      <c r="E17" s="20">
        <v>3.0054999999999998E-2</v>
      </c>
      <c r="F17" s="33"/>
      <c r="G17" s="33"/>
      <c r="H17" s="33"/>
      <c r="I17" s="33"/>
      <c r="J17" s="33"/>
      <c r="K17" s="33"/>
      <c r="L17" s="33"/>
      <c r="M17" s="33"/>
      <c r="N17" s="33"/>
      <c r="O17" s="33"/>
      <c r="P17" s="33"/>
      <c r="Q17" s="33"/>
      <c r="R17" s="33"/>
      <c r="S17" s="33"/>
      <c r="T17" s="26"/>
      <c r="W17" s="208" t="s">
        <v>156</v>
      </c>
      <c r="X17" s="209">
        <v>2.5964999999999998E-2</v>
      </c>
    </row>
    <row r="18" spans="2:24" ht="15" customHeight="1" x14ac:dyDescent="0.25">
      <c r="B18" s="98"/>
      <c r="C18" s="16" t="s">
        <v>205</v>
      </c>
      <c r="D18" s="18" t="s">
        <v>137</v>
      </c>
      <c r="E18" s="20">
        <v>2.962E-2</v>
      </c>
      <c r="F18" s="33"/>
      <c r="G18" s="33"/>
      <c r="H18" s="33"/>
      <c r="I18" s="33"/>
      <c r="J18" s="33"/>
      <c r="K18" s="33"/>
      <c r="L18" s="33"/>
      <c r="M18" s="33"/>
      <c r="N18" s="33"/>
      <c r="O18" s="33"/>
      <c r="P18" s="33"/>
      <c r="Q18" s="33"/>
      <c r="R18" s="33"/>
      <c r="S18" s="33"/>
      <c r="T18" s="26"/>
      <c r="W18" s="208" t="s">
        <v>99</v>
      </c>
      <c r="X18" s="209">
        <v>2.4486999999999998E-2</v>
      </c>
    </row>
    <row r="19" spans="2:24" ht="15" customHeight="1" x14ac:dyDescent="0.25">
      <c r="B19" s="98"/>
      <c r="C19" s="16" t="s">
        <v>216</v>
      </c>
      <c r="D19" s="18" t="s">
        <v>145</v>
      </c>
      <c r="E19" s="20">
        <v>2.7968E-2</v>
      </c>
      <c r="F19" s="33"/>
      <c r="G19" s="33"/>
      <c r="H19" s="33"/>
      <c r="I19" s="33"/>
      <c r="J19" s="33"/>
      <c r="K19" s="33"/>
      <c r="L19" s="33"/>
      <c r="M19" s="33"/>
      <c r="N19" s="33"/>
      <c r="O19" s="33"/>
      <c r="P19" s="33"/>
      <c r="Q19" s="33"/>
      <c r="R19" s="33"/>
      <c r="S19" s="33"/>
      <c r="T19" s="26"/>
      <c r="W19" s="208" t="s">
        <v>26</v>
      </c>
      <c r="X19" s="209">
        <v>2.3543000000000001E-2</v>
      </c>
    </row>
    <row r="20" spans="2:24" ht="15" customHeight="1" x14ac:dyDescent="0.25">
      <c r="B20" s="98"/>
      <c r="C20" s="16" t="s">
        <v>182</v>
      </c>
      <c r="D20" s="18" t="s">
        <v>138</v>
      </c>
      <c r="E20" s="20">
        <v>2.6894000000000001E-2</v>
      </c>
      <c r="F20" s="33"/>
      <c r="G20" s="33"/>
      <c r="H20" s="33"/>
      <c r="I20" s="33"/>
      <c r="J20" s="33"/>
      <c r="K20" s="33"/>
      <c r="L20" s="33"/>
      <c r="M20" s="33"/>
      <c r="N20" s="33"/>
      <c r="O20" s="33"/>
      <c r="P20" s="33"/>
      <c r="Q20" s="33"/>
      <c r="R20" s="33"/>
      <c r="S20" s="33"/>
      <c r="T20" s="26"/>
      <c r="W20" s="208" t="s">
        <v>23</v>
      </c>
      <c r="X20" s="209">
        <v>2.2800000000000001E-2</v>
      </c>
    </row>
    <row r="21" spans="2:24" ht="15" customHeight="1" x14ac:dyDescent="0.25">
      <c r="B21" s="98"/>
      <c r="C21" s="16" t="s">
        <v>197</v>
      </c>
      <c r="D21" s="18" t="s">
        <v>156</v>
      </c>
      <c r="E21" s="20">
        <v>2.5964999999999998E-2</v>
      </c>
      <c r="F21" s="33"/>
      <c r="G21" s="33"/>
      <c r="H21" s="33"/>
      <c r="I21" s="33"/>
      <c r="J21" s="33"/>
      <c r="K21" s="33"/>
      <c r="L21" s="33"/>
      <c r="M21" s="33"/>
      <c r="N21" s="33"/>
      <c r="O21" s="33"/>
      <c r="P21" s="33"/>
      <c r="Q21" s="33"/>
      <c r="R21" s="33"/>
      <c r="S21" s="33"/>
      <c r="T21" s="26"/>
      <c r="W21" s="208" t="s">
        <v>144</v>
      </c>
      <c r="X21" s="209">
        <v>2.2131999999999999E-2</v>
      </c>
    </row>
    <row r="22" spans="2:24" ht="15" customHeight="1" x14ac:dyDescent="0.25">
      <c r="B22" s="98"/>
      <c r="C22" s="16" t="s">
        <v>67</v>
      </c>
      <c r="D22" s="18" t="s">
        <v>99</v>
      </c>
      <c r="E22" s="20">
        <v>2.4486999999999998E-2</v>
      </c>
      <c r="F22" s="33"/>
      <c r="G22" s="33"/>
      <c r="H22" s="33"/>
      <c r="I22" s="33"/>
      <c r="J22" s="33"/>
      <c r="K22" s="33"/>
      <c r="L22" s="33"/>
      <c r="M22" s="33"/>
      <c r="N22" s="33"/>
      <c r="O22" s="33"/>
      <c r="P22" s="33"/>
      <c r="Q22" s="33"/>
      <c r="R22" s="33"/>
      <c r="S22" s="33"/>
      <c r="T22" s="26"/>
      <c r="W22" s="208" t="s">
        <v>10</v>
      </c>
      <c r="X22" s="209">
        <v>2.1312999999999999E-2</v>
      </c>
    </row>
    <row r="23" spans="2:24" ht="15" customHeight="1" x14ac:dyDescent="0.25">
      <c r="B23" s="98"/>
      <c r="C23" s="90"/>
      <c r="D23" s="190"/>
      <c r="E23" s="91"/>
      <c r="F23" s="33"/>
      <c r="G23" s="33"/>
      <c r="H23" s="33"/>
      <c r="I23" s="33"/>
      <c r="J23" s="33"/>
      <c r="K23" s="33"/>
      <c r="L23" s="33"/>
      <c r="M23" s="33"/>
      <c r="N23" s="33"/>
      <c r="O23" s="33"/>
      <c r="P23" s="33"/>
      <c r="Q23" s="33"/>
      <c r="R23" s="33"/>
      <c r="S23" s="33"/>
      <c r="T23" s="26"/>
      <c r="W23" s="208" t="s">
        <v>142</v>
      </c>
      <c r="X23" s="209">
        <v>2.0624E-2</v>
      </c>
    </row>
    <row r="24" spans="2:24" ht="15" customHeight="1" x14ac:dyDescent="0.25">
      <c r="B24" s="98"/>
      <c r="C24" s="92" t="s">
        <v>56</v>
      </c>
      <c r="D24" s="93"/>
      <c r="E24" s="94">
        <f>SUM(E8:E22)</f>
        <v>0.69405700000000004</v>
      </c>
      <c r="F24" s="33"/>
      <c r="G24" s="33"/>
      <c r="H24" s="33"/>
      <c r="I24" s="33"/>
      <c r="J24" s="33"/>
      <c r="K24" s="33"/>
      <c r="L24" s="33"/>
      <c r="M24" s="33"/>
      <c r="N24" s="33"/>
      <c r="O24" s="33"/>
      <c r="P24" s="33"/>
      <c r="Q24" s="33"/>
      <c r="R24" s="33"/>
      <c r="S24" s="33"/>
      <c r="T24" s="26"/>
      <c r="W24" s="208" t="s">
        <v>100</v>
      </c>
      <c r="X24" s="209">
        <v>2.0233999999999999E-2</v>
      </c>
    </row>
    <row r="25" spans="2:24" ht="15" customHeight="1" x14ac:dyDescent="0.25">
      <c r="B25" s="98"/>
      <c r="F25" s="33"/>
      <c r="G25" s="33"/>
      <c r="H25" s="33"/>
      <c r="I25" s="33"/>
      <c r="J25" s="33"/>
      <c r="K25" s="33"/>
      <c r="L25" s="33"/>
      <c r="M25" s="33"/>
      <c r="N25" s="33"/>
      <c r="O25" s="33"/>
      <c r="P25" s="33"/>
      <c r="Q25" s="33"/>
      <c r="R25" s="33"/>
      <c r="S25" s="33"/>
      <c r="T25" s="26"/>
      <c r="W25" s="208" t="s">
        <v>11</v>
      </c>
      <c r="X25" s="209">
        <v>1.9712E-2</v>
      </c>
    </row>
    <row r="26" spans="2:24" ht="15" customHeight="1" x14ac:dyDescent="0.25">
      <c r="B26" s="98"/>
      <c r="F26" s="33"/>
      <c r="G26" s="33"/>
      <c r="H26" s="33"/>
      <c r="I26" s="33"/>
      <c r="J26" s="33"/>
      <c r="K26" s="33"/>
      <c r="L26" s="33"/>
      <c r="M26" s="33"/>
      <c r="N26" s="33"/>
      <c r="O26" s="33"/>
      <c r="P26" s="33"/>
      <c r="Q26" s="33"/>
      <c r="R26" s="33"/>
      <c r="S26" s="33"/>
      <c r="T26" s="26"/>
      <c r="W26" s="208" t="s">
        <v>16</v>
      </c>
      <c r="X26" s="209">
        <v>1.9493E-2</v>
      </c>
    </row>
    <row r="27" spans="2:24" ht="15" customHeight="1" x14ac:dyDescent="0.25">
      <c r="B27" s="98"/>
      <c r="F27" s="33"/>
      <c r="G27" s="33"/>
      <c r="H27" s="33"/>
      <c r="I27" s="33"/>
      <c r="J27" s="33"/>
      <c r="K27" s="33"/>
      <c r="L27" s="33"/>
      <c r="M27" s="33"/>
      <c r="N27" s="33"/>
      <c r="O27" s="33"/>
      <c r="P27" s="33"/>
      <c r="Q27" s="33"/>
      <c r="R27" s="33"/>
      <c r="S27" s="33"/>
      <c r="T27" s="26"/>
      <c r="W27" s="208" t="s">
        <v>12</v>
      </c>
      <c r="X27" s="209">
        <v>1.9112000000000001E-2</v>
      </c>
    </row>
    <row r="28" spans="2:24" ht="15" customHeight="1" x14ac:dyDescent="0.25">
      <c r="B28" s="98"/>
      <c r="F28" s="33"/>
      <c r="G28" s="33"/>
      <c r="H28" s="33"/>
      <c r="I28" s="33"/>
      <c r="J28" s="33"/>
      <c r="K28" s="33"/>
      <c r="L28" s="33"/>
      <c r="M28" s="33"/>
      <c r="N28" s="33"/>
      <c r="O28" s="33"/>
      <c r="P28" s="33"/>
      <c r="Q28" s="33"/>
      <c r="R28" s="33"/>
      <c r="S28" s="33"/>
      <c r="T28" s="26"/>
      <c r="W28" s="208" t="s">
        <v>150</v>
      </c>
      <c r="X28" s="209">
        <v>1.8898000000000002E-2</v>
      </c>
    </row>
    <row r="29" spans="2:24" ht="15" customHeight="1" x14ac:dyDescent="0.25">
      <c r="B29" s="98"/>
      <c r="F29" s="33"/>
      <c r="G29" s="33"/>
      <c r="H29" s="33"/>
      <c r="I29" s="33"/>
      <c r="J29" s="33"/>
      <c r="K29" s="33"/>
      <c r="L29" s="33"/>
      <c r="M29" s="33"/>
      <c r="N29" s="33"/>
      <c r="O29" s="33"/>
      <c r="P29" s="33"/>
      <c r="Q29" s="33"/>
      <c r="R29" s="33"/>
      <c r="S29" s="33"/>
      <c r="T29" s="26"/>
      <c r="W29" s="208" t="s">
        <v>24</v>
      </c>
      <c r="X29" s="209">
        <v>1.8693999999999999E-2</v>
      </c>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 customHeight="1" x14ac:dyDescent="0.25">
      <c r="B32" s="98"/>
      <c r="F32" s="33"/>
      <c r="G32" s="33"/>
      <c r="H32" s="33"/>
      <c r="I32" s="33"/>
      <c r="J32" s="33"/>
      <c r="K32" s="33"/>
      <c r="L32" s="33"/>
      <c r="M32" s="33"/>
      <c r="N32" s="33"/>
      <c r="O32" s="33"/>
      <c r="P32" s="33"/>
      <c r="Q32" s="33"/>
      <c r="R32" s="33"/>
      <c r="S32" s="33"/>
      <c r="T32" s="26"/>
    </row>
    <row r="33" spans="2:20" ht="15.75" customHeight="1" x14ac:dyDescent="0.25">
      <c r="B33" s="98"/>
      <c r="F33" s="33"/>
      <c r="G33" s="33"/>
      <c r="H33" s="33"/>
      <c r="I33" s="33"/>
      <c r="J33" s="33"/>
      <c r="K33" s="33"/>
      <c r="L33" s="33"/>
      <c r="M33" s="33"/>
      <c r="N33" s="33"/>
      <c r="O33" s="33"/>
      <c r="P33" s="33"/>
      <c r="Q33" s="33"/>
      <c r="R33" s="33"/>
      <c r="S33" s="33"/>
      <c r="T33" s="26"/>
    </row>
    <row r="34" spans="2:20" ht="15.75" customHeight="1" x14ac:dyDescent="0.25">
      <c r="B34" s="98"/>
      <c r="F34" s="33"/>
      <c r="G34" s="33"/>
      <c r="H34" s="33"/>
      <c r="I34" s="33"/>
      <c r="J34" s="33"/>
      <c r="K34" s="33"/>
      <c r="L34" s="33"/>
      <c r="M34" s="33"/>
      <c r="N34" s="33"/>
      <c r="O34" s="33"/>
      <c r="P34" s="33"/>
      <c r="Q34" s="33"/>
      <c r="R34" s="33"/>
      <c r="S34" s="33"/>
      <c r="T34" s="26"/>
    </row>
    <row r="35" spans="2:20" ht="15.75" customHeight="1" x14ac:dyDescent="0.25">
      <c r="B35" s="98"/>
      <c r="F35" s="33"/>
      <c r="G35" s="33"/>
      <c r="H35" s="33"/>
      <c r="I35" s="33"/>
      <c r="J35" s="33"/>
      <c r="K35" s="33"/>
      <c r="L35" s="33"/>
      <c r="M35" s="33"/>
      <c r="N35" s="33"/>
      <c r="O35" s="33"/>
      <c r="P35" s="33"/>
      <c r="Q35" s="33"/>
      <c r="R35" s="33"/>
      <c r="S35" s="33"/>
      <c r="T35" s="26"/>
    </row>
    <row r="36" spans="2:20" ht="15" customHeight="1" thickBot="1" x14ac:dyDescent="0.3">
      <c r="B36" s="99"/>
      <c r="C36" s="100"/>
      <c r="D36" s="100"/>
      <c r="E36" s="100"/>
      <c r="F36" s="100"/>
      <c r="G36" s="100"/>
      <c r="H36" s="100"/>
      <c r="I36" s="100"/>
      <c r="J36" s="100"/>
      <c r="K36" s="100"/>
      <c r="L36" s="100"/>
      <c r="M36" s="100"/>
      <c r="N36" s="100"/>
      <c r="O36" s="100"/>
      <c r="P36" s="100"/>
      <c r="Q36" s="100"/>
      <c r="R36" s="100"/>
      <c r="S36" s="100"/>
      <c r="T36" s="27"/>
    </row>
    <row r="37" spans="2:20" ht="15" customHeight="1" thickBot="1" x14ac:dyDescent="0.3"/>
    <row r="38" spans="2:20" ht="15" customHeight="1" x14ac:dyDescent="0.25">
      <c r="B38" s="226" t="s">
        <v>254</v>
      </c>
      <c r="C38" s="227"/>
      <c r="D38" s="227"/>
      <c r="E38" s="227"/>
      <c r="F38" s="227"/>
      <c r="G38" s="227"/>
      <c r="H38" s="227"/>
      <c r="I38" s="227"/>
      <c r="J38" s="227"/>
      <c r="K38" s="227"/>
      <c r="L38" s="227"/>
      <c r="M38" s="227"/>
      <c r="N38" s="227"/>
      <c r="O38" s="227"/>
      <c r="P38" s="227"/>
      <c r="Q38" s="227"/>
      <c r="R38" s="228"/>
    </row>
    <row r="39" spans="2:20" ht="15" customHeight="1" x14ac:dyDescent="0.25">
      <c r="B39" s="229"/>
      <c r="C39" s="230"/>
      <c r="D39" s="230"/>
      <c r="E39" s="230"/>
      <c r="F39" s="230"/>
      <c r="G39" s="230"/>
      <c r="H39" s="230"/>
      <c r="I39" s="230"/>
      <c r="J39" s="230"/>
      <c r="K39" s="230"/>
      <c r="L39" s="230"/>
      <c r="M39" s="230"/>
      <c r="N39" s="230"/>
      <c r="O39" s="230"/>
      <c r="P39" s="230"/>
      <c r="Q39" s="230"/>
      <c r="R39" s="231"/>
    </row>
    <row r="40" spans="2:20" ht="15" customHeight="1" x14ac:dyDescent="0.25">
      <c r="B40" s="229"/>
      <c r="C40" s="230"/>
      <c r="D40" s="230"/>
      <c r="E40" s="230"/>
      <c r="F40" s="230"/>
      <c r="G40" s="230"/>
      <c r="H40" s="230"/>
      <c r="I40" s="230"/>
      <c r="J40" s="230"/>
      <c r="K40" s="230"/>
      <c r="L40" s="230"/>
      <c r="M40" s="230"/>
      <c r="N40" s="230"/>
      <c r="O40" s="230"/>
      <c r="P40" s="230"/>
      <c r="Q40" s="230"/>
      <c r="R40" s="231"/>
    </row>
    <row r="41" spans="2:20" ht="15" customHeight="1" x14ac:dyDescent="0.25">
      <c r="B41" s="229"/>
      <c r="C41" s="230"/>
      <c r="D41" s="230"/>
      <c r="E41" s="230"/>
      <c r="F41" s="230"/>
      <c r="G41" s="230"/>
      <c r="H41" s="230"/>
      <c r="I41" s="230"/>
      <c r="J41" s="230"/>
      <c r="K41" s="230"/>
      <c r="L41" s="230"/>
      <c r="M41" s="230"/>
      <c r="N41" s="230"/>
      <c r="O41" s="230"/>
      <c r="P41" s="230"/>
      <c r="Q41" s="230"/>
      <c r="R41" s="231"/>
    </row>
    <row r="42" spans="2:20" ht="15" customHeight="1" x14ac:dyDescent="0.25">
      <c r="B42" s="229"/>
      <c r="C42" s="230"/>
      <c r="D42" s="230"/>
      <c r="E42" s="230"/>
      <c r="F42" s="230"/>
      <c r="G42" s="230"/>
      <c r="H42" s="230"/>
      <c r="I42" s="230"/>
      <c r="J42" s="230"/>
      <c r="K42" s="230"/>
      <c r="L42" s="230"/>
      <c r="M42" s="230"/>
      <c r="N42" s="230"/>
      <c r="O42" s="230"/>
      <c r="P42" s="230"/>
      <c r="Q42" s="230"/>
      <c r="R42" s="231"/>
    </row>
    <row r="43" spans="2:20" ht="15" customHeight="1" x14ac:dyDescent="0.25">
      <c r="B43" s="229"/>
      <c r="C43" s="230"/>
      <c r="D43" s="230"/>
      <c r="E43" s="230"/>
      <c r="F43" s="230"/>
      <c r="G43" s="230"/>
      <c r="H43" s="230"/>
      <c r="I43" s="230"/>
      <c r="J43" s="230"/>
      <c r="K43" s="230"/>
      <c r="L43" s="230"/>
      <c r="M43" s="230"/>
      <c r="N43" s="230"/>
      <c r="O43" s="230"/>
      <c r="P43" s="230"/>
      <c r="Q43" s="230"/>
      <c r="R43" s="231"/>
    </row>
    <row r="44" spans="2:20" ht="15" customHeight="1" thickBot="1" x14ac:dyDescent="0.3">
      <c r="B44" s="232"/>
      <c r="C44" s="233"/>
      <c r="D44" s="233"/>
      <c r="E44" s="233"/>
      <c r="F44" s="233"/>
      <c r="G44" s="233"/>
      <c r="H44" s="233"/>
      <c r="I44" s="233"/>
      <c r="J44" s="233"/>
      <c r="K44" s="233"/>
      <c r="L44" s="233"/>
      <c r="M44" s="233"/>
      <c r="N44" s="233"/>
      <c r="O44" s="233"/>
      <c r="P44" s="233"/>
      <c r="Q44" s="233"/>
      <c r="R44" s="234"/>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6"/>
      <c r="C2" s="97"/>
      <c r="D2" s="97"/>
      <c r="E2" s="97"/>
      <c r="F2" s="97"/>
      <c r="G2" s="97"/>
      <c r="H2" s="97"/>
      <c r="I2" s="97"/>
      <c r="J2" s="97"/>
      <c r="K2" s="97"/>
      <c r="L2" s="97"/>
      <c r="M2" s="97"/>
      <c r="N2" s="97"/>
      <c r="O2" s="97"/>
      <c r="P2" s="97"/>
      <c r="Q2" s="97"/>
      <c r="R2" s="97"/>
      <c r="S2" s="97"/>
      <c r="T2" s="25"/>
    </row>
    <row r="3" spans="1:37" ht="20.25" customHeight="1" x14ac:dyDescent="0.25">
      <c r="B3" s="98"/>
      <c r="C3" s="235" t="s">
        <v>245</v>
      </c>
      <c r="D3" s="236"/>
      <c r="E3" s="236"/>
      <c r="F3" s="236"/>
      <c r="G3" s="236"/>
      <c r="H3" s="236"/>
      <c r="I3" s="236"/>
      <c r="J3" s="236"/>
      <c r="K3" s="236"/>
      <c r="L3" s="236"/>
      <c r="M3" s="236"/>
      <c r="N3" s="236"/>
      <c r="O3" s="236"/>
      <c r="P3" s="236"/>
      <c r="Q3" s="236"/>
      <c r="R3" s="236"/>
      <c r="S3" s="236"/>
      <c r="T3" s="26"/>
    </row>
    <row r="4" spans="1:37" ht="15.75" customHeight="1" x14ac:dyDescent="0.25">
      <c r="B4" s="98"/>
      <c r="C4" s="85" t="s">
        <v>273</v>
      </c>
      <c r="D4" s="33"/>
      <c r="E4" s="33"/>
      <c r="F4" s="33"/>
      <c r="G4" s="33"/>
      <c r="H4" s="33"/>
      <c r="I4" s="33"/>
      <c r="J4" s="33"/>
      <c r="K4" s="33"/>
      <c r="L4" s="33"/>
      <c r="M4" s="33"/>
      <c r="N4" s="33"/>
      <c r="O4" s="33"/>
      <c r="P4" s="33"/>
      <c r="Q4" s="33"/>
      <c r="R4" s="33"/>
      <c r="S4" s="33"/>
      <c r="T4" s="26"/>
    </row>
    <row r="5" spans="1:37" ht="18" customHeight="1" x14ac:dyDescent="0.25">
      <c r="B5" s="98"/>
      <c r="C5" s="86" t="s">
        <v>274</v>
      </c>
      <c r="D5" s="238" t="s">
        <v>279</v>
      </c>
      <c r="E5" s="239"/>
      <c r="F5" s="33"/>
      <c r="G5" s="33"/>
      <c r="H5" s="33"/>
      <c r="I5" s="33"/>
      <c r="J5" s="33"/>
      <c r="K5" s="33"/>
      <c r="L5" s="33"/>
      <c r="M5" s="33"/>
      <c r="N5" s="33"/>
      <c r="O5" s="33"/>
      <c r="P5" s="33"/>
      <c r="Q5" s="33"/>
      <c r="R5" s="33"/>
      <c r="S5" s="33"/>
      <c r="T5" s="26"/>
    </row>
    <row r="6" spans="1:37" ht="15" customHeight="1" x14ac:dyDescent="0.25">
      <c r="B6" s="98"/>
      <c r="C6" s="33"/>
      <c r="D6" s="33"/>
      <c r="E6" s="33"/>
      <c r="F6" s="33"/>
      <c r="G6" s="33"/>
      <c r="H6" s="33"/>
      <c r="I6" s="33"/>
      <c r="J6" s="33"/>
      <c r="K6" s="33"/>
      <c r="L6" s="33"/>
      <c r="M6" s="33"/>
      <c r="N6" s="33"/>
      <c r="O6" s="33"/>
      <c r="P6" s="33"/>
      <c r="Q6" s="33"/>
      <c r="R6" s="33"/>
      <c r="S6" s="33"/>
      <c r="T6" s="26"/>
      <c r="AK6" s="45"/>
    </row>
    <row r="7" spans="1:37"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37" ht="15" customHeight="1" x14ac:dyDescent="0.25">
      <c r="B8" s="98"/>
      <c r="C8" s="15" t="s">
        <v>33</v>
      </c>
      <c r="D8" s="17" t="s">
        <v>3</v>
      </c>
      <c r="E8" s="19">
        <v>4.8732999999999999E-2</v>
      </c>
      <c r="F8" s="33"/>
      <c r="G8" s="33"/>
      <c r="H8" s="33"/>
      <c r="I8" s="33"/>
      <c r="J8" s="33"/>
      <c r="K8" s="33"/>
      <c r="L8" s="33"/>
      <c r="M8" s="33"/>
      <c r="N8" s="33"/>
      <c r="O8" s="33"/>
      <c r="P8" s="33"/>
      <c r="Q8" s="33"/>
      <c r="R8" s="33"/>
      <c r="S8" s="33"/>
      <c r="T8" s="26"/>
      <c r="W8" s="77" t="s">
        <v>3</v>
      </c>
      <c r="X8" s="153">
        <v>0.17317699999999997</v>
      </c>
    </row>
    <row r="9" spans="1:37" ht="15.75" customHeight="1" x14ac:dyDescent="0.25">
      <c r="B9" s="98"/>
      <c r="C9" s="16" t="s">
        <v>37</v>
      </c>
      <c r="D9" s="18" t="s">
        <v>3</v>
      </c>
      <c r="E9" s="20">
        <v>3.6179000000000003E-2</v>
      </c>
      <c r="F9" s="33"/>
      <c r="G9" s="33"/>
      <c r="H9" s="33"/>
      <c r="I9" s="33"/>
      <c r="J9" s="33"/>
      <c r="K9" s="33"/>
      <c r="L9" s="33"/>
      <c r="M9" s="33"/>
      <c r="N9" s="33"/>
      <c r="O9" s="33"/>
      <c r="P9" s="33"/>
      <c r="Q9" s="33"/>
      <c r="R9" s="33"/>
      <c r="S9" s="33"/>
      <c r="T9" s="26"/>
      <c r="W9" s="77" t="s">
        <v>142</v>
      </c>
      <c r="X9" s="79">
        <v>7.9062999999999994E-2</v>
      </c>
    </row>
    <row r="10" spans="1:37" ht="15" customHeight="1" x14ac:dyDescent="0.25">
      <c r="B10" s="98"/>
      <c r="C10" s="16" t="s">
        <v>86</v>
      </c>
      <c r="D10" s="18" t="s">
        <v>11</v>
      </c>
      <c r="E10" s="20">
        <v>3.1389E-2</v>
      </c>
      <c r="F10" s="33"/>
      <c r="G10" s="33"/>
      <c r="H10" s="33"/>
      <c r="I10" s="33"/>
      <c r="J10" s="33"/>
      <c r="K10" s="33"/>
      <c r="L10" s="33"/>
      <c r="M10" s="33"/>
      <c r="N10" s="33"/>
      <c r="O10" s="33"/>
      <c r="P10" s="33"/>
      <c r="Q10" s="33"/>
      <c r="R10" s="33"/>
      <c r="S10" s="33"/>
      <c r="T10" s="26"/>
      <c r="W10" s="77" t="s">
        <v>137</v>
      </c>
      <c r="X10" s="79">
        <v>6.999699999999999E-2</v>
      </c>
    </row>
    <row r="11" spans="1:37" ht="15" customHeight="1" x14ac:dyDescent="0.25">
      <c r="B11" s="98"/>
      <c r="C11" s="16" t="s">
        <v>31</v>
      </c>
      <c r="D11" s="18" t="s">
        <v>148</v>
      </c>
      <c r="E11" s="20">
        <v>2.9385000000000001E-2</v>
      </c>
      <c r="F11" s="33"/>
      <c r="G11" s="33"/>
      <c r="H11" s="33"/>
      <c r="I11" s="33"/>
      <c r="J11" s="33"/>
      <c r="K11" s="33"/>
      <c r="L11" s="33"/>
      <c r="M11" s="33"/>
      <c r="N11" s="33"/>
      <c r="O11" s="33"/>
      <c r="P11" s="33"/>
      <c r="Q11" s="33"/>
      <c r="R11" s="33"/>
      <c r="S11" s="33"/>
      <c r="T11" s="26"/>
      <c r="W11" s="77" t="s">
        <v>4</v>
      </c>
      <c r="X11" s="79">
        <v>4.8354000000000001E-2</v>
      </c>
    </row>
    <row r="12" spans="1:37" ht="15" customHeight="1" x14ac:dyDescent="0.25">
      <c r="B12" s="98"/>
      <c r="C12" s="16" t="s">
        <v>117</v>
      </c>
      <c r="D12" s="18" t="s">
        <v>150</v>
      </c>
      <c r="E12" s="20">
        <v>2.5864999999999999E-2</v>
      </c>
      <c r="F12" s="33"/>
      <c r="G12" s="33"/>
      <c r="H12" s="33"/>
      <c r="I12" s="33"/>
      <c r="J12" s="33"/>
      <c r="K12" s="33"/>
      <c r="L12" s="33"/>
      <c r="M12" s="33"/>
      <c r="N12" s="33"/>
      <c r="O12" s="33"/>
      <c r="P12" s="33"/>
      <c r="Q12" s="33"/>
      <c r="R12" s="33"/>
      <c r="S12" s="33"/>
      <c r="T12" s="26"/>
      <c r="W12" s="77" t="s">
        <v>140</v>
      </c>
      <c r="X12" s="79">
        <v>4.7969999999999999E-2</v>
      </c>
    </row>
    <row r="13" spans="1:37" ht="15.75" customHeight="1" x14ac:dyDescent="0.25">
      <c r="B13" s="98"/>
      <c r="C13" s="16" t="s">
        <v>133</v>
      </c>
      <c r="D13" s="18" t="s">
        <v>156</v>
      </c>
      <c r="E13" s="20">
        <v>2.5266E-2</v>
      </c>
      <c r="F13" s="33"/>
      <c r="G13" s="33"/>
      <c r="H13" s="33"/>
      <c r="I13" s="33"/>
      <c r="J13" s="33"/>
      <c r="K13" s="33"/>
      <c r="L13" s="33"/>
      <c r="M13" s="33"/>
      <c r="N13" s="33"/>
      <c r="O13" s="33"/>
      <c r="P13" s="33"/>
      <c r="Q13" s="33"/>
      <c r="R13" s="33"/>
      <c r="S13" s="33"/>
      <c r="T13" s="26"/>
      <c r="W13" s="77" t="s">
        <v>150</v>
      </c>
      <c r="X13" s="79">
        <v>4.7281999999999998E-2</v>
      </c>
    </row>
    <row r="14" spans="1:37" ht="15" customHeight="1" x14ac:dyDescent="0.25">
      <c r="B14" s="98"/>
      <c r="C14" s="16" t="s">
        <v>95</v>
      </c>
      <c r="D14" s="18" t="s">
        <v>3</v>
      </c>
      <c r="E14" s="20">
        <v>2.5082E-2</v>
      </c>
      <c r="F14" s="33"/>
      <c r="G14" s="33"/>
      <c r="H14" s="33"/>
      <c r="I14" s="33"/>
      <c r="J14" s="33"/>
      <c r="K14" s="33"/>
      <c r="L14" s="33"/>
      <c r="M14" s="33"/>
      <c r="N14" s="33"/>
      <c r="O14" s="33"/>
      <c r="P14" s="33"/>
      <c r="Q14" s="33"/>
      <c r="R14" s="33"/>
      <c r="S14" s="33"/>
      <c r="T14" s="26"/>
      <c r="W14" s="77" t="s">
        <v>11</v>
      </c>
      <c r="X14" s="79">
        <v>4.5642000000000002E-2</v>
      </c>
    </row>
    <row r="15" spans="1:37" ht="15" customHeight="1" x14ac:dyDescent="0.25">
      <c r="B15" s="98"/>
      <c r="C15" s="16" t="s">
        <v>29</v>
      </c>
      <c r="D15" s="18" t="s">
        <v>3</v>
      </c>
      <c r="E15" s="20">
        <v>2.4666E-2</v>
      </c>
      <c r="F15" s="33"/>
      <c r="G15" s="33"/>
      <c r="H15" s="33"/>
      <c r="I15" s="33"/>
      <c r="J15" s="33"/>
      <c r="K15" s="33"/>
      <c r="L15" s="33"/>
      <c r="M15" s="33"/>
      <c r="N15" s="33"/>
      <c r="O15" s="33"/>
      <c r="P15" s="33"/>
      <c r="Q15" s="33"/>
      <c r="R15" s="33"/>
      <c r="S15" s="33"/>
      <c r="T15" s="26"/>
      <c r="W15" s="77" t="s">
        <v>6</v>
      </c>
      <c r="X15" s="79">
        <v>3.7759000000000001E-2</v>
      </c>
    </row>
    <row r="16" spans="1:37" ht="15" customHeight="1" x14ac:dyDescent="0.25">
      <c r="B16" s="98"/>
      <c r="C16" s="16" t="s">
        <v>34</v>
      </c>
      <c r="D16" s="18" t="s">
        <v>137</v>
      </c>
      <c r="E16" s="20">
        <v>2.4565E-2</v>
      </c>
      <c r="F16" s="33"/>
      <c r="G16" s="33"/>
      <c r="H16" s="33"/>
      <c r="I16" s="33"/>
      <c r="J16" s="33"/>
      <c r="K16" s="33"/>
      <c r="L16" s="33"/>
      <c r="M16" s="33"/>
      <c r="N16" s="33"/>
      <c r="O16" s="33"/>
      <c r="P16" s="33"/>
      <c r="Q16" s="33"/>
      <c r="R16" s="33"/>
      <c r="S16" s="33"/>
      <c r="T16" s="26"/>
      <c r="W16" s="77" t="s">
        <v>100</v>
      </c>
      <c r="X16" s="79">
        <v>3.2851999999999999E-2</v>
      </c>
    </row>
    <row r="17" spans="2:24" ht="15" customHeight="1" x14ac:dyDescent="0.25">
      <c r="B17" s="98"/>
      <c r="C17" s="16" t="s">
        <v>129</v>
      </c>
      <c r="D17" s="18" t="s">
        <v>4</v>
      </c>
      <c r="E17" s="20">
        <v>2.2971999999999999E-2</v>
      </c>
      <c r="F17" s="33"/>
      <c r="G17" s="33"/>
      <c r="H17" s="33"/>
      <c r="I17" s="33"/>
      <c r="J17" s="33"/>
      <c r="K17" s="33"/>
      <c r="L17" s="33"/>
      <c r="M17" s="33"/>
      <c r="N17" s="33"/>
      <c r="O17" s="33"/>
      <c r="P17" s="33"/>
      <c r="Q17" s="33"/>
      <c r="R17" s="33"/>
      <c r="S17" s="33"/>
      <c r="T17" s="26"/>
      <c r="W17" s="77" t="s">
        <v>24</v>
      </c>
      <c r="X17" s="79">
        <v>3.2035000000000001E-2</v>
      </c>
    </row>
    <row r="18" spans="2:24" ht="15" customHeight="1" x14ac:dyDescent="0.25">
      <c r="B18" s="98"/>
      <c r="C18" s="16" t="s">
        <v>32</v>
      </c>
      <c r="D18" s="18" t="s">
        <v>6</v>
      </c>
      <c r="E18" s="20">
        <v>2.2325999999999999E-2</v>
      </c>
      <c r="F18" s="33"/>
      <c r="G18" s="33"/>
      <c r="H18" s="33"/>
      <c r="I18" s="33"/>
      <c r="J18" s="33"/>
      <c r="K18" s="33"/>
      <c r="L18" s="33"/>
      <c r="M18" s="33"/>
      <c r="N18" s="33"/>
      <c r="O18" s="33"/>
      <c r="P18" s="33"/>
      <c r="Q18" s="33"/>
      <c r="R18" s="33"/>
      <c r="S18" s="33"/>
      <c r="T18" s="26"/>
      <c r="W18" s="77" t="s">
        <v>99</v>
      </c>
      <c r="X18" s="79">
        <v>3.0919000000000002E-2</v>
      </c>
    </row>
    <row r="19" spans="2:24" ht="15" customHeight="1" x14ac:dyDescent="0.25">
      <c r="B19" s="98"/>
      <c r="C19" s="16" t="s">
        <v>173</v>
      </c>
      <c r="D19" s="18" t="s">
        <v>140</v>
      </c>
      <c r="E19" s="20">
        <v>2.2113000000000001E-2</v>
      </c>
      <c r="F19" s="33"/>
      <c r="G19" s="33"/>
      <c r="H19" s="33"/>
      <c r="I19" s="33"/>
      <c r="J19" s="33"/>
      <c r="K19" s="33"/>
      <c r="L19" s="33"/>
      <c r="M19" s="33"/>
      <c r="N19" s="33"/>
      <c r="O19" s="33"/>
      <c r="P19" s="33"/>
      <c r="Q19" s="33"/>
      <c r="R19" s="33"/>
      <c r="S19" s="33"/>
      <c r="T19" s="26"/>
      <c r="W19" s="77" t="s">
        <v>143</v>
      </c>
      <c r="X19" s="79">
        <v>2.989E-2</v>
      </c>
    </row>
    <row r="20" spans="2:24" ht="15" customHeight="1" x14ac:dyDescent="0.25">
      <c r="B20" s="98"/>
      <c r="C20" s="16" t="s">
        <v>112</v>
      </c>
      <c r="D20" s="18" t="s">
        <v>100</v>
      </c>
      <c r="E20" s="20">
        <v>2.1746000000000001E-2</v>
      </c>
      <c r="F20" s="33"/>
      <c r="G20" s="33"/>
      <c r="H20" s="33"/>
      <c r="I20" s="33"/>
      <c r="J20" s="33"/>
      <c r="K20" s="33"/>
      <c r="L20" s="33"/>
      <c r="M20" s="33"/>
      <c r="N20" s="33"/>
      <c r="O20" s="33"/>
      <c r="P20" s="33"/>
      <c r="Q20" s="33"/>
      <c r="R20" s="33"/>
      <c r="S20" s="33"/>
      <c r="T20" s="26"/>
      <c r="W20" s="77" t="s">
        <v>148</v>
      </c>
      <c r="X20" s="79">
        <v>2.9385000000000001E-2</v>
      </c>
    </row>
    <row r="21" spans="2:24" ht="15" customHeight="1" x14ac:dyDescent="0.25">
      <c r="B21" s="98"/>
      <c r="C21" s="16" t="s">
        <v>211</v>
      </c>
      <c r="D21" s="18" t="s">
        <v>23</v>
      </c>
      <c r="E21" s="20">
        <v>2.1544000000000001E-2</v>
      </c>
      <c r="F21" s="33"/>
      <c r="G21" s="33"/>
      <c r="H21" s="33"/>
      <c r="I21" s="33"/>
      <c r="J21" s="33"/>
      <c r="K21" s="33"/>
      <c r="L21" s="33"/>
      <c r="M21" s="33"/>
      <c r="N21" s="33"/>
      <c r="O21" s="33"/>
      <c r="P21" s="33"/>
      <c r="Q21" s="33"/>
      <c r="R21" s="33"/>
      <c r="S21" s="33"/>
      <c r="T21" s="26"/>
      <c r="W21" s="77" t="s">
        <v>16</v>
      </c>
      <c r="X21" s="79">
        <v>2.7874999999999997E-2</v>
      </c>
    </row>
    <row r="22" spans="2:24" ht="15" customHeight="1" x14ac:dyDescent="0.25">
      <c r="B22" s="98"/>
      <c r="C22" s="16" t="s">
        <v>200</v>
      </c>
      <c r="D22" s="18" t="s">
        <v>150</v>
      </c>
      <c r="E22" s="20">
        <v>2.1416999999999999E-2</v>
      </c>
      <c r="F22" s="33"/>
      <c r="G22" s="33"/>
      <c r="H22" s="33"/>
      <c r="I22" s="33"/>
      <c r="J22" s="33"/>
      <c r="K22" s="33"/>
      <c r="L22" s="33"/>
      <c r="M22" s="33"/>
      <c r="N22" s="33"/>
      <c r="O22" s="33"/>
      <c r="P22" s="33"/>
      <c r="Q22" s="33"/>
      <c r="R22" s="33"/>
      <c r="S22" s="33"/>
      <c r="T22" s="26"/>
      <c r="W22" s="77" t="s">
        <v>136</v>
      </c>
      <c r="X22" s="79">
        <v>2.6201000000000002E-2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156</v>
      </c>
      <c r="X23" s="79">
        <v>2.5266E-2</v>
      </c>
    </row>
    <row r="24" spans="2:24" ht="15" customHeight="1" x14ac:dyDescent="0.25">
      <c r="B24" s="98"/>
      <c r="C24" s="92" t="s">
        <v>56</v>
      </c>
      <c r="D24" s="93"/>
      <c r="E24" s="103">
        <f>SUM(E8:E22)</f>
        <v>0.403248</v>
      </c>
      <c r="F24" s="33"/>
      <c r="G24" s="33"/>
      <c r="H24" s="33"/>
      <c r="I24" s="33"/>
      <c r="J24" s="33"/>
      <c r="K24" s="33"/>
      <c r="L24" s="33"/>
      <c r="M24" s="33"/>
      <c r="N24" s="33"/>
      <c r="O24" s="33"/>
      <c r="P24" s="33"/>
      <c r="Q24" s="33"/>
      <c r="R24" s="33"/>
      <c r="S24" s="33"/>
      <c r="T24" s="26"/>
      <c r="W24" s="77" t="s">
        <v>23</v>
      </c>
      <c r="X24" s="79">
        <v>2.1544000000000001E-2</v>
      </c>
    </row>
    <row r="25" spans="2:24" ht="15" customHeight="1" x14ac:dyDescent="0.25">
      <c r="B25" s="98"/>
      <c r="C25" s="63"/>
      <c r="D25" s="63"/>
      <c r="E25" s="63"/>
      <c r="F25" s="33"/>
      <c r="G25" s="33"/>
      <c r="H25" s="33"/>
      <c r="I25" s="33"/>
      <c r="J25" s="33"/>
      <c r="K25" s="33"/>
      <c r="L25" s="33"/>
      <c r="M25" s="33"/>
      <c r="N25" s="33"/>
      <c r="O25" s="33"/>
      <c r="P25" s="33"/>
      <c r="Q25" s="33"/>
      <c r="R25" s="33"/>
      <c r="S25" s="33"/>
      <c r="T25" s="26"/>
      <c r="W25" s="77" t="s">
        <v>102</v>
      </c>
      <c r="X25" s="79">
        <v>1.9668000000000001E-2</v>
      </c>
    </row>
    <row r="26" spans="2:24" ht="15" customHeight="1" x14ac:dyDescent="0.25">
      <c r="B26" s="98"/>
      <c r="C26" s="104"/>
      <c r="D26" s="107"/>
      <c r="E26" s="195"/>
      <c r="F26" s="33"/>
      <c r="G26" s="33"/>
      <c r="H26" s="33"/>
      <c r="I26" s="33"/>
      <c r="J26" s="33"/>
      <c r="K26" s="33"/>
      <c r="L26" s="33"/>
      <c r="M26" s="33"/>
      <c r="N26" s="33"/>
      <c r="O26" s="33"/>
      <c r="P26" s="33"/>
      <c r="Q26" s="33"/>
      <c r="R26" s="33"/>
      <c r="S26" s="33"/>
      <c r="T26" s="26"/>
      <c r="W26" s="77" t="s">
        <v>152</v>
      </c>
      <c r="X26" s="79">
        <v>1.8546E-2</v>
      </c>
    </row>
    <row r="27" spans="2:24" ht="15" customHeight="1" x14ac:dyDescent="0.25">
      <c r="B27" s="98"/>
      <c r="F27" s="33"/>
      <c r="G27" s="33"/>
      <c r="H27" s="33"/>
      <c r="I27" s="33"/>
      <c r="J27" s="33"/>
      <c r="K27" s="33"/>
      <c r="L27" s="33"/>
      <c r="M27" s="33"/>
      <c r="N27" s="33"/>
      <c r="O27" s="33"/>
      <c r="P27" s="33"/>
      <c r="Q27" s="33"/>
      <c r="R27" s="33"/>
      <c r="S27" s="33"/>
      <c r="T27" s="26"/>
      <c r="W27" s="77" t="s">
        <v>10</v>
      </c>
      <c r="X27" s="79">
        <v>1.6771000000000001E-2</v>
      </c>
    </row>
    <row r="28" spans="2:24" ht="15" customHeight="1" x14ac:dyDescent="0.25">
      <c r="B28" s="98"/>
      <c r="F28" s="33"/>
      <c r="G28" s="33"/>
      <c r="H28" s="33"/>
      <c r="I28" s="33"/>
      <c r="J28" s="33"/>
      <c r="K28" s="33"/>
      <c r="L28" s="33"/>
      <c r="M28" s="33"/>
      <c r="N28" s="33"/>
      <c r="O28" s="33"/>
      <c r="P28" s="33"/>
      <c r="Q28" s="33"/>
      <c r="R28" s="33"/>
      <c r="S28" s="33"/>
      <c r="T28" s="26"/>
      <c r="W28" s="77" t="s">
        <v>138</v>
      </c>
      <c r="X28" s="79">
        <v>1.5897999999999999E-2</v>
      </c>
    </row>
    <row r="29" spans="2:24" ht="15" customHeight="1" x14ac:dyDescent="0.25">
      <c r="B29" s="98"/>
      <c r="F29" s="33"/>
      <c r="G29" s="33"/>
      <c r="H29" s="33"/>
      <c r="I29" s="33"/>
      <c r="J29" s="33"/>
      <c r="K29" s="33"/>
      <c r="L29" s="33"/>
      <c r="M29" s="33"/>
      <c r="N29" s="33"/>
      <c r="O29" s="33"/>
      <c r="P29" s="33"/>
      <c r="Q29" s="33"/>
      <c r="R29" s="33"/>
      <c r="S29" s="33"/>
      <c r="T29" s="26"/>
      <c r="W29" s="77" t="s">
        <v>147</v>
      </c>
      <c r="X29" s="79">
        <v>1.5883000000000001E-2</v>
      </c>
    </row>
    <row r="30" spans="2:24" ht="15" customHeight="1" x14ac:dyDescent="0.25">
      <c r="B30" s="98"/>
      <c r="F30" s="33"/>
      <c r="G30" s="33"/>
      <c r="H30" s="33"/>
      <c r="I30" s="33"/>
      <c r="J30" s="33"/>
      <c r="K30" s="33"/>
      <c r="L30" s="33"/>
      <c r="M30" s="33"/>
      <c r="N30" s="33"/>
      <c r="O30" s="33"/>
      <c r="P30" s="33"/>
      <c r="Q30" s="33"/>
      <c r="R30" s="33"/>
      <c r="S30" s="33"/>
      <c r="T30" s="26"/>
      <c r="W30" s="77" t="s">
        <v>25</v>
      </c>
      <c r="X30" s="79">
        <v>1.5847E-2</v>
      </c>
    </row>
    <row r="31" spans="2:24" ht="15" customHeight="1" x14ac:dyDescent="0.25">
      <c r="B31" s="98"/>
      <c r="F31" s="33"/>
      <c r="G31" s="33"/>
      <c r="H31" s="33"/>
      <c r="I31" s="33"/>
      <c r="J31" s="33"/>
      <c r="K31" s="33"/>
      <c r="L31" s="33"/>
      <c r="M31" s="33"/>
      <c r="N31" s="33"/>
      <c r="O31" s="33"/>
      <c r="P31" s="33"/>
      <c r="Q31" s="33"/>
      <c r="R31" s="33"/>
      <c r="S31" s="33"/>
      <c r="T31" s="26"/>
      <c r="W31" s="77" t="s">
        <v>153</v>
      </c>
      <c r="X31" s="79">
        <v>1.4451E-2</v>
      </c>
    </row>
    <row r="32" spans="2:24" ht="15" customHeight="1" x14ac:dyDescent="0.25">
      <c r="B32" s="98"/>
      <c r="F32" s="33"/>
      <c r="G32" s="33"/>
      <c r="H32" s="33"/>
      <c r="I32" s="33"/>
      <c r="J32" s="33"/>
      <c r="K32" s="33"/>
      <c r="L32" s="33"/>
      <c r="M32" s="33"/>
      <c r="N32" s="33"/>
      <c r="O32" s="33"/>
      <c r="P32" s="33"/>
      <c r="Q32" s="33"/>
      <c r="R32" s="33"/>
      <c r="S32" s="33"/>
      <c r="T32" s="26"/>
      <c r="W32" s="77" t="s">
        <v>13</v>
      </c>
      <c r="X32" s="79">
        <v>1.1573999999999999E-2</v>
      </c>
    </row>
    <row r="33" spans="2:24" ht="15" customHeight="1" thickBot="1" x14ac:dyDescent="0.3">
      <c r="B33" s="99"/>
      <c r="C33" s="100"/>
      <c r="D33" s="100"/>
      <c r="E33" s="100"/>
      <c r="F33" s="100"/>
      <c r="G33" s="100"/>
      <c r="H33" s="100"/>
      <c r="I33" s="100"/>
      <c r="J33" s="100"/>
      <c r="K33" s="100"/>
      <c r="L33" s="100"/>
      <c r="M33" s="100"/>
      <c r="N33" s="100"/>
      <c r="O33" s="100"/>
      <c r="P33" s="100"/>
      <c r="Q33" s="100"/>
      <c r="R33" s="100"/>
      <c r="S33" s="100"/>
      <c r="T33" s="27"/>
      <c r="W33" s="77" t="s">
        <v>26</v>
      </c>
      <c r="X33" s="79">
        <v>8.4910000000000003E-3</v>
      </c>
    </row>
    <row r="34" spans="2:24" ht="15" customHeight="1" thickBot="1" x14ac:dyDescent="0.3">
      <c r="W34" s="45" t="s">
        <v>146</v>
      </c>
      <c r="X34" s="79">
        <v>8.1469999999999997E-3</v>
      </c>
    </row>
    <row r="35" spans="2:24" ht="15" customHeight="1" x14ac:dyDescent="0.25">
      <c r="B35" s="226" t="s">
        <v>254</v>
      </c>
      <c r="C35" s="227"/>
      <c r="D35" s="227"/>
      <c r="E35" s="227"/>
      <c r="F35" s="227"/>
      <c r="G35" s="227"/>
      <c r="H35" s="227"/>
      <c r="I35" s="227"/>
      <c r="J35" s="227"/>
      <c r="K35" s="227"/>
      <c r="L35" s="227"/>
      <c r="M35" s="227"/>
      <c r="N35" s="227"/>
      <c r="O35" s="227"/>
      <c r="P35" s="227"/>
      <c r="Q35" s="227"/>
      <c r="R35" s="228"/>
      <c r="X35" s="79"/>
    </row>
    <row r="36" spans="2:24" ht="15" customHeight="1" x14ac:dyDescent="0.25">
      <c r="B36" s="229"/>
      <c r="C36" s="230"/>
      <c r="D36" s="230"/>
      <c r="E36" s="230"/>
      <c r="F36" s="230"/>
      <c r="G36" s="230"/>
      <c r="H36" s="230"/>
      <c r="I36" s="230"/>
      <c r="J36" s="230"/>
      <c r="K36" s="230"/>
      <c r="L36" s="230"/>
      <c r="M36" s="230"/>
      <c r="N36" s="230"/>
      <c r="O36" s="230"/>
      <c r="P36" s="230"/>
      <c r="Q36" s="230"/>
      <c r="R36" s="231"/>
    </row>
    <row r="37" spans="2:24" ht="15" customHeight="1" x14ac:dyDescent="0.25">
      <c r="B37" s="229"/>
      <c r="C37" s="230"/>
      <c r="D37" s="230"/>
      <c r="E37" s="230"/>
      <c r="F37" s="230"/>
      <c r="G37" s="230"/>
      <c r="H37" s="230"/>
      <c r="I37" s="230"/>
      <c r="J37" s="230"/>
      <c r="K37" s="230"/>
      <c r="L37" s="230"/>
      <c r="M37" s="230"/>
      <c r="N37" s="230"/>
      <c r="O37" s="230"/>
      <c r="P37" s="230"/>
      <c r="Q37" s="230"/>
      <c r="R37" s="231"/>
    </row>
    <row r="38" spans="2:24" ht="15" customHeight="1" x14ac:dyDescent="0.25">
      <c r="B38" s="229"/>
      <c r="C38" s="230"/>
      <c r="D38" s="230"/>
      <c r="E38" s="230"/>
      <c r="F38" s="230"/>
      <c r="G38" s="230"/>
      <c r="H38" s="230"/>
      <c r="I38" s="230"/>
      <c r="J38" s="230"/>
      <c r="K38" s="230"/>
      <c r="L38" s="230"/>
      <c r="M38" s="230"/>
      <c r="N38" s="230"/>
      <c r="O38" s="230"/>
      <c r="P38" s="230"/>
      <c r="Q38" s="230"/>
      <c r="R38" s="231"/>
    </row>
    <row r="39" spans="2:24" ht="15" customHeight="1" x14ac:dyDescent="0.25">
      <c r="B39" s="229"/>
      <c r="C39" s="230"/>
      <c r="D39" s="230"/>
      <c r="E39" s="230"/>
      <c r="F39" s="230"/>
      <c r="G39" s="230"/>
      <c r="H39" s="230"/>
      <c r="I39" s="230"/>
      <c r="J39" s="230"/>
      <c r="K39" s="230"/>
      <c r="L39" s="230"/>
      <c r="M39" s="230"/>
      <c r="N39" s="230"/>
      <c r="O39" s="230"/>
      <c r="P39" s="230"/>
      <c r="Q39" s="230"/>
      <c r="R39" s="231"/>
    </row>
    <row r="40" spans="2:24" ht="15" customHeight="1" x14ac:dyDescent="0.25">
      <c r="B40" s="229"/>
      <c r="C40" s="230"/>
      <c r="D40" s="230"/>
      <c r="E40" s="230"/>
      <c r="F40" s="230"/>
      <c r="G40" s="230"/>
      <c r="H40" s="230"/>
      <c r="I40" s="230"/>
      <c r="J40" s="230"/>
      <c r="K40" s="230"/>
      <c r="L40" s="230"/>
      <c r="M40" s="230"/>
      <c r="N40" s="230"/>
      <c r="O40" s="230"/>
      <c r="P40" s="230"/>
      <c r="Q40" s="230"/>
      <c r="R40" s="231"/>
    </row>
    <row r="41" spans="2:24" ht="15" customHeight="1" thickBot="1" x14ac:dyDescent="0.3">
      <c r="B41" s="232"/>
      <c r="C41" s="233"/>
      <c r="D41" s="233"/>
      <c r="E41" s="233"/>
      <c r="F41" s="233"/>
      <c r="G41" s="233"/>
      <c r="H41" s="233"/>
      <c r="I41" s="233"/>
      <c r="J41" s="233"/>
      <c r="K41" s="233"/>
      <c r="L41" s="233"/>
      <c r="M41" s="233"/>
      <c r="N41" s="233"/>
      <c r="O41" s="233"/>
      <c r="P41" s="233"/>
      <c r="Q41" s="233"/>
      <c r="R41" s="234"/>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5" t="s">
        <v>244</v>
      </c>
      <c r="D3" s="236"/>
      <c r="E3" s="236"/>
      <c r="F3" s="236"/>
      <c r="G3" s="236"/>
      <c r="H3" s="236"/>
      <c r="I3" s="236"/>
      <c r="J3" s="236"/>
      <c r="K3" s="236"/>
      <c r="L3" s="236"/>
      <c r="M3" s="236"/>
      <c r="N3" s="236"/>
      <c r="O3" s="236"/>
      <c r="P3" s="236"/>
      <c r="Q3" s="236"/>
      <c r="R3" s="236"/>
      <c r="S3" s="236"/>
      <c r="T3" s="26"/>
      <c r="V3" s="46"/>
      <c r="W3" s="46"/>
      <c r="X3" s="46"/>
      <c r="Y3" s="46"/>
      <c r="Z3" s="46"/>
      <c r="AA3" s="46"/>
    </row>
    <row r="4" spans="1:27" ht="15.75" customHeight="1" x14ac:dyDescent="0.25">
      <c r="B4" s="98"/>
      <c r="C4" s="85" t="s">
        <v>273</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274</v>
      </c>
      <c r="D5" s="237" t="s">
        <v>280</v>
      </c>
      <c r="E5" s="237"/>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4.5926000000000002E-2</v>
      </c>
      <c r="F8" s="33"/>
      <c r="G8" s="33"/>
      <c r="H8" s="33"/>
      <c r="I8" s="33"/>
      <c r="J8" s="33"/>
      <c r="K8" s="33"/>
      <c r="L8" s="33"/>
      <c r="M8" s="33"/>
      <c r="N8" s="33"/>
      <c r="O8" s="33"/>
      <c r="P8" s="33"/>
      <c r="Q8" s="33"/>
      <c r="R8" s="33"/>
      <c r="S8" s="33"/>
      <c r="T8" s="26"/>
      <c r="V8" s="191"/>
      <c r="W8" s="77" t="s">
        <v>24</v>
      </c>
      <c r="X8" s="79">
        <v>0.12624400000000002</v>
      </c>
      <c r="Y8" s="191"/>
      <c r="Z8" s="46"/>
      <c r="AA8" s="46"/>
    </row>
    <row r="9" spans="1:27" ht="15.75" customHeight="1" x14ac:dyDescent="0.25">
      <c r="B9" s="98"/>
      <c r="C9" s="16" t="s">
        <v>300</v>
      </c>
      <c r="D9" s="18" t="s">
        <v>147</v>
      </c>
      <c r="E9" s="21">
        <v>3.6253000000000001E-2</v>
      </c>
      <c r="F9" s="33"/>
      <c r="G9" s="33"/>
      <c r="H9" s="33"/>
      <c r="I9" s="33"/>
      <c r="J9" s="33"/>
      <c r="K9" s="33"/>
      <c r="L9" s="33"/>
      <c r="M9" s="33"/>
      <c r="N9" s="33"/>
      <c r="O9" s="33"/>
      <c r="P9" s="33"/>
      <c r="Q9" s="33"/>
      <c r="R9" s="33"/>
      <c r="S9" s="33"/>
      <c r="T9" s="26"/>
      <c r="V9" s="191"/>
      <c r="W9" s="77" t="s">
        <v>3</v>
      </c>
      <c r="X9" s="79">
        <v>0.106819</v>
      </c>
      <c r="Y9" s="191"/>
      <c r="Z9" s="46"/>
      <c r="AA9" s="46"/>
    </row>
    <row r="10" spans="1:27" ht="15" customHeight="1" x14ac:dyDescent="0.25">
      <c r="B10" s="98"/>
      <c r="C10" s="16" t="s">
        <v>167</v>
      </c>
      <c r="D10" s="18" t="s">
        <v>143</v>
      </c>
      <c r="E10" s="21">
        <v>3.6160999999999999E-2</v>
      </c>
      <c r="F10" s="33"/>
      <c r="G10" s="33"/>
      <c r="H10" s="33"/>
      <c r="I10" s="33"/>
      <c r="J10" s="33"/>
      <c r="K10" s="33"/>
      <c r="L10" s="33"/>
      <c r="M10" s="33"/>
      <c r="N10" s="33"/>
      <c r="O10" s="33"/>
      <c r="P10" s="33"/>
      <c r="Q10" s="33"/>
      <c r="R10" s="33"/>
      <c r="S10" s="33"/>
      <c r="T10" s="26"/>
      <c r="V10" s="191"/>
      <c r="W10" s="77" t="s">
        <v>140</v>
      </c>
      <c r="X10" s="79">
        <v>0.10462399999999999</v>
      </c>
      <c r="Y10" s="191"/>
      <c r="Z10" s="46"/>
      <c r="AA10" s="46"/>
    </row>
    <row r="11" spans="1:27" ht="15" customHeight="1" x14ac:dyDescent="0.25">
      <c r="B11" s="98"/>
      <c r="C11" s="16" t="s">
        <v>178</v>
      </c>
      <c r="D11" s="18" t="s">
        <v>24</v>
      </c>
      <c r="E11" s="21">
        <v>3.5272999999999999E-2</v>
      </c>
      <c r="F11" s="33"/>
      <c r="G11" s="33"/>
      <c r="H11" s="33"/>
      <c r="I11" s="33"/>
      <c r="J11" s="33"/>
      <c r="K11" s="33"/>
      <c r="L11" s="33"/>
      <c r="M11" s="33"/>
      <c r="N11" s="33"/>
      <c r="O11" s="33"/>
      <c r="P11" s="33"/>
      <c r="Q11" s="33"/>
      <c r="R11" s="33"/>
      <c r="S11" s="33"/>
      <c r="T11" s="26"/>
      <c r="V11" s="191"/>
      <c r="W11" s="77" t="s">
        <v>147</v>
      </c>
      <c r="X11" s="79">
        <v>0.10120899999999999</v>
      </c>
      <c r="Y11" s="191"/>
      <c r="Z11" s="46"/>
      <c r="AA11" s="46"/>
    </row>
    <row r="12" spans="1:27" ht="15" customHeight="1" x14ac:dyDescent="0.25">
      <c r="B12" s="98"/>
      <c r="C12" s="16" t="s">
        <v>301</v>
      </c>
      <c r="D12" s="18" t="s">
        <v>137</v>
      </c>
      <c r="E12" s="21">
        <v>3.2894E-2</v>
      </c>
      <c r="F12" s="33"/>
      <c r="G12" s="33"/>
      <c r="H12" s="33"/>
      <c r="I12" s="33"/>
      <c r="J12" s="33"/>
      <c r="K12" s="33"/>
      <c r="L12" s="33"/>
      <c r="M12" s="33"/>
      <c r="N12" s="33"/>
      <c r="O12" s="33"/>
      <c r="P12" s="33"/>
      <c r="Q12" s="33"/>
      <c r="R12" s="33"/>
      <c r="S12" s="33"/>
      <c r="T12" s="26"/>
      <c r="V12" s="191"/>
      <c r="W12" s="77" t="s">
        <v>137</v>
      </c>
      <c r="X12" s="79">
        <v>6.6010999999999986E-2</v>
      </c>
      <c r="Y12" s="191"/>
      <c r="Z12" s="46"/>
      <c r="AA12" s="46"/>
    </row>
    <row r="13" spans="1:27" ht="15" customHeight="1" x14ac:dyDescent="0.25">
      <c r="B13" s="98"/>
      <c r="C13" s="16" t="s">
        <v>209</v>
      </c>
      <c r="D13" s="18" t="s">
        <v>3</v>
      </c>
      <c r="E13" s="21">
        <v>3.1807000000000002E-2</v>
      </c>
      <c r="F13" s="33"/>
      <c r="G13" s="33"/>
      <c r="H13" s="33"/>
      <c r="I13" s="33"/>
      <c r="J13" s="33"/>
      <c r="K13" s="33"/>
      <c r="L13" s="33"/>
      <c r="M13" s="33"/>
      <c r="N13" s="33"/>
      <c r="O13" s="33"/>
      <c r="P13" s="33"/>
      <c r="Q13" s="33"/>
      <c r="R13" s="33"/>
      <c r="S13" s="33"/>
      <c r="T13" s="26"/>
      <c r="V13" s="191"/>
      <c r="W13" s="77" t="s">
        <v>143</v>
      </c>
      <c r="X13" s="79">
        <v>5.5898999999999997E-2</v>
      </c>
      <c r="Y13" s="191"/>
      <c r="Z13" s="46"/>
      <c r="AA13" s="46"/>
    </row>
    <row r="14" spans="1:27" ht="15" customHeight="1" x14ac:dyDescent="0.25">
      <c r="B14" s="98"/>
      <c r="C14" s="16" t="s">
        <v>37</v>
      </c>
      <c r="D14" s="18" t="s">
        <v>3</v>
      </c>
      <c r="E14" s="21">
        <v>2.9086000000000001E-2</v>
      </c>
      <c r="F14" s="33"/>
      <c r="G14" s="33"/>
      <c r="H14" s="33"/>
      <c r="I14" s="33"/>
      <c r="J14" s="33"/>
      <c r="K14" s="33"/>
      <c r="L14" s="33"/>
      <c r="M14" s="33"/>
      <c r="N14" s="33"/>
      <c r="O14" s="33"/>
      <c r="P14" s="33"/>
      <c r="Q14" s="33"/>
      <c r="R14" s="33"/>
      <c r="S14" s="33"/>
      <c r="T14" s="26"/>
      <c r="V14" s="191"/>
      <c r="W14" s="77" t="s">
        <v>16</v>
      </c>
      <c r="X14" s="79">
        <v>4.7668000000000002E-2</v>
      </c>
      <c r="Y14" s="191"/>
      <c r="Z14" s="46"/>
      <c r="AA14" s="46"/>
    </row>
    <row r="15" spans="1:27" ht="15.75" customHeight="1" x14ac:dyDescent="0.25">
      <c r="B15" s="98"/>
      <c r="C15" s="16" t="s">
        <v>177</v>
      </c>
      <c r="D15" s="18" t="s">
        <v>26</v>
      </c>
      <c r="E15" s="21">
        <v>2.8494999999999999E-2</v>
      </c>
      <c r="F15" s="33"/>
      <c r="G15" s="33"/>
      <c r="H15" s="33"/>
      <c r="I15" s="33"/>
      <c r="J15" s="33"/>
      <c r="K15" s="33"/>
      <c r="L15" s="33"/>
      <c r="M15" s="33"/>
      <c r="N15" s="33"/>
      <c r="O15" s="33"/>
      <c r="P15" s="33"/>
      <c r="Q15" s="33"/>
      <c r="R15" s="33"/>
      <c r="S15" s="33"/>
      <c r="T15" s="26"/>
      <c r="V15" s="191"/>
      <c r="W15" s="77" t="s">
        <v>100</v>
      </c>
      <c r="X15" s="79">
        <v>4.6612000000000001E-2</v>
      </c>
      <c r="Y15" s="191"/>
      <c r="Z15" s="46"/>
      <c r="AA15" s="46"/>
    </row>
    <row r="16" spans="1:27" ht="15" customHeight="1" x14ac:dyDescent="0.25">
      <c r="B16" s="98"/>
      <c r="C16" s="16" t="s">
        <v>117</v>
      </c>
      <c r="D16" s="18" t="s">
        <v>150</v>
      </c>
      <c r="E16" s="21">
        <v>2.6585999999999999E-2</v>
      </c>
      <c r="F16" s="33"/>
      <c r="G16" s="33"/>
      <c r="H16" s="33"/>
      <c r="I16" s="33"/>
      <c r="J16" s="33"/>
      <c r="K16" s="33"/>
      <c r="L16" s="33"/>
      <c r="M16" s="33"/>
      <c r="N16" s="33"/>
      <c r="O16" s="33"/>
      <c r="P16" s="33"/>
      <c r="Q16" s="33"/>
      <c r="R16" s="33"/>
      <c r="S16" s="33"/>
      <c r="T16" s="26"/>
      <c r="V16" s="191"/>
      <c r="W16" s="77" t="s">
        <v>26</v>
      </c>
      <c r="X16" s="79">
        <v>4.4970999999999997E-2</v>
      </c>
      <c r="Y16" s="191"/>
      <c r="Z16" s="46"/>
      <c r="AA16" s="46"/>
    </row>
    <row r="17" spans="2:27" ht="15.75" customHeight="1" x14ac:dyDescent="0.25">
      <c r="B17" s="98"/>
      <c r="C17" s="16" t="s">
        <v>171</v>
      </c>
      <c r="D17" s="18" t="s">
        <v>140</v>
      </c>
      <c r="E17" s="21">
        <v>2.5575000000000001E-2</v>
      </c>
      <c r="F17" s="33"/>
      <c r="G17" s="33"/>
      <c r="H17" s="33"/>
      <c r="I17" s="33"/>
      <c r="J17" s="33"/>
      <c r="K17" s="33"/>
      <c r="L17" s="33"/>
      <c r="M17" s="33"/>
      <c r="N17" s="33"/>
      <c r="O17" s="33"/>
      <c r="P17" s="33"/>
      <c r="Q17" s="33"/>
      <c r="R17" s="33"/>
      <c r="S17" s="33"/>
      <c r="T17" s="26"/>
      <c r="V17" s="191"/>
      <c r="W17" s="77" t="s">
        <v>150</v>
      </c>
      <c r="X17" s="79">
        <v>4.3791999999999998E-2</v>
      </c>
      <c r="Y17" s="191"/>
      <c r="Z17" s="46"/>
      <c r="AA17" s="46"/>
    </row>
    <row r="18" spans="2:27" ht="15.75" x14ac:dyDescent="0.25">
      <c r="B18" s="98"/>
      <c r="C18" s="16" t="s">
        <v>173</v>
      </c>
      <c r="D18" s="18" t="s">
        <v>140</v>
      </c>
      <c r="E18" s="21">
        <v>2.5574E-2</v>
      </c>
      <c r="F18" s="33"/>
      <c r="G18" s="33"/>
      <c r="H18" s="33"/>
      <c r="I18" s="33"/>
      <c r="J18" s="33"/>
      <c r="K18" s="33"/>
      <c r="L18" s="33"/>
      <c r="M18" s="33"/>
      <c r="N18" s="33"/>
      <c r="O18" s="33"/>
      <c r="P18" s="33"/>
      <c r="Q18" s="33"/>
      <c r="R18" s="33"/>
      <c r="S18" s="33"/>
      <c r="T18" s="26"/>
      <c r="V18" s="191"/>
      <c r="W18" s="77" t="s">
        <v>142</v>
      </c>
      <c r="X18" s="79">
        <v>3.1308000000000002E-2</v>
      </c>
      <c r="Y18" s="191"/>
      <c r="Z18" s="46"/>
      <c r="AA18" s="46"/>
    </row>
    <row r="19" spans="2:27" ht="15.75" customHeight="1" x14ac:dyDescent="0.25">
      <c r="B19" s="98"/>
      <c r="C19" s="16" t="s">
        <v>112</v>
      </c>
      <c r="D19" s="18" t="s">
        <v>100</v>
      </c>
      <c r="E19" s="21">
        <v>2.5236999999999999E-2</v>
      </c>
      <c r="F19" s="33"/>
      <c r="G19" s="33"/>
      <c r="H19" s="33"/>
      <c r="I19" s="33"/>
      <c r="J19" s="33"/>
      <c r="K19" s="33"/>
      <c r="L19" s="33"/>
      <c r="M19" s="33"/>
      <c r="N19" s="33"/>
      <c r="O19" s="33"/>
      <c r="P19" s="33"/>
      <c r="Q19" s="33"/>
      <c r="R19" s="33"/>
      <c r="S19" s="33"/>
      <c r="T19" s="26"/>
      <c r="V19" s="191"/>
      <c r="W19" s="77" t="s">
        <v>136</v>
      </c>
      <c r="X19" s="79">
        <v>2.3866999999999999E-2</v>
      </c>
      <c r="Y19" s="191"/>
      <c r="Z19" s="46"/>
      <c r="AA19" s="46"/>
    </row>
    <row r="20" spans="2:27" ht="15" customHeight="1" x14ac:dyDescent="0.25">
      <c r="B20" s="98"/>
      <c r="C20" s="16" t="s">
        <v>217</v>
      </c>
      <c r="D20" s="18" t="s">
        <v>24</v>
      </c>
      <c r="E20" s="21">
        <v>2.2762000000000001E-2</v>
      </c>
      <c r="F20" s="33"/>
      <c r="G20" s="33"/>
      <c r="H20" s="33"/>
      <c r="I20" s="33"/>
      <c r="J20" s="33"/>
      <c r="K20" s="33"/>
      <c r="L20" s="33"/>
      <c r="M20" s="33"/>
      <c r="N20" s="33"/>
      <c r="O20" s="33"/>
      <c r="P20" s="33"/>
      <c r="Q20" s="33"/>
      <c r="R20" s="33"/>
      <c r="S20" s="33"/>
      <c r="T20" s="26"/>
      <c r="V20" s="191"/>
      <c r="W20" s="77" t="s">
        <v>12</v>
      </c>
      <c r="X20" s="79">
        <v>2.2492000000000002E-2</v>
      </c>
      <c r="Y20" s="191"/>
      <c r="Z20" s="46"/>
      <c r="AA20" s="46"/>
    </row>
    <row r="21" spans="2:27" ht="15" customHeight="1" x14ac:dyDescent="0.25">
      <c r="B21" s="98"/>
      <c r="C21" s="16" t="s">
        <v>302</v>
      </c>
      <c r="D21" s="18" t="s">
        <v>147</v>
      </c>
      <c r="E21" s="21">
        <v>2.2502999999999999E-2</v>
      </c>
      <c r="F21" s="33"/>
      <c r="G21" s="33"/>
      <c r="H21" s="33"/>
      <c r="I21" s="33"/>
      <c r="J21" s="33"/>
      <c r="K21" s="33"/>
      <c r="L21" s="33"/>
      <c r="M21" s="33"/>
      <c r="N21" s="33"/>
      <c r="O21" s="33"/>
      <c r="P21" s="33"/>
      <c r="Q21" s="33"/>
      <c r="R21" s="33"/>
      <c r="S21" s="33"/>
      <c r="T21" s="26"/>
      <c r="V21" s="191"/>
      <c r="W21" s="77" t="s">
        <v>91</v>
      </c>
      <c r="X21" s="79">
        <v>2.0237999999999999E-2</v>
      </c>
      <c r="Y21" s="191"/>
      <c r="Z21" s="46"/>
      <c r="AA21" s="46"/>
    </row>
    <row r="22" spans="2:27" ht="15" customHeight="1" x14ac:dyDescent="0.25">
      <c r="B22" s="98"/>
      <c r="C22" s="16" t="s">
        <v>303</v>
      </c>
      <c r="D22" s="18" t="s">
        <v>12</v>
      </c>
      <c r="E22" s="21">
        <v>2.2492000000000002E-2</v>
      </c>
      <c r="F22" s="33"/>
      <c r="G22" s="33"/>
      <c r="H22" s="33"/>
      <c r="I22" s="33"/>
      <c r="J22" s="33"/>
      <c r="K22" s="33"/>
      <c r="L22" s="33"/>
      <c r="M22" s="33"/>
      <c r="N22" s="33"/>
      <c r="O22" s="33"/>
      <c r="P22" s="33"/>
      <c r="Q22" s="33"/>
      <c r="R22" s="33"/>
      <c r="S22" s="33"/>
      <c r="T22" s="26"/>
      <c r="V22" s="191"/>
      <c r="W22" s="77" t="s">
        <v>4</v>
      </c>
      <c r="X22" s="79">
        <v>1.8381000000000002E-2</v>
      </c>
      <c r="Y22" s="191"/>
      <c r="Z22" s="46"/>
      <c r="AA22" s="46"/>
    </row>
    <row r="23" spans="2:27" ht="15" customHeight="1" x14ac:dyDescent="0.25">
      <c r="B23" s="98"/>
      <c r="C23" s="16"/>
      <c r="D23" s="18"/>
      <c r="E23" s="21"/>
      <c r="F23" s="33"/>
      <c r="G23" s="33"/>
      <c r="H23" s="33"/>
      <c r="I23" s="33"/>
      <c r="J23" s="33"/>
      <c r="K23" s="33"/>
      <c r="L23" s="33"/>
      <c r="M23" s="33"/>
      <c r="N23" s="33"/>
      <c r="O23" s="33"/>
      <c r="P23" s="33"/>
      <c r="Q23" s="33"/>
      <c r="R23" s="33"/>
      <c r="S23" s="33"/>
      <c r="T23" s="26"/>
      <c r="V23" s="191"/>
      <c r="W23" s="77" t="s">
        <v>149</v>
      </c>
      <c r="X23" s="79">
        <v>1.7888999999999999E-2</v>
      </c>
      <c r="Y23" s="191"/>
      <c r="Z23" s="46"/>
      <c r="AA23" s="46"/>
    </row>
    <row r="24" spans="2:27" ht="15" customHeight="1" x14ac:dyDescent="0.25">
      <c r="B24" s="98"/>
      <c r="C24" s="92" t="s">
        <v>56</v>
      </c>
      <c r="D24" s="93"/>
      <c r="E24" s="94">
        <f>SUM(E8:E23)</f>
        <v>0.44662400000000002</v>
      </c>
      <c r="F24" s="33"/>
      <c r="G24" s="33"/>
      <c r="H24" s="33"/>
      <c r="I24" s="33"/>
      <c r="J24" s="33"/>
      <c r="K24" s="33"/>
      <c r="L24" s="33"/>
      <c r="M24" s="33"/>
      <c r="N24" s="33"/>
      <c r="O24" s="33"/>
      <c r="P24" s="33"/>
      <c r="Q24" s="33"/>
      <c r="R24" s="33"/>
      <c r="S24" s="33"/>
      <c r="T24" s="26"/>
      <c r="V24" s="191"/>
      <c r="W24" s="77" t="s">
        <v>103</v>
      </c>
      <c r="X24" s="79">
        <v>1.4185E-2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153</v>
      </c>
      <c r="X25" s="79">
        <v>1.3374E-2</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155</v>
      </c>
      <c r="X26" s="79">
        <v>1.154E-2</v>
      </c>
      <c r="Y26" s="191"/>
      <c r="Z26" s="46"/>
      <c r="AA26" s="46"/>
    </row>
    <row r="27" spans="2:27" ht="15" customHeight="1" x14ac:dyDescent="0.25">
      <c r="B27" s="98"/>
      <c r="F27" s="33"/>
      <c r="G27" s="33"/>
      <c r="H27" s="33"/>
      <c r="I27" s="33"/>
      <c r="J27" s="33"/>
      <c r="K27" s="33"/>
      <c r="L27" s="33"/>
      <c r="M27" s="33"/>
      <c r="N27" s="33"/>
      <c r="O27" s="33"/>
      <c r="P27" s="33"/>
      <c r="Q27" s="33"/>
      <c r="R27" s="33"/>
      <c r="S27" s="33"/>
      <c r="T27" s="26"/>
      <c r="V27" s="191"/>
      <c r="W27" s="77" t="s">
        <v>101</v>
      </c>
      <c r="X27" s="79">
        <v>9.1229999999999992E-3</v>
      </c>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t="s">
        <v>174</v>
      </c>
      <c r="X28" s="79">
        <v>1.97E-3</v>
      </c>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68"/>
      <c r="X29" s="79"/>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c r="X30" s="79"/>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80"/>
      <c r="X31" s="79"/>
      <c r="Y31" s="191"/>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c r="X32" s="79"/>
    </row>
    <row r="33" spans="2:24" ht="15" customHeight="1" thickBot="1" x14ac:dyDescent="0.3">
      <c r="X33" s="79"/>
    </row>
    <row r="34" spans="2:24" ht="15" customHeight="1" x14ac:dyDescent="0.25">
      <c r="B34" s="226" t="s">
        <v>254</v>
      </c>
      <c r="C34" s="227"/>
      <c r="D34" s="227"/>
      <c r="E34" s="227"/>
      <c r="F34" s="227"/>
      <c r="G34" s="227"/>
      <c r="H34" s="227"/>
      <c r="I34" s="227"/>
      <c r="J34" s="227"/>
      <c r="K34" s="227"/>
      <c r="L34" s="227"/>
      <c r="M34" s="227"/>
      <c r="N34" s="227"/>
      <c r="O34" s="227"/>
      <c r="P34" s="227"/>
      <c r="Q34" s="227"/>
      <c r="R34" s="228"/>
      <c r="X34" s="79"/>
    </row>
    <row r="35" spans="2:24" ht="15" customHeight="1" x14ac:dyDescent="0.25">
      <c r="B35" s="229"/>
      <c r="C35" s="230"/>
      <c r="D35" s="230"/>
      <c r="E35" s="230"/>
      <c r="F35" s="230"/>
      <c r="G35" s="230"/>
      <c r="H35" s="230"/>
      <c r="I35" s="230"/>
      <c r="J35" s="230"/>
      <c r="K35" s="230"/>
      <c r="L35" s="230"/>
      <c r="M35" s="230"/>
      <c r="N35" s="230"/>
      <c r="O35" s="230"/>
      <c r="P35" s="230"/>
      <c r="Q35" s="230"/>
      <c r="R35" s="231"/>
      <c r="X35" s="79"/>
    </row>
    <row r="36" spans="2:24" ht="15" customHeight="1" x14ac:dyDescent="0.25">
      <c r="B36" s="229"/>
      <c r="C36" s="230"/>
      <c r="D36" s="230"/>
      <c r="E36" s="230"/>
      <c r="F36" s="230"/>
      <c r="G36" s="230"/>
      <c r="H36" s="230"/>
      <c r="I36" s="230"/>
      <c r="J36" s="230"/>
      <c r="K36" s="230"/>
      <c r="L36" s="230"/>
      <c r="M36" s="230"/>
      <c r="N36" s="230"/>
      <c r="O36" s="230"/>
      <c r="P36" s="230"/>
      <c r="Q36" s="230"/>
      <c r="R36" s="231"/>
      <c r="X36" s="79"/>
    </row>
    <row r="37" spans="2:24" ht="15" customHeight="1" x14ac:dyDescent="0.25">
      <c r="B37" s="229"/>
      <c r="C37" s="230"/>
      <c r="D37" s="230"/>
      <c r="E37" s="230"/>
      <c r="F37" s="230"/>
      <c r="G37" s="230"/>
      <c r="H37" s="230"/>
      <c r="I37" s="230"/>
      <c r="J37" s="230"/>
      <c r="K37" s="230"/>
      <c r="L37" s="230"/>
      <c r="M37" s="230"/>
      <c r="N37" s="230"/>
      <c r="O37" s="230"/>
      <c r="P37" s="230"/>
      <c r="Q37" s="230"/>
      <c r="R37" s="231"/>
      <c r="X37" s="79"/>
    </row>
    <row r="38" spans="2:24" ht="15" customHeight="1" x14ac:dyDescent="0.25">
      <c r="B38" s="229"/>
      <c r="C38" s="230"/>
      <c r="D38" s="230"/>
      <c r="E38" s="230"/>
      <c r="F38" s="230"/>
      <c r="G38" s="230"/>
      <c r="H38" s="230"/>
      <c r="I38" s="230"/>
      <c r="J38" s="230"/>
      <c r="K38" s="230"/>
      <c r="L38" s="230"/>
      <c r="M38" s="230"/>
      <c r="N38" s="230"/>
      <c r="O38" s="230"/>
      <c r="P38" s="230"/>
      <c r="Q38" s="230"/>
      <c r="R38" s="231"/>
    </row>
    <row r="39" spans="2:24" ht="15" customHeight="1" x14ac:dyDescent="0.25">
      <c r="B39" s="229"/>
      <c r="C39" s="230"/>
      <c r="D39" s="230"/>
      <c r="E39" s="230"/>
      <c r="F39" s="230"/>
      <c r="G39" s="230"/>
      <c r="H39" s="230"/>
      <c r="I39" s="230"/>
      <c r="J39" s="230"/>
      <c r="K39" s="230"/>
      <c r="L39" s="230"/>
      <c r="M39" s="230"/>
      <c r="N39" s="230"/>
      <c r="O39" s="230"/>
      <c r="P39" s="230"/>
      <c r="Q39" s="230"/>
      <c r="R39" s="231"/>
    </row>
    <row r="40" spans="2:24" ht="21.75" customHeight="1" thickBot="1" x14ac:dyDescent="0.3">
      <c r="B40" s="232"/>
      <c r="C40" s="233"/>
      <c r="D40" s="233"/>
      <c r="E40" s="233"/>
      <c r="F40" s="233"/>
      <c r="G40" s="233"/>
      <c r="H40" s="233"/>
      <c r="I40" s="233"/>
      <c r="J40" s="233"/>
      <c r="K40" s="233"/>
      <c r="L40" s="233"/>
      <c r="M40" s="233"/>
      <c r="N40" s="233"/>
      <c r="O40" s="233"/>
      <c r="P40" s="233"/>
      <c r="Q40" s="233"/>
      <c r="R40" s="234"/>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5" t="s">
        <v>243</v>
      </c>
      <c r="D3" s="236"/>
      <c r="E3" s="236"/>
      <c r="F3" s="236"/>
      <c r="G3" s="236"/>
      <c r="H3" s="236"/>
      <c r="I3" s="236"/>
      <c r="J3" s="236"/>
      <c r="K3" s="236"/>
      <c r="L3" s="236"/>
      <c r="M3" s="236"/>
      <c r="N3" s="236"/>
      <c r="O3" s="236"/>
      <c r="P3" s="236"/>
      <c r="Q3" s="236"/>
      <c r="R3" s="236"/>
      <c r="S3" s="236"/>
      <c r="T3" s="26"/>
      <c r="V3" s="46"/>
      <c r="W3" s="46"/>
      <c r="X3" s="46"/>
      <c r="Y3" s="46"/>
      <c r="Z3" s="46"/>
      <c r="AA3" s="46"/>
    </row>
    <row r="4" spans="1:27" ht="15.75" customHeight="1" x14ac:dyDescent="0.25">
      <c r="B4" s="98"/>
      <c r="C4" s="85" t="s">
        <v>273</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274</v>
      </c>
      <c r="D5" s="237" t="s">
        <v>281</v>
      </c>
      <c r="E5" s="237"/>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3.0913E-2</v>
      </c>
      <c r="F8" s="33"/>
      <c r="G8" s="33"/>
      <c r="H8" s="33"/>
      <c r="I8" s="33"/>
      <c r="J8" s="33"/>
      <c r="K8" s="33"/>
      <c r="L8" s="33"/>
      <c r="M8" s="33"/>
      <c r="N8" s="33"/>
      <c r="O8" s="33"/>
      <c r="P8" s="33"/>
      <c r="Q8" s="33"/>
      <c r="R8" s="33"/>
      <c r="S8" s="33"/>
      <c r="T8" s="26"/>
      <c r="V8" s="191"/>
      <c r="W8" s="77" t="s">
        <v>3</v>
      </c>
      <c r="X8" s="79">
        <v>0.14301</v>
      </c>
      <c r="Y8" s="191"/>
      <c r="Z8" s="46"/>
      <c r="AA8" s="46"/>
    </row>
    <row r="9" spans="1:27" ht="15.75" customHeight="1" x14ac:dyDescent="0.25">
      <c r="B9" s="98"/>
      <c r="C9" s="16" t="s">
        <v>131</v>
      </c>
      <c r="D9" s="18" t="s">
        <v>99</v>
      </c>
      <c r="E9" s="21">
        <v>2.7888E-2</v>
      </c>
      <c r="F9" s="33"/>
      <c r="G9" s="33"/>
      <c r="H9" s="33"/>
      <c r="I9" s="33"/>
      <c r="J9" s="33"/>
      <c r="K9" s="33"/>
      <c r="L9" s="33"/>
      <c r="M9" s="33"/>
      <c r="N9" s="33"/>
      <c r="O9" s="33"/>
      <c r="P9" s="33"/>
      <c r="Q9" s="33"/>
      <c r="R9" s="33"/>
      <c r="S9" s="33"/>
      <c r="T9" s="26"/>
      <c r="V9" s="191"/>
      <c r="W9" s="77" t="s">
        <v>137</v>
      </c>
      <c r="X9" s="79">
        <v>7.0152000000000006E-2</v>
      </c>
      <c r="Y9" s="191"/>
      <c r="Z9" s="46"/>
      <c r="AA9" s="46"/>
    </row>
    <row r="10" spans="1:27" ht="15" customHeight="1" x14ac:dyDescent="0.25">
      <c r="B10" s="98"/>
      <c r="C10" s="16" t="s">
        <v>29</v>
      </c>
      <c r="D10" s="18" t="s">
        <v>3</v>
      </c>
      <c r="E10" s="21">
        <v>2.6690999999999999E-2</v>
      </c>
      <c r="F10" s="33"/>
      <c r="G10" s="33"/>
      <c r="H10" s="33"/>
      <c r="I10" s="33"/>
      <c r="J10" s="33"/>
      <c r="K10" s="33"/>
      <c r="L10" s="33"/>
      <c r="M10" s="33"/>
      <c r="N10" s="33"/>
      <c r="O10" s="33"/>
      <c r="P10" s="33"/>
      <c r="Q10" s="33"/>
      <c r="R10" s="33"/>
      <c r="S10" s="33"/>
      <c r="T10" s="26"/>
      <c r="V10" s="191"/>
      <c r="W10" s="77" t="s">
        <v>142</v>
      </c>
      <c r="X10" s="79">
        <v>6.5325999999999995E-2</v>
      </c>
      <c r="Y10" s="191"/>
      <c r="Z10" s="46"/>
      <c r="AA10" s="46"/>
    </row>
    <row r="11" spans="1:27" ht="15" customHeight="1" x14ac:dyDescent="0.25">
      <c r="B11" s="98"/>
      <c r="C11" s="16" t="s">
        <v>139</v>
      </c>
      <c r="D11" s="18" t="s">
        <v>140</v>
      </c>
      <c r="E11" s="21">
        <v>2.4091000000000001E-2</v>
      </c>
      <c r="F11" s="33"/>
      <c r="G11" s="33"/>
      <c r="H11" s="33"/>
      <c r="I11" s="33"/>
      <c r="J11" s="33"/>
      <c r="K11" s="33"/>
      <c r="L11" s="33"/>
      <c r="M11" s="33"/>
      <c r="N11" s="33"/>
      <c r="O11" s="33"/>
      <c r="P11" s="33"/>
      <c r="Q11" s="33"/>
      <c r="R11" s="33"/>
      <c r="S11" s="33"/>
      <c r="T11" s="26"/>
      <c r="V11" s="191"/>
      <c r="W11" s="77" t="s">
        <v>99</v>
      </c>
      <c r="X11" s="79">
        <v>6.0775999999999997E-2</v>
      </c>
      <c r="Y11" s="191"/>
      <c r="Z11" s="46"/>
      <c r="AA11" s="46"/>
    </row>
    <row r="12" spans="1:27" ht="15" customHeight="1" x14ac:dyDescent="0.25">
      <c r="B12" s="98"/>
      <c r="C12" s="16" t="s">
        <v>34</v>
      </c>
      <c r="D12" s="18" t="s">
        <v>137</v>
      </c>
      <c r="E12" s="21">
        <v>2.3924000000000001E-2</v>
      </c>
      <c r="F12" s="33"/>
      <c r="G12" s="33"/>
      <c r="H12" s="33"/>
      <c r="I12" s="33"/>
      <c r="J12" s="33"/>
      <c r="K12" s="33"/>
      <c r="L12" s="33"/>
      <c r="M12" s="33"/>
      <c r="N12" s="33"/>
      <c r="O12" s="33"/>
      <c r="P12" s="33"/>
      <c r="Q12" s="33"/>
      <c r="R12" s="33"/>
      <c r="S12" s="33"/>
      <c r="T12" s="26"/>
      <c r="V12" s="191"/>
      <c r="W12" s="77" t="s">
        <v>4</v>
      </c>
      <c r="X12" s="79">
        <v>5.8869000000000005E-2</v>
      </c>
      <c r="Y12" s="191"/>
      <c r="Z12" s="46"/>
      <c r="AA12" s="46"/>
    </row>
    <row r="13" spans="1:27" ht="15" customHeight="1" x14ac:dyDescent="0.25">
      <c r="B13" s="98"/>
      <c r="C13" s="16" t="s">
        <v>32</v>
      </c>
      <c r="D13" s="18" t="s">
        <v>6</v>
      </c>
      <c r="E13" s="21">
        <v>2.3193999999999999E-2</v>
      </c>
      <c r="F13" s="33"/>
      <c r="G13" s="33"/>
      <c r="H13" s="33"/>
      <c r="I13" s="33"/>
      <c r="J13" s="33"/>
      <c r="K13" s="33"/>
      <c r="L13" s="33"/>
      <c r="M13" s="33"/>
      <c r="N13" s="33"/>
      <c r="O13" s="33"/>
      <c r="P13" s="33"/>
      <c r="Q13" s="33"/>
      <c r="R13" s="33"/>
      <c r="S13" s="33"/>
      <c r="T13" s="26"/>
      <c r="V13" s="191"/>
      <c r="W13" s="77" t="s">
        <v>140</v>
      </c>
      <c r="X13" s="79">
        <v>5.2039000000000002E-2</v>
      </c>
      <c r="Y13" s="191"/>
      <c r="Z13" s="46"/>
      <c r="AA13" s="46"/>
    </row>
    <row r="14" spans="1:27" ht="15" customHeight="1" x14ac:dyDescent="0.25">
      <c r="B14" s="98"/>
      <c r="C14" s="16" t="s">
        <v>37</v>
      </c>
      <c r="D14" s="18" t="s">
        <v>3</v>
      </c>
      <c r="E14" s="21">
        <v>2.3133999999999998E-2</v>
      </c>
      <c r="F14" s="33"/>
      <c r="G14" s="33"/>
      <c r="H14" s="33"/>
      <c r="I14" s="33"/>
      <c r="J14" s="33"/>
      <c r="K14" s="33"/>
      <c r="L14" s="33"/>
      <c r="M14" s="33"/>
      <c r="N14" s="33"/>
      <c r="O14" s="33"/>
      <c r="P14" s="33"/>
      <c r="Q14" s="33"/>
      <c r="R14" s="33"/>
      <c r="S14" s="33"/>
      <c r="T14" s="26"/>
      <c r="V14" s="191"/>
      <c r="W14" s="77" t="s">
        <v>24</v>
      </c>
      <c r="X14" s="79">
        <v>4.8520999999999995E-2</v>
      </c>
      <c r="Y14" s="191"/>
      <c r="Z14" s="46"/>
      <c r="AA14" s="46"/>
    </row>
    <row r="15" spans="1:27" ht="15.75" customHeight="1" x14ac:dyDescent="0.25">
      <c r="B15" s="98"/>
      <c r="C15" s="16" t="s">
        <v>192</v>
      </c>
      <c r="D15" s="18" t="s">
        <v>145</v>
      </c>
      <c r="E15" s="21">
        <v>2.2772000000000001E-2</v>
      </c>
      <c r="F15" s="33"/>
      <c r="G15" s="33"/>
      <c r="H15" s="33"/>
      <c r="I15" s="33"/>
      <c r="J15" s="33"/>
      <c r="K15" s="33"/>
      <c r="L15" s="33"/>
      <c r="M15" s="33"/>
      <c r="N15" s="33"/>
      <c r="O15" s="33"/>
      <c r="P15" s="33"/>
      <c r="Q15" s="33"/>
      <c r="R15" s="33"/>
      <c r="S15" s="33"/>
      <c r="T15" s="26"/>
      <c r="V15" s="191"/>
      <c r="W15" s="77" t="s">
        <v>16</v>
      </c>
      <c r="X15" s="79">
        <v>3.9684999999999998E-2</v>
      </c>
      <c r="Y15" s="191"/>
      <c r="Z15" s="46"/>
      <c r="AA15" s="46"/>
    </row>
    <row r="16" spans="1:27" ht="15" customHeight="1" x14ac:dyDescent="0.25">
      <c r="B16" s="98"/>
      <c r="C16" s="16" t="s">
        <v>30</v>
      </c>
      <c r="D16" s="18" t="s">
        <v>4</v>
      </c>
      <c r="E16" s="21">
        <v>2.1769E-2</v>
      </c>
      <c r="F16" s="33"/>
      <c r="G16" s="33"/>
      <c r="H16" s="33"/>
      <c r="I16" s="33"/>
      <c r="J16" s="33"/>
      <c r="K16" s="33"/>
      <c r="L16" s="33"/>
      <c r="M16" s="33"/>
      <c r="N16" s="33"/>
      <c r="O16" s="33"/>
      <c r="P16" s="33"/>
      <c r="Q16" s="33"/>
      <c r="R16" s="33"/>
      <c r="S16" s="33"/>
      <c r="T16" s="26"/>
      <c r="V16" s="191"/>
      <c r="W16" s="77" t="s">
        <v>23</v>
      </c>
      <c r="X16" s="79">
        <v>3.9580999999999998E-2</v>
      </c>
      <c r="Y16" s="191"/>
      <c r="Z16" s="46"/>
      <c r="AA16" s="46"/>
    </row>
    <row r="17" spans="2:27" ht="15.75" customHeight="1" x14ac:dyDescent="0.25">
      <c r="B17" s="98"/>
      <c r="C17" s="16" t="s">
        <v>86</v>
      </c>
      <c r="D17" s="18" t="s">
        <v>11</v>
      </c>
      <c r="E17" s="21">
        <v>2.1512E-2</v>
      </c>
      <c r="F17" s="33"/>
      <c r="G17" s="33"/>
      <c r="H17" s="33"/>
      <c r="I17" s="33"/>
      <c r="J17" s="33"/>
      <c r="K17" s="33"/>
      <c r="L17" s="33"/>
      <c r="M17" s="33"/>
      <c r="N17" s="33"/>
      <c r="O17" s="33"/>
      <c r="P17" s="33"/>
      <c r="Q17" s="33"/>
      <c r="R17" s="33"/>
      <c r="S17" s="33"/>
      <c r="T17" s="26"/>
      <c r="V17" s="191"/>
      <c r="W17" s="77" t="s">
        <v>6</v>
      </c>
      <c r="X17" s="79">
        <v>3.3992999999999995E-2</v>
      </c>
      <c r="Y17" s="191"/>
      <c r="Z17" s="46"/>
      <c r="AA17" s="46"/>
    </row>
    <row r="18" spans="2:27" ht="15.75" x14ac:dyDescent="0.25">
      <c r="B18" s="98"/>
      <c r="C18" s="16" t="s">
        <v>218</v>
      </c>
      <c r="D18" s="18" t="s">
        <v>99</v>
      </c>
      <c r="E18" s="21">
        <v>2.0704E-2</v>
      </c>
      <c r="F18" s="33"/>
      <c r="G18" s="33"/>
      <c r="H18" s="33"/>
      <c r="I18" s="33"/>
      <c r="J18" s="33"/>
      <c r="K18" s="33"/>
      <c r="L18" s="33"/>
      <c r="M18" s="33"/>
      <c r="N18" s="33"/>
      <c r="O18" s="33"/>
      <c r="P18" s="33"/>
      <c r="Q18" s="33"/>
      <c r="R18" s="33"/>
      <c r="S18" s="33"/>
      <c r="T18" s="26"/>
      <c r="V18" s="191"/>
      <c r="W18" s="77" t="s">
        <v>136</v>
      </c>
      <c r="X18" s="79">
        <v>3.0032000000000003E-2</v>
      </c>
      <c r="Y18" s="191"/>
      <c r="Z18" s="46"/>
      <c r="AA18" s="46"/>
    </row>
    <row r="19" spans="2:27" ht="15.75" customHeight="1" x14ac:dyDescent="0.25">
      <c r="B19" s="98"/>
      <c r="C19" s="16" t="s">
        <v>36</v>
      </c>
      <c r="D19" s="18" t="s">
        <v>3</v>
      </c>
      <c r="E19" s="21">
        <v>2.0115000000000001E-2</v>
      </c>
      <c r="F19" s="33"/>
      <c r="G19" s="33"/>
      <c r="H19" s="33"/>
      <c r="I19" s="33"/>
      <c r="J19" s="33"/>
      <c r="K19" s="33"/>
      <c r="L19" s="33"/>
      <c r="M19" s="33"/>
      <c r="N19" s="33"/>
      <c r="O19" s="33"/>
      <c r="P19" s="33"/>
      <c r="Q19" s="33"/>
      <c r="R19" s="33"/>
      <c r="S19" s="33"/>
      <c r="T19" s="26"/>
      <c r="V19" s="191"/>
      <c r="W19" s="77" t="s">
        <v>102</v>
      </c>
      <c r="X19" s="79">
        <v>2.8901E-2</v>
      </c>
      <c r="Y19" s="191"/>
      <c r="Z19" s="46"/>
      <c r="AA19" s="46"/>
    </row>
    <row r="20" spans="2:27" ht="15" customHeight="1" x14ac:dyDescent="0.25">
      <c r="B20" s="98"/>
      <c r="C20" s="16" t="s">
        <v>172</v>
      </c>
      <c r="D20" s="18" t="s">
        <v>140</v>
      </c>
      <c r="E20" s="21">
        <v>1.9602999999999999E-2</v>
      </c>
      <c r="F20" s="33"/>
      <c r="G20" s="33"/>
      <c r="H20" s="33"/>
      <c r="I20" s="33"/>
      <c r="J20" s="33"/>
      <c r="K20" s="33"/>
      <c r="L20" s="33"/>
      <c r="M20" s="33"/>
      <c r="N20" s="33"/>
      <c r="O20" s="33"/>
      <c r="P20" s="33"/>
      <c r="Q20" s="33"/>
      <c r="R20" s="33"/>
      <c r="S20" s="33"/>
      <c r="T20" s="26"/>
      <c r="V20" s="191"/>
      <c r="W20" s="77" t="s">
        <v>143</v>
      </c>
      <c r="X20" s="79">
        <v>2.5090999999999999E-2</v>
      </c>
      <c r="Y20" s="191"/>
      <c r="Z20" s="46"/>
      <c r="AA20" s="46"/>
    </row>
    <row r="21" spans="2:27" ht="15" customHeight="1" x14ac:dyDescent="0.25">
      <c r="B21" s="98"/>
      <c r="C21" s="16" t="s">
        <v>132</v>
      </c>
      <c r="D21" s="18" t="s">
        <v>136</v>
      </c>
      <c r="E21" s="21">
        <v>1.8897000000000001E-2</v>
      </c>
      <c r="F21" s="33"/>
      <c r="G21" s="33"/>
      <c r="H21" s="33"/>
      <c r="I21" s="33"/>
      <c r="J21" s="33"/>
      <c r="K21" s="33"/>
      <c r="L21" s="33"/>
      <c r="M21" s="33"/>
      <c r="N21" s="33"/>
      <c r="O21" s="33"/>
      <c r="P21" s="33"/>
      <c r="Q21" s="33"/>
      <c r="R21" s="33"/>
      <c r="S21" s="33"/>
      <c r="T21" s="26"/>
      <c r="V21" s="191"/>
      <c r="W21" s="77" t="s">
        <v>156</v>
      </c>
      <c r="X21" s="79">
        <v>2.3174E-2</v>
      </c>
      <c r="Y21" s="191"/>
      <c r="Z21" s="46"/>
      <c r="AA21" s="46"/>
    </row>
    <row r="22" spans="2:27" ht="15" customHeight="1" x14ac:dyDescent="0.25">
      <c r="B22" s="98"/>
      <c r="C22" s="16" t="s">
        <v>35</v>
      </c>
      <c r="D22" s="18" t="s">
        <v>23</v>
      </c>
      <c r="E22" s="21">
        <v>1.8842000000000001E-2</v>
      </c>
      <c r="F22" s="33"/>
      <c r="G22" s="33"/>
      <c r="H22" s="33"/>
      <c r="I22" s="33"/>
      <c r="J22" s="33"/>
      <c r="K22" s="33"/>
      <c r="L22" s="33"/>
      <c r="M22" s="33"/>
      <c r="N22" s="33"/>
      <c r="O22" s="33"/>
      <c r="P22" s="33"/>
      <c r="Q22" s="33"/>
      <c r="R22" s="33"/>
      <c r="S22" s="33"/>
      <c r="T22" s="26"/>
      <c r="V22" s="191"/>
      <c r="W22" s="77" t="s">
        <v>145</v>
      </c>
      <c r="X22" s="79">
        <v>2.2772000000000001E-2</v>
      </c>
      <c r="Y22" s="191"/>
      <c r="Z22" s="46"/>
      <c r="AA22" s="46"/>
    </row>
    <row r="23" spans="2:27" ht="15" customHeight="1" x14ac:dyDescent="0.25">
      <c r="B23" s="98"/>
      <c r="C23" s="90"/>
      <c r="D23" s="90"/>
      <c r="E23" s="186"/>
      <c r="F23" s="33"/>
      <c r="G23" s="33"/>
      <c r="H23" s="33"/>
      <c r="I23" s="33"/>
      <c r="J23" s="33"/>
      <c r="K23" s="33"/>
      <c r="L23" s="33"/>
      <c r="M23" s="33"/>
      <c r="N23" s="33"/>
      <c r="O23" s="33"/>
      <c r="P23" s="33"/>
      <c r="Q23" s="33"/>
      <c r="R23" s="33"/>
      <c r="S23" s="33"/>
      <c r="T23" s="26"/>
      <c r="V23" s="191"/>
      <c r="W23" s="77" t="s">
        <v>113</v>
      </c>
      <c r="X23" s="79">
        <v>2.2546E-2</v>
      </c>
      <c r="Y23" s="191"/>
      <c r="Z23" s="46"/>
      <c r="AA23" s="46"/>
    </row>
    <row r="24" spans="2:27" ht="15" customHeight="1" x14ac:dyDescent="0.25">
      <c r="B24" s="98"/>
      <c r="C24" s="92" t="s">
        <v>56</v>
      </c>
      <c r="D24" s="93"/>
      <c r="E24" s="94">
        <f>SUM(E8:E22)</f>
        <v>0.34404899999999999</v>
      </c>
      <c r="F24" s="33"/>
      <c r="G24" s="33"/>
      <c r="H24" s="33"/>
      <c r="I24" s="33"/>
      <c r="J24" s="33"/>
      <c r="K24" s="33"/>
      <c r="L24" s="33"/>
      <c r="M24" s="33"/>
      <c r="N24" s="33"/>
      <c r="O24" s="33"/>
      <c r="P24" s="33"/>
      <c r="Q24" s="33"/>
      <c r="R24" s="33"/>
      <c r="S24" s="33"/>
      <c r="T24" s="26"/>
      <c r="V24" s="191"/>
      <c r="W24" s="77" t="s">
        <v>11</v>
      </c>
      <c r="X24" s="79">
        <v>2.1512E-2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100</v>
      </c>
      <c r="X25" s="79">
        <v>2.0521999999999999E-2</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150</v>
      </c>
      <c r="X26" s="79">
        <v>1.9876999999999999E-2</v>
      </c>
      <c r="Y26" s="191"/>
      <c r="Z26" s="46"/>
      <c r="AA26" s="46"/>
    </row>
    <row r="27" spans="2:27" ht="15" customHeight="1" x14ac:dyDescent="0.25">
      <c r="B27" s="98"/>
      <c r="D27" s="194"/>
      <c r="F27" s="33"/>
      <c r="G27" s="33"/>
      <c r="H27" s="33"/>
      <c r="I27" s="33"/>
      <c r="J27" s="33"/>
      <c r="K27" s="33"/>
      <c r="L27" s="33"/>
      <c r="M27" s="33"/>
      <c r="N27" s="33"/>
      <c r="O27" s="33"/>
      <c r="P27" s="33"/>
      <c r="Q27" s="33"/>
      <c r="R27" s="33"/>
      <c r="S27" s="33"/>
      <c r="T27" s="26"/>
      <c r="V27" s="191"/>
      <c r="W27" s="77" t="s">
        <v>144</v>
      </c>
      <c r="X27" s="79">
        <v>1.9627000000000002E-2</v>
      </c>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t="s">
        <v>138</v>
      </c>
      <c r="X28" s="79">
        <v>1.6605999999999999E-2</v>
      </c>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68" t="s">
        <v>25</v>
      </c>
      <c r="X29" s="69">
        <v>1.6195999999999999E-2</v>
      </c>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t="s">
        <v>148</v>
      </c>
      <c r="X30" s="78">
        <v>1.5899E-2</v>
      </c>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80" t="s">
        <v>147</v>
      </c>
      <c r="X31" s="78">
        <v>1.4151E-2</v>
      </c>
      <c r="Y31" s="191"/>
      <c r="Z31" s="46"/>
      <c r="AA31" s="46"/>
    </row>
    <row r="32" spans="2:27" ht="15" customHeight="1" x14ac:dyDescent="0.25">
      <c r="B32" s="98"/>
      <c r="F32" s="33"/>
      <c r="G32" s="33"/>
      <c r="H32" s="33"/>
      <c r="I32" s="33"/>
      <c r="J32" s="33"/>
      <c r="K32" s="33"/>
      <c r="L32" s="33"/>
      <c r="M32" s="33"/>
      <c r="N32" s="33"/>
      <c r="O32" s="33"/>
      <c r="P32" s="33"/>
      <c r="Q32" s="33"/>
      <c r="R32" s="33"/>
      <c r="S32" s="33"/>
      <c r="T32" s="26"/>
      <c r="V32" s="191"/>
      <c r="W32" s="80" t="s">
        <v>149</v>
      </c>
      <c r="X32" s="78">
        <v>1.2796E-2</v>
      </c>
      <c r="Y32" s="191"/>
      <c r="Z32" s="46"/>
      <c r="AA32" s="46"/>
    </row>
    <row r="33" spans="2:27" ht="15" customHeight="1" x14ac:dyDescent="0.25">
      <c r="B33" s="98"/>
      <c r="F33" s="33"/>
      <c r="G33" s="33"/>
      <c r="H33" s="33"/>
      <c r="I33" s="33"/>
      <c r="J33" s="33"/>
      <c r="K33" s="33"/>
      <c r="L33" s="33"/>
      <c r="M33" s="33"/>
      <c r="N33" s="33"/>
      <c r="O33" s="33"/>
      <c r="P33" s="33"/>
      <c r="Q33" s="33"/>
      <c r="R33" s="33"/>
      <c r="S33" s="33"/>
      <c r="T33" s="26"/>
      <c r="V33" s="191"/>
      <c r="W33" s="80" t="s">
        <v>12</v>
      </c>
      <c r="X33" s="78">
        <v>1.2421E-2</v>
      </c>
      <c r="Y33" s="191"/>
      <c r="Z33" s="46"/>
      <c r="AA33" s="46"/>
    </row>
    <row r="34" spans="2:27" ht="15" customHeight="1" x14ac:dyDescent="0.25">
      <c r="B34" s="98"/>
      <c r="F34" s="33"/>
      <c r="G34" s="33"/>
      <c r="H34" s="33"/>
      <c r="I34" s="33"/>
      <c r="J34" s="33"/>
      <c r="K34" s="33"/>
      <c r="L34" s="33"/>
      <c r="M34" s="33"/>
      <c r="N34" s="33"/>
      <c r="O34" s="33"/>
      <c r="P34" s="33"/>
      <c r="Q34" s="33"/>
      <c r="R34" s="33"/>
      <c r="S34" s="33"/>
      <c r="T34" s="26"/>
      <c r="V34" s="191"/>
      <c r="W34" s="191" t="s">
        <v>146</v>
      </c>
      <c r="X34" s="78">
        <v>1.1755E-2</v>
      </c>
      <c r="Y34" s="191"/>
      <c r="Z34" s="46"/>
      <c r="AA34" s="46"/>
    </row>
    <row r="35" spans="2:27" ht="15" customHeight="1" x14ac:dyDescent="0.25">
      <c r="B35" s="98"/>
      <c r="F35" s="33"/>
      <c r="G35" s="33"/>
      <c r="H35" s="33"/>
      <c r="I35" s="33"/>
      <c r="J35" s="33"/>
      <c r="K35" s="33"/>
      <c r="L35" s="33"/>
      <c r="M35" s="33"/>
      <c r="N35" s="33"/>
      <c r="O35" s="33"/>
      <c r="P35" s="33"/>
      <c r="Q35" s="33"/>
      <c r="R35" s="33"/>
      <c r="S35" s="33"/>
      <c r="T35" s="26"/>
      <c r="V35" s="191"/>
      <c r="W35" s="191" t="s">
        <v>26</v>
      </c>
      <c r="X35" s="78">
        <v>1.1653999999999999E-2</v>
      </c>
      <c r="Y35" s="191"/>
      <c r="Z35" s="46"/>
      <c r="AA35" s="46"/>
    </row>
    <row r="36" spans="2:27" ht="15" customHeight="1" x14ac:dyDescent="0.25">
      <c r="B36" s="98"/>
      <c r="F36" s="33"/>
      <c r="G36" s="33"/>
      <c r="H36" s="33"/>
      <c r="I36" s="33"/>
      <c r="J36" s="33"/>
      <c r="K36" s="33"/>
      <c r="L36" s="33"/>
      <c r="M36" s="33"/>
      <c r="N36" s="33"/>
      <c r="O36" s="33"/>
      <c r="P36" s="33"/>
      <c r="Q36" s="33"/>
      <c r="R36" s="33"/>
      <c r="S36" s="33"/>
      <c r="T36" s="26"/>
      <c r="V36" s="191"/>
      <c r="W36" s="191" t="s">
        <v>174</v>
      </c>
      <c r="X36" s="78">
        <v>7.6189999999999999E-3</v>
      </c>
      <c r="Y36" s="191"/>
      <c r="Z36" s="46"/>
      <c r="AA36" s="46"/>
    </row>
    <row r="37" spans="2:27" ht="15" customHeight="1" x14ac:dyDescent="0.25">
      <c r="B37" s="98"/>
      <c r="C37" s="33"/>
      <c r="D37" s="33"/>
      <c r="E37" s="33"/>
      <c r="F37" s="33"/>
      <c r="G37" s="33"/>
      <c r="H37" s="33"/>
      <c r="I37" s="33"/>
      <c r="J37" s="33"/>
      <c r="K37" s="33"/>
      <c r="L37" s="33"/>
      <c r="M37" s="33"/>
      <c r="N37" s="33"/>
      <c r="O37" s="33"/>
      <c r="P37" s="33"/>
      <c r="Q37" s="33"/>
      <c r="R37" s="33"/>
      <c r="S37" s="33"/>
      <c r="T37" s="26"/>
      <c r="W37" s="23" t="s">
        <v>199</v>
      </c>
      <c r="X37" s="78">
        <v>4.1619999999999999E-3</v>
      </c>
    </row>
    <row r="38" spans="2:27"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7" ht="15" customHeight="1" thickBot="1" x14ac:dyDescent="0.3"/>
    <row r="40" spans="2:27" ht="15" customHeight="1" x14ac:dyDescent="0.25">
      <c r="B40" s="226" t="s">
        <v>254</v>
      </c>
      <c r="C40" s="227"/>
      <c r="D40" s="227"/>
      <c r="E40" s="227"/>
      <c r="F40" s="227"/>
      <c r="G40" s="227"/>
      <c r="H40" s="227"/>
      <c r="I40" s="227"/>
      <c r="J40" s="227"/>
      <c r="K40" s="227"/>
      <c r="L40" s="227"/>
      <c r="M40" s="227"/>
      <c r="N40" s="227"/>
      <c r="O40" s="227"/>
      <c r="P40" s="227"/>
      <c r="Q40" s="227"/>
      <c r="R40" s="228"/>
    </row>
    <row r="41" spans="2:27" ht="15" customHeight="1" x14ac:dyDescent="0.25">
      <c r="B41" s="229"/>
      <c r="C41" s="230"/>
      <c r="D41" s="230"/>
      <c r="E41" s="230"/>
      <c r="F41" s="230"/>
      <c r="G41" s="230"/>
      <c r="H41" s="230"/>
      <c r="I41" s="230"/>
      <c r="J41" s="230"/>
      <c r="K41" s="230"/>
      <c r="L41" s="230"/>
      <c r="M41" s="230"/>
      <c r="N41" s="230"/>
      <c r="O41" s="230"/>
      <c r="P41" s="230"/>
      <c r="Q41" s="230"/>
      <c r="R41" s="231"/>
    </row>
    <row r="42" spans="2:27" ht="15" customHeight="1" x14ac:dyDescent="0.25">
      <c r="B42" s="229"/>
      <c r="C42" s="230"/>
      <c r="D42" s="230"/>
      <c r="E42" s="230"/>
      <c r="F42" s="230"/>
      <c r="G42" s="230"/>
      <c r="H42" s="230"/>
      <c r="I42" s="230"/>
      <c r="J42" s="230"/>
      <c r="K42" s="230"/>
      <c r="L42" s="230"/>
      <c r="M42" s="230"/>
      <c r="N42" s="230"/>
      <c r="O42" s="230"/>
      <c r="P42" s="230"/>
      <c r="Q42" s="230"/>
      <c r="R42" s="231"/>
    </row>
    <row r="43" spans="2:27" ht="15" customHeight="1" x14ac:dyDescent="0.25">
      <c r="B43" s="229"/>
      <c r="C43" s="230"/>
      <c r="D43" s="230"/>
      <c r="E43" s="230"/>
      <c r="F43" s="230"/>
      <c r="G43" s="230"/>
      <c r="H43" s="230"/>
      <c r="I43" s="230"/>
      <c r="J43" s="230"/>
      <c r="K43" s="230"/>
      <c r="L43" s="230"/>
      <c r="M43" s="230"/>
      <c r="N43" s="230"/>
      <c r="O43" s="230"/>
      <c r="P43" s="230"/>
      <c r="Q43" s="230"/>
      <c r="R43" s="231"/>
    </row>
    <row r="44" spans="2:27" ht="15" customHeight="1" x14ac:dyDescent="0.25">
      <c r="B44" s="229"/>
      <c r="C44" s="230"/>
      <c r="D44" s="230"/>
      <c r="E44" s="230"/>
      <c r="F44" s="230"/>
      <c r="G44" s="230"/>
      <c r="H44" s="230"/>
      <c r="I44" s="230"/>
      <c r="J44" s="230"/>
      <c r="K44" s="230"/>
      <c r="L44" s="230"/>
      <c r="M44" s="230"/>
      <c r="N44" s="230"/>
      <c r="O44" s="230"/>
      <c r="P44" s="230"/>
      <c r="Q44" s="230"/>
      <c r="R44" s="231"/>
    </row>
    <row r="45" spans="2:27" ht="15" customHeight="1" x14ac:dyDescent="0.25">
      <c r="B45" s="229"/>
      <c r="C45" s="230"/>
      <c r="D45" s="230"/>
      <c r="E45" s="230"/>
      <c r="F45" s="230"/>
      <c r="G45" s="230"/>
      <c r="H45" s="230"/>
      <c r="I45" s="230"/>
      <c r="J45" s="230"/>
      <c r="K45" s="230"/>
      <c r="L45" s="230"/>
      <c r="M45" s="230"/>
      <c r="N45" s="230"/>
      <c r="O45" s="230"/>
      <c r="P45" s="230"/>
      <c r="Q45" s="230"/>
      <c r="R45" s="231"/>
    </row>
    <row r="46" spans="2:27" ht="21.75" customHeight="1" thickBot="1" x14ac:dyDescent="0.3">
      <c r="B46" s="232"/>
      <c r="C46" s="233"/>
      <c r="D46" s="233"/>
      <c r="E46" s="233"/>
      <c r="F46" s="233"/>
      <c r="G46" s="233"/>
      <c r="H46" s="233"/>
      <c r="I46" s="233"/>
      <c r="J46" s="233"/>
      <c r="K46" s="233"/>
      <c r="L46" s="233"/>
      <c r="M46" s="233"/>
      <c r="N46" s="233"/>
      <c r="O46" s="233"/>
      <c r="P46" s="233"/>
      <c r="Q46" s="233"/>
      <c r="R46" s="234"/>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5" t="s">
        <v>242</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273</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274</v>
      </c>
      <c r="D5" s="237" t="s">
        <v>282</v>
      </c>
      <c r="E5" s="237"/>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9.0826000000000004E-2</v>
      </c>
      <c r="F8" s="33"/>
      <c r="G8" s="33"/>
      <c r="H8" s="33"/>
      <c r="I8" s="33"/>
      <c r="J8" s="33"/>
      <c r="K8" s="33"/>
      <c r="L8" s="33"/>
      <c r="M8" s="33"/>
      <c r="N8" s="33"/>
      <c r="O8" s="33"/>
      <c r="P8" s="33"/>
      <c r="Q8" s="33"/>
      <c r="R8" s="33"/>
      <c r="S8" s="33"/>
      <c r="T8" s="26"/>
      <c r="V8" s="191"/>
      <c r="W8" s="77" t="s">
        <v>3</v>
      </c>
      <c r="X8" s="79">
        <v>0.24887300000000001</v>
      </c>
      <c r="Y8" s="191"/>
      <c r="Z8" s="46"/>
      <c r="AA8" s="46"/>
    </row>
    <row r="9" spans="1:27" ht="15.75" customHeight="1" x14ac:dyDescent="0.25">
      <c r="B9" s="98"/>
      <c r="C9" s="16" t="s">
        <v>29</v>
      </c>
      <c r="D9" s="18" t="s">
        <v>3</v>
      </c>
      <c r="E9" s="21">
        <v>8.0186999999999994E-2</v>
      </c>
      <c r="F9" s="33"/>
      <c r="G9" s="33"/>
      <c r="H9" s="33"/>
      <c r="I9" s="33"/>
      <c r="J9" s="33"/>
      <c r="K9" s="33"/>
      <c r="L9" s="33"/>
      <c r="M9" s="33"/>
      <c r="N9" s="33"/>
      <c r="O9" s="33"/>
      <c r="P9" s="33"/>
      <c r="Q9" s="33"/>
      <c r="R9" s="33"/>
      <c r="S9" s="33"/>
      <c r="T9" s="26"/>
      <c r="V9" s="191"/>
      <c r="W9" s="77" t="s">
        <v>137</v>
      </c>
      <c r="X9" s="79">
        <v>0.10962400000000001</v>
      </c>
      <c r="Y9" s="191"/>
      <c r="Z9" s="46"/>
      <c r="AA9" s="46"/>
    </row>
    <row r="10" spans="1:27" ht="15" customHeight="1" x14ac:dyDescent="0.25">
      <c r="B10" s="98"/>
      <c r="C10" s="16" t="s">
        <v>28</v>
      </c>
      <c r="D10" s="18" t="s">
        <v>137</v>
      </c>
      <c r="E10" s="21">
        <v>7.3233000000000006E-2</v>
      </c>
      <c r="F10" s="33"/>
      <c r="G10" s="33"/>
      <c r="H10" s="33"/>
      <c r="I10" s="33"/>
      <c r="J10" s="33"/>
      <c r="K10" s="33"/>
      <c r="L10" s="33"/>
      <c r="M10" s="33"/>
      <c r="N10" s="33"/>
      <c r="O10" s="33"/>
      <c r="P10" s="33"/>
      <c r="Q10" s="33"/>
      <c r="R10" s="33"/>
      <c r="S10" s="33"/>
      <c r="T10" s="26"/>
      <c r="V10" s="191"/>
      <c r="W10" s="77" t="s">
        <v>140</v>
      </c>
      <c r="X10" s="79">
        <v>7.4878E-2</v>
      </c>
      <c r="Y10" s="191"/>
      <c r="Z10" s="46"/>
      <c r="AA10" s="46"/>
    </row>
    <row r="11" spans="1:27" ht="15" customHeight="1" x14ac:dyDescent="0.25">
      <c r="B11" s="98"/>
      <c r="C11" s="16" t="s">
        <v>97</v>
      </c>
      <c r="D11" s="18" t="s">
        <v>4</v>
      </c>
      <c r="E11" s="21">
        <v>4.2032E-2</v>
      </c>
      <c r="F11" s="33"/>
      <c r="G11" s="33"/>
      <c r="H11" s="33"/>
      <c r="I11" s="33"/>
      <c r="J11" s="33"/>
      <c r="K11" s="33"/>
      <c r="L11" s="33"/>
      <c r="M11" s="33"/>
      <c r="N11" s="33"/>
      <c r="O11" s="33"/>
      <c r="P11" s="33"/>
      <c r="Q11" s="33"/>
      <c r="R11" s="33"/>
      <c r="S11" s="33"/>
      <c r="T11" s="26"/>
      <c r="V11" s="191"/>
      <c r="W11" s="77" t="s">
        <v>24</v>
      </c>
      <c r="X11" s="79">
        <v>7.0367999999999986E-2</v>
      </c>
      <c r="Y11" s="191"/>
      <c r="Z11" s="46"/>
      <c r="AA11" s="46"/>
    </row>
    <row r="12" spans="1:27" ht="15" customHeight="1" x14ac:dyDescent="0.25">
      <c r="B12" s="98"/>
      <c r="C12" s="16" t="s">
        <v>95</v>
      </c>
      <c r="D12" s="18" t="s">
        <v>3</v>
      </c>
      <c r="E12" s="21">
        <v>4.1603000000000001E-2</v>
      </c>
      <c r="F12" s="33"/>
      <c r="G12" s="33"/>
      <c r="H12" s="33"/>
      <c r="I12" s="33"/>
      <c r="J12" s="33"/>
      <c r="K12" s="33"/>
      <c r="L12" s="33"/>
      <c r="M12" s="33"/>
      <c r="N12" s="33"/>
      <c r="O12" s="33"/>
      <c r="P12" s="33"/>
      <c r="Q12" s="33"/>
      <c r="R12" s="33"/>
      <c r="S12" s="33"/>
      <c r="T12" s="26"/>
      <c r="V12" s="191"/>
      <c r="W12" s="77" t="s">
        <v>143</v>
      </c>
      <c r="X12" s="79">
        <v>5.3712999999999997E-2</v>
      </c>
      <c r="Y12" s="191"/>
      <c r="Z12" s="46"/>
      <c r="AA12" s="46"/>
    </row>
    <row r="13" spans="1:27" ht="15" customHeight="1" x14ac:dyDescent="0.25">
      <c r="B13" s="98"/>
      <c r="C13" s="16" t="s">
        <v>67</v>
      </c>
      <c r="D13" s="18" t="s">
        <v>99</v>
      </c>
      <c r="E13" s="21">
        <v>3.8751000000000001E-2</v>
      </c>
      <c r="F13" s="33"/>
      <c r="G13" s="33"/>
      <c r="H13" s="33"/>
      <c r="I13" s="33"/>
      <c r="J13" s="33"/>
      <c r="K13" s="33"/>
      <c r="L13" s="33"/>
      <c r="M13" s="33"/>
      <c r="N13" s="33"/>
      <c r="O13" s="33"/>
      <c r="P13" s="33"/>
      <c r="Q13" s="33"/>
      <c r="R13" s="33"/>
      <c r="S13" s="33"/>
      <c r="T13" s="26"/>
      <c r="V13" s="191"/>
      <c r="W13" s="77" t="s">
        <v>99</v>
      </c>
      <c r="X13" s="79">
        <v>4.8628999999999999E-2</v>
      </c>
      <c r="Y13" s="191"/>
      <c r="Z13" s="46"/>
      <c r="AA13" s="46"/>
    </row>
    <row r="14" spans="1:27" ht="15" customHeight="1" x14ac:dyDescent="0.25">
      <c r="B14" s="98"/>
      <c r="C14" s="16" t="s">
        <v>37</v>
      </c>
      <c r="D14" s="18" t="s">
        <v>3</v>
      </c>
      <c r="E14" s="21">
        <v>3.6256999999999998E-2</v>
      </c>
      <c r="F14" s="33"/>
      <c r="G14" s="33"/>
      <c r="H14" s="33"/>
      <c r="I14" s="33"/>
      <c r="J14" s="33"/>
      <c r="K14" s="33"/>
      <c r="L14" s="33"/>
      <c r="M14" s="33"/>
      <c r="N14" s="33"/>
      <c r="O14" s="33"/>
      <c r="P14" s="33"/>
      <c r="Q14" s="33"/>
      <c r="R14" s="33"/>
      <c r="S14" s="33"/>
      <c r="T14" s="26"/>
      <c r="V14" s="191"/>
      <c r="W14" s="77" t="s">
        <v>147</v>
      </c>
      <c r="X14" s="79">
        <v>4.7812E-2</v>
      </c>
      <c r="Y14" s="191"/>
      <c r="Z14" s="46"/>
      <c r="AA14" s="46"/>
    </row>
    <row r="15" spans="1:27" ht="15.75" customHeight="1" x14ac:dyDescent="0.25">
      <c r="B15" s="98"/>
      <c r="C15" s="16" t="s">
        <v>173</v>
      </c>
      <c r="D15" s="18" t="s">
        <v>140</v>
      </c>
      <c r="E15" s="21">
        <v>3.1158999999999999E-2</v>
      </c>
      <c r="F15" s="33"/>
      <c r="G15" s="33"/>
      <c r="H15" s="33"/>
      <c r="I15" s="33"/>
      <c r="J15" s="33"/>
      <c r="K15" s="33"/>
      <c r="L15" s="33"/>
      <c r="M15" s="33"/>
      <c r="N15" s="33"/>
      <c r="O15" s="33"/>
      <c r="P15" s="33"/>
      <c r="Q15" s="33"/>
      <c r="R15" s="33"/>
      <c r="S15" s="33"/>
      <c r="T15" s="26"/>
      <c r="V15" s="191"/>
      <c r="W15" s="77" t="s">
        <v>4</v>
      </c>
      <c r="X15" s="79">
        <v>4.7315000000000003E-2</v>
      </c>
      <c r="Y15" s="191"/>
      <c r="Z15" s="46"/>
      <c r="AA15" s="46"/>
    </row>
    <row r="16" spans="1:27" ht="15" customHeight="1" x14ac:dyDescent="0.25">
      <c r="B16" s="98"/>
      <c r="C16" s="16" t="s">
        <v>35</v>
      </c>
      <c r="D16" s="18" t="s">
        <v>23</v>
      </c>
      <c r="E16" s="21">
        <v>3.056E-2</v>
      </c>
      <c r="F16" s="33"/>
      <c r="G16" s="33"/>
      <c r="H16" s="33"/>
      <c r="I16" s="33"/>
      <c r="J16" s="33"/>
      <c r="K16" s="33"/>
      <c r="L16" s="33"/>
      <c r="M16" s="33"/>
      <c r="N16" s="33"/>
      <c r="O16" s="33"/>
      <c r="P16" s="33"/>
      <c r="Q16" s="33"/>
      <c r="R16" s="33"/>
      <c r="S16" s="33"/>
      <c r="T16" s="26"/>
      <c r="V16" s="191"/>
      <c r="W16" s="77" t="s">
        <v>16</v>
      </c>
      <c r="X16" s="153">
        <v>3.3006000000000001E-2</v>
      </c>
      <c r="Y16" s="191"/>
      <c r="Z16" s="46"/>
      <c r="AA16" s="46"/>
    </row>
    <row r="17" spans="2:27" ht="15.75" customHeight="1" x14ac:dyDescent="0.25">
      <c r="B17" s="98"/>
      <c r="C17" s="16" t="s">
        <v>151</v>
      </c>
      <c r="D17" s="18" t="s">
        <v>143</v>
      </c>
      <c r="E17" s="21">
        <v>2.9231E-2</v>
      </c>
      <c r="F17" s="33"/>
      <c r="G17" s="33"/>
      <c r="H17" s="33"/>
      <c r="I17" s="33"/>
      <c r="J17" s="33"/>
      <c r="K17" s="33"/>
      <c r="L17" s="33"/>
      <c r="M17" s="33"/>
      <c r="N17" s="33"/>
      <c r="O17" s="33"/>
      <c r="P17" s="33"/>
      <c r="Q17" s="33"/>
      <c r="R17" s="33"/>
      <c r="S17" s="33"/>
      <c r="T17" s="26"/>
      <c r="V17" s="191"/>
      <c r="W17" s="77" t="s">
        <v>23</v>
      </c>
      <c r="X17" s="79">
        <v>3.056E-2</v>
      </c>
      <c r="Y17" s="191"/>
      <c r="Z17" s="46"/>
      <c r="AA17" s="46"/>
    </row>
    <row r="18" spans="2:27" ht="15.75" x14ac:dyDescent="0.25">
      <c r="B18" s="98"/>
      <c r="C18" s="16" t="s">
        <v>77</v>
      </c>
      <c r="D18" s="18" t="s">
        <v>12</v>
      </c>
      <c r="E18" s="21">
        <v>2.6331E-2</v>
      </c>
      <c r="F18" s="33"/>
      <c r="G18" s="33"/>
      <c r="H18" s="33"/>
      <c r="I18" s="33"/>
      <c r="J18" s="33"/>
      <c r="K18" s="33"/>
      <c r="L18" s="33"/>
      <c r="M18" s="33"/>
      <c r="N18" s="33"/>
      <c r="O18" s="33"/>
      <c r="P18" s="33"/>
      <c r="Q18" s="33"/>
      <c r="R18" s="33"/>
      <c r="S18" s="33"/>
      <c r="T18" s="26"/>
      <c r="V18" s="191"/>
      <c r="W18" s="77" t="s">
        <v>26</v>
      </c>
      <c r="X18" s="79">
        <v>2.8357E-2</v>
      </c>
      <c r="Y18" s="191"/>
      <c r="Z18" s="46"/>
      <c r="AA18" s="46"/>
    </row>
    <row r="19" spans="2:27" ht="15.75" customHeight="1" x14ac:dyDescent="0.25">
      <c r="B19" s="98"/>
      <c r="C19" s="16" t="s">
        <v>105</v>
      </c>
      <c r="D19" s="18" t="s">
        <v>26</v>
      </c>
      <c r="E19" s="21">
        <v>2.5026E-2</v>
      </c>
      <c r="F19" s="33"/>
      <c r="G19" s="33"/>
      <c r="H19" s="33"/>
      <c r="I19" s="33"/>
      <c r="J19" s="33"/>
      <c r="K19" s="33"/>
      <c r="L19" s="33"/>
      <c r="M19" s="33"/>
      <c r="N19" s="33"/>
      <c r="O19" s="33"/>
      <c r="P19" s="33"/>
      <c r="Q19" s="33"/>
      <c r="R19" s="33"/>
      <c r="S19" s="33"/>
      <c r="T19" s="26"/>
      <c r="V19" s="191"/>
      <c r="W19" s="77" t="s">
        <v>12</v>
      </c>
      <c r="X19" s="79">
        <v>2.6331E-2</v>
      </c>
      <c r="Y19" s="191"/>
      <c r="Z19" s="46"/>
      <c r="AA19" s="46"/>
    </row>
    <row r="20" spans="2:27" ht="15" customHeight="1" x14ac:dyDescent="0.25">
      <c r="B20" s="98"/>
      <c r="C20" s="16" t="s">
        <v>171</v>
      </c>
      <c r="D20" s="18" t="s">
        <v>140</v>
      </c>
      <c r="E20" s="21">
        <v>2.4650999999999999E-2</v>
      </c>
      <c r="F20" s="33"/>
      <c r="G20" s="33"/>
      <c r="H20" s="33"/>
      <c r="I20" s="33"/>
      <c r="J20" s="33"/>
      <c r="K20" s="33"/>
      <c r="L20" s="33"/>
      <c r="M20" s="33"/>
      <c r="N20" s="33"/>
      <c r="O20" s="33"/>
      <c r="P20" s="33"/>
      <c r="Q20" s="33"/>
      <c r="R20" s="33"/>
      <c r="S20" s="33"/>
      <c r="T20" s="26"/>
      <c r="V20" s="191"/>
      <c r="W20" s="77" t="s">
        <v>155</v>
      </c>
      <c r="X20" s="79">
        <v>1.6605999999999999E-2</v>
      </c>
      <c r="Y20" s="191"/>
      <c r="Z20" s="46"/>
      <c r="AA20" s="46"/>
    </row>
    <row r="21" spans="2:27" ht="15" customHeight="1" x14ac:dyDescent="0.25">
      <c r="B21" s="98"/>
      <c r="C21" s="16" t="s">
        <v>175</v>
      </c>
      <c r="D21" s="18" t="s">
        <v>16</v>
      </c>
      <c r="E21" s="21">
        <v>2.4510000000000001E-2</v>
      </c>
      <c r="F21" s="33"/>
      <c r="G21" s="33"/>
      <c r="H21" s="33"/>
      <c r="I21" s="33"/>
      <c r="J21" s="33"/>
      <c r="K21" s="33"/>
      <c r="L21" s="33"/>
      <c r="M21" s="33"/>
      <c r="N21" s="33"/>
      <c r="O21" s="33"/>
      <c r="P21" s="33"/>
      <c r="Q21" s="33"/>
      <c r="R21" s="33"/>
      <c r="S21" s="33"/>
      <c r="T21" s="26"/>
      <c r="V21" s="191"/>
      <c r="W21" s="77" t="s">
        <v>148</v>
      </c>
      <c r="X21" s="79">
        <v>1.6324000000000002E-2</v>
      </c>
      <c r="Y21" s="191"/>
      <c r="Z21" s="46"/>
      <c r="AA21" s="46"/>
    </row>
    <row r="22" spans="2:27" ht="15" customHeight="1" x14ac:dyDescent="0.25">
      <c r="B22" s="98"/>
      <c r="C22" s="16" t="s">
        <v>217</v>
      </c>
      <c r="D22" s="18" t="s">
        <v>24</v>
      </c>
      <c r="E22" s="21">
        <v>2.3401000000000002E-2</v>
      </c>
      <c r="F22" s="33"/>
      <c r="G22" s="33"/>
      <c r="H22" s="33"/>
      <c r="I22" s="33"/>
      <c r="J22" s="33"/>
      <c r="K22" s="33"/>
      <c r="L22" s="33"/>
      <c r="M22" s="33"/>
      <c r="N22" s="33"/>
      <c r="O22" s="33"/>
      <c r="P22" s="33"/>
      <c r="Q22" s="33"/>
      <c r="R22" s="33"/>
      <c r="S22" s="33"/>
      <c r="T22" s="26"/>
      <c r="V22" s="191"/>
      <c r="W22" s="77" t="s">
        <v>103</v>
      </c>
      <c r="X22" s="79">
        <v>1.6094000000000001E-2</v>
      </c>
      <c r="Y22" s="191"/>
      <c r="Z22" s="46"/>
      <c r="AA22" s="46"/>
    </row>
    <row r="23" spans="2:27" ht="15" customHeight="1" x14ac:dyDescent="0.25">
      <c r="B23" s="98"/>
      <c r="C23" s="90"/>
      <c r="D23" s="90"/>
      <c r="E23" s="186"/>
      <c r="F23" s="33"/>
      <c r="G23" s="33"/>
      <c r="H23" s="33"/>
      <c r="I23" s="33"/>
      <c r="J23" s="33"/>
      <c r="K23" s="33"/>
      <c r="L23" s="33"/>
      <c r="M23" s="33"/>
      <c r="N23" s="33"/>
      <c r="O23" s="33"/>
      <c r="P23" s="33"/>
      <c r="Q23" s="33"/>
      <c r="R23" s="33"/>
      <c r="S23" s="33"/>
      <c r="T23" s="26"/>
      <c r="V23" s="191"/>
      <c r="W23" s="77" t="s">
        <v>100</v>
      </c>
      <c r="X23" s="79">
        <v>1.3065E-2</v>
      </c>
      <c r="Y23" s="191"/>
      <c r="Z23" s="46"/>
      <c r="AA23" s="46"/>
    </row>
    <row r="24" spans="2:27" ht="15" customHeight="1" x14ac:dyDescent="0.25">
      <c r="B24" s="98"/>
      <c r="C24" s="92" t="s">
        <v>56</v>
      </c>
      <c r="D24" s="93"/>
      <c r="E24" s="94">
        <f>SUM(E8:E22)</f>
        <v>0.61775800000000003</v>
      </c>
      <c r="F24" s="33"/>
      <c r="G24" s="33"/>
      <c r="H24" s="33"/>
      <c r="I24" s="33"/>
      <c r="J24" s="33"/>
      <c r="K24" s="33"/>
      <c r="L24" s="33"/>
      <c r="M24" s="33"/>
      <c r="N24" s="33"/>
      <c r="O24" s="33"/>
      <c r="P24" s="33"/>
      <c r="Q24" s="33"/>
      <c r="R24" s="33"/>
      <c r="S24" s="33"/>
      <c r="T24" s="26"/>
      <c r="V24" s="191"/>
      <c r="W24" s="77" t="s">
        <v>153</v>
      </c>
      <c r="X24" s="79">
        <v>1.1221E-2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136</v>
      </c>
      <c r="X25" s="79">
        <v>1.0477999999999999E-2</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91</v>
      </c>
      <c r="X26" s="79">
        <v>9.9229999999999995E-3</v>
      </c>
      <c r="Y26" s="191"/>
      <c r="Z26" s="46"/>
      <c r="AA26" s="46"/>
    </row>
    <row r="27" spans="2:27" ht="15" customHeight="1" x14ac:dyDescent="0.25">
      <c r="B27" s="98"/>
      <c r="D27" s="194"/>
      <c r="F27" s="33"/>
      <c r="G27" s="33"/>
      <c r="H27" s="33"/>
      <c r="I27" s="33"/>
      <c r="J27" s="33"/>
      <c r="K27" s="33"/>
      <c r="L27" s="33"/>
      <c r="M27" s="33"/>
      <c r="N27" s="33"/>
      <c r="O27" s="33"/>
      <c r="P27" s="33"/>
      <c r="Q27" s="33"/>
      <c r="R27" s="33"/>
      <c r="S27" s="33"/>
      <c r="T27" s="26"/>
      <c r="V27" s="191"/>
      <c r="W27" s="77" t="s">
        <v>138</v>
      </c>
      <c r="X27" s="79">
        <v>8.0099999999999998E-3</v>
      </c>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t="s">
        <v>156</v>
      </c>
      <c r="X28" s="79">
        <v>6.9940000000000002E-3</v>
      </c>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77" t="s">
        <v>142</v>
      </c>
      <c r="X29" s="79">
        <v>5.8459999999999996E-3</v>
      </c>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t="s">
        <v>157</v>
      </c>
      <c r="X30" s="78">
        <v>5.0860000000000002E-3</v>
      </c>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77" t="s">
        <v>152</v>
      </c>
      <c r="X31" s="78">
        <v>1.89E-3</v>
      </c>
      <c r="Y31" s="191"/>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c r="W32" s="23" t="s">
        <v>144</v>
      </c>
      <c r="X32" s="78">
        <v>6.4999999999999997E-4</v>
      </c>
    </row>
    <row r="33" spans="2:18" ht="15" customHeight="1" thickBot="1" x14ac:dyDescent="0.3"/>
    <row r="34" spans="2:18" ht="15" customHeight="1" x14ac:dyDescent="0.25">
      <c r="B34" s="226" t="s">
        <v>254</v>
      </c>
      <c r="C34" s="227"/>
      <c r="D34" s="227"/>
      <c r="E34" s="227"/>
      <c r="F34" s="227"/>
      <c r="G34" s="227"/>
      <c r="H34" s="227"/>
      <c r="I34" s="227"/>
      <c r="J34" s="227"/>
      <c r="K34" s="227"/>
      <c r="L34" s="227"/>
      <c r="M34" s="227"/>
      <c r="N34" s="227"/>
      <c r="O34" s="227"/>
      <c r="P34" s="227"/>
      <c r="Q34" s="227"/>
      <c r="R34" s="228"/>
    </row>
    <row r="35" spans="2:18" ht="15" customHeight="1" x14ac:dyDescent="0.25">
      <c r="B35" s="229"/>
      <c r="C35" s="230"/>
      <c r="D35" s="230"/>
      <c r="E35" s="230"/>
      <c r="F35" s="230"/>
      <c r="G35" s="230"/>
      <c r="H35" s="230"/>
      <c r="I35" s="230"/>
      <c r="J35" s="230"/>
      <c r="K35" s="230"/>
      <c r="L35" s="230"/>
      <c r="M35" s="230"/>
      <c r="N35" s="230"/>
      <c r="O35" s="230"/>
      <c r="P35" s="230"/>
      <c r="Q35" s="230"/>
      <c r="R35" s="231"/>
    </row>
    <row r="36" spans="2:18" ht="15" customHeight="1" x14ac:dyDescent="0.25">
      <c r="B36" s="229"/>
      <c r="C36" s="230"/>
      <c r="D36" s="230"/>
      <c r="E36" s="230"/>
      <c r="F36" s="230"/>
      <c r="G36" s="230"/>
      <c r="H36" s="230"/>
      <c r="I36" s="230"/>
      <c r="J36" s="230"/>
      <c r="K36" s="230"/>
      <c r="L36" s="230"/>
      <c r="M36" s="230"/>
      <c r="N36" s="230"/>
      <c r="O36" s="230"/>
      <c r="P36" s="230"/>
      <c r="Q36" s="230"/>
      <c r="R36" s="231"/>
    </row>
    <row r="37" spans="2:18" ht="15" customHeight="1" x14ac:dyDescent="0.25">
      <c r="B37" s="229"/>
      <c r="C37" s="230"/>
      <c r="D37" s="230"/>
      <c r="E37" s="230"/>
      <c r="F37" s="230"/>
      <c r="G37" s="230"/>
      <c r="H37" s="230"/>
      <c r="I37" s="230"/>
      <c r="J37" s="230"/>
      <c r="K37" s="230"/>
      <c r="L37" s="230"/>
      <c r="M37" s="230"/>
      <c r="N37" s="230"/>
      <c r="O37" s="230"/>
      <c r="P37" s="230"/>
      <c r="Q37" s="230"/>
      <c r="R37" s="231"/>
    </row>
    <row r="38" spans="2:18" ht="15" customHeight="1" x14ac:dyDescent="0.25">
      <c r="B38" s="229"/>
      <c r="C38" s="230"/>
      <c r="D38" s="230"/>
      <c r="E38" s="230"/>
      <c r="F38" s="230"/>
      <c r="G38" s="230"/>
      <c r="H38" s="230"/>
      <c r="I38" s="230"/>
      <c r="J38" s="230"/>
      <c r="K38" s="230"/>
      <c r="L38" s="230"/>
      <c r="M38" s="230"/>
      <c r="N38" s="230"/>
      <c r="O38" s="230"/>
      <c r="P38" s="230"/>
      <c r="Q38" s="230"/>
      <c r="R38" s="231"/>
    </row>
    <row r="39" spans="2:18" ht="15" customHeight="1" x14ac:dyDescent="0.25">
      <c r="B39" s="229"/>
      <c r="C39" s="230"/>
      <c r="D39" s="230"/>
      <c r="E39" s="230"/>
      <c r="F39" s="230"/>
      <c r="G39" s="230"/>
      <c r="H39" s="230"/>
      <c r="I39" s="230"/>
      <c r="J39" s="230"/>
      <c r="K39" s="230"/>
      <c r="L39" s="230"/>
      <c r="M39" s="230"/>
      <c r="N39" s="230"/>
      <c r="O39" s="230"/>
      <c r="P39" s="230"/>
      <c r="Q39" s="230"/>
      <c r="R39" s="231"/>
    </row>
    <row r="40" spans="2:18" ht="21.75" customHeight="1" thickBot="1" x14ac:dyDescent="0.3">
      <c r="B40" s="232"/>
      <c r="C40" s="233"/>
      <c r="D40" s="233"/>
      <c r="E40" s="233"/>
      <c r="F40" s="233"/>
      <c r="G40" s="233"/>
      <c r="H40" s="233"/>
      <c r="I40" s="233"/>
      <c r="J40" s="233"/>
      <c r="K40" s="233"/>
      <c r="L40" s="233"/>
      <c r="M40" s="233"/>
      <c r="N40" s="233"/>
      <c r="O40" s="233"/>
      <c r="P40" s="233"/>
      <c r="Q40" s="233"/>
      <c r="R40" s="234"/>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241</v>
      </c>
      <c r="D3" s="236"/>
      <c r="E3" s="236"/>
      <c r="F3" s="236"/>
      <c r="G3" s="236"/>
      <c r="H3" s="236"/>
      <c r="I3" s="236"/>
      <c r="J3" s="236"/>
      <c r="K3" s="236"/>
      <c r="L3" s="236"/>
      <c r="M3" s="236"/>
      <c r="N3" s="236"/>
      <c r="O3" s="236"/>
      <c r="P3" s="236"/>
      <c r="Q3" s="236"/>
      <c r="R3" s="236"/>
      <c r="S3" s="236"/>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7" t="s">
        <v>283</v>
      </c>
      <c r="E5" s="237"/>
      <c r="F5" s="33"/>
      <c r="G5" s="189"/>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8" t="s">
        <v>2</v>
      </c>
    </row>
    <row r="8" spans="1:24" ht="15" customHeight="1" x14ac:dyDescent="0.25">
      <c r="B8" s="98"/>
      <c r="C8" s="15" t="s">
        <v>88</v>
      </c>
      <c r="D8" s="17" t="s">
        <v>136</v>
      </c>
      <c r="E8" s="19">
        <v>3.4925999999999999E-2</v>
      </c>
      <c r="F8" s="33"/>
      <c r="G8" s="33"/>
      <c r="H8" s="33"/>
      <c r="I8" s="33"/>
      <c r="J8" s="33"/>
      <c r="K8" s="33"/>
      <c r="L8" s="33"/>
      <c r="M8" s="33"/>
      <c r="N8" s="33"/>
      <c r="O8" s="33"/>
      <c r="P8" s="33"/>
      <c r="Q8" s="33"/>
      <c r="R8" s="33"/>
      <c r="S8" s="33"/>
      <c r="T8" s="26"/>
      <c r="W8" s="77" t="s">
        <v>16</v>
      </c>
      <c r="X8" s="79">
        <v>9.2487000000000014E-2</v>
      </c>
    </row>
    <row r="9" spans="1:24" ht="15.75" customHeight="1" x14ac:dyDescent="0.25">
      <c r="B9" s="98"/>
      <c r="C9" s="16" t="s">
        <v>115</v>
      </c>
      <c r="D9" s="18" t="s">
        <v>24</v>
      </c>
      <c r="E9" s="20">
        <v>3.0997E-2</v>
      </c>
      <c r="F9" s="33"/>
      <c r="G9" s="33"/>
      <c r="H9" s="33"/>
      <c r="I9" s="33"/>
      <c r="J9" s="33"/>
      <c r="K9" s="33"/>
      <c r="L9" s="33"/>
      <c r="M9" s="33"/>
      <c r="N9" s="33"/>
      <c r="O9" s="33"/>
      <c r="P9" s="33"/>
      <c r="Q9" s="33"/>
      <c r="R9" s="33"/>
      <c r="S9" s="33"/>
      <c r="T9" s="26"/>
      <c r="W9" s="77" t="s">
        <v>24</v>
      </c>
      <c r="X9" s="79">
        <v>8.5713999999999985E-2</v>
      </c>
    </row>
    <row r="10" spans="1:24" ht="15" customHeight="1" x14ac:dyDescent="0.25">
      <c r="B10" s="98"/>
      <c r="C10" s="16" t="s">
        <v>130</v>
      </c>
      <c r="D10" s="18" t="s">
        <v>16</v>
      </c>
      <c r="E10" s="20">
        <v>2.7123000000000001E-2</v>
      </c>
      <c r="F10" s="33"/>
      <c r="G10" s="33"/>
      <c r="H10" s="33"/>
      <c r="I10" s="33"/>
      <c r="J10" s="33"/>
      <c r="K10" s="33"/>
      <c r="L10" s="33"/>
      <c r="M10" s="33"/>
      <c r="N10" s="33"/>
      <c r="O10" s="33"/>
      <c r="P10" s="33"/>
      <c r="Q10" s="33"/>
      <c r="R10" s="33"/>
      <c r="S10" s="33"/>
      <c r="T10" s="26"/>
      <c r="W10" s="77" t="s">
        <v>140</v>
      </c>
      <c r="X10" s="79">
        <v>8.3423999999999998E-2</v>
      </c>
    </row>
    <row r="11" spans="1:24" ht="15" customHeight="1" x14ac:dyDescent="0.25">
      <c r="B11" s="98"/>
      <c r="C11" s="16" t="s">
        <v>172</v>
      </c>
      <c r="D11" s="18" t="s">
        <v>140</v>
      </c>
      <c r="E11" s="20">
        <v>2.6966E-2</v>
      </c>
      <c r="F11" s="33"/>
      <c r="G11" s="33"/>
      <c r="H11" s="33"/>
      <c r="I11" s="33"/>
      <c r="J11" s="33"/>
      <c r="K11" s="33"/>
      <c r="L11" s="33"/>
      <c r="M11" s="33"/>
      <c r="N11" s="33"/>
      <c r="O11" s="33"/>
      <c r="P11" s="33"/>
      <c r="Q11" s="33"/>
      <c r="R11" s="33"/>
      <c r="S11" s="33"/>
      <c r="T11" s="26"/>
      <c r="W11" s="77" t="s">
        <v>100</v>
      </c>
      <c r="X11" s="79">
        <v>5.5948000000000005E-2</v>
      </c>
    </row>
    <row r="12" spans="1:24" ht="15" customHeight="1" x14ac:dyDescent="0.25">
      <c r="B12" s="98"/>
      <c r="C12" s="16" t="s">
        <v>186</v>
      </c>
      <c r="D12" s="18" t="s">
        <v>23</v>
      </c>
      <c r="E12" s="20">
        <v>2.5203E-2</v>
      </c>
      <c r="F12" s="33"/>
      <c r="G12" s="33"/>
      <c r="H12" s="33"/>
      <c r="I12" s="33"/>
      <c r="J12" s="33"/>
      <c r="K12" s="33"/>
      <c r="L12" s="33"/>
      <c r="M12" s="33"/>
      <c r="N12" s="33"/>
      <c r="O12" s="33"/>
      <c r="P12" s="33"/>
      <c r="Q12" s="33"/>
      <c r="R12" s="33"/>
      <c r="S12" s="33"/>
      <c r="T12" s="26"/>
      <c r="W12" s="77" t="s">
        <v>101</v>
      </c>
      <c r="X12" s="79">
        <v>4.0481999999999997E-2</v>
      </c>
    </row>
    <row r="13" spans="1:24" ht="15" customHeight="1" x14ac:dyDescent="0.25">
      <c r="B13" s="98"/>
      <c r="C13" s="16" t="s">
        <v>194</v>
      </c>
      <c r="D13" s="18" t="s">
        <v>146</v>
      </c>
      <c r="E13" s="20">
        <v>2.5173000000000001E-2</v>
      </c>
      <c r="F13" s="33"/>
      <c r="G13" s="33"/>
      <c r="H13" s="33"/>
      <c r="I13" s="33"/>
      <c r="J13" s="33"/>
      <c r="K13" s="33"/>
      <c r="L13" s="33"/>
      <c r="M13" s="33"/>
      <c r="N13" s="33"/>
      <c r="O13" s="33"/>
      <c r="P13" s="33"/>
      <c r="Q13" s="33"/>
      <c r="R13" s="33"/>
      <c r="S13" s="33"/>
      <c r="T13" s="26"/>
      <c r="W13" s="77" t="s">
        <v>4</v>
      </c>
      <c r="X13" s="79">
        <v>3.9365999999999998E-2</v>
      </c>
    </row>
    <row r="14" spans="1:24" ht="15" customHeight="1" x14ac:dyDescent="0.25">
      <c r="B14" s="98"/>
      <c r="C14" s="16" t="s">
        <v>193</v>
      </c>
      <c r="D14" s="18" t="s">
        <v>100</v>
      </c>
      <c r="E14" s="20">
        <v>2.4527E-2</v>
      </c>
      <c r="F14" s="33"/>
      <c r="G14" s="33"/>
      <c r="H14" s="33"/>
      <c r="I14" s="33"/>
      <c r="J14" s="33"/>
      <c r="K14" s="33"/>
      <c r="L14" s="33"/>
      <c r="M14" s="33"/>
      <c r="N14" s="33"/>
      <c r="O14" s="33"/>
      <c r="P14" s="33"/>
      <c r="Q14" s="33"/>
      <c r="R14" s="33"/>
      <c r="S14" s="33"/>
      <c r="T14" s="26"/>
      <c r="W14" s="77" t="s">
        <v>137</v>
      </c>
      <c r="X14" s="79">
        <v>3.5783999999999996E-2</v>
      </c>
    </row>
    <row r="15" spans="1:24" ht="15" customHeight="1" x14ac:dyDescent="0.25">
      <c r="B15" s="98"/>
      <c r="C15" s="16" t="s">
        <v>89</v>
      </c>
      <c r="D15" s="18" t="s">
        <v>147</v>
      </c>
      <c r="E15" s="20">
        <v>2.2114000000000002E-2</v>
      </c>
      <c r="F15" s="33"/>
      <c r="G15" s="33"/>
      <c r="H15" s="33"/>
      <c r="I15" s="33"/>
      <c r="J15" s="33"/>
      <c r="K15" s="33"/>
      <c r="L15" s="33"/>
      <c r="M15" s="33"/>
      <c r="N15" s="33"/>
      <c r="O15" s="33"/>
      <c r="P15" s="33"/>
      <c r="Q15" s="33"/>
      <c r="R15" s="33"/>
      <c r="S15" s="33"/>
      <c r="T15" s="26"/>
      <c r="W15" s="77" t="s">
        <v>136</v>
      </c>
      <c r="X15" s="79">
        <v>3.4925999999999999E-2</v>
      </c>
    </row>
    <row r="16" spans="1:24" ht="15" customHeight="1" x14ac:dyDescent="0.25">
      <c r="B16" s="98"/>
      <c r="C16" s="16" t="s">
        <v>219</v>
      </c>
      <c r="D16" s="18" t="s">
        <v>137</v>
      </c>
      <c r="E16" s="20">
        <v>2.1604999999999999E-2</v>
      </c>
      <c r="F16" s="33"/>
      <c r="G16" s="33"/>
      <c r="H16" s="33"/>
      <c r="I16" s="33"/>
      <c r="J16" s="33"/>
      <c r="K16" s="33"/>
      <c r="L16" s="33"/>
      <c r="M16" s="33"/>
      <c r="N16" s="33"/>
      <c r="O16" s="33"/>
      <c r="P16" s="33"/>
      <c r="Q16" s="33"/>
      <c r="R16" s="33"/>
      <c r="S16" s="33"/>
      <c r="T16" s="26"/>
      <c r="W16" s="77" t="s">
        <v>99</v>
      </c>
      <c r="X16" s="79">
        <v>3.4806999999999998E-2</v>
      </c>
    </row>
    <row r="17" spans="2:24" ht="15" customHeight="1" x14ac:dyDescent="0.25">
      <c r="B17" s="98"/>
      <c r="C17" s="16" t="s">
        <v>64</v>
      </c>
      <c r="D17" s="18" t="s">
        <v>10</v>
      </c>
      <c r="E17" s="20">
        <v>2.1565000000000001E-2</v>
      </c>
      <c r="F17" s="33"/>
      <c r="G17" s="33"/>
      <c r="H17" s="33"/>
      <c r="I17" s="33"/>
      <c r="J17" s="33"/>
      <c r="K17" s="33"/>
      <c r="L17" s="33"/>
      <c r="M17" s="33"/>
      <c r="N17" s="33"/>
      <c r="O17" s="33"/>
      <c r="P17" s="33"/>
      <c r="Q17" s="33"/>
      <c r="R17" s="33"/>
      <c r="S17" s="33"/>
      <c r="T17" s="26"/>
      <c r="W17" s="77" t="s">
        <v>147</v>
      </c>
      <c r="X17" s="79">
        <v>3.1071000000000001E-2</v>
      </c>
    </row>
    <row r="18" spans="2:24" ht="15" customHeight="1" x14ac:dyDescent="0.25">
      <c r="B18" s="98"/>
      <c r="C18" s="16" t="s">
        <v>90</v>
      </c>
      <c r="D18" s="18" t="s">
        <v>16</v>
      </c>
      <c r="E18" s="20">
        <v>2.1276E-2</v>
      </c>
      <c r="F18" s="33"/>
      <c r="G18" s="33"/>
      <c r="H18" s="33"/>
      <c r="I18" s="33"/>
      <c r="J18" s="33"/>
      <c r="K18" s="33"/>
      <c r="L18" s="33"/>
      <c r="M18" s="33"/>
      <c r="N18" s="33"/>
      <c r="O18" s="33"/>
      <c r="P18" s="33"/>
      <c r="Q18" s="33"/>
      <c r="R18" s="33"/>
      <c r="S18" s="33"/>
      <c r="T18" s="26"/>
      <c r="W18" s="77" t="s">
        <v>91</v>
      </c>
      <c r="X18" s="79">
        <v>3.0107000000000002E-2</v>
      </c>
    </row>
    <row r="19" spans="2:24" ht="15" customHeight="1" x14ac:dyDescent="0.25">
      <c r="B19" s="98"/>
      <c r="C19" s="16" t="s">
        <v>131</v>
      </c>
      <c r="D19" s="18" t="s">
        <v>99</v>
      </c>
      <c r="E19" s="20">
        <v>2.1052999999999999E-2</v>
      </c>
      <c r="F19" s="33"/>
      <c r="G19" s="33"/>
      <c r="H19" s="33"/>
      <c r="I19" s="33"/>
      <c r="J19" s="33"/>
      <c r="K19" s="33"/>
      <c r="L19" s="33"/>
      <c r="M19" s="33"/>
      <c r="N19" s="33"/>
      <c r="O19" s="33"/>
      <c r="P19" s="33"/>
      <c r="Q19" s="33"/>
      <c r="R19" s="33"/>
      <c r="S19" s="33"/>
      <c r="T19" s="26"/>
      <c r="W19" s="77" t="s">
        <v>156</v>
      </c>
      <c r="X19" s="79">
        <v>2.9248000000000003E-2</v>
      </c>
    </row>
    <row r="20" spans="2:24" ht="15" customHeight="1" x14ac:dyDescent="0.25">
      <c r="B20" s="98"/>
      <c r="C20" s="16" t="s">
        <v>93</v>
      </c>
      <c r="D20" s="18" t="s">
        <v>24</v>
      </c>
      <c r="E20" s="20">
        <v>2.0778999999999999E-2</v>
      </c>
      <c r="F20" s="33"/>
      <c r="G20" s="33"/>
      <c r="H20" s="33"/>
      <c r="I20" s="33"/>
      <c r="J20" s="33"/>
      <c r="K20" s="33"/>
      <c r="L20" s="33"/>
      <c r="M20" s="33"/>
      <c r="N20" s="33"/>
      <c r="O20" s="33"/>
      <c r="P20" s="33"/>
      <c r="Q20" s="33"/>
      <c r="R20" s="33"/>
      <c r="S20" s="33"/>
      <c r="T20" s="26"/>
      <c r="W20" s="77" t="s">
        <v>3</v>
      </c>
      <c r="X20" s="79">
        <v>2.8558E-2</v>
      </c>
    </row>
    <row r="21" spans="2:24" ht="15" customHeight="1" x14ac:dyDescent="0.25">
      <c r="B21" s="98"/>
      <c r="C21" s="16" t="s">
        <v>192</v>
      </c>
      <c r="D21" s="18" t="s">
        <v>145</v>
      </c>
      <c r="E21" s="20">
        <v>1.9619000000000001E-2</v>
      </c>
      <c r="F21" s="33"/>
      <c r="G21" s="33"/>
      <c r="H21" s="33"/>
      <c r="I21" s="33"/>
      <c r="J21" s="33"/>
      <c r="K21" s="33"/>
      <c r="L21" s="33"/>
      <c r="M21" s="33"/>
      <c r="N21" s="33"/>
      <c r="O21" s="33"/>
      <c r="P21" s="33"/>
      <c r="Q21" s="33"/>
      <c r="R21" s="33"/>
      <c r="S21" s="33"/>
      <c r="T21" s="26"/>
      <c r="W21" s="77" t="s">
        <v>26</v>
      </c>
      <c r="X21" s="79">
        <v>2.6737999999999998E-2</v>
      </c>
    </row>
    <row r="22" spans="2:24" ht="15" customHeight="1" x14ac:dyDescent="0.25">
      <c r="B22" s="98"/>
      <c r="C22" s="16" t="s">
        <v>37</v>
      </c>
      <c r="D22" s="18" t="s">
        <v>3</v>
      </c>
      <c r="E22" s="20">
        <v>1.9334E-2</v>
      </c>
      <c r="F22" s="33"/>
      <c r="G22" s="33"/>
      <c r="H22" s="33"/>
      <c r="I22" s="33"/>
      <c r="J22" s="33"/>
      <c r="K22" s="33"/>
      <c r="L22" s="33"/>
      <c r="M22" s="33"/>
      <c r="N22" s="33"/>
      <c r="O22" s="33"/>
      <c r="P22" s="33"/>
      <c r="Q22" s="33"/>
      <c r="R22" s="33"/>
      <c r="S22" s="33"/>
      <c r="T22" s="26"/>
      <c r="W22" s="77" t="s">
        <v>23</v>
      </c>
      <c r="X22" s="79">
        <v>2.5203E-2</v>
      </c>
    </row>
    <row r="23" spans="2:24" ht="15" customHeight="1" x14ac:dyDescent="0.25">
      <c r="B23" s="98"/>
      <c r="C23" s="90"/>
      <c r="D23" s="190"/>
      <c r="E23" s="91"/>
      <c r="F23" s="33"/>
      <c r="G23" s="33"/>
      <c r="H23" s="33"/>
      <c r="I23" s="33"/>
      <c r="J23" s="33"/>
      <c r="K23" s="33"/>
      <c r="L23" s="33"/>
      <c r="M23" s="33"/>
      <c r="N23" s="33"/>
      <c r="O23" s="33"/>
      <c r="P23" s="33"/>
      <c r="Q23" s="33"/>
      <c r="R23" s="33"/>
      <c r="S23" s="33"/>
      <c r="T23" s="26"/>
      <c r="W23" s="77" t="s">
        <v>146</v>
      </c>
      <c r="X23" s="79">
        <v>2.5173000000000001E-2</v>
      </c>
    </row>
    <row r="24" spans="2:24" ht="15" customHeight="1" x14ac:dyDescent="0.25">
      <c r="B24" s="98"/>
      <c r="C24" s="92" t="s">
        <v>56</v>
      </c>
      <c r="D24" s="93"/>
      <c r="E24" s="94">
        <f>SUM(E8:E22)</f>
        <v>0.36225999999999997</v>
      </c>
      <c r="F24" s="33"/>
      <c r="G24" s="33"/>
      <c r="H24" s="33"/>
      <c r="I24" s="33"/>
      <c r="J24" s="33"/>
      <c r="K24" s="33"/>
      <c r="L24" s="33"/>
      <c r="M24" s="33"/>
      <c r="N24" s="33"/>
      <c r="O24" s="33"/>
      <c r="P24" s="33"/>
      <c r="Q24" s="33"/>
      <c r="R24" s="33"/>
      <c r="S24" s="33"/>
      <c r="T24" s="26"/>
      <c r="W24" s="77" t="s">
        <v>10</v>
      </c>
      <c r="X24" s="79">
        <v>2.1565000000000001E-2</v>
      </c>
    </row>
    <row r="25" spans="2:24" ht="15" customHeight="1" x14ac:dyDescent="0.25">
      <c r="B25" s="98"/>
      <c r="F25" s="33"/>
      <c r="G25" s="33"/>
      <c r="H25" s="33"/>
      <c r="I25" s="33"/>
      <c r="J25" s="33"/>
      <c r="K25" s="33"/>
      <c r="L25" s="33"/>
      <c r="M25" s="33"/>
      <c r="N25" s="33"/>
      <c r="O25" s="33"/>
      <c r="P25" s="33"/>
      <c r="Q25" s="33"/>
      <c r="R25" s="33"/>
      <c r="S25" s="33"/>
      <c r="T25" s="26"/>
      <c r="W25" s="77" t="s">
        <v>142</v>
      </c>
      <c r="X25" s="79">
        <v>2.1176E-2</v>
      </c>
    </row>
    <row r="26" spans="2:24" ht="15" customHeight="1" x14ac:dyDescent="0.25">
      <c r="B26" s="98"/>
      <c r="F26" s="33"/>
      <c r="G26" s="33"/>
      <c r="H26" s="33"/>
      <c r="I26" s="33"/>
      <c r="J26" s="33"/>
      <c r="K26" s="33"/>
      <c r="L26" s="33"/>
      <c r="M26" s="33"/>
      <c r="N26" s="33"/>
      <c r="O26" s="33"/>
      <c r="P26" s="33"/>
      <c r="Q26" s="33"/>
      <c r="R26" s="33"/>
      <c r="S26" s="33"/>
      <c r="T26" s="26"/>
      <c r="W26" s="77" t="s">
        <v>145</v>
      </c>
      <c r="X26" s="79">
        <v>1.9619000000000001E-2</v>
      </c>
    </row>
    <row r="27" spans="2:24" ht="15" customHeight="1" x14ac:dyDescent="0.25">
      <c r="B27" s="98"/>
      <c r="F27" s="33"/>
      <c r="G27" s="33"/>
      <c r="H27" s="33"/>
      <c r="I27" s="33"/>
      <c r="J27" s="33"/>
      <c r="K27" s="33"/>
      <c r="L27" s="33"/>
      <c r="M27" s="33"/>
      <c r="N27" s="33"/>
      <c r="O27" s="33"/>
      <c r="P27" s="33"/>
      <c r="Q27" s="33"/>
      <c r="R27" s="33"/>
      <c r="S27" s="33"/>
      <c r="T27" s="26"/>
      <c r="W27" s="77" t="s">
        <v>138</v>
      </c>
      <c r="X27" s="79">
        <v>1.9394000000000002E-2</v>
      </c>
    </row>
    <row r="28" spans="2:24" ht="15" customHeight="1" x14ac:dyDescent="0.25">
      <c r="B28" s="98"/>
      <c r="F28" s="33"/>
      <c r="G28" s="33"/>
      <c r="H28" s="33"/>
      <c r="I28" s="33"/>
      <c r="J28" s="33"/>
      <c r="K28" s="33"/>
      <c r="L28" s="33"/>
      <c r="M28" s="33"/>
      <c r="N28" s="33"/>
      <c r="O28" s="33"/>
      <c r="P28" s="33"/>
      <c r="Q28" s="33"/>
      <c r="R28" s="33"/>
      <c r="S28" s="33"/>
      <c r="T28" s="26"/>
      <c r="W28" s="77" t="s">
        <v>144</v>
      </c>
      <c r="X28" s="79">
        <v>1.9251000000000001E-2</v>
      </c>
    </row>
    <row r="29" spans="2:24" ht="15" customHeight="1" x14ac:dyDescent="0.25">
      <c r="B29" s="98"/>
      <c r="F29" s="33"/>
      <c r="G29" s="33"/>
      <c r="H29" s="33"/>
      <c r="I29" s="33"/>
      <c r="J29" s="33"/>
      <c r="K29" s="33"/>
      <c r="L29" s="33"/>
      <c r="M29" s="33"/>
      <c r="N29" s="33"/>
      <c r="O29" s="33"/>
      <c r="P29" s="33"/>
      <c r="Q29" s="33"/>
      <c r="R29" s="33"/>
      <c r="S29" s="33"/>
      <c r="T29" s="26"/>
      <c r="W29" s="77" t="s">
        <v>103</v>
      </c>
      <c r="X29" s="79">
        <v>1.7850999999999999E-2</v>
      </c>
    </row>
    <row r="30" spans="2:24" ht="15" customHeight="1" x14ac:dyDescent="0.25">
      <c r="B30" s="98"/>
      <c r="F30" s="33"/>
      <c r="G30" s="33"/>
      <c r="H30" s="33"/>
      <c r="I30" s="33"/>
      <c r="J30" s="33"/>
      <c r="K30" s="33"/>
      <c r="L30" s="33"/>
      <c r="M30" s="33"/>
      <c r="N30" s="33"/>
      <c r="O30" s="33"/>
      <c r="P30" s="33"/>
      <c r="Q30" s="33"/>
      <c r="R30" s="33"/>
      <c r="S30" s="33"/>
      <c r="T30" s="26"/>
      <c r="W30" s="77" t="s">
        <v>158</v>
      </c>
      <c r="X30" s="79">
        <v>1.6230999999999999E-2</v>
      </c>
    </row>
    <row r="31" spans="2:24" ht="15" customHeight="1" x14ac:dyDescent="0.25">
      <c r="B31" s="98"/>
      <c r="F31" s="33"/>
      <c r="G31" s="33"/>
      <c r="H31" s="33"/>
      <c r="I31" s="33"/>
      <c r="J31" s="33"/>
      <c r="K31" s="33"/>
      <c r="L31" s="33"/>
      <c r="M31" s="33"/>
      <c r="N31" s="33"/>
      <c r="O31" s="33"/>
      <c r="P31" s="33"/>
      <c r="Q31" s="33"/>
      <c r="R31" s="33"/>
      <c r="S31" s="33"/>
      <c r="T31" s="26"/>
      <c r="W31" s="77" t="s">
        <v>153</v>
      </c>
      <c r="X31" s="79">
        <v>1.4689000000000001E-2</v>
      </c>
    </row>
    <row r="32" spans="2:24" ht="15" customHeight="1" x14ac:dyDescent="0.25">
      <c r="B32" s="98"/>
      <c r="F32" s="33"/>
      <c r="G32" s="33"/>
      <c r="H32" s="33"/>
      <c r="I32" s="33"/>
      <c r="J32" s="33"/>
      <c r="K32" s="33"/>
      <c r="L32" s="33"/>
      <c r="M32" s="33"/>
      <c r="N32" s="33"/>
      <c r="O32" s="33"/>
      <c r="P32" s="33"/>
      <c r="Q32" s="33"/>
      <c r="R32" s="33"/>
      <c r="S32" s="33"/>
      <c r="T32" s="26"/>
      <c r="W32" s="77" t="s">
        <v>160</v>
      </c>
      <c r="X32" s="79">
        <v>1.1837E-2</v>
      </c>
    </row>
    <row r="33" spans="2:24" ht="15.75" customHeight="1" x14ac:dyDescent="0.25">
      <c r="B33" s="98"/>
      <c r="F33" s="33"/>
      <c r="G33" s="33"/>
      <c r="H33" s="33"/>
      <c r="I33" s="33"/>
      <c r="J33" s="33"/>
      <c r="K33" s="33"/>
      <c r="L33" s="33"/>
      <c r="M33" s="33"/>
      <c r="N33" s="33"/>
      <c r="O33" s="33"/>
      <c r="P33" s="33"/>
      <c r="Q33" s="33"/>
      <c r="R33" s="33"/>
      <c r="S33" s="33"/>
      <c r="T33" s="26"/>
      <c r="W33" s="77" t="s">
        <v>174</v>
      </c>
      <c r="X33" s="79">
        <v>1.1629E-2</v>
      </c>
    </row>
    <row r="34" spans="2:24" ht="15.75" customHeight="1" x14ac:dyDescent="0.25">
      <c r="B34" s="98"/>
      <c r="F34" s="33"/>
      <c r="G34" s="33"/>
      <c r="H34" s="33"/>
      <c r="I34" s="33"/>
      <c r="J34" s="33"/>
      <c r="K34" s="33"/>
      <c r="L34" s="33"/>
      <c r="M34" s="33"/>
      <c r="N34" s="33"/>
      <c r="O34" s="33"/>
      <c r="P34" s="33"/>
      <c r="Q34" s="33"/>
      <c r="R34" s="33"/>
      <c r="S34" s="33"/>
      <c r="T34" s="26"/>
      <c r="W34" s="77" t="s">
        <v>6</v>
      </c>
      <c r="X34" s="79">
        <v>1.0916E-2</v>
      </c>
    </row>
    <row r="35" spans="2:24" ht="15.75" customHeight="1" x14ac:dyDescent="0.25">
      <c r="B35" s="98"/>
      <c r="F35" s="33"/>
      <c r="G35" s="33"/>
      <c r="H35" s="33"/>
      <c r="I35" s="33"/>
      <c r="J35" s="33"/>
      <c r="K35" s="33"/>
      <c r="L35" s="33"/>
      <c r="M35" s="33"/>
      <c r="N35" s="33"/>
      <c r="O35" s="33"/>
      <c r="P35" s="33"/>
      <c r="Q35" s="33"/>
      <c r="R35" s="33"/>
      <c r="S35" s="33"/>
      <c r="T35" s="26"/>
      <c r="W35" s="77" t="s">
        <v>155</v>
      </c>
      <c r="X35" s="79">
        <v>9.5779999999999997E-3</v>
      </c>
    </row>
    <row r="36" spans="2:24" ht="15.75" customHeight="1" x14ac:dyDescent="0.25">
      <c r="B36" s="98"/>
      <c r="F36" s="33"/>
      <c r="G36" s="33"/>
      <c r="H36" s="33"/>
      <c r="I36" s="33"/>
      <c r="J36" s="33"/>
      <c r="K36" s="33"/>
      <c r="L36" s="33"/>
      <c r="M36" s="33"/>
      <c r="N36" s="33"/>
      <c r="O36" s="33"/>
      <c r="P36" s="33"/>
      <c r="Q36" s="33"/>
      <c r="R36" s="33"/>
      <c r="S36" s="33"/>
      <c r="T36" s="26"/>
      <c r="W36" s="77" t="s">
        <v>25</v>
      </c>
      <c r="X36" s="79">
        <v>8.9809999999999994E-3</v>
      </c>
    </row>
    <row r="37" spans="2:24" ht="15.75" customHeight="1" x14ac:dyDescent="0.25">
      <c r="B37" s="98"/>
      <c r="F37" s="33"/>
      <c r="G37" s="33"/>
      <c r="H37" s="33"/>
      <c r="I37" s="33"/>
      <c r="J37" s="33"/>
      <c r="K37" s="33"/>
      <c r="L37" s="33"/>
      <c r="M37" s="33"/>
      <c r="N37" s="33"/>
      <c r="O37" s="33"/>
      <c r="P37" s="33"/>
      <c r="Q37" s="33"/>
      <c r="R37" s="33"/>
      <c r="S37" s="33"/>
      <c r="T37" s="26"/>
      <c r="W37" s="77" t="s">
        <v>149</v>
      </c>
      <c r="X37" s="79">
        <v>8.9350000000000002E-3</v>
      </c>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c r="W38" s="45" t="s">
        <v>152</v>
      </c>
      <c r="X38" s="79">
        <v>5.398E-3</v>
      </c>
    </row>
    <row r="39" spans="2:24" ht="15" customHeight="1" thickBot="1" x14ac:dyDescent="0.3"/>
    <row r="40" spans="2:24" ht="15" customHeight="1" x14ac:dyDescent="0.25">
      <c r="B40" s="226" t="s">
        <v>254</v>
      </c>
      <c r="C40" s="227"/>
      <c r="D40" s="227"/>
      <c r="E40" s="227"/>
      <c r="F40" s="227"/>
      <c r="G40" s="227"/>
      <c r="H40" s="227"/>
      <c r="I40" s="227"/>
      <c r="J40" s="227"/>
      <c r="K40" s="227"/>
      <c r="L40" s="227"/>
      <c r="M40" s="227"/>
      <c r="N40" s="227"/>
      <c r="O40" s="227"/>
      <c r="P40" s="227"/>
      <c r="Q40" s="227"/>
      <c r="R40" s="228"/>
    </row>
    <row r="41" spans="2:24" ht="15" customHeight="1" x14ac:dyDescent="0.25">
      <c r="B41" s="229"/>
      <c r="C41" s="230"/>
      <c r="D41" s="230"/>
      <c r="E41" s="230"/>
      <c r="F41" s="230"/>
      <c r="G41" s="230"/>
      <c r="H41" s="230"/>
      <c r="I41" s="230"/>
      <c r="J41" s="230"/>
      <c r="K41" s="230"/>
      <c r="L41" s="230"/>
      <c r="M41" s="230"/>
      <c r="N41" s="230"/>
      <c r="O41" s="230"/>
      <c r="P41" s="230"/>
      <c r="Q41" s="230"/>
      <c r="R41" s="231"/>
    </row>
    <row r="42" spans="2:24" ht="15" customHeight="1" x14ac:dyDescent="0.25">
      <c r="B42" s="229"/>
      <c r="C42" s="230"/>
      <c r="D42" s="230"/>
      <c r="E42" s="230"/>
      <c r="F42" s="230"/>
      <c r="G42" s="230"/>
      <c r="H42" s="230"/>
      <c r="I42" s="230"/>
      <c r="J42" s="230"/>
      <c r="K42" s="230"/>
      <c r="L42" s="230"/>
      <c r="M42" s="230"/>
      <c r="N42" s="230"/>
      <c r="O42" s="230"/>
      <c r="P42" s="230"/>
      <c r="Q42" s="230"/>
      <c r="R42" s="231"/>
    </row>
    <row r="43" spans="2:24" ht="15" customHeight="1" x14ac:dyDescent="0.25">
      <c r="B43" s="229"/>
      <c r="C43" s="230"/>
      <c r="D43" s="230"/>
      <c r="E43" s="230"/>
      <c r="F43" s="230"/>
      <c r="G43" s="230"/>
      <c r="H43" s="230"/>
      <c r="I43" s="230"/>
      <c r="J43" s="230"/>
      <c r="K43" s="230"/>
      <c r="L43" s="230"/>
      <c r="M43" s="230"/>
      <c r="N43" s="230"/>
      <c r="O43" s="230"/>
      <c r="P43" s="230"/>
      <c r="Q43" s="230"/>
      <c r="R43" s="231"/>
    </row>
    <row r="44" spans="2:24" ht="15" customHeight="1" x14ac:dyDescent="0.25">
      <c r="B44" s="229"/>
      <c r="C44" s="230"/>
      <c r="D44" s="230"/>
      <c r="E44" s="230"/>
      <c r="F44" s="230"/>
      <c r="G44" s="230"/>
      <c r="H44" s="230"/>
      <c r="I44" s="230"/>
      <c r="J44" s="230"/>
      <c r="K44" s="230"/>
      <c r="L44" s="230"/>
      <c r="M44" s="230"/>
      <c r="N44" s="230"/>
      <c r="O44" s="230"/>
      <c r="P44" s="230"/>
      <c r="Q44" s="230"/>
      <c r="R44" s="231"/>
    </row>
    <row r="45" spans="2:24" ht="15" customHeight="1" x14ac:dyDescent="0.25">
      <c r="B45" s="229"/>
      <c r="C45" s="230"/>
      <c r="D45" s="230"/>
      <c r="E45" s="230"/>
      <c r="F45" s="230"/>
      <c r="G45" s="230"/>
      <c r="H45" s="230"/>
      <c r="I45" s="230"/>
      <c r="J45" s="230"/>
      <c r="K45" s="230"/>
      <c r="L45" s="230"/>
      <c r="M45" s="230"/>
      <c r="N45" s="230"/>
      <c r="O45" s="230"/>
      <c r="P45" s="230"/>
      <c r="Q45" s="230"/>
      <c r="R45" s="231"/>
    </row>
    <row r="46" spans="2:24" ht="15" customHeight="1" thickBot="1" x14ac:dyDescent="0.3">
      <c r="B46" s="232"/>
      <c r="C46" s="233"/>
      <c r="D46" s="233"/>
      <c r="E46" s="233"/>
      <c r="F46" s="233"/>
      <c r="G46" s="233"/>
      <c r="H46" s="233"/>
      <c r="I46" s="233"/>
      <c r="J46" s="233"/>
      <c r="K46" s="233"/>
      <c r="L46" s="233"/>
      <c r="M46" s="233"/>
      <c r="N46" s="233"/>
      <c r="O46" s="233"/>
      <c r="P46" s="233"/>
      <c r="Q46" s="233"/>
      <c r="R46" s="234"/>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240</v>
      </c>
      <c r="D3" s="236"/>
      <c r="E3" s="236"/>
      <c r="F3" s="236"/>
      <c r="G3" s="236"/>
      <c r="H3" s="236"/>
      <c r="I3" s="236"/>
      <c r="J3" s="236"/>
      <c r="K3" s="236"/>
      <c r="L3" s="236"/>
      <c r="M3" s="236"/>
      <c r="N3" s="236"/>
      <c r="O3" s="236"/>
      <c r="P3" s="236"/>
      <c r="Q3" s="236"/>
      <c r="R3" s="236"/>
      <c r="S3" s="236"/>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7" t="s">
        <v>284</v>
      </c>
      <c r="E5" s="237"/>
      <c r="F5" s="18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184" t="s">
        <v>0</v>
      </c>
      <c r="D7" s="185" t="s">
        <v>1</v>
      </c>
      <c r="E7" s="184" t="s">
        <v>2</v>
      </c>
      <c r="F7" s="33"/>
      <c r="G7" s="33"/>
      <c r="H7" s="33"/>
      <c r="I7" s="33"/>
      <c r="J7" s="33"/>
      <c r="K7" s="33"/>
      <c r="L7" s="33"/>
      <c r="M7" s="33"/>
      <c r="N7" s="33"/>
      <c r="O7" s="33"/>
      <c r="P7" s="33"/>
      <c r="Q7" s="33"/>
      <c r="R7" s="33"/>
      <c r="S7" s="33"/>
      <c r="T7" s="26"/>
      <c r="W7" s="45" t="s">
        <v>22</v>
      </c>
      <c r="X7" s="45" t="s">
        <v>2</v>
      </c>
    </row>
    <row r="8" spans="1:24" ht="15" customHeight="1" x14ac:dyDescent="0.25">
      <c r="B8" s="98"/>
      <c r="C8" s="16" t="s">
        <v>35</v>
      </c>
      <c r="D8" s="18" t="s">
        <v>23</v>
      </c>
      <c r="E8" s="21">
        <v>0.10359699999999999</v>
      </c>
      <c r="F8" s="33"/>
      <c r="G8" s="33"/>
      <c r="H8" s="33"/>
      <c r="I8" s="33"/>
      <c r="J8" s="33"/>
      <c r="K8" s="33"/>
      <c r="L8" s="33"/>
      <c r="M8" s="33"/>
      <c r="N8" s="33"/>
      <c r="O8" s="33"/>
      <c r="P8" s="33"/>
      <c r="Q8" s="33"/>
      <c r="R8" s="33"/>
      <c r="S8" s="33"/>
      <c r="T8" s="26"/>
      <c r="W8" s="77" t="s">
        <v>23</v>
      </c>
      <c r="X8" s="79">
        <v>0.28478899999999996</v>
      </c>
    </row>
    <row r="9" spans="1:24" ht="15.75" customHeight="1" x14ac:dyDescent="0.25">
      <c r="B9" s="98"/>
      <c r="C9" s="16" t="s">
        <v>67</v>
      </c>
      <c r="D9" s="18" t="s">
        <v>99</v>
      </c>
      <c r="E9" s="21">
        <v>8.7442000000000006E-2</v>
      </c>
      <c r="F9" s="33"/>
      <c r="G9" s="33"/>
      <c r="H9" s="33"/>
      <c r="I9" s="33"/>
      <c r="J9" s="33"/>
      <c r="K9" s="33"/>
      <c r="L9" s="33"/>
      <c r="M9" s="33"/>
      <c r="N9" s="33"/>
      <c r="O9" s="33"/>
      <c r="P9" s="33"/>
      <c r="Q9" s="33"/>
      <c r="R9" s="33"/>
      <c r="S9" s="33"/>
      <c r="T9" s="26"/>
      <c r="W9" s="77" t="s">
        <v>99</v>
      </c>
      <c r="X9" s="79">
        <v>0.17341600000000001</v>
      </c>
    </row>
    <row r="10" spans="1:24" ht="15" customHeight="1" x14ac:dyDescent="0.25">
      <c r="B10" s="98"/>
      <c r="C10" s="16" t="s">
        <v>77</v>
      </c>
      <c r="D10" s="18" t="s">
        <v>12</v>
      </c>
      <c r="E10" s="21">
        <v>5.0584999999999998E-2</v>
      </c>
      <c r="F10" s="33"/>
      <c r="G10" s="33"/>
      <c r="H10" s="33"/>
      <c r="I10" s="33"/>
      <c r="J10" s="33"/>
      <c r="K10" s="33"/>
      <c r="L10" s="33"/>
      <c r="M10" s="33"/>
      <c r="N10" s="33"/>
      <c r="O10" s="33"/>
      <c r="P10" s="33"/>
      <c r="Q10" s="33"/>
      <c r="R10" s="33"/>
      <c r="S10" s="33"/>
      <c r="T10" s="26"/>
      <c r="W10" s="77" t="s">
        <v>150</v>
      </c>
      <c r="X10" s="79">
        <v>9.4492999999999994E-2</v>
      </c>
    </row>
    <row r="11" spans="1:24" ht="15" customHeight="1" x14ac:dyDescent="0.25">
      <c r="B11" s="98"/>
      <c r="C11" s="16" t="s">
        <v>118</v>
      </c>
      <c r="D11" s="18" t="s">
        <v>150</v>
      </c>
      <c r="E11" s="21">
        <v>5.0299999999999997E-2</v>
      </c>
      <c r="F11" s="33"/>
      <c r="G11" s="33"/>
      <c r="H11" s="33"/>
      <c r="I11" s="33"/>
      <c r="J11" s="33"/>
      <c r="K11" s="33"/>
      <c r="L11" s="33"/>
      <c r="M11" s="33"/>
      <c r="N11" s="33"/>
      <c r="O11" s="33"/>
      <c r="P11" s="33"/>
      <c r="Q11" s="33"/>
      <c r="R11" s="33"/>
      <c r="S11" s="33"/>
      <c r="T11" s="26"/>
      <c r="W11" s="77" t="s">
        <v>156</v>
      </c>
      <c r="X11" s="79">
        <v>8.9608999999999994E-2</v>
      </c>
    </row>
    <row r="12" spans="1:24" ht="15" customHeight="1" x14ac:dyDescent="0.25">
      <c r="B12" s="98"/>
      <c r="C12" s="16" t="s">
        <v>75</v>
      </c>
      <c r="D12" s="18" t="s">
        <v>99</v>
      </c>
      <c r="E12" s="21">
        <v>4.5130999999999998E-2</v>
      </c>
      <c r="F12" s="33"/>
      <c r="G12" s="33"/>
      <c r="H12" s="33"/>
      <c r="I12" s="33"/>
      <c r="J12" s="33"/>
      <c r="K12" s="33"/>
      <c r="L12" s="33"/>
      <c r="M12" s="33"/>
      <c r="N12" s="33"/>
      <c r="O12" s="33"/>
      <c r="P12" s="33"/>
      <c r="Q12" s="33"/>
      <c r="R12" s="33"/>
      <c r="S12" s="33"/>
      <c r="T12" s="26"/>
      <c r="W12" s="77" t="s">
        <v>24</v>
      </c>
      <c r="X12" s="79">
        <v>6.9071999999999995E-2</v>
      </c>
    </row>
    <row r="13" spans="1:24" ht="15" customHeight="1" x14ac:dyDescent="0.25">
      <c r="B13" s="98"/>
      <c r="C13" s="16" t="s">
        <v>119</v>
      </c>
      <c r="D13" s="18" t="s">
        <v>150</v>
      </c>
      <c r="E13" s="21">
        <v>4.4193000000000003E-2</v>
      </c>
      <c r="F13" s="33"/>
      <c r="G13" s="33"/>
      <c r="H13" s="33"/>
      <c r="I13" s="33"/>
      <c r="J13" s="33"/>
      <c r="K13" s="33"/>
      <c r="L13" s="33"/>
      <c r="M13" s="33"/>
      <c r="N13" s="33"/>
      <c r="O13" s="33"/>
      <c r="P13" s="33"/>
      <c r="Q13" s="33"/>
      <c r="R13" s="33"/>
      <c r="S13" s="33"/>
      <c r="T13" s="26"/>
      <c r="W13" s="77" t="s">
        <v>12</v>
      </c>
      <c r="X13" s="79">
        <v>5.0584999999999998E-2</v>
      </c>
    </row>
    <row r="14" spans="1:24" ht="15" customHeight="1" x14ac:dyDescent="0.25">
      <c r="B14" s="98"/>
      <c r="C14" s="16" t="s">
        <v>86</v>
      </c>
      <c r="D14" s="18" t="s">
        <v>11</v>
      </c>
      <c r="E14" s="21">
        <v>4.1956E-2</v>
      </c>
      <c r="F14" s="33"/>
      <c r="G14" s="33"/>
      <c r="H14" s="33"/>
      <c r="I14" s="33"/>
      <c r="J14" s="33"/>
      <c r="K14" s="33"/>
      <c r="L14" s="33"/>
      <c r="M14" s="33"/>
      <c r="N14" s="33"/>
      <c r="O14" s="33"/>
      <c r="P14" s="33"/>
      <c r="Q14" s="33"/>
      <c r="R14" s="33"/>
      <c r="S14" s="33"/>
      <c r="T14" s="26"/>
      <c r="W14" s="77" t="s">
        <v>25</v>
      </c>
      <c r="X14" s="79">
        <v>5.0085999999999999E-2</v>
      </c>
    </row>
    <row r="15" spans="1:24" ht="15" customHeight="1" x14ac:dyDescent="0.25">
      <c r="B15" s="98"/>
      <c r="C15" s="16" t="s">
        <v>161</v>
      </c>
      <c r="D15" s="18" t="s">
        <v>103</v>
      </c>
      <c r="E15" s="21">
        <v>4.1416000000000001E-2</v>
      </c>
      <c r="F15" s="33"/>
      <c r="G15" s="33"/>
      <c r="H15" s="33"/>
      <c r="I15" s="33"/>
      <c r="J15" s="33"/>
      <c r="K15" s="33"/>
      <c r="L15" s="33"/>
      <c r="M15" s="33"/>
      <c r="N15" s="33"/>
      <c r="O15" s="33"/>
      <c r="P15" s="33"/>
      <c r="Q15" s="33"/>
      <c r="R15" s="33"/>
      <c r="S15" s="33"/>
      <c r="T15" s="26"/>
      <c r="W15" s="77" t="s">
        <v>11</v>
      </c>
      <c r="X15" s="79">
        <v>4.9349999999999998E-2</v>
      </c>
    </row>
    <row r="16" spans="1:24" ht="15" customHeight="1" x14ac:dyDescent="0.25">
      <c r="B16" s="98"/>
      <c r="C16" s="16" t="s">
        <v>73</v>
      </c>
      <c r="D16" s="18" t="s">
        <v>156</v>
      </c>
      <c r="E16" s="21">
        <v>3.9778000000000001E-2</v>
      </c>
      <c r="F16" s="33"/>
      <c r="G16" s="33"/>
      <c r="H16" s="33"/>
      <c r="I16" s="33"/>
      <c r="J16" s="33"/>
      <c r="K16" s="33"/>
      <c r="L16" s="33"/>
      <c r="M16" s="33"/>
      <c r="N16" s="33"/>
      <c r="O16" s="33"/>
      <c r="P16" s="33"/>
      <c r="Q16" s="33"/>
      <c r="R16" s="33"/>
      <c r="S16" s="33"/>
      <c r="T16" s="26"/>
      <c r="W16" s="77" t="s">
        <v>103</v>
      </c>
      <c r="X16" s="79">
        <v>4.1416000000000001E-2</v>
      </c>
    </row>
    <row r="17" spans="2:24" ht="15" customHeight="1" x14ac:dyDescent="0.25">
      <c r="B17" s="98"/>
      <c r="C17" s="16" t="s">
        <v>201</v>
      </c>
      <c r="D17" s="18" t="s">
        <v>23</v>
      </c>
      <c r="E17" s="21">
        <v>3.9621999999999997E-2</v>
      </c>
      <c r="F17" s="33"/>
      <c r="G17" s="33"/>
      <c r="H17" s="33"/>
      <c r="I17" s="33"/>
      <c r="J17" s="33"/>
      <c r="K17" s="33"/>
      <c r="L17" s="33"/>
      <c r="M17" s="33"/>
      <c r="N17" s="33"/>
      <c r="O17" s="33"/>
      <c r="P17" s="33"/>
      <c r="Q17" s="33"/>
      <c r="R17" s="33"/>
      <c r="S17" s="33"/>
      <c r="T17" s="26"/>
      <c r="W17" s="77" t="s">
        <v>10</v>
      </c>
      <c r="X17" s="79">
        <v>3.6018000000000001E-2</v>
      </c>
    </row>
    <row r="18" spans="2:24" ht="15" customHeight="1" x14ac:dyDescent="0.25">
      <c r="B18" s="98"/>
      <c r="C18" s="16" t="s">
        <v>195</v>
      </c>
      <c r="D18" s="18" t="s">
        <v>23</v>
      </c>
      <c r="E18" s="21">
        <v>3.6167999999999999E-2</v>
      </c>
      <c r="F18" s="33"/>
      <c r="G18" s="33"/>
      <c r="H18" s="33"/>
      <c r="I18" s="33"/>
      <c r="J18" s="33"/>
      <c r="K18" s="33"/>
      <c r="L18" s="33"/>
      <c r="M18" s="33"/>
      <c r="N18" s="33"/>
      <c r="O18" s="33"/>
      <c r="P18" s="33"/>
      <c r="Q18" s="33"/>
      <c r="R18" s="33"/>
      <c r="S18" s="33"/>
      <c r="T18" s="26"/>
      <c r="W18" s="77" t="s">
        <v>144</v>
      </c>
      <c r="X18" s="79">
        <v>1.1164E-2</v>
      </c>
    </row>
    <row r="19" spans="2:24" ht="15" customHeight="1" x14ac:dyDescent="0.25">
      <c r="B19" s="98"/>
      <c r="C19" s="16" t="s">
        <v>79</v>
      </c>
      <c r="D19" s="18" t="s">
        <v>10</v>
      </c>
      <c r="E19" s="21">
        <v>3.6018000000000001E-2</v>
      </c>
      <c r="F19" s="33"/>
      <c r="G19" s="33"/>
      <c r="H19" s="33"/>
      <c r="I19" s="33"/>
      <c r="J19" s="33"/>
      <c r="K19" s="33"/>
      <c r="L19" s="33"/>
      <c r="M19" s="33"/>
      <c r="N19" s="33"/>
      <c r="O19" s="33"/>
      <c r="P19" s="33"/>
      <c r="Q19" s="33"/>
      <c r="R19" s="33"/>
      <c r="S19" s="33"/>
      <c r="T19" s="26"/>
      <c r="W19" s="77" t="s">
        <v>6</v>
      </c>
      <c r="X19" s="79">
        <v>9.4330000000000004E-3</v>
      </c>
    </row>
    <row r="20" spans="2:24" ht="15" customHeight="1" x14ac:dyDescent="0.25">
      <c r="B20" s="98"/>
      <c r="C20" s="16" t="s">
        <v>66</v>
      </c>
      <c r="D20" s="18" t="s">
        <v>23</v>
      </c>
      <c r="E20" s="21">
        <v>3.5557999999999999E-2</v>
      </c>
      <c r="F20" s="33"/>
      <c r="G20" s="33"/>
      <c r="H20" s="33"/>
      <c r="I20" s="33"/>
      <c r="J20" s="33"/>
      <c r="K20" s="33"/>
      <c r="L20" s="33"/>
      <c r="M20" s="33"/>
      <c r="N20" s="33"/>
      <c r="O20" s="33"/>
      <c r="P20" s="33"/>
      <c r="Q20" s="33"/>
      <c r="R20" s="33"/>
      <c r="S20" s="33"/>
      <c r="T20" s="26"/>
      <c r="W20" s="77" t="s">
        <v>15</v>
      </c>
      <c r="X20" s="79">
        <v>9.1070000000000005E-3</v>
      </c>
    </row>
    <row r="21" spans="2:24" ht="15" customHeight="1" x14ac:dyDescent="0.25">
      <c r="B21" s="98"/>
      <c r="C21" s="16" t="s">
        <v>176</v>
      </c>
      <c r="D21" s="18" t="s">
        <v>99</v>
      </c>
      <c r="E21" s="21">
        <v>3.0616999999999998E-2</v>
      </c>
      <c r="F21" s="33"/>
      <c r="G21" s="33"/>
      <c r="H21" s="33"/>
      <c r="I21" s="33"/>
      <c r="J21" s="33"/>
      <c r="K21" s="33"/>
      <c r="L21" s="33"/>
      <c r="M21" s="33"/>
      <c r="N21" s="33"/>
      <c r="O21" s="33"/>
      <c r="P21" s="33"/>
      <c r="Q21" s="33"/>
      <c r="R21" s="33"/>
      <c r="S21" s="33"/>
      <c r="T21" s="26"/>
      <c r="W21" s="77" t="s">
        <v>157</v>
      </c>
      <c r="X21" s="79">
        <v>6.8180000000000003E-3</v>
      </c>
    </row>
    <row r="22" spans="2:24" ht="15" customHeight="1" x14ac:dyDescent="0.25">
      <c r="B22" s="98"/>
      <c r="C22" s="16" t="s">
        <v>272</v>
      </c>
      <c r="D22" s="18" t="s">
        <v>24</v>
      </c>
      <c r="E22" s="21">
        <v>3.0473E-2</v>
      </c>
      <c r="F22" s="33"/>
      <c r="G22" s="33"/>
      <c r="H22" s="33"/>
      <c r="I22" s="33"/>
      <c r="J22" s="33"/>
      <c r="K22" s="33"/>
      <c r="L22" s="33"/>
      <c r="M22" s="33"/>
      <c r="N22" s="33"/>
      <c r="O22" s="33"/>
      <c r="P22" s="33"/>
      <c r="Q22" s="33"/>
      <c r="R22" s="33"/>
      <c r="S22" s="33"/>
      <c r="T22" s="26"/>
      <c r="W22" s="68"/>
      <c r="X22" s="69"/>
    </row>
    <row r="23" spans="2:24" ht="15" customHeight="1" x14ac:dyDescent="0.25">
      <c r="B23" s="98"/>
      <c r="C23" s="90"/>
      <c r="D23" s="90"/>
      <c r="E23" s="186"/>
      <c r="F23" s="33"/>
      <c r="G23" s="33"/>
      <c r="H23" s="33"/>
      <c r="I23" s="33"/>
      <c r="J23" s="33"/>
      <c r="K23" s="33"/>
      <c r="L23" s="33"/>
      <c r="M23" s="33"/>
      <c r="N23" s="33"/>
      <c r="O23" s="33"/>
      <c r="P23" s="33"/>
      <c r="Q23" s="33"/>
      <c r="R23" s="33"/>
      <c r="S23" s="33"/>
      <c r="T23" s="26"/>
      <c r="W23" s="68"/>
      <c r="X23" s="69"/>
    </row>
    <row r="24" spans="2:24" ht="15" customHeight="1" x14ac:dyDescent="0.25">
      <c r="B24" s="98"/>
      <c r="C24" s="92" t="s">
        <v>56</v>
      </c>
      <c r="D24" s="93"/>
      <c r="E24" s="94">
        <f>SUM(E8:E22)</f>
        <v>0.71285399999999999</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187"/>
      <c r="X27" s="188"/>
    </row>
    <row r="28" spans="2:24" ht="15" customHeight="1" x14ac:dyDescent="0.25">
      <c r="B28" s="98"/>
      <c r="F28" s="33"/>
      <c r="G28" s="33"/>
      <c r="H28" s="33"/>
      <c r="I28" s="33"/>
      <c r="J28" s="33"/>
      <c r="K28" s="33"/>
      <c r="L28" s="33"/>
      <c r="M28" s="33"/>
      <c r="N28" s="33"/>
      <c r="O28" s="33"/>
      <c r="P28" s="33"/>
      <c r="Q28" s="33"/>
      <c r="R28" s="33"/>
      <c r="S28" s="33"/>
      <c r="T28" s="26"/>
      <c r="W28" s="187"/>
      <c r="X28" s="188"/>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75" customHeight="1" x14ac:dyDescent="0.25">
      <c r="B32" s="98"/>
      <c r="F32" s="33"/>
      <c r="G32" s="33"/>
      <c r="H32" s="33"/>
      <c r="I32" s="33"/>
      <c r="J32" s="33"/>
      <c r="K32" s="33"/>
      <c r="L32" s="33"/>
      <c r="M32" s="33"/>
      <c r="N32" s="33"/>
      <c r="O32" s="33"/>
      <c r="P32" s="33"/>
      <c r="Q32" s="33"/>
      <c r="R32" s="33"/>
      <c r="S32" s="33"/>
      <c r="T32" s="26"/>
    </row>
    <row r="33" spans="2:20" ht="15" customHeight="1" x14ac:dyDescent="0.25">
      <c r="B33" s="98"/>
      <c r="F33" s="33"/>
      <c r="G33" s="33"/>
      <c r="H33" s="33"/>
      <c r="I33" s="33"/>
      <c r="J33" s="33"/>
      <c r="K33" s="33"/>
      <c r="L33" s="33"/>
      <c r="M33" s="33"/>
      <c r="N33" s="33"/>
      <c r="O33" s="33"/>
      <c r="P33" s="33"/>
      <c r="Q33" s="33"/>
      <c r="R33" s="33"/>
      <c r="S33" s="33"/>
      <c r="T33" s="26"/>
    </row>
    <row r="34" spans="2:20" ht="15" customHeight="1" thickBot="1" x14ac:dyDescent="0.3">
      <c r="B34" s="99"/>
      <c r="C34" s="100"/>
      <c r="D34" s="100"/>
      <c r="E34" s="100"/>
      <c r="F34" s="100"/>
      <c r="G34" s="100"/>
      <c r="H34" s="100"/>
      <c r="I34" s="100"/>
      <c r="J34" s="100"/>
      <c r="K34" s="100"/>
      <c r="L34" s="100"/>
      <c r="M34" s="100"/>
      <c r="N34" s="100"/>
      <c r="O34" s="100"/>
      <c r="P34" s="100"/>
      <c r="Q34" s="100"/>
      <c r="R34" s="100"/>
      <c r="S34" s="100"/>
      <c r="T34" s="27"/>
    </row>
    <row r="35" spans="2:20" ht="15" customHeight="1" thickBot="1" x14ac:dyDescent="0.3"/>
    <row r="36" spans="2:20" ht="15" customHeight="1" x14ac:dyDescent="0.25">
      <c r="B36" s="226" t="s">
        <v>254</v>
      </c>
      <c r="C36" s="227"/>
      <c r="D36" s="227"/>
      <c r="E36" s="227"/>
      <c r="F36" s="227"/>
      <c r="G36" s="227"/>
      <c r="H36" s="227"/>
      <c r="I36" s="227"/>
      <c r="J36" s="227"/>
      <c r="K36" s="227"/>
      <c r="L36" s="227"/>
      <c r="M36" s="227"/>
      <c r="N36" s="227"/>
      <c r="O36" s="227"/>
      <c r="P36" s="227"/>
      <c r="Q36" s="227"/>
      <c r="R36" s="228"/>
    </row>
    <row r="37" spans="2:20" ht="15" customHeight="1" x14ac:dyDescent="0.25">
      <c r="B37" s="229"/>
      <c r="C37" s="230"/>
      <c r="D37" s="230"/>
      <c r="E37" s="230"/>
      <c r="F37" s="230"/>
      <c r="G37" s="230"/>
      <c r="H37" s="230"/>
      <c r="I37" s="230"/>
      <c r="J37" s="230"/>
      <c r="K37" s="230"/>
      <c r="L37" s="230"/>
      <c r="M37" s="230"/>
      <c r="N37" s="230"/>
      <c r="O37" s="230"/>
      <c r="P37" s="230"/>
      <c r="Q37" s="230"/>
      <c r="R37" s="231"/>
    </row>
    <row r="38" spans="2:20" ht="15" customHeight="1" x14ac:dyDescent="0.25">
      <c r="B38" s="229"/>
      <c r="C38" s="230"/>
      <c r="D38" s="230"/>
      <c r="E38" s="230"/>
      <c r="F38" s="230"/>
      <c r="G38" s="230"/>
      <c r="H38" s="230"/>
      <c r="I38" s="230"/>
      <c r="J38" s="230"/>
      <c r="K38" s="230"/>
      <c r="L38" s="230"/>
      <c r="M38" s="230"/>
      <c r="N38" s="230"/>
      <c r="O38" s="230"/>
      <c r="P38" s="230"/>
      <c r="Q38" s="230"/>
      <c r="R38" s="231"/>
    </row>
    <row r="39" spans="2:20" ht="15" customHeight="1" x14ac:dyDescent="0.25">
      <c r="B39" s="229"/>
      <c r="C39" s="230"/>
      <c r="D39" s="230"/>
      <c r="E39" s="230"/>
      <c r="F39" s="230"/>
      <c r="G39" s="230"/>
      <c r="H39" s="230"/>
      <c r="I39" s="230"/>
      <c r="J39" s="230"/>
      <c r="K39" s="230"/>
      <c r="L39" s="230"/>
      <c r="M39" s="230"/>
      <c r="N39" s="230"/>
      <c r="O39" s="230"/>
      <c r="P39" s="230"/>
      <c r="Q39" s="230"/>
      <c r="R39" s="231"/>
    </row>
    <row r="40" spans="2:20" ht="15" customHeight="1" x14ac:dyDescent="0.25">
      <c r="B40" s="229"/>
      <c r="C40" s="230"/>
      <c r="D40" s="230"/>
      <c r="E40" s="230"/>
      <c r="F40" s="230"/>
      <c r="G40" s="230"/>
      <c r="H40" s="230"/>
      <c r="I40" s="230"/>
      <c r="J40" s="230"/>
      <c r="K40" s="230"/>
      <c r="L40" s="230"/>
      <c r="M40" s="230"/>
      <c r="N40" s="230"/>
      <c r="O40" s="230"/>
      <c r="P40" s="230"/>
      <c r="Q40" s="230"/>
      <c r="R40" s="231"/>
    </row>
    <row r="41" spans="2:20" ht="15" customHeight="1" x14ac:dyDescent="0.25">
      <c r="B41" s="229"/>
      <c r="C41" s="230"/>
      <c r="D41" s="230"/>
      <c r="E41" s="230"/>
      <c r="F41" s="230"/>
      <c r="G41" s="230"/>
      <c r="H41" s="230"/>
      <c r="I41" s="230"/>
      <c r="J41" s="230"/>
      <c r="K41" s="230"/>
      <c r="L41" s="230"/>
      <c r="M41" s="230"/>
      <c r="N41" s="230"/>
      <c r="O41" s="230"/>
      <c r="P41" s="230"/>
      <c r="Q41" s="230"/>
      <c r="R41" s="231"/>
    </row>
    <row r="42" spans="2:20" ht="15" customHeight="1" thickBot="1" x14ac:dyDescent="0.3">
      <c r="B42" s="232"/>
      <c r="C42" s="233"/>
      <c r="D42" s="233"/>
      <c r="E42" s="233"/>
      <c r="F42" s="233"/>
      <c r="G42" s="233"/>
      <c r="H42" s="233"/>
      <c r="I42" s="233"/>
      <c r="J42" s="233"/>
      <c r="K42" s="233"/>
      <c r="L42" s="233"/>
      <c r="M42" s="233"/>
      <c r="N42" s="233"/>
      <c r="O42" s="233"/>
      <c r="P42" s="233"/>
      <c r="Q42" s="233"/>
      <c r="R42" s="234"/>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5" t="s">
        <v>239</v>
      </c>
      <c r="D3" s="236"/>
      <c r="E3" s="236"/>
      <c r="F3" s="236"/>
      <c r="G3" s="236"/>
      <c r="H3" s="236"/>
      <c r="I3" s="236"/>
      <c r="J3" s="236"/>
      <c r="K3" s="236"/>
      <c r="L3" s="236"/>
      <c r="M3" s="236"/>
      <c r="N3" s="236"/>
      <c r="O3" s="236"/>
      <c r="P3" s="236"/>
      <c r="Q3" s="236"/>
      <c r="R3" s="236"/>
      <c r="S3" s="236"/>
      <c r="T3" s="83"/>
      <c r="U3" s="84"/>
    </row>
    <row r="4" spans="1:24" ht="15.75" customHeight="1" x14ac:dyDescent="0.25">
      <c r="B4" s="82"/>
      <c r="C4" s="85" t="s">
        <v>273</v>
      </c>
      <c r="D4" s="33"/>
      <c r="E4" s="33"/>
      <c r="F4" s="33"/>
      <c r="G4" s="33"/>
      <c r="H4" s="33"/>
      <c r="I4" s="33"/>
      <c r="J4" s="33"/>
      <c r="K4" s="33"/>
      <c r="L4" s="33"/>
      <c r="M4" s="33"/>
      <c r="N4" s="33"/>
      <c r="O4" s="33"/>
      <c r="P4" s="33"/>
      <c r="Q4" s="33"/>
      <c r="R4" s="33"/>
      <c r="S4" s="33"/>
      <c r="T4" s="33"/>
      <c r="U4" s="29"/>
    </row>
    <row r="5" spans="1:24" ht="18" customHeight="1" x14ac:dyDescent="0.25">
      <c r="B5" s="82"/>
      <c r="C5" s="86" t="s">
        <v>274</v>
      </c>
      <c r="D5" s="239" t="s">
        <v>285</v>
      </c>
      <c r="E5" s="239"/>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96</v>
      </c>
      <c r="D8" s="17" t="s">
        <v>143</v>
      </c>
      <c r="E8" s="19">
        <v>7.2969999999999993E-2</v>
      </c>
      <c r="F8" s="33"/>
      <c r="G8" s="33"/>
      <c r="H8" s="33"/>
      <c r="I8" s="33"/>
      <c r="J8" s="33"/>
      <c r="K8" s="33"/>
      <c r="L8" s="33"/>
      <c r="M8" s="33"/>
      <c r="N8" s="33"/>
      <c r="O8" s="33"/>
      <c r="P8" s="33"/>
      <c r="Q8" s="33"/>
      <c r="R8" s="33"/>
      <c r="S8" s="33"/>
      <c r="T8" s="33"/>
      <c r="U8" s="29"/>
      <c r="W8" s="215" t="s">
        <v>140</v>
      </c>
      <c r="X8" s="214">
        <v>0.351775</v>
      </c>
    </row>
    <row r="9" spans="1:24" ht="15.75" customHeight="1" x14ac:dyDescent="0.25">
      <c r="B9" s="82"/>
      <c r="C9" s="16" t="s">
        <v>114</v>
      </c>
      <c r="D9" s="18" t="s">
        <v>143</v>
      </c>
      <c r="E9" s="20">
        <v>6.4283999999999994E-2</v>
      </c>
      <c r="F9" s="33"/>
      <c r="G9" s="33"/>
      <c r="H9" s="33"/>
      <c r="I9" s="33"/>
      <c r="J9" s="33"/>
      <c r="K9" s="33"/>
      <c r="L9" s="33"/>
      <c r="M9" s="33"/>
      <c r="N9" s="33"/>
      <c r="O9" s="33"/>
      <c r="P9" s="33"/>
      <c r="Q9" s="33"/>
      <c r="R9" s="33"/>
      <c r="S9" s="33"/>
      <c r="T9" s="33"/>
      <c r="U9" s="29"/>
      <c r="W9" s="215" t="s">
        <v>143</v>
      </c>
      <c r="X9" s="214">
        <v>0.33112599999999998</v>
      </c>
    </row>
    <row r="10" spans="1:24" ht="15.75" x14ac:dyDescent="0.25">
      <c r="B10" s="82"/>
      <c r="C10" s="16" t="s">
        <v>188</v>
      </c>
      <c r="D10" s="18" t="s">
        <v>143</v>
      </c>
      <c r="E10" s="20">
        <v>5.5476999999999999E-2</v>
      </c>
      <c r="F10" s="33"/>
      <c r="G10" s="33"/>
      <c r="H10" s="33"/>
      <c r="I10" s="33"/>
      <c r="J10" s="33"/>
      <c r="K10" s="33"/>
      <c r="L10" s="33"/>
      <c r="M10" s="33"/>
      <c r="N10" s="33"/>
      <c r="O10" s="33"/>
      <c r="P10" s="33"/>
      <c r="Q10" s="33"/>
      <c r="R10" s="33"/>
      <c r="S10" s="33"/>
      <c r="T10" s="33"/>
      <c r="U10" s="29"/>
      <c r="W10" s="215" t="s">
        <v>156</v>
      </c>
      <c r="X10" s="214">
        <v>0.13297999999999999</v>
      </c>
    </row>
    <row r="11" spans="1:24" ht="15.75" customHeight="1" x14ac:dyDescent="0.25">
      <c r="B11" s="82"/>
      <c r="C11" s="16" t="s">
        <v>151</v>
      </c>
      <c r="D11" s="18" t="s">
        <v>143</v>
      </c>
      <c r="E11" s="20">
        <v>5.2005000000000003E-2</v>
      </c>
      <c r="F11" s="33"/>
      <c r="G11" s="33"/>
      <c r="H11" s="33"/>
      <c r="I11" s="33"/>
      <c r="J11" s="33"/>
      <c r="K11" s="33"/>
      <c r="L11" s="33"/>
      <c r="M11" s="33"/>
      <c r="N11" s="33"/>
      <c r="O11" s="33"/>
      <c r="P11" s="33"/>
      <c r="Q11" s="33"/>
      <c r="R11" s="33"/>
      <c r="S11" s="33"/>
      <c r="T11" s="33"/>
      <c r="U11" s="29"/>
      <c r="W11" s="215" t="s">
        <v>159</v>
      </c>
      <c r="X11" s="214">
        <v>5.7439000000000004E-2</v>
      </c>
    </row>
    <row r="12" spans="1:24" ht="15" customHeight="1" x14ac:dyDescent="0.25">
      <c r="B12" s="82"/>
      <c r="C12" s="16" t="s">
        <v>139</v>
      </c>
      <c r="D12" s="18" t="s">
        <v>140</v>
      </c>
      <c r="E12" s="20">
        <v>5.1371E-2</v>
      </c>
      <c r="F12" s="33"/>
      <c r="G12" s="33"/>
      <c r="H12" s="33"/>
      <c r="I12" s="33"/>
      <c r="J12" s="33"/>
      <c r="K12" s="33"/>
      <c r="L12" s="33"/>
      <c r="M12" s="33"/>
      <c r="N12" s="33"/>
      <c r="O12" s="33"/>
      <c r="P12" s="33"/>
      <c r="Q12" s="33"/>
      <c r="R12" s="33"/>
      <c r="S12" s="33"/>
      <c r="T12" s="33"/>
      <c r="U12" s="29"/>
      <c r="W12" s="215" t="s">
        <v>24</v>
      </c>
      <c r="X12" s="214">
        <v>2.3577000000000001E-2</v>
      </c>
    </row>
    <row r="13" spans="1:24" ht="15" customHeight="1" x14ac:dyDescent="0.25">
      <c r="B13" s="82"/>
      <c r="C13" s="16" t="s">
        <v>196</v>
      </c>
      <c r="D13" s="18" t="s">
        <v>143</v>
      </c>
      <c r="E13" s="20">
        <v>4.7888E-2</v>
      </c>
      <c r="F13" s="33"/>
      <c r="G13" s="33"/>
      <c r="H13" s="33"/>
      <c r="I13" s="33"/>
      <c r="J13" s="33"/>
      <c r="K13" s="33"/>
      <c r="L13" s="33"/>
      <c r="M13" s="33"/>
      <c r="N13" s="33"/>
      <c r="O13" s="33"/>
      <c r="P13" s="33"/>
      <c r="Q13" s="33"/>
      <c r="R13" s="33"/>
      <c r="S13" s="33"/>
      <c r="T13" s="33"/>
      <c r="U13" s="29"/>
      <c r="W13" s="77"/>
      <c r="X13" s="79"/>
    </row>
    <row r="14" spans="1:24" ht="15" customHeight="1" x14ac:dyDescent="0.25">
      <c r="B14" s="82"/>
      <c r="C14" s="16" t="s">
        <v>198</v>
      </c>
      <c r="D14" s="18" t="s">
        <v>143</v>
      </c>
      <c r="E14" s="20">
        <v>3.8502000000000002E-2</v>
      </c>
      <c r="F14" s="33"/>
      <c r="G14" s="33"/>
      <c r="H14" s="33"/>
      <c r="I14" s="33"/>
      <c r="J14" s="33"/>
      <c r="K14" s="33"/>
      <c r="L14" s="33"/>
      <c r="M14" s="33"/>
      <c r="N14" s="33"/>
      <c r="O14" s="33"/>
      <c r="P14" s="33"/>
      <c r="Q14" s="33"/>
      <c r="R14" s="33"/>
      <c r="S14" s="33"/>
      <c r="T14" s="33"/>
      <c r="U14" s="29"/>
      <c r="W14" s="77"/>
      <c r="X14" s="79"/>
    </row>
    <row r="15" spans="1:24" ht="15" customHeight="1" x14ac:dyDescent="0.25">
      <c r="B15" s="82"/>
      <c r="C15" s="16" t="s">
        <v>197</v>
      </c>
      <c r="D15" s="18" t="s">
        <v>156</v>
      </c>
      <c r="E15" s="20">
        <v>3.6639999999999999E-2</v>
      </c>
      <c r="F15" s="33"/>
      <c r="G15" s="33"/>
      <c r="H15" s="33"/>
      <c r="I15" s="33"/>
      <c r="J15" s="33"/>
      <c r="K15" s="33"/>
      <c r="L15" s="33"/>
      <c r="M15" s="33"/>
      <c r="N15" s="33"/>
      <c r="O15" s="33"/>
      <c r="P15" s="33"/>
      <c r="Q15" s="33"/>
      <c r="R15" s="33"/>
      <c r="S15" s="33"/>
      <c r="T15" s="33"/>
      <c r="U15" s="29"/>
      <c r="W15" s="77"/>
      <c r="X15" s="79"/>
    </row>
    <row r="16" spans="1:24" ht="15" customHeight="1" x14ac:dyDescent="0.25">
      <c r="B16" s="82"/>
      <c r="C16" s="16" t="s">
        <v>133</v>
      </c>
      <c r="D16" s="18" t="s">
        <v>156</v>
      </c>
      <c r="E16" s="20">
        <v>3.6136000000000001E-2</v>
      </c>
      <c r="F16" s="33"/>
      <c r="G16" s="33"/>
      <c r="H16" s="33"/>
      <c r="I16" s="33"/>
      <c r="J16" s="33"/>
      <c r="K16" s="33"/>
      <c r="L16" s="33"/>
      <c r="M16" s="33"/>
      <c r="N16" s="33"/>
      <c r="O16" s="33"/>
      <c r="P16" s="33"/>
      <c r="Q16" s="33"/>
      <c r="R16" s="33"/>
      <c r="S16" s="33"/>
      <c r="T16" s="33"/>
      <c r="U16" s="29"/>
      <c r="W16" s="77"/>
      <c r="X16" s="79"/>
    </row>
    <row r="17" spans="2:24" ht="15" customHeight="1" x14ac:dyDescent="0.25">
      <c r="B17" s="82"/>
      <c r="C17" s="16" t="s">
        <v>190</v>
      </c>
      <c r="D17" s="18" t="s">
        <v>159</v>
      </c>
      <c r="E17" s="20">
        <v>3.4721000000000002E-2</v>
      </c>
      <c r="F17" s="33"/>
      <c r="G17" s="33"/>
      <c r="H17" s="33"/>
      <c r="I17" s="33"/>
      <c r="J17" s="33"/>
      <c r="K17" s="33"/>
      <c r="L17" s="33"/>
      <c r="M17" s="33"/>
      <c r="N17" s="33"/>
      <c r="O17" s="33"/>
      <c r="P17" s="33"/>
      <c r="Q17" s="33"/>
      <c r="R17" s="33"/>
      <c r="S17" s="33"/>
      <c r="T17" s="33"/>
      <c r="U17" s="29"/>
      <c r="W17" s="77"/>
      <c r="X17" s="79"/>
    </row>
    <row r="18" spans="2:24" ht="15" customHeight="1" x14ac:dyDescent="0.25">
      <c r="B18" s="82"/>
      <c r="C18" s="16" t="s">
        <v>189</v>
      </c>
      <c r="D18" s="18" t="s">
        <v>140</v>
      </c>
      <c r="E18" s="20">
        <v>3.2631E-2</v>
      </c>
      <c r="F18" s="33"/>
      <c r="G18" s="33"/>
      <c r="H18" s="33"/>
      <c r="I18" s="33"/>
      <c r="J18" s="33"/>
      <c r="K18" s="33"/>
      <c r="L18" s="33"/>
      <c r="M18" s="33"/>
      <c r="N18" s="33"/>
      <c r="O18" s="33"/>
      <c r="P18" s="33"/>
      <c r="Q18" s="33"/>
      <c r="R18" s="33"/>
      <c r="S18" s="33"/>
      <c r="T18" s="33"/>
      <c r="U18" s="29"/>
      <c r="W18" s="77"/>
      <c r="X18" s="79"/>
    </row>
    <row r="19" spans="2:24" ht="15" customHeight="1" x14ac:dyDescent="0.25">
      <c r="B19" s="82"/>
      <c r="C19" s="16" t="s">
        <v>168</v>
      </c>
      <c r="D19" s="18" t="s">
        <v>156</v>
      </c>
      <c r="E19" s="20">
        <v>2.9593999999999999E-2</v>
      </c>
      <c r="F19" s="33"/>
      <c r="G19" s="33"/>
      <c r="H19" s="33"/>
      <c r="I19" s="33"/>
      <c r="J19" s="33"/>
      <c r="K19" s="33"/>
      <c r="L19" s="33"/>
      <c r="M19" s="33"/>
      <c r="N19" s="33"/>
      <c r="O19" s="33"/>
      <c r="P19" s="33"/>
      <c r="Q19" s="33"/>
      <c r="R19" s="33"/>
      <c r="S19" s="33"/>
      <c r="T19" s="33"/>
      <c r="U19" s="29"/>
      <c r="W19" s="77"/>
      <c r="X19" s="79"/>
    </row>
    <row r="20" spans="2:24" ht="15" customHeight="1" x14ac:dyDescent="0.25">
      <c r="B20" s="82"/>
      <c r="C20" s="16" t="s">
        <v>171</v>
      </c>
      <c r="D20" s="18" t="s">
        <v>140</v>
      </c>
      <c r="E20" s="20">
        <v>2.691E-2</v>
      </c>
      <c r="F20" s="33"/>
      <c r="G20" s="33"/>
      <c r="H20" s="33"/>
      <c r="I20" s="33"/>
      <c r="J20" s="33"/>
      <c r="K20" s="33"/>
      <c r="L20" s="33"/>
      <c r="M20" s="33"/>
      <c r="N20" s="33"/>
      <c r="O20" s="33"/>
      <c r="P20" s="33"/>
      <c r="Q20" s="33"/>
      <c r="R20" s="33"/>
      <c r="S20" s="33"/>
      <c r="T20" s="33"/>
      <c r="U20" s="29"/>
      <c r="W20" s="77"/>
      <c r="X20" s="79"/>
    </row>
    <row r="21" spans="2:24" ht="15" customHeight="1" x14ac:dyDescent="0.25">
      <c r="B21" s="82"/>
      <c r="C21" s="16" t="s">
        <v>210</v>
      </c>
      <c r="D21" s="18" t="s">
        <v>140</v>
      </c>
      <c r="E21" s="20">
        <v>2.572E-2</v>
      </c>
      <c r="F21" s="33"/>
      <c r="G21" s="33"/>
      <c r="H21" s="33"/>
      <c r="I21" s="33"/>
      <c r="J21" s="33"/>
      <c r="K21" s="33"/>
      <c r="L21" s="33"/>
      <c r="M21" s="33"/>
      <c r="N21" s="33"/>
      <c r="O21" s="33"/>
      <c r="P21" s="33"/>
      <c r="Q21" s="33"/>
      <c r="R21" s="33"/>
      <c r="S21" s="33"/>
      <c r="T21" s="33"/>
      <c r="U21" s="29"/>
      <c r="W21" s="77"/>
      <c r="X21" s="79"/>
    </row>
    <row r="22" spans="2:24" ht="15" customHeight="1" x14ac:dyDescent="0.25">
      <c r="B22" s="82"/>
      <c r="C22" s="16" t="s">
        <v>271</v>
      </c>
      <c r="D22" s="18" t="s">
        <v>24</v>
      </c>
      <c r="E22" s="20">
        <v>2.3577000000000001E-2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56</v>
      </c>
      <c r="D24" s="93"/>
      <c r="E24" s="94">
        <f>SUM(E8:E22)</f>
        <v>0.62842599999999993</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6" t="s">
        <v>254</v>
      </c>
      <c r="C39" s="227"/>
      <c r="D39" s="227"/>
      <c r="E39" s="227"/>
      <c r="F39" s="227"/>
      <c r="G39" s="227"/>
      <c r="H39" s="227"/>
      <c r="I39" s="227"/>
      <c r="J39" s="227"/>
      <c r="K39" s="227"/>
      <c r="L39" s="227"/>
      <c r="M39" s="227"/>
      <c r="N39" s="228"/>
      <c r="W39" s="77"/>
      <c r="X39" s="79"/>
    </row>
    <row r="40" spans="2:24" ht="15" customHeight="1" x14ac:dyDescent="0.25">
      <c r="B40" s="229"/>
      <c r="C40" s="230"/>
      <c r="D40" s="230"/>
      <c r="E40" s="230"/>
      <c r="F40" s="230"/>
      <c r="G40" s="230"/>
      <c r="H40" s="230"/>
      <c r="I40" s="230"/>
      <c r="J40" s="230"/>
      <c r="K40" s="230"/>
      <c r="L40" s="230"/>
      <c r="M40" s="230"/>
      <c r="N40" s="231"/>
      <c r="W40" s="77"/>
      <c r="X40" s="79"/>
    </row>
    <row r="41" spans="2:24" ht="15" customHeight="1" x14ac:dyDescent="0.25">
      <c r="B41" s="229"/>
      <c r="C41" s="230"/>
      <c r="D41" s="230"/>
      <c r="E41" s="230"/>
      <c r="F41" s="230"/>
      <c r="G41" s="230"/>
      <c r="H41" s="230"/>
      <c r="I41" s="230"/>
      <c r="J41" s="230"/>
      <c r="K41" s="230"/>
      <c r="L41" s="230"/>
      <c r="M41" s="230"/>
      <c r="N41" s="231"/>
      <c r="W41" s="77"/>
      <c r="X41" s="79"/>
    </row>
    <row r="42" spans="2:24" ht="15" customHeight="1" x14ac:dyDescent="0.25">
      <c r="B42" s="229"/>
      <c r="C42" s="230"/>
      <c r="D42" s="230"/>
      <c r="E42" s="230"/>
      <c r="F42" s="230"/>
      <c r="G42" s="230"/>
      <c r="H42" s="230"/>
      <c r="I42" s="230"/>
      <c r="J42" s="230"/>
      <c r="K42" s="230"/>
      <c r="L42" s="230"/>
      <c r="M42" s="230"/>
      <c r="N42" s="231"/>
      <c r="W42" s="77"/>
      <c r="X42" s="79"/>
    </row>
    <row r="43" spans="2:24" ht="15" customHeight="1" x14ac:dyDescent="0.25">
      <c r="B43" s="229"/>
      <c r="C43" s="230"/>
      <c r="D43" s="230"/>
      <c r="E43" s="230"/>
      <c r="F43" s="230"/>
      <c r="G43" s="230"/>
      <c r="H43" s="230"/>
      <c r="I43" s="230"/>
      <c r="J43" s="230"/>
      <c r="K43" s="230"/>
      <c r="L43" s="230"/>
      <c r="M43" s="230"/>
      <c r="N43" s="231"/>
    </row>
    <row r="44" spans="2:24" ht="15" customHeight="1" x14ac:dyDescent="0.25">
      <c r="B44" s="229"/>
      <c r="C44" s="230"/>
      <c r="D44" s="230"/>
      <c r="E44" s="230"/>
      <c r="F44" s="230"/>
      <c r="G44" s="230"/>
      <c r="H44" s="230"/>
      <c r="I44" s="230"/>
      <c r="J44" s="230"/>
      <c r="K44" s="230"/>
      <c r="L44" s="230"/>
      <c r="M44" s="230"/>
      <c r="N44" s="231"/>
    </row>
    <row r="45" spans="2:24" ht="27.75" customHeight="1" thickBot="1" x14ac:dyDescent="0.3">
      <c r="B45" s="232"/>
      <c r="C45" s="233"/>
      <c r="D45" s="233"/>
      <c r="E45" s="233"/>
      <c r="F45" s="233"/>
      <c r="G45" s="233"/>
      <c r="H45" s="233"/>
      <c r="I45" s="233"/>
      <c r="J45" s="233"/>
      <c r="K45" s="233"/>
      <c r="L45" s="233"/>
      <c r="M45" s="233"/>
      <c r="N45" s="23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N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6"/>
      <c r="C2" s="97"/>
      <c r="D2" s="97"/>
      <c r="E2" s="97"/>
      <c r="F2" s="97"/>
      <c r="G2" s="97"/>
      <c r="H2" s="97"/>
      <c r="I2" s="97"/>
      <c r="J2" s="97"/>
      <c r="K2" s="97"/>
      <c r="L2" s="97"/>
      <c r="M2" s="97"/>
      <c r="N2" s="97"/>
      <c r="O2" s="97"/>
      <c r="P2" s="97"/>
      <c r="Q2" s="97"/>
      <c r="R2" s="97"/>
      <c r="S2" s="97"/>
      <c r="T2" s="25"/>
    </row>
    <row r="3" spans="1:25" ht="20.25" customHeight="1" x14ac:dyDescent="0.25">
      <c r="B3" s="98"/>
      <c r="C3" s="235" t="s">
        <v>238</v>
      </c>
      <c r="D3" s="236"/>
      <c r="E3" s="236"/>
      <c r="F3" s="236"/>
      <c r="G3" s="236"/>
      <c r="H3" s="236"/>
      <c r="I3" s="236"/>
      <c r="J3" s="236"/>
      <c r="K3" s="236"/>
      <c r="L3" s="236"/>
      <c r="M3" s="236"/>
      <c r="N3" s="236"/>
      <c r="O3" s="236"/>
      <c r="P3" s="236"/>
      <c r="Q3" s="236"/>
      <c r="R3" s="236"/>
      <c r="S3" s="236"/>
      <c r="T3" s="26"/>
    </row>
    <row r="4" spans="1:25" ht="15.75" customHeight="1" x14ac:dyDescent="0.25">
      <c r="B4" s="98"/>
      <c r="C4" s="85" t="s">
        <v>273</v>
      </c>
      <c r="D4" s="33"/>
      <c r="E4" s="33"/>
      <c r="F4" s="33"/>
      <c r="G4" s="33"/>
      <c r="H4" s="33"/>
      <c r="I4" s="33"/>
      <c r="J4" s="33"/>
      <c r="K4" s="33"/>
      <c r="L4" s="33"/>
      <c r="M4" s="33"/>
      <c r="N4" s="33"/>
      <c r="O4" s="33"/>
      <c r="P4" s="33"/>
      <c r="Q4" s="33"/>
      <c r="R4" s="33"/>
      <c r="S4" s="33"/>
      <c r="T4" s="26"/>
    </row>
    <row r="5" spans="1:25" ht="18" customHeight="1" x14ac:dyDescent="0.25">
      <c r="B5" s="98"/>
      <c r="C5" s="86" t="s">
        <v>274</v>
      </c>
      <c r="D5" s="237" t="s">
        <v>286</v>
      </c>
      <c r="E5" s="237"/>
      <c r="F5" s="33"/>
      <c r="G5" s="33"/>
      <c r="H5" s="33"/>
      <c r="I5" s="33"/>
      <c r="J5" s="33"/>
      <c r="K5" s="33"/>
      <c r="L5" s="33"/>
      <c r="M5" s="33"/>
      <c r="N5" s="33"/>
      <c r="O5" s="33"/>
      <c r="P5" s="33"/>
      <c r="Q5" s="33"/>
      <c r="R5" s="33"/>
      <c r="S5" s="33"/>
      <c r="T5" s="26"/>
    </row>
    <row r="6" spans="1:25" ht="15" customHeight="1" x14ac:dyDescent="0.25">
      <c r="B6" s="98"/>
      <c r="C6" s="33"/>
      <c r="D6" s="33"/>
      <c r="E6" s="33"/>
      <c r="F6" s="33"/>
      <c r="G6" s="33"/>
      <c r="H6" s="33"/>
      <c r="I6" s="33"/>
      <c r="J6" s="33"/>
      <c r="K6" s="33"/>
      <c r="L6" s="33"/>
      <c r="M6" s="33"/>
      <c r="N6" s="33"/>
      <c r="O6" s="33"/>
      <c r="P6" s="33"/>
      <c r="Q6" s="33"/>
      <c r="R6" s="33"/>
      <c r="S6" s="33"/>
      <c r="T6" s="26"/>
    </row>
    <row r="7" spans="1:25"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5" ht="15" customHeight="1" x14ac:dyDescent="0.25">
      <c r="B8" s="98"/>
      <c r="C8" s="15" t="s">
        <v>33</v>
      </c>
      <c r="D8" s="17" t="s">
        <v>3</v>
      </c>
      <c r="E8" s="19">
        <v>7.9955999999999999E-2</v>
      </c>
      <c r="F8" s="33"/>
      <c r="G8" s="33"/>
      <c r="H8" s="33"/>
      <c r="I8" s="33"/>
      <c r="J8" s="33"/>
      <c r="K8" s="33"/>
      <c r="L8" s="33"/>
      <c r="M8" s="33"/>
      <c r="N8" s="33"/>
      <c r="O8" s="33"/>
      <c r="P8" s="33"/>
      <c r="Q8" s="33"/>
      <c r="R8" s="33"/>
      <c r="S8" s="33"/>
      <c r="T8" s="26"/>
      <c r="W8" s="77" t="s">
        <v>3</v>
      </c>
      <c r="X8" s="79">
        <v>0.19627300000000003</v>
      </c>
      <c r="Y8" s="182"/>
    </row>
    <row r="9" spans="1:25" ht="15.75" customHeight="1" x14ac:dyDescent="0.25">
      <c r="B9" s="98"/>
      <c r="C9" s="16" t="s">
        <v>28</v>
      </c>
      <c r="D9" s="18" t="s">
        <v>137</v>
      </c>
      <c r="E9" s="20">
        <v>4.6237E-2</v>
      </c>
      <c r="F9" s="33"/>
      <c r="G9" s="33"/>
      <c r="H9" s="33"/>
      <c r="I9" s="33"/>
      <c r="J9" s="33"/>
      <c r="K9" s="33"/>
      <c r="L9" s="33"/>
      <c r="M9" s="33"/>
      <c r="N9" s="33"/>
      <c r="O9" s="33"/>
      <c r="P9" s="33"/>
      <c r="Q9" s="33"/>
      <c r="R9" s="33"/>
      <c r="S9" s="33"/>
      <c r="T9" s="26"/>
      <c r="W9" s="77" t="s">
        <v>137</v>
      </c>
      <c r="X9" s="79">
        <v>9.3222000000000013E-2</v>
      </c>
      <c r="Y9" s="182"/>
    </row>
    <row r="10" spans="1:25" ht="15" customHeight="1" x14ac:dyDescent="0.25">
      <c r="B10" s="98"/>
      <c r="C10" s="16" t="s">
        <v>29</v>
      </c>
      <c r="D10" s="18" t="s">
        <v>3</v>
      </c>
      <c r="E10" s="20">
        <v>4.0536000000000003E-2</v>
      </c>
      <c r="F10" s="33"/>
      <c r="G10" s="33"/>
      <c r="H10" s="33"/>
      <c r="I10" s="33"/>
      <c r="J10" s="33"/>
      <c r="K10" s="33"/>
      <c r="L10" s="33"/>
      <c r="M10" s="33"/>
      <c r="N10" s="33"/>
      <c r="O10" s="33"/>
      <c r="P10" s="33"/>
      <c r="Q10" s="33"/>
      <c r="R10" s="33"/>
      <c r="S10" s="33"/>
      <c r="T10" s="26"/>
      <c r="W10" s="77" t="s">
        <v>142</v>
      </c>
      <c r="X10" s="79">
        <v>6.3232999999999998E-2</v>
      </c>
      <c r="Y10" s="182"/>
    </row>
    <row r="11" spans="1:25" ht="15" customHeight="1" x14ac:dyDescent="0.25">
      <c r="B11" s="98"/>
      <c r="C11" s="16" t="s">
        <v>37</v>
      </c>
      <c r="D11" s="18" t="s">
        <v>3</v>
      </c>
      <c r="E11" s="20">
        <v>3.8094000000000003E-2</v>
      </c>
      <c r="F11" s="33"/>
      <c r="G11" s="33"/>
      <c r="H11" s="33"/>
      <c r="I11" s="33"/>
      <c r="J11" s="33"/>
      <c r="K11" s="33"/>
      <c r="L11" s="33"/>
      <c r="M11" s="33"/>
      <c r="N11" s="33"/>
      <c r="O11" s="33"/>
      <c r="P11" s="33"/>
      <c r="Q11" s="33"/>
      <c r="R11" s="33"/>
      <c r="S11" s="33"/>
      <c r="T11" s="26"/>
      <c r="W11" s="77" t="s">
        <v>143</v>
      </c>
      <c r="X11" s="79">
        <v>4.8475000000000004E-2</v>
      </c>
      <c r="Y11" s="182"/>
    </row>
    <row r="12" spans="1:25" ht="15" customHeight="1" x14ac:dyDescent="0.25">
      <c r="B12" s="98"/>
      <c r="C12" s="16" t="s">
        <v>32</v>
      </c>
      <c r="D12" s="18" t="s">
        <v>6</v>
      </c>
      <c r="E12" s="20">
        <v>3.7740000000000003E-2</v>
      </c>
      <c r="F12" s="33"/>
      <c r="G12" s="33"/>
      <c r="H12" s="33"/>
      <c r="I12" s="33"/>
      <c r="J12" s="33"/>
      <c r="K12" s="33"/>
      <c r="L12" s="33"/>
      <c r="M12" s="33"/>
      <c r="N12" s="33"/>
      <c r="O12" s="33"/>
      <c r="P12" s="33"/>
      <c r="Q12" s="33"/>
      <c r="R12" s="33"/>
      <c r="S12" s="33"/>
      <c r="T12" s="26"/>
      <c r="W12" s="77" t="s">
        <v>4</v>
      </c>
      <c r="X12" s="79">
        <v>4.8366000000000006E-2</v>
      </c>
      <c r="Y12" s="182"/>
    </row>
    <row r="13" spans="1:25" ht="15" customHeight="1" x14ac:dyDescent="0.25">
      <c r="B13" s="98"/>
      <c r="C13" s="16" t="s">
        <v>95</v>
      </c>
      <c r="D13" s="18" t="s">
        <v>3</v>
      </c>
      <c r="E13" s="20">
        <v>3.7686999999999998E-2</v>
      </c>
      <c r="F13" s="33"/>
      <c r="G13" s="33"/>
      <c r="H13" s="33"/>
      <c r="I13" s="33"/>
      <c r="J13" s="33"/>
      <c r="K13" s="33"/>
      <c r="L13" s="33"/>
      <c r="M13" s="33"/>
      <c r="N13" s="33"/>
      <c r="O13" s="33"/>
      <c r="P13" s="33"/>
      <c r="Q13" s="33"/>
      <c r="R13" s="33"/>
      <c r="S13" s="33"/>
      <c r="T13" s="26"/>
      <c r="W13" s="77" t="s">
        <v>99</v>
      </c>
      <c r="X13" s="79">
        <v>4.0312000000000001E-2</v>
      </c>
      <c r="Y13" s="182"/>
    </row>
    <row r="14" spans="1:25" ht="15" customHeight="1" x14ac:dyDescent="0.25">
      <c r="B14" s="98"/>
      <c r="C14" s="16" t="s">
        <v>96</v>
      </c>
      <c r="D14" s="18" t="s">
        <v>143</v>
      </c>
      <c r="E14" s="20">
        <v>2.6242000000000001E-2</v>
      </c>
      <c r="F14" s="33"/>
      <c r="G14" s="33"/>
      <c r="H14" s="33"/>
      <c r="I14" s="33"/>
      <c r="J14" s="33"/>
      <c r="K14" s="33"/>
      <c r="L14" s="33"/>
      <c r="M14" s="33"/>
      <c r="N14" s="33"/>
      <c r="O14" s="33"/>
      <c r="P14" s="33"/>
      <c r="Q14" s="33"/>
      <c r="R14" s="33"/>
      <c r="S14" s="33"/>
      <c r="T14" s="26"/>
      <c r="W14" s="77" t="s">
        <v>150</v>
      </c>
      <c r="X14" s="79">
        <v>3.8240999999999997E-2</v>
      </c>
      <c r="Y14" s="182"/>
    </row>
    <row r="15" spans="1:25" ht="15" customHeight="1" x14ac:dyDescent="0.25">
      <c r="B15" s="98"/>
      <c r="C15" s="16" t="s">
        <v>77</v>
      </c>
      <c r="D15" s="18" t="s">
        <v>12</v>
      </c>
      <c r="E15" s="20">
        <v>2.3803000000000001E-2</v>
      </c>
      <c r="F15" s="33"/>
      <c r="G15" s="33"/>
      <c r="H15" s="33"/>
      <c r="I15" s="33"/>
      <c r="J15" s="33"/>
      <c r="K15" s="33"/>
      <c r="L15" s="33"/>
      <c r="M15" s="33"/>
      <c r="N15" s="33"/>
      <c r="O15" s="33"/>
      <c r="P15" s="33"/>
      <c r="Q15" s="33"/>
      <c r="R15" s="33"/>
      <c r="S15" s="33"/>
      <c r="T15" s="26"/>
      <c r="W15" s="77" t="s">
        <v>6</v>
      </c>
      <c r="X15" s="79">
        <v>3.7740000000000003E-2</v>
      </c>
      <c r="Y15" s="182"/>
    </row>
    <row r="16" spans="1:25" ht="15" customHeight="1" x14ac:dyDescent="0.25">
      <c r="B16" s="98"/>
      <c r="C16" s="16" t="s">
        <v>211</v>
      </c>
      <c r="D16" s="18" t="s">
        <v>23</v>
      </c>
      <c r="E16" s="20">
        <v>2.2903E-2</v>
      </c>
      <c r="F16" s="33"/>
      <c r="G16" s="33"/>
      <c r="H16" s="33"/>
      <c r="I16" s="33"/>
      <c r="J16" s="33"/>
      <c r="K16" s="33"/>
      <c r="L16" s="33"/>
      <c r="M16" s="33"/>
      <c r="N16" s="33"/>
      <c r="O16" s="33"/>
      <c r="P16" s="33"/>
      <c r="Q16" s="33"/>
      <c r="R16" s="33"/>
      <c r="S16" s="33"/>
      <c r="T16" s="26"/>
      <c r="W16" s="77" t="s">
        <v>140</v>
      </c>
      <c r="X16" s="79">
        <v>3.7569999999999999E-2</v>
      </c>
      <c r="Y16" s="182"/>
    </row>
    <row r="17" spans="2:25" ht="15" customHeight="1" x14ac:dyDescent="0.25">
      <c r="B17" s="98"/>
      <c r="C17" s="16" t="s">
        <v>133</v>
      </c>
      <c r="D17" s="18" t="s">
        <v>156</v>
      </c>
      <c r="E17" s="20">
        <v>2.2380000000000001E-2</v>
      </c>
      <c r="F17" s="33"/>
      <c r="G17" s="33"/>
      <c r="H17" s="33"/>
      <c r="I17" s="33"/>
      <c r="J17" s="33"/>
      <c r="K17" s="33"/>
      <c r="L17" s="33"/>
      <c r="M17" s="33"/>
      <c r="N17" s="33"/>
      <c r="O17" s="33"/>
      <c r="P17" s="33"/>
      <c r="Q17" s="33"/>
      <c r="R17" s="33"/>
      <c r="S17" s="33"/>
      <c r="T17" s="26"/>
      <c r="W17" s="77" t="s">
        <v>23</v>
      </c>
      <c r="X17" s="79">
        <v>3.5776000000000002E-2</v>
      </c>
      <c r="Y17" s="182"/>
    </row>
    <row r="18" spans="2:25" ht="15" customHeight="1" x14ac:dyDescent="0.25">
      <c r="B18" s="98"/>
      <c r="C18" s="16" t="s">
        <v>151</v>
      </c>
      <c r="D18" s="18" t="s">
        <v>143</v>
      </c>
      <c r="E18" s="20">
        <v>2.2232999999999999E-2</v>
      </c>
      <c r="F18" s="33"/>
      <c r="G18" s="33"/>
      <c r="H18" s="33"/>
      <c r="I18" s="33"/>
      <c r="J18" s="33"/>
      <c r="K18" s="33"/>
      <c r="L18" s="33"/>
      <c r="M18" s="33"/>
      <c r="N18" s="33"/>
      <c r="O18" s="33"/>
      <c r="P18" s="33"/>
      <c r="Q18" s="33"/>
      <c r="R18" s="33"/>
      <c r="S18" s="33"/>
      <c r="T18" s="26"/>
      <c r="W18" s="77" t="s">
        <v>11</v>
      </c>
      <c r="X18" s="79">
        <v>3.4346000000000002E-2</v>
      </c>
      <c r="Y18" s="182"/>
    </row>
    <row r="19" spans="2:25" ht="15" customHeight="1" x14ac:dyDescent="0.25">
      <c r="B19" s="98"/>
      <c r="C19" s="16" t="s">
        <v>30</v>
      </c>
      <c r="D19" s="18" t="s">
        <v>4</v>
      </c>
      <c r="E19" s="20">
        <v>2.2041000000000002E-2</v>
      </c>
      <c r="F19" s="33"/>
      <c r="G19" s="33"/>
      <c r="H19" s="33"/>
      <c r="I19" s="33"/>
      <c r="J19" s="33"/>
      <c r="K19" s="33"/>
      <c r="L19" s="33"/>
      <c r="M19" s="33"/>
      <c r="N19" s="33"/>
      <c r="O19" s="33"/>
      <c r="P19" s="33"/>
      <c r="Q19" s="33"/>
      <c r="R19" s="33"/>
      <c r="S19" s="33"/>
      <c r="T19" s="26"/>
      <c r="W19" s="77" t="s">
        <v>156</v>
      </c>
      <c r="X19" s="79">
        <v>3.2232999999999998E-2</v>
      </c>
      <c r="Y19" s="182"/>
    </row>
    <row r="20" spans="2:25" ht="15" customHeight="1" x14ac:dyDescent="0.25">
      <c r="B20" s="98"/>
      <c r="C20" s="16" t="s">
        <v>86</v>
      </c>
      <c r="D20" s="18" t="s">
        <v>11</v>
      </c>
      <c r="E20" s="20">
        <v>2.0961E-2</v>
      </c>
      <c r="F20" s="33"/>
      <c r="G20" s="33"/>
      <c r="H20" s="33"/>
      <c r="I20" s="33"/>
      <c r="J20" s="33"/>
      <c r="K20" s="33"/>
      <c r="L20" s="33"/>
      <c r="M20" s="33"/>
      <c r="N20" s="33"/>
      <c r="O20" s="33"/>
      <c r="P20" s="33"/>
      <c r="Q20" s="33"/>
      <c r="R20" s="33"/>
      <c r="S20" s="33"/>
      <c r="T20" s="26"/>
      <c r="W20" s="77" t="s">
        <v>147</v>
      </c>
      <c r="X20" s="79">
        <v>3.1795000000000004E-2</v>
      </c>
      <c r="Y20" s="182"/>
    </row>
    <row r="21" spans="2:25" ht="15" customHeight="1" x14ac:dyDescent="0.25">
      <c r="B21" s="98"/>
      <c r="C21" s="16" t="s">
        <v>200</v>
      </c>
      <c r="D21" s="18" t="s">
        <v>150</v>
      </c>
      <c r="E21" s="20">
        <v>2.0249E-2</v>
      </c>
      <c r="F21" s="33"/>
      <c r="G21" s="33"/>
      <c r="H21" s="33"/>
      <c r="I21" s="33"/>
      <c r="J21" s="33"/>
      <c r="K21" s="33"/>
      <c r="L21" s="33"/>
      <c r="M21" s="33"/>
      <c r="N21" s="33"/>
      <c r="O21" s="33"/>
      <c r="P21" s="33"/>
      <c r="Q21" s="33"/>
      <c r="R21" s="33"/>
      <c r="S21" s="33"/>
      <c r="T21" s="26"/>
      <c r="W21" s="77" t="s">
        <v>24</v>
      </c>
      <c r="X21" s="79">
        <v>3.0984999999999999E-2</v>
      </c>
      <c r="Y21" s="182"/>
    </row>
    <row r="22" spans="2:25" ht="15" customHeight="1" x14ac:dyDescent="0.25">
      <c r="B22" s="98"/>
      <c r="C22" s="16" t="s">
        <v>34</v>
      </c>
      <c r="D22" s="18" t="s">
        <v>137</v>
      </c>
      <c r="E22" s="20">
        <v>1.9223000000000001E-2</v>
      </c>
      <c r="F22" s="33"/>
      <c r="G22" s="33"/>
      <c r="H22" s="33"/>
      <c r="I22" s="33"/>
      <c r="J22" s="33"/>
      <c r="K22" s="33"/>
      <c r="L22" s="33"/>
      <c r="M22" s="33"/>
      <c r="N22" s="33"/>
      <c r="O22" s="33"/>
      <c r="P22" s="33"/>
      <c r="Q22" s="33"/>
      <c r="R22" s="33"/>
      <c r="S22" s="33"/>
      <c r="T22" s="26"/>
      <c r="W22" s="77" t="s">
        <v>100</v>
      </c>
      <c r="X22" s="79">
        <v>2.6716999999999998E-2</v>
      </c>
      <c r="Y22" s="182"/>
    </row>
    <row r="23" spans="2:25" ht="15" customHeight="1" x14ac:dyDescent="0.25">
      <c r="B23" s="98"/>
      <c r="C23" s="90"/>
      <c r="D23" s="90"/>
      <c r="E23" s="91"/>
      <c r="F23" s="33"/>
      <c r="G23" s="33"/>
      <c r="H23" s="33"/>
      <c r="I23" s="33"/>
      <c r="J23" s="33"/>
      <c r="K23" s="33"/>
      <c r="L23" s="33"/>
      <c r="M23" s="33"/>
      <c r="N23" s="33"/>
      <c r="O23" s="33"/>
      <c r="P23" s="33"/>
      <c r="Q23" s="33"/>
      <c r="R23" s="33"/>
      <c r="S23" s="33"/>
      <c r="T23" s="26"/>
      <c r="W23" s="77" t="s">
        <v>102</v>
      </c>
      <c r="X23" s="79">
        <v>2.4542000000000001E-2</v>
      </c>
      <c r="Y23" s="182"/>
    </row>
    <row r="24" spans="2:25" ht="15" customHeight="1" x14ac:dyDescent="0.25">
      <c r="B24" s="98"/>
      <c r="C24" s="92" t="s">
        <v>56</v>
      </c>
      <c r="D24" s="93"/>
      <c r="E24" s="94">
        <f>SUM(E8:E22)</f>
        <v>0.48028500000000002</v>
      </c>
      <c r="F24" s="33"/>
      <c r="G24" s="33"/>
      <c r="H24" s="33"/>
      <c r="I24" s="33"/>
      <c r="J24" s="33"/>
      <c r="K24" s="33"/>
      <c r="L24" s="33"/>
      <c r="M24" s="33"/>
      <c r="N24" s="33"/>
      <c r="O24" s="33"/>
      <c r="P24" s="33"/>
      <c r="Q24" s="33"/>
      <c r="R24" s="33"/>
      <c r="S24" s="33"/>
      <c r="T24" s="26"/>
      <c r="W24" s="77" t="s">
        <v>136</v>
      </c>
      <c r="X24" s="79">
        <v>2.3960000000000002E-2</v>
      </c>
      <c r="Y24" s="182"/>
    </row>
    <row r="25" spans="2:25" ht="15" customHeight="1" x14ac:dyDescent="0.25">
      <c r="B25" s="98"/>
      <c r="F25" s="33"/>
      <c r="G25" s="33"/>
      <c r="H25" s="33"/>
      <c r="I25" s="33"/>
      <c r="J25" s="33"/>
      <c r="K25" s="33"/>
      <c r="L25" s="33"/>
      <c r="M25" s="33"/>
      <c r="N25" s="33"/>
      <c r="O25" s="33"/>
      <c r="P25" s="33"/>
      <c r="Q25" s="33"/>
      <c r="R25" s="33"/>
      <c r="S25" s="33"/>
      <c r="T25" s="26"/>
      <c r="W25" s="77" t="s">
        <v>12</v>
      </c>
      <c r="X25" s="79">
        <v>2.3803000000000001E-2</v>
      </c>
      <c r="Y25" s="182"/>
    </row>
    <row r="26" spans="2:25" ht="15" customHeight="1" x14ac:dyDescent="0.25">
      <c r="B26" s="98"/>
      <c r="F26" s="33"/>
      <c r="G26" s="33"/>
      <c r="H26" s="33"/>
      <c r="I26" s="33"/>
      <c r="J26" s="33"/>
      <c r="K26" s="33"/>
      <c r="L26" s="33"/>
      <c r="M26" s="33"/>
      <c r="N26" s="33"/>
      <c r="O26" s="33"/>
      <c r="P26" s="33"/>
      <c r="Q26" s="33"/>
      <c r="R26" s="33"/>
      <c r="S26" s="33"/>
      <c r="T26" s="26"/>
      <c r="W26" s="77" t="s">
        <v>16</v>
      </c>
      <c r="X26" s="79">
        <v>1.6579E-2</v>
      </c>
      <c r="Y26" s="182"/>
    </row>
    <row r="27" spans="2:25" ht="15" customHeight="1" x14ac:dyDescent="0.25">
      <c r="B27" s="98"/>
      <c r="F27" s="33"/>
      <c r="G27" s="33"/>
      <c r="H27" s="33"/>
      <c r="I27" s="33"/>
      <c r="J27" s="33"/>
      <c r="K27" s="33"/>
      <c r="L27" s="33"/>
      <c r="M27" s="33"/>
      <c r="N27" s="33"/>
      <c r="O27" s="33"/>
      <c r="P27" s="33"/>
      <c r="Q27" s="33"/>
      <c r="R27" s="33"/>
      <c r="S27" s="33"/>
      <c r="T27" s="26"/>
      <c r="W27" s="77" t="s">
        <v>10</v>
      </c>
      <c r="X27" s="79">
        <v>1.5539000000000001E-2</v>
      </c>
      <c r="Y27" s="182"/>
    </row>
    <row r="28" spans="2:25" ht="15" customHeight="1" x14ac:dyDescent="0.25">
      <c r="B28" s="98"/>
      <c r="F28" s="33"/>
      <c r="G28" s="33"/>
      <c r="H28" s="33"/>
      <c r="I28" s="33"/>
      <c r="J28" s="33"/>
      <c r="K28" s="33"/>
      <c r="L28" s="33"/>
      <c r="M28" s="33"/>
      <c r="N28" s="33"/>
      <c r="O28" s="33"/>
      <c r="P28" s="33"/>
      <c r="Q28" s="33"/>
      <c r="R28" s="33"/>
      <c r="S28" s="33"/>
      <c r="T28" s="26"/>
      <c r="W28" s="68" t="s">
        <v>148</v>
      </c>
      <c r="X28" s="69">
        <v>1.1498E-2</v>
      </c>
      <c r="Y28" s="182"/>
    </row>
    <row r="29" spans="2:25" ht="15" customHeight="1" x14ac:dyDescent="0.25">
      <c r="B29" s="98"/>
      <c r="F29" s="33"/>
      <c r="G29" s="33"/>
      <c r="H29" s="33"/>
      <c r="I29" s="33"/>
      <c r="J29" s="33"/>
      <c r="K29" s="33"/>
      <c r="L29" s="33"/>
      <c r="M29" s="33"/>
      <c r="N29" s="33"/>
      <c r="O29" s="33"/>
      <c r="P29" s="33"/>
      <c r="Q29" s="33"/>
      <c r="R29" s="33"/>
      <c r="S29" s="33"/>
      <c r="T29" s="26"/>
      <c r="W29" s="68" t="s">
        <v>146</v>
      </c>
      <c r="X29" s="69">
        <v>1.1051E-2</v>
      </c>
      <c r="Y29" s="182"/>
    </row>
    <row r="30" spans="2:25" ht="15" customHeight="1" x14ac:dyDescent="0.25">
      <c r="B30" s="98"/>
      <c r="F30" s="33"/>
      <c r="G30" s="33"/>
      <c r="H30" s="33"/>
      <c r="I30" s="33"/>
      <c r="J30" s="33"/>
      <c r="K30" s="33"/>
      <c r="L30" s="33"/>
      <c r="M30" s="33"/>
      <c r="N30" s="33"/>
      <c r="O30" s="33"/>
      <c r="P30" s="33"/>
      <c r="Q30" s="33"/>
      <c r="R30" s="33"/>
      <c r="S30" s="33"/>
      <c r="T30" s="26"/>
      <c r="W30" s="68" t="s">
        <v>26</v>
      </c>
      <c r="X30" s="69">
        <v>8.1569999999999993E-3</v>
      </c>
    </row>
    <row r="31" spans="2:25" ht="15" customHeight="1" x14ac:dyDescent="0.25">
      <c r="B31" s="98"/>
      <c r="F31" s="33"/>
      <c r="G31" s="33"/>
      <c r="H31" s="33"/>
      <c r="I31" s="33"/>
      <c r="J31" s="33"/>
      <c r="K31" s="33"/>
      <c r="L31" s="33"/>
      <c r="M31" s="33"/>
      <c r="N31" s="33"/>
      <c r="O31" s="33"/>
      <c r="P31" s="33"/>
      <c r="Q31" s="33"/>
      <c r="R31" s="33"/>
      <c r="S31" s="33"/>
      <c r="T31" s="26"/>
      <c r="W31" s="68" t="s">
        <v>138</v>
      </c>
      <c r="X31" s="69">
        <v>4.071E-3</v>
      </c>
    </row>
    <row r="32" spans="2:25"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row>
    <row r="35" spans="2:24" ht="15" customHeight="1" x14ac:dyDescent="0.25">
      <c r="B35" s="98"/>
      <c r="F35" s="33"/>
      <c r="G35" s="33"/>
      <c r="H35" s="33"/>
      <c r="I35" s="33"/>
      <c r="J35" s="33"/>
      <c r="K35" s="33"/>
      <c r="L35" s="33"/>
      <c r="M35" s="33"/>
      <c r="N35" s="33"/>
      <c r="O35" s="33"/>
      <c r="P35" s="33"/>
      <c r="Q35" s="33"/>
      <c r="R35" s="33"/>
      <c r="S35" s="33"/>
      <c r="T35" s="26"/>
    </row>
    <row r="36" spans="2:24" ht="15" customHeight="1" x14ac:dyDescent="0.25">
      <c r="B36" s="98"/>
      <c r="F36" s="33"/>
      <c r="G36" s="33"/>
      <c r="H36" s="33"/>
      <c r="I36" s="33"/>
      <c r="J36" s="33"/>
      <c r="K36" s="33"/>
      <c r="L36" s="33"/>
      <c r="M36" s="33"/>
      <c r="N36" s="33"/>
      <c r="O36" s="33"/>
      <c r="P36" s="33"/>
      <c r="Q36" s="33"/>
      <c r="R36" s="33"/>
      <c r="S36" s="33"/>
      <c r="T36" s="26"/>
    </row>
    <row r="37" spans="2:24" ht="15" customHeight="1" x14ac:dyDescent="0.25">
      <c r="B37" s="98"/>
      <c r="F37" s="33"/>
      <c r="G37" s="33"/>
      <c r="H37" s="33"/>
      <c r="I37" s="33"/>
      <c r="J37" s="33"/>
      <c r="K37" s="33"/>
      <c r="L37" s="33"/>
      <c r="M37" s="33"/>
      <c r="N37" s="33"/>
      <c r="O37" s="33"/>
      <c r="P37" s="33"/>
      <c r="Q37" s="33"/>
      <c r="R37" s="33"/>
      <c r="S37" s="33"/>
      <c r="T37" s="26"/>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4" ht="15" customHeight="1" thickBot="1" x14ac:dyDescent="0.3"/>
    <row r="40" spans="2:24" ht="15" customHeight="1" x14ac:dyDescent="0.25">
      <c r="B40" s="226" t="s">
        <v>254</v>
      </c>
      <c r="C40" s="227"/>
      <c r="D40" s="227"/>
      <c r="E40" s="227"/>
      <c r="F40" s="227"/>
      <c r="G40" s="227"/>
      <c r="H40" s="227"/>
      <c r="I40" s="227"/>
      <c r="J40" s="227"/>
      <c r="K40" s="227"/>
      <c r="L40" s="227"/>
      <c r="M40" s="227"/>
      <c r="N40" s="227"/>
      <c r="O40" s="227"/>
      <c r="P40" s="227"/>
      <c r="Q40" s="227"/>
      <c r="R40" s="228"/>
    </row>
    <row r="41" spans="2:24" ht="15" customHeight="1" x14ac:dyDescent="0.25">
      <c r="B41" s="229"/>
      <c r="C41" s="230"/>
      <c r="D41" s="230"/>
      <c r="E41" s="230"/>
      <c r="F41" s="230"/>
      <c r="G41" s="230"/>
      <c r="H41" s="230"/>
      <c r="I41" s="230"/>
      <c r="J41" s="230"/>
      <c r="K41" s="230"/>
      <c r="L41" s="230"/>
      <c r="M41" s="230"/>
      <c r="N41" s="230"/>
      <c r="O41" s="230"/>
      <c r="P41" s="230"/>
      <c r="Q41" s="230"/>
      <c r="R41" s="231"/>
    </row>
    <row r="42" spans="2:24" ht="15" customHeight="1" x14ac:dyDescent="0.25">
      <c r="B42" s="229"/>
      <c r="C42" s="230"/>
      <c r="D42" s="230"/>
      <c r="E42" s="230"/>
      <c r="F42" s="230"/>
      <c r="G42" s="230"/>
      <c r="H42" s="230"/>
      <c r="I42" s="230"/>
      <c r="J42" s="230"/>
      <c r="K42" s="230"/>
      <c r="L42" s="230"/>
      <c r="M42" s="230"/>
      <c r="N42" s="230"/>
      <c r="O42" s="230"/>
      <c r="P42" s="230"/>
      <c r="Q42" s="230"/>
      <c r="R42" s="231"/>
    </row>
    <row r="43" spans="2:24" ht="15" customHeight="1" x14ac:dyDescent="0.25">
      <c r="B43" s="229"/>
      <c r="C43" s="230"/>
      <c r="D43" s="230"/>
      <c r="E43" s="230"/>
      <c r="F43" s="230"/>
      <c r="G43" s="230"/>
      <c r="H43" s="230"/>
      <c r="I43" s="230"/>
      <c r="J43" s="230"/>
      <c r="K43" s="230"/>
      <c r="L43" s="230"/>
      <c r="M43" s="230"/>
      <c r="N43" s="230"/>
      <c r="O43" s="230"/>
      <c r="P43" s="230"/>
      <c r="Q43" s="230"/>
      <c r="R43" s="231"/>
    </row>
    <row r="44" spans="2:24" ht="15" customHeight="1" x14ac:dyDescent="0.25">
      <c r="B44" s="229"/>
      <c r="C44" s="230"/>
      <c r="D44" s="230"/>
      <c r="E44" s="230"/>
      <c r="F44" s="230"/>
      <c r="G44" s="230"/>
      <c r="H44" s="230"/>
      <c r="I44" s="230"/>
      <c r="J44" s="230"/>
      <c r="K44" s="230"/>
      <c r="L44" s="230"/>
      <c r="M44" s="230"/>
      <c r="N44" s="230"/>
      <c r="O44" s="230"/>
      <c r="P44" s="230"/>
      <c r="Q44" s="230"/>
      <c r="R44" s="231"/>
    </row>
    <row r="45" spans="2:24" ht="15" customHeight="1" x14ac:dyDescent="0.25">
      <c r="B45" s="229"/>
      <c r="C45" s="230"/>
      <c r="D45" s="230"/>
      <c r="E45" s="230"/>
      <c r="F45" s="230"/>
      <c r="G45" s="230"/>
      <c r="H45" s="230"/>
      <c r="I45" s="230"/>
      <c r="J45" s="230"/>
      <c r="K45" s="230"/>
      <c r="L45" s="230"/>
      <c r="M45" s="230"/>
      <c r="N45" s="230"/>
      <c r="O45" s="230"/>
      <c r="P45" s="230"/>
      <c r="Q45" s="230"/>
      <c r="R45" s="231"/>
    </row>
    <row r="46" spans="2:24" ht="15" customHeight="1" thickBot="1" x14ac:dyDescent="0.3">
      <c r="B46" s="232"/>
      <c r="C46" s="233"/>
      <c r="D46" s="233"/>
      <c r="E46" s="233"/>
      <c r="F46" s="233"/>
      <c r="G46" s="233"/>
      <c r="H46" s="233"/>
      <c r="I46" s="233"/>
      <c r="J46" s="233"/>
      <c r="K46" s="233"/>
      <c r="L46" s="233"/>
      <c r="M46" s="233"/>
      <c r="N46" s="233"/>
      <c r="O46" s="233"/>
      <c r="P46" s="233"/>
      <c r="Q46" s="233"/>
      <c r="R46" s="234"/>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0"/>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0"/>
      <c r="C2" s="49"/>
      <c r="D2" s="49"/>
      <c r="E2" s="49"/>
      <c r="F2" s="49"/>
      <c r="G2" s="49"/>
      <c r="H2" s="49"/>
      <c r="I2" s="49"/>
      <c r="J2" s="49"/>
      <c r="K2" s="49"/>
      <c r="L2" s="49"/>
      <c r="M2" s="49"/>
      <c r="N2" s="49"/>
      <c r="O2" s="49"/>
      <c r="P2" s="49"/>
      <c r="Q2" s="111"/>
    </row>
    <row r="3" spans="2:27" ht="20.25" customHeight="1" x14ac:dyDescent="0.2">
      <c r="B3" s="112"/>
      <c r="C3" s="220" t="s">
        <v>236</v>
      </c>
      <c r="D3" s="220"/>
      <c r="E3" s="220"/>
      <c r="F3" s="220"/>
      <c r="G3" s="220"/>
      <c r="H3" s="220"/>
      <c r="I3" s="220"/>
      <c r="J3" s="220"/>
      <c r="K3" s="220"/>
      <c r="L3" s="220"/>
      <c r="M3" s="220"/>
      <c r="N3" s="220"/>
      <c r="O3" s="220"/>
      <c r="P3" s="220"/>
      <c r="Q3" s="24"/>
    </row>
    <row r="4" spans="2:27" ht="15.75" x14ac:dyDescent="0.25">
      <c r="B4" s="112"/>
      <c r="C4" s="85" t="s">
        <v>273</v>
      </c>
      <c r="D4" s="5"/>
      <c r="E4" s="5"/>
      <c r="F4" s="5"/>
      <c r="G4" s="5"/>
      <c r="H4" s="5"/>
      <c r="I4" s="5"/>
      <c r="J4" s="5"/>
      <c r="K4" s="5"/>
      <c r="L4" s="5"/>
      <c r="M4" s="5"/>
      <c r="N4" s="5"/>
      <c r="O4" s="5"/>
      <c r="P4" s="5"/>
      <c r="Q4" s="24"/>
    </row>
    <row r="5" spans="2:27" ht="20.25" x14ac:dyDescent="0.2">
      <c r="B5" s="112"/>
      <c r="C5" s="86" t="s">
        <v>274</v>
      </c>
      <c r="D5" s="237" t="s">
        <v>287</v>
      </c>
      <c r="E5" s="237"/>
      <c r="F5" s="5"/>
      <c r="G5" s="5"/>
      <c r="H5" s="5"/>
      <c r="I5" s="5"/>
      <c r="J5" s="5"/>
      <c r="K5" s="5"/>
      <c r="L5" s="5"/>
      <c r="M5" s="5"/>
      <c r="N5" s="5"/>
      <c r="O5" s="5"/>
      <c r="P5" s="5"/>
      <c r="Q5" s="24"/>
    </row>
    <row r="6" spans="2:27" x14ac:dyDescent="0.2">
      <c r="B6" s="112"/>
      <c r="C6" s="5"/>
      <c r="D6" s="5"/>
      <c r="E6" s="5"/>
      <c r="F6" s="5"/>
      <c r="G6" s="5"/>
      <c r="H6" s="5"/>
      <c r="I6" s="5"/>
      <c r="J6" s="5"/>
      <c r="K6" s="5"/>
      <c r="L6" s="5"/>
      <c r="M6" s="5"/>
      <c r="N6" s="5"/>
      <c r="O6" s="5"/>
      <c r="P6" s="5"/>
      <c r="Q6" s="24"/>
      <c r="R6" s="2"/>
      <c r="S6" s="2"/>
      <c r="T6" s="1"/>
    </row>
    <row r="7" spans="2:27" ht="32.25" customHeight="1" x14ac:dyDescent="0.2">
      <c r="B7" s="112"/>
      <c r="C7" s="114" t="s">
        <v>0</v>
      </c>
      <c r="D7" s="114" t="s">
        <v>1</v>
      </c>
      <c r="E7" s="114" t="s">
        <v>2</v>
      </c>
      <c r="F7" s="5"/>
      <c r="G7" s="5"/>
      <c r="H7" s="5"/>
      <c r="I7" s="5"/>
      <c r="J7" s="5"/>
      <c r="K7" s="5"/>
      <c r="L7" s="5"/>
      <c r="M7" s="5"/>
      <c r="N7" s="5"/>
      <c r="O7" s="5"/>
      <c r="P7" s="5"/>
      <c r="Q7" s="24"/>
      <c r="R7" s="12" t="s">
        <v>39</v>
      </c>
      <c r="S7" s="12" t="s">
        <v>237</v>
      </c>
      <c r="T7" s="206"/>
    </row>
    <row r="8" spans="2:27" ht="15.75" x14ac:dyDescent="0.25">
      <c r="B8" s="112"/>
      <c r="C8" s="42"/>
      <c r="D8" s="42"/>
      <c r="E8" s="36"/>
      <c r="F8" s="5"/>
      <c r="G8" s="5"/>
      <c r="H8" s="5"/>
      <c r="I8" s="5"/>
      <c r="J8" s="5"/>
      <c r="K8" s="5"/>
      <c r="L8" s="5"/>
      <c r="M8" s="5"/>
      <c r="N8" s="5"/>
      <c r="O8" s="5"/>
      <c r="P8" s="5"/>
      <c r="Q8" s="24"/>
      <c r="R8" s="12" t="s">
        <v>40</v>
      </c>
      <c r="S8" s="13">
        <f>E9</f>
        <v>0.69098800000000005</v>
      </c>
      <c r="T8" s="206"/>
      <c r="V8" s="68"/>
      <c r="W8" s="69"/>
      <c r="Z8" s="52"/>
      <c r="AA8" s="52"/>
    </row>
    <row r="9" spans="2:27" ht="15.75" x14ac:dyDescent="0.25">
      <c r="B9" s="112"/>
      <c r="C9" s="131" t="s">
        <v>40</v>
      </c>
      <c r="D9" s="149"/>
      <c r="E9" s="132">
        <v>0.69098800000000005</v>
      </c>
      <c r="F9" s="57"/>
      <c r="G9" s="5"/>
      <c r="H9" s="5"/>
      <c r="I9" s="5"/>
      <c r="J9" s="5"/>
      <c r="K9" s="5"/>
      <c r="L9" s="5"/>
      <c r="M9" s="5"/>
      <c r="N9" s="5"/>
      <c r="O9" s="5"/>
      <c r="P9" s="5"/>
      <c r="Q9" s="24"/>
      <c r="R9" s="12" t="s">
        <v>41</v>
      </c>
      <c r="S9" s="13">
        <f>100%-S8</f>
        <v>0.30901199999999995</v>
      </c>
      <c r="T9" s="206"/>
      <c r="V9" s="68"/>
      <c r="W9" s="69"/>
      <c r="Z9" s="52"/>
      <c r="AA9" s="52"/>
    </row>
    <row r="10" spans="2:27" ht="15.75" x14ac:dyDescent="0.25">
      <c r="B10" s="112"/>
      <c r="C10" s="42"/>
      <c r="D10" s="42"/>
      <c r="E10" s="42"/>
      <c r="F10" s="57"/>
      <c r="G10" s="5"/>
      <c r="H10" s="5"/>
      <c r="I10" s="5"/>
      <c r="J10" s="5"/>
      <c r="K10" s="5"/>
      <c r="L10" s="5"/>
      <c r="M10" s="5"/>
      <c r="N10" s="5"/>
      <c r="O10" s="5"/>
      <c r="P10" s="5"/>
      <c r="Q10" s="24"/>
      <c r="R10" s="207"/>
      <c r="S10" s="206"/>
      <c r="T10" s="206"/>
      <c r="V10" s="68"/>
      <c r="W10" s="69"/>
      <c r="Z10" s="52"/>
      <c r="AA10" s="52"/>
    </row>
    <row r="11" spans="2:27" ht="15.75" x14ac:dyDescent="0.25">
      <c r="B11" s="112"/>
      <c r="C11" s="131" t="s">
        <v>42</v>
      </c>
      <c r="D11" s="149"/>
      <c r="E11" s="132">
        <v>5.5173E-2</v>
      </c>
      <c r="F11" s="57"/>
      <c r="G11" s="5"/>
      <c r="H11" s="5"/>
      <c r="I11" s="5"/>
      <c r="J11" s="5"/>
      <c r="K11" s="5"/>
      <c r="L11" s="5"/>
      <c r="M11" s="5"/>
      <c r="N11" s="5"/>
      <c r="O11" s="5"/>
      <c r="P11" s="5"/>
      <c r="Q11" s="24"/>
      <c r="R11" s="14"/>
      <c r="S11" s="1"/>
      <c r="T11" s="1"/>
      <c r="V11" s="68"/>
      <c r="W11" s="69"/>
    </row>
    <row r="12" spans="2:27" ht="15.75" x14ac:dyDescent="0.25">
      <c r="B12" s="112"/>
      <c r="C12" s="136"/>
      <c r="D12" s="178"/>
      <c r="E12" s="137"/>
      <c r="F12" s="57"/>
      <c r="G12" s="5"/>
      <c r="H12" s="5"/>
      <c r="I12" s="5"/>
      <c r="J12" s="5"/>
      <c r="K12" s="5"/>
      <c r="L12" s="5"/>
      <c r="M12" s="5"/>
      <c r="N12" s="5"/>
      <c r="O12" s="5"/>
      <c r="P12" s="5"/>
      <c r="Q12" s="24"/>
      <c r="R12" s="14"/>
      <c r="S12" s="1"/>
      <c r="T12" s="1"/>
      <c r="V12" s="68"/>
      <c r="W12" s="69"/>
    </row>
    <row r="13" spans="2:27" ht="15.75" x14ac:dyDescent="0.25">
      <c r="B13" s="112"/>
      <c r="C13" s="131" t="s">
        <v>257</v>
      </c>
      <c r="D13" s="149"/>
      <c r="E13" s="132">
        <v>8.4869999999999998E-3</v>
      </c>
      <c r="F13" s="57"/>
      <c r="G13" s="5"/>
      <c r="H13" s="5"/>
      <c r="I13" s="5"/>
      <c r="J13" s="5"/>
      <c r="K13" s="5"/>
      <c r="L13" s="5"/>
      <c r="M13" s="5"/>
      <c r="N13" s="5"/>
      <c r="O13" s="5"/>
      <c r="P13" s="5"/>
      <c r="Q13" s="24"/>
      <c r="R13" s="59"/>
      <c r="V13" s="68"/>
      <c r="W13" s="69"/>
    </row>
    <row r="14" spans="2:27" ht="15.75" x14ac:dyDescent="0.25">
      <c r="B14" s="112"/>
      <c r="C14" s="42"/>
      <c r="D14" s="42"/>
      <c r="E14" s="42"/>
      <c r="F14" s="57"/>
      <c r="G14" s="5"/>
      <c r="H14" s="5"/>
      <c r="I14" s="5"/>
      <c r="J14" s="5"/>
      <c r="K14" s="5"/>
      <c r="L14" s="5"/>
      <c r="M14" s="5"/>
      <c r="N14" s="5"/>
      <c r="O14" s="5"/>
      <c r="P14" s="5"/>
      <c r="Q14" s="24"/>
      <c r="R14" s="59"/>
      <c r="V14" s="68"/>
      <c r="W14" s="69"/>
    </row>
    <row r="15" spans="2:27" ht="15.75" x14ac:dyDescent="0.25">
      <c r="B15" s="112"/>
      <c r="C15" s="131" t="s">
        <v>69</v>
      </c>
      <c r="D15" s="149"/>
      <c r="E15" s="132">
        <v>6.6603999999999997E-2</v>
      </c>
      <c r="F15" s="57"/>
      <c r="G15" s="5"/>
      <c r="H15" s="5"/>
      <c r="I15" s="5"/>
      <c r="J15" s="5"/>
      <c r="K15" s="5"/>
      <c r="L15" s="5"/>
      <c r="M15" s="5"/>
      <c r="N15" s="5"/>
      <c r="O15" s="5"/>
      <c r="P15" s="5"/>
      <c r="Q15" s="24"/>
      <c r="R15" s="59"/>
      <c r="V15" s="68"/>
      <c r="W15" s="69"/>
    </row>
    <row r="16" spans="2:27" ht="15.75" x14ac:dyDescent="0.25">
      <c r="B16" s="112"/>
      <c r="C16" s="42"/>
      <c r="D16" s="42"/>
      <c r="E16" s="42"/>
      <c r="F16" s="57"/>
      <c r="G16" s="5"/>
      <c r="H16" s="5"/>
      <c r="I16" s="5"/>
      <c r="J16" s="5"/>
      <c r="K16" s="5"/>
      <c r="L16" s="5"/>
      <c r="M16" s="5"/>
      <c r="N16" s="5"/>
      <c r="O16" s="5"/>
      <c r="P16" s="5"/>
      <c r="Q16" s="24"/>
      <c r="R16" s="59"/>
      <c r="V16" s="68"/>
      <c r="W16" s="69"/>
    </row>
    <row r="17" spans="1:27" ht="15.75" x14ac:dyDescent="0.25">
      <c r="B17" s="112"/>
      <c r="C17" s="131" t="s">
        <v>43</v>
      </c>
      <c r="D17" s="149"/>
      <c r="E17" s="132">
        <v>2.8032999999999999E-2</v>
      </c>
      <c r="F17" s="57"/>
      <c r="G17" s="33"/>
      <c r="H17" s="33"/>
      <c r="I17" s="33"/>
      <c r="J17" s="33"/>
      <c r="K17" s="33"/>
      <c r="L17" s="33"/>
      <c r="M17" s="33"/>
      <c r="N17" s="33"/>
      <c r="O17" s="33"/>
      <c r="P17" s="33"/>
      <c r="Q17" s="24"/>
      <c r="R17" s="59"/>
    </row>
    <row r="18" spans="1:27" ht="15.75" x14ac:dyDescent="0.25">
      <c r="B18" s="112"/>
      <c r="C18" s="42"/>
      <c r="D18" s="42"/>
      <c r="E18" s="42"/>
      <c r="F18" s="5"/>
      <c r="G18" s="33"/>
      <c r="H18" s="33"/>
      <c r="I18" s="33"/>
      <c r="J18" s="33"/>
      <c r="K18" s="33"/>
      <c r="L18" s="33"/>
      <c r="M18" s="33"/>
      <c r="N18" s="33"/>
      <c r="O18" s="33"/>
      <c r="P18" s="33"/>
      <c r="Q18" s="24"/>
      <c r="R18" s="59"/>
    </row>
    <row r="19" spans="1:27" ht="31.5" x14ac:dyDescent="0.2">
      <c r="B19" s="112"/>
      <c r="C19" s="131" t="s">
        <v>249</v>
      </c>
      <c r="D19" s="149"/>
      <c r="E19" s="132">
        <v>7.3105000000000003E-2</v>
      </c>
      <c r="F19" s="179"/>
      <c r="G19" s="5"/>
      <c r="H19" s="5"/>
      <c r="I19" s="5"/>
      <c r="J19" s="5"/>
      <c r="K19" s="5"/>
      <c r="L19" s="5"/>
      <c r="M19" s="5"/>
      <c r="N19" s="5"/>
      <c r="O19" s="5"/>
      <c r="P19" s="5"/>
      <c r="Q19" s="24"/>
      <c r="R19" s="59"/>
    </row>
    <row r="20" spans="1:27" x14ac:dyDescent="0.2">
      <c r="B20" s="112"/>
      <c r="C20" s="42"/>
      <c r="D20" s="42"/>
      <c r="E20" s="42"/>
      <c r="F20" s="5"/>
      <c r="G20" s="5"/>
      <c r="H20" s="5"/>
      <c r="I20" s="5"/>
      <c r="J20" s="5"/>
      <c r="K20" s="5"/>
      <c r="L20" s="5"/>
      <c r="M20" s="5"/>
      <c r="N20" s="5"/>
      <c r="O20" s="5"/>
      <c r="P20" s="5"/>
      <c r="Q20" s="24"/>
      <c r="R20" s="59"/>
    </row>
    <row r="21" spans="1:27" ht="15.75" x14ac:dyDescent="0.2">
      <c r="B21" s="112"/>
      <c r="C21" s="131" t="s">
        <v>81</v>
      </c>
      <c r="D21" s="149"/>
      <c r="E21" s="132">
        <v>8.0330000000000002E-3</v>
      </c>
      <c r="F21" s="179"/>
      <c r="G21" s="5"/>
      <c r="H21" s="5"/>
      <c r="I21" s="5"/>
      <c r="J21" s="5"/>
      <c r="K21" s="5"/>
      <c r="L21" s="5"/>
      <c r="M21" s="5"/>
      <c r="N21" s="5"/>
      <c r="O21" s="5"/>
      <c r="P21" s="5"/>
      <c r="Q21" s="24"/>
      <c r="R21" s="59"/>
    </row>
    <row r="22" spans="1:27" x14ac:dyDescent="0.2">
      <c r="B22" s="112"/>
      <c r="C22" s="42"/>
      <c r="D22" s="42"/>
      <c r="E22" s="42"/>
      <c r="F22" s="5"/>
      <c r="G22" s="5"/>
      <c r="H22" s="5"/>
      <c r="I22" s="5"/>
      <c r="J22" s="5"/>
      <c r="K22" s="5"/>
      <c r="L22" s="5"/>
      <c r="M22" s="5"/>
      <c r="N22" s="5"/>
      <c r="O22" s="5"/>
      <c r="P22" s="5"/>
      <c r="Q22" s="24"/>
      <c r="R22" s="59"/>
    </row>
    <row r="23" spans="1:27" ht="15.75" x14ac:dyDescent="0.2">
      <c r="B23" s="112"/>
      <c r="C23" s="131" t="s">
        <v>94</v>
      </c>
      <c r="D23" s="149"/>
      <c r="E23" s="132">
        <v>7.7673000000000006E-2</v>
      </c>
      <c r="F23" s="35"/>
      <c r="G23" s="5"/>
      <c r="H23" s="5"/>
      <c r="I23" s="5"/>
      <c r="J23" s="5"/>
      <c r="K23" s="5"/>
      <c r="L23" s="5"/>
      <c r="M23" s="5"/>
      <c r="N23" s="5"/>
      <c r="O23" s="5"/>
      <c r="P23" s="5"/>
      <c r="Q23" s="24"/>
      <c r="R23" s="59"/>
    </row>
    <row r="24" spans="1:27" x14ac:dyDescent="0.2">
      <c r="B24" s="112"/>
      <c r="C24" s="42"/>
      <c r="D24" s="42"/>
      <c r="E24" s="42"/>
      <c r="F24" s="5"/>
      <c r="G24" s="5"/>
      <c r="H24" s="5"/>
      <c r="I24" s="5"/>
      <c r="J24" s="5"/>
      <c r="K24" s="5"/>
      <c r="L24" s="5"/>
      <c r="M24" s="5"/>
      <c r="N24" s="5"/>
      <c r="O24" s="5"/>
      <c r="P24" s="5"/>
      <c r="Q24" s="24"/>
      <c r="R24" s="59"/>
    </row>
    <row r="25" spans="1:27" ht="15.75" x14ac:dyDescent="0.2">
      <c r="B25" s="112"/>
      <c r="C25" s="131" t="s">
        <v>20</v>
      </c>
      <c r="D25" s="149"/>
      <c r="E25" s="132">
        <v>-8.0960000000000181E-3</v>
      </c>
      <c r="F25" s="35"/>
      <c r="G25" s="5"/>
      <c r="H25" s="181"/>
      <c r="I25" s="5"/>
      <c r="J25" s="5"/>
      <c r="K25" s="5"/>
      <c r="L25" s="5"/>
      <c r="M25" s="5"/>
      <c r="N25" s="5"/>
      <c r="O25" s="5"/>
      <c r="P25" s="5"/>
      <c r="Q25" s="24"/>
      <c r="R25" s="59"/>
    </row>
    <row r="26" spans="1:27" x14ac:dyDescent="0.2">
      <c r="B26" s="112"/>
      <c r="C26" s="42"/>
      <c r="D26" s="42"/>
      <c r="E26" s="42"/>
      <c r="F26" s="5"/>
      <c r="G26" s="5"/>
      <c r="H26" s="5"/>
      <c r="I26" s="5"/>
      <c r="J26" s="5"/>
      <c r="K26" s="5"/>
      <c r="L26" s="5"/>
      <c r="M26" s="5"/>
      <c r="N26" s="5"/>
      <c r="O26" s="5"/>
      <c r="P26" s="5"/>
      <c r="Q26" s="24"/>
      <c r="R26" s="59"/>
    </row>
    <row r="27" spans="1:27" ht="15.75" x14ac:dyDescent="0.2">
      <c r="B27" s="112"/>
      <c r="C27" s="138" t="s">
        <v>21</v>
      </c>
      <c r="D27" s="180"/>
      <c r="E27" s="139">
        <f>E25+E23+E21+E19+E17+E15+E13+E11+E9</f>
        <v>1</v>
      </c>
      <c r="F27" s="5"/>
      <c r="G27" s="5"/>
      <c r="H27" s="5"/>
      <c r="I27" s="5"/>
      <c r="J27" s="5"/>
      <c r="K27" s="5"/>
      <c r="L27" s="5"/>
      <c r="M27" s="5"/>
      <c r="N27" s="5"/>
      <c r="O27" s="5"/>
      <c r="P27" s="5"/>
      <c r="Q27" s="24"/>
      <c r="R27" s="59"/>
    </row>
    <row r="28" spans="1:27" ht="15.75" thickBot="1" x14ac:dyDescent="0.25">
      <c r="A28" s="5"/>
      <c r="B28" s="116"/>
      <c r="C28" s="54"/>
      <c r="D28" s="54"/>
      <c r="E28" s="54"/>
      <c r="F28" s="54"/>
      <c r="G28" s="54"/>
      <c r="H28" s="54"/>
      <c r="I28" s="54"/>
      <c r="J28" s="54"/>
      <c r="K28" s="54"/>
      <c r="L28" s="54"/>
      <c r="M28" s="54"/>
      <c r="N28" s="54"/>
      <c r="O28" s="54"/>
      <c r="P28" s="54"/>
      <c r="Q28" s="142"/>
      <c r="R28" s="60"/>
      <c r="S28" s="5"/>
      <c r="T28" s="5"/>
      <c r="U28" s="5"/>
      <c r="V28" s="5"/>
      <c r="W28" s="5"/>
      <c r="X28" s="5"/>
      <c r="Y28" s="5"/>
      <c r="Z28" s="5"/>
      <c r="AA28" s="5"/>
    </row>
    <row r="29" spans="1:27" ht="15.75" thickBot="1" x14ac:dyDescent="0.25">
      <c r="A29" s="5"/>
      <c r="B29" s="5"/>
      <c r="C29" s="5"/>
      <c r="D29" s="5"/>
      <c r="E29" s="5"/>
      <c r="F29" s="5"/>
      <c r="G29" s="5"/>
      <c r="H29" s="5"/>
      <c r="I29" s="5"/>
      <c r="J29" s="5"/>
      <c r="K29" s="5"/>
      <c r="L29" s="5"/>
      <c r="M29" s="5"/>
      <c r="N29" s="5"/>
      <c r="O29" s="5"/>
      <c r="P29" s="5"/>
      <c r="Q29" s="5"/>
      <c r="R29" s="60"/>
      <c r="S29" s="5"/>
      <c r="T29" s="5"/>
      <c r="U29" s="5"/>
      <c r="V29" s="5"/>
      <c r="W29" s="5"/>
      <c r="X29" s="5"/>
      <c r="Y29" s="5"/>
      <c r="Z29" s="5"/>
      <c r="AA29" s="5"/>
    </row>
    <row r="30" spans="1:27" x14ac:dyDescent="0.2">
      <c r="A30" s="5"/>
      <c r="B30" s="226" t="s">
        <v>254</v>
      </c>
      <c r="C30" s="227"/>
      <c r="D30" s="227"/>
      <c r="E30" s="227"/>
      <c r="F30" s="227"/>
      <c r="G30" s="227"/>
      <c r="H30" s="227"/>
      <c r="I30" s="227"/>
      <c r="J30" s="227"/>
      <c r="K30" s="227"/>
      <c r="L30" s="227"/>
      <c r="M30" s="227"/>
      <c r="N30" s="227"/>
      <c r="O30" s="227"/>
      <c r="P30" s="227"/>
      <c r="Q30" s="228"/>
      <c r="R30" s="60"/>
      <c r="S30" s="5"/>
      <c r="T30" s="5"/>
      <c r="U30" s="5"/>
      <c r="V30" s="5"/>
      <c r="W30" s="5"/>
      <c r="X30" s="5"/>
      <c r="Y30" s="5"/>
      <c r="Z30" s="5"/>
      <c r="AA30" s="5"/>
    </row>
    <row r="31" spans="1:27" x14ac:dyDescent="0.2">
      <c r="A31" s="5"/>
      <c r="B31" s="229"/>
      <c r="C31" s="230"/>
      <c r="D31" s="230"/>
      <c r="E31" s="230"/>
      <c r="F31" s="230"/>
      <c r="G31" s="230"/>
      <c r="H31" s="230"/>
      <c r="I31" s="230"/>
      <c r="J31" s="230"/>
      <c r="K31" s="230"/>
      <c r="L31" s="230"/>
      <c r="M31" s="230"/>
      <c r="N31" s="230"/>
      <c r="O31" s="230"/>
      <c r="P31" s="230"/>
      <c r="Q31" s="231"/>
      <c r="R31" s="60"/>
      <c r="S31" s="5"/>
      <c r="T31" s="5"/>
      <c r="U31" s="5"/>
      <c r="V31" s="5"/>
      <c r="W31" s="5"/>
      <c r="X31" s="5"/>
      <c r="Y31" s="5"/>
      <c r="Z31" s="5"/>
      <c r="AA31" s="5"/>
    </row>
    <row r="32" spans="1:27" x14ac:dyDescent="0.2">
      <c r="A32" s="5"/>
      <c r="B32" s="229"/>
      <c r="C32" s="230"/>
      <c r="D32" s="230"/>
      <c r="E32" s="230"/>
      <c r="F32" s="230"/>
      <c r="G32" s="230"/>
      <c r="H32" s="230"/>
      <c r="I32" s="230"/>
      <c r="J32" s="230"/>
      <c r="K32" s="230"/>
      <c r="L32" s="230"/>
      <c r="M32" s="230"/>
      <c r="N32" s="230"/>
      <c r="O32" s="230"/>
      <c r="P32" s="230"/>
      <c r="Q32" s="231"/>
      <c r="R32" s="60"/>
      <c r="S32" s="5"/>
      <c r="T32" s="5"/>
      <c r="U32" s="5"/>
      <c r="V32" s="5"/>
      <c r="W32" s="5"/>
      <c r="X32" s="5"/>
      <c r="Y32" s="5"/>
      <c r="Z32" s="5"/>
      <c r="AA32" s="5"/>
    </row>
    <row r="33" spans="1:27" x14ac:dyDescent="0.2">
      <c r="A33" s="5"/>
      <c r="B33" s="229"/>
      <c r="C33" s="230"/>
      <c r="D33" s="230"/>
      <c r="E33" s="230"/>
      <c r="F33" s="230"/>
      <c r="G33" s="230"/>
      <c r="H33" s="230"/>
      <c r="I33" s="230"/>
      <c r="J33" s="230"/>
      <c r="K33" s="230"/>
      <c r="L33" s="230"/>
      <c r="M33" s="230"/>
      <c r="N33" s="230"/>
      <c r="O33" s="230"/>
      <c r="P33" s="230"/>
      <c r="Q33" s="231"/>
      <c r="R33" s="60"/>
      <c r="S33" s="5"/>
      <c r="T33" s="5"/>
      <c r="U33" s="5"/>
      <c r="V33" s="5"/>
      <c r="W33" s="5"/>
      <c r="X33" s="5"/>
      <c r="Y33" s="5"/>
      <c r="Z33" s="5"/>
      <c r="AA33" s="5"/>
    </row>
    <row r="34" spans="1:27" x14ac:dyDescent="0.2">
      <c r="A34" s="5"/>
      <c r="B34" s="229"/>
      <c r="C34" s="230"/>
      <c r="D34" s="230"/>
      <c r="E34" s="230"/>
      <c r="F34" s="230"/>
      <c r="G34" s="230"/>
      <c r="H34" s="230"/>
      <c r="I34" s="230"/>
      <c r="J34" s="230"/>
      <c r="K34" s="230"/>
      <c r="L34" s="230"/>
      <c r="M34" s="230"/>
      <c r="N34" s="230"/>
      <c r="O34" s="230"/>
      <c r="P34" s="230"/>
      <c r="Q34" s="231"/>
      <c r="R34" s="60"/>
      <c r="S34" s="5"/>
      <c r="T34" s="5"/>
      <c r="U34" s="5"/>
      <c r="V34" s="5"/>
      <c r="W34" s="5"/>
      <c r="X34" s="5"/>
      <c r="Y34" s="5"/>
      <c r="Z34" s="5"/>
      <c r="AA34" s="5"/>
    </row>
    <row r="35" spans="1:27" x14ac:dyDescent="0.2">
      <c r="A35" s="5"/>
      <c r="B35" s="229"/>
      <c r="C35" s="230"/>
      <c r="D35" s="230"/>
      <c r="E35" s="230"/>
      <c r="F35" s="230"/>
      <c r="G35" s="230"/>
      <c r="H35" s="230"/>
      <c r="I35" s="230"/>
      <c r="J35" s="230"/>
      <c r="K35" s="230"/>
      <c r="L35" s="230"/>
      <c r="M35" s="230"/>
      <c r="N35" s="230"/>
      <c r="O35" s="230"/>
      <c r="P35" s="230"/>
      <c r="Q35" s="231"/>
      <c r="R35" s="60"/>
      <c r="S35" s="5"/>
      <c r="T35" s="5"/>
      <c r="U35" s="5"/>
      <c r="V35" s="5"/>
      <c r="W35" s="5"/>
      <c r="X35" s="5"/>
      <c r="Y35" s="5"/>
      <c r="Z35" s="5"/>
      <c r="AA35" s="5"/>
    </row>
    <row r="36" spans="1:27" ht="15.75" thickBot="1" x14ac:dyDescent="0.25">
      <c r="A36" s="5"/>
      <c r="B36" s="232"/>
      <c r="C36" s="233"/>
      <c r="D36" s="233"/>
      <c r="E36" s="233"/>
      <c r="F36" s="233"/>
      <c r="G36" s="233"/>
      <c r="H36" s="233"/>
      <c r="I36" s="233"/>
      <c r="J36" s="233"/>
      <c r="K36" s="233"/>
      <c r="L36" s="233"/>
      <c r="M36" s="233"/>
      <c r="N36" s="233"/>
      <c r="O36" s="233"/>
      <c r="P36" s="233"/>
      <c r="Q36" s="234"/>
      <c r="R36" s="60"/>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60"/>
      <c r="S98" s="5"/>
      <c r="T98" s="5"/>
      <c r="U98" s="5"/>
      <c r="V98" s="5"/>
      <c r="W98" s="5"/>
      <c r="X98" s="5"/>
      <c r="Y98" s="5"/>
      <c r="Z98" s="5"/>
      <c r="AA98" s="5"/>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B102" s="5"/>
      <c r="C102" s="5"/>
      <c r="D102" s="5"/>
      <c r="E102" s="5"/>
      <c r="F102" s="5"/>
      <c r="G102" s="5"/>
      <c r="H102" s="5"/>
      <c r="I102" s="5"/>
      <c r="J102" s="5"/>
      <c r="K102" s="5"/>
      <c r="L102" s="5"/>
      <c r="M102" s="5"/>
      <c r="N102" s="5"/>
      <c r="O102" s="5"/>
      <c r="P102" s="5"/>
      <c r="Q102" s="5"/>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row r="1490" spans="18:18" x14ac:dyDescent="0.2">
      <c r="R1490" s="59"/>
    </row>
  </sheetData>
  <mergeCells count="3">
    <mergeCell ref="C3:P3"/>
    <mergeCell ref="D5:E5"/>
    <mergeCell ref="B30:Q36"/>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3"/>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1"/>
      <c r="C2" s="32"/>
      <c r="D2" s="32"/>
      <c r="E2" s="32"/>
      <c r="F2" s="32"/>
      <c r="G2" s="32"/>
      <c r="H2" s="32"/>
      <c r="I2" s="32"/>
      <c r="J2" s="32"/>
      <c r="K2" s="32"/>
      <c r="L2" s="32"/>
      <c r="M2" s="32"/>
      <c r="N2" s="32"/>
      <c r="O2" s="32"/>
      <c r="P2" s="32"/>
      <c r="Q2" s="32"/>
      <c r="R2" s="32"/>
      <c r="S2" s="32"/>
      <c r="T2" s="28"/>
    </row>
    <row r="3" spans="1:25" ht="20.25" customHeight="1" x14ac:dyDescent="0.25">
      <c r="B3" s="82"/>
      <c r="C3" s="235" t="s">
        <v>235</v>
      </c>
      <c r="D3" s="236"/>
      <c r="E3" s="236"/>
      <c r="F3" s="236"/>
      <c r="G3" s="236"/>
      <c r="H3" s="236"/>
      <c r="I3" s="236"/>
      <c r="J3" s="236"/>
      <c r="K3" s="236"/>
      <c r="L3" s="236"/>
      <c r="M3" s="236"/>
      <c r="N3" s="236"/>
      <c r="O3" s="236"/>
      <c r="P3" s="236"/>
      <c r="Q3" s="236"/>
      <c r="R3" s="236"/>
      <c r="S3" s="236"/>
      <c r="T3" s="29"/>
    </row>
    <row r="4" spans="1:25" ht="15.75" customHeight="1" x14ac:dyDescent="0.25">
      <c r="B4" s="82"/>
      <c r="C4" s="85" t="s">
        <v>273</v>
      </c>
      <c r="D4" s="33"/>
      <c r="E4" s="33"/>
      <c r="F4" s="33"/>
      <c r="G4" s="33"/>
      <c r="H4" s="33"/>
      <c r="I4" s="33"/>
      <c r="J4" s="33"/>
      <c r="K4" s="33"/>
      <c r="L4" s="33"/>
      <c r="M4" s="33"/>
      <c r="N4" s="33"/>
      <c r="O4" s="33"/>
      <c r="P4" s="33"/>
      <c r="Q4" s="33"/>
      <c r="R4" s="33"/>
      <c r="S4" s="33"/>
      <c r="T4" s="29"/>
    </row>
    <row r="5" spans="1:25" ht="18" customHeight="1" x14ac:dyDescent="0.25">
      <c r="B5" s="82"/>
      <c r="C5" s="86" t="s">
        <v>274</v>
      </c>
      <c r="D5" s="237" t="s">
        <v>288</v>
      </c>
      <c r="E5" s="237"/>
      <c r="F5" s="33"/>
      <c r="G5" s="33"/>
      <c r="H5" s="33"/>
      <c r="I5" s="33"/>
      <c r="J5" s="33"/>
      <c r="K5" s="33"/>
      <c r="L5" s="33"/>
      <c r="M5" s="33"/>
      <c r="N5" s="33"/>
      <c r="O5" s="33"/>
      <c r="P5" s="33"/>
      <c r="Q5" s="33"/>
      <c r="R5" s="33"/>
      <c r="S5" s="33"/>
      <c r="T5" s="29"/>
    </row>
    <row r="6" spans="1:25" ht="15" customHeight="1" x14ac:dyDescent="0.25">
      <c r="B6" s="82"/>
      <c r="C6" s="33"/>
      <c r="D6" s="33"/>
      <c r="E6" s="33"/>
      <c r="F6" s="33"/>
      <c r="G6" s="33"/>
      <c r="H6" s="33"/>
      <c r="I6" s="33"/>
      <c r="J6" s="33"/>
      <c r="K6" s="33"/>
      <c r="L6" s="33"/>
      <c r="M6" s="33"/>
      <c r="N6" s="33"/>
      <c r="O6" s="33"/>
      <c r="P6" s="33"/>
      <c r="Q6" s="33"/>
      <c r="R6" s="33"/>
      <c r="S6" s="33"/>
      <c r="T6" s="29"/>
      <c r="W6" s="45"/>
      <c r="X6" s="45"/>
      <c r="Y6" s="45"/>
    </row>
    <row r="7" spans="1:25" ht="32.25" customHeight="1" x14ac:dyDescent="0.25">
      <c r="B7" s="82"/>
      <c r="C7" s="150" t="s">
        <v>0</v>
      </c>
      <c r="D7" s="88" t="s">
        <v>45</v>
      </c>
      <c r="E7" s="89" t="s">
        <v>2</v>
      </c>
      <c r="F7" s="33"/>
      <c r="G7" s="33"/>
      <c r="H7" s="33"/>
      <c r="I7" s="33"/>
      <c r="J7" s="33"/>
      <c r="K7" s="33"/>
      <c r="L7" s="33"/>
      <c r="M7" s="33"/>
      <c r="N7" s="33"/>
      <c r="O7" s="33"/>
      <c r="P7" s="33"/>
      <c r="Q7" s="33"/>
      <c r="R7" s="33"/>
      <c r="S7" s="33"/>
      <c r="T7" s="29"/>
      <c r="W7" s="45" t="s">
        <v>22</v>
      </c>
      <c r="X7" s="45" t="s">
        <v>2</v>
      </c>
      <c r="Y7" s="45"/>
    </row>
    <row r="8" spans="1:25" ht="15" customHeight="1" x14ac:dyDescent="0.25">
      <c r="B8" s="82"/>
      <c r="C8" s="151" t="s">
        <v>33</v>
      </c>
      <c r="D8" s="16" t="s">
        <v>3</v>
      </c>
      <c r="E8" s="152">
        <v>5.7952999999999998E-2</v>
      </c>
      <c r="F8" s="33"/>
      <c r="G8" s="33"/>
      <c r="H8" s="33"/>
      <c r="I8" s="33"/>
      <c r="J8" s="33"/>
      <c r="K8" s="33"/>
      <c r="L8" s="33"/>
      <c r="M8" s="33"/>
      <c r="N8" s="33"/>
      <c r="O8" s="33"/>
      <c r="P8" s="33"/>
      <c r="Q8" s="33"/>
      <c r="R8" s="33"/>
      <c r="S8" s="33"/>
      <c r="T8" s="29"/>
      <c r="W8" s="208" t="s">
        <v>3</v>
      </c>
      <c r="X8" s="209">
        <v>0.13097799999999996</v>
      </c>
      <c r="Y8" s="45"/>
    </row>
    <row r="9" spans="1:25" ht="15.75" customHeight="1" x14ac:dyDescent="0.25">
      <c r="B9" s="82"/>
      <c r="C9" s="151" t="s">
        <v>29</v>
      </c>
      <c r="D9" s="16" t="s">
        <v>3</v>
      </c>
      <c r="E9" s="152">
        <v>4.8738999999999998E-2</v>
      </c>
      <c r="F9" s="33"/>
      <c r="G9" s="33"/>
      <c r="H9" s="33"/>
      <c r="I9" s="33"/>
      <c r="J9" s="33"/>
      <c r="K9" s="33"/>
      <c r="L9" s="33"/>
      <c r="M9" s="33"/>
      <c r="N9" s="33"/>
      <c r="O9" s="33"/>
      <c r="P9" s="33"/>
      <c r="Q9" s="33"/>
      <c r="R9" s="33"/>
      <c r="S9" s="33"/>
      <c r="T9" s="29"/>
      <c r="W9" s="208" t="s">
        <v>137</v>
      </c>
      <c r="X9" s="209">
        <v>6.8926000000000001E-2</v>
      </c>
      <c r="Y9" s="45"/>
    </row>
    <row r="10" spans="1:25" ht="15" customHeight="1" x14ac:dyDescent="0.25">
      <c r="B10" s="82"/>
      <c r="C10" s="151" t="s">
        <v>28</v>
      </c>
      <c r="D10" s="16" t="s">
        <v>137</v>
      </c>
      <c r="E10" s="152">
        <v>4.7794000000000003E-2</v>
      </c>
      <c r="F10" s="33"/>
      <c r="G10" s="33"/>
      <c r="H10" s="33"/>
      <c r="I10" s="33"/>
      <c r="J10" s="33"/>
      <c r="K10" s="33"/>
      <c r="L10" s="33"/>
      <c r="M10" s="33"/>
      <c r="N10" s="33"/>
      <c r="O10" s="33"/>
      <c r="P10" s="33"/>
      <c r="Q10" s="33"/>
      <c r="R10" s="33"/>
      <c r="S10" s="33"/>
      <c r="T10" s="29"/>
      <c r="W10" s="208" t="s">
        <v>4</v>
      </c>
      <c r="X10" s="209">
        <v>5.6158E-2</v>
      </c>
      <c r="Y10" s="45"/>
    </row>
    <row r="11" spans="1:25" ht="15" customHeight="1" x14ac:dyDescent="0.25">
      <c r="B11" s="82"/>
      <c r="C11" s="151" t="s">
        <v>97</v>
      </c>
      <c r="D11" s="16" t="s">
        <v>4</v>
      </c>
      <c r="E11" s="152">
        <v>2.9262000000000003E-2</v>
      </c>
      <c r="F11" s="33"/>
      <c r="G11" s="33"/>
      <c r="H11" s="33"/>
      <c r="I11" s="33"/>
      <c r="J11" s="33"/>
      <c r="K11" s="33"/>
      <c r="L11" s="33"/>
      <c r="M11" s="33"/>
      <c r="N11" s="33"/>
      <c r="O11" s="33"/>
      <c r="P11" s="33"/>
      <c r="Q11" s="33"/>
      <c r="R11" s="33"/>
      <c r="S11" s="33"/>
      <c r="T11" s="29"/>
      <c r="W11" s="208" t="s">
        <v>143</v>
      </c>
      <c r="X11" s="209">
        <v>4.6652999999999993E-2</v>
      </c>
      <c r="Y11" s="45"/>
    </row>
    <row r="12" spans="1:25" ht="15" customHeight="1" x14ac:dyDescent="0.25">
      <c r="B12" s="82"/>
      <c r="C12" s="151" t="s">
        <v>212</v>
      </c>
      <c r="D12" s="16" t="s">
        <v>213</v>
      </c>
      <c r="E12" s="152">
        <v>2.8206999999999999E-2</v>
      </c>
      <c r="F12" s="33"/>
      <c r="G12" s="33"/>
      <c r="H12" s="33"/>
      <c r="I12" s="33"/>
      <c r="J12" s="33"/>
      <c r="K12" s="33"/>
      <c r="L12" s="33"/>
      <c r="M12" s="33"/>
      <c r="N12" s="33"/>
      <c r="O12" s="33"/>
      <c r="P12" s="33"/>
      <c r="Q12" s="33"/>
      <c r="R12" s="33"/>
      <c r="S12" s="33"/>
      <c r="T12" s="29"/>
      <c r="W12" s="208" t="s">
        <v>140</v>
      </c>
      <c r="X12" s="209">
        <v>3.7723E-2</v>
      </c>
      <c r="Y12" s="45"/>
    </row>
    <row r="13" spans="1:25" ht="15" customHeight="1" x14ac:dyDescent="0.25">
      <c r="B13" s="82"/>
      <c r="C13" s="151" t="s">
        <v>151</v>
      </c>
      <c r="D13" s="16" t="s">
        <v>143</v>
      </c>
      <c r="E13" s="152">
        <v>2.3628999999999997E-2</v>
      </c>
      <c r="F13" s="33"/>
      <c r="G13" s="33"/>
      <c r="H13" s="33"/>
      <c r="I13" s="33"/>
      <c r="J13" s="33"/>
      <c r="K13" s="33"/>
      <c r="L13" s="33"/>
      <c r="M13" s="33"/>
      <c r="N13" s="33"/>
      <c r="O13" s="33"/>
      <c r="P13" s="33"/>
      <c r="Q13" s="33"/>
      <c r="R13" s="33"/>
      <c r="S13" s="33"/>
      <c r="T13" s="29"/>
      <c r="W13" s="208" t="s">
        <v>147</v>
      </c>
      <c r="X13" s="209">
        <v>3.0879999999999994E-2</v>
      </c>
      <c r="Y13" s="45"/>
    </row>
    <row r="14" spans="1:25" ht="15.75" customHeight="1" x14ac:dyDescent="0.25">
      <c r="B14" s="82"/>
      <c r="C14" s="151" t="s">
        <v>135</v>
      </c>
      <c r="D14" s="16" t="s">
        <v>4</v>
      </c>
      <c r="E14" s="152">
        <v>2.3463999999999999E-2</v>
      </c>
      <c r="F14" s="33"/>
      <c r="G14" s="33"/>
      <c r="H14" s="33"/>
      <c r="I14" s="33"/>
      <c r="J14" s="33"/>
      <c r="K14" s="33"/>
      <c r="L14" s="33"/>
      <c r="M14" s="33"/>
      <c r="N14" s="33"/>
      <c r="O14" s="33"/>
      <c r="P14" s="33"/>
      <c r="Q14" s="33"/>
      <c r="R14" s="33"/>
      <c r="S14" s="33"/>
      <c r="T14" s="29"/>
      <c r="W14" s="208" t="s">
        <v>213</v>
      </c>
      <c r="X14" s="209">
        <v>2.8206999999999999E-2</v>
      </c>
      <c r="Y14" s="45"/>
    </row>
    <row r="15" spans="1:25" ht="15.75" x14ac:dyDescent="0.25">
      <c r="B15" s="82"/>
      <c r="C15" s="151" t="s">
        <v>32</v>
      </c>
      <c r="D15" s="16" t="s">
        <v>6</v>
      </c>
      <c r="E15" s="152">
        <v>2.1677999999999999E-2</v>
      </c>
      <c r="F15" s="33"/>
      <c r="G15" s="33"/>
      <c r="H15" s="33"/>
      <c r="I15" s="33"/>
      <c r="J15" s="33"/>
      <c r="K15" s="33"/>
      <c r="L15" s="33"/>
      <c r="M15" s="33"/>
      <c r="N15" s="33"/>
      <c r="O15" s="33"/>
      <c r="P15" s="33"/>
      <c r="Q15" s="33"/>
      <c r="R15" s="33"/>
      <c r="S15" s="33"/>
      <c r="T15" s="29"/>
      <c r="W15" s="208" t="s">
        <v>26</v>
      </c>
      <c r="X15" s="209">
        <v>2.6314999999999998E-2</v>
      </c>
      <c r="Y15" s="45"/>
    </row>
    <row r="16" spans="1:25" ht="15.75" customHeight="1" x14ac:dyDescent="0.25">
      <c r="B16" s="82"/>
      <c r="C16" s="151" t="s">
        <v>77</v>
      </c>
      <c r="D16" s="16" t="s">
        <v>12</v>
      </c>
      <c r="E16" s="152">
        <v>2.1543E-2</v>
      </c>
      <c r="F16" s="33"/>
      <c r="G16" s="33"/>
      <c r="H16" s="33"/>
      <c r="I16" s="33"/>
      <c r="J16" s="33"/>
      <c r="K16" s="33"/>
      <c r="L16" s="33"/>
      <c r="M16" s="33"/>
      <c r="N16" s="33"/>
      <c r="O16" s="33"/>
      <c r="P16" s="33"/>
      <c r="Q16" s="33"/>
      <c r="R16" s="33"/>
      <c r="S16" s="33"/>
      <c r="T16" s="29"/>
      <c r="W16" s="208" t="s">
        <v>6</v>
      </c>
      <c r="X16" s="209">
        <v>2.1677999999999999E-2</v>
      </c>
      <c r="Y16" s="45"/>
    </row>
    <row r="17" spans="2:25" ht="15" customHeight="1" x14ac:dyDescent="0.25">
      <c r="B17" s="82"/>
      <c r="C17" s="151" t="s">
        <v>105</v>
      </c>
      <c r="D17" s="16" t="s">
        <v>26</v>
      </c>
      <c r="E17" s="152">
        <v>1.9245999999999999E-2</v>
      </c>
      <c r="F17" s="33"/>
      <c r="G17" s="33"/>
      <c r="H17" s="33"/>
      <c r="I17" s="33"/>
      <c r="J17" s="33"/>
      <c r="K17" s="33"/>
      <c r="L17" s="33"/>
      <c r="M17" s="33"/>
      <c r="N17" s="33"/>
      <c r="O17" s="33"/>
      <c r="P17" s="33"/>
      <c r="Q17" s="33"/>
      <c r="R17" s="33"/>
      <c r="S17" s="33"/>
      <c r="T17" s="29"/>
      <c r="W17" s="208" t="s">
        <v>12</v>
      </c>
      <c r="X17" s="209">
        <v>2.1543E-2</v>
      </c>
      <c r="Y17" s="45"/>
    </row>
    <row r="18" spans="2:25" ht="15" customHeight="1" x14ac:dyDescent="0.25">
      <c r="B18" s="82"/>
      <c r="C18" s="151" t="s">
        <v>95</v>
      </c>
      <c r="D18" s="16" t="s">
        <v>3</v>
      </c>
      <c r="E18" s="152">
        <v>1.6535999999999999E-2</v>
      </c>
      <c r="F18" s="33"/>
      <c r="G18" s="33"/>
      <c r="H18" s="33"/>
      <c r="I18" s="33"/>
      <c r="J18" s="33"/>
      <c r="K18" s="33"/>
      <c r="L18" s="33"/>
      <c r="M18" s="33"/>
      <c r="N18" s="33"/>
      <c r="O18" s="33"/>
      <c r="P18" s="33"/>
      <c r="Q18" s="33"/>
      <c r="R18" s="33"/>
      <c r="S18" s="33"/>
      <c r="T18" s="29"/>
      <c r="W18" s="208" t="s">
        <v>24</v>
      </c>
      <c r="X18" s="209">
        <v>1.5960999999999999E-2</v>
      </c>
      <c r="Y18" s="45"/>
    </row>
    <row r="19" spans="2:25" ht="15" customHeight="1" x14ac:dyDescent="0.25">
      <c r="B19" s="82"/>
      <c r="C19" s="151" t="s">
        <v>175</v>
      </c>
      <c r="D19" s="16" t="s">
        <v>16</v>
      </c>
      <c r="E19" s="152">
        <v>1.3831E-2</v>
      </c>
      <c r="F19" s="33"/>
      <c r="G19" s="33"/>
      <c r="H19" s="33"/>
      <c r="I19" s="33"/>
      <c r="J19" s="33"/>
      <c r="K19" s="33"/>
      <c r="L19" s="33"/>
      <c r="M19" s="33"/>
      <c r="N19" s="33"/>
      <c r="O19" s="33"/>
      <c r="P19" s="33"/>
      <c r="Q19" s="33"/>
      <c r="R19" s="33"/>
      <c r="S19" s="33"/>
      <c r="T19" s="29"/>
      <c r="W19" s="208" t="s">
        <v>16</v>
      </c>
      <c r="X19" s="209">
        <v>1.3831E-2</v>
      </c>
      <c r="Y19" s="45"/>
    </row>
    <row r="20" spans="2:25" ht="15" customHeight="1" x14ac:dyDescent="0.25">
      <c r="B20" s="82"/>
      <c r="C20" s="151" t="s">
        <v>179</v>
      </c>
      <c r="D20" s="16" t="s">
        <v>147</v>
      </c>
      <c r="E20" s="152">
        <v>1.3439E-2</v>
      </c>
      <c r="F20" s="33"/>
      <c r="G20" s="33"/>
      <c r="H20" s="33"/>
      <c r="I20" s="33"/>
      <c r="J20" s="33"/>
      <c r="K20" s="33"/>
      <c r="L20" s="33"/>
      <c r="M20" s="33"/>
      <c r="N20" s="33"/>
      <c r="O20" s="33"/>
      <c r="P20" s="33"/>
      <c r="Q20" s="33"/>
      <c r="R20" s="33"/>
      <c r="S20" s="33"/>
      <c r="T20" s="29"/>
      <c r="W20" s="208" t="s">
        <v>148</v>
      </c>
      <c r="X20" s="209">
        <v>1.3190000000000002E-2</v>
      </c>
      <c r="Y20" s="45"/>
    </row>
    <row r="21" spans="2:25" ht="15" customHeight="1" x14ac:dyDescent="0.25">
      <c r="B21" s="82"/>
      <c r="C21" s="151" t="s">
        <v>38</v>
      </c>
      <c r="D21" s="16" t="s">
        <v>148</v>
      </c>
      <c r="E21" s="152">
        <v>1.3190000000000002E-2</v>
      </c>
      <c r="F21" s="33"/>
      <c r="G21" s="33"/>
      <c r="H21" s="33"/>
      <c r="I21" s="33"/>
      <c r="J21" s="33"/>
      <c r="K21" s="33"/>
      <c r="L21" s="33"/>
      <c r="M21" s="33"/>
      <c r="N21" s="33"/>
      <c r="O21" s="33"/>
      <c r="P21" s="33"/>
      <c r="Q21" s="33"/>
      <c r="R21" s="33"/>
      <c r="S21" s="33"/>
      <c r="T21" s="29"/>
      <c r="W21" s="208" t="s">
        <v>99</v>
      </c>
      <c r="X21" s="209">
        <v>1.2967999999999999E-2</v>
      </c>
      <c r="Y21" s="45"/>
    </row>
    <row r="22" spans="2:25" ht="15" customHeight="1" x14ac:dyDescent="0.25">
      <c r="B22" s="82"/>
      <c r="C22" s="151" t="s">
        <v>67</v>
      </c>
      <c r="D22" s="16" t="s">
        <v>99</v>
      </c>
      <c r="E22" s="152">
        <v>1.2974999999999999E-2</v>
      </c>
      <c r="F22" s="33"/>
      <c r="G22" s="33"/>
      <c r="H22" s="33"/>
      <c r="I22" s="33"/>
      <c r="J22" s="33"/>
      <c r="K22" s="33"/>
      <c r="L22" s="33"/>
      <c r="M22" s="33"/>
      <c r="N22" s="33"/>
      <c r="O22" s="33"/>
      <c r="P22" s="33"/>
      <c r="Q22" s="33"/>
      <c r="R22" s="33"/>
      <c r="S22" s="33"/>
      <c r="T22" s="29"/>
      <c r="W22" s="208" t="s">
        <v>91</v>
      </c>
      <c r="X22" s="209">
        <v>1.1943E-2</v>
      </c>
      <c r="Y22" s="45"/>
    </row>
    <row r="23" spans="2:25" ht="16.5" customHeight="1" x14ac:dyDescent="0.25">
      <c r="B23" s="82"/>
      <c r="C23" s="154" t="s">
        <v>68</v>
      </c>
      <c r="D23" s="155"/>
      <c r="E23" s="156">
        <f>SUM(E8:E22)</f>
        <v>0.39148599999999989</v>
      </c>
      <c r="F23" s="33"/>
      <c r="G23" s="33"/>
      <c r="H23" s="33"/>
      <c r="I23" s="33"/>
      <c r="J23" s="33"/>
      <c r="K23" s="33"/>
      <c r="L23" s="33"/>
      <c r="M23" s="33"/>
      <c r="N23" s="33"/>
      <c r="O23" s="33"/>
      <c r="P23" s="33"/>
      <c r="Q23" s="33"/>
      <c r="R23" s="33"/>
      <c r="S23" s="33"/>
      <c r="T23" s="29"/>
      <c r="W23" s="208" t="s">
        <v>136</v>
      </c>
      <c r="X23" s="209">
        <v>1.1642999999999999E-2</v>
      </c>
      <c r="Y23" s="45"/>
    </row>
    <row r="24" spans="2:25" ht="15" customHeight="1" x14ac:dyDescent="0.25">
      <c r="B24" s="82"/>
      <c r="C24" s="157"/>
      <c r="D24" s="101"/>
      <c r="E24" s="152"/>
      <c r="F24" s="33"/>
      <c r="G24" s="33"/>
      <c r="H24" s="33"/>
      <c r="I24" s="33"/>
      <c r="J24" s="33"/>
      <c r="K24" s="33"/>
      <c r="L24" s="33"/>
      <c r="M24" s="33"/>
      <c r="N24" s="33"/>
      <c r="O24" s="33"/>
      <c r="P24" s="33"/>
      <c r="Q24" s="33"/>
      <c r="R24" s="33"/>
      <c r="S24" s="33"/>
      <c r="T24" s="29"/>
      <c r="W24" s="208" t="s">
        <v>103</v>
      </c>
      <c r="X24" s="209">
        <v>7.7329999999999994E-3</v>
      </c>
      <c r="Y24" s="45"/>
    </row>
    <row r="25" spans="2:25" ht="15" customHeight="1" x14ac:dyDescent="0.25">
      <c r="B25" s="82"/>
      <c r="C25" s="154" t="s">
        <v>61</v>
      </c>
      <c r="D25" s="155"/>
      <c r="E25" s="158">
        <v>0.19413099999999994</v>
      </c>
      <c r="F25" s="33"/>
      <c r="G25" s="33"/>
      <c r="H25" s="33"/>
      <c r="I25" s="33"/>
      <c r="J25" s="33"/>
      <c r="K25" s="33"/>
      <c r="L25" s="33"/>
      <c r="M25" s="33"/>
      <c r="N25" s="33"/>
      <c r="O25" s="33"/>
      <c r="P25" s="33"/>
      <c r="Q25" s="33"/>
      <c r="R25" s="33"/>
      <c r="S25" s="33"/>
      <c r="T25" s="29"/>
      <c r="W25" s="208" t="s">
        <v>138</v>
      </c>
      <c r="X25" s="209">
        <v>5.9300000000000004E-3</v>
      </c>
      <c r="Y25" s="45"/>
    </row>
    <row r="26" spans="2:25" ht="15" customHeight="1" x14ac:dyDescent="0.25">
      <c r="B26" s="82"/>
      <c r="C26" s="157"/>
      <c r="D26" s="101"/>
      <c r="E26" s="152"/>
      <c r="F26" s="33"/>
      <c r="G26" s="33"/>
      <c r="H26" s="33"/>
      <c r="I26" s="33"/>
      <c r="J26" s="33"/>
      <c r="K26" s="33"/>
      <c r="L26" s="33"/>
      <c r="M26" s="33"/>
      <c r="N26" s="33"/>
      <c r="O26" s="33"/>
      <c r="P26" s="33"/>
      <c r="Q26" s="33"/>
      <c r="R26" s="33"/>
      <c r="S26" s="33"/>
      <c r="T26" s="29"/>
      <c r="W26" s="208" t="s">
        <v>150</v>
      </c>
      <c r="X26" s="209">
        <v>5.8710000000000004E-3</v>
      </c>
      <c r="Y26" s="45"/>
    </row>
    <row r="27" spans="2:25" ht="18" customHeight="1" x14ac:dyDescent="0.25">
      <c r="B27" s="82"/>
      <c r="C27" s="154" t="s">
        <v>60</v>
      </c>
      <c r="D27" s="131"/>
      <c r="E27" s="159">
        <v>0.167848</v>
      </c>
      <c r="F27" s="33"/>
      <c r="G27" s="33"/>
      <c r="H27" s="33"/>
      <c r="I27" s="33"/>
      <c r="J27" s="33"/>
      <c r="K27" s="33"/>
      <c r="L27" s="33"/>
      <c r="M27" s="33"/>
      <c r="N27" s="33"/>
      <c r="O27" s="33"/>
      <c r="P27" s="33"/>
      <c r="Q27" s="33"/>
      <c r="R27" s="33"/>
      <c r="S27" s="33"/>
      <c r="T27" s="29"/>
      <c r="W27" s="208" t="s">
        <v>157</v>
      </c>
      <c r="X27" s="209">
        <v>4.9100000000000003E-3</v>
      </c>
    </row>
    <row r="28" spans="2:25" ht="18" customHeight="1" x14ac:dyDescent="0.25">
      <c r="B28" s="82"/>
      <c r="C28" s="157"/>
      <c r="D28" s="101"/>
      <c r="E28" s="152"/>
      <c r="F28" s="33"/>
      <c r="G28" s="33"/>
      <c r="H28" s="33"/>
      <c r="I28" s="33"/>
      <c r="J28" s="33"/>
      <c r="K28" s="33"/>
      <c r="L28" s="33"/>
      <c r="M28" s="33"/>
      <c r="N28" s="33"/>
      <c r="O28" s="33"/>
      <c r="P28" s="33"/>
      <c r="Q28" s="33"/>
      <c r="R28" s="33"/>
      <c r="S28" s="33"/>
      <c r="T28" s="29"/>
      <c r="W28" s="208" t="s">
        <v>149</v>
      </c>
      <c r="X28" s="209">
        <v>4.6979999999999991E-3</v>
      </c>
    </row>
    <row r="29" spans="2:25" ht="15" customHeight="1" x14ac:dyDescent="0.25">
      <c r="B29" s="82"/>
      <c r="C29" s="151" t="s">
        <v>97</v>
      </c>
      <c r="D29" s="16" t="s">
        <v>65</v>
      </c>
      <c r="E29" s="152">
        <v>2.9936000000000001E-2</v>
      </c>
      <c r="F29" s="33"/>
      <c r="G29" s="33"/>
      <c r="H29" s="33"/>
      <c r="I29" s="33"/>
      <c r="J29" s="33"/>
      <c r="K29" s="33"/>
      <c r="L29" s="33"/>
      <c r="M29" s="33"/>
      <c r="N29" s="33"/>
      <c r="O29" s="33"/>
      <c r="P29" s="33"/>
      <c r="Q29" s="33"/>
      <c r="R29" s="33"/>
      <c r="S29" s="33"/>
      <c r="T29" s="29"/>
      <c r="W29" s="208" t="s">
        <v>153</v>
      </c>
      <c r="X29" s="209">
        <v>3.8890000000000001E-3</v>
      </c>
    </row>
    <row r="30" spans="2:25" ht="15" customHeight="1" x14ac:dyDescent="0.25">
      <c r="B30" s="82"/>
      <c r="C30" s="151" t="s">
        <v>87</v>
      </c>
      <c r="D30" s="16" t="s">
        <v>65</v>
      </c>
      <c r="E30" s="152">
        <v>1.0016000000000001E-2</v>
      </c>
      <c r="F30" s="33"/>
      <c r="G30" s="160"/>
      <c r="H30" s="33"/>
      <c r="I30" s="33"/>
      <c r="J30" s="33"/>
      <c r="K30" s="33"/>
      <c r="L30" s="33"/>
      <c r="M30" s="33"/>
      <c r="N30" s="33"/>
      <c r="O30" s="33"/>
      <c r="P30" s="33"/>
      <c r="Q30" s="33"/>
      <c r="R30" s="33"/>
      <c r="S30" s="33"/>
      <c r="T30" s="29"/>
      <c r="W30" s="208" t="s">
        <v>142</v>
      </c>
      <c r="X30" s="209">
        <v>3.8310000000000019E-3</v>
      </c>
    </row>
    <row r="31" spans="2:25" ht="15" customHeight="1" x14ac:dyDescent="0.25">
      <c r="B31" s="82"/>
      <c r="C31" s="151" t="s">
        <v>30</v>
      </c>
      <c r="D31" s="16" t="s">
        <v>65</v>
      </c>
      <c r="E31" s="152">
        <v>9.9620000000000004E-3</v>
      </c>
      <c r="F31" s="33"/>
      <c r="G31" s="160"/>
      <c r="H31" s="33"/>
      <c r="I31" s="33"/>
      <c r="J31" s="33"/>
      <c r="K31" s="33"/>
      <c r="L31" s="33"/>
      <c r="M31" s="33"/>
      <c r="N31" s="33"/>
      <c r="O31" s="33"/>
      <c r="P31" s="33"/>
      <c r="Q31" s="33"/>
      <c r="R31" s="33"/>
      <c r="S31" s="33"/>
      <c r="T31" s="29"/>
      <c r="W31" s="208" t="s">
        <v>152</v>
      </c>
      <c r="X31" s="209">
        <v>1.6199999999999895E-4</v>
      </c>
    </row>
    <row r="32" spans="2:25" ht="15" customHeight="1" x14ac:dyDescent="0.25">
      <c r="B32" s="82"/>
      <c r="C32" s="151" t="s">
        <v>64</v>
      </c>
      <c r="D32" s="16" t="s">
        <v>65</v>
      </c>
      <c r="E32" s="152">
        <v>8.1000000000000004E-5</v>
      </c>
      <c r="F32" s="33"/>
      <c r="G32" s="160"/>
      <c r="H32" s="33"/>
      <c r="I32" s="33"/>
      <c r="J32" s="33"/>
      <c r="K32" s="33"/>
      <c r="L32" s="33"/>
      <c r="M32" s="33"/>
      <c r="N32" s="33"/>
      <c r="O32" s="33"/>
      <c r="P32" s="33"/>
      <c r="Q32" s="33"/>
      <c r="R32" s="33"/>
      <c r="S32" s="33"/>
      <c r="T32" s="29"/>
      <c r="W32" s="208" t="s">
        <v>144</v>
      </c>
      <c r="X32" s="209">
        <v>-3.9999999999999888E-6</v>
      </c>
    </row>
    <row r="33" spans="2:24" ht="15" customHeight="1" x14ac:dyDescent="0.25">
      <c r="B33" s="82"/>
      <c r="C33" s="161" t="s">
        <v>5</v>
      </c>
      <c r="D33" s="155"/>
      <c r="E33" s="156">
        <f>SUM(E29:E32)</f>
        <v>4.9994999999999998E-2</v>
      </c>
      <c r="F33" s="33"/>
      <c r="G33" s="162"/>
      <c r="H33" s="33"/>
      <c r="I33" s="33"/>
      <c r="J33" s="33"/>
      <c r="K33" s="33"/>
      <c r="L33" s="33"/>
      <c r="M33" s="33"/>
      <c r="N33" s="33"/>
      <c r="O33" s="33"/>
      <c r="P33" s="33"/>
      <c r="Q33" s="33"/>
      <c r="R33" s="33"/>
      <c r="S33" s="33"/>
      <c r="T33" s="29"/>
      <c r="W33" s="208"/>
      <c r="X33" s="209"/>
    </row>
    <row r="34" spans="2:24" ht="15" customHeight="1" x14ac:dyDescent="0.25">
      <c r="B34" s="82"/>
      <c r="C34" s="157"/>
      <c r="D34" s="101"/>
      <c r="E34" s="152"/>
      <c r="F34" s="33"/>
      <c r="G34" s="33"/>
      <c r="H34" s="33"/>
      <c r="I34" s="163"/>
      <c r="J34" s="33"/>
      <c r="K34" s="33"/>
      <c r="L34" s="33"/>
      <c r="M34" s="33"/>
      <c r="N34" s="33"/>
      <c r="O34" s="33"/>
      <c r="P34" s="33"/>
      <c r="Q34" s="33"/>
      <c r="R34" s="33"/>
      <c r="S34" s="33"/>
      <c r="T34" s="29"/>
      <c r="W34" s="208"/>
      <c r="X34" s="209"/>
    </row>
    <row r="35" spans="2:24" ht="15" customHeight="1" x14ac:dyDescent="0.25">
      <c r="B35" s="82"/>
      <c r="C35" s="157" t="s">
        <v>37</v>
      </c>
      <c r="D35" s="101" t="s">
        <v>124</v>
      </c>
      <c r="E35" s="152">
        <v>4.1721000000000001E-2</v>
      </c>
      <c r="F35" s="33"/>
      <c r="G35" s="33"/>
      <c r="H35" s="33"/>
      <c r="I35" s="163"/>
      <c r="J35" s="33"/>
      <c r="K35" s="33"/>
      <c r="L35" s="33"/>
      <c r="M35" s="33"/>
      <c r="N35" s="33"/>
      <c r="O35" s="33"/>
      <c r="P35" s="33"/>
      <c r="Q35" s="33"/>
      <c r="R35" s="33"/>
      <c r="S35" s="33"/>
      <c r="T35" s="29"/>
      <c r="W35" s="68"/>
      <c r="X35" s="69"/>
    </row>
    <row r="36" spans="2:24" ht="15" customHeight="1" x14ac:dyDescent="0.25">
      <c r="B36" s="82"/>
      <c r="C36" s="157" t="s">
        <v>29</v>
      </c>
      <c r="D36" s="101" t="s">
        <v>124</v>
      </c>
      <c r="E36" s="152">
        <v>9.8259999999999997E-3</v>
      </c>
      <c r="F36" s="33"/>
      <c r="G36" s="33"/>
      <c r="H36" s="33"/>
      <c r="I36" s="163"/>
      <c r="J36" s="33"/>
      <c r="K36" s="33"/>
      <c r="L36" s="33"/>
      <c r="M36" s="33"/>
      <c r="N36" s="33"/>
      <c r="O36" s="33"/>
      <c r="P36" s="33"/>
      <c r="Q36" s="33"/>
      <c r="R36" s="33"/>
      <c r="S36" s="33"/>
      <c r="T36" s="29"/>
      <c r="W36" s="68"/>
      <c r="X36" s="69"/>
    </row>
    <row r="37" spans="2:24" ht="15" customHeight="1" x14ac:dyDescent="0.25">
      <c r="B37" s="82"/>
      <c r="C37" s="161" t="s">
        <v>69</v>
      </c>
      <c r="D37" s="155"/>
      <c r="E37" s="156">
        <f>SUM(E35:E36)</f>
        <v>5.1547000000000003E-2</v>
      </c>
      <c r="F37" s="33"/>
      <c r="G37" s="33"/>
      <c r="H37" s="33"/>
      <c r="I37" s="163"/>
      <c r="J37" s="33"/>
      <c r="K37" s="33"/>
      <c r="L37" s="33"/>
      <c r="M37" s="33"/>
      <c r="N37" s="33"/>
      <c r="O37" s="33"/>
      <c r="P37" s="33"/>
      <c r="Q37" s="33"/>
      <c r="R37" s="33"/>
      <c r="S37" s="33"/>
      <c r="T37" s="29"/>
    </row>
    <row r="38" spans="2:24" s="65" customFormat="1" ht="15" customHeight="1" x14ac:dyDescent="0.25">
      <c r="B38" s="165"/>
      <c r="C38" s="166"/>
      <c r="D38" s="167"/>
      <c r="E38" s="168"/>
      <c r="F38" s="63"/>
      <c r="G38" s="63"/>
      <c r="H38" s="63"/>
      <c r="I38" s="169"/>
      <c r="J38" s="63"/>
      <c r="K38" s="63"/>
      <c r="L38" s="63"/>
      <c r="M38" s="63"/>
      <c r="N38" s="63"/>
      <c r="O38" s="63"/>
      <c r="P38" s="63"/>
      <c r="Q38" s="63"/>
      <c r="R38" s="63"/>
      <c r="S38" s="63"/>
      <c r="T38" s="64"/>
    </row>
    <row r="39" spans="2:24" s="65" customFormat="1" ht="15" customHeight="1" x14ac:dyDescent="0.25">
      <c r="B39" s="165"/>
      <c r="C39" s="170" t="s">
        <v>181</v>
      </c>
      <c r="D39" s="171" t="s">
        <v>63</v>
      </c>
      <c r="E39" s="172">
        <v>4.6468000000000002E-2</v>
      </c>
      <c r="F39" s="63"/>
      <c r="G39" s="63"/>
      <c r="H39" s="63"/>
      <c r="I39" s="169"/>
      <c r="J39" s="63"/>
      <c r="K39" s="63"/>
      <c r="L39" s="63"/>
      <c r="M39" s="63"/>
      <c r="N39" s="63"/>
      <c r="O39" s="63"/>
      <c r="P39" s="63"/>
      <c r="Q39" s="63"/>
      <c r="R39" s="63"/>
      <c r="S39" s="63"/>
      <c r="T39" s="64"/>
    </row>
    <row r="40" spans="2:24" s="65" customFormat="1" ht="15" customHeight="1" x14ac:dyDescent="0.25">
      <c r="B40" s="165"/>
      <c r="C40" s="170" t="s">
        <v>106</v>
      </c>
      <c r="D40" s="171" t="s">
        <v>63</v>
      </c>
      <c r="E40" s="172">
        <v>9.6209999999999993E-3</v>
      </c>
      <c r="F40" s="63"/>
      <c r="G40" s="63"/>
      <c r="H40" s="63"/>
      <c r="I40" s="169"/>
      <c r="J40" s="63"/>
      <c r="K40" s="63"/>
      <c r="L40" s="63"/>
      <c r="M40" s="63"/>
      <c r="N40" s="63"/>
      <c r="O40" s="63"/>
      <c r="P40" s="63"/>
      <c r="Q40" s="63"/>
      <c r="R40" s="63"/>
      <c r="S40" s="63"/>
      <c r="T40" s="64"/>
    </row>
    <row r="41" spans="2:24" s="65" customFormat="1" ht="15" customHeight="1" x14ac:dyDescent="0.25">
      <c r="B41" s="165"/>
      <c r="C41" s="170" t="s">
        <v>220</v>
      </c>
      <c r="D41" s="171" t="s">
        <v>63</v>
      </c>
      <c r="E41" s="172">
        <v>7.9749999999999995E-3</v>
      </c>
      <c r="F41" s="63"/>
      <c r="G41" s="63"/>
      <c r="H41" s="63"/>
      <c r="I41" s="169"/>
      <c r="J41" s="63"/>
      <c r="K41" s="63"/>
      <c r="L41" s="63"/>
      <c r="M41" s="63"/>
      <c r="N41" s="63"/>
      <c r="O41" s="63"/>
      <c r="P41" s="63"/>
      <c r="Q41" s="63"/>
      <c r="R41" s="63"/>
      <c r="S41" s="63"/>
      <c r="T41" s="64"/>
    </row>
    <row r="42" spans="2:24" s="65" customFormat="1" ht="15" customHeight="1" x14ac:dyDescent="0.25">
      <c r="B42" s="165"/>
      <c r="C42" s="154" t="s">
        <v>43</v>
      </c>
      <c r="D42" s="131"/>
      <c r="E42" s="156">
        <f>SUM(E39:E41)</f>
        <v>6.4063999999999996E-2</v>
      </c>
      <c r="F42" s="63"/>
      <c r="G42" s="63"/>
      <c r="H42" s="63"/>
      <c r="I42" s="169"/>
      <c r="J42" s="63"/>
      <c r="K42" s="63"/>
      <c r="L42" s="63"/>
      <c r="M42" s="63"/>
      <c r="N42" s="63"/>
      <c r="O42" s="63"/>
      <c r="P42" s="63"/>
      <c r="Q42" s="63"/>
      <c r="R42" s="63"/>
      <c r="S42" s="63"/>
      <c r="T42" s="64"/>
    </row>
    <row r="43" spans="2:24" ht="15" customHeight="1" x14ac:dyDescent="0.25">
      <c r="B43" s="82"/>
      <c r="C43" s="166"/>
      <c r="D43" s="167"/>
      <c r="E43" s="168"/>
      <c r="F43" s="33"/>
      <c r="G43" s="33"/>
      <c r="H43" s="33"/>
      <c r="I43" s="163"/>
      <c r="J43" s="33"/>
      <c r="K43" s="33"/>
      <c r="L43" s="33"/>
      <c r="M43" s="33"/>
      <c r="N43" s="33"/>
      <c r="O43" s="33"/>
      <c r="P43" s="33"/>
      <c r="Q43" s="33"/>
      <c r="R43" s="33"/>
      <c r="S43" s="33"/>
      <c r="T43" s="29"/>
    </row>
    <row r="44" spans="2:24" ht="15" customHeight="1" x14ac:dyDescent="0.25">
      <c r="B44" s="82"/>
      <c r="C44" s="170" t="s">
        <v>204</v>
      </c>
      <c r="D44" s="171" t="s">
        <v>63</v>
      </c>
      <c r="E44" s="172">
        <v>1.9812E-2</v>
      </c>
      <c r="F44" s="33"/>
      <c r="G44" s="33"/>
      <c r="H44" s="33"/>
      <c r="I44" s="163"/>
      <c r="J44" s="33"/>
      <c r="K44" s="33"/>
      <c r="L44" s="33"/>
      <c r="M44" s="33"/>
      <c r="N44" s="33"/>
      <c r="O44" s="33"/>
      <c r="P44" s="33"/>
      <c r="Q44" s="33"/>
      <c r="R44" s="33"/>
      <c r="S44" s="33"/>
      <c r="T44" s="29"/>
    </row>
    <row r="45" spans="2:24" ht="15" customHeight="1" x14ac:dyDescent="0.25">
      <c r="B45" s="82"/>
      <c r="C45" s="170" t="s">
        <v>221</v>
      </c>
      <c r="D45" s="171" t="s">
        <v>63</v>
      </c>
      <c r="E45" s="172">
        <v>1.9733000000000001E-2</v>
      </c>
      <c r="F45" s="33"/>
      <c r="G45" s="33"/>
      <c r="H45" s="33"/>
      <c r="I45" s="33"/>
      <c r="J45" s="33"/>
      <c r="K45" s="33"/>
      <c r="L45" s="33"/>
      <c r="M45" s="33"/>
      <c r="N45" s="33"/>
      <c r="O45" s="33"/>
      <c r="P45" s="33"/>
      <c r="Q45" s="33"/>
      <c r="R45" s="33"/>
      <c r="S45" s="33"/>
      <c r="T45" s="29"/>
    </row>
    <row r="46" spans="2:24" ht="15" customHeight="1" x14ac:dyDescent="0.25">
      <c r="B46" s="82"/>
      <c r="C46" s="170" t="s">
        <v>203</v>
      </c>
      <c r="D46" s="171" t="s">
        <v>63</v>
      </c>
      <c r="E46" s="172">
        <v>9.9590000000000008E-3</v>
      </c>
      <c r="F46" s="33"/>
      <c r="G46" s="33"/>
      <c r="H46" s="33"/>
      <c r="I46" s="33"/>
      <c r="J46" s="33"/>
      <c r="K46" s="33"/>
      <c r="L46" s="33"/>
      <c r="M46" s="33"/>
      <c r="N46" s="33"/>
      <c r="O46" s="33"/>
      <c r="P46" s="33"/>
      <c r="Q46" s="33"/>
      <c r="R46" s="33"/>
      <c r="S46" s="33"/>
      <c r="T46" s="29"/>
    </row>
    <row r="47" spans="2:24" ht="15" customHeight="1" x14ac:dyDescent="0.25">
      <c r="B47" s="82"/>
      <c r="C47" s="173" t="s">
        <v>94</v>
      </c>
      <c r="D47" s="174"/>
      <c r="E47" s="158">
        <f>SUM(E44:E46)</f>
        <v>4.9503999999999999E-2</v>
      </c>
      <c r="F47" s="33"/>
      <c r="G47" s="33"/>
      <c r="H47" s="33"/>
      <c r="I47" s="33"/>
      <c r="J47" s="33"/>
      <c r="K47" s="33"/>
      <c r="L47" s="33"/>
      <c r="M47" s="33"/>
      <c r="N47" s="33"/>
      <c r="O47" s="33"/>
      <c r="P47" s="33"/>
      <c r="Q47" s="33"/>
      <c r="R47" s="33"/>
      <c r="S47" s="33"/>
      <c r="T47" s="29"/>
    </row>
    <row r="48" spans="2:24" ht="15" customHeight="1" x14ac:dyDescent="0.25">
      <c r="B48" s="82"/>
      <c r="C48" s="175"/>
      <c r="D48" s="101"/>
      <c r="E48" s="176"/>
      <c r="F48" s="33"/>
      <c r="G48" s="164"/>
      <c r="H48" s="33"/>
      <c r="I48" s="33"/>
      <c r="J48" s="33"/>
      <c r="K48" s="33"/>
      <c r="L48" s="33"/>
      <c r="M48" s="33"/>
      <c r="N48" s="33"/>
      <c r="O48" s="33"/>
      <c r="P48" s="33"/>
      <c r="Q48" s="33"/>
      <c r="R48" s="33"/>
      <c r="S48" s="33"/>
      <c r="T48" s="29"/>
    </row>
    <row r="49" spans="2:20" ht="15" customHeight="1" x14ac:dyDescent="0.25">
      <c r="B49" s="82"/>
      <c r="C49" s="175" t="s">
        <v>259</v>
      </c>
      <c r="D49" s="101" t="s">
        <v>65</v>
      </c>
      <c r="E49" s="176">
        <v>1.6945999999999999E-2</v>
      </c>
      <c r="F49" s="33"/>
      <c r="G49" s="164"/>
      <c r="H49" s="33"/>
      <c r="I49" s="33"/>
      <c r="J49" s="33"/>
      <c r="K49" s="33"/>
      <c r="L49" s="33"/>
      <c r="M49" s="33"/>
      <c r="N49" s="33"/>
      <c r="O49" s="33"/>
      <c r="P49" s="33"/>
      <c r="Q49" s="33"/>
      <c r="R49" s="33"/>
      <c r="S49" s="33"/>
      <c r="T49" s="29"/>
    </row>
    <row r="50" spans="2:20" ht="15" customHeight="1" x14ac:dyDescent="0.25">
      <c r="B50" s="82"/>
      <c r="C50" s="173" t="s">
        <v>258</v>
      </c>
      <c r="D50" s="174"/>
      <c r="E50" s="158">
        <v>1.6945999999999999E-2</v>
      </c>
      <c r="F50" s="33"/>
      <c r="G50" s="33"/>
      <c r="H50" s="33"/>
      <c r="I50" s="33"/>
      <c r="J50" s="33"/>
      <c r="K50" s="33"/>
      <c r="L50" s="33"/>
      <c r="M50" s="33"/>
      <c r="N50" s="33"/>
      <c r="O50" s="33"/>
      <c r="P50" s="33"/>
      <c r="Q50" s="33"/>
      <c r="R50" s="33"/>
      <c r="S50" s="33"/>
      <c r="T50" s="29"/>
    </row>
    <row r="51" spans="2:20" ht="15" customHeight="1" x14ac:dyDescent="0.25">
      <c r="B51" s="82"/>
      <c r="C51" s="175"/>
      <c r="D51" s="136"/>
      <c r="E51" s="176"/>
      <c r="F51" s="33"/>
      <c r="G51" s="33"/>
      <c r="H51" s="33"/>
      <c r="I51" s="33"/>
      <c r="J51" s="33"/>
      <c r="K51" s="33"/>
      <c r="L51" s="33"/>
      <c r="M51" s="33"/>
      <c r="N51" s="33"/>
      <c r="O51" s="33"/>
      <c r="P51" s="33"/>
      <c r="Q51" s="33"/>
      <c r="R51" s="33"/>
      <c r="S51" s="33"/>
      <c r="T51" s="29"/>
    </row>
    <row r="52" spans="2:20" ht="15" customHeight="1" x14ac:dyDescent="0.25">
      <c r="B52" s="82"/>
      <c r="C52" s="173" t="s">
        <v>72</v>
      </c>
      <c r="D52" s="174"/>
      <c r="E52" s="158">
        <v>1.4478999999999999E-2</v>
      </c>
      <c r="F52" s="33"/>
      <c r="G52" s="33"/>
      <c r="H52" s="33"/>
      <c r="I52" s="33"/>
      <c r="J52" s="33"/>
      <c r="K52" s="33"/>
      <c r="L52" s="33"/>
      <c r="M52" s="33"/>
      <c r="N52" s="33"/>
      <c r="O52" s="33"/>
      <c r="P52" s="33"/>
      <c r="Q52" s="33"/>
      <c r="R52" s="33"/>
      <c r="S52" s="33"/>
      <c r="T52" s="29"/>
    </row>
    <row r="53" spans="2:20" ht="15" customHeight="1" x14ac:dyDescent="0.25">
      <c r="B53" s="82"/>
      <c r="C53" s="175"/>
      <c r="D53" s="136"/>
      <c r="E53" s="176"/>
      <c r="F53" s="33"/>
      <c r="G53" s="33"/>
      <c r="H53" s="33"/>
      <c r="I53" s="33"/>
      <c r="J53" s="33"/>
      <c r="K53" s="33"/>
      <c r="L53" s="33"/>
      <c r="M53" s="33"/>
      <c r="N53" s="33"/>
      <c r="O53" s="33"/>
      <c r="P53" s="33"/>
      <c r="Q53" s="33"/>
      <c r="R53" s="33"/>
      <c r="S53" s="33"/>
      <c r="T53" s="29"/>
    </row>
    <row r="54" spans="2:20" ht="15" customHeight="1" x14ac:dyDescent="0.25">
      <c r="B54" s="82"/>
      <c r="C54" s="177" t="s">
        <v>21</v>
      </c>
      <c r="D54" s="93"/>
      <c r="E54" s="94">
        <f>E52+E50+E47+E42+E37+E33+E27+E25+E23</f>
        <v>0.99999999999999989</v>
      </c>
      <c r="F54" s="33"/>
      <c r="G54" s="33"/>
      <c r="H54" s="33"/>
      <c r="I54" s="33"/>
      <c r="J54" s="33"/>
      <c r="K54" s="33"/>
      <c r="L54" s="33"/>
      <c r="M54" s="33"/>
      <c r="N54" s="33"/>
      <c r="O54" s="33"/>
      <c r="P54" s="33"/>
      <c r="Q54" s="33"/>
      <c r="R54" s="33"/>
      <c r="S54" s="33"/>
      <c r="T54" s="29"/>
    </row>
    <row r="55" spans="2:20" ht="15" customHeight="1" x14ac:dyDescent="0.25">
      <c r="B55" s="82"/>
      <c r="F55" s="33"/>
      <c r="G55" s="33"/>
      <c r="H55" s="33"/>
      <c r="I55" s="33"/>
      <c r="J55" s="33"/>
      <c r="K55" s="33"/>
      <c r="L55" s="33"/>
      <c r="M55" s="33"/>
      <c r="N55" s="33"/>
      <c r="O55" s="33"/>
      <c r="P55" s="33"/>
      <c r="Q55" s="33"/>
      <c r="R55" s="33"/>
      <c r="S55" s="33"/>
      <c r="T55" s="29"/>
    </row>
    <row r="56" spans="2:20" ht="15" customHeight="1" thickBot="1" x14ac:dyDescent="0.3">
      <c r="B56" s="95"/>
      <c r="C56" s="34"/>
      <c r="D56" s="34"/>
      <c r="E56" s="34"/>
      <c r="F56" s="34"/>
      <c r="G56" s="34"/>
      <c r="H56" s="34"/>
      <c r="I56" s="34"/>
      <c r="J56" s="34"/>
      <c r="K56" s="34"/>
      <c r="L56" s="34"/>
      <c r="M56" s="34"/>
      <c r="N56" s="34"/>
      <c r="O56" s="34"/>
      <c r="P56" s="34"/>
      <c r="Q56" s="34"/>
      <c r="R56" s="34"/>
      <c r="S56" s="34"/>
      <c r="T56" s="30"/>
    </row>
    <row r="57" spans="2:20" ht="15" customHeight="1" thickBot="1" x14ac:dyDescent="0.3"/>
    <row r="58" spans="2:20" ht="15" customHeight="1" x14ac:dyDescent="0.25">
      <c r="B58" s="226" t="s">
        <v>254</v>
      </c>
      <c r="C58" s="227"/>
      <c r="D58" s="227"/>
      <c r="E58" s="227"/>
      <c r="F58" s="227"/>
      <c r="G58" s="227"/>
      <c r="H58" s="227"/>
      <c r="I58" s="227"/>
      <c r="J58" s="227"/>
      <c r="K58" s="227"/>
      <c r="L58" s="227"/>
      <c r="M58" s="227"/>
      <c r="N58" s="227"/>
      <c r="O58" s="227"/>
      <c r="P58" s="227"/>
      <c r="Q58" s="228"/>
    </row>
    <row r="59" spans="2:20" ht="15" customHeight="1" x14ac:dyDescent="0.25">
      <c r="B59" s="229"/>
      <c r="C59" s="230"/>
      <c r="D59" s="230"/>
      <c r="E59" s="230"/>
      <c r="F59" s="230"/>
      <c r="G59" s="230"/>
      <c r="H59" s="230"/>
      <c r="I59" s="230"/>
      <c r="J59" s="230"/>
      <c r="K59" s="230"/>
      <c r="L59" s="230"/>
      <c r="M59" s="230"/>
      <c r="N59" s="230"/>
      <c r="O59" s="230"/>
      <c r="P59" s="230"/>
      <c r="Q59" s="231"/>
    </row>
    <row r="60" spans="2:20" ht="15" customHeight="1" x14ac:dyDescent="0.25">
      <c r="B60" s="229"/>
      <c r="C60" s="230"/>
      <c r="D60" s="230"/>
      <c r="E60" s="230"/>
      <c r="F60" s="230"/>
      <c r="G60" s="230"/>
      <c r="H60" s="230"/>
      <c r="I60" s="230"/>
      <c r="J60" s="230"/>
      <c r="K60" s="230"/>
      <c r="L60" s="230"/>
      <c r="M60" s="230"/>
      <c r="N60" s="230"/>
      <c r="O60" s="230"/>
      <c r="P60" s="230"/>
      <c r="Q60" s="231"/>
    </row>
    <row r="61" spans="2:20" ht="15" customHeight="1" x14ac:dyDescent="0.25">
      <c r="B61" s="229"/>
      <c r="C61" s="230"/>
      <c r="D61" s="230"/>
      <c r="E61" s="230"/>
      <c r="F61" s="230"/>
      <c r="G61" s="230"/>
      <c r="H61" s="230"/>
      <c r="I61" s="230"/>
      <c r="J61" s="230"/>
      <c r="K61" s="230"/>
      <c r="L61" s="230"/>
      <c r="M61" s="230"/>
      <c r="N61" s="230"/>
      <c r="O61" s="230"/>
      <c r="P61" s="230"/>
      <c r="Q61" s="231"/>
    </row>
    <row r="62" spans="2:20" ht="15" customHeight="1" x14ac:dyDescent="0.25">
      <c r="B62" s="229"/>
      <c r="C62" s="230"/>
      <c r="D62" s="230"/>
      <c r="E62" s="230"/>
      <c r="F62" s="230"/>
      <c r="G62" s="230"/>
      <c r="H62" s="230"/>
      <c r="I62" s="230"/>
      <c r="J62" s="230"/>
      <c r="K62" s="230"/>
      <c r="L62" s="230"/>
      <c r="M62" s="230"/>
      <c r="N62" s="230"/>
      <c r="O62" s="230"/>
      <c r="P62" s="230"/>
      <c r="Q62" s="231"/>
    </row>
    <row r="63" spans="2:20" ht="15" customHeight="1" x14ac:dyDescent="0.25">
      <c r="B63" s="229"/>
      <c r="C63" s="230"/>
      <c r="D63" s="230"/>
      <c r="E63" s="230"/>
      <c r="F63" s="230"/>
      <c r="G63" s="230"/>
      <c r="H63" s="230"/>
      <c r="I63" s="230"/>
      <c r="J63" s="230"/>
      <c r="K63" s="230"/>
      <c r="L63" s="230"/>
      <c r="M63" s="230"/>
      <c r="N63" s="230"/>
      <c r="O63" s="230"/>
      <c r="P63" s="230"/>
      <c r="Q63" s="231"/>
    </row>
    <row r="64" spans="2:20" ht="24.75" customHeight="1" thickBot="1" x14ac:dyDescent="0.3">
      <c r="B64" s="232"/>
      <c r="C64" s="233"/>
      <c r="D64" s="233"/>
      <c r="E64" s="233"/>
      <c r="F64" s="233"/>
      <c r="G64" s="233"/>
      <c r="H64" s="233"/>
      <c r="I64" s="233"/>
      <c r="J64" s="233"/>
      <c r="K64" s="233"/>
      <c r="L64" s="233"/>
      <c r="M64" s="233"/>
      <c r="N64" s="233"/>
      <c r="O64" s="233"/>
      <c r="P64" s="233"/>
      <c r="Q64" s="234"/>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W8:X32">
    <sortCondition descending="1" ref="X8"/>
  </sortState>
  <mergeCells count="3">
    <mergeCell ref="C3:S3"/>
    <mergeCell ref="D5:E5"/>
    <mergeCell ref="B58:Q64"/>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0"/>
      <c r="C2" s="49"/>
      <c r="D2" s="49"/>
      <c r="E2" s="49"/>
      <c r="F2" s="49"/>
      <c r="G2" s="49"/>
      <c r="H2" s="49"/>
      <c r="I2" s="49"/>
      <c r="J2" s="49"/>
      <c r="K2" s="49"/>
      <c r="L2" s="49"/>
      <c r="M2" s="49"/>
      <c r="N2" s="111"/>
    </row>
    <row r="3" spans="2:19" ht="20.25" customHeight="1" x14ac:dyDescent="0.2">
      <c r="B3" s="112"/>
      <c r="C3" s="220" t="s">
        <v>234</v>
      </c>
      <c r="D3" s="220"/>
      <c r="E3" s="220"/>
      <c r="F3" s="220"/>
      <c r="G3" s="220"/>
      <c r="H3" s="220"/>
      <c r="I3" s="220"/>
      <c r="J3" s="220"/>
      <c r="K3" s="220"/>
      <c r="L3" s="220"/>
      <c r="M3" s="220"/>
      <c r="N3" s="221"/>
    </row>
    <row r="4" spans="2:19" ht="15.75" x14ac:dyDescent="0.25">
      <c r="B4" s="112"/>
      <c r="C4" s="85" t="s">
        <v>273</v>
      </c>
      <c r="D4" s="33"/>
      <c r="E4" s="33"/>
      <c r="F4" s="5"/>
      <c r="G4" s="5"/>
      <c r="H4" s="5"/>
      <c r="I4" s="5"/>
      <c r="J4" s="5"/>
      <c r="K4" s="5"/>
      <c r="L4" s="5"/>
      <c r="M4" s="5"/>
      <c r="N4" s="24"/>
    </row>
    <row r="5" spans="2:19" ht="20.25" customHeight="1" x14ac:dyDescent="0.2">
      <c r="B5" s="112"/>
      <c r="C5" s="86" t="s">
        <v>274</v>
      </c>
      <c r="D5" s="237" t="s">
        <v>289</v>
      </c>
      <c r="E5" s="237"/>
      <c r="F5" s="5"/>
      <c r="G5" s="5"/>
      <c r="H5" s="5"/>
      <c r="I5" s="5"/>
      <c r="J5" s="5"/>
      <c r="K5" s="5"/>
      <c r="L5" s="5"/>
      <c r="M5" s="5"/>
      <c r="N5" s="24"/>
    </row>
    <row r="6" spans="2:19" ht="15.75" x14ac:dyDescent="0.25">
      <c r="B6" s="112"/>
      <c r="C6" s="33"/>
      <c r="D6" s="33"/>
      <c r="E6" s="33"/>
      <c r="F6" s="5"/>
      <c r="G6" s="5"/>
      <c r="H6" s="5"/>
      <c r="I6" s="5"/>
      <c r="J6" s="5"/>
      <c r="K6" s="5"/>
      <c r="L6" s="5"/>
      <c r="M6" s="5"/>
      <c r="N6" s="24"/>
    </row>
    <row r="7" spans="2:19" ht="32.25" customHeight="1" x14ac:dyDescent="0.2">
      <c r="B7" s="112"/>
      <c r="C7" s="114" t="s">
        <v>44</v>
      </c>
      <c r="D7" s="143" t="s">
        <v>45</v>
      </c>
      <c r="E7" s="143" t="s">
        <v>46</v>
      </c>
      <c r="F7" s="5"/>
      <c r="G7" s="222" t="s">
        <v>47</v>
      </c>
      <c r="H7" s="222"/>
      <c r="I7" s="222"/>
      <c r="J7" s="222"/>
      <c r="K7" s="222"/>
      <c r="L7" s="222"/>
      <c r="M7" s="222"/>
      <c r="N7" s="223"/>
    </row>
    <row r="8" spans="2:19" x14ac:dyDescent="0.2">
      <c r="B8" s="112"/>
      <c r="C8" s="144" t="s">
        <v>29</v>
      </c>
      <c r="D8" s="145" t="s">
        <v>3</v>
      </c>
      <c r="E8" s="126">
        <v>1.7565000000000001E-2</v>
      </c>
      <c r="F8" s="5"/>
      <c r="G8" s="5" t="s">
        <v>48</v>
      </c>
      <c r="H8" s="35">
        <v>1</v>
      </c>
      <c r="I8" s="55">
        <f>H8/SUM($H$8:$H$10)</f>
        <v>1</v>
      </c>
      <c r="J8" s="5"/>
      <c r="K8" s="35"/>
      <c r="L8" s="5"/>
      <c r="M8" s="5"/>
      <c r="N8" s="24"/>
      <c r="S8" s="59"/>
    </row>
    <row r="9" spans="2:19" ht="15.75" customHeight="1" x14ac:dyDescent="0.2">
      <c r="B9" s="112"/>
      <c r="C9" s="146" t="s">
        <v>33</v>
      </c>
      <c r="D9" s="42" t="s">
        <v>3</v>
      </c>
      <c r="E9" s="44">
        <v>1.6823000000000001E-2</v>
      </c>
      <c r="F9" s="5"/>
      <c r="G9" s="5" t="s">
        <v>58</v>
      </c>
      <c r="H9" s="6">
        <v>0</v>
      </c>
      <c r="I9" s="55">
        <f>H9/SUM($H$8:$H$10)</f>
        <v>0</v>
      </c>
      <c r="J9" s="5" t="s">
        <v>120</v>
      </c>
      <c r="K9" s="35">
        <f>E23+E25</f>
        <v>0.22696</v>
      </c>
      <c r="L9" s="5"/>
      <c r="M9" s="5"/>
      <c r="N9" s="24"/>
      <c r="S9" s="59"/>
    </row>
    <row r="10" spans="2:19" x14ac:dyDescent="0.2">
      <c r="B10" s="112"/>
      <c r="C10" s="146" t="s">
        <v>32</v>
      </c>
      <c r="D10" s="42" t="s">
        <v>6</v>
      </c>
      <c r="E10" s="44">
        <v>1.1095000000000001E-2</v>
      </c>
      <c r="F10" s="35"/>
      <c r="G10" s="5" t="s">
        <v>49</v>
      </c>
      <c r="H10" s="6">
        <v>0</v>
      </c>
      <c r="I10" s="55">
        <f>H10/SUM($H$8:$H$10)</f>
        <v>0</v>
      </c>
      <c r="J10" s="5" t="s">
        <v>20</v>
      </c>
      <c r="K10" s="35">
        <f>E35</f>
        <v>9.1304000000000024E-2</v>
      </c>
      <c r="L10" s="5"/>
      <c r="M10" s="5"/>
      <c r="N10" s="24"/>
      <c r="S10" s="59"/>
    </row>
    <row r="11" spans="2:19" x14ac:dyDescent="0.2">
      <c r="B11" s="112"/>
      <c r="C11" s="146" t="s">
        <v>35</v>
      </c>
      <c r="D11" s="42" t="s">
        <v>23</v>
      </c>
      <c r="E11" s="44">
        <v>9.1050000000000002E-3</v>
      </c>
      <c r="F11" s="5"/>
      <c r="G11" s="5"/>
      <c r="H11" s="5"/>
      <c r="I11" s="5"/>
      <c r="J11" s="5" t="s">
        <v>62</v>
      </c>
      <c r="K11" s="35">
        <f>E29</f>
        <v>0.55641600000000002</v>
      </c>
      <c r="L11" s="5"/>
      <c r="M11" s="5"/>
      <c r="N11" s="24"/>
      <c r="S11" s="59"/>
    </row>
    <row r="12" spans="2:19" ht="15.75" customHeight="1" x14ac:dyDescent="0.2">
      <c r="B12" s="112"/>
      <c r="C12" s="146" t="s">
        <v>28</v>
      </c>
      <c r="D12" s="42" t="s">
        <v>137</v>
      </c>
      <c r="E12" s="44">
        <v>8.8739999999999999E-3</v>
      </c>
      <c r="F12" s="35"/>
      <c r="G12" s="5"/>
      <c r="H12" s="35"/>
      <c r="I12" s="5"/>
      <c r="J12" s="5" t="s">
        <v>42</v>
      </c>
      <c r="K12" s="35">
        <f>E33</f>
        <v>3.4026000000000001E-2</v>
      </c>
      <c r="L12" s="5"/>
      <c r="M12" s="5"/>
      <c r="N12" s="24"/>
      <c r="S12" s="59"/>
    </row>
    <row r="13" spans="2:19" x14ac:dyDescent="0.2">
      <c r="B13" s="112"/>
      <c r="C13" s="146" t="s">
        <v>77</v>
      </c>
      <c r="D13" s="42" t="s">
        <v>12</v>
      </c>
      <c r="E13" s="44">
        <v>8.123E-3</v>
      </c>
      <c r="F13" s="35"/>
      <c r="G13" s="5"/>
      <c r="H13" s="5"/>
      <c r="I13" s="5"/>
      <c r="J13" s="5" t="s">
        <v>260</v>
      </c>
      <c r="K13" s="35">
        <f>E27</f>
        <v>9.1294E-2</v>
      </c>
      <c r="L13" s="5"/>
      <c r="M13" s="5"/>
      <c r="N13" s="24"/>
      <c r="S13" s="59"/>
    </row>
    <row r="14" spans="2:19" x14ac:dyDescent="0.2">
      <c r="B14" s="112"/>
      <c r="C14" s="146" t="s">
        <v>134</v>
      </c>
      <c r="D14" s="42" t="s">
        <v>142</v>
      </c>
      <c r="E14" s="44">
        <v>7.0109999999999999E-3</v>
      </c>
      <c r="F14" s="35"/>
      <c r="G14" s="5"/>
      <c r="H14" s="5"/>
      <c r="I14" s="5"/>
      <c r="J14" s="5"/>
      <c r="K14" s="35"/>
      <c r="L14" s="5"/>
      <c r="M14" s="5"/>
      <c r="N14" s="24"/>
      <c r="S14" s="59"/>
    </row>
    <row r="15" spans="2:19" x14ac:dyDescent="0.2">
      <c r="B15" s="112"/>
      <c r="C15" s="146" t="s">
        <v>114</v>
      </c>
      <c r="D15" s="42" t="s">
        <v>143</v>
      </c>
      <c r="E15" s="44">
        <v>6.8539999999999998E-3</v>
      </c>
      <c r="F15" s="5"/>
      <c r="G15" s="5"/>
      <c r="H15" s="5"/>
      <c r="I15" s="5"/>
      <c r="L15" s="5"/>
      <c r="M15" s="5"/>
      <c r="N15" s="24"/>
      <c r="S15" s="59"/>
    </row>
    <row r="16" spans="2:19" x14ac:dyDescent="0.2">
      <c r="B16" s="112"/>
      <c r="C16" s="146" t="s">
        <v>34</v>
      </c>
      <c r="D16" s="42" t="s">
        <v>137</v>
      </c>
      <c r="E16" s="44">
        <v>6.5990000000000007E-3</v>
      </c>
      <c r="F16" s="5"/>
      <c r="G16" s="5"/>
      <c r="H16" s="5"/>
      <c r="I16" s="5"/>
      <c r="J16" s="5"/>
      <c r="K16" s="5"/>
      <c r="L16" s="5"/>
      <c r="M16" s="5"/>
      <c r="N16" s="24"/>
      <c r="S16" s="59"/>
    </row>
    <row r="17" spans="2:19" x14ac:dyDescent="0.2">
      <c r="B17" s="112"/>
      <c r="C17" s="147" t="s">
        <v>192</v>
      </c>
      <c r="D17" s="128" t="s">
        <v>145</v>
      </c>
      <c r="E17" s="44">
        <v>6.2100000000000002E-3</v>
      </c>
      <c r="F17" s="5"/>
      <c r="G17" s="5"/>
      <c r="H17" s="5"/>
      <c r="I17" s="5"/>
      <c r="J17" s="5"/>
      <c r="K17" s="5"/>
      <c r="L17" s="5"/>
      <c r="M17" s="5"/>
      <c r="N17" s="24"/>
      <c r="S17" s="59"/>
    </row>
    <row r="18" spans="2:19" x14ac:dyDescent="0.2">
      <c r="B18" s="112"/>
      <c r="C18" s="146" t="s">
        <v>30</v>
      </c>
      <c r="D18" s="42" t="s">
        <v>4</v>
      </c>
      <c r="E18" s="44">
        <v>5.7319999999999975E-3</v>
      </c>
      <c r="F18" s="5"/>
      <c r="G18" s="5"/>
      <c r="H18" s="5"/>
      <c r="I18" s="5"/>
      <c r="J18" s="5"/>
      <c r="K18" s="5"/>
      <c r="L18" s="5"/>
      <c r="M18" s="5"/>
      <c r="N18" s="24"/>
      <c r="S18" s="59"/>
    </row>
    <row r="19" spans="2:19" x14ac:dyDescent="0.2">
      <c r="B19" s="112"/>
      <c r="C19" s="146" t="s">
        <v>76</v>
      </c>
      <c r="D19" s="42" t="s">
        <v>147</v>
      </c>
      <c r="E19" s="44">
        <v>5.6849999999999999E-3</v>
      </c>
      <c r="F19" s="5"/>
      <c r="G19" s="5"/>
      <c r="H19" s="5"/>
      <c r="I19" s="5"/>
      <c r="J19" s="5"/>
      <c r="K19" s="5"/>
      <c r="L19" s="5"/>
      <c r="M19" s="5"/>
      <c r="N19" s="24"/>
      <c r="S19" s="59"/>
    </row>
    <row r="20" spans="2:19" ht="15.75" customHeight="1" x14ac:dyDescent="0.25">
      <c r="B20" s="112"/>
      <c r="C20" s="146" t="s">
        <v>31</v>
      </c>
      <c r="D20" s="42" t="s">
        <v>148</v>
      </c>
      <c r="E20" s="44">
        <v>5.4749999999999998E-3</v>
      </c>
      <c r="F20" s="5"/>
      <c r="G20" s="240" t="s">
        <v>128</v>
      </c>
      <c r="H20" s="241"/>
      <c r="I20" s="241"/>
      <c r="J20" s="241"/>
      <c r="K20" s="241"/>
      <c r="L20" s="218">
        <v>183.91664783447152</v>
      </c>
      <c r="M20" s="148"/>
      <c r="N20" s="130"/>
      <c r="P20" s="23"/>
      <c r="S20" s="59"/>
    </row>
    <row r="21" spans="2:19" ht="15.75" x14ac:dyDescent="0.25">
      <c r="B21" s="112"/>
      <c r="C21" s="146" t="s">
        <v>139</v>
      </c>
      <c r="D21" s="42" t="s">
        <v>140</v>
      </c>
      <c r="E21" s="44">
        <v>5.4060000000000002E-3</v>
      </c>
      <c r="F21" s="5"/>
      <c r="G21" s="5"/>
      <c r="H21" s="5"/>
      <c r="I21" s="5"/>
      <c r="J21" s="5"/>
      <c r="K21" s="5"/>
      <c r="L21" s="5"/>
      <c r="M21" s="5"/>
      <c r="N21" s="24"/>
      <c r="P21" s="23"/>
      <c r="S21" s="59"/>
    </row>
    <row r="22" spans="2:19" ht="15.75" x14ac:dyDescent="0.25">
      <c r="B22" s="112"/>
      <c r="C22" s="146" t="s">
        <v>37</v>
      </c>
      <c r="D22" s="42" t="s">
        <v>3</v>
      </c>
      <c r="E22" s="44">
        <v>5.3560000000000031E-3</v>
      </c>
      <c r="F22" s="5"/>
      <c r="G22" s="35"/>
      <c r="H22" s="35"/>
      <c r="I22" s="35"/>
      <c r="J22" s="5"/>
      <c r="K22" s="35"/>
      <c r="L22" s="5"/>
      <c r="M22" s="5"/>
      <c r="N22" s="24"/>
      <c r="P22" s="23"/>
      <c r="S22" s="59"/>
    </row>
    <row r="23" spans="2:19" ht="15.75" customHeight="1" x14ac:dyDescent="0.25">
      <c r="B23" s="112"/>
      <c r="C23" s="131" t="s">
        <v>107</v>
      </c>
      <c r="D23" s="131"/>
      <c r="E23" s="132">
        <f>SUM(E8:E22)</f>
        <v>0.125913</v>
      </c>
      <c r="F23" s="5"/>
      <c r="G23" s="222" t="s">
        <v>51</v>
      </c>
      <c r="H23" s="222"/>
      <c r="I23" s="222"/>
      <c r="J23" s="222"/>
      <c r="K23" s="222"/>
      <c r="L23" s="222"/>
      <c r="M23" s="222"/>
      <c r="N23" s="223"/>
      <c r="P23" s="23"/>
      <c r="S23" s="59"/>
    </row>
    <row r="24" spans="2:19" ht="15.75" x14ac:dyDescent="0.25">
      <c r="B24" s="112"/>
      <c r="C24" s="4"/>
      <c r="D24" s="4"/>
      <c r="E24" s="6"/>
      <c r="F24" s="5"/>
      <c r="G24" s="5"/>
      <c r="H24" s="5"/>
      <c r="I24" s="5"/>
      <c r="J24" s="5"/>
      <c r="K24" s="5"/>
      <c r="L24" s="5"/>
      <c r="M24" s="5"/>
      <c r="N24" s="24"/>
      <c r="P24" s="23"/>
      <c r="S24" s="59"/>
    </row>
    <row r="25" spans="2:19" ht="15.75" x14ac:dyDescent="0.25">
      <c r="B25" s="112"/>
      <c r="C25" s="131" t="s">
        <v>108</v>
      </c>
      <c r="D25" s="131"/>
      <c r="E25" s="132">
        <v>0.101047</v>
      </c>
      <c r="F25" s="5"/>
      <c r="G25" s="5"/>
      <c r="H25" s="5"/>
      <c r="I25" s="5"/>
      <c r="J25" s="5"/>
      <c r="K25" s="5"/>
      <c r="L25" s="5"/>
      <c r="M25" s="5"/>
      <c r="N25" s="24"/>
      <c r="P25" s="23"/>
      <c r="S25" s="59"/>
    </row>
    <row r="26" spans="2:19" ht="15.75" x14ac:dyDescent="0.25">
      <c r="B26" s="112"/>
      <c r="C26" s="4"/>
      <c r="D26" s="4"/>
      <c r="E26" s="6"/>
      <c r="F26" s="5"/>
      <c r="G26" s="5"/>
      <c r="H26" s="5"/>
      <c r="I26" s="5"/>
      <c r="J26" s="5"/>
      <c r="K26" s="5"/>
      <c r="L26" s="5"/>
      <c r="M26" s="5"/>
      <c r="N26" s="24"/>
      <c r="P26" s="23"/>
      <c r="S26" s="59"/>
    </row>
    <row r="27" spans="2:19" ht="31.5" x14ac:dyDescent="0.25">
      <c r="B27" s="112"/>
      <c r="C27" s="131" t="s">
        <v>250</v>
      </c>
      <c r="D27" s="149"/>
      <c r="E27" s="132">
        <v>9.1294E-2</v>
      </c>
      <c r="F27" s="5"/>
      <c r="G27" s="5"/>
      <c r="H27" s="5"/>
      <c r="I27" s="5"/>
      <c r="J27" s="5"/>
      <c r="K27" s="5"/>
      <c r="L27" s="5"/>
      <c r="M27" s="5"/>
      <c r="N27" s="24"/>
      <c r="P27" s="23"/>
      <c r="S27" s="59"/>
    </row>
    <row r="28" spans="2:19" ht="15.75" x14ac:dyDescent="0.25">
      <c r="B28" s="112"/>
      <c r="C28" s="4"/>
      <c r="D28" s="4"/>
      <c r="E28" s="6"/>
      <c r="F28" s="5"/>
      <c r="G28" s="5"/>
      <c r="H28" s="5"/>
      <c r="I28" s="5"/>
      <c r="J28" s="5"/>
      <c r="K28" s="5"/>
      <c r="L28" s="5"/>
      <c r="M28" s="5"/>
      <c r="N28" s="24"/>
      <c r="P28" s="23"/>
      <c r="S28" s="59"/>
    </row>
    <row r="29" spans="2:19" ht="15.75" x14ac:dyDescent="0.25">
      <c r="B29" s="112"/>
      <c r="C29" s="131" t="s">
        <v>60</v>
      </c>
      <c r="D29" s="131"/>
      <c r="E29" s="132">
        <v>0.55641600000000002</v>
      </c>
      <c r="F29" s="5"/>
      <c r="G29" s="5"/>
      <c r="H29" s="5"/>
      <c r="I29" s="5"/>
      <c r="J29" s="5"/>
      <c r="K29" s="5"/>
      <c r="L29" s="5"/>
      <c r="M29" s="5"/>
      <c r="N29" s="24"/>
      <c r="P29" s="23"/>
      <c r="S29" s="59"/>
    </row>
    <row r="30" spans="2:19" ht="15.75" x14ac:dyDescent="0.25">
      <c r="B30" s="112"/>
      <c r="C30" s="70"/>
      <c r="D30" s="31"/>
      <c r="E30" s="73"/>
      <c r="F30" s="5"/>
      <c r="G30" s="5"/>
      <c r="H30" s="5"/>
      <c r="I30" s="5"/>
      <c r="J30" s="5"/>
      <c r="K30" s="5"/>
      <c r="L30" s="5"/>
      <c r="M30" s="5"/>
      <c r="N30" s="24"/>
      <c r="P30" s="23"/>
      <c r="S30" s="59"/>
    </row>
    <row r="31" spans="2:19" ht="15.75" x14ac:dyDescent="0.25">
      <c r="B31" s="112"/>
      <c r="C31" s="31" t="s">
        <v>74</v>
      </c>
      <c r="D31" s="31" t="s">
        <v>65</v>
      </c>
      <c r="E31" s="51">
        <v>3.4023999999999999E-2</v>
      </c>
      <c r="F31" s="5"/>
      <c r="G31" s="5"/>
      <c r="H31" s="5"/>
      <c r="I31" s="5"/>
      <c r="J31" s="5"/>
      <c r="K31" s="5"/>
      <c r="L31" s="5"/>
      <c r="M31" s="5"/>
      <c r="N31" s="24"/>
      <c r="P31" s="23"/>
      <c r="S31" s="59"/>
    </row>
    <row r="32" spans="2:19" ht="15.75" x14ac:dyDescent="0.25">
      <c r="B32" s="112"/>
      <c r="C32" s="31" t="s">
        <v>104</v>
      </c>
      <c r="D32" s="31" t="s">
        <v>65</v>
      </c>
      <c r="E32" s="217">
        <v>1.9999999999999999E-6</v>
      </c>
      <c r="F32" s="5"/>
      <c r="G32" s="5"/>
      <c r="H32" s="5"/>
      <c r="I32" s="5"/>
      <c r="J32" s="5"/>
      <c r="K32" s="5"/>
      <c r="L32" s="5"/>
      <c r="M32" s="5"/>
      <c r="N32" s="24"/>
      <c r="P32" s="23"/>
      <c r="S32" s="59"/>
    </row>
    <row r="33" spans="1:19" ht="15" customHeight="1" x14ac:dyDescent="0.25">
      <c r="B33" s="112"/>
      <c r="C33" s="131" t="s">
        <v>50</v>
      </c>
      <c r="D33" s="131"/>
      <c r="E33" s="132">
        <f>E31+E32</f>
        <v>3.4026000000000001E-2</v>
      </c>
      <c r="F33" s="5"/>
      <c r="G33" s="5"/>
      <c r="H33" s="5"/>
      <c r="I33" s="5"/>
      <c r="J33" s="5"/>
      <c r="K33" s="5"/>
      <c r="L33" s="5"/>
      <c r="M33" s="5"/>
      <c r="N33" s="24"/>
      <c r="P33" s="23"/>
      <c r="S33" s="59"/>
    </row>
    <row r="34" spans="1:19" ht="15" customHeight="1" x14ac:dyDescent="0.25">
      <c r="B34" s="112"/>
      <c r="C34" s="136"/>
      <c r="D34" s="136"/>
      <c r="E34" s="137"/>
      <c r="F34" s="5"/>
      <c r="G34" s="5"/>
      <c r="H34" s="5"/>
      <c r="I34" s="5"/>
      <c r="J34" s="5"/>
      <c r="K34" s="5"/>
      <c r="L34" s="5"/>
      <c r="M34" s="5"/>
      <c r="N34" s="24"/>
      <c r="P34" s="23"/>
      <c r="S34" s="59"/>
    </row>
    <row r="35" spans="1:19" s="58" customFormat="1" ht="15.75" x14ac:dyDescent="0.25">
      <c r="B35" s="133"/>
      <c r="C35" s="131" t="s">
        <v>20</v>
      </c>
      <c r="D35" s="131"/>
      <c r="E35" s="132">
        <v>9.1304000000000024E-2</v>
      </c>
      <c r="F35" s="47"/>
      <c r="G35" s="47"/>
      <c r="H35" s="47"/>
      <c r="I35" s="47"/>
      <c r="J35" s="47"/>
      <c r="K35" s="47"/>
      <c r="L35" s="47"/>
      <c r="M35" s="47"/>
      <c r="N35" s="134"/>
      <c r="P35" s="65"/>
      <c r="S35" s="135"/>
    </row>
    <row r="36" spans="1:19" s="58" customFormat="1" ht="15.75" x14ac:dyDescent="0.25">
      <c r="B36" s="133"/>
      <c r="C36" s="4"/>
      <c r="D36" s="4"/>
      <c r="E36" s="36"/>
      <c r="F36" s="47"/>
      <c r="G36" s="47"/>
      <c r="H36" s="47"/>
      <c r="I36" s="47"/>
      <c r="J36" s="47"/>
      <c r="K36" s="47"/>
      <c r="L36" s="47"/>
      <c r="M36" s="47"/>
      <c r="N36" s="134"/>
      <c r="P36" s="65"/>
      <c r="S36" s="135"/>
    </row>
    <row r="37" spans="1:19" ht="15.75" x14ac:dyDescent="0.25">
      <c r="B37" s="112"/>
      <c r="C37" s="138" t="s">
        <v>21</v>
      </c>
      <c r="D37" s="138"/>
      <c r="E37" s="139">
        <f>E35+E33+E29+E27+E25+E23</f>
        <v>1</v>
      </c>
      <c r="F37" s="5"/>
      <c r="G37" s="5"/>
      <c r="H37" s="5"/>
      <c r="I37" s="5"/>
      <c r="J37" s="5"/>
      <c r="K37" s="5"/>
      <c r="L37" s="5"/>
      <c r="M37" s="5"/>
      <c r="N37" s="24"/>
      <c r="P37" s="23"/>
      <c r="S37" s="59"/>
    </row>
    <row r="38" spans="1:19" ht="15.75" x14ac:dyDescent="0.25">
      <c r="B38" s="112"/>
      <c r="F38" s="5"/>
      <c r="G38" s="5"/>
      <c r="H38" s="5"/>
      <c r="I38" s="5"/>
      <c r="J38" s="5"/>
      <c r="K38" s="5"/>
      <c r="L38" s="5"/>
      <c r="M38" s="5"/>
      <c r="N38" s="24"/>
      <c r="P38" s="23"/>
      <c r="S38" s="59"/>
    </row>
    <row r="39" spans="1:19" ht="15.75" x14ac:dyDescent="0.25">
      <c r="B39" s="112"/>
      <c r="F39" s="5"/>
      <c r="G39" s="5"/>
      <c r="H39" s="5"/>
      <c r="I39" s="5"/>
      <c r="J39" s="5"/>
      <c r="K39" s="5"/>
      <c r="L39" s="5"/>
      <c r="M39" s="5"/>
      <c r="N39" s="24"/>
      <c r="P39" s="23"/>
      <c r="S39" s="59"/>
    </row>
    <row r="40" spans="1:19" ht="15.75" x14ac:dyDescent="0.25">
      <c r="B40" s="112"/>
      <c r="F40" s="5"/>
      <c r="G40" s="5"/>
      <c r="H40" s="5"/>
      <c r="I40" s="5"/>
      <c r="J40" s="5"/>
      <c r="K40" s="5"/>
      <c r="L40" s="5"/>
      <c r="M40" s="5"/>
      <c r="N40" s="24"/>
      <c r="P40" s="23"/>
      <c r="S40" s="59"/>
    </row>
    <row r="41" spans="1:19" ht="15.75" x14ac:dyDescent="0.25">
      <c r="B41" s="112"/>
      <c r="C41" s="5"/>
      <c r="D41" s="5"/>
      <c r="E41" s="5"/>
      <c r="F41" s="5"/>
      <c r="G41" s="5"/>
      <c r="H41" s="5"/>
      <c r="I41" s="5"/>
      <c r="J41" s="5"/>
      <c r="K41" s="5"/>
      <c r="L41" s="5"/>
      <c r="M41" s="5"/>
      <c r="N41" s="24"/>
      <c r="P41" s="23"/>
      <c r="S41" s="59"/>
    </row>
    <row r="42" spans="1:19" ht="15.75" x14ac:dyDescent="0.25">
      <c r="B42" s="112"/>
      <c r="F42" s="5"/>
      <c r="G42" s="5"/>
      <c r="H42" s="5"/>
      <c r="I42" s="5"/>
      <c r="J42" s="5"/>
      <c r="K42" s="5"/>
      <c r="L42" s="5"/>
      <c r="M42" s="5"/>
      <c r="N42" s="24"/>
      <c r="P42" s="23"/>
      <c r="S42" s="59"/>
    </row>
    <row r="43" spans="1:19" ht="15.75" x14ac:dyDescent="0.25">
      <c r="B43" s="112"/>
      <c r="F43" s="5"/>
      <c r="G43" s="5"/>
      <c r="H43" s="5"/>
      <c r="I43" s="5"/>
      <c r="J43" s="5"/>
      <c r="K43" s="5"/>
      <c r="L43" s="5"/>
      <c r="M43" s="5"/>
      <c r="N43" s="24"/>
      <c r="P43" s="23"/>
      <c r="S43" s="59"/>
    </row>
    <row r="44" spans="1:19" ht="15.75" x14ac:dyDescent="0.25">
      <c r="B44" s="112"/>
      <c r="C44" s="5"/>
      <c r="D44" s="5"/>
      <c r="E44" s="5"/>
      <c r="F44" s="5"/>
      <c r="G44" s="5"/>
      <c r="H44" s="5"/>
      <c r="I44" s="5"/>
      <c r="J44" s="5"/>
      <c r="K44" s="5"/>
      <c r="L44" s="5"/>
      <c r="M44" s="5"/>
      <c r="N44" s="24"/>
      <c r="P44" s="23"/>
      <c r="S44" s="59"/>
    </row>
    <row r="45" spans="1:19" ht="15.75" x14ac:dyDescent="0.25">
      <c r="B45" s="112"/>
      <c r="C45" s="5"/>
      <c r="D45" s="5"/>
      <c r="E45" s="5"/>
      <c r="F45" s="5"/>
      <c r="G45" s="5"/>
      <c r="H45" s="5"/>
      <c r="I45" s="5"/>
      <c r="J45" s="5"/>
      <c r="K45" s="5"/>
      <c r="L45" s="5"/>
      <c r="M45" s="5"/>
      <c r="N45" s="24"/>
      <c r="P45" s="23"/>
      <c r="S45" s="59"/>
    </row>
    <row r="46" spans="1:19" ht="15.75" x14ac:dyDescent="0.25">
      <c r="B46" s="112"/>
      <c r="C46" s="5"/>
      <c r="D46" s="5"/>
      <c r="E46" s="71"/>
      <c r="F46" s="5"/>
      <c r="G46" s="5"/>
      <c r="H46" s="5"/>
      <c r="I46" s="5"/>
      <c r="J46" s="5"/>
      <c r="K46" s="5"/>
      <c r="L46" s="5"/>
      <c r="M46" s="5"/>
      <c r="N46" s="24"/>
      <c r="P46" s="23"/>
      <c r="S46" s="59"/>
    </row>
    <row r="47" spans="1:19" ht="15.75" x14ac:dyDescent="0.25">
      <c r="B47" s="112"/>
      <c r="C47" s="5"/>
      <c r="D47" s="5"/>
      <c r="E47" s="72"/>
      <c r="F47" s="5"/>
      <c r="G47" s="5"/>
      <c r="H47" s="5"/>
      <c r="I47" s="5"/>
      <c r="J47" s="5"/>
      <c r="K47" s="5"/>
      <c r="L47" s="5"/>
      <c r="M47" s="5"/>
      <c r="N47" s="24"/>
      <c r="P47" s="23"/>
      <c r="S47" s="59"/>
    </row>
    <row r="48" spans="1:19" x14ac:dyDescent="0.2">
      <c r="A48" s="5"/>
      <c r="B48" s="112"/>
      <c r="C48" s="5"/>
      <c r="D48" s="5"/>
      <c r="E48" s="5"/>
      <c r="F48" s="5"/>
      <c r="G48" s="5"/>
      <c r="H48" s="5"/>
      <c r="I48" s="5"/>
      <c r="J48" s="5"/>
      <c r="K48" s="5"/>
      <c r="L48" s="5"/>
      <c r="M48" s="5"/>
      <c r="N48" s="24"/>
      <c r="O48" s="5"/>
      <c r="S48" s="59"/>
    </row>
    <row r="49" spans="2:19" ht="11.25" customHeight="1" thickBot="1" x14ac:dyDescent="0.25">
      <c r="B49" s="116"/>
      <c r="C49" s="54"/>
      <c r="D49" s="54"/>
      <c r="E49" s="54"/>
      <c r="F49" s="54"/>
      <c r="G49" s="54"/>
      <c r="H49" s="54"/>
      <c r="I49" s="54"/>
      <c r="J49" s="54"/>
      <c r="K49" s="54"/>
      <c r="L49" s="54"/>
      <c r="M49" s="54"/>
      <c r="N49" s="142"/>
      <c r="S49" s="59"/>
    </row>
    <row r="50" spans="2:19" ht="15.75" thickBot="1" x14ac:dyDescent="0.25">
      <c r="S50" s="59"/>
    </row>
    <row r="51" spans="2:19" x14ac:dyDescent="0.2">
      <c r="B51" s="226" t="s">
        <v>254</v>
      </c>
      <c r="C51" s="227"/>
      <c r="D51" s="227"/>
      <c r="E51" s="227"/>
      <c r="F51" s="227"/>
      <c r="G51" s="227"/>
      <c r="H51" s="227"/>
      <c r="I51" s="227"/>
      <c r="J51" s="227"/>
      <c r="K51" s="227"/>
      <c r="L51" s="227"/>
      <c r="M51" s="227"/>
      <c r="N51" s="227"/>
      <c r="O51" s="227"/>
      <c r="P51" s="228"/>
      <c r="S51" s="59"/>
    </row>
    <row r="52" spans="2:19" x14ac:dyDescent="0.2">
      <c r="B52" s="229"/>
      <c r="C52" s="230"/>
      <c r="D52" s="230"/>
      <c r="E52" s="230"/>
      <c r="F52" s="230"/>
      <c r="G52" s="230"/>
      <c r="H52" s="230"/>
      <c r="I52" s="230"/>
      <c r="J52" s="230"/>
      <c r="K52" s="230"/>
      <c r="L52" s="230"/>
      <c r="M52" s="230"/>
      <c r="N52" s="230"/>
      <c r="O52" s="230"/>
      <c r="P52" s="231"/>
      <c r="S52" s="59"/>
    </row>
    <row r="53" spans="2:19" x14ac:dyDescent="0.2">
      <c r="B53" s="229"/>
      <c r="C53" s="230"/>
      <c r="D53" s="230"/>
      <c r="E53" s="230"/>
      <c r="F53" s="230"/>
      <c r="G53" s="230"/>
      <c r="H53" s="230"/>
      <c r="I53" s="230"/>
      <c r="J53" s="230"/>
      <c r="K53" s="230"/>
      <c r="L53" s="230"/>
      <c r="M53" s="230"/>
      <c r="N53" s="230"/>
      <c r="O53" s="230"/>
      <c r="P53" s="231"/>
      <c r="S53" s="59"/>
    </row>
    <row r="54" spans="2:19" x14ac:dyDescent="0.2">
      <c r="B54" s="229"/>
      <c r="C54" s="230"/>
      <c r="D54" s="230"/>
      <c r="E54" s="230"/>
      <c r="F54" s="230"/>
      <c r="G54" s="230"/>
      <c r="H54" s="230"/>
      <c r="I54" s="230"/>
      <c r="J54" s="230"/>
      <c r="K54" s="230"/>
      <c r="L54" s="230"/>
      <c r="M54" s="230"/>
      <c r="N54" s="230"/>
      <c r="O54" s="230"/>
      <c r="P54" s="231"/>
      <c r="S54" s="59"/>
    </row>
    <row r="55" spans="2:19" x14ac:dyDescent="0.2">
      <c r="B55" s="229"/>
      <c r="C55" s="230"/>
      <c r="D55" s="230"/>
      <c r="E55" s="230"/>
      <c r="F55" s="230"/>
      <c r="G55" s="230"/>
      <c r="H55" s="230"/>
      <c r="I55" s="230"/>
      <c r="J55" s="230"/>
      <c r="K55" s="230"/>
      <c r="L55" s="230"/>
      <c r="M55" s="230"/>
      <c r="N55" s="230"/>
      <c r="O55" s="230"/>
      <c r="P55" s="231"/>
      <c r="S55" s="59"/>
    </row>
    <row r="56" spans="2:19" x14ac:dyDescent="0.2">
      <c r="B56" s="229"/>
      <c r="C56" s="230"/>
      <c r="D56" s="230"/>
      <c r="E56" s="230"/>
      <c r="F56" s="230"/>
      <c r="G56" s="230"/>
      <c r="H56" s="230"/>
      <c r="I56" s="230"/>
      <c r="J56" s="230"/>
      <c r="K56" s="230"/>
      <c r="L56" s="230"/>
      <c r="M56" s="230"/>
      <c r="N56" s="230"/>
      <c r="O56" s="230"/>
      <c r="P56" s="231"/>
      <c r="S56" s="59"/>
    </row>
    <row r="57" spans="2:19" ht="15.75" thickBot="1" x14ac:dyDescent="0.25">
      <c r="B57" s="232"/>
      <c r="C57" s="233"/>
      <c r="D57" s="233"/>
      <c r="E57" s="233"/>
      <c r="F57" s="233"/>
      <c r="G57" s="233"/>
      <c r="H57" s="233"/>
      <c r="I57" s="233"/>
      <c r="J57" s="233"/>
      <c r="K57" s="233"/>
      <c r="L57" s="233"/>
      <c r="M57" s="233"/>
      <c r="N57" s="233"/>
      <c r="O57" s="233"/>
      <c r="P57" s="234"/>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sheetData>
  <sortState ref="C32:E32">
    <sortCondition descending="1" ref="E31"/>
  </sortState>
  <mergeCells count="6">
    <mergeCell ref="B51:P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20" t="s">
        <v>233</v>
      </c>
      <c r="D3" s="220"/>
      <c r="E3" s="220"/>
      <c r="F3" s="220"/>
      <c r="G3" s="220"/>
      <c r="H3" s="220"/>
      <c r="I3" s="220"/>
      <c r="J3" s="220"/>
      <c r="K3" s="220"/>
      <c r="L3" s="220"/>
      <c r="M3" s="220"/>
      <c r="N3" s="221"/>
    </row>
    <row r="4" spans="2:18" ht="15.75" x14ac:dyDescent="0.25">
      <c r="B4" s="112"/>
      <c r="C4" s="85" t="s">
        <v>273</v>
      </c>
      <c r="D4" s="33"/>
      <c r="E4" s="33"/>
      <c r="F4" s="5"/>
      <c r="G4" s="5"/>
      <c r="H4" s="5"/>
      <c r="I4" s="5"/>
      <c r="J4" s="5"/>
      <c r="K4" s="5"/>
      <c r="L4" s="5"/>
      <c r="M4" s="5"/>
      <c r="N4" s="24"/>
    </row>
    <row r="5" spans="2:18" ht="20.25" customHeight="1" x14ac:dyDescent="0.2">
      <c r="B5" s="112"/>
      <c r="C5" s="86" t="s">
        <v>274</v>
      </c>
      <c r="D5" s="237" t="s">
        <v>290</v>
      </c>
      <c r="E5" s="237"/>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44</v>
      </c>
      <c r="D7" s="114" t="s">
        <v>45</v>
      </c>
      <c r="E7" s="114" t="s">
        <v>46</v>
      </c>
      <c r="F7" s="5"/>
      <c r="G7" s="222" t="s">
        <v>47</v>
      </c>
      <c r="H7" s="222"/>
      <c r="I7" s="222"/>
      <c r="J7" s="222"/>
      <c r="K7" s="222"/>
      <c r="L7" s="222"/>
      <c r="M7" s="222"/>
      <c r="N7" s="223"/>
    </row>
    <row r="8" spans="2:18" x14ac:dyDescent="0.2">
      <c r="B8" s="112"/>
      <c r="C8" s="15" t="s">
        <v>180</v>
      </c>
      <c r="D8" s="17" t="s">
        <v>3</v>
      </c>
      <c r="E8" s="19">
        <v>7.2570000000000004E-3</v>
      </c>
      <c r="F8" s="5"/>
      <c r="G8" s="5" t="s">
        <v>48</v>
      </c>
      <c r="H8" s="35">
        <v>1</v>
      </c>
      <c r="I8" s="55">
        <f>H8/SUM($H$8:$H$10)</f>
        <v>1</v>
      </c>
      <c r="J8" s="5"/>
      <c r="K8" s="35"/>
      <c r="L8" s="5"/>
      <c r="M8" s="5"/>
      <c r="N8" s="24"/>
      <c r="R8" s="59"/>
    </row>
    <row r="9" spans="2:18" ht="15.75" customHeight="1" x14ac:dyDescent="0.2">
      <c r="B9" s="112"/>
      <c r="C9" s="16" t="s">
        <v>179</v>
      </c>
      <c r="D9" s="18" t="s">
        <v>147</v>
      </c>
      <c r="E9" s="20">
        <v>6.9940000000000002E-3</v>
      </c>
      <c r="F9" s="5"/>
      <c r="G9" s="5" t="s">
        <v>58</v>
      </c>
      <c r="H9" s="56">
        <v>0</v>
      </c>
      <c r="I9" s="55">
        <f t="shared" ref="I9:I10" si="0">H9/SUM($H$8:$H$10)</f>
        <v>0</v>
      </c>
      <c r="J9" s="5" t="s">
        <v>42</v>
      </c>
      <c r="K9" s="35">
        <f>E35</f>
        <v>3.8963999999999999E-2</v>
      </c>
      <c r="L9" s="5"/>
      <c r="M9" s="5"/>
      <c r="N9" s="24"/>
      <c r="R9" s="59"/>
    </row>
    <row r="10" spans="2:18" x14ac:dyDescent="0.2">
      <c r="B10" s="112"/>
      <c r="C10" s="16" t="s">
        <v>169</v>
      </c>
      <c r="D10" s="18" t="s">
        <v>147</v>
      </c>
      <c r="E10" s="20">
        <v>6.9670000000000001E-3</v>
      </c>
      <c r="F10" s="35"/>
      <c r="G10" s="5" t="s">
        <v>49</v>
      </c>
      <c r="H10" s="56">
        <v>0</v>
      </c>
      <c r="I10" s="55">
        <f t="shared" si="0"/>
        <v>0</v>
      </c>
      <c r="J10" s="5" t="s">
        <v>116</v>
      </c>
      <c r="K10" s="35">
        <f>E24+E27+E29</f>
        <v>0.23806500000000003</v>
      </c>
      <c r="L10" s="5"/>
      <c r="M10" s="5"/>
      <c r="N10" s="24"/>
      <c r="R10" s="59"/>
    </row>
    <row r="11" spans="2:18" x14ac:dyDescent="0.2">
      <c r="B11" s="112"/>
      <c r="C11" s="16" t="s">
        <v>141</v>
      </c>
      <c r="D11" s="18" t="s">
        <v>4</v>
      </c>
      <c r="E11" s="20">
        <v>6.1720000000000004E-3</v>
      </c>
      <c r="F11" s="5"/>
      <c r="G11" s="5"/>
      <c r="H11" s="5"/>
      <c r="I11" s="5"/>
      <c r="J11" s="5" t="s">
        <v>20</v>
      </c>
      <c r="K11" s="35">
        <f>E48</f>
        <v>9.0711E-2</v>
      </c>
      <c r="L11" s="5"/>
      <c r="M11" s="5"/>
      <c r="N11" s="24"/>
      <c r="R11" s="59"/>
    </row>
    <row r="12" spans="2:18" ht="15.75" customHeight="1" x14ac:dyDescent="0.2">
      <c r="B12" s="112"/>
      <c r="C12" s="16" t="s">
        <v>105</v>
      </c>
      <c r="D12" s="18" t="s">
        <v>26</v>
      </c>
      <c r="E12" s="20">
        <v>6.0749999999999997E-3</v>
      </c>
      <c r="F12" s="35"/>
      <c r="G12" s="5"/>
      <c r="H12" s="35"/>
      <c r="I12" s="5"/>
      <c r="J12" s="5" t="s">
        <v>43</v>
      </c>
      <c r="K12" s="35">
        <f>E43</f>
        <v>0.55895400000000006</v>
      </c>
      <c r="L12" s="5"/>
      <c r="M12" s="5"/>
      <c r="N12" s="24"/>
      <c r="R12" s="59"/>
    </row>
    <row r="13" spans="2:18" x14ac:dyDescent="0.2">
      <c r="B13" s="112"/>
      <c r="C13" s="16" t="s">
        <v>182</v>
      </c>
      <c r="D13" s="18" t="s">
        <v>138</v>
      </c>
      <c r="E13" s="20">
        <v>5.6249999999999998E-3</v>
      </c>
      <c r="F13" s="35"/>
      <c r="G13" s="5"/>
      <c r="H13" s="5"/>
      <c r="I13" s="5"/>
      <c r="J13" s="5" t="s">
        <v>59</v>
      </c>
      <c r="K13" s="35">
        <f>E46</f>
        <v>7.3305999999999996E-2</v>
      </c>
      <c r="L13" s="5"/>
      <c r="M13" s="5"/>
      <c r="N13" s="24"/>
      <c r="R13" s="59"/>
    </row>
    <row r="14" spans="2:18" x14ac:dyDescent="0.2">
      <c r="B14" s="112"/>
      <c r="C14" s="16" t="s">
        <v>34</v>
      </c>
      <c r="D14" s="18" t="s">
        <v>137</v>
      </c>
      <c r="E14" s="20">
        <v>5.5640000000000004E-3</v>
      </c>
      <c r="F14" s="35"/>
      <c r="G14" s="5"/>
      <c r="H14" s="5"/>
      <c r="I14" s="5"/>
      <c r="L14" s="5"/>
      <c r="M14" s="5"/>
      <c r="N14" s="24"/>
      <c r="R14" s="59"/>
    </row>
    <row r="15" spans="2:18" x14ac:dyDescent="0.2">
      <c r="B15" s="112"/>
      <c r="C15" s="16" t="s">
        <v>205</v>
      </c>
      <c r="D15" s="18" t="s">
        <v>137</v>
      </c>
      <c r="E15" s="20">
        <v>5.5589999999999997E-3</v>
      </c>
      <c r="F15" s="5"/>
      <c r="G15" s="5"/>
      <c r="H15" s="5"/>
      <c r="I15" s="5"/>
      <c r="L15" s="5"/>
      <c r="M15" s="5"/>
      <c r="N15" s="24"/>
      <c r="R15" s="59"/>
    </row>
    <row r="16" spans="2:18" x14ac:dyDescent="0.2">
      <c r="B16" s="112"/>
      <c r="C16" s="16" t="s">
        <v>154</v>
      </c>
      <c r="D16" s="18" t="s">
        <v>100</v>
      </c>
      <c r="E16" s="20">
        <v>5.5339999999999999E-3</v>
      </c>
      <c r="F16" s="5"/>
      <c r="G16" s="5"/>
      <c r="H16" s="5"/>
      <c r="I16" s="5"/>
      <c r="J16" s="5"/>
      <c r="K16" s="5"/>
      <c r="L16" s="5"/>
      <c r="M16" s="5"/>
      <c r="N16" s="24"/>
      <c r="R16" s="59"/>
    </row>
    <row r="17" spans="2:22" x14ac:dyDescent="0.2">
      <c r="B17" s="112"/>
      <c r="C17" s="16" t="s">
        <v>214</v>
      </c>
      <c r="D17" s="18" t="s">
        <v>152</v>
      </c>
      <c r="E17" s="20">
        <v>5.5149999999999999E-3</v>
      </c>
      <c r="F17" s="5"/>
      <c r="G17" s="5"/>
      <c r="H17" s="5"/>
      <c r="I17" s="5"/>
      <c r="J17" s="5"/>
      <c r="K17" s="5"/>
      <c r="L17" s="5"/>
      <c r="M17" s="5"/>
      <c r="N17" s="24"/>
      <c r="R17" s="59"/>
    </row>
    <row r="18" spans="2:22" x14ac:dyDescent="0.2">
      <c r="B18" s="112"/>
      <c r="C18" s="16" t="s">
        <v>112</v>
      </c>
      <c r="D18" s="18" t="s">
        <v>100</v>
      </c>
      <c r="E18" s="20">
        <v>5.4320000000000002E-3</v>
      </c>
      <c r="F18" s="5"/>
      <c r="G18" s="5"/>
      <c r="H18" s="5"/>
      <c r="I18" s="5"/>
      <c r="J18" s="5"/>
      <c r="K18" s="5"/>
      <c r="L18" s="5"/>
      <c r="M18" s="5"/>
      <c r="N18" s="24"/>
      <c r="R18" s="59"/>
    </row>
    <row r="19" spans="2:22" x14ac:dyDescent="0.2">
      <c r="B19" s="112"/>
      <c r="C19" s="16" t="s">
        <v>167</v>
      </c>
      <c r="D19" s="18" t="s">
        <v>143</v>
      </c>
      <c r="E19" s="20">
        <v>5.4140000000000004E-3</v>
      </c>
      <c r="F19" s="5"/>
      <c r="G19" s="5"/>
      <c r="H19" s="5"/>
      <c r="I19" s="5"/>
      <c r="J19" s="5"/>
      <c r="K19" s="5"/>
      <c r="L19" s="5"/>
      <c r="M19" s="5"/>
      <c r="N19" s="24"/>
      <c r="R19" s="59"/>
    </row>
    <row r="20" spans="2:22" ht="15.75" customHeight="1" x14ac:dyDescent="0.25">
      <c r="B20" s="112"/>
      <c r="C20" s="16" t="s">
        <v>177</v>
      </c>
      <c r="D20" s="18" t="s">
        <v>26</v>
      </c>
      <c r="E20" s="20">
        <v>5.1500000000000001E-3</v>
      </c>
      <c r="F20" s="5"/>
      <c r="G20" s="240" t="s">
        <v>121</v>
      </c>
      <c r="H20" s="241"/>
      <c r="I20" s="241"/>
      <c r="J20" s="241"/>
      <c r="K20" s="241"/>
      <c r="L20" s="216">
        <v>2.7446100857523761</v>
      </c>
      <c r="M20" s="129"/>
      <c r="N20" s="130"/>
      <c r="R20" s="59"/>
    </row>
    <row r="21" spans="2:22" x14ac:dyDescent="0.2">
      <c r="B21" s="112"/>
      <c r="C21" s="16" t="s">
        <v>130</v>
      </c>
      <c r="D21" s="18" t="s">
        <v>16</v>
      </c>
      <c r="E21" s="20">
        <v>5.1089999999999998E-3</v>
      </c>
      <c r="F21" s="5"/>
      <c r="G21" s="5"/>
      <c r="H21" s="5"/>
      <c r="I21" s="5"/>
      <c r="J21" s="5"/>
      <c r="K21" s="5"/>
      <c r="L21" s="5"/>
      <c r="M21" s="5"/>
      <c r="N21" s="24"/>
      <c r="R21" s="59"/>
    </row>
    <row r="22" spans="2:22" x14ac:dyDescent="0.2">
      <c r="B22" s="112"/>
      <c r="C22" s="16" t="s">
        <v>191</v>
      </c>
      <c r="D22" s="18" t="s">
        <v>140</v>
      </c>
      <c r="E22" s="20">
        <v>4.9719999999999999E-3</v>
      </c>
      <c r="F22" s="5"/>
      <c r="G22" s="35"/>
      <c r="H22" s="35"/>
      <c r="I22" s="35"/>
      <c r="J22" s="5"/>
      <c r="K22" s="35"/>
      <c r="L22" s="5"/>
      <c r="M22" s="5"/>
      <c r="N22" s="24"/>
      <c r="R22" s="59"/>
    </row>
    <row r="23" spans="2:22" ht="15.75" customHeight="1" x14ac:dyDescent="0.2">
      <c r="B23" s="112"/>
      <c r="C23" s="22"/>
      <c r="D23" s="22"/>
      <c r="E23" s="43"/>
      <c r="F23" s="5"/>
      <c r="G23" s="222" t="s">
        <v>51</v>
      </c>
      <c r="H23" s="222"/>
      <c r="I23" s="222"/>
      <c r="J23" s="222"/>
      <c r="K23" s="222"/>
      <c r="L23" s="222"/>
      <c r="M23" s="222"/>
      <c r="N23" s="223"/>
      <c r="R23" s="59"/>
    </row>
    <row r="24" spans="2:22" ht="15.75" x14ac:dyDescent="0.2">
      <c r="B24" s="112"/>
      <c r="C24" s="140" t="s">
        <v>57</v>
      </c>
      <c r="D24" s="140"/>
      <c r="E24" s="141">
        <f>SUM(E8:E22)</f>
        <v>8.7339000000000014E-2</v>
      </c>
      <c r="F24" s="5"/>
      <c r="G24" s="5"/>
      <c r="H24" s="5"/>
      <c r="I24" s="5"/>
      <c r="J24" s="5"/>
      <c r="K24" s="5"/>
      <c r="L24" s="5"/>
      <c r="M24" s="5"/>
      <c r="N24" s="24"/>
      <c r="R24" s="59"/>
    </row>
    <row r="25" spans="2:22" x14ac:dyDescent="0.2">
      <c r="B25" s="112"/>
      <c r="C25" s="4"/>
      <c r="D25" s="4"/>
      <c r="E25" s="6"/>
      <c r="F25" s="5"/>
      <c r="G25" s="5"/>
      <c r="H25" s="5"/>
      <c r="I25" s="5"/>
      <c r="J25" s="5"/>
      <c r="K25" s="5"/>
      <c r="L25" s="5"/>
      <c r="M25" s="5"/>
      <c r="N25" s="24"/>
      <c r="R25" s="59"/>
    </row>
    <row r="26" spans="2:22" x14ac:dyDescent="0.2">
      <c r="B26" s="112"/>
      <c r="C26" s="4" t="s">
        <v>251</v>
      </c>
      <c r="D26" s="4"/>
      <c r="E26" s="6">
        <v>9.3044000000000002E-2</v>
      </c>
      <c r="F26" s="5"/>
      <c r="G26" s="5"/>
      <c r="H26" s="5"/>
      <c r="I26" s="5"/>
      <c r="J26" s="5"/>
      <c r="K26" s="5"/>
      <c r="L26" s="5"/>
      <c r="M26" s="5"/>
      <c r="N26" s="24"/>
      <c r="R26" s="59"/>
    </row>
    <row r="27" spans="2:22" ht="15.75" x14ac:dyDescent="0.2">
      <c r="B27" s="112"/>
      <c r="C27" s="131" t="s">
        <v>98</v>
      </c>
      <c r="D27" s="131"/>
      <c r="E27" s="132">
        <v>9.3044000000000002E-2</v>
      </c>
      <c r="F27" s="5"/>
      <c r="G27" s="5"/>
      <c r="H27" s="5"/>
      <c r="I27" s="5"/>
      <c r="J27" s="5"/>
      <c r="K27" s="5"/>
      <c r="L27" s="5"/>
      <c r="M27" s="5"/>
      <c r="N27" s="24"/>
      <c r="R27" s="59"/>
    </row>
    <row r="28" spans="2:22" s="58" customFormat="1" ht="15.75" x14ac:dyDescent="0.2">
      <c r="B28" s="133"/>
      <c r="C28" s="136"/>
      <c r="D28" s="136"/>
      <c r="E28" s="137"/>
      <c r="F28" s="47"/>
      <c r="G28" s="47"/>
      <c r="H28" s="47"/>
      <c r="I28" s="47"/>
      <c r="J28" s="47"/>
      <c r="K28" s="47"/>
      <c r="L28" s="47"/>
      <c r="M28" s="47"/>
      <c r="N28" s="134"/>
      <c r="R28" s="135"/>
    </row>
    <row r="29" spans="2:22" ht="15.75" x14ac:dyDescent="0.2">
      <c r="B29" s="112"/>
      <c r="C29" s="131" t="s">
        <v>70</v>
      </c>
      <c r="D29" s="131"/>
      <c r="E29" s="132">
        <v>5.7682000000000004E-2</v>
      </c>
      <c r="F29" s="5"/>
      <c r="G29" s="5"/>
      <c r="H29" s="5"/>
      <c r="I29" s="5"/>
      <c r="J29" s="5"/>
      <c r="K29" s="5"/>
      <c r="L29" s="5"/>
      <c r="M29" s="5"/>
      <c r="N29" s="24"/>
      <c r="R29" s="59"/>
      <c r="U29" s="3" t="s">
        <v>11</v>
      </c>
      <c r="V29" s="3">
        <v>1.1159000000000001E-2</v>
      </c>
    </row>
    <row r="30" spans="2:22" x14ac:dyDescent="0.2">
      <c r="B30" s="112"/>
      <c r="C30" s="42"/>
      <c r="D30" s="42"/>
      <c r="E30" s="76"/>
      <c r="F30" s="5"/>
      <c r="G30" s="5"/>
      <c r="H30" s="5"/>
      <c r="I30" s="5"/>
      <c r="J30" s="5"/>
      <c r="K30" s="5"/>
      <c r="L30" s="5"/>
      <c r="M30" s="5"/>
      <c r="N30" s="24"/>
      <c r="R30" s="59"/>
      <c r="U30" s="3" t="s">
        <v>18</v>
      </c>
      <c r="V30" s="3">
        <v>1.0543E-2</v>
      </c>
    </row>
    <row r="31" spans="2:22" x14ac:dyDescent="0.2">
      <c r="B31" s="112"/>
      <c r="C31" s="42"/>
      <c r="D31" s="42"/>
      <c r="E31" s="6"/>
      <c r="F31" s="5"/>
      <c r="G31" s="5"/>
      <c r="H31" s="5"/>
      <c r="I31" s="5"/>
      <c r="J31" s="5"/>
      <c r="K31" s="5"/>
      <c r="L31" s="5"/>
      <c r="M31" s="5"/>
      <c r="N31" s="24"/>
      <c r="R31" s="59"/>
    </row>
    <row r="32" spans="2:22" x14ac:dyDescent="0.2">
      <c r="B32" s="112"/>
      <c r="C32" s="42" t="s">
        <v>87</v>
      </c>
      <c r="D32" s="42" t="s">
        <v>65</v>
      </c>
      <c r="E32" s="76">
        <v>3.6791999999999998E-2</v>
      </c>
      <c r="F32" s="5"/>
      <c r="G32" s="5"/>
      <c r="H32" s="5"/>
      <c r="I32" s="5"/>
      <c r="J32" s="5"/>
      <c r="K32" s="5"/>
      <c r="L32" s="5"/>
      <c r="M32" s="5"/>
      <c r="N32" s="24"/>
      <c r="R32" s="59"/>
    </row>
    <row r="33" spans="1:18" x14ac:dyDescent="0.2">
      <c r="B33" s="112"/>
      <c r="C33" s="42" t="s">
        <v>78</v>
      </c>
      <c r="D33" s="42" t="s">
        <v>65</v>
      </c>
      <c r="E33" s="6">
        <v>2.16E-3</v>
      </c>
      <c r="F33" s="5"/>
      <c r="G33" s="5"/>
      <c r="H33" s="5"/>
      <c r="I33" s="5"/>
      <c r="J33" s="5"/>
      <c r="K33" s="5"/>
      <c r="L33" s="5"/>
      <c r="M33" s="5"/>
      <c r="N33" s="24"/>
      <c r="R33" s="59"/>
    </row>
    <row r="34" spans="1:18" x14ac:dyDescent="0.2">
      <c r="B34" s="112"/>
      <c r="C34" s="42" t="s">
        <v>104</v>
      </c>
      <c r="D34" s="42" t="s">
        <v>65</v>
      </c>
      <c r="E34" s="76">
        <v>1.2E-5</v>
      </c>
      <c r="F34" s="5"/>
      <c r="G34" s="5"/>
      <c r="H34" s="5"/>
      <c r="I34" s="5"/>
      <c r="J34" s="5"/>
      <c r="K34" s="5"/>
      <c r="L34" s="5"/>
      <c r="M34" s="5"/>
      <c r="N34" s="24"/>
      <c r="R34" s="59"/>
    </row>
    <row r="35" spans="1:18" ht="15.75" x14ac:dyDescent="0.2">
      <c r="B35" s="112"/>
      <c r="C35" s="131" t="s">
        <v>50</v>
      </c>
      <c r="D35" s="131"/>
      <c r="E35" s="132">
        <f>SUM(E31:E34)</f>
        <v>3.8963999999999999E-2</v>
      </c>
      <c r="F35" s="5"/>
      <c r="G35" s="5"/>
      <c r="H35" s="5"/>
      <c r="I35" s="5"/>
      <c r="J35" s="5"/>
      <c r="K35" s="5"/>
      <c r="L35" s="5"/>
      <c r="M35" s="5"/>
      <c r="N35" s="24"/>
      <c r="R35" s="59"/>
    </row>
    <row r="36" spans="1:18" x14ac:dyDescent="0.2">
      <c r="B36" s="112"/>
      <c r="C36" s="4"/>
      <c r="D36" s="4"/>
      <c r="E36" s="6"/>
      <c r="F36" s="5"/>
      <c r="G36" s="5"/>
      <c r="H36" s="5"/>
      <c r="I36" s="5"/>
      <c r="J36" s="5"/>
      <c r="K36" s="5"/>
      <c r="L36" s="5"/>
      <c r="M36" s="5"/>
      <c r="N36" s="24"/>
      <c r="R36" s="59"/>
    </row>
    <row r="37" spans="1:18" x14ac:dyDescent="0.2">
      <c r="B37" s="112"/>
      <c r="C37" s="42" t="s">
        <v>106</v>
      </c>
      <c r="D37" s="42" t="s">
        <v>63</v>
      </c>
      <c r="E37" s="6">
        <v>0.41612100000000002</v>
      </c>
      <c r="F37" s="5"/>
      <c r="G37" s="5"/>
      <c r="H37" s="5"/>
      <c r="I37" s="5"/>
      <c r="J37" s="5"/>
      <c r="K37" s="5"/>
      <c r="L37" s="5"/>
      <c r="M37" s="5"/>
      <c r="N37" s="24"/>
      <c r="R37" s="59"/>
    </row>
    <row r="38" spans="1:18" x14ac:dyDescent="0.2">
      <c r="B38" s="112"/>
      <c r="C38" s="42" t="s">
        <v>71</v>
      </c>
      <c r="D38" s="42" t="s">
        <v>63</v>
      </c>
      <c r="E38" s="6">
        <v>3.7416999999999999E-2</v>
      </c>
      <c r="F38" s="5"/>
      <c r="G38" s="5"/>
      <c r="H38" s="5"/>
      <c r="I38" s="5"/>
      <c r="J38" s="5"/>
      <c r="K38" s="5"/>
      <c r="L38" s="5"/>
      <c r="M38" s="5"/>
      <c r="N38" s="24"/>
      <c r="R38" s="59"/>
    </row>
    <row r="39" spans="1:18" x14ac:dyDescent="0.2">
      <c r="B39" s="112"/>
      <c r="C39" s="42" t="s">
        <v>127</v>
      </c>
      <c r="D39" s="42" t="s">
        <v>63</v>
      </c>
      <c r="E39" s="6">
        <v>3.7349E-2</v>
      </c>
      <c r="F39" s="5"/>
      <c r="G39" s="5"/>
      <c r="H39" s="5"/>
      <c r="I39" s="5"/>
      <c r="J39" s="5"/>
      <c r="K39" s="5"/>
      <c r="L39" s="5"/>
      <c r="M39" s="5"/>
      <c r="N39" s="24"/>
      <c r="R39" s="59"/>
    </row>
    <row r="40" spans="1:18" x14ac:dyDescent="0.2">
      <c r="B40" s="112"/>
      <c r="C40" s="42" t="s">
        <v>80</v>
      </c>
      <c r="D40" s="42" t="s">
        <v>63</v>
      </c>
      <c r="E40" s="6">
        <v>2.4483999999999999E-2</v>
      </c>
      <c r="F40" s="5"/>
      <c r="G40" s="5"/>
      <c r="H40" s="5"/>
      <c r="I40" s="5"/>
      <c r="J40" s="5"/>
      <c r="K40" s="5"/>
      <c r="L40" s="5"/>
      <c r="M40" s="5"/>
      <c r="N40" s="24"/>
      <c r="R40" s="59"/>
    </row>
    <row r="41" spans="1:18" x14ac:dyDescent="0.2">
      <c r="B41" s="112"/>
      <c r="C41" s="42" t="s">
        <v>84</v>
      </c>
      <c r="D41" s="42" t="s">
        <v>63</v>
      </c>
      <c r="E41" s="6">
        <v>2.4235E-2</v>
      </c>
      <c r="F41" s="5"/>
      <c r="G41" s="5"/>
      <c r="H41" s="5"/>
      <c r="I41" s="5"/>
      <c r="J41" s="5"/>
      <c r="K41" s="5"/>
      <c r="L41" s="5"/>
      <c r="M41" s="5"/>
      <c r="N41" s="24"/>
      <c r="R41" s="59"/>
    </row>
    <row r="42" spans="1:18" x14ac:dyDescent="0.2">
      <c r="B42" s="112"/>
      <c r="C42" s="42" t="s">
        <v>126</v>
      </c>
      <c r="D42" s="42" t="s">
        <v>63</v>
      </c>
      <c r="E42" s="6">
        <v>1.9348000000000001E-2</v>
      </c>
      <c r="F42" s="5"/>
      <c r="G42" s="5"/>
      <c r="H42" s="5"/>
      <c r="I42" s="5"/>
      <c r="J42" s="5"/>
      <c r="K42" s="5"/>
      <c r="L42" s="5"/>
      <c r="M42" s="5"/>
      <c r="N42" s="24"/>
      <c r="R42" s="59"/>
    </row>
    <row r="43" spans="1:18" ht="15.75" x14ac:dyDescent="0.2">
      <c r="B43" s="112"/>
      <c r="C43" s="131" t="s">
        <v>43</v>
      </c>
      <c r="D43" s="131"/>
      <c r="E43" s="132">
        <f>SUM(E37:E42)</f>
        <v>0.55895400000000006</v>
      </c>
      <c r="F43" s="5"/>
      <c r="G43" s="53"/>
      <c r="H43" s="5"/>
      <c r="I43" s="5"/>
      <c r="J43" s="5"/>
      <c r="K43" s="5"/>
      <c r="L43" s="5"/>
      <c r="M43" s="5"/>
      <c r="N43" s="24"/>
      <c r="R43" s="59"/>
    </row>
    <row r="44" spans="1:18" x14ac:dyDescent="0.2">
      <c r="B44" s="112"/>
      <c r="C44" s="42"/>
      <c r="D44" s="42"/>
      <c r="E44" s="42"/>
      <c r="F44" s="5"/>
      <c r="G44" s="5"/>
      <c r="H44" s="5"/>
      <c r="I44" s="5"/>
      <c r="J44" s="5"/>
      <c r="K44" s="5"/>
      <c r="L44" s="5"/>
      <c r="M44" s="5"/>
      <c r="N44" s="24"/>
      <c r="R44" s="59"/>
    </row>
    <row r="45" spans="1:18" x14ac:dyDescent="0.2">
      <c r="A45" s="5"/>
      <c r="B45" s="112"/>
      <c r="C45" s="42" t="s">
        <v>125</v>
      </c>
      <c r="D45" s="42" t="s">
        <v>63</v>
      </c>
      <c r="E45" s="6">
        <v>7.3305999999999996E-2</v>
      </c>
      <c r="F45" s="5"/>
      <c r="J45" s="5"/>
      <c r="K45" s="5"/>
      <c r="L45" s="5"/>
      <c r="M45" s="5"/>
      <c r="N45" s="24"/>
      <c r="O45" s="5"/>
      <c r="R45" s="59"/>
    </row>
    <row r="46" spans="1:18" ht="15.75" x14ac:dyDescent="0.2">
      <c r="A46" s="5"/>
      <c r="B46" s="112"/>
      <c r="C46" s="131" t="s">
        <v>59</v>
      </c>
      <c r="D46" s="131"/>
      <c r="E46" s="132">
        <v>7.3305999999999996E-2</v>
      </c>
      <c r="F46" s="5"/>
      <c r="G46" s="5"/>
      <c r="H46" s="5"/>
      <c r="I46" s="5"/>
      <c r="J46" s="5"/>
      <c r="K46" s="5"/>
      <c r="L46" s="5"/>
      <c r="M46" s="5"/>
      <c r="N46" s="24"/>
      <c r="O46" s="5"/>
      <c r="R46" s="59"/>
    </row>
    <row r="47" spans="1:18" x14ac:dyDescent="0.2">
      <c r="A47" s="5"/>
      <c r="B47" s="112"/>
      <c r="C47" s="4"/>
      <c r="D47" s="4"/>
      <c r="E47" s="6"/>
      <c r="F47" s="5"/>
      <c r="G47" s="5"/>
      <c r="H47" s="5"/>
      <c r="I47" s="5"/>
      <c r="J47" s="5"/>
      <c r="K47" s="5"/>
      <c r="L47" s="5"/>
      <c r="M47" s="5"/>
      <c r="N47" s="24"/>
      <c r="O47" s="5"/>
      <c r="R47" s="59"/>
    </row>
    <row r="48" spans="1:18" ht="15.75" x14ac:dyDescent="0.2">
      <c r="A48" s="5"/>
      <c r="B48" s="112"/>
      <c r="C48" s="131" t="s">
        <v>20</v>
      </c>
      <c r="D48" s="131"/>
      <c r="E48" s="132">
        <v>9.0711E-2</v>
      </c>
      <c r="F48" s="5"/>
      <c r="G48" s="5"/>
      <c r="H48" s="5"/>
      <c r="I48" s="5"/>
      <c r="J48" s="5"/>
      <c r="K48" s="5"/>
      <c r="L48" s="5"/>
      <c r="M48" s="5"/>
      <c r="N48" s="24"/>
      <c r="O48" s="5"/>
      <c r="R48" s="59"/>
    </row>
    <row r="49" spans="1:18" x14ac:dyDescent="0.2">
      <c r="A49" s="5"/>
      <c r="B49" s="112"/>
      <c r="C49" s="4"/>
      <c r="D49" s="4"/>
      <c r="E49" s="36"/>
      <c r="F49" s="5"/>
      <c r="G49" s="5"/>
      <c r="H49" s="5"/>
      <c r="I49" s="5"/>
      <c r="J49" s="5"/>
      <c r="K49" s="5"/>
      <c r="L49" s="5"/>
      <c r="M49" s="5"/>
      <c r="N49" s="24"/>
      <c r="O49" s="5"/>
      <c r="R49" s="59"/>
    </row>
    <row r="50" spans="1:18" ht="15.75" x14ac:dyDescent="0.2">
      <c r="A50" s="5"/>
      <c r="B50" s="112"/>
      <c r="C50" s="138" t="s">
        <v>21</v>
      </c>
      <c r="D50" s="138"/>
      <c r="E50" s="139">
        <f>E48+E46+E43+E35+E29+E27+E24</f>
        <v>1</v>
      </c>
      <c r="F50" s="5"/>
      <c r="G50" s="5"/>
      <c r="H50" s="5"/>
      <c r="I50" s="5"/>
      <c r="J50" s="5"/>
      <c r="K50" s="5"/>
      <c r="L50" s="5"/>
      <c r="M50" s="5"/>
      <c r="N50" s="24"/>
      <c r="O50" s="5"/>
      <c r="R50" s="59"/>
    </row>
    <row r="51" spans="1:18" x14ac:dyDescent="0.2">
      <c r="A51" s="5"/>
      <c r="B51" s="112"/>
      <c r="F51" s="5"/>
      <c r="G51" s="5"/>
      <c r="H51" s="5"/>
      <c r="I51" s="5"/>
      <c r="J51" s="5"/>
      <c r="K51" s="5"/>
      <c r="L51" s="5"/>
      <c r="M51" s="5"/>
      <c r="N51" s="24"/>
      <c r="O51" s="5"/>
      <c r="R51" s="59"/>
    </row>
    <row r="52" spans="1:18" ht="15.75" thickBot="1" x14ac:dyDescent="0.25">
      <c r="A52" s="5"/>
      <c r="B52" s="116"/>
      <c r="C52" s="66"/>
      <c r="D52" s="66"/>
      <c r="E52" s="67"/>
      <c r="F52" s="54"/>
      <c r="G52" s="54"/>
      <c r="H52" s="54"/>
      <c r="I52" s="54"/>
      <c r="J52" s="54"/>
      <c r="K52" s="54"/>
      <c r="L52" s="54"/>
      <c r="M52" s="54"/>
      <c r="N52" s="142"/>
      <c r="O52" s="5"/>
      <c r="R52" s="59"/>
    </row>
    <row r="53" spans="1:18" ht="15.75" thickBot="1" x14ac:dyDescent="0.25">
      <c r="R53" s="59"/>
    </row>
    <row r="54" spans="1:18" x14ac:dyDescent="0.2">
      <c r="B54" s="226" t="s">
        <v>254</v>
      </c>
      <c r="C54" s="227"/>
      <c r="D54" s="227"/>
      <c r="E54" s="227"/>
      <c r="F54" s="227"/>
      <c r="G54" s="227"/>
      <c r="H54" s="227"/>
      <c r="I54" s="227"/>
      <c r="J54" s="227"/>
      <c r="K54" s="227"/>
      <c r="L54" s="227"/>
      <c r="M54" s="227"/>
      <c r="N54" s="227"/>
      <c r="O54" s="228"/>
      <c r="R54" s="59"/>
    </row>
    <row r="55" spans="1:18" x14ac:dyDescent="0.2">
      <c r="B55" s="229"/>
      <c r="C55" s="230"/>
      <c r="D55" s="230"/>
      <c r="E55" s="230"/>
      <c r="F55" s="230"/>
      <c r="G55" s="230"/>
      <c r="H55" s="230"/>
      <c r="I55" s="230"/>
      <c r="J55" s="230"/>
      <c r="K55" s="230"/>
      <c r="L55" s="230"/>
      <c r="M55" s="230"/>
      <c r="N55" s="230"/>
      <c r="O55" s="231"/>
      <c r="R55" s="59"/>
    </row>
    <row r="56" spans="1:18" x14ac:dyDescent="0.2">
      <c r="B56" s="229"/>
      <c r="C56" s="230"/>
      <c r="D56" s="230"/>
      <c r="E56" s="230"/>
      <c r="F56" s="230"/>
      <c r="G56" s="230"/>
      <c r="H56" s="230"/>
      <c r="I56" s="230"/>
      <c r="J56" s="230"/>
      <c r="K56" s="230"/>
      <c r="L56" s="230"/>
      <c r="M56" s="230"/>
      <c r="N56" s="230"/>
      <c r="O56" s="231"/>
      <c r="R56" s="59"/>
    </row>
    <row r="57" spans="1:18" x14ac:dyDescent="0.2">
      <c r="B57" s="229"/>
      <c r="C57" s="230"/>
      <c r="D57" s="230"/>
      <c r="E57" s="230"/>
      <c r="F57" s="230"/>
      <c r="G57" s="230"/>
      <c r="H57" s="230"/>
      <c r="I57" s="230"/>
      <c r="J57" s="230"/>
      <c r="K57" s="230"/>
      <c r="L57" s="230"/>
      <c r="M57" s="230"/>
      <c r="N57" s="230"/>
      <c r="O57" s="231"/>
      <c r="R57" s="59"/>
    </row>
    <row r="58" spans="1:18" x14ac:dyDescent="0.2">
      <c r="B58" s="229"/>
      <c r="C58" s="230"/>
      <c r="D58" s="230"/>
      <c r="E58" s="230"/>
      <c r="F58" s="230"/>
      <c r="G58" s="230"/>
      <c r="H58" s="230"/>
      <c r="I58" s="230"/>
      <c r="J58" s="230"/>
      <c r="K58" s="230"/>
      <c r="L58" s="230"/>
      <c r="M58" s="230"/>
      <c r="N58" s="230"/>
      <c r="O58" s="231"/>
      <c r="R58" s="59"/>
    </row>
    <row r="59" spans="1:18" x14ac:dyDescent="0.2">
      <c r="B59" s="229"/>
      <c r="C59" s="230"/>
      <c r="D59" s="230"/>
      <c r="E59" s="230"/>
      <c r="F59" s="230"/>
      <c r="G59" s="230"/>
      <c r="H59" s="230"/>
      <c r="I59" s="230"/>
      <c r="J59" s="230"/>
      <c r="K59" s="230"/>
      <c r="L59" s="230"/>
      <c r="M59" s="230"/>
      <c r="N59" s="230"/>
      <c r="O59" s="231"/>
      <c r="R59" s="59"/>
    </row>
    <row r="60" spans="1:18" ht="15.75" thickBot="1" x14ac:dyDescent="0.25">
      <c r="B60" s="232"/>
      <c r="C60" s="233"/>
      <c r="D60" s="233"/>
      <c r="E60" s="233"/>
      <c r="F60" s="233"/>
      <c r="G60" s="233"/>
      <c r="H60" s="233"/>
      <c r="I60" s="233"/>
      <c r="J60" s="233"/>
      <c r="K60" s="233"/>
      <c r="L60" s="233"/>
      <c r="M60" s="233"/>
      <c r="N60" s="233"/>
      <c r="O60" s="234"/>
      <c r="R60" s="59"/>
    </row>
    <row r="61" spans="1:18" x14ac:dyDescent="0.2">
      <c r="R61" s="59"/>
    </row>
    <row r="62" spans="1:18" x14ac:dyDescent="0.2">
      <c r="R62" s="59"/>
    </row>
    <row r="63" spans="1:18" x14ac:dyDescent="0.2">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sheetData>
  <sortState ref="C37:E42">
    <sortCondition descending="1" ref="E37"/>
  </sortState>
  <mergeCells count="6">
    <mergeCell ref="B54:O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6"/>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20" t="s">
        <v>232</v>
      </c>
      <c r="D3" s="220"/>
      <c r="E3" s="220"/>
      <c r="F3" s="220"/>
      <c r="G3" s="220"/>
      <c r="H3" s="220"/>
      <c r="I3" s="220"/>
      <c r="J3" s="220"/>
      <c r="K3" s="220"/>
      <c r="L3" s="220"/>
      <c r="M3" s="220"/>
      <c r="N3" s="221"/>
    </row>
    <row r="4" spans="2:18" ht="15.75" x14ac:dyDescent="0.25">
      <c r="B4" s="112"/>
      <c r="C4" s="85" t="s">
        <v>273</v>
      </c>
      <c r="D4" s="33"/>
      <c r="E4" s="33"/>
      <c r="F4" s="5"/>
      <c r="G4" s="5"/>
      <c r="H4" s="5"/>
      <c r="I4" s="5"/>
      <c r="J4" s="5"/>
      <c r="K4" s="5"/>
      <c r="L4" s="5"/>
      <c r="M4" s="5"/>
      <c r="N4" s="24"/>
    </row>
    <row r="5" spans="2:18" ht="20.25" customHeight="1" x14ac:dyDescent="0.2">
      <c r="B5" s="112"/>
      <c r="C5" s="86" t="s">
        <v>274</v>
      </c>
      <c r="D5" s="237" t="s">
        <v>291</v>
      </c>
      <c r="E5" s="237"/>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44</v>
      </c>
      <c r="D7" s="114" t="s">
        <v>45</v>
      </c>
      <c r="E7" s="114" t="s">
        <v>46</v>
      </c>
      <c r="F7" s="5"/>
      <c r="G7" s="222" t="s">
        <v>47</v>
      </c>
      <c r="H7" s="222"/>
      <c r="I7" s="222"/>
      <c r="J7" s="222"/>
      <c r="K7" s="222"/>
      <c r="L7" s="222"/>
      <c r="M7" s="222"/>
      <c r="N7" s="223"/>
    </row>
    <row r="8" spans="2:18" x14ac:dyDescent="0.2">
      <c r="B8" s="112"/>
      <c r="C8" s="124" t="s">
        <v>33</v>
      </c>
      <c r="D8" s="125" t="s">
        <v>3</v>
      </c>
      <c r="E8" s="126">
        <v>6.0465999999999999E-2</v>
      </c>
      <c r="F8" s="5"/>
      <c r="G8" s="47" t="s">
        <v>48</v>
      </c>
      <c r="H8" s="48">
        <v>1</v>
      </c>
      <c r="I8" s="50">
        <f>H8/SUM($H$8:$H$10)</f>
        <v>1</v>
      </c>
      <c r="J8" s="5"/>
      <c r="K8" s="35"/>
      <c r="L8" s="5"/>
      <c r="M8" s="5"/>
      <c r="N8" s="24"/>
      <c r="R8" s="59"/>
    </row>
    <row r="9" spans="2:18" ht="15.75" customHeight="1" x14ac:dyDescent="0.2">
      <c r="B9" s="112"/>
      <c r="C9" s="127" t="s">
        <v>29</v>
      </c>
      <c r="D9" s="42" t="s">
        <v>3</v>
      </c>
      <c r="E9" s="44">
        <v>5.5853E-2</v>
      </c>
      <c r="F9" s="5"/>
      <c r="G9" s="47" t="s">
        <v>58</v>
      </c>
      <c r="H9" s="51">
        <v>0</v>
      </c>
      <c r="I9" s="50">
        <f>H9/SUM($H$8:$H$10)</f>
        <v>0</v>
      </c>
      <c r="J9" s="5" t="s">
        <v>42</v>
      </c>
      <c r="K9" s="35">
        <f>E30</f>
        <v>6.0229000000000005E-2</v>
      </c>
      <c r="L9" s="5"/>
      <c r="M9" s="5"/>
      <c r="N9" s="24"/>
      <c r="R9" s="59"/>
    </row>
    <row r="10" spans="2:18" x14ac:dyDescent="0.2">
      <c r="B10" s="112"/>
      <c r="C10" s="127" t="s">
        <v>32</v>
      </c>
      <c r="D10" s="42" t="s">
        <v>6</v>
      </c>
      <c r="E10" s="44">
        <v>4.6209E-2</v>
      </c>
      <c r="F10" s="35"/>
      <c r="G10" s="47" t="s">
        <v>49</v>
      </c>
      <c r="H10" s="51">
        <v>0</v>
      </c>
      <c r="I10" s="50">
        <f>H10/SUM($H$8:$H$10)</f>
        <v>0</v>
      </c>
      <c r="J10" s="5" t="s">
        <v>183</v>
      </c>
      <c r="K10" s="35">
        <f>E24+E26</f>
        <v>0.75983000000000001</v>
      </c>
      <c r="L10" s="5"/>
      <c r="M10" s="5"/>
      <c r="N10" s="24"/>
      <c r="R10" s="59"/>
    </row>
    <row r="11" spans="2:18" x14ac:dyDescent="0.2">
      <c r="B11" s="112"/>
      <c r="C11" s="127" t="s">
        <v>28</v>
      </c>
      <c r="D11" s="42" t="s">
        <v>137</v>
      </c>
      <c r="E11" s="44">
        <v>3.2051000000000003E-2</v>
      </c>
      <c r="F11" s="5"/>
      <c r="G11" s="5"/>
      <c r="H11" s="5"/>
      <c r="I11" s="5"/>
      <c r="J11" s="5" t="s">
        <v>69</v>
      </c>
      <c r="K11" s="35">
        <f>E33</f>
        <v>4.4012000000000003E-2</v>
      </c>
      <c r="L11" s="5"/>
      <c r="M11" s="5"/>
      <c r="N11" s="24"/>
      <c r="R11" s="59"/>
    </row>
    <row r="12" spans="2:18" ht="15.75" customHeight="1" x14ac:dyDescent="0.2">
      <c r="B12" s="112"/>
      <c r="C12" s="127" t="s">
        <v>37</v>
      </c>
      <c r="D12" s="42" t="s">
        <v>3</v>
      </c>
      <c r="E12" s="44">
        <v>2.3203000000000001E-2</v>
      </c>
      <c r="F12" s="35"/>
      <c r="G12" s="5"/>
      <c r="H12" s="35"/>
      <c r="I12" s="5"/>
      <c r="J12" s="5" t="s">
        <v>20</v>
      </c>
      <c r="K12" s="35">
        <f>E43</f>
        <v>1.4296E-2</v>
      </c>
      <c r="L12" s="5"/>
      <c r="M12" s="5"/>
      <c r="N12" s="24"/>
      <c r="R12" s="59"/>
    </row>
    <row r="13" spans="2:18" x14ac:dyDescent="0.2">
      <c r="B13" s="112"/>
      <c r="C13" s="127" t="s">
        <v>95</v>
      </c>
      <c r="D13" s="42" t="s">
        <v>3</v>
      </c>
      <c r="E13" s="44">
        <v>2.2526000000000001E-2</v>
      </c>
      <c r="F13" s="35"/>
      <c r="G13" s="5"/>
      <c r="H13" s="5"/>
      <c r="I13" s="5"/>
      <c r="J13" s="5" t="s">
        <v>43</v>
      </c>
      <c r="K13" s="35">
        <f>E41</f>
        <v>0.12163299999999999</v>
      </c>
      <c r="L13" s="5"/>
      <c r="M13" s="5"/>
      <c r="N13" s="24"/>
      <c r="R13" s="59"/>
    </row>
    <row r="14" spans="2:18" x14ac:dyDescent="0.2">
      <c r="B14" s="112"/>
      <c r="C14" s="127" t="s">
        <v>35</v>
      </c>
      <c r="D14" s="42" t="s">
        <v>23</v>
      </c>
      <c r="E14" s="44">
        <v>2.2173999999999999E-2</v>
      </c>
      <c r="F14" s="35"/>
      <c r="G14" s="5"/>
      <c r="H14" s="5"/>
      <c r="I14" s="5"/>
      <c r="J14" s="5"/>
      <c r="K14" s="35"/>
      <c r="L14" s="5"/>
      <c r="M14" s="5"/>
      <c r="N14" s="24"/>
      <c r="R14" s="59"/>
    </row>
    <row r="15" spans="2:18" x14ac:dyDescent="0.2">
      <c r="B15" s="112"/>
      <c r="C15" s="127" t="s">
        <v>77</v>
      </c>
      <c r="D15" s="42" t="s">
        <v>12</v>
      </c>
      <c r="E15" s="44">
        <v>1.8516999999999999E-2</v>
      </c>
      <c r="F15" s="5"/>
      <c r="G15" s="5"/>
      <c r="H15" s="5"/>
      <c r="I15" s="5"/>
      <c r="J15" s="5"/>
      <c r="K15" s="35"/>
      <c r="L15" s="5"/>
      <c r="M15" s="5"/>
      <c r="N15" s="24"/>
      <c r="R15" s="59"/>
    </row>
    <row r="16" spans="2:18" x14ac:dyDescent="0.2">
      <c r="B16" s="112"/>
      <c r="C16" s="127" t="s">
        <v>30</v>
      </c>
      <c r="D16" s="42" t="s">
        <v>4</v>
      </c>
      <c r="E16" s="44">
        <v>1.7558000000000001E-2</v>
      </c>
      <c r="F16" s="5"/>
      <c r="G16" s="5"/>
      <c r="H16" s="5"/>
      <c r="I16" s="5"/>
      <c r="J16" s="5"/>
      <c r="K16" s="5"/>
      <c r="L16" s="5"/>
      <c r="M16" s="5"/>
      <c r="N16" s="24"/>
      <c r="R16" s="59"/>
    </row>
    <row r="17" spans="2:18" x14ac:dyDescent="0.2">
      <c r="B17" s="112"/>
      <c r="C17" s="127" t="s">
        <v>170</v>
      </c>
      <c r="D17" s="128" t="s">
        <v>3</v>
      </c>
      <c r="E17" s="44">
        <v>1.5810999999999999E-2</v>
      </c>
      <c r="F17" s="5"/>
      <c r="G17" s="5"/>
      <c r="H17" s="5"/>
      <c r="I17" s="5"/>
      <c r="J17" s="5"/>
      <c r="K17" s="5"/>
      <c r="L17" s="5"/>
      <c r="M17" s="5"/>
      <c r="N17" s="24"/>
      <c r="R17" s="59"/>
    </row>
    <row r="18" spans="2:18" x14ac:dyDescent="0.2">
      <c r="B18" s="112"/>
      <c r="C18" s="127" t="s">
        <v>34</v>
      </c>
      <c r="D18" s="42" t="s">
        <v>137</v>
      </c>
      <c r="E18" s="44">
        <v>1.5740000000000001E-2</v>
      </c>
      <c r="F18" s="5"/>
      <c r="G18" s="5"/>
      <c r="H18" s="5"/>
      <c r="I18" s="5"/>
      <c r="J18" s="5"/>
      <c r="K18" s="5"/>
      <c r="L18" s="5"/>
      <c r="M18" s="5"/>
      <c r="N18" s="24"/>
      <c r="R18" s="59"/>
    </row>
    <row r="19" spans="2:18" x14ac:dyDescent="0.2">
      <c r="B19" s="112"/>
      <c r="C19" s="127" t="s">
        <v>154</v>
      </c>
      <c r="D19" s="42" t="s">
        <v>100</v>
      </c>
      <c r="E19" s="44">
        <v>1.5727000000000001E-2</v>
      </c>
      <c r="F19" s="5"/>
      <c r="G19" s="5"/>
      <c r="H19" s="5"/>
      <c r="I19" s="5"/>
      <c r="J19" s="5"/>
      <c r="K19" s="5"/>
      <c r="L19" s="5"/>
      <c r="M19" s="5"/>
      <c r="N19" s="24"/>
      <c r="R19" s="59"/>
    </row>
    <row r="20" spans="2:18" ht="15.75" customHeight="1" x14ac:dyDescent="0.25">
      <c r="B20" s="112"/>
      <c r="C20" s="127" t="s">
        <v>205</v>
      </c>
      <c r="D20" s="42" t="s">
        <v>137</v>
      </c>
      <c r="E20" s="44">
        <v>1.5712E-2</v>
      </c>
      <c r="F20" s="5"/>
      <c r="G20" s="240" t="s">
        <v>121</v>
      </c>
      <c r="H20" s="241"/>
      <c r="I20" s="241"/>
      <c r="J20" s="241"/>
      <c r="K20" s="241"/>
      <c r="L20" s="216">
        <v>1.8830950038866077</v>
      </c>
      <c r="M20" s="129"/>
      <c r="N20" s="212"/>
      <c r="R20" s="59"/>
    </row>
    <row r="21" spans="2:18" x14ac:dyDescent="0.2">
      <c r="B21" s="112"/>
      <c r="C21" s="127" t="s">
        <v>38</v>
      </c>
      <c r="D21" s="42" t="s">
        <v>148</v>
      </c>
      <c r="E21" s="44">
        <v>1.5618999999999999E-2</v>
      </c>
      <c r="F21" s="5"/>
      <c r="G21" s="5"/>
      <c r="H21" s="5"/>
      <c r="I21" s="5"/>
      <c r="J21" s="5"/>
      <c r="K21" s="5"/>
      <c r="L21" s="5"/>
      <c r="M21" s="5"/>
      <c r="N21" s="24"/>
      <c r="R21" s="59"/>
    </row>
    <row r="22" spans="2:18" x14ac:dyDescent="0.2">
      <c r="B22" s="112"/>
      <c r="C22" s="127" t="s">
        <v>261</v>
      </c>
      <c r="D22" s="42" t="s">
        <v>153</v>
      </c>
      <c r="E22" s="44">
        <v>1.5285E-2</v>
      </c>
      <c r="F22" s="5"/>
      <c r="G22" s="35"/>
      <c r="H22" s="35"/>
      <c r="I22" s="35"/>
      <c r="J22" s="5"/>
      <c r="K22" s="35"/>
      <c r="L22" s="5"/>
      <c r="M22" s="5"/>
      <c r="N22" s="24"/>
      <c r="R22" s="59"/>
    </row>
    <row r="23" spans="2:18" ht="15.75" customHeight="1" x14ac:dyDescent="0.2">
      <c r="B23" s="112"/>
      <c r="C23" s="42"/>
      <c r="D23" s="4"/>
      <c r="E23" s="6"/>
      <c r="F23" s="5"/>
      <c r="G23" s="222" t="s">
        <v>51</v>
      </c>
      <c r="H23" s="222"/>
      <c r="I23" s="222"/>
      <c r="J23" s="222"/>
      <c r="K23" s="222"/>
      <c r="L23" s="222"/>
      <c r="M23" s="222"/>
      <c r="N23" s="223"/>
      <c r="R23" s="59"/>
    </row>
    <row r="24" spans="2:18" ht="15.75" x14ac:dyDescent="0.2">
      <c r="B24" s="112"/>
      <c r="C24" s="131" t="s">
        <v>57</v>
      </c>
      <c r="D24" s="131"/>
      <c r="E24" s="132">
        <f>SUM(E8:E22)</f>
        <v>0.39245099999999999</v>
      </c>
      <c r="F24" s="5"/>
      <c r="G24" s="5"/>
      <c r="H24" s="5"/>
      <c r="I24" s="5"/>
      <c r="J24" s="5"/>
      <c r="K24" s="5"/>
      <c r="L24" s="5"/>
      <c r="M24" s="5"/>
      <c r="N24" s="24"/>
      <c r="R24" s="59"/>
    </row>
    <row r="25" spans="2:18" x14ac:dyDescent="0.2">
      <c r="B25" s="112"/>
      <c r="C25" s="4"/>
      <c r="D25" s="4"/>
      <c r="E25" s="6"/>
      <c r="F25" s="5"/>
      <c r="G25" s="5"/>
      <c r="H25" s="5"/>
      <c r="I25" s="5"/>
      <c r="J25" s="5"/>
      <c r="K25" s="5"/>
      <c r="L25" s="5"/>
      <c r="M25" s="5"/>
      <c r="N25" s="24"/>
      <c r="R25" s="59"/>
    </row>
    <row r="26" spans="2:18" ht="15.75" x14ac:dyDescent="0.2">
      <c r="B26" s="112"/>
      <c r="C26" s="131" t="s">
        <v>70</v>
      </c>
      <c r="D26" s="131"/>
      <c r="E26" s="132">
        <v>0.36737899999999996</v>
      </c>
      <c r="F26" s="35"/>
      <c r="G26" s="5"/>
      <c r="H26" s="5"/>
      <c r="I26" s="5"/>
      <c r="J26" s="5"/>
      <c r="K26" s="5"/>
      <c r="L26" s="5"/>
      <c r="M26" s="5"/>
      <c r="N26" s="24"/>
      <c r="R26" s="59"/>
    </row>
    <row r="27" spans="2:18" x14ac:dyDescent="0.2">
      <c r="B27" s="112"/>
      <c r="C27" s="42"/>
      <c r="D27" s="70"/>
      <c r="E27" s="6"/>
      <c r="F27" s="5"/>
      <c r="G27" s="5"/>
      <c r="H27" s="5"/>
      <c r="I27" s="5"/>
      <c r="J27" s="5"/>
      <c r="K27" s="5"/>
      <c r="L27" s="5"/>
      <c r="M27" s="5"/>
      <c r="N27" s="24"/>
      <c r="R27" s="59"/>
    </row>
    <row r="28" spans="2:18" s="58" customFormat="1" ht="13.5" customHeight="1" x14ac:dyDescent="0.2">
      <c r="B28" s="133"/>
      <c r="C28" s="31" t="s">
        <v>85</v>
      </c>
      <c r="D28" s="70" t="s">
        <v>65</v>
      </c>
      <c r="E28" s="6">
        <v>4.9325000000000001E-2</v>
      </c>
      <c r="F28" s="47"/>
      <c r="G28" s="47"/>
      <c r="H28" s="47"/>
      <c r="I28" s="47"/>
      <c r="J28" s="47"/>
      <c r="K28" s="47"/>
      <c r="L28" s="47"/>
      <c r="M28" s="47"/>
      <c r="N28" s="134"/>
      <c r="R28" s="135"/>
    </row>
    <row r="29" spans="2:18" x14ac:dyDescent="0.2">
      <c r="B29" s="112"/>
      <c r="C29" s="42" t="s">
        <v>87</v>
      </c>
      <c r="D29" s="70" t="s">
        <v>65</v>
      </c>
      <c r="E29" s="6">
        <v>1.0904E-2</v>
      </c>
      <c r="F29" s="5"/>
      <c r="G29" s="5"/>
      <c r="H29" s="5"/>
      <c r="I29" s="5"/>
      <c r="J29" s="5"/>
      <c r="K29" s="5"/>
      <c r="L29" s="5"/>
      <c r="M29" s="5"/>
      <c r="N29" s="24"/>
      <c r="R29" s="59"/>
    </row>
    <row r="30" spans="2:18" ht="15.75" x14ac:dyDescent="0.2">
      <c r="B30" s="112"/>
      <c r="C30" s="131" t="s">
        <v>50</v>
      </c>
      <c r="D30" s="131"/>
      <c r="E30" s="132">
        <f>SUM(E28:E29)</f>
        <v>6.0229000000000005E-2</v>
      </c>
      <c r="F30" s="5"/>
      <c r="G30" s="5"/>
      <c r="H30" s="5"/>
      <c r="I30" s="5"/>
      <c r="J30" s="5"/>
      <c r="K30" s="5"/>
      <c r="L30" s="5"/>
      <c r="M30" s="5"/>
      <c r="N30" s="24"/>
      <c r="R30" s="59"/>
    </row>
    <row r="31" spans="2:18" x14ac:dyDescent="0.2">
      <c r="B31" s="112"/>
      <c r="C31" s="42"/>
      <c r="D31" s="42"/>
      <c r="E31" s="42"/>
      <c r="F31" s="5"/>
      <c r="G31" s="5"/>
      <c r="H31" s="5"/>
      <c r="I31" s="5"/>
      <c r="J31" s="5"/>
      <c r="K31" s="5"/>
      <c r="L31" s="5"/>
      <c r="M31" s="5"/>
      <c r="N31" s="24"/>
      <c r="R31" s="59"/>
    </row>
    <row r="32" spans="2:18" x14ac:dyDescent="0.2">
      <c r="B32" s="112"/>
      <c r="C32" s="42" t="s">
        <v>262</v>
      </c>
      <c r="D32" s="70" t="s">
        <v>65</v>
      </c>
      <c r="E32" s="6">
        <v>4.4012000000000003E-2</v>
      </c>
      <c r="F32" s="5"/>
      <c r="G32" s="5"/>
      <c r="H32" s="5"/>
      <c r="I32" s="5"/>
      <c r="J32" s="5"/>
      <c r="K32" s="5"/>
      <c r="L32" s="5"/>
      <c r="M32" s="5"/>
      <c r="N32" s="24"/>
      <c r="R32" s="59"/>
    </row>
    <row r="33" spans="1:18" ht="15.75" x14ac:dyDescent="0.2">
      <c r="B33" s="112"/>
      <c r="C33" s="131" t="s">
        <v>69</v>
      </c>
      <c r="D33" s="131"/>
      <c r="E33" s="132">
        <v>4.4012000000000003E-2</v>
      </c>
      <c r="F33" s="5"/>
      <c r="G33" s="5"/>
      <c r="H33" s="5"/>
      <c r="I33" s="5"/>
      <c r="J33" s="5"/>
      <c r="K33" s="5"/>
      <c r="L33" s="5"/>
      <c r="M33" s="5"/>
      <c r="N33" s="24"/>
      <c r="R33" s="59"/>
    </row>
    <row r="34" spans="1:18" x14ac:dyDescent="0.2">
      <c r="B34" s="112"/>
      <c r="C34" s="42"/>
      <c r="D34" s="42"/>
      <c r="E34" s="42"/>
      <c r="F34" s="5"/>
      <c r="G34" s="5"/>
      <c r="H34" s="5"/>
      <c r="I34" s="5"/>
      <c r="J34" s="5"/>
      <c r="K34" s="5"/>
      <c r="L34" s="5"/>
      <c r="M34" s="5"/>
      <c r="N34" s="24"/>
      <c r="R34" s="59"/>
    </row>
    <row r="35" spans="1:18" x14ac:dyDescent="0.2">
      <c r="B35" s="112"/>
      <c r="C35" s="42" t="s">
        <v>181</v>
      </c>
      <c r="D35" s="4" t="s">
        <v>63</v>
      </c>
      <c r="E35" s="44">
        <v>4.5117999999999998E-2</v>
      </c>
      <c r="F35" s="5"/>
      <c r="G35" s="5"/>
      <c r="H35" s="5"/>
      <c r="I35" s="5"/>
      <c r="J35" s="5"/>
      <c r="K35" s="5"/>
      <c r="L35" s="5"/>
      <c r="M35" s="5"/>
      <c r="N35" s="24"/>
      <c r="R35" s="59"/>
    </row>
    <row r="36" spans="1:18" x14ac:dyDescent="0.2">
      <c r="B36" s="112"/>
      <c r="C36" s="42" t="s">
        <v>92</v>
      </c>
      <c r="D36" s="4" t="s">
        <v>63</v>
      </c>
      <c r="E36" s="44">
        <v>3.5866000000000002E-2</v>
      </c>
      <c r="F36" s="5"/>
      <c r="G36" s="5"/>
      <c r="H36" s="5"/>
      <c r="I36" s="5"/>
      <c r="J36" s="5"/>
      <c r="K36" s="5"/>
      <c r="L36" s="5"/>
      <c r="M36" s="5"/>
      <c r="N36" s="24"/>
      <c r="R36" s="59"/>
    </row>
    <row r="37" spans="1:18" x14ac:dyDescent="0.2">
      <c r="B37" s="112"/>
      <c r="C37" s="42" t="s">
        <v>106</v>
      </c>
      <c r="D37" s="4" t="s">
        <v>63</v>
      </c>
      <c r="E37" s="44">
        <v>1.7188999999999999E-2</v>
      </c>
      <c r="F37" s="5"/>
      <c r="G37" s="5"/>
      <c r="H37" s="5"/>
      <c r="I37" s="5"/>
      <c r="J37" s="5"/>
      <c r="K37" s="5"/>
      <c r="L37" s="5"/>
      <c r="M37" s="5"/>
      <c r="N37" s="24"/>
      <c r="R37" s="59"/>
    </row>
    <row r="38" spans="1:18" x14ac:dyDescent="0.2">
      <c r="B38" s="112"/>
      <c r="C38" s="42" t="s">
        <v>84</v>
      </c>
      <c r="D38" s="4" t="s">
        <v>63</v>
      </c>
      <c r="E38" s="44">
        <v>1.06E-2</v>
      </c>
      <c r="F38" s="5"/>
      <c r="G38" s="5"/>
      <c r="H38" s="5"/>
      <c r="I38" s="5"/>
      <c r="J38" s="5"/>
      <c r="K38" s="5"/>
      <c r="L38" s="5"/>
      <c r="M38" s="5"/>
      <c r="N38" s="24"/>
      <c r="R38" s="59"/>
    </row>
    <row r="39" spans="1:18" s="58" customFormat="1" x14ac:dyDescent="0.2">
      <c r="B39" s="133"/>
      <c r="C39" s="42" t="s">
        <v>80</v>
      </c>
      <c r="D39" s="4" t="s">
        <v>63</v>
      </c>
      <c r="E39" s="44">
        <v>9.2790000000000008E-3</v>
      </c>
      <c r="F39" s="47"/>
      <c r="G39" s="5"/>
      <c r="H39" s="5"/>
      <c r="I39" s="5"/>
      <c r="J39" s="5"/>
      <c r="K39" s="5"/>
      <c r="L39" s="47"/>
      <c r="M39" s="47"/>
      <c r="N39" s="134"/>
      <c r="R39" s="135"/>
    </row>
    <row r="40" spans="1:18" x14ac:dyDescent="0.2">
      <c r="B40" s="112"/>
      <c r="C40" s="42" t="s">
        <v>71</v>
      </c>
      <c r="D40" s="4" t="s">
        <v>63</v>
      </c>
      <c r="E40" s="44">
        <v>3.581E-3</v>
      </c>
      <c r="F40" s="5"/>
      <c r="G40" s="5"/>
      <c r="H40" s="5"/>
      <c r="I40" s="5"/>
      <c r="J40" s="5"/>
      <c r="K40" s="5"/>
      <c r="L40" s="5"/>
      <c r="M40" s="5"/>
      <c r="N40" s="24"/>
      <c r="R40" s="59"/>
    </row>
    <row r="41" spans="1:18" ht="15.75" x14ac:dyDescent="0.2">
      <c r="A41" s="5"/>
      <c r="B41" s="112"/>
      <c r="C41" s="131" t="s">
        <v>43</v>
      </c>
      <c r="D41" s="131"/>
      <c r="E41" s="132">
        <f>SUM(E35:E40)</f>
        <v>0.12163299999999999</v>
      </c>
      <c r="F41" s="5"/>
      <c r="G41" s="5"/>
      <c r="H41" s="5"/>
      <c r="I41" s="5"/>
      <c r="J41" s="5"/>
      <c r="K41" s="5"/>
      <c r="L41" s="5"/>
      <c r="M41" s="5"/>
      <c r="N41" s="24"/>
      <c r="O41" s="5"/>
      <c r="R41" s="59"/>
    </row>
    <row r="42" spans="1:18" ht="15.75" x14ac:dyDescent="0.2">
      <c r="A42" s="5"/>
      <c r="B42" s="112"/>
      <c r="C42" s="136"/>
      <c r="D42" s="136"/>
      <c r="E42" s="137"/>
      <c r="F42" s="5"/>
      <c r="G42" s="5"/>
      <c r="H42" s="5"/>
      <c r="I42" s="5"/>
      <c r="J42" s="5"/>
      <c r="K42" s="5"/>
      <c r="L42" s="5"/>
      <c r="M42" s="5"/>
      <c r="N42" s="24"/>
      <c r="O42" s="5"/>
      <c r="R42" s="59"/>
    </row>
    <row r="43" spans="1:18" ht="15.75" x14ac:dyDescent="0.2">
      <c r="A43" s="5"/>
      <c r="B43" s="112"/>
      <c r="C43" s="131" t="s">
        <v>20</v>
      </c>
      <c r="D43" s="131"/>
      <c r="E43" s="132">
        <v>1.4296E-2</v>
      </c>
      <c r="F43" s="5"/>
      <c r="G43" s="5"/>
      <c r="H43" s="5"/>
      <c r="I43" s="5"/>
      <c r="J43" s="5"/>
      <c r="K43" s="5"/>
      <c r="L43" s="5"/>
      <c r="M43" s="5"/>
      <c r="N43" s="24"/>
      <c r="O43" s="5"/>
      <c r="R43" s="59"/>
    </row>
    <row r="44" spans="1:18" x14ac:dyDescent="0.2">
      <c r="A44" s="5"/>
      <c r="B44" s="112"/>
      <c r="C44" s="4"/>
      <c r="D44" s="4"/>
      <c r="E44" s="36"/>
      <c r="F44" s="5"/>
      <c r="G44" s="5"/>
      <c r="H44" s="5"/>
      <c r="I44" s="5"/>
      <c r="J44" s="5"/>
      <c r="K44" s="5"/>
      <c r="L44" s="5"/>
      <c r="M44" s="5"/>
      <c r="N44" s="24"/>
      <c r="O44" s="5"/>
      <c r="R44" s="59"/>
    </row>
    <row r="45" spans="1:18" ht="15.75" x14ac:dyDescent="0.2">
      <c r="A45" s="5"/>
      <c r="B45" s="112"/>
      <c r="C45" s="138" t="s">
        <v>21</v>
      </c>
      <c r="D45" s="138"/>
      <c r="E45" s="139">
        <f>E43+E41+E33+E30+E26+E24</f>
        <v>0.99999999999999989</v>
      </c>
      <c r="F45" s="5"/>
      <c r="G45" s="5"/>
      <c r="H45" s="5"/>
      <c r="I45" s="5"/>
      <c r="J45" s="5"/>
      <c r="K45" s="5"/>
      <c r="L45" s="5"/>
      <c r="M45" s="5"/>
      <c r="N45" s="24"/>
      <c r="O45" s="5"/>
      <c r="R45" s="59"/>
    </row>
    <row r="46" spans="1:18" x14ac:dyDescent="0.2">
      <c r="A46" s="5"/>
      <c r="B46" s="112"/>
      <c r="C46" s="5"/>
      <c r="D46" s="5"/>
      <c r="E46" s="5"/>
      <c r="F46" s="5"/>
      <c r="G46" s="5"/>
      <c r="H46" s="5"/>
      <c r="I46" s="5"/>
      <c r="J46" s="5"/>
      <c r="K46" s="5"/>
      <c r="L46" s="5"/>
      <c r="M46" s="5"/>
      <c r="N46" s="24"/>
      <c r="O46" s="5"/>
      <c r="R46" s="59"/>
    </row>
    <row r="47" spans="1:18" ht="15.75" thickBot="1" x14ac:dyDescent="0.25">
      <c r="A47" s="5"/>
      <c r="B47" s="116"/>
      <c r="C47" s="54"/>
      <c r="D47" s="54"/>
      <c r="E47" s="54"/>
      <c r="F47" s="54"/>
      <c r="G47" s="54"/>
      <c r="H47" s="54"/>
      <c r="I47" s="54"/>
      <c r="J47" s="54"/>
      <c r="K47" s="54"/>
      <c r="L47" s="54"/>
      <c r="M47" s="54"/>
      <c r="N47" s="142"/>
      <c r="O47" s="5"/>
      <c r="R47" s="59"/>
    </row>
    <row r="48" spans="1:18" ht="15.75" thickBot="1" x14ac:dyDescent="0.25">
      <c r="R48" s="59"/>
    </row>
    <row r="49" spans="2:18" x14ac:dyDescent="0.2">
      <c r="B49" s="226" t="s">
        <v>254</v>
      </c>
      <c r="C49" s="227"/>
      <c r="D49" s="227"/>
      <c r="E49" s="227"/>
      <c r="F49" s="227"/>
      <c r="G49" s="227"/>
      <c r="H49" s="227"/>
      <c r="I49" s="227"/>
      <c r="J49" s="227"/>
      <c r="K49" s="227"/>
      <c r="L49" s="227"/>
      <c r="M49" s="227"/>
      <c r="N49" s="227"/>
      <c r="O49" s="228"/>
      <c r="R49" s="59"/>
    </row>
    <row r="50" spans="2:18" x14ac:dyDescent="0.2">
      <c r="B50" s="229"/>
      <c r="C50" s="230"/>
      <c r="D50" s="230"/>
      <c r="E50" s="230"/>
      <c r="F50" s="230"/>
      <c r="G50" s="230"/>
      <c r="H50" s="230"/>
      <c r="I50" s="230"/>
      <c r="J50" s="230"/>
      <c r="K50" s="230"/>
      <c r="L50" s="230"/>
      <c r="M50" s="230"/>
      <c r="N50" s="230"/>
      <c r="O50" s="231"/>
      <c r="R50" s="59"/>
    </row>
    <row r="51" spans="2:18" x14ac:dyDescent="0.2">
      <c r="B51" s="229"/>
      <c r="C51" s="230"/>
      <c r="D51" s="230"/>
      <c r="E51" s="230"/>
      <c r="F51" s="230"/>
      <c r="G51" s="230"/>
      <c r="H51" s="230"/>
      <c r="I51" s="230"/>
      <c r="J51" s="230"/>
      <c r="K51" s="230"/>
      <c r="L51" s="230"/>
      <c r="M51" s="230"/>
      <c r="N51" s="230"/>
      <c r="O51" s="231"/>
      <c r="R51" s="59"/>
    </row>
    <row r="52" spans="2:18" x14ac:dyDescent="0.2">
      <c r="B52" s="229"/>
      <c r="C52" s="230"/>
      <c r="D52" s="230"/>
      <c r="E52" s="230"/>
      <c r="F52" s="230"/>
      <c r="G52" s="230"/>
      <c r="H52" s="230"/>
      <c r="I52" s="230"/>
      <c r="J52" s="230"/>
      <c r="K52" s="230"/>
      <c r="L52" s="230"/>
      <c r="M52" s="230"/>
      <c r="N52" s="230"/>
      <c r="O52" s="231"/>
      <c r="R52" s="59"/>
    </row>
    <row r="53" spans="2:18" x14ac:dyDescent="0.2">
      <c r="B53" s="229"/>
      <c r="C53" s="230"/>
      <c r="D53" s="230"/>
      <c r="E53" s="230"/>
      <c r="F53" s="230"/>
      <c r="G53" s="230"/>
      <c r="H53" s="230"/>
      <c r="I53" s="230"/>
      <c r="J53" s="230"/>
      <c r="K53" s="230"/>
      <c r="L53" s="230"/>
      <c r="M53" s="230"/>
      <c r="N53" s="230"/>
      <c r="O53" s="231"/>
      <c r="R53" s="59"/>
    </row>
    <row r="54" spans="2:18" x14ac:dyDescent="0.2">
      <c r="B54" s="229"/>
      <c r="C54" s="230"/>
      <c r="D54" s="230"/>
      <c r="E54" s="230"/>
      <c r="F54" s="230"/>
      <c r="G54" s="230"/>
      <c r="H54" s="230"/>
      <c r="I54" s="230"/>
      <c r="J54" s="230"/>
      <c r="K54" s="230"/>
      <c r="L54" s="230"/>
      <c r="M54" s="230"/>
      <c r="N54" s="230"/>
      <c r="O54" s="231"/>
      <c r="R54" s="59"/>
    </row>
    <row r="55" spans="2:18" ht="15.75" thickBot="1" x14ac:dyDescent="0.25">
      <c r="B55" s="232"/>
      <c r="C55" s="233"/>
      <c r="D55" s="233"/>
      <c r="E55" s="233"/>
      <c r="F55" s="233"/>
      <c r="G55" s="233"/>
      <c r="H55" s="233"/>
      <c r="I55" s="233"/>
      <c r="J55" s="233"/>
      <c r="K55" s="233"/>
      <c r="L55" s="233"/>
      <c r="M55" s="233"/>
      <c r="N55" s="233"/>
      <c r="O55" s="234"/>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sheetData>
  <sortState ref="C35:E40">
    <sortCondition descending="1" ref="E35"/>
  </sortState>
  <mergeCells count="6">
    <mergeCell ref="B49:O55"/>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0"/>
      <c r="C2" s="49"/>
      <c r="D2" s="49"/>
      <c r="E2" s="49"/>
      <c r="F2" s="49"/>
      <c r="G2" s="49"/>
      <c r="H2" s="49"/>
      <c r="I2" s="49"/>
      <c r="J2" s="49"/>
      <c r="K2" s="49"/>
      <c r="L2" s="49"/>
      <c r="M2" s="111"/>
    </row>
    <row r="3" spans="2:16" ht="20.25" customHeight="1" x14ac:dyDescent="0.2">
      <c r="B3" s="112"/>
      <c r="C3" s="220" t="s">
        <v>231</v>
      </c>
      <c r="D3" s="220"/>
      <c r="E3" s="220"/>
      <c r="F3" s="220"/>
      <c r="G3" s="220"/>
      <c r="H3" s="220"/>
      <c r="I3" s="220"/>
      <c r="J3" s="220"/>
      <c r="K3" s="220"/>
      <c r="L3" s="220"/>
      <c r="M3" s="221"/>
    </row>
    <row r="4" spans="2:16" ht="15.75" x14ac:dyDescent="0.25">
      <c r="B4" s="112"/>
      <c r="C4" s="85" t="s">
        <v>273</v>
      </c>
      <c r="D4" s="33"/>
      <c r="E4" s="33"/>
      <c r="F4" s="5"/>
      <c r="G4" s="5"/>
      <c r="H4" s="5"/>
      <c r="I4" s="5"/>
      <c r="J4" s="5"/>
      <c r="K4" s="5"/>
      <c r="L4" s="5"/>
      <c r="M4" s="24"/>
    </row>
    <row r="5" spans="2:16" ht="20.25" customHeight="1" x14ac:dyDescent="0.25">
      <c r="B5" s="112"/>
      <c r="C5" s="86" t="s">
        <v>274</v>
      </c>
      <c r="D5" s="113" t="s">
        <v>292</v>
      </c>
      <c r="E5" s="23"/>
      <c r="F5" s="5"/>
      <c r="G5" s="5"/>
      <c r="H5" s="5"/>
      <c r="I5" s="5"/>
      <c r="J5" s="5"/>
      <c r="K5" s="5"/>
      <c r="L5" s="5"/>
      <c r="M5" s="24"/>
    </row>
    <row r="6" spans="2:16" x14ac:dyDescent="0.2">
      <c r="B6" s="112"/>
      <c r="C6" s="5"/>
      <c r="D6" s="5"/>
      <c r="E6" s="5"/>
      <c r="F6" s="5"/>
      <c r="G6" s="5"/>
      <c r="H6" s="5"/>
      <c r="I6" s="5"/>
      <c r="J6" s="5"/>
      <c r="K6" s="5"/>
      <c r="L6" s="5"/>
      <c r="M6" s="24"/>
    </row>
    <row r="7" spans="2:16" ht="32.25" customHeight="1" x14ac:dyDescent="0.2">
      <c r="B7" s="112"/>
      <c r="C7" s="114" t="s">
        <v>44</v>
      </c>
      <c r="D7" s="114" t="s">
        <v>46</v>
      </c>
      <c r="E7" s="5"/>
      <c r="F7" s="222" t="s">
        <v>51</v>
      </c>
      <c r="G7" s="222"/>
      <c r="H7" s="222"/>
      <c r="I7" s="222"/>
      <c r="J7" s="222"/>
      <c r="K7" s="222"/>
      <c r="L7" s="222"/>
      <c r="M7" s="223"/>
    </row>
    <row r="8" spans="2:16" ht="15.75" x14ac:dyDescent="0.25">
      <c r="B8" s="112"/>
      <c r="C8" s="42" t="s">
        <v>263</v>
      </c>
      <c r="D8" s="115">
        <v>0.15176600000000001</v>
      </c>
      <c r="E8" s="33"/>
      <c r="F8" s="5"/>
      <c r="G8" s="35"/>
      <c r="H8" s="5"/>
      <c r="I8" s="5"/>
      <c r="J8" s="57"/>
      <c r="K8" s="5"/>
      <c r="L8" s="5"/>
      <c r="M8" s="24"/>
      <c r="P8" s="59"/>
    </row>
    <row r="9" spans="2:16" x14ac:dyDescent="0.2">
      <c r="B9" s="112"/>
      <c r="C9" s="122" t="s">
        <v>264</v>
      </c>
      <c r="D9" s="6">
        <v>0.10849</v>
      </c>
      <c r="E9" s="5"/>
      <c r="F9" s="5"/>
      <c r="G9" s="5"/>
      <c r="H9" s="5"/>
      <c r="I9" s="5" t="s">
        <v>52</v>
      </c>
      <c r="J9" s="57">
        <f>D10</f>
        <v>0.26025600000000004</v>
      </c>
      <c r="K9" s="5"/>
      <c r="L9" s="5"/>
      <c r="M9" s="24"/>
      <c r="P9" s="59"/>
    </row>
    <row r="10" spans="2:16" ht="15.75" x14ac:dyDescent="0.25">
      <c r="B10" s="112"/>
      <c r="C10" s="7" t="s">
        <v>53</v>
      </c>
      <c r="D10" s="8">
        <f>SUM(D8:D9)</f>
        <v>0.26025600000000004</v>
      </c>
      <c r="E10" s="5"/>
      <c r="F10" s="5"/>
      <c r="G10" s="5"/>
      <c r="H10" s="5"/>
      <c r="I10" s="5" t="s">
        <v>54</v>
      </c>
      <c r="J10" s="57">
        <f>D15</f>
        <v>0.72963899999999993</v>
      </c>
      <c r="K10" s="5"/>
      <c r="L10" s="5"/>
      <c r="M10" s="24"/>
      <c r="P10" s="59"/>
    </row>
    <row r="11" spans="2:16" x14ac:dyDescent="0.2">
      <c r="B11" s="112"/>
      <c r="C11" s="122"/>
      <c r="D11" s="42"/>
      <c r="E11" s="5"/>
      <c r="F11" s="5"/>
      <c r="G11" s="5"/>
      <c r="H11" s="5"/>
      <c r="I11" s="5" t="s">
        <v>20</v>
      </c>
      <c r="J11" s="57">
        <f>D17</f>
        <v>1.0105000000000001E-2</v>
      </c>
      <c r="K11" s="5"/>
      <c r="L11" s="5"/>
      <c r="M11" s="24"/>
      <c r="P11" s="59"/>
    </row>
    <row r="12" spans="2:16" x14ac:dyDescent="0.2">
      <c r="B12" s="112"/>
      <c r="C12" s="4" t="s">
        <v>266</v>
      </c>
      <c r="D12" s="6">
        <v>0.52851899999999996</v>
      </c>
      <c r="E12" s="5"/>
      <c r="F12" s="5"/>
      <c r="G12" s="5"/>
      <c r="H12" s="5"/>
      <c r="K12" s="5"/>
      <c r="L12" s="5"/>
      <c r="M12" s="24"/>
      <c r="P12" s="59"/>
    </row>
    <row r="13" spans="2:16" ht="15.75" customHeight="1" x14ac:dyDescent="0.2">
      <c r="B13" s="112"/>
      <c r="C13" s="4" t="s">
        <v>267</v>
      </c>
      <c r="D13" s="6">
        <v>0.151701</v>
      </c>
      <c r="E13" s="5"/>
      <c r="F13" s="5"/>
      <c r="G13" s="5"/>
      <c r="H13" s="5"/>
      <c r="I13" s="5"/>
      <c r="J13" s="57"/>
      <c r="K13" s="5"/>
      <c r="L13" s="5"/>
      <c r="M13" s="24"/>
      <c r="P13" s="59"/>
    </row>
    <row r="14" spans="2:16" ht="15.75" customHeight="1" x14ac:dyDescent="0.2">
      <c r="B14" s="112"/>
      <c r="C14" s="4" t="s">
        <v>265</v>
      </c>
      <c r="D14" s="6">
        <v>4.9418999999999998E-2</v>
      </c>
      <c r="E14" s="5"/>
      <c r="F14" s="5"/>
      <c r="G14" s="5"/>
      <c r="H14" s="5"/>
      <c r="I14" s="5"/>
      <c r="J14" s="57"/>
      <c r="K14" s="5"/>
      <c r="L14" s="5"/>
      <c r="M14" s="24"/>
      <c r="P14" s="59"/>
    </row>
    <row r="15" spans="2:16" ht="15.75" x14ac:dyDescent="0.25">
      <c r="B15" s="112"/>
      <c r="C15" s="7" t="s">
        <v>19</v>
      </c>
      <c r="D15" s="8">
        <f>SUM(D12:D14)</f>
        <v>0.72963899999999993</v>
      </c>
      <c r="E15" s="5"/>
      <c r="F15" s="5"/>
      <c r="G15" s="5"/>
      <c r="H15" s="5"/>
      <c r="I15" s="5"/>
      <c r="J15" s="123"/>
      <c r="K15" s="5"/>
      <c r="L15" s="5"/>
      <c r="M15" s="24"/>
      <c r="P15" s="59"/>
    </row>
    <row r="16" spans="2:16" x14ac:dyDescent="0.2">
      <c r="B16" s="112"/>
      <c r="C16" s="4"/>
      <c r="D16" s="6"/>
      <c r="E16" s="5"/>
      <c r="F16" s="5"/>
      <c r="G16" s="5"/>
      <c r="H16" s="5"/>
      <c r="I16" s="5"/>
      <c r="J16" s="5"/>
      <c r="K16" s="5"/>
      <c r="L16" s="5"/>
      <c r="M16" s="24"/>
      <c r="P16" s="59"/>
    </row>
    <row r="17" spans="2:16" ht="15.75" customHeight="1" x14ac:dyDescent="0.25">
      <c r="B17" s="112"/>
      <c r="C17" s="7" t="s">
        <v>20</v>
      </c>
      <c r="D17" s="8">
        <v>1.0105000000000001E-2</v>
      </c>
      <c r="E17" s="5"/>
      <c r="F17" s="5"/>
      <c r="G17" s="5"/>
      <c r="H17" s="5"/>
      <c r="I17" s="5"/>
      <c r="J17" s="5"/>
      <c r="K17" s="5"/>
      <c r="L17" s="5"/>
      <c r="M17" s="24"/>
      <c r="P17" s="59"/>
    </row>
    <row r="18" spans="2:16" x14ac:dyDescent="0.2">
      <c r="B18" s="112"/>
      <c r="C18" s="4"/>
      <c r="D18" s="6"/>
      <c r="E18" s="5"/>
      <c r="F18" s="5"/>
      <c r="G18" s="5"/>
      <c r="H18" s="5"/>
      <c r="I18" s="5"/>
      <c r="J18" s="5"/>
      <c r="K18" s="5"/>
      <c r="L18" s="5"/>
      <c r="M18" s="24"/>
      <c r="P18" s="59"/>
    </row>
    <row r="19" spans="2:16" ht="15.75" x14ac:dyDescent="0.25">
      <c r="B19" s="112"/>
      <c r="C19" s="9" t="s">
        <v>55</v>
      </c>
      <c r="D19" s="10">
        <f>SUM(D17,D15,D10)</f>
        <v>1</v>
      </c>
      <c r="E19" s="5"/>
      <c r="F19" s="5"/>
      <c r="G19" s="5"/>
      <c r="H19" s="5"/>
      <c r="I19" s="5"/>
      <c r="J19" s="5"/>
      <c r="K19" s="5"/>
      <c r="L19" s="5"/>
      <c r="M19" s="24"/>
      <c r="P19" s="59"/>
    </row>
    <row r="20" spans="2:16" x14ac:dyDescent="0.2">
      <c r="B20" s="112"/>
      <c r="E20" s="5"/>
      <c r="F20" s="5"/>
      <c r="G20" s="5"/>
      <c r="H20" s="5"/>
      <c r="I20" s="5"/>
      <c r="J20" s="5"/>
      <c r="K20" s="5"/>
      <c r="L20" s="5"/>
      <c r="M20" s="24"/>
      <c r="P20" s="59"/>
    </row>
    <row r="21" spans="2:16" x14ac:dyDescent="0.2">
      <c r="B21" s="112"/>
      <c r="E21" s="5"/>
      <c r="F21" s="5"/>
      <c r="G21" s="5"/>
      <c r="H21" s="5"/>
      <c r="I21" s="5"/>
      <c r="J21" s="5"/>
      <c r="K21" s="5"/>
      <c r="L21" s="5"/>
      <c r="M21" s="24"/>
      <c r="P21" s="59"/>
    </row>
    <row r="22" spans="2:16" x14ac:dyDescent="0.2">
      <c r="B22" s="112"/>
      <c r="E22" s="5"/>
      <c r="F22" s="5"/>
      <c r="G22" s="5"/>
      <c r="H22" s="5"/>
      <c r="I22" s="5"/>
      <c r="J22" s="5"/>
      <c r="K22" s="5"/>
      <c r="L22" s="5"/>
      <c r="M22" s="24"/>
      <c r="P22" s="59"/>
    </row>
    <row r="23" spans="2:16" ht="15" customHeight="1" x14ac:dyDescent="0.2">
      <c r="B23" s="112"/>
      <c r="C23" s="242"/>
      <c r="D23" s="242"/>
      <c r="E23" s="242"/>
      <c r="F23" s="242"/>
      <c r="G23" s="242"/>
      <c r="H23" s="5"/>
      <c r="I23" s="5"/>
      <c r="J23" s="5"/>
      <c r="K23" s="5"/>
      <c r="L23" s="5"/>
      <c r="M23" s="11"/>
      <c r="P23" s="59"/>
    </row>
    <row r="24" spans="2:16" ht="16.5" thickBot="1" x14ac:dyDescent="0.3">
      <c r="B24" s="116"/>
      <c r="C24" s="224"/>
      <c r="D24" s="224"/>
      <c r="E24" s="224"/>
      <c r="F24" s="224"/>
      <c r="G24" s="224"/>
      <c r="H24" s="224"/>
      <c r="I24" s="224"/>
      <c r="J24" s="224"/>
      <c r="K24" s="224"/>
      <c r="L24" s="224"/>
      <c r="M24" s="225"/>
      <c r="P24" s="59"/>
    </row>
    <row r="25" spans="2:16" ht="15.75" thickBot="1" x14ac:dyDescent="0.25">
      <c r="P25" s="59"/>
    </row>
    <row r="26" spans="2:16" x14ac:dyDescent="0.2">
      <c r="B26" s="226" t="s">
        <v>254</v>
      </c>
      <c r="C26" s="227"/>
      <c r="D26" s="227"/>
      <c r="E26" s="227"/>
      <c r="F26" s="227"/>
      <c r="G26" s="227"/>
      <c r="H26" s="227"/>
      <c r="I26" s="227"/>
      <c r="J26" s="227"/>
      <c r="K26" s="227"/>
      <c r="L26" s="227"/>
      <c r="M26" s="227"/>
      <c r="N26" s="228"/>
      <c r="P26" s="59"/>
    </row>
    <row r="27" spans="2:16" x14ac:dyDescent="0.2">
      <c r="B27" s="229"/>
      <c r="C27" s="230"/>
      <c r="D27" s="230"/>
      <c r="E27" s="230"/>
      <c r="F27" s="230"/>
      <c r="G27" s="230"/>
      <c r="H27" s="230"/>
      <c r="I27" s="230"/>
      <c r="J27" s="230"/>
      <c r="K27" s="230"/>
      <c r="L27" s="230"/>
      <c r="M27" s="230"/>
      <c r="N27" s="231"/>
      <c r="P27" s="59"/>
    </row>
    <row r="28" spans="2:16" x14ac:dyDescent="0.2">
      <c r="B28" s="229"/>
      <c r="C28" s="230"/>
      <c r="D28" s="230"/>
      <c r="E28" s="230"/>
      <c r="F28" s="230"/>
      <c r="G28" s="230"/>
      <c r="H28" s="230"/>
      <c r="I28" s="230"/>
      <c r="J28" s="230"/>
      <c r="K28" s="230"/>
      <c r="L28" s="230"/>
      <c r="M28" s="230"/>
      <c r="N28" s="231"/>
      <c r="P28" s="59"/>
    </row>
    <row r="29" spans="2:16" x14ac:dyDescent="0.2">
      <c r="B29" s="229"/>
      <c r="C29" s="230"/>
      <c r="D29" s="230"/>
      <c r="E29" s="230"/>
      <c r="F29" s="230"/>
      <c r="G29" s="230"/>
      <c r="H29" s="230"/>
      <c r="I29" s="230"/>
      <c r="J29" s="230"/>
      <c r="K29" s="230"/>
      <c r="L29" s="230"/>
      <c r="M29" s="230"/>
      <c r="N29" s="231"/>
      <c r="P29" s="59"/>
    </row>
    <row r="30" spans="2:16" x14ac:dyDescent="0.2">
      <c r="B30" s="229"/>
      <c r="C30" s="230"/>
      <c r="D30" s="230"/>
      <c r="E30" s="230"/>
      <c r="F30" s="230"/>
      <c r="G30" s="230"/>
      <c r="H30" s="230"/>
      <c r="I30" s="230"/>
      <c r="J30" s="230"/>
      <c r="K30" s="230"/>
      <c r="L30" s="230"/>
      <c r="M30" s="230"/>
      <c r="N30" s="231"/>
      <c r="P30" s="59"/>
    </row>
    <row r="31" spans="2:16" x14ac:dyDescent="0.2">
      <c r="B31" s="229"/>
      <c r="C31" s="230"/>
      <c r="D31" s="230"/>
      <c r="E31" s="230"/>
      <c r="F31" s="230"/>
      <c r="G31" s="230"/>
      <c r="H31" s="230"/>
      <c r="I31" s="230"/>
      <c r="J31" s="230"/>
      <c r="K31" s="230"/>
      <c r="L31" s="230"/>
      <c r="M31" s="230"/>
      <c r="N31" s="231"/>
      <c r="P31" s="59"/>
    </row>
    <row r="32" spans="2:16" ht="15.75" thickBot="1" x14ac:dyDescent="0.25">
      <c r="B32" s="232"/>
      <c r="C32" s="233"/>
      <c r="D32" s="233"/>
      <c r="E32" s="233"/>
      <c r="F32" s="233"/>
      <c r="G32" s="233"/>
      <c r="H32" s="233"/>
      <c r="I32" s="233"/>
      <c r="J32" s="233"/>
      <c r="K32" s="233"/>
      <c r="L32" s="233"/>
      <c r="M32" s="233"/>
      <c r="N32" s="234"/>
      <c r="P32" s="59"/>
    </row>
    <row r="33" spans="3:16" x14ac:dyDescent="0.2">
      <c r="P33" s="59"/>
    </row>
    <row r="34" spans="3:16" x14ac:dyDescent="0.2">
      <c r="C34" s="210"/>
      <c r="D34" s="211"/>
      <c r="P34" s="59"/>
    </row>
    <row r="35" spans="3:16" x14ac:dyDescent="0.2">
      <c r="C35" s="210"/>
      <c r="D35" s="211"/>
      <c r="P35" s="59"/>
    </row>
    <row r="36" spans="3:16" x14ac:dyDescent="0.2">
      <c r="C36" s="210"/>
      <c r="D36" s="211"/>
      <c r="P36" s="59"/>
    </row>
    <row r="37" spans="3:16" x14ac:dyDescent="0.2">
      <c r="C37" s="210"/>
      <c r="D37" s="211"/>
      <c r="P37" s="59"/>
    </row>
    <row r="38" spans="3:16" x14ac:dyDescent="0.2">
      <c r="C38" s="210"/>
      <c r="D38" s="211"/>
      <c r="P38" s="59"/>
    </row>
    <row r="39" spans="3:16" x14ac:dyDescent="0.2">
      <c r="C39" s="210"/>
      <c r="D39" s="211"/>
      <c r="P39" s="59"/>
    </row>
    <row r="40" spans="3:16" x14ac:dyDescent="0.2">
      <c r="C40" s="210"/>
      <c r="D40" s="211"/>
      <c r="P40" s="59"/>
    </row>
    <row r="41" spans="3:16" x14ac:dyDescent="0.2">
      <c r="C41" s="210"/>
      <c r="D41" s="211"/>
      <c r="P41" s="59"/>
    </row>
    <row r="42" spans="3:16" x14ac:dyDescent="0.2">
      <c r="P42" s="59"/>
    </row>
    <row r="43" spans="3:16" x14ac:dyDescent="0.2">
      <c r="P43" s="59"/>
    </row>
    <row r="44" spans="3:16" x14ac:dyDescent="0.2">
      <c r="P44" s="59"/>
    </row>
    <row r="45" spans="3:16" x14ac:dyDescent="0.2">
      <c r="P45" s="59"/>
    </row>
    <row r="46" spans="3:16" x14ac:dyDescent="0.2">
      <c r="P46" s="59"/>
    </row>
    <row r="47" spans="3:16" x14ac:dyDescent="0.2">
      <c r="P47" s="59"/>
    </row>
    <row r="48" spans="3: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sortState ref="C12:D14">
    <sortCondition descending="1" ref="D12"/>
  </sortState>
  <mergeCells count="5">
    <mergeCell ref="C3:M3"/>
    <mergeCell ref="F7:M7"/>
    <mergeCell ref="C24:M24"/>
    <mergeCell ref="B26:N32"/>
    <mergeCell ref="C23:G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20" t="s">
        <v>230</v>
      </c>
      <c r="D3" s="220"/>
      <c r="E3" s="220"/>
      <c r="F3" s="220"/>
      <c r="G3" s="220"/>
      <c r="H3" s="220"/>
      <c r="I3" s="220"/>
      <c r="J3" s="220"/>
      <c r="K3" s="220"/>
      <c r="L3" s="220"/>
      <c r="M3" s="221"/>
    </row>
    <row r="4" spans="2:19" ht="15.75" x14ac:dyDescent="0.25">
      <c r="B4" s="112"/>
      <c r="C4" s="85" t="s">
        <v>273</v>
      </c>
      <c r="D4" s="33"/>
      <c r="E4" s="33"/>
      <c r="F4" s="5"/>
      <c r="G4" s="5"/>
      <c r="H4" s="5"/>
      <c r="I4" s="5"/>
      <c r="J4" s="5"/>
      <c r="K4" s="5"/>
      <c r="L4" s="5"/>
      <c r="M4" s="24"/>
    </row>
    <row r="5" spans="2:19" ht="20.25" customHeight="1" x14ac:dyDescent="0.25">
      <c r="B5" s="112"/>
      <c r="C5" s="86" t="s">
        <v>274</v>
      </c>
      <c r="D5" s="113" t="s">
        <v>293</v>
      </c>
      <c r="E5" s="23"/>
      <c r="F5" s="5"/>
      <c r="G5" s="5"/>
      <c r="H5" s="5"/>
      <c r="I5" s="5"/>
      <c r="J5" s="5"/>
      <c r="K5" s="5"/>
      <c r="L5" s="5"/>
      <c r="M5" s="24"/>
    </row>
    <row r="6" spans="2:19" x14ac:dyDescent="0.2">
      <c r="B6" s="112"/>
      <c r="C6" s="5"/>
      <c r="D6" s="5"/>
      <c r="E6" s="5"/>
      <c r="F6" s="5"/>
      <c r="G6" s="5"/>
      <c r="H6" s="5"/>
      <c r="I6" s="5"/>
      <c r="J6" s="5"/>
      <c r="K6" s="5"/>
      <c r="L6" s="5"/>
      <c r="M6" s="24"/>
    </row>
    <row r="7" spans="2:19" ht="32.25" customHeight="1" x14ac:dyDescent="0.2">
      <c r="B7" s="112"/>
      <c r="C7" s="114" t="s">
        <v>44</v>
      </c>
      <c r="D7" s="114" t="s">
        <v>46</v>
      </c>
      <c r="E7" s="5"/>
      <c r="F7" s="222" t="s">
        <v>51</v>
      </c>
      <c r="G7" s="222"/>
      <c r="H7" s="222"/>
      <c r="I7" s="222"/>
      <c r="J7" s="222"/>
      <c r="K7" s="222"/>
      <c r="L7" s="222"/>
      <c r="M7" s="223"/>
    </row>
    <row r="8" spans="2:19" x14ac:dyDescent="0.2">
      <c r="B8" s="112"/>
      <c r="C8" s="4" t="s">
        <v>264</v>
      </c>
      <c r="D8" s="6">
        <v>0.33371099999999998</v>
      </c>
      <c r="E8" s="5"/>
      <c r="F8" s="5"/>
      <c r="G8" s="35"/>
      <c r="H8" s="5"/>
      <c r="I8" s="117" t="s">
        <v>52</v>
      </c>
      <c r="J8" s="118">
        <f>D11</f>
        <v>0.50748099999999996</v>
      </c>
      <c r="K8" s="5"/>
      <c r="L8" s="5"/>
      <c r="M8" s="24"/>
      <c r="S8" s="59"/>
    </row>
    <row r="9" spans="2:19" ht="15.75" customHeight="1" x14ac:dyDescent="0.2">
      <c r="B9" s="112"/>
      <c r="C9" s="4" t="s">
        <v>263</v>
      </c>
      <c r="D9" s="6">
        <v>0.142846</v>
      </c>
      <c r="E9" s="5"/>
      <c r="F9" s="5"/>
      <c r="G9" s="5"/>
      <c r="H9" s="5"/>
      <c r="I9" s="117" t="s">
        <v>54</v>
      </c>
      <c r="J9" s="119">
        <f>D17</f>
        <v>0.48575699999999999</v>
      </c>
      <c r="K9" s="5"/>
      <c r="L9" s="5"/>
      <c r="M9" s="24"/>
      <c r="S9" s="59"/>
    </row>
    <row r="10" spans="2:19" x14ac:dyDescent="0.2">
      <c r="B10" s="112"/>
      <c r="C10" s="42" t="s">
        <v>268</v>
      </c>
      <c r="D10" s="115">
        <v>3.0924E-2</v>
      </c>
      <c r="E10" s="5"/>
      <c r="F10" s="5"/>
      <c r="G10" s="5"/>
      <c r="H10" s="5"/>
      <c r="I10" s="117" t="s">
        <v>20</v>
      </c>
      <c r="J10" s="119">
        <f>D19</f>
        <v>6.7620000000000006E-3</v>
      </c>
      <c r="K10" s="5"/>
      <c r="L10" s="5"/>
      <c r="M10" s="24"/>
      <c r="S10" s="59"/>
    </row>
    <row r="11" spans="2:19" ht="15.75" customHeight="1" x14ac:dyDescent="0.25">
      <c r="B11" s="112"/>
      <c r="C11" s="7" t="s">
        <v>53</v>
      </c>
      <c r="D11" s="8">
        <f>SUM(D8:D10)</f>
        <v>0.50748099999999996</v>
      </c>
      <c r="E11" s="5"/>
      <c r="F11" s="5"/>
      <c r="G11" s="5"/>
      <c r="H11" s="5"/>
      <c r="K11" s="5"/>
      <c r="L11" s="5"/>
      <c r="M11" s="24"/>
      <c r="S11" s="59"/>
    </row>
    <row r="12" spans="2:19" x14ac:dyDescent="0.2">
      <c r="B12" s="112"/>
      <c r="C12" s="42"/>
      <c r="D12" s="42"/>
      <c r="E12" s="5"/>
      <c r="F12" s="5"/>
      <c r="G12" s="5"/>
      <c r="H12" s="5"/>
      <c r="K12" s="5"/>
      <c r="L12" s="5"/>
      <c r="M12" s="24"/>
      <c r="S12" s="59"/>
    </row>
    <row r="13" spans="2:19" ht="15.75" customHeight="1" x14ac:dyDescent="0.2">
      <c r="B13" s="112"/>
      <c r="C13" s="4" t="s">
        <v>266</v>
      </c>
      <c r="D13" s="6">
        <v>0.29630400000000001</v>
      </c>
      <c r="E13" s="5"/>
      <c r="F13" s="5"/>
      <c r="G13" s="5"/>
      <c r="H13" s="5"/>
      <c r="I13" s="117"/>
      <c r="J13" s="117"/>
      <c r="K13" s="5"/>
      <c r="L13" s="5"/>
      <c r="M13" s="24"/>
      <c r="S13" s="59"/>
    </row>
    <row r="14" spans="2:19" x14ac:dyDescent="0.2">
      <c r="B14" s="112"/>
      <c r="C14" s="4" t="s">
        <v>267</v>
      </c>
      <c r="D14" s="6">
        <v>0.107164</v>
      </c>
      <c r="E14" s="5"/>
      <c r="F14" s="5"/>
      <c r="G14" s="5"/>
      <c r="H14" s="5"/>
      <c r="I14" s="5"/>
      <c r="J14" s="5"/>
      <c r="K14" s="5"/>
      <c r="L14" s="5"/>
      <c r="M14" s="24"/>
      <c r="S14" s="59"/>
    </row>
    <row r="15" spans="2:19" x14ac:dyDescent="0.2">
      <c r="B15" s="112"/>
      <c r="C15" s="4" t="s">
        <v>265</v>
      </c>
      <c r="D15" s="6">
        <v>8.2289000000000001E-2</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19</v>
      </c>
      <c r="D17" s="8">
        <f>SUM(D13:D16)</f>
        <v>0.48575699999999999</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7" t="s">
        <v>20</v>
      </c>
      <c r="D19" s="8">
        <v>6.7620000000000006E-3</v>
      </c>
      <c r="E19" s="5"/>
      <c r="F19" s="5"/>
      <c r="G19" s="5"/>
      <c r="H19" s="5"/>
      <c r="I19" s="5"/>
      <c r="J19" s="5"/>
      <c r="K19" s="5"/>
      <c r="L19" s="5"/>
      <c r="M19" s="24"/>
      <c r="S19" s="59"/>
    </row>
    <row r="20" spans="2:19" x14ac:dyDescent="0.2">
      <c r="B20" s="112"/>
      <c r="C20" s="4"/>
      <c r="D20" s="6"/>
      <c r="E20" s="5"/>
      <c r="F20" s="5"/>
      <c r="G20" s="5"/>
      <c r="H20" s="5"/>
      <c r="I20" s="5"/>
      <c r="J20" s="5"/>
      <c r="K20" s="5"/>
      <c r="L20" s="5"/>
      <c r="M20" s="24"/>
      <c r="S20" s="59"/>
    </row>
    <row r="21" spans="2:19" ht="15.75" x14ac:dyDescent="0.25">
      <c r="B21" s="112"/>
      <c r="C21" s="9" t="s">
        <v>55</v>
      </c>
      <c r="D21" s="10">
        <f>SUM(D19,D17,D11)</f>
        <v>1</v>
      </c>
      <c r="E21" s="5"/>
      <c r="F21" s="5"/>
      <c r="G21" s="5"/>
      <c r="H21" s="5"/>
      <c r="I21" s="5"/>
      <c r="J21" s="5"/>
      <c r="K21" s="5"/>
      <c r="L21" s="5"/>
      <c r="M21" s="24"/>
      <c r="S21" s="59"/>
    </row>
    <row r="22" spans="2:19" ht="15.75" customHeight="1" x14ac:dyDescent="0.2">
      <c r="B22" s="112"/>
      <c r="E22" s="5"/>
      <c r="F22" s="5"/>
      <c r="G22" s="5"/>
      <c r="H22" s="5"/>
      <c r="I22" s="5"/>
      <c r="J22" s="5"/>
      <c r="K22" s="5"/>
      <c r="L22" s="5"/>
      <c r="M22" s="24"/>
      <c r="S22" s="59"/>
    </row>
    <row r="23" spans="2:19" x14ac:dyDescent="0.2">
      <c r="B23" s="112"/>
      <c r="C23" s="37"/>
      <c r="D23" s="38"/>
      <c r="E23" s="5"/>
      <c r="F23" s="5"/>
      <c r="G23" s="5"/>
      <c r="H23" s="5"/>
      <c r="I23" s="5"/>
      <c r="J23" s="5"/>
      <c r="K23" s="5"/>
      <c r="L23" s="5"/>
      <c r="M23" s="24"/>
      <c r="S23" s="59"/>
    </row>
    <row r="24" spans="2:19" ht="15.75" x14ac:dyDescent="0.2">
      <c r="B24" s="112"/>
      <c r="C24" s="109"/>
      <c r="D24" s="109"/>
      <c r="E24" s="5"/>
      <c r="F24" s="35"/>
      <c r="G24" s="5"/>
      <c r="H24" s="5"/>
      <c r="I24" s="5"/>
      <c r="J24" s="5"/>
      <c r="K24" s="5"/>
      <c r="L24" s="5"/>
      <c r="M24" s="24"/>
      <c r="S24" s="59"/>
    </row>
    <row r="25" spans="2:19" ht="15.75" x14ac:dyDescent="0.2">
      <c r="B25" s="112"/>
      <c r="C25" s="109"/>
      <c r="D25" s="109"/>
      <c r="E25" s="5"/>
      <c r="F25" s="35"/>
      <c r="G25" s="5"/>
      <c r="H25" s="5"/>
      <c r="I25" s="5"/>
      <c r="J25" s="5"/>
      <c r="K25" s="5"/>
      <c r="L25" s="5"/>
      <c r="M25" s="24"/>
      <c r="S25" s="59"/>
    </row>
    <row r="26" spans="2:19" ht="16.5" thickBot="1" x14ac:dyDescent="0.3">
      <c r="B26" s="116"/>
      <c r="C26" s="120"/>
      <c r="D26" s="120"/>
      <c r="E26" s="120"/>
      <c r="F26" s="120"/>
      <c r="G26" s="120"/>
      <c r="H26" s="120"/>
      <c r="I26" s="120"/>
      <c r="J26" s="120"/>
      <c r="K26" s="120"/>
      <c r="L26" s="120"/>
      <c r="M26" s="121"/>
      <c r="S26" s="59"/>
    </row>
    <row r="27" spans="2:19" ht="15.75" thickBot="1" x14ac:dyDescent="0.25">
      <c r="S27" s="59"/>
    </row>
    <row r="28" spans="2:19" x14ac:dyDescent="0.2">
      <c r="B28" s="226" t="s">
        <v>254</v>
      </c>
      <c r="C28" s="227"/>
      <c r="D28" s="227"/>
      <c r="E28" s="227"/>
      <c r="F28" s="227"/>
      <c r="G28" s="227"/>
      <c r="H28" s="227"/>
      <c r="I28" s="227"/>
      <c r="J28" s="227"/>
      <c r="K28" s="227"/>
      <c r="L28" s="227"/>
      <c r="M28" s="227"/>
      <c r="N28" s="228"/>
      <c r="S28" s="59"/>
    </row>
    <row r="29" spans="2:19" x14ac:dyDescent="0.2">
      <c r="B29" s="229"/>
      <c r="C29" s="230"/>
      <c r="D29" s="230"/>
      <c r="E29" s="230"/>
      <c r="F29" s="230"/>
      <c r="G29" s="230"/>
      <c r="H29" s="230"/>
      <c r="I29" s="230"/>
      <c r="J29" s="230"/>
      <c r="K29" s="230"/>
      <c r="L29" s="230"/>
      <c r="M29" s="230"/>
      <c r="N29" s="231"/>
      <c r="S29" s="59"/>
    </row>
    <row r="30" spans="2:19" x14ac:dyDescent="0.2">
      <c r="B30" s="229"/>
      <c r="C30" s="230"/>
      <c r="D30" s="230"/>
      <c r="E30" s="230"/>
      <c r="F30" s="230"/>
      <c r="G30" s="230"/>
      <c r="H30" s="230"/>
      <c r="I30" s="230"/>
      <c r="J30" s="230"/>
      <c r="K30" s="230"/>
      <c r="L30" s="230"/>
      <c r="M30" s="230"/>
      <c r="N30" s="231"/>
      <c r="S30" s="59"/>
    </row>
    <row r="31" spans="2:19" x14ac:dyDescent="0.2">
      <c r="B31" s="229"/>
      <c r="C31" s="230"/>
      <c r="D31" s="230"/>
      <c r="E31" s="230"/>
      <c r="F31" s="230"/>
      <c r="G31" s="230"/>
      <c r="H31" s="230"/>
      <c r="I31" s="230"/>
      <c r="J31" s="230"/>
      <c r="K31" s="230"/>
      <c r="L31" s="230"/>
      <c r="M31" s="230"/>
      <c r="N31" s="231"/>
      <c r="S31" s="59"/>
    </row>
    <row r="32" spans="2:19" x14ac:dyDescent="0.2">
      <c r="B32" s="229"/>
      <c r="C32" s="230"/>
      <c r="D32" s="230"/>
      <c r="E32" s="230"/>
      <c r="F32" s="230"/>
      <c r="G32" s="230"/>
      <c r="H32" s="230"/>
      <c r="I32" s="230"/>
      <c r="J32" s="230"/>
      <c r="K32" s="230"/>
      <c r="L32" s="230"/>
      <c r="M32" s="230"/>
      <c r="N32" s="231"/>
      <c r="S32" s="59"/>
    </row>
    <row r="33" spans="2:19" x14ac:dyDescent="0.2">
      <c r="B33" s="229"/>
      <c r="C33" s="230"/>
      <c r="D33" s="230"/>
      <c r="E33" s="230"/>
      <c r="F33" s="230"/>
      <c r="G33" s="230"/>
      <c r="H33" s="230"/>
      <c r="I33" s="230"/>
      <c r="J33" s="230"/>
      <c r="K33" s="230"/>
      <c r="L33" s="230"/>
      <c r="M33" s="230"/>
      <c r="N33" s="231"/>
      <c r="S33" s="59"/>
    </row>
    <row r="34" spans="2:19" ht="15.75" thickBot="1" x14ac:dyDescent="0.25">
      <c r="B34" s="232"/>
      <c r="C34" s="233"/>
      <c r="D34" s="233"/>
      <c r="E34" s="233"/>
      <c r="F34" s="233"/>
      <c r="G34" s="233"/>
      <c r="H34" s="233"/>
      <c r="I34" s="233"/>
      <c r="J34" s="233"/>
      <c r="K34" s="233"/>
      <c r="L34" s="233"/>
      <c r="M34" s="233"/>
      <c r="N34" s="234"/>
      <c r="S34" s="59"/>
    </row>
    <row r="35" spans="2:19" x14ac:dyDescent="0.2">
      <c r="S35" s="59"/>
    </row>
    <row r="36" spans="2:19" x14ac:dyDescent="0.2">
      <c r="C36" s="210"/>
      <c r="D36" s="211"/>
      <c r="S36" s="59"/>
    </row>
    <row r="37" spans="2:19" x14ac:dyDescent="0.2">
      <c r="C37" s="210"/>
      <c r="D37" s="211"/>
      <c r="S37" s="59"/>
    </row>
    <row r="38" spans="2:19" x14ac:dyDescent="0.2">
      <c r="C38" s="210"/>
      <c r="D38" s="211"/>
      <c r="S38" s="59"/>
    </row>
    <row r="39" spans="2:19" x14ac:dyDescent="0.2">
      <c r="C39" s="210"/>
      <c r="D39" s="211"/>
      <c r="S39" s="59"/>
    </row>
    <row r="40" spans="2:19" x14ac:dyDescent="0.2">
      <c r="C40" s="210"/>
      <c r="D40" s="211"/>
      <c r="S40" s="59"/>
    </row>
    <row r="41" spans="2:19" x14ac:dyDescent="0.2">
      <c r="C41" s="210"/>
      <c r="D41" s="211"/>
      <c r="S41" s="59"/>
    </row>
    <row r="42" spans="2:19" x14ac:dyDescent="0.2">
      <c r="C42" s="210"/>
      <c r="D42" s="211"/>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39:D41">
    <sortCondition descending="1" ref="D39"/>
  </sortState>
  <mergeCells count="3">
    <mergeCell ref="C3:M3"/>
    <mergeCell ref="F7:M7"/>
    <mergeCell ref="B28:N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20" t="s">
        <v>253</v>
      </c>
      <c r="D3" s="220"/>
      <c r="E3" s="220"/>
      <c r="F3" s="220"/>
      <c r="G3" s="220"/>
      <c r="H3" s="220"/>
      <c r="I3" s="220"/>
      <c r="J3" s="220"/>
      <c r="K3" s="220"/>
      <c r="L3" s="220"/>
      <c r="M3" s="221"/>
    </row>
    <row r="4" spans="2:19" ht="15.75" x14ac:dyDescent="0.25">
      <c r="B4" s="112"/>
      <c r="C4" s="85" t="s">
        <v>273</v>
      </c>
      <c r="D4" s="33"/>
      <c r="E4" s="33"/>
      <c r="F4" s="5"/>
      <c r="G4" s="5"/>
      <c r="H4" s="5"/>
      <c r="I4" s="5"/>
      <c r="J4" s="5"/>
      <c r="K4" s="5"/>
      <c r="L4" s="5"/>
      <c r="M4" s="24"/>
    </row>
    <row r="5" spans="2:19" ht="20.25" customHeight="1" x14ac:dyDescent="0.25">
      <c r="B5" s="112"/>
      <c r="C5" s="86" t="s">
        <v>274</v>
      </c>
      <c r="D5" s="113" t="s">
        <v>294</v>
      </c>
      <c r="E5" s="23"/>
      <c r="F5" s="5"/>
      <c r="G5" s="5"/>
      <c r="H5" s="5"/>
      <c r="I5" s="5"/>
      <c r="J5" s="5"/>
      <c r="K5" s="5"/>
      <c r="L5" s="5"/>
      <c r="M5" s="24"/>
    </row>
    <row r="6" spans="2:19" x14ac:dyDescent="0.2">
      <c r="B6" s="112"/>
      <c r="C6" s="5"/>
      <c r="D6" s="5"/>
      <c r="E6" s="5"/>
      <c r="F6" s="5"/>
      <c r="G6" s="5"/>
      <c r="H6" s="5"/>
      <c r="I6" s="5"/>
      <c r="J6" s="5"/>
      <c r="K6" s="5"/>
      <c r="L6" s="5"/>
      <c r="M6" s="24"/>
    </row>
    <row r="7" spans="2:19" ht="15.75" x14ac:dyDescent="0.2">
      <c r="B7" s="112"/>
      <c r="C7" s="114" t="s">
        <v>44</v>
      </c>
      <c r="D7" s="114" t="s">
        <v>46</v>
      </c>
      <c r="E7" s="5"/>
      <c r="F7" s="222" t="s">
        <v>51</v>
      </c>
      <c r="G7" s="222"/>
      <c r="H7" s="222"/>
      <c r="I7" s="222"/>
      <c r="J7" s="222"/>
      <c r="K7" s="222"/>
      <c r="L7" s="222"/>
      <c r="M7" s="223"/>
    </row>
    <row r="8" spans="2:19" x14ac:dyDescent="0.2">
      <c r="B8" s="112"/>
      <c r="C8" s="42" t="s">
        <v>263</v>
      </c>
      <c r="D8" s="44">
        <v>0.38328200000000001</v>
      </c>
      <c r="E8" s="5"/>
      <c r="F8" s="5"/>
      <c r="G8" s="35"/>
      <c r="H8" s="5"/>
      <c r="I8" s="5" t="s">
        <v>52</v>
      </c>
      <c r="J8" s="57">
        <f>D11</f>
        <v>0.70854100000000009</v>
      </c>
      <c r="K8" s="5"/>
      <c r="L8" s="5"/>
      <c r="M8" s="24"/>
      <c r="S8" s="59"/>
    </row>
    <row r="9" spans="2:19" ht="15.75" customHeight="1" x14ac:dyDescent="0.2">
      <c r="B9" s="112"/>
      <c r="C9" s="4" t="s">
        <v>264</v>
      </c>
      <c r="D9" s="6">
        <v>0.27837899999999999</v>
      </c>
      <c r="E9" s="5"/>
      <c r="F9" s="5"/>
      <c r="G9" s="5"/>
      <c r="H9" s="5"/>
      <c r="I9" s="5" t="s">
        <v>54</v>
      </c>
      <c r="J9" s="57">
        <f>D14</f>
        <v>0.26910200000000001</v>
      </c>
      <c r="K9" s="5"/>
      <c r="L9" s="5"/>
      <c r="M9" s="24"/>
      <c r="S9" s="59"/>
    </row>
    <row r="10" spans="2:19" x14ac:dyDescent="0.2">
      <c r="B10" s="112"/>
      <c r="C10" s="4" t="s">
        <v>268</v>
      </c>
      <c r="D10" s="6">
        <v>4.6879999999999998E-2</v>
      </c>
      <c r="E10" s="5"/>
      <c r="F10" s="5"/>
      <c r="G10" s="5"/>
      <c r="H10" s="5"/>
      <c r="I10" s="5" t="s">
        <v>20</v>
      </c>
      <c r="J10" s="57">
        <f>D16</f>
        <v>2.2356999999999998E-2</v>
      </c>
      <c r="K10" s="5"/>
      <c r="L10" s="5"/>
      <c r="M10" s="24"/>
      <c r="S10" s="59"/>
    </row>
    <row r="11" spans="2:19" ht="15.75" x14ac:dyDescent="0.25">
      <c r="B11" s="112"/>
      <c r="C11" s="7" t="s">
        <v>53</v>
      </c>
      <c r="D11" s="8">
        <f>SUM(D8:D10)</f>
        <v>0.70854100000000009</v>
      </c>
      <c r="E11" s="5"/>
      <c r="F11" s="5"/>
      <c r="G11" s="5"/>
      <c r="H11" s="5"/>
      <c r="K11" s="5"/>
      <c r="L11" s="5"/>
      <c r="M11" s="24"/>
      <c r="S11" s="59"/>
    </row>
    <row r="12" spans="2:19" x14ac:dyDescent="0.2">
      <c r="B12" s="112"/>
      <c r="C12" s="4"/>
      <c r="D12" s="6"/>
      <c r="E12" s="5"/>
      <c r="F12" s="5"/>
      <c r="G12" s="5"/>
      <c r="H12" s="5"/>
      <c r="I12" s="5"/>
      <c r="J12" s="5"/>
      <c r="K12" s="5"/>
      <c r="L12" s="5"/>
      <c r="M12" s="24"/>
      <c r="S12" s="59"/>
    </row>
    <row r="13" spans="2:19" x14ac:dyDescent="0.2">
      <c r="B13" s="112"/>
      <c r="C13" s="4" t="s">
        <v>252</v>
      </c>
      <c r="D13" s="6">
        <v>0.26910200000000001</v>
      </c>
      <c r="E13" s="5"/>
      <c r="F13" s="5"/>
      <c r="G13" s="5"/>
      <c r="H13" s="5"/>
      <c r="I13" s="5"/>
      <c r="J13" s="5"/>
      <c r="K13" s="5"/>
      <c r="L13" s="5"/>
      <c r="M13" s="24"/>
      <c r="S13" s="59"/>
    </row>
    <row r="14" spans="2:19" ht="15.75" x14ac:dyDescent="0.25">
      <c r="B14" s="112"/>
      <c r="C14" s="7" t="s">
        <v>19</v>
      </c>
      <c r="D14" s="8">
        <f>SUM(D13)</f>
        <v>0.26910200000000001</v>
      </c>
      <c r="E14" s="5"/>
      <c r="F14" s="5"/>
      <c r="G14" s="5"/>
      <c r="H14" s="5"/>
      <c r="I14" s="5"/>
      <c r="J14" s="5"/>
      <c r="K14" s="5"/>
      <c r="L14" s="5"/>
      <c r="M14" s="24"/>
      <c r="S14" s="59"/>
    </row>
    <row r="15" spans="2:19" x14ac:dyDescent="0.2">
      <c r="B15" s="112"/>
      <c r="C15" s="4"/>
      <c r="D15" s="6"/>
      <c r="E15" s="5"/>
      <c r="F15" s="5"/>
      <c r="G15" s="5"/>
      <c r="H15" s="5"/>
      <c r="I15" s="5"/>
      <c r="J15" s="5"/>
      <c r="K15" s="5"/>
      <c r="L15" s="5"/>
      <c r="M15" s="24"/>
      <c r="S15" s="59"/>
    </row>
    <row r="16" spans="2:19" ht="15.75" x14ac:dyDescent="0.25">
      <c r="B16" s="112"/>
      <c r="C16" s="7" t="s">
        <v>20</v>
      </c>
      <c r="D16" s="8">
        <v>2.2356999999999998E-2</v>
      </c>
      <c r="E16" s="5"/>
      <c r="F16" s="5"/>
      <c r="G16" s="5"/>
      <c r="H16" s="5"/>
      <c r="I16" s="5"/>
      <c r="J16" s="5"/>
      <c r="K16" s="5"/>
      <c r="L16" s="5"/>
      <c r="M16" s="24"/>
      <c r="S16" s="59"/>
    </row>
    <row r="17" spans="2:19" x14ac:dyDescent="0.2">
      <c r="B17" s="112"/>
      <c r="C17" s="4"/>
      <c r="D17" s="6"/>
      <c r="E17" s="5"/>
      <c r="F17" s="5"/>
      <c r="G17" s="5"/>
      <c r="H17" s="5"/>
      <c r="I17" s="5"/>
      <c r="J17" s="5"/>
      <c r="K17" s="5"/>
      <c r="L17" s="5"/>
      <c r="M17" s="24"/>
      <c r="S17" s="59"/>
    </row>
    <row r="18" spans="2:19" ht="15.75" x14ac:dyDescent="0.25">
      <c r="B18" s="112"/>
      <c r="C18" s="9" t="s">
        <v>55</v>
      </c>
      <c r="D18" s="10">
        <f>D16+D14+D11</f>
        <v>1</v>
      </c>
      <c r="E18" s="5"/>
      <c r="F18" s="5"/>
      <c r="G18" s="5"/>
      <c r="H18" s="5"/>
      <c r="I18" s="5"/>
      <c r="J18" s="5"/>
      <c r="K18" s="5"/>
      <c r="L18" s="5"/>
      <c r="M18" s="24"/>
      <c r="S18" s="59"/>
    </row>
    <row r="19" spans="2:19" x14ac:dyDescent="0.2">
      <c r="B19" s="112"/>
      <c r="E19" s="5"/>
      <c r="F19" s="5"/>
      <c r="G19" s="5"/>
      <c r="H19" s="5"/>
      <c r="I19" s="5"/>
      <c r="J19" s="5"/>
      <c r="K19" s="5"/>
      <c r="L19" s="5"/>
      <c r="M19" s="24"/>
      <c r="S19" s="59"/>
    </row>
    <row r="20" spans="2:19" x14ac:dyDescent="0.2">
      <c r="B20" s="112"/>
      <c r="E20" s="5"/>
      <c r="F20" s="5"/>
      <c r="G20" s="5"/>
      <c r="H20" s="5"/>
      <c r="I20" s="5"/>
      <c r="J20" s="5"/>
      <c r="K20" s="5"/>
      <c r="L20" s="5"/>
      <c r="M20" s="24"/>
      <c r="S20" s="59"/>
    </row>
    <row r="21" spans="2:19" x14ac:dyDescent="0.2">
      <c r="B21" s="112"/>
      <c r="E21" s="5"/>
      <c r="F21" s="5"/>
      <c r="G21" s="5"/>
      <c r="H21" s="5"/>
      <c r="I21" s="5"/>
      <c r="J21" s="5"/>
      <c r="K21" s="5"/>
      <c r="L21" s="5"/>
      <c r="M21" s="24"/>
      <c r="S21" s="59"/>
    </row>
    <row r="22" spans="2:19" ht="16.5" thickBot="1" x14ac:dyDescent="0.3">
      <c r="B22" s="116"/>
      <c r="C22" s="224"/>
      <c r="D22" s="224"/>
      <c r="E22" s="224"/>
      <c r="F22" s="224"/>
      <c r="G22" s="224"/>
      <c r="H22" s="224"/>
      <c r="I22" s="224"/>
      <c r="J22" s="224"/>
      <c r="K22" s="224"/>
      <c r="L22" s="224"/>
      <c r="M22" s="225"/>
      <c r="S22" s="59"/>
    </row>
    <row r="23" spans="2:19" ht="15.75" thickBot="1" x14ac:dyDescent="0.25">
      <c r="S23" s="59"/>
    </row>
    <row r="24" spans="2:19" x14ac:dyDescent="0.2">
      <c r="B24" s="226" t="s">
        <v>254</v>
      </c>
      <c r="C24" s="227"/>
      <c r="D24" s="227"/>
      <c r="E24" s="227"/>
      <c r="F24" s="227"/>
      <c r="G24" s="227"/>
      <c r="H24" s="227"/>
      <c r="I24" s="227"/>
      <c r="J24" s="227"/>
      <c r="K24" s="227"/>
      <c r="L24" s="227"/>
      <c r="M24" s="227"/>
      <c r="N24" s="228"/>
      <c r="S24" s="59"/>
    </row>
    <row r="25" spans="2:19" x14ac:dyDescent="0.2">
      <c r="B25" s="229"/>
      <c r="C25" s="230"/>
      <c r="D25" s="230"/>
      <c r="E25" s="230"/>
      <c r="F25" s="230"/>
      <c r="G25" s="230"/>
      <c r="H25" s="230"/>
      <c r="I25" s="230"/>
      <c r="J25" s="230"/>
      <c r="K25" s="230"/>
      <c r="L25" s="230"/>
      <c r="M25" s="230"/>
      <c r="N25" s="231"/>
      <c r="S25" s="59"/>
    </row>
    <row r="26" spans="2:19" x14ac:dyDescent="0.2">
      <c r="B26" s="229"/>
      <c r="C26" s="230"/>
      <c r="D26" s="230"/>
      <c r="E26" s="230"/>
      <c r="F26" s="230"/>
      <c r="G26" s="230"/>
      <c r="H26" s="230"/>
      <c r="I26" s="230"/>
      <c r="J26" s="230"/>
      <c r="K26" s="230"/>
      <c r="L26" s="230"/>
      <c r="M26" s="230"/>
      <c r="N26" s="231"/>
      <c r="S26" s="59"/>
    </row>
    <row r="27" spans="2:19" x14ac:dyDescent="0.2">
      <c r="B27" s="229"/>
      <c r="C27" s="230"/>
      <c r="D27" s="230"/>
      <c r="E27" s="230"/>
      <c r="F27" s="230"/>
      <c r="G27" s="230"/>
      <c r="H27" s="230"/>
      <c r="I27" s="230"/>
      <c r="J27" s="230"/>
      <c r="K27" s="230"/>
      <c r="L27" s="230"/>
      <c r="M27" s="230"/>
      <c r="N27" s="231"/>
      <c r="S27" s="59"/>
    </row>
    <row r="28" spans="2:19" x14ac:dyDescent="0.2">
      <c r="B28" s="229"/>
      <c r="C28" s="230"/>
      <c r="D28" s="230"/>
      <c r="E28" s="230"/>
      <c r="F28" s="230"/>
      <c r="G28" s="230"/>
      <c r="H28" s="230"/>
      <c r="I28" s="230"/>
      <c r="J28" s="230"/>
      <c r="K28" s="230"/>
      <c r="L28" s="230"/>
      <c r="M28" s="230"/>
      <c r="N28" s="231"/>
      <c r="S28" s="59"/>
    </row>
    <row r="29" spans="2:19" x14ac:dyDescent="0.2">
      <c r="B29" s="229"/>
      <c r="C29" s="230"/>
      <c r="D29" s="230"/>
      <c r="E29" s="230"/>
      <c r="F29" s="230"/>
      <c r="G29" s="230"/>
      <c r="H29" s="230"/>
      <c r="I29" s="230"/>
      <c r="J29" s="230"/>
      <c r="K29" s="230"/>
      <c r="L29" s="230"/>
      <c r="M29" s="230"/>
      <c r="N29" s="231"/>
      <c r="S29" s="59"/>
    </row>
    <row r="30" spans="2:19" ht="15.75" thickBot="1" x14ac:dyDescent="0.25">
      <c r="B30" s="232"/>
      <c r="C30" s="233"/>
      <c r="D30" s="233"/>
      <c r="E30" s="233"/>
      <c r="F30" s="233"/>
      <c r="G30" s="233"/>
      <c r="H30" s="233"/>
      <c r="I30" s="233"/>
      <c r="J30" s="233"/>
      <c r="K30" s="233"/>
      <c r="L30" s="233"/>
      <c r="M30" s="233"/>
      <c r="N30" s="234"/>
      <c r="S30" s="59"/>
    </row>
    <row r="31" spans="2:19" x14ac:dyDescent="0.2">
      <c r="S31" s="59"/>
    </row>
    <row r="32" spans="2:19" x14ac:dyDescent="0.2">
      <c r="C32" s="210"/>
      <c r="D32" s="211"/>
      <c r="S32" s="59"/>
    </row>
    <row r="33" spans="3:19" x14ac:dyDescent="0.2">
      <c r="C33" s="210"/>
      <c r="D33" s="211"/>
      <c r="S33" s="59"/>
    </row>
    <row r="34" spans="3:19" x14ac:dyDescent="0.2">
      <c r="C34" s="210"/>
      <c r="D34" s="211"/>
      <c r="S34" s="59"/>
    </row>
    <row r="35" spans="3:19" x14ac:dyDescent="0.2">
      <c r="C35" s="210"/>
      <c r="D35" s="211"/>
      <c r="S35" s="59"/>
    </row>
    <row r="36" spans="3:19" x14ac:dyDescent="0.2">
      <c r="C36" s="210"/>
      <c r="D36" s="211"/>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2:D34">
    <sortCondition descending="1" ref="D32"/>
  </sortState>
  <mergeCells count="4">
    <mergeCell ref="C3:M3"/>
    <mergeCell ref="F7:M7"/>
    <mergeCell ref="C22:M22"/>
    <mergeCell ref="B24:N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229</v>
      </c>
      <c r="D3" s="235"/>
      <c r="E3" s="235"/>
      <c r="F3" s="235"/>
      <c r="G3" s="235"/>
      <c r="H3" s="235"/>
      <c r="I3" s="235"/>
      <c r="J3" s="235"/>
      <c r="K3" s="235"/>
      <c r="L3" s="235"/>
      <c r="M3" s="235"/>
      <c r="N3" s="235"/>
      <c r="O3" s="235"/>
      <c r="P3" s="235"/>
      <c r="Q3" s="235"/>
      <c r="R3" s="235"/>
      <c r="S3" s="235"/>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7" t="s">
        <v>295</v>
      </c>
      <c r="E5" s="237"/>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0.103211</v>
      </c>
      <c r="F8" s="33"/>
      <c r="G8" s="33"/>
      <c r="H8" s="33"/>
      <c r="I8" s="33"/>
      <c r="J8" s="33"/>
      <c r="K8" s="33"/>
      <c r="L8" s="33"/>
      <c r="M8" s="33"/>
      <c r="N8" s="33"/>
      <c r="O8" s="33"/>
      <c r="P8" s="33"/>
      <c r="Q8" s="33"/>
      <c r="R8" s="33"/>
      <c r="S8" s="33"/>
      <c r="T8" s="26"/>
      <c r="W8" s="77" t="s">
        <v>3</v>
      </c>
      <c r="X8" s="79">
        <v>0.27259100000000003</v>
      </c>
    </row>
    <row r="9" spans="1:24" ht="15.75" customHeight="1" x14ac:dyDescent="0.25">
      <c r="B9" s="98"/>
      <c r="C9" s="16" t="s">
        <v>29</v>
      </c>
      <c r="D9" s="18" t="s">
        <v>3</v>
      </c>
      <c r="E9" s="20">
        <v>9.2882999999999993E-2</v>
      </c>
      <c r="F9" s="33"/>
      <c r="G9" s="33"/>
      <c r="H9" s="33"/>
      <c r="I9" s="33"/>
      <c r="J9" s="33"/>
      <c r="K9" s="33"/>
      <c r="L9" s="33"/>
      <c r="M9" s="33"/>
      <c r="N9" s="33"/>
      <c r="O9" s="33"/>
      <c r="P9" s="33"/>
      <c r="Q9" s="33"/>
      <c r="R9" s="33"/>
      <c r="S9" s="33"/>
      <c r="T9" s="26"/>
      <c r="W9" s="77" t="s">
        <v>137</v>
      </c>
      <c r="X9" s="79">
        <v>0.14079900000000001</v>
      </c>
    </row>
    <row r="10" spans="1:24" ht="15.75" x14ac:dyDescent="0.25">
      <c r="B10" s="98"/>
      <c r="C10" s="16" t="s">
        <v>33</v>
      </c>
      <c r="D10" s="18" t="s">
        <v>3</v>
      </c>
      <c r="E10" s="20">
        <v>8.0171999999999993E-2</v>
      </c>
      <c r="F10" s="33"/>
      <c r="G10" s="33"/>
      <c r="H10" s="33"/>
      <c r="I10" s="33"/>
      <c r="J10" s="33"/>
      <c r="K10" s="33"/>
      <c r="L10" s="33"/>
      <c r="M10" s="33"/>
      <c r="N10" s="33"/>
      <c r="O10" s="33"/>
      <c r="P10" s="33"/>
      <c r="Q10" s="33"/>
      <c r="R10" s="33"/>
      <c r="S10" s="33"/>
      <c r="T10" s="26"/>
      <c r="W10" s="77" t="s">
        <v>6</v>
      </c>
      <c r="X10" s="79">
        <v>0.107513</v>
      </c>
    </row>
    <row r="11" spans="1:24" ht="15.75" customHeight="1" x14ac:dyDescent="0.25">
      <c r="B11" s="98"/>
      <c r="C11" s="16" t="s">
        <v>28</v>
      </c>
      <c r="D11" s="18" t="s">
        <v>137</v>
      </c>
      <c r="E11" s="20">
        <v>6.6694000000000003E-2</v>
      </c>
      <c r="F11" s="33"/>
      <c r="G11" s="33"/>
      <c r="H11" s="33"/>
      <c r="I11" s="33"/>
      <c r="J11" s="33"/>
      <c r="K11" s="33"/>
      <c r="L11" s="33"/>
      <c r="M11" s="33"/>
      <c r="N11" s="33"/>
      <c r="O11" s="33"/>
      <c r="P11" s="33"/>
      <c r="Q11" s="33"/>
      <c r="R11" s="33"/>
      <c r="S11" s="33"/>
      <c r="T11" s="26"/>
      <c r="W11" s="77" t="s">
        <v>4</v>
      </c>
      <c r="X11" s="79">
        <v>9.0824000000000002E-2</v>
      </c>
    </row>
    <row r="12" spans="1:24" ht="15" customHeight="1" x14ac:dyDescent="0.25">
      <c r="B12" s="98"/>
      <c r="C12" s="16" t="s">
        <v>30</v>
      </c>
      <c r="D12" s="18" t="s">
        <v>4</v>
      </c>
      <c r="E12" s="20">
        <v>6.2274000000000003E-2</v>
      </c>
      <c r="F12" s="33"/>
      <c r="G12" s="33"/>
      <c r="H12" s="33"/>
      <c r="I12" s="33"/>
      <c r="J12" s="33"/>
      <c r="K12" s="33"/>
      <c r="L12" s="33"/>
      <c r="M12" s="33"/>
      <c r="N12" s="33"/>
      <c r="O12" s="33"/>
      <c r="P12" s="33"/>
      <c r="Q12" s="33"/>
      <c r="R12" s="33"/>
      <c r="S12" s="33"/>
      <c r="T12" s="26"/>
      <c r="W12" s="77" t="s">
        <v>148</v>
      </c>
      <c r="X12" s="79">
        <v>7.4200000000000002E-2</v>
      </c>
    </row>
    <row r="13" spans="1:24" ht="15" customHeight="1" x14ac:dyDescent="0.25">
      <c r="B13" s="98"/>
      <c r="C13" s="16" t="s">
        <v>31</v>
      </c>
      <c r="D13" s="18" t="s">
        <v>148</v>
      </c>
      <c r="E13" s="20">
        <v>4.4283999999999997E-2</v>
      </c>
      <c r="F13" s="33"/>
      <c r="G13" s="33"/>
      <c r="H13" s="33"/>
      <c r="I13" s="33"/>
      <c r="J13" s="33"/>
      <c r="K13" s="33"/>
      <c r="L13" s="33"/>
      <c r="M13" s="33"/>
      <c r="N13" s="33"/>
      <c r="O13" s="33"/>
      <c r="P13" s="33"/>
      <c r="Q13" s="33"/>
      <c r="R13" s="33"/>
      <c r="S13" s="33"/>
      <c r="T13" s="26"/>
      <c r="W13" s="77" t="s">
        <v>143</v>
      </c>
      <c r="X13" s="79">
        <v>5.2732000000000001E-2</v>
      </c>
    </row>
    <row r="14" spans="1:24" ht="15" customHeight="1" x14ac:dyDescent="0.25">
      <c r="B14" s="98"/>
      <c r="C14" s="16" t="s">
        <v>34</v>
      </c>
      <c r="D14" s="18" t="s">
        <v>137</v>
      </c>
      <c r="E14" s="20">
        <v>4.2998000000000001E-2</v>
      </c>
      <c r="F14" s="33"/>
      <c r="G14" s="33"/>
      <c r="H14" s="33"/>
      <c r="I14" s="33"/>
      <c r="J14" s="33"/>
      <c r="K14" s="33"/>
      <c r="L14" s="33"/>
      <c r="M14" s="33"/>
      <c r="N14" s="33"/>
      <c r="O14" s="33"/>
      <c r="P14" s="33"/>
      <c r="Q14" s="33"/>
      <c r="R14" s="33"/>
      <c r="S14" s="33"/>
      <c r="T14" s="26"/>
      <c r="W14" s="77" t="s">
        <v>23</v>
      </c>
      <c r="X14" s="79">
        <v>3.4238999999999999E-2</v>
      </c>
    </row>
    <row r="15" spans="1:24" ht="15" customHeight="1" x14ac:dyDescent="0.25">
      <c r="B15" s="98"/>
      <c r="C15" s="16" t="s">
        <v>35</v>
      </c>
      <c r="D15" s="18" t="s">
        <v>23</v>
      </c>
      <c r="E15" s="20">
        <v>3.4238999999999999E-2</v>
      </c>
      <c r="F15" s="33"/>
      <c r="G15" s="33"/>
      <c r="H15" s="33"/>
      <c r="I15" s="33"/>
      <c r="J15" s="33"/>
      <c r="K15" s="33"/>
      <c r="L15" s="33"/>
      <c r="M15" s="33"/>
      <c r="N15" s="33"/>
      <c r="O15" s="33"/>
      <c r="P15" s="33"/>
      <c r="Q15" s="33"/>
      <c r="R15" s="33"/>
      <c r="S15" s="33"/>
      <c r="T15" s="26"/>
      <c r="W15" s="77" t="s">
        <v>142</v>
      </c>
      <c r="X15" s="79">
        <v>3.2143000000000005E-2</v>
      </c>
    </row>
    <row r="16" spans="1:24" ht="15" customHeight="1" x14ac:dyDescent="0.25">
      <c r="B16" s="98"/>
      <c r="C16" s="16" t="s">
        <v>36</v>
      </c>
      <c r="D16" s="18" t="s">
        <v>3</v>
      </c>
      <c r="E16" s="20">
        <v>3.3347000000000002E-2</v>
      </c>
      <c r="F16" s="33"/>
      <c r="G16" s="33"/>
      <c r="H16" s="33"/>
      <c r="I16" s="33"/>
      <c r="J16" s="33"/>
      <c r="K16" s="33"/>
      <c r="L16" s="33"/>
      <c r="M16" s="33"/>
      <c r="N16" s="33"/>
      <c r="O16" s="33"/>
      <c r="P16" s="33"/>
      <c r="Q16" s="33"/>
      <c r="R16" s="33"/>
      <c r="S16" s="33"/>
      <c r="T16" s="26"/>
      <c r="W16" s="77" t="s">
        <v>16</v>
      </c>
      <c r="X16" s="79">
        <v>3.0033999999999998E-2</v>
      </c>
    </row>
    <row r="17" spans="2:24" ht="15" customHeight="1" x14ac:dyDescent="0.25">
      <c r="B17" s="98"/>
      <c r="C17" s="16" t="s">
        <v>37</v>
      </c>
      <c r="D17" s="18" t="s">
        <v>3</v>
      </c>
      <c r="E17" s="20">
        <v>3.0768E-2</v>
      </c>
      <c r="F17" s="33"/>
      <c r="G17" s="33"/>
      <c r="H17" s="33"/>
      <c r="I17" s="33"/>
      <c r="J17" s="33"/>
      <c r="K17" s="33"/>
      <c r="L17" s="33"/>
      <c r="M17" s="33"/>
      <c r="N17" s="33"/>
      <c r="O17" s="33"/>
      <c r="P17" s="33"/>
      <c r="Q17" s="33"/>
      <c r="R17" s="33"/>
      <c r="S17" s="33"/>
      <c r="T17" s="26"/>
      <c r="W17" s="77" t="s">
        <v>12</v>
      </c>
      <c r="X17" s="79">
        <v>2.4053999999999999E-2</v>
      </c>
    </row>
    <row r="18" spans="2:24" ht="15" customHeight="1" x14ac:dyDescent="0.25">
      <c r="B18" s="98"/>
      <c r="C18" s="16" t="s">
        <v>38</v>
      </c>
      <c r="D18" s="18" t="s">
        <v>148</v>
      </c>
      <c r="E18" s="20">
        <v>2.9916000000000002E-2</v>
      </c>
      <c r="F18" s="33"/>
      <c r="G18" s="33"/>
      <c r="H18" s="33"/>
      <c r="I18" s="33"/>
      <c r="J18" s="33"/>
      <c r="K18" s="33"/>
      <c r="L18" s="33"/>
      <c r="M18" s="33"/>
      <c r="N18" s="33"/>
      <c r="O18" s="33"/>
      <c r="P18" s="33"/>
      <c r="Q18" s="33"/>
      <c r="R18" s="33"/>
      <c r="S18" s="33"/>
      <c r="T18" s="26"/>
      <c r="W18" s="77" t="s">
        <v>10</v>
      </c>
      <c r="X18" s="79">
        <v>2.0992999999999998E-2</v>
      </c>
    </row>
    <row r="19" spans="2:24" ht="15" customHeight="1" x14ac:dyDescent="0.25">
      <c r="B19" s="98"/>
      <c r="C19" s="16" t="s">
        <v>95</v>
      </c>
      <c r="D19" s="18" t="s">
        <v>3</v>
      </c>
      <c r="E19" s="20">
        <v>2.6311999999999999E-2</v>
      </c>
      <c r="F19" s="33"/>
      <c r="G19" s="33"/>
      <c r="H19" s="33"/>
      <c r="I19" s="33"/>
      <c r="J19" s="33"/>
      <c r="K19" s="33"/>
      <c r="L19" s="33"/>
      <c r="M19" s="33"/>
      <c r="N19" s="33"/>
      <c r="O19" s="33"/>
      <c r="P19" s="33"/>
      <c r="Q19" s="33"/>
      <c r="R19" s="33"/>
      <c r="S19" s="33"/>
      <c r="T19" s="26"/>
      <c r="W19" s="77" t="s">
        <v>11</v>
      </c>
      <c r="X19" s="79">
        <v>1.9519999999999999E-2</v>
      </c>
    </row>
    <row r="20" spans="2:24" ht="15" customHeight="1" x14ac:dyDescent="0.25">
      <c r="B20" s="98"/>
      <c r="C20" s="16" t="s">
        <v>77</v>
      </c>
      <c r="D20" s="18" t="s">
        <v>12</v>
      </c>
      <c r="E20" s="20">
        <v>2.4053999999999999E-2</v>
      </c>
      <c r="F20" s="33"/>
      <c r="G20" s="33"/>
      <c r="H20" s="33"/>
      <c r="I20" s="33"/>
      <c r="J20" s="33"/>
      <c r="K20" s="33"/>
      <c r="L20" s="33"/>
      <c r="M20" s="33"/>
      <c r="N20" s="33"/>
      <c r="O20" s="33"/>
      <c r="P20" s="33"/>
      <c r="Q20" s="33"/>
      <c r="R20" s="33"/>
      <c r="S20" s="33"/>
      <c r="T20" s="26"/>
      <c r="W20" s="77" t="s">
        <v>99</v>
      </c>
      <c r="X20" s="79">
        <v>1.9400000000000001E-2</v>
      </c>
    </row>
    <row r="21" spans="2:24" ht="15" customHeight="1" x14ac:dyDescent="0.25">
      <c r="B21" s="98"/>
      <c r="C21" s="16" t="s">
        <v>97</v>
      </c>
      <c r="D21" s="18" t="s">
        <v>4</v>
      </c>
      <c r="E21" s="20">
        <v>1.9571000000000002E-2</v>
      </c>
      <c r="F21" s="33"/>
      <c r="G21" s="33"/>
      <c r="H21" s="33"/>
      <c r="I21" s="33"/>
      <c r="J21" s="33"/>
      <c r="K21" s="33"/>
      <c r="L21" s="33"/>
      <c r="M21" s="33"/>
      <c r="N21" s="33"/>
      <c r="O21" s="33"/>
      <c r="P21" s="33"/>
      <c r="Q21" s="33"/>
      <c r="R21" s="33"/>
      <c r="S21" s="33"/>
      <c r="T21" s="26"/>
      <c r="W21" s="77" t="s">
        <v>138</v>
      </c>
      <c r="X21" s="79">
        <v>1.5885999999999997E-2</v>
      </c>
    </row>
    <row r="22" spans="2:24" ht="15" customHeight="1" x14ac:dyDescent="0.25">
      <c r="B22" s="98"/>
      <c r="C22" s="16" t="s">
        <v>222</v>
      </c>
      <c r="D22" s="18" t="s">
        <v>16</v>
      </c>
      <c r="E22" s="20">
        <v>1.6296999999999999E-2</v>
      </c>
      <c r="F22" s="33"/>
      <c r="G22" s="33"/>
      <c r="H22" s="33"/>
      <c r="I22" s="33"/>
      <c r="J22" s="33"/>
      <c r="K22" s="33"/>
      <c r="L22" s="33"/>
      <c r="M22" s="33"/>
      <c r="N22" s="33"/>
      <c r="O22" s="33"/>
      <c r="P22" s="33"/>
      <c r="Q22" s="33"/>
      <c r="R22" s="33"/>
      <c r="S22" s="33"/>
      <c r="T22" s="26"/>
      <c r="W22" s="77" t="s">
        <v>102</v>
      </c>
      <c r="X22" s="79">
        <v>1.2951000000000001E-2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15</v>
      </c>
      <c r="X23" s="79">
        <v>7.7510000000000001E-3</v>
      </c>
    </row>
    <row r="24" spans="2:24" ht="15" customHeight="1" x14ac:dyDescent="0.25">
      <c r="B24" s="98"/>
      <c r="C24" s="92" t="s">
        <v>56</v>
      </c>
      <c r="D24" s="93"/>
      <c r="E24" s="103">
        <f>SUM(E8:E22)</f>
        <v>0.70702000000000009</v>
      </c>
      <c r="F24" s="33"/>
      <c r="G24" s="33"/>
      <c r="H24" s="33"/>
      <c r="I24" s="33"/>
      <c r="J24" s="33"/>
      <c r="K24" s="33"/>
      <c r="L24" s="33"/>
      <c r="M24" s="33"/>
      <c r="N24" s="33"/>
      <c r="O24" s="33"/>
      <c r="P24" s="33"/>
      <c r="Q24" s="33"/>
      <c r="R24" s="33"/>
      <c r="S24" s="33"/>
      <c r="T24" s="26"/>
      <c r="W24" s="77" t="s">
        <v>13</v>
      </c>
      <c r="X24" s="79">
        <v>7.7070000000000003E-3</v>
      </c>
    </row>
    <row r="25" spans="2:24" ht="15" customHeight="1" x14ac:dyDescent="0.25">
      <c r="B25" s="98"/>
      <c r="C25" s="33"/>
      <c r="D25" s="33"/>
      <c r="E25" s="33"/>
      <c r="F25" s="33"/>
      <c r="G25" s="33"/>
      <c r="H25" s="33"/>
      <c r="I25" s="33"/>
      <c r="J25" s="33"/>
      <c r="K25" s="33"/>
      <c r="L25" s="33"/>
      <c r="M25" s="33"/>
      <c r="N25" s="33"/>
      <c r="O25" s="33"/>
      <c r="P25" s="33"/>
      <c r="Q25" s="33"/>
      <c r="R25" s="33"/>
      <c r="S25" s="33"/>
      <c r="T25" s="26"/>
      <c r="W25" s="77" t="s">
        <v>164</v>
      </c>
      <c r="X25" s="79">
        <v>6.2680000000000001E-3</v>
      </c>
    </row>
    <row r="26" spans="2:24" ht="15" customHeight="1" x14ac:dyDescent="0.25">
      <c r="B26" s="98"/>
      <c r="C26" s="104"/>
      <c r="D26" s="104"/>
      <c r="E26" s="105"/>
      <c r="F26" s="33"/>
      <c r="G26" s="33"/>
      <c r="H26" s="33"/>
      <c r="I26" s="33"/>
      <c r="J26" s="33"/>
      <c r="K26" s="33"/>
      <c r="L26" s="33"/>
      <c r="M26" s="33"/>
      <c r="N26" s="33"/>
      <c r="O26" s="33"/>
      <c r="P26" s="33"/>
      <c r="Q26" s="33"/>
      <c r="R26" s="33"/>
      <c r="S26" s="33"/>
      <c r="T26" s="26"/>
      <c r="W26" s="77" t="s">
        <v>162</v>
      </c>
      <c r="X26" s="79">
        <v>6.254E-3</v>
      </c>
    </row>
    <row r="27" spans="2:24" ht="15" customHeight="1" x14ac:dyDescent="0.25">
      <c r="B27" s="98"/>
      <c r="C27" s="63"/>
      <c r="D27" s="63"/>
      <c r="E27" s="106"/>
      <c r="F27" s="33"/>
      <c r="G27" s="33"/>
      <c r="H27" s="33"/>
      <c r="I27" s="33"/>
      <c r="J27" s="33"/>
      <c r="K27" s="33"/>
      <c r="L27" s="33"/>
      <c r="M27" s="33"/>
      <c r="N27" s="33"/>
      <c r="O27" s="33"/>
      <c r="P27" s="33"/>
      <c r="Q27" s="33"/>
      <c r="R27" s="33"/>
      <c r="S27" s="33"/>
      <c r="T27" s="26"/>
      <c r="W27" s="77" t="s">
        <v>163</v>
      </c>
      <c r="X27" s="79">
        <v>5.862E-3</v>
      </c>
    </row>
    <row r="28" spans="2:24" ht="15" customHeight="1" x14ac:dyDescent="0.25">
      <c r="B28" s="98"/>
      <c r="C28" s="104"/>
      <c r="D28" s="107"/>
      <c r="E28" s="108"/>
      <c r="F28" s="33"/>
      <c r="G28" s="33"/>
      <c r="H28" s="33"/>
      <c r="I28" s="33"/>
      <c r="J28" s="33"/>
      <c r="K28" s="33"/>
      <c r="L28" s="33"/>
      <c r="M28" s="33"/>
      <c r="N28" s="33"/>
      <c r="O28" s="33"/>
      <c r="P28" s="33"/>
      <c r="Q28" s="33"/>
      <c r="R28" s="33"/>
      <c r="S28" s="33"/>
      <c r="T28" s="26"/>
      <c r="W28" s="77" t="s">
        <v>91</v>
      </c>
      <c r="X28" s="79">
        <v>5.6810000000000003E-3</v>
      </c>
    </row>
    <row r="29" spans="2:24" ht="15" customHeight="1" x14ac:dyDescent="0.25">
      <c r="B29" s="98"/>
      <c r="C29" s="63"/>
      <c r="D29" s="63"/>
      <c r="E29" s="63"/>
      <c r="F29" s="33"/>
      <c r="G29" s="33"/>
      <c r="H29" s="33"/>
      <c r="I29" s="33"/>
      <c r="J29" s="33"/>
      <c r="K29" s="33"/>
      <c r="L29" s="33"/>
      <c r="M29" s="33"/>
      <c r="N29" s="33"/>
      <c r="O29" s="33"/>
      <c r="P29" s="33"/>
      <c r="Q29" s="33"/>
      <c r="R29" s="33"/>
      <c r="S29" s="33"/>
      <c r="T29" s="26"/>
      <c r="W29" s="77" t="s">
        <v>146</v>
      </c>
      <c r="X29" s="79">
        <v>5.5180000000000003E-3</v>
      </c>
    </row>
    <row r="30" spans="2:24" ht="15" customHeight="1" x14ac:dyDescent="0.25">
      <c r="B30" s="98"/>
      <c r="C30" s="104"/>
      <c r="D30" s="107"/>
      <c r="E30" s="105"/>
      <c r="F30" s="33"/>
      <c r="G30" s="33"/>
      <c r="H30" s="33"/>
      <c r="I30" s="33"/>
      <c r="J30" s="33"/>
      <c r="K30" s="33"/>
      <c r="L30" s="33"/>
      <c r="M30" s="33"/>
      <c r="N30" s="33"/>
      <c r="O30" s="33"/>
      <c r="P30" s="33"/>
      <c r="Q30" s="33"/>
      <c r="R30" s="33"/>
      <c r="S30" s="33"/>
      <c r="T30" s="26"/>
      <c r="W30" s="77" t="s">
        <v>149</v>
      </c>
      <c r="X30" s="79">
        <v>4.8640000000000003E-3</v>
      </c>
    </row>
    <row r="31" spans="2:24" ht="15" customHeight="1" thickBot="1" x14ac:dyDescent="0.3">
      <c r="B31" s="99"/>
      <c r="C31" s="100"/>
      <c r="D31" s="100"/>
      <c r="E31" s="100"/>
      <c r="F31" s="100"/>
      <c r="G31" s="100"/>
      <c r="H31" s="100"/>
      <c r="I31" s="100"/>
      <c r="J31" s="100"/>
      <c r="K31" s="100"/>
      <c r="L31" s="100"/>
      <c r="M31" s="100"/>
      <c r="N31" s="100"/>
      <c r="O31" s="100"/>
      <c r="P31" s="100"/>
      <c r="Q31" s="100"/>
      <c r="R31" s="100"/>
      <c r="S31" s="100"/>
      <c r="T31" s="27"/>
    </row>
    <row r="32" spans="2:24" ht="15" customHeight="1" thickBot="1" x14ac:dyDescent="0.3"/>
    <row r="33" spans="2:14" ht="15" customHeight="1" x14ac:dyDescent="0.25">
      <c r="B33" s="226" t="s">
        <v>254</v>
      </c>
      <c r="C33" s="227"/>
      <c r="D33" s="227"/>
      <c r="E33" s="227"/>
      <c r="F33" s="227"/>
      <c r="G33" s="227"/>
      <c r="H33" s="227"/>
      <c r="I33" s="227"/>
      <c r="J33" s="227"/>
      <c r="K33" s="227"/>
      <c r="L33" s="227"/>
      <c r="M33" s="227"/>
      <c r="N33" s="228"/>
    </row>
    <row r="34" spans="2:14" ht="15" customHeight="1" x14ac:dyDescent="0.25">
      <c r="B34" s="229"/>
      <c r="C34" s="230"/>
      <c r="D34" s="230"/>
      <c r="E34" s="230"/>
      <c r="F34" s="230"/>
      <c r="G34" s="230"/>
      <c r="H34" s="230"/>
      <c r="I34" s="230"/>
      <c r="J34" s="230"/>
      <c r="K34" s="230"/>
      <c r="L34" s="230"/>
      <c r="M34" s="230"/>
      <c r="N34" s="231"/>
    </row>
    <row r="35" spans="2:14" ht="15" customHeight="1" x14ac:dyDescent="0.25">
      <c r="B35" s="229"/>
      <c r="C35" s="230"/>
      <c r="D35" s="230"/>
      <c r="E35" s="230"/>
      <c r="F35" s="230"/>
      <c r="G35" s="230"/>
      <c r="H35" s="230"/>
      <c r="I35" s="230"/>
      <c r="J35" s="230"/>
      <c r="K35" s="230"/>
      <c r="L35" s="230"/>
      <c r="M35" s="230"/>
      <c r="N35" s="231"/>
    </row>
    <row r="36" spans="2:14" ht="15" customHeight="1" x14ac:dyDescent="0.25">
      <c r="B36" s="229"/>
      <c r="C36" s="230"/>
      <c r="D36" s="230"/>
      <c r="E36" s="230"/>
      <c r="F36" s="230"/>
      <c r="G36" s="230"/>
      <c r="H36" s="230"/>
      <c r="I36" s="230"/>
      <c r="J36" s="230"/>
      <c r="K36" s="230"/>
      <c r="L36" s="230"/>
      <c r="M36" s="230"/>
      <c r="N36" s="231"/>
    </row>
    <row r="37" spans="2:14" ht="15" customHeight="1" x14ac:dyDescent="0.25">
      <c r="B37" s="229"/>
      <c r="C37" s="230"/>
      <c r="D37" s="230"/>
      <c r="E37" s="230"/>
      <c r="F37" s="230"/>
      <c r="G37" s="230"/>
      <c r="H37" s="230"/>
      <c r="I37" s="230"/>
      <c r="J37" s="230"/>
      <c r="K37" s="230"/>
      <c r="L37" s="230"/>
      <c r="M37" s="230"/>
      <c r="N37" s="231"/>
    </row>
    <row r="38" spans="2:14" ht="15" customHeight="1" x14ac:dyDescent="0.25">
      <c r="B38" s="229"/>
      <c r="C38" s="230"/>
      <c r="D38" s="230"/>
      <c r="E38" s="230"/>
      <c r="F38" s="230"/>
      <c r="G38" s="230"/>
      <c r="H38" s="230"/>
      <c r="I38" s="230"/>
      <c r="J38" s="230"/>
      <c r="K38" s="230"/>
      <c r="L38" s="230"/>
      <c r="M38" s="230"/>
      <c r="N38" s="231"/>
    </row>
    <row r="39" spans="2:14" ht="15" customHeight="1" thickBot="1" x14ac:dyDescent="0.3">
      <c r="B39" s="232"/>
      <c r="C39" s="233"/>
      <c r="D39" s="233"/>
      <c r="E39" s="233"/>
      <c r="F39" s="233"/>
      <c r="G39" s="233"/>
      <c r="H39" s="233"/>
      <c r="I39" s="233"/>
      <c r="J39" s="233"/>
      <c r="K39" s="233"/>
      <c r="L39" s="233"/>
      <c r="M39" s="233"/>
      <c r="N39" s="234"/>
    </row>
    <row r="40" spans="2:14" ht="15" customHeight="1" x14ac:dyDescent="0.25"/>
    <row r="41" spans="2:14" ht="15" customHeight="1" x14ac:dyDescent="0.25"/>
    <row r="42" spans="2:14" ht="15" customHeight="1" x14ac:dyDescent="0.25"/>
    <row r="43" spans="2:14" ht="15" customHeight="1" x14ac:dyDescent="0.25"/>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N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2" width="9.140625" style="23" customWidth="1"/>
    <col min="23"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228</v>
      </c>
      <c r="D3" s="236"/>
      <c r="E3" s="236"/>
      <c r="F3" s="236"/>
      <c r="G3" s="236"/>
      <c r="H3" s="236"/>
      <c r="I3" s="236"/>
      <c r="J3" s="236"/>
      <c r="K3" s="236"/>
      <c r="L3" s="236"/>
      <c r="M3" s="236"/>
      <c r="N3" s="236"/>
      <c r="O3" s="236"/>
      <c r="P3" s="236"/>
      <c r="Q3" s="236"/>
      <c r="R3" s="236"/>
      <c r="S3" s="236"/>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9" t="s">
        <v>215</v>
      </c>
      <c r="E5" s="239"/>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0.12009499999999999</v>
      </c>
      <c r="F8" s="33"/>
      <c r="G8" s="33"/>
      <c r="H8" s="33"/>
      <c r="I8" s="33"/>
      <c r="J8" s="33"/>
      <c r="K8" s="33"/>
      <c r="L8" s="33"/>
      <c r="M8" s="33"/>
      <c r="N8" s="33"/>
      <c r="O8" s="33"/>
      <c r="P8" s="33"/>
      <c r="Q8" s="33"/>
      <c r="R8" s="33"/>
      <c r="S8" s="33"/>
      <c r="T8" s="26"/>
      <c r="W8" s="68" t="s">
        <v>3</v>
      </c>
      <c r="X8" s="69">
        <v>0.30982500000000002</v>
      </c>
    </row>
    <row r="9" spans="1:24" ht="15.75" customHeight="1" x14ac:dyDescent="0.25">
      <c r="B9" s="98"/>
      <c r="C9" s="16" t="s">
        <v>29</v>
      </c>
      <c r="D9" s="18" t="s">
        <v>3</v>
      </c>
      <c r="E9" s="20">
        <v>0.10605299999999999</v>
      </c>
      <c r="F9" s="33"/>
      <c r="G9" s="33"/>
      <c r="H9" s="33"/>
      <c r="I9" s="33"/>
      <c r="J9" s="33"/>
      <c r="K9" s="33"/>
      <c r="L9" s="33"/>
      <c r="M9" s="33"/>
      <c r="N9" s="33"/>
      <c r="O9" s="33"/>
      <c r="P9" s="33"/>
      <c r="Q9" s="33"/>
      <c r="R9" s="33"/>
      <c r="S9" s="33"/>
      <c r="T9" s="26"/>
      <c r="W9" s="68" t="s">
        <v>137</v>
      </c>
      <c r="X9" s="69">
        <v>0.161686</v>
      </c>
    </row>
    <row r="10" spans="1:24" ht="15.75" x14ac:dyDescent="0.25">
      <c r="B10" s="98"/>
      <c r="C10" s="16" t="s">
        <v>33</v>
      </c>
      <c r="D10" s="18" t="s">
        <v>3</v>
      </c>
      <c r="E10" s="20">
        <v>9.1586000000000001E-2</v>
      </c>
      <c r="F10" s="33"/>
      <c r="G10" s="33"/>
      <c r="H10" s="33"/>
      <c r="I10" s="33"/>
      <c r="J10" s="33"/>
      <c r="K10" s="33"/>
      <c r="L10" s="33"/>
      <c r="M10" s="33"/>
      <c r="N10" s="33"/>
      <c r="O10" s="33"/>
      <c r="P10" s="33"/>
      <c r="Q10" s="33"/>
      <c r="R10" s="33"/>
      <c r="S10" s="33"/>
      <c r="T10" s="26"/>
      <c r="W10" s="68" t="s">
        <v>6</v>
      </c>
      <c r="X10" s="69">
        <v>0.12009499999999999</v>
      </c>
    </row>
    <row r="11" spans="1:24" ht="15.75" customHeight="1" x14ac:dyDescent="0.25">
      <c r="B11" s="98"/>
      <c r="C11" s="16" t="s">
        <v>28</v>
      </c>
      <c r="D11" s="18" t="s">
        <v>137</v>
      </c>
      <c r="E11" s="20">
        <v>7.7134999999999995E-2</v>
      </c>
      <c r="F11" s="33"/>
      <c r="G11" s="33"/>
      <c r="H11" s="33"/>
      <c r="I11" s="33"/>
      <c r="J11" s="33"/>
      <c r="K11" s="33"/>
      <c r="L11" s="33"/>
      <c r="M11" s="33"/>
      <c r="N11" s="33"/>
      <c r="O11" s="33"/>
      <c r="P11" s="33"/>
      <c r="Q11" s="33"/>
      <c r="R11" s="33"/>
      <c r="S11" s="33"/>
      <c r="T11" s="26"/>
      <c r="W11" s="68" t="s">
        <v>4</v>
      </c>
      <c r="X11" s="69">
        <v>0.105027</v>
      </c>
    </row>
    <row r="12" spans="1:24" ht="15" customHeight="1" x14ac:dyDescent="0.25">
      <c r="B12" s="98"/>
      <c r="C12" s="16" t="s">
        <v>30</v>
      </c>
      <c r="D12" s="18" t="s">
        <v>4</v>
      </c>
      <c r="E12" s="20">
        <v>7.1572999999999998E-2</v>
      </c>
      <c r="F12" s="33"/>
      <c r="G12" s="33"/>
      <c r="H12" s="33"/>
      <c r="I12" s="33"/>
      <c r="J12" s="33"/>
      <c r="K12" s="33"/>
      <c r="L12" s="33"/>
      <c r="M12" s="33"/>
      <c r="N12" s="33"/>
      <c r="O12" s="33"/>
      <c r="P12" s="33"/>
      <c r="Q12" s="33"/>
      <c r="R12" s="33"/>
      <c r="S12" s="33"/>
      <c r="T12" s="26"/>
      <c r="W12" s="68" t="s">
        <v>148</v>
      </c>
      <c r="X12" s="69">
        <v>8.4691000000000002E-2</v>
      </c>
    </row>
    <row r="13" spans="1:24" ht="15" customHeight="1" x14ac:dyDescent="0.25">
      <c r="B13" s="98"/>
      <c r="C13" s="16" t="s">
        <v>31</v>
      </c>
      <c r="D13" s="18" t="s">
        <v>148</v>
      </c>
      <c r="E13" s="20">
        <v>5.0568000000000002E-2</v>
      </c>
      <c r="F13" s="33"/>
      <c r="G13" s="33"/>
      <c r="H13" s="33"/>
      <c r="I13" s="33"/>
      <c r="J13" s="33"/>
      <c r="K13" s="33"/>
      <c r="L13" s="33"/>
      <c r="M13" s="33"/>
      <c r="N13" s="33"/>
      <c r="O13" s="33"/>
      <c r="P13" s="33"/>
      <c r="Q13" s="33"/>
      <c r="R13" s="33"/>
      <c r="S13" s="33"/>
      <c r="T13" s="26"/>
      <c r="W13" s="68" t="s">
        <v>143</v>
      </c>
      <c r="X13" s="69">
        <v>4.3650000000000001E-2</v>
      </c>
    </row>
    <row r="14" spans="1:24" ht="15" customHeight="1" x14ac:dyDescent="0.25">
      <c r="B14" s="98"/>
      <c r="C14" s="16" t="s">
        <v>34</v>
      </c>
      <c r="D14" s="18" t="s">
        <v>137</v>
      </c>
      <c r="E14" s="20">
        <v>4.8964000000000001E-2</v>
      </c>
      <c r="F14" s="33"/>
      <c r="G14" s="33"/>
      <c r="H14" s="33"/>
      <c r="I14" s="33"/>
      <c r="J14" s="33"/>
      <c r="K14" s="33"/>
      <c r="L14" s="33"/>
      <c r="M14" s="33"/>
      <c r="N14" s="33"/>
      <c r="O14" s="33"/>
      <c r="P14" s="33"/>
      <c r="Q14" s="33"/>
      <c r="R14" s="33"/>
      <c r="S14" s="33"/>
      <c r="T14" s="26"/>
      <c r="W14" s="68" t="s">
        <v>23</v>
      </c>
      <c r="X14" s="69">
        <v>3.8984999999999999E-2</v>
      </c>
    </row>
    <row r="15" spans="1:24" ht="15" customHeight="1" x14ac:dyDescent="0.25">
      <c r="B15" s="98"/>
      <c r="C15" s="16" t="s">
        <v>35</v>
      </c>
      <c r="D15" s="18" t="s">
        <v>23</v>
      </c>
      <c r="E15" s="20">
        <v>3.8984999999999999E-2</v>
      </c>
      <c r="F15" s="33"/>
      <c r="G15" s="33"/>
      <c r="H15" s="33"/>
      <c r="I15" s="33"/>
      <c r="J15" s="33"/>
      <c r="K15" s="33"/>
      <c r="L15" s="33"/>
      <c r="M15" s="33"/>
      <c r="N15" s="33"/>
      <c r="O15" s="33"/>
      <c r="P15" s="33"/>
      <c r="Q15" s="33"/>
      <c r="R15" s="33"/>
      <c r="S15" s="33"/>
      <c r="T15" s="26"/>
      <c r="W15" s="68" t="s">
        <v>16</v>
      </c>
      <c r="X15" s="69">
        <v>3.4053E-2</v>
      </c>
    </row>
    <row r="16" spans="1:24" ht="15" customHeight="1" x14ac:dyDescent="0.25">
      <c r="B16" s="98"/>
      <c r="C16" s="16" t="s">
        <v>36</v>
      </c>
      <c r="D16" s="18" t="s">
        <v>3</v>
      </c>
      <c r="E16" s="20">
        <v>3.6949000000000003E-2</v>
      </c>
      <c r="F16" s="33"/>
      <c r="G16" s="33"/>
      <c r="H16" s="33"/>
      <c r="I16" s="33"/>
      <c r="J16" s="33"/>
      <c r="K16" s="33"/>
      <c r="L16" s="33"/>
      <c r="M16" s="33"/>
      <c r="N16" s="33"/>
      <c r="O16" s="33"/>
      <c r="P16" s="33"/>
      <c r="Q16" s="33"/>
      <c r="R16" s="33"/>
      <c r="S16" s="33"/>
      <c r="T16" s="26"/>
      <c r="W16" s="68" t="s">
        <v>12</v>
      </c>
      <c r="X16" s="69">
        <v>2.7404999999999999E-2</v>
      </c>
    </row>
    <row r="17" spans="2:24" ht="15" customHeight="1" x14ac:dyDescent="0.25">
      <c r="B17" s="98"/>
      <c r="C17" s="16" t="s">
        <v>37</v>
      </c>
      <c r="D17" s="18" t="s">
        <v>3</v>
      </c>
      <c r="E17" s="20">
        <v>3.5519000000000002E-2</v>
      </c>
      <c r="F17" s="33"/>
      <c r="G17" s="33"/>
      <c r="H17" s="33"/>
      <c r="I17" s="33"/>
      <c r="J17" s="33"/>
      <c r="K17" s="33"/>
      <c r="L17" s="33"/>
      <c r="M17" s="33"/>
      <c r="N17" s="33"/>
      <c r="O17" s="33"/>
      <c r="P17" s="33"/>
      <c r="Q17" s="33"/>
      <c r="R17" s="33"/>
      <c r="S17" s="33"/>
      <c r="T17" s="26"/>
      <c r="W17" s="68" t="s">
        <v>10</v>
      </c>
      <c r="X17" s="69">
        <v>2.3969999999999998E-2</v>
      </c>
    </row>
    <row r="18" spans="2:24" ht="15" customHeight="1" x14ac:dyDescent="0.25">
      <c r="B18" s="98"/>
      <c r="C18" s="16" t="s">
        <v>38</v>
      </c>
      <c r="D18" s="18" t="s">
        <v>148</v>
      </c>
      <c r="E18" s="20">
        <v>3.4123000000000001E-2</v>
      </c>
      <c r="F18" s="33"/>
      <c r="G18" s="33"/>
      <c r="H18" s="33"/>
      <c r="I18" s="33"/>
      <c r="J18" s="33"/>
      <c r="K18" s="33"/>
      <c r="L18" s="33"/>
      <c r="M18" s="33"/>
      <c r="N18" s="33"/>
      <c r="O18" s="33"/>
      <c r="P18" s="33"/>
      <c r="Q18" s="33"/>
      <c r="R18" s="33"/>
      <c r="S18" s="33"/>
      <c r="T18" s="26"/>
      <c r="W18" s="68" t="s">
        <v>142</v>
      </c>
      <c r="X18" s="69">
        <v>1.5800000000000002E-2</v>
      </c>
    </row>
    <row r="19" spans="2:24" ht="15" customHeight="1" x14ac:dyDescent="0.25">
      <c r="B19" s="98"/>
      <c r="C19" s="16" t="s">
        <v>95</v>
      </c>
      <c r="D19" s="18" t="s">
        <v>3</v>
      </c>
      <c r="E19" s="20">
        <v>2.9368999999999999E-2</v>
      </c>
      <c r="F19" s="33"/>
      <c r="G19" s="33"/>
      <c r="H19" s="33"/>
      <c r="I19" s="33"/>
      <c r="J19" s="33"/>
      <c r="K19" s="33"/>
      <c r="L19" s="33"/>
      <c r="M19" s="33"/>
      <c r="N19" s="33"/>
      <c r="O19" s="33"/>
      <c r="P19" s="33"/>
      <c r="Q19" s="33"/>
      <c r="R19" s="33"/>
      <c r="S19" s="33"/>
      <c r="T19" s="26"/>
      <c r="W19" s="68" t="s">
        <v>99</v>
      </c>
      <c r="X19" s="69">
        <v>1.3028E-2</v>
      </c>
    </row>
    <row r="20" spans="2:24" ht="15" customHeight="1" x14ac:dyDescent="0.25">
      <c r="B20" s="98"/>
      <c r="C20" s="16" t="s">
        <v>77</v>
      </c>
      <c r="D20" s="18" t="s">
        <v>12</v>
      </c>
      <c r="E20" s="20">
        <v>2.7404999999999999E-2</v>
      </c>
      <c r="F20" s="33"/>
      <c r="G20" s="33"/>
      <c r="H20" s="33"/>
      <c r="I20" s="33"/>
      <c r="J20" s="33"/>
      <c r="K20" s="33"/>
      <c r="L20" s="33"/>
      <c r="M20" s="33"/>
      <c r="N20" s="33"/>
      <c r="O20" s="33"/>
      <c r="P20" s="33"/>
      <c r="Q20" s="33"/>
      <c r="R20" s="33"/>
      <c r="S20" s="33"/>
      <c r="T20" s="26"/>
      <c r="W20" s="68" t="s">
        <v>11</v>
      </c>
      <c r="X20" s="69">
        <v>1.2602E-2</v>
      </c>
    </row>
    <row r="21" spans="2:24" ht="15" customHeight="1" x14ac:dyDescent="0.25">
      <c r="B21" s="98"/>
      <c r="C21" s="16" t="s">
        <v>97</v>
      </c>
      <c r="D21" s="18" t="s">
        <v>4</v>
      </c>
      <c r="E21" s="20">
        <v>2.1762E-2</v>
      </c>
      <c r="F21" s="33"/>
      <c r="G21" s="33"/>
      <c r="H21" s="33"/>
      <c r="I21" s="33"/>
      <c r="J21" s="33"/>
      <c r="K21" s="33"/>
      <c r="L21" s="33"/>
      <c r="M21" s="33"/>
      <c r="N21" s="33"/>
      <c r="O21" s="33"/>
      <c r="P21" s="33"/>
      <c r="Q21" s="33"/>
      <c r="R21" s="33"/>
      <c r="S21" s="33"/>
      <c r="T21" s="26"/>
      <c r="W21" s="68" t="s">
        <v>138</v>
      </c>
      <c r="X21" s="69">
        <v>8.9779999999999999E-3</v>
      </c>
    </row>
    <row r="22" spans="2:24" ht="15" customHeight="1" x14ac:dyDescent="0.25">
      <c r="B22" s="98"/>
      <c r="C22" s="16" t="s">
        <v>222</v>
      </c>
      <c r="D22" s="18" t="s">
        <v>16</v>
      </c>
      <c r="E22" s="20">
        <v>1.8572000000000002E-2</v>
      </c>
      <c r="F22" s="33"/>
      <c r="G22" s="33"/>
      <c r="H22" s="33"/>
      <c r="I22" s="33"/>
      <c r="J22" s="33"/>
      <c r="K22" s="33"/>
      <c r="L22" s="33"/>
      <c r="M22" s="33"/>
      <c r="N22" s="33"/>
      <c r="O22" s="33"/>
      <c r="P22" s="33"/>
      <c r="Q22" s="33"/>
      <c r="R22" s="33"/>
      <c r="S22" s="33"/>
      <c r="T22" s="26"/>
    </row>
    <row r="23" spans="2:24" ht="15" customHeight="1" x14ac:dyDescent="0.25">
      <c r="B23" s="98"/>
      <c r="C23" s="90"/>
      <c r="D23" s="90"/>
      <c r="E23" s="91"/>
      <c r="F23" s="33"/>
      <c r="G23" s="33"/>
      <c r="H23" s="33"/>
      <c r="I23" s="33"/>
      <c r="J23" s="33"/>
      <c r="K23" s="33"/>
      <c r="L23" s="33"/>
      <c r="M23" s="33"/>
      <c r="N23" s="33"/>
      <c r="O23" s="33"/>
      <c r="P23" s="33"/>
      <c r="Q23" s="33"/>
      <c r="R23" s="33"/>
      <c r="S23" s="33"/>
      <c r="T23" s="26"/>
      <c r="W23" s="68"/>
      <c r="X23" s="69"/>
    </row>
    <row r="24" spans="2:24" ht="15" customHeight="1" x14ac:dyDescent="0.25">
      <c r="B24" s="98"/>
      <c r="C24" s="92" t="s">
        <v>56</v>
      </c>
      <c r="D24" s="93"/>
      <c r="E24" s="94">
        <f>SUM(E8:E22)</f>
        <v>0.80865799999999999</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68"/>
      <c r="X27" s="69"/>
    </row>
    <row r="28" spans="2:24" ht="15" customHeight="1" x14ac:dyDescent="0.25">
      <c r="B28" s="98"/>
      <c r="F28" s="33"/>
      <c r="G28" s="33"/>
      <c r="H28" s="33"/>
      <c r="I28" s="33"/>
      <c r="J28" s="33"/>
      <c r="K28" s="33"/>
      <c r="L28" s="33"/>
      <c r="M28" s="33"/>
      <c r="N28" s="33"/>
      <c r="O28" s="33"/>
      <c r="P28" s="33"/>
      <c r="Q28" s="33"/>
      <c r="R28" s="33"/>
      <c r="S28" s="33"/>
      <c r="T28" s="26"/>
      <c r="W28" s="68"/>
      <c r="X28" s="69"/>
    </row>
    <row r="29" spans="2:24" ht="15" customHeight="1" x14ac:dyDescent="0.25">
      <c r="B29" s="98"/>
      <c r="F29" s="33"/>
      <c r="G29" s="33"/>
      <c r="H29" s="33"/>
      <c r="I29" s="33"/>
      <c r="J29" s="33"/>
      <c r="K29" s="33"/>
      <c r="L29" s="33"/>
      <c r="M29" s="33"/>
      <c r="N29" s="33"/>
      <c r="O29" s="33"/>
      <c r="P29" s="33"/>
      <c r="Q29" s="33"/>
      <c r="R29" s="33"/>
      <c r="S29" s="33"/>
      <c r="T29" s="26"/>
      <c r="W29" s="68"/>
      <c r="X29" s="69"/>
    </row>
    <row r="30" spans="2:24" ht="15" customHeight="1" x14ac:dyDescent="0.25">
      <c r="B30" s="98"/>
      <c r="F30" s="33"/>
      <c r="G30" s="33"/>
      <c r="H30" s="33"/>
      <c r="I30" s="33"/>
      <c r="J30" s="33"/>
      <c r="K30" s="33"/>
      <c r="L30" s="33"/>
      <c r="M30" s="33"/>
      <c r="N30" s="33"/>
      <c r="O30" s="33"/>
      <c r="P30" s="33"/>
      <c r="Q30" s="33"/>
      <c r="R30" s="33"/>
      <c r="S30" s="33"/>
      <c r="T30" s="26"/>
      <c r="W30" s="68"/>
      <c r="X30" s="69"/>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68"/>
      <c r="X34" s="69"/>
    </row>
    <row r="35" spans="2:24" ht="15" customHeight="1" x14ac:dyDescent="0.25">
      <c r="B35" s="98"/>
      <c r="F35" s="33"/>
      <c r="G35" s="33"/>
      <c r="H35" s="33"/>
      <c r="I35" s="33"/>
      <c r="J35" s="33"/>
      <c r="K35" s="33"/>
      <c r="L35" s="33"/>
      <c r="M35" s="33"/>
      <c r="N35" s="33"/>
      <c r="O35" s="33"/>
      <c r="P35" s="33"/>
      <c r="Q35" s="33"/>
      <c r="R35" s="33"/>
      <c r="S35" s="33"/>
      <c r="T35" s="26"/>
      <c r="W35" s="68"/>
      <c r="X35" s="69"/>
    </row>
    <row r="36" spans="2:24" ht="15" customHeight="1" x14ac:dyDescent="0.25">
      <c r="B36" s="98"/>
      <c r="F36" s="33"/>
      <c r="G36" s="33"/>
      <c r="H36" s="33"/>
      <c r="I36" s="33"/>
      <c r="J36" s="33"/>
      <c r="K36" s="33"/>
      <c r="L36" s="33"/>
      <c r="M36" s="33"/>
      <c r="N36" s="33"/>
      <c r="O36" s="33"/>
      <c r="P36" s="33"/>
      <c r="Q36" s="33"/>
      <c r="R36" s="33"/>
      <c r="S36" s="33"/>
      <c r="T36" s="26"/>
      <c r="W36" s="68"/>
      <c r="X36" s="69"/>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6" t="s">
        <v>254</v>
      </c>
      <c r="C39" s="227"/>
      <c r="D39" s="227"/>
      <c r="E39" s="227"/>
      <c r="F39" s="227"/>
      <c r="G39" s="227"/>
      <c r="H39" s="227"/>
      <c r="I39" s="227"/>
      <c r="J39" s="227"/>
      <c r="K39" s="227"/>
      <c r="L39" s="227"/>
      <c r="M39" s="227"/>
      <c r="N39" s="228"/>
    </row>
    <row r="40" spans="2:24" ht="15" customHeight="1" x14ac:dyDescent="0.25">
      <c r="B40" s="229"/>
      <c r="C40" s="230"/>
      <c r="D40" s="230"/>
      <c r="E40" s="230"/>
      <c r="F40" s="230"/>
      <c r="G40" s="230"/>
      <c r="H40" s="230"/>
      <c r="I40" s="230"/>
      <c r="J40" s="230"/>
      <c r="K40" s="230"/>
      <c r="L40" s="230"/>
      <c r="M40" s="230"/>
      <c r="N40" s="231"/>
    </row>
    <row r="41" spans="2:24" ht="15" customHeight="1" x14ac:dyDescent="0.25">
      <c r="B41" s="229"/>
      <c r="C41" s="230"/>
      <c r="D41" s="230"/>
      <c r="E41" s="230"/>
      <c r="F41" s="230"/>
      <c r="G41" s="230"/>
      <c r="H41" s="230"/>
      <c r="I41" s="230"/>
      <c r="J41" s="230"/>
      <c r="K41" s="230"/>
      <c r="L41" s="230"/>
      <c r="M41" s="230"/>
      <c r="N41" s="231"/>
    </row>
    <row r="42" spans="2:24" ht="15" customHeight="1" x14ac:dyDescent="0.25">
      <c r="B42" s="229"/>
      <c r="C42" s="230"/>
      <c r="D42" s="230"/>
      <c r="E42" s="230"/>
      <c r="F42" s="230"/>
      <c r="G42" s="230"/>
      <c r="H42" s="230"/>
      <c r="I42" s="230"/>
      <c r="J42" s="230"/>
      <c r="K42" s="230"/>
      <c r="L42" s="230"/>
      <c r="M42" s="230"/>
      <c r="N42" s="231"/>
    </row>
    <row r="43" spans="2:24" ht="15" customHeight="1" x14ac:dyDescent="0.25">
      <c r="B43" s="229"/>
      <c r="C43" s="230"/>
      <c r="D43" s="230"/>
      <c r="E43" s="230"/>
      <c r="F43" s="230"/>
      <c r="G43" s="230"/>
      <c r="H43" s="230"/>
      <c r="I43" s="230"/>
      <c r="J43" s="230"/>
      <c r="K43" s="230"/>
      <c r="L43" s="230"/>
      <c r="M43" s="230"/>
      <c r="N43" s="231"/>
    </row>
    <row r="44" spans="2:24" ht="15" customHeight="1" x14ac:dyDescent="0.25">
      <c r="B44" s="229"/>
      <c r="C44" s="230"/>
      <c r="D44" s="230"/>
      <c r="E44" s="230"/>
      <c r="F44" s="230"/>
      <c r="G44" s="230"/>
      <c r="H44" s="230"/>
      <c r="I44" s="230"/>
      <c r="J44" s="230"/>
      <c r="K44" s="230"/>
      <c r="L44" s="230"/>
      <c r="M44" s="230"/>
      <c r="N44" s="231"/>
    </row>
    <row r="45" spans="2:24" ht="26.25" customHeight="1" thickBot="1" x14ac:dyDescent="0.3">
      <c r="B45" s="232"/>
      <c r="C45" s="233"/>
      <c r="D45" s="233"/>
      <c r="E45" s="233"/>
      <c r="F45" s="233"/>
      <c r="G45" s="233"/>
      <c r="H45" s="233"/>
      <c r="I45" s="233"/>
      <c r="J45" s="233"/>
      <c r="K45" s="233"/>
      <c r="L45" s="233"/>
      <c r="M45" s="233"/>
      <c r="N45" s="23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5" t="s">
        <v>227</v>
      </c>
      <c r="D3" s="236"/>
      <c r="E3" s="236"/>
      <c r="F3" s="236"/>
      <c r="G3" s="236"/>
      <c r="H3" s="236"/>
      <c r="I3" s="236"/>
      <c r="J3" s="236"/>
      <c r="K3" s="236"/>
      <c r="L3" s="236"/>
      <c r="M3" s="236"/>
      <c r="N3" s="236"/>
      <c r="O3" s="236"/>
      <c r="P3" s="236"/>
      <c r="Q3" s="236"/>
      <c r="R3" s="236"/>
      <c r="S3" s="236"/>
      <c r="T3" s="26"/>
    </row>
    <row r="4" spans="1:24" ht="15.75" customHeight="1" x14ac:dyDescent="0.25">
      <c r="B4" s="98"/>
      <c r="C4" s="85" t="s">
        <v>273</v>
      </c>
      <c r="D4" s="33"/>
      <c r="E4" s="33"/>
      <c r="F4" s="33"/>
      <c r="G4" s="33"/>
      <c r="H4" s="33"/>
      <c r="I4" s="33"/>
      <c r="J4" s="33"/>
      <c r="K4" s="33"/>
      <c r="L4" s="33"/>
      <c r="M4" s="33"/>
      <c r="N4" s="33"/>
      <c r="O4" s="33"/>
      <c r="P4" s="33"/>
      <c r="Q4" s="33"/>
      <c r="R4" s="33"/>
      <c r="S4" s="33"/>
      <c r="T4" s="26"/>
    </row>
    <row r="5" spans="1:24" ht="18" customHeight="1" x14ac:dyDescent="0.25">
      <c r="B5" s="98"/>
      <c r="C5" s="86" t="s">
        <v>274</v>
      </c>
      <c r="D5" s="239" t="s">
        <v>296</v>
      </c>
      <c r="E5" s="239"/>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0.103413</v>
      </c>
      <c r="F8" s="33"/>
      <c r="G8" s="33"/>
      <c r="H8" s="33"/>
      <c r="I8" s="33"/>
      <c r="J8" s="33"/>
      <c r="K8" s="33"/>
      <c r="L8" s="33"/>
      <c r="M8" s="33"/>
      <c r="N8" s="33"/>
      <c r="O8" s="33"/>
      <c r="P8" s="33"/>
      <c r="Q8" s="33"/>
      <c r="R8" s="33"/>
      <c r="S8" s="33"/>
      <c r="T8" s="26"/>
      <c r="W8" s="68" t="s">
        <v>3</v>
      </c>
      <c r="X8" s="69">
        <v>0.27307599999999999</v>
      </c>
    </row>
    <row r="9" spans="1:24" ht="15.75" customHeight="1" x14ac:dyDescent="0.25">
      <c r="B9" s="98"/>
      <c r="C9" s="16" t="s">
        <v>29</v>
      </c>
      <c r="D9" s="18" t="s">
        <v>3</v>
      </c>
      <c r="E9" s="20">
        <v>9.3043000000000001E-2</v>
      </c>
      <c r="F9" s="33"/>
      <c r="G9" s="33"/>
      <c r="H9" s="33"/>
      <c r="I9" s="33"/>
      <c r="J9" s="33"/>
      <c r="K9" s="33"/>
      <c r="L9" s="33"/>
      <c r="M9" s="33"/>
      <c r="N9" s="33"/>
      <c r="O9" s="33"/>
      <c r="P9" s="33"/>
      <c r="Q9" s="33"/>
      <c r="R9" s="33"/>
      <c r="S9" s="33"/>
      <c r="T9" s="26"/>
      <c r="W9" s="68" t="s">
        <v>137</v>
      </c>
      <c r="X9" s="69">
        <v>0.14103399999999999</v>
      </c>
    </row>
    <row r="10" spans="1:24" ht="15.75" x14ac:dyDescent="0.25">
      <c r="B10" s="98"/>
      <c r="C10" s="16" t="s">
        <v>33</v>
      </c>
      <c r="D10" s="18" t="s">
        <v>3</v>
      </c>
      <c r="E10" s="20">
        <v>8.0324999999999994E-2</v>
      </c>
      <c r="F10" s="33"/>
      <c r="G10" s="33"/>
      <c r="H10" s="33"/>
      <c r="I10" s="33"/>
      <c r="J10" s="33"/>
      <c r="K10" s="33"/>
      <c r="L10" s="33"/>
      <c r="M10" s="33"/>
      <c r="N10" s="33"/>
      <c r="O10" s="33"/>
      <c r="P10" s="33"/>
      <c r="Q10" s="33"/>
      <c r="R10" s="33"/>
      <c r="S10" s="33"/>
      <c r="T10" s="26"/>
      <c r="W10" s="68" t="s">
        <v>6</v>
      </c>
      <c r="X10" s="69">
        <v>0.10772100000000001</v>
      </c>
    </row>
    <row r="11" spans="1:24" ht="15.75" customHeight="1" x14ac:dyDescent="0.25">
      <c r="B11" s="98"/>
      <c r="C11" s="16" t="s">
        <v>28</v>
      </c>
      <c r="D11" s="18" t="s">
        <v>137</v>
      </c>
      <c r="E11" s="20">
        <v>6.6810999999999995E-2</v>
      </c>
      <c r="F11" s="33"/>
      <c r="G11" s="33"/>
      <c r="H11" s="33"/>
      <c r="I11" s="33"/>
      <c r="J11" s="33"/>
      <c r="K11" s="33"/>
      <c r="L11" s="33"/>
      <c r="M11" s="33"/>
      <c r="N11" s="33"/>
      <c r="O11" s="33"/>
      <c r="P11" s="33"/>
      <c r="Q11" s="33"/>
      <c r="R11" s="33"/>
      <c r="S11" s="33"/>
      <c r="T11" s="26"/>
      <c r="W11" s="68" t="s">
        <v>4</v>
      </c>
      <c r="X11" s="69">
        <v>9.0983000000000008E-2</v>
      </c>
    </row>
    <row r="12" spans="1:24" ht="15" customHeight="1" x14ac:dyDescent="0.25">
      <c r="B12" s="98"/>
      <c r="C12" s="16" t="s">
        <v>30</v>
      </c>
      <c r="D12" s="18" t="s">
        <v>4</v>
      </c>
      <c r="E12" s="20">
        <v>6.2371000000000003E-2</v>
      </c>
      <c r="F12" s="33"/>
      <c r="G12" s="33"/>
      <c r="H12" s="33"/>
      <c r="I12" s="33"/>
      <c r="J12" s="33"/>
      <c r="K12" s="33"/>
      <c r="L12" s="33"/>
      <c r="M12" s="33"/>
      <c r="N12" s="33"/>
      <c r="O12" s="33"/>
      <c r="P12" s="33"/>
      <c r="Q12" s="33"/>
      <c r="R12" s="33"/>
      <c r="S12" s="33"/>
      <c r="T12" s="26"/>
      <c r="W12" s="68" t="s">
        <v>148</v>
      </c>
      <c r="X12" s="69">
        <v>7.4329000000000006E-2</v>
      </c>
    </row>
    <row r="13" spans="1:24" ht="15" customHeight="1" x14ac:dyDescent="0.25">
      <c r="B13" s="98"/>
      <c r="C13" s="16" t="s">
        <v>31</v>
      </c>
      <c r="D13" s="18" t="s">
        <v>148</v>
      </c>
      <c r="E13" s="20">
        <v>4.4351000000000002E-2</v>
      </c>
      <c r="F13" s="33"/>
      <c r="G13" s="33"/>
      <c r="H13" s="33"/>
      <c r="I13" s="33"/>
      <c r="J13" s="33"/>
      <c r="K13" s="33"/>
      <c r="L13" s="33"/>
      <c r="M13" s="33"/>
      <c r="N13" s="33"/>
      <c r="O13" s="33"/>
      <c r="P13" s="33"/>
      <c r="Q13" s="33"/>
      <c r="R13" s="33"/>
      <c r="S13" s="33"/>
      <c r="T13" s="26"/>
      <c r="W13" s="68" t="s">
        <v>143</v>
      </c>
      <c r="X13" s="69">
        <v>5.2784999999999999E-2</v>
      </c>
    </row>
    <row r="14" spans="1:24" ht="15" customHeight="1" x14ac:dyDescent="0.25">
      <c r="B14" s="98"/>
      <c r="C14" s="16" t="s">
        <v>34</v>
      </c>
      <c r="D14" s="18" t="s">
        <v>137</v>
      </c>
      <c r="E14" s="20">
        <v>4.3061000000000002E-2</v>
      </c>
      <c r="F14" s="33"/>
      <c r="G14" s="33"/>
      <c r="H14" s="33"/>
      <c r="I14" s="33"/>
      <c r="J14" s="33"/>
      <c r="K14" s="33"/>
      <c r="L14" s="33"/>
      <c r="M14" s="33"/>
      <c r="N14" s="33"/>
      <c r="O14" s="33"/>
      <c r="P14" s="33"/>
      <c r="Q14" s="33"/>
      <c r="R14" s="33"/>
      <c r="S14" s="33"/>
      <c r="T14" s="26"/>
      <c r="W14" s="68" t="s">
        <v>23</v>
      </c>
      <c r="X14" s="69">
        <v>3.4304000000000001E-2</v>
      </c>
    </row>
    <row r="15" spans="1:24" ht="15" customHeight="1" x14ac:dyDescent="0.25">
      <c r="B15" s="98"/>
      <c r="C15" s="16" t="s">
        <v>35</v>
      </c>
      <c r="D15" s="18" t="s">
        <v>23</v>
      </c>
      <c r="E15" s="20">
        <v>3.4304000000000001E-2</v>
      </c>
      <c r="F15" s="33"/>
      <c r="G15" s="33"/>
      <c r="H15" s="33"/>
      <c r="I15" s="33"/>
      <c r="J15" s="33"/>
      <c r="K15" s="33"/>
      <c r="L15" s="33"/>
      <c r="M15" s="33"/>
      <c r="N15" s="33"/>
      <c r="O15" s="33"/>
      <c r="P15" s="33"/>
      <c r="Q15" s="33"/>
      <c r="R15" s="33"/>
      <c r="S15" s="33"/>
      <c r="T15" s="26"/>
      <c r="W15" s="68" t="s">
        <v>142</v>
      </c>
      <c r="X15" s="69">
        <v>3.2170999999999998E-2</v>
      </c>
    </row>
    <row r="16" spans="1:24" ht="15" customHeight="1" x14ac:dyDescent="0.25">
      <c r="B16" s="98"/>
      <c r="C16" s="16" t="s">
        <v>36</v>
      </c>
      <c r="D16" s="18" t="s">
        <v>3</v>
      </c>
      <c r="E16" s="20">
        <v>3.3399999999999999E-2</v>
      </c>
      <c r="F16" s="33"/>
      <c r="G16" s="33"/>
      <c r="H16" s="33"/>
      <c r="I16" s="33"/>
      <c r="J16" s="33"/>
      <c r="K16" s="33"/>
      <c r="L16" s="33"/>
      <c r="M16" s="33"/>
      <c r="N16" s="33"/>
      <c r="O16" s="33"/>
      <c r="P16" s="33"/>
      <c r="Q16" s="33"/>
      <c r="R16" s="33"/>
      <c r="S16" s="33"/>
      <c r="T16" s="26"/>
      <c r="W16" s="68" t="s">
        <v>16</v>
      </c>
      <c r="X16" s="69">
        <v>3.0081E-2</v>
      </c>
    </row>
    <row r="17" spans="2:24" ht="15" customHeight="1" x14ac:dyDescent="0.25">
      <c r="B17" s="98"/>
      <c r="C17" s="16" t="s">
        <v>37</v>
      </c>
      <c r="D17" s="18" t="s">
        <v>3</v>
      </c>
      <c r="E17" s="20">
        <v>3.0825999999999999E-2</v>
      </c>
      <c r="F17" s="33"/>
      <c r="G17" s="33"/>
      <c r="H17" s="33"/>
      <c r="I17" s="33"/>
      <c r="J17" s="33"/>
      <c r="K17" s="33"/>
      <c r="L17" s="33"/>
      <c r="M17" s="33"/>
      <c r="N17" s="33"/>
      <c r="O17" s="33"/>
      <c r="P17" s="33"/>
      <c r="Q17" s="33"/>
      <c r="R17" s="33"/>
      <c r="S17" s="33"/>
      <c r="T17" s="26"/>
      <c r="W17" s="68" t="s">
        <v>12</v>
      </c>
      <c r="X17" s="69">
        <v>2.4093E-2</v>
      </c>
    </row>
    <row r="18" spans="2:24" ht="15" customHeight="1" x14ac:dyDescent="0.25">
      <c r="B18" s="98"/>
      <c r="C18" s="16" t="s">
        <v>38</v>
      </c>
      <c r="D18" s="18" t="s">
        <v>148</v>
      </c>
      <c r="E18" s="20">
        <v>2.9978000000000001E-2</v>
      </c>
      <c r="F18" s="33"/>
      <c r="G18" s="33"/>
      <c r="H18" s="33"/>
      <c r="I18" s="33"/>
      <c r="J18" s="33"/>
      <c r="K18" s="33"/>
      <c r="L18" s="33"/>
      <c r="M18" s="33"/>
      <c r="N18" s="33"/>
      <c r="O18" s="33"/>
      <c r="P18" s="33"/>
      <c r="Q18" s="33"/>
      <c r="R18" s="33"/>
      <c r="S18" s="33"/>
      <c r="T18" s="26"/>
      <c r="W18" s="68" t="s">
        <v>10</v>
      </c>
      <c r="X18" s="69">
        <v>2.1027999999999998E-2</v>
      </c>
    </row>
    <row r="19" spans="2:24" ht="15" customHeight="1" x14ac:dyDescent="0.25">
      <c r="B19" s="98"/>
      <c r="C19" s="16" t="s">
        <v>95</v>
      </c>
      <c r="D19" s="18" t="s">
        <v>3</v>
      </c>
      <c r="E19" s="20">
        <v>2.6359E-2</v>
      </c>
      <c r="F19" s="33"/>
      <c r="G19" s="33"/>
      <c r="H19" s="33"/>
      <c r="I19" s="33"/>
      <c r="J19" s="33"/>
      <c r="K19" s="33"/>
      <c r="L19" s="33"/>
      <c r="M19" s="33"/>
      <c r="N19" s="33"/>
      <c r="O19" s="33"/>
      <c r="P19" s="33"/>
      <c r="Q19" s="33"/>
      <c r="R19" s="33"/>
      <c r="S19" s="33"/>
      <c r="T19" s="26"/>
      <c r="W19" s="68" t="s">
        <v>11</v>
      </c>
      <c r="X19" s="69">
        <v>1.9561000000000002E-2</v>
      </c>
    </row>
    <row r="20" spans="2:24" ht="15" customHeight="1" x14ac:dyDescent="0.25">
      <c r="B20" s="98"/>
      <c r="C20" s="16" t="s">
        <v>77</v>
      </c>
      <c r="D20" s="18" t="s">
        <v>12</v>
      </c>
      <c r="E20" s="20">
        <v>2.4093E-2</v>
      </c>
      <c r="F20" s="33"/>
      <c r="G20" s="33"/>
      <c r="H20" s="33"/>
      <c r="I20" s="33"/>
      <c r="J20" s="33"/>
      <c r="K20" s="33"/>
      <c r="L20" s="33"/>
      <c r="M20" s="33"/>
      <c r="N20" s="33"/>
      <c r="O20" s="33"/>
      <c r="P20" s="33"/>
      <c r="Q20" s="33"/>
      <c r="R20" s="33"/>
      <c r="S20" s="33"/>
      <c r="T20" s="26"/>
      <c r="W20" s="68" t="s">
        <v>99</v>
      </c>
      <c r="X20" s="69">
        <v>1.9406E-2</v>
      </c>
    </row>
    <row r="21" spans="2:24" ht="15" customHeight="1" x14ac:dyDescent="0.25">
      <c r="B21" s="98"/>
      <c r="C21" s="16" t="s">
        <v>97</v>
      </c>
      <c r="D21" s="18" t="s">
        <v>4</v>
      </c>
      <c r="E21" s="20">
        <v>1.9619000000000001E-2</v>
      </c>
      <c r="F21" s="33"/>
      <c r="G21" s="33"/>
      <c r="H21" s="33"/>
      <c r="I21" s="33"/>
      <c r="J21" s="33"/>
      <c r="K21" s="33"/>
      <c r="L21" s="33"/>
      <c r="M21" s="33"/>
      <c r="N21" s="33"/>
      <c r="O21" s="33"/>
      <c r="P21" s="33"/>
      <c r="Q21" s="33"/>
      <c r="R21" s="33"/>
      <c r="S21" s="33"/>
      <c r="T21" s="26"/>
      <c r="W21" s="68" t="s">
        <v>138</v>
      </c>
      <c r="X21" s="69">
        <v>1.5849000000000002E-2</v>
      </c>
    </row>
    <row r="22" spans="2:24" ht="15" customHeight="1" x14ac:dyDescent="0.25">
      <c r="B22" s="98"/>
      <c r="C22" s="16" t="s">
        <v>222</v>
      </c>
      <c r="D22" s="18" t="s">
        <v>16</v>
      </c>
      <c r="E22" s="20">
        <v>1.6326E-2</v>
      </c>
      <c r="F22" s="33"/>
      <c r="G22" s="33"/>
      <c r="H22" s="33"/>
      <c r="I22" s="33"/>
      <c r="J22" s="33"/>
      <c r="K22" s="33"/>
      <c r="L22" s="33"/>
      <c r="M22" s="33"/>
      <c r="N22" s="33"/>
      <c r="O22" s="33"/>
      <c r="P22" s="33"/>
      <c r="Q22" s="33"/>
      <c r="R22" s="33"/>
      <c r="S22" s="33"/>
      <c r="T22" s="26"/>
      <c r="W22" s="68" t="s">
        <v>102</v>
      </c>
      <c r="X22" s="69">
        <v>1.2976E-2</v>
      </c>
    </row>
    <row r="23" spans="2:24" ht="15" customHeight="1" x14ac:dyDescent="0.25">
      <c r="B23" s="98"/>
      <c r="C23" s="90"/>
      <c r="D23" s="90"/>
      <c r="E23" s="91"/>
      <c r="F23" s="33"/>
      <c r="G23" s="33"/>
      <c r="H23" s="33"/>
      <c r="I23" s="33"/>
      <c r="J23" s="33"/>
      <c r="K23" s="33"/>
      <c r="L23" s="33"/>
      <c r="M23" s="33"/>
      <c r="N23" s="33"/>
      <c r="O23" s="33"/>
      <c r="P23" s="33"/>
      <c r="Q23" s="33"/>
      <c r="R23" s="33"/>
      <c r="S23" s="33"/>
      <c r="T23" s="26"/>
      <c r="W23" s="68" t="s">
        <v>15</v>
      </c>
      <c r="X23" s="69">
        <v>7.7640000000000001E-3</v>
      </c>
    </row>
    <row r="24" spans="2:24" ht="15" customHeight="1" x14ac:dyDescent="0.25">
      <c r="B24" s="98"/>
      <c r="C24" s="92" t="s">
        <v>56</v>
      </c>
      <c r="D24" s="93"/>
      <c r="E24" s="94">
        <f>SUM(E8:E22)</f>
        <v>0.70828000000000002</v>
      </c>
      <c r="F24" s="33"/>
      <c r="G24" s="33"/>
      <c r="H24" s="33"/>
      <c r="I24" s="33"/>
      <c r="J24" s="33"/>
      <c r="K24" s="33"/>
      <c r="L24" s="33"/>
      <c r="M24" s="33"/>
      <c r="N24" s="33"/>
      <c r="O24" s="33"/>
      <c r="P24" s="33"/>
      <c r="Q24" s="33"/>
      <c r="R24" s="33"/>
      <c r="S24" s="33"/>
      <c r="T24" s="26"/>
      <c r="W24" s="68" t="s">
        <v>13</v>
      </c>
      <c r="X24" s="69">
        <v>7.7250000000000001E-3</v>
      </c>
    </row>
    <row r="25" spans="2:24" ht="15" customHeight="1" x14ac:dyDescent="0.25">
      <c r="B25" s="98"/>
      <c r="F25" s="33"/>
      <c r="G25" s="33"/>
      <c r="H25" s="33"/>
      <c r="I25" s="33"/>
      <c r="J25" s="33"/>
      <c r="K25" s="33"/>
      <c r="L25" s="33"/>
      <c r="M25" s="33"/>
      <c r="N25" s="33"/>
      <c r="O25" s="33"/>
      <c r="P25" s="33"/>
      <c r="Q25" s="33"/>
      <c r="R25" s="33"/>
      <c r="S25" s="33"/>
      <c r="T25" s="26"/>
      <c r="W25" s="68" t="s">
        <v>164</v>
      </c>
      <c r="X25" s="69">
        <v>6.2750000000000002E-3</v>
      </c>
    </row>
    <row r="26" spans="2:24" ht="15" customHeight="1" x14ac:dyDescent="0.25">
      <c r="B26" s="98"/>
      <c r="F26" s="33"/>
      <c r="G26" s="33"/>
      <c r="H26" s="33"/>
      <c r="I26" s="33"/>
      <c r="J26" s="33"/>
      <c r="K26" s="33"/>
      <c r="L26" s="33"/>
      <c r="M26" s="33"/>
      <c r="N26" s="33"/>
      <c r="O26" s="33"/>
      <c r="P26" s="33"/>
      <c r="Q26" s="33"/>
      <c r="R26" s="33"/>
      <c r="S26" s="33"/>
      <c r="T26" s="26"/>
      <c r="W26" s="68" t="s">
        <v>162</v>
      </c>
      <c r="X26" s="69">
        <v>6.2620000000000002E-3</v>
      </c>
    </row>
    <row r="27" spans="2:24" ht="15" customHeight="1" x14ac:dyDescent="0.25">
      <c r="B27" s="98"/>
      <c r="F27" s="33"/>
      <c r="G27" s="33"/>
      <c r="H27" s="33"/>
      <c r="I27" s="33"/>
      <c r="J27" s="33"/>
      <c r="K27" s="33"/>
      <c r="L27" s="33"/>
      <c r="M27" s="33"/>
      <c r="N27" s="33"/>
      <c r="O27" s="33"/>
      <c r="P27" s="33"/>
      <c r="Q27" s="33"/>
      <c r="R27" s="33"/>
      <c r="S27" s="33"/>
      <c r="T27" s="26"/>
      <c r="W27" s="68" t="s">
        <v>163</v>
      </c>
      <c r="X27" s="69">
        <v>5.8710000000000004E-3</v>
      </c>
    </row>
    <row r="28" spans="2:24" ht="15" customHeight="1" x14ac:dyDescent="0.25">
      <c r="B28" s="98"/>
      <c r="F28" s="33"/>
      <c r="G28" s="33"/>
      <c r="H28" s="33"/>
      <c r="I28" s="33"/>
      <c r="J28" s="33"/>
      <c r="K28" s="33"/>
      <c r="L28" s="33"/>
      <c r="M28" s="33"/>
      <c r="N28" s="33"/>
      <c r="O28" s="33"/>
      <c r="P28" s="33"/>
      <c r="Q28" s="33"/>
      <c r="R28" s="33"/>
      <c r="S28" s="33"/>
      <c r="T28" s="26"/>
      <c r="W28" s="68" t="s">
        <v>91</v>
      </c>
      <c r="X28" s="69">
        <v>5.6709999999999998E-3</v>
      </c>
    </row>
    <row r="29" spans="2:24" ht="15" customHeight="1" x14ac:dyDescent="0.25">
      <c r="B29" s="98"/>
      <c r="F29" s="33"/>
      <c r="G29" s="33"/>
      <c r="H29" s="33"/>
      <c r="I29" s="33"/>
      <c r="J29" s="33"/>
      <c r="K29" s="33"/>
      <c r="L29" s="33"/>
      <c r="M29" s="33"/>
      <c r="N29" s="33"/>
      <c r="O29" s="33"/>
      <c r="P29" s="33"/>
      <c r="Q29" s="33"/>
      <c r="R29" s="33"/>
      <c r="S29" s="33"/>
      <c r="T29" s="26"/>
      <c r="W29" s="23" t="s">
        <v>146</v>
      </c>
      <c r="X29" s="69">
        <v>5.5259999999999997E-3</v>
      </c>
    </row>
    <row r="30" spans="2:24" ht="15" customHeight="1" x14ac:dyDescent="0.25">
      <c r="B30" s="98"/>
      <c r="F30" s="33"/>
      <c r="G30" s="33"/>
      <c r="H30" s="33"/>
      <c r="I30" s="33"/>
      <c r="J30" s="33"/>
      <c r="K30" s="33"/>
      <c r="L30" s="33"/>
      <c r="M30" s="33"/>
      <c r="N30" s="33"/>
      <c r="O30" s="33"/>
      <c r="P30" s="33"/>
      <c r="Q30" s="33"/>
      <c r="R30" s="33"/>
      <c r="S30" s="33"/>
      <c r="T30" s="26"/>
      <c r="W30" s="68" t="s">
        <v>149</v>
      </c>
      <c r="X30" s="69">
        <v>4.8729999999999997E-3</v>
      </c>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45"/>
      <c r="X34" s="45"/>
    </row>
    <row r="35" spans="2:24" ht="15" customHeight="1" x14ac:dyDescent="0.25">
      <c r="B35" s="98"/>
      <c r="F35" s="33"/>
      <c r="G35" s="33"/>
      <c r="H35" s="33"/>
      <c r="I35" s="33"/>
      <c r="J35" s="33"/>
      <c r="K35" s="33"/>
      <c r="L35" s="33"/>
      <c r="M35" s="33"/>
      <c r="N35" s="33"/>
      <c r="O35" s="33"/>
      <c r="P35" s="33"/>
      <c r="Q35" s="33"/>
      <c r="R35" s="33"/>
      <c r="S35" s="33"/>
      <c r="T35" s="26"/>
      <c r="W35" s="45"/>
      <c r="X35" s="45"/>
    </row>
    <row r="36" spans="2:24" ht="15" customHeight="1" x14ac:dyDescent="0.25">
      <c r="B36" s="98"/>
      <c r="F36" s="33"/>
      <c r="G36" s="33"/>
      <c r="H36" s="33"/>
      <c r="I36" s="33"/>
      <c r="J36" s="33"/>
      <c r="K36" s="33"/>
      <c r="L36" s="33"/>
      <c r="M36" s="33"/>
      <c r="N36" s="33"/>
      <c r="O36" s="33"/>
      <c r="P36" s="33"/>
      <c r="Q36" s="33"/>
      <c r="R36" s="33"/>
      <c r="S36" s="33"/>
      <c r="T36" s="26"/>
      <c r="W36" s="45"/>
      <c r="X36" s="45"/>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6" t="s">
        <v>254</v>
      </c>
      <c r="C39" s="227"/>
      <c r="D39" s="227"/>
      <c r="E39" s="227"/>
      <c r="F39" s="227"/>
      <c r="G39" s="227"/>
      <c r="H39" s="227"/>
      <c r="I39" s="227"/>
      <c r="J39" s="227"/>
      <c r="K39" s="227"/>
      <c r="L39" s="227"/>
      <c r="M39" s="227"/>
      <c r="N39" s="228"/>
    </row>
    <row r="40" spans="2:24" ht="15" customHeight="1" x14ac:dyDescent="0.25">
      <c r="B40" s="229"/>
      <c r="C40" s="230"/>
      <c r="D40" s="230"/>
      <c r="E40" s="230"/>
      <c r="F40" s="230"/>
      <c r="G40" s="230"/>
      <c r="H40" s="230"/>
      <c r="I40" s="230"/>
      <c r="J40" s="230"/>
      <c r="K40" s="230"/>
      <c r="L40" s="230"/>
      <c r="M40" s="230"/>
      <c r="N40" s="231"/>
    </row>
    <row r="41" spans="2:24" ht="15" customHeight="1" x14ac:dyDescent="0.25">
      <c r="B41" s="229"/>
      <c r="C41" s="230"/>
      <c r="D41" s="230"/>
      <c r="E41" s="230"/>
      <c r="F41" s="230"/>
      <c r="G41" s="230"/>
      <c r="H41" s="230"/>
      <c r="I41" s="230"/>
      <c r="J41" s="230"/>
      <c r="K41" s="230"/>
      <c r="L41" s="230"/>
      <c r="M41" s="230"/>
      <c r="N41" s="231"/>
    </row>
    <row r="42" spans="2:24" ht="15" customHeight="1" x14ac:dyDescent="0.25">
      <c r="B42" s="229"/>
      <c r="C42" s="230"/>
      <c r="D42" s="230"/>
      <c r="E42" s="230"/>
      <c r="F42" s="230"/>
      <c r="G42" s="230"/>
      <c r="H42" s="230"/>
      <c r="I42" s="230"/>
      <c r="J42" s="230"/>
      <c r="K42" s="230"/>
      <c r="L42" s="230"/>
      <c r="M42" s="230"/>
      <c r="N42" s="231"/>
    </row>
    <row r="43" spans="2:24" ht="15" customHeight="1" x14ac:dyDescent="0.25">
      <c r="B43" s="229"/>
      <c r="C43" s="230"/>
      <c r="D43" s="230"/>
      <c r="E43" s="230"/>
      <c r="F43" s="230"/>
      <c r="G43" s="230"/>
      <c r="H43" s="230"/>
      <c r="I43" s="230"/>
      <c r="J43" s="230"/>
      <c r="K43" s="230"/>
      <c r="L43" s="230"/>
      <c r="M43" s="230"/>
      <c r="N43" s="231"/>
    </row>
    <row r="44" spans="2:24" ht="15" customHeight="1" x14ac:dyDescent="0.25">
      <c r="B44" s="229"/>
      <c r="C44" s="230"/>
      <c r="D44" s="230"/>
      <c r="E44" s="230"/>
      <c r="F44" s="230"/>
      <c r="G44" s="230"/>
      <c r="H44" s="230"/>
      <c r="I44" s="230"/>
      <c r="J44" s="230"/>
      <c r="K44" s="230"/>
      <c r="L44" s="230"/>
      <c r="M44" s="230"/>
      <c r="N44" s="231"/>
    </row>
    <row r="45" spans="2:24" ht="27.75" customHeight="1" thickBot="1" x14ac:dyDescent="0.3">
      <c r="B45" s="232"/>
      <c r="C45" s="233"/>
      <c r="D45" s="233"/>
      <c r="E45" s="233"/>
      <c r="F45" s="233"/>
      <c r="G45" s="233"/>
      <c r="H45" s="233"/>
      <c r="I45" s="233"/>
      <c r="J45" s="233"/>
      <c r="K45" s="233"/>
      <c r="L45" s="233"/>
      <c r="M45" s="233"/>
      <c r="N45" s="23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N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5" t="s">
        <v>226</v>
      </c>
      <c r="D3" s="236"/>
      <c r="E3" s="236"/>
      <c r="F3" s="236"/>
      <c r="G3" s="236"/>
      <c r="H3" s="236"/>
      <c r="I3" s="236"/>
      <c r="J3" s="236"/>
      <c r="K3" s="236"/>
      <c r="L3" s="236"/>
      <c r="M3" s="236"/>
      <c r="N3" s="236"/>
      <c r="O3" s="236"/>
      <c r="P3" s="236"/>
      <c r="Q3" s="236"/>
      <c r="R3" s="236"/>
      <c r="S3" s="236"/>
      <c r="T3" s="83"/>
      <c r="U3" s="84"/>
    </row>
    <row r="4" spans="1:24" ht="15.75" customHeight="1" x14ac:dyDescent="0.25">
      <c r="B4" s="82"/>
      <c r="C4" s="85" t="s">
        <v>273</v>
      </c>
      <c r="D4" s="33"/>
      <c r="E4" s="33"/>
      <c r="F4" s="33"/>
      <c r="G4" s="33"/>
      <c r="H4" s="33"/>
      <c r="I4" s="33"/>
      <c r="J4" s="33"/>
      <c r="K4" s="33"/>
      <c r="L4" s="33"/>
      <c r="M4" s="33"/>
      <c r="N4" s="33"/>
      <c r="O4" s="33"/>
      <c r="P4" s="33"/>
      <c r="Q4" s="33"/>
      <c r="R4" s="33"/>
      <c r="S4" s="33"/>
      <c r="T4" s="33"/>
      <c r="U4" s="29"/>
    </row>
    <row r="5" spans="1:24" ht="18" customHeight="1" x14ac:dyDescent="0.25">
      <c r="B5" s="82"/>
      <c r="C5" s="86" t="s">
        <v>274</v>
      </c>
      <c r="D5" s="239" t="s">
        <v>297</v>
      </c>
      <c r="E5" s="239"/>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32</v>
      </c>
      <c r="D8" s="17" t="s">
        <v>6</v>
      </c>
      <c r="E8" s="19">
        <v>8.9516999999999999E-2</v>
      </c>
      <c r="F8" s="33"/>
      <c r="G8" s="33"/>
      <c r="H8" s="33"/>
      <c r="I8" s="33"/>
      <c r="J8" s="33"/>
      <c r="K8" s="33"/>
      <c r="L8" s="33"/>
      <c r="M8" s="33"/>
      <c r="N8" s="33"/>
      <c r="O8" s="33"/>
      <c r="P8" s="33"/>
      <c r="Q8" s="33"/>
      <c r="R8" s="33"/>
      <c r="S8" s="33"/>
      <c r="T8" s="33"/>
      <c r="U8" s="29"/>
      <c r="W8" s="213" t="s">
        <v>3</v>
      </c>
      <c r="X8" s="214">
        <v>0.24138499999999999</v>
      </c>
    </row>
    <row r="9" spans="1:24" ht="15.75" customHeight="1" x14ac:dyDescent="0.25">
      <c r="B9" s="82"/>
      <c r="C9" s="16" t="s">
        <v>29</v>
      </c>
      <c r="D9" s="18" t="s">
        <v>3</v>
      </c>
      <c r="E9" s="20">
        <v>8.0287999999999998E-2</v>
      </c>
      <c r="F9" s="33"/>
      <c r="G9" s="33"/>
      <c r="H9" s="33"/>
      <c r="I9" s="33"/>
      <c r="J9" s="33"/>
      <c r="K9" s="33"/>
      <c r="L9" s="33"/>
      <c r="M9" s="33"/>
      <c r="N9" s="33"/>
      <c r="O9" s="33"/>
      <c r="P9" s="33"/>
      <c r="Q9" s="33"/>
      <c r="R9" s="33"/>
      <c r="S9" s="33"/>
      <c r="T9" s="33"/>
      <c r="U9" s="29"/>
      <c r="W9" s="213" t="s">
        <v>137</v>
      </c>
      <c r="X9" s="214">
        <v>0.126748</v>
      </c>
    </row>
    <row r="10" spans="1:24" ht="15.75" x14ac:dyDescent="0.25">
      <c r="B10" s="82"/>
      <c r="C10" s="16" t="s">
        <v>33</v>
      </c>
      <c r="D10" s="18" t="s">
        <v>3</v>
      </c>
      <c r="E10" s="20">
        <v>6.9209999999999994E-2</v>
      </c>
      <c r="F10" s="33"/>
      <c r="G10" s="33"/>
      <c r="H10" s="33"/>
      <c r="I10" s="33"/>
      <c r="J10" s="33"/>
      <c r="K10" s="33"/>
      <c r="L10" s="33"/>
      <c r="M10" s="33"/>
      <c r="N10" s="33"/>
      <c r="O10" s="33"/>
      <c r="P10" s="33"/>
      <c r="Q10" s="33"/>
      <c r="R10" s="33"/>
      <c r="S10" s="33"/>
      <c r="T10" s="33"/>
      <c r="U10" s="29"/>
      <c r="W10" s="213" t="s">
        <v>6</v>
      </c>
      <c r="X10" s="214">
        <v>9.6476000000000006E-2</v>
      </c>
    </row>
    <row r="11" spans="1:24" ht="15.75" customHeight="1" x14ac:dyDescent="0.25">
      <c r="B11" s="82"/>
      <c r="C11" s="16" t="s">
        <v>28</v>
      </c>
      <c r="D11" s="18" t="s">
        <v>137</v>
      </c>
      <c r="E11" s="20">
        <v>5.7729000000000003E-2</v>
      </c>
      <c r="F11" s="33"/>
      <c r="G11" s="33"/>
      <c r="H11" s="33"/>
      <c r="I11" s="33"/>
      <c r="J11" s="33"/>
      <c r="K11" s="33"/>
      <c r="L11" s="33"/>
      <c r="M11" s="33"/>
      <c r="N11" s="33"/>
      <c r="O11" s="33"/>
      <c r="P11" s="33"/>
      <c r="Q11" s="33"/>
      <c r="R11" s="33"/>
      <c r="S11" s="33"/>
      <c r="T11" s="33"/>
      <c r="U11" s="29"/>
      <c r="W11" s="213" t="s">
        <v>4</v>
      </c>
      <c r="X11" s="214">
        <v>8.8454000000000005E-2</v>
      </c>
    </row>
    <row r="12" spans="1:24" ht="15" customHeight="1" x14ac:dyDescent="0.25">
      <c r="B12" s="82"/>
      <c r="C12" s="16" t="s">
        <v>30</v>
      </c>
      <c r="D12" s="18" t="s">
        <v>4</v>
      </c>
      <c r="E12" s="20">
        <v>5.3814000000000001E-2</v>
      </c>
      <c r="F12" s="33"/>
      <c r="G12" s="33"/>
      <c r="H12" s="33"/>
      <c r="I12" s="33"/>
      <c r="J12" s="33"/>
      <c r="K12" s="33"/>
      <c r="L12" s="33"/>
      <c r="M12" s="33"/>
      <c r="N12" s="33"/>
      <c r="O12" s="33"/>
      <c r="P12" s="33"/>
      <c r="Q12" s="33"/>
      <c r="R12" s="33"/>
      <c r="S12" s="33"/>
      <c r="T12" s="33"/>
      <c r="U12" s="29"/>
      <c r="W12" s="213" t="s">
        <v>148</v>
      </c>
      <c r="X12" s="214">
        <v>6.4089000000000007E-2</v>
      </c>
    </row>
    <row r="13" spans="1:24" ht="15" customHeight="1" x14ac:dyDescent="0.25">
      <c r="B13" s="82"/>
      <c r="C13" s="16" t="s">
        <v>31</v>
      </c>
      <c r="D13" s="18" t="s">
        <v>148</v>
      </c>
      <c r="E13" s="20">
        <v>3.8181E-2</v>
      </c>
      <c r="F13" s="33"/>
      <c r="G13" s="33"/>
      <c r="H13" s="33"/>
      <c r="I13" s="33"/>
      <c r="J13" s="33"/>
      <c r="K13" s="33"/>
      <c r="L13" s="33"/>
      <c r="M13" s="33"/>
      <c r="N13" s="33"/>
      <c r="O13" s="33"/>
      <c r="P13" s="33"/>
      <c r="Q13" s="33"/>
      <c r="R13" s="33"/>
      <c r="S13" s="33"/>
      <c r="T13" s="33"/>
      <c r="U13" s="29"/>
      <c r="W13" s="213" t="s">
        <v>143</v>
      </c>
      <c r="X13" s="214">
        <v>4.6054999999999999E-2</v>
      </c>
    </row>
    <row r="14" spans="1:24" ht="15" customHeight="1" x14ac:dyDescent="0.25">
      <c r="B14" s="82"/>
      <c r="C14" s="16" t="s">
        <v>34</v>
      </c>
      <c r="D14" s="18" t="s">
        <v>137</v>
      </c>
      <c r="E14" s="20">
        <v>3.7150000000000002E-2</v>
      </c>
      <c r="F14" s="33"/>
      <c r="G14" s="33"/>
      <c r="H14" s="33"/>
      <c r="I14" s="33"/>
      <c r="J14" s="33"/>
      <c r="K14" s="33"/>
      <c r="L14" s="33"/>
      <c r="M14" s="33"/>
      <c r="N14" s="33"/>
      <c r="O14" s="33"/>
      <c r="P14" s="33"/>
      <c r="Q14" s="33"/>
      <c r="R14" s="33"/>
      <c r="S14" s="33"/>
      <c r="T14" s="33"/>
      <c r="U14" s="29"/>
      <c r="W14" s="213" t="s">
        <v>16</v>
      </c>
      <c r="X14" s="214">
        <v>3.0878000000000003E-2</v>
      </c>
    </row>
    <row r="15" spans="1:24" ht="15" customHeight="1" x14ac:dyDescent="0.25">
      <c r="B15" s="82"/>
      <c r="C15" s="16" t="s">
        <v>35</v>
      </c>
      <c r="D15" s="18" t="s">
        <v>23</v>
      </c>
      <c r="E15" s="20">
        <v>2.9686000000000001E-2</v>
      </c>
      <c r="F15" s="33"/>
      <c r="G15" s="33"/>
      <c r="H15" s="33"/>
      <c r="I15" s="33"/>
      <c r="J15" s="33"/>
      <c r="K15" s="33"/>
      <c r="L15" s="33"/>
      <c r="M15" s="33"/>
      <c r="N15" s="33"/>
      <c r="O15" s="33"/>
      <c r="P15" s="33"/>
      <c r="Q15" s="33"/>
      <c r="R15" s="33"/>
      <c r="S15" s="33"/>
      <c r="T15" s="33"/>
      <c r="U15" s="29"/>
      <c r="W15" s="213" t="s">
        <v>23</v>
      </c>
      <c r="X15" s="214">
        <v>2.9686000000000001E-2</v>
      </c>
    </row>
    <row r="16" spans="1:24" ht="15" customHeight="1" x14ac:dyDescent="0.25">
      <c r="B16" s="82"/>
      <c r="C16" s="16" t="s">
        <v>36</v>
      </c>
      <c r="D16" s="18" t="s">
        <v>3</v>
      </c>
      <c r="E16" s="20">
        <v>2.8865999999999999E-2</v>
      </c>
      <c r="F16" s="33"/>
      <c r="G16" s="33"/>
      <c r="H16" s="33"/>
      <c r="I16" s="33"/>
      <c r="J16" s="33"/>
      <c r="K16" s="33"/>
      <c r="L16" s="33"/>
      <c r="M16" s="33"/>
      <c r="N16" s="33"/>
      <c r="O16" s="33"/>
      <c r="P16" s="33"/>
      <c r="Q16" s="33"/>
      <c r="R16" s="33"/>
      <c r="S16" s="33"/>
      <c r="T16" s="33"/>
      <c r="U16" s="29"/>
      <c r="W16" s="213" t="s">
        <v>142</v>
      </c>
      <c r="X16" s="214">
        <v>2.9473000000000003E-2</v>
      </c>
    </row>
    <row r="17" spans="2:24" ht="15" customHeight="1" x14ac:dyDescent="0.25">
      <c r="B17" s="82"/>
      <c r="C17" s="16" t="s">
        <v>37</v>
      </c>
      <c r="D17" s="18" t="s">
        <v>3</v>
      </c>
      <c r="E17" s="20">
        <v>2.6585000000000001E-2</v>
      </c>
      <c r="F17" s="33"/>
      <c r="G17" s="33"/>
      <c r="H17" s="33"/>
      <c r="I17" s="33"/>
      <c r="J17" s="33"/>
      <c r="K17" s="33"/>
      <c r="L17" s="33"/>
      <c r="M17" s="33"/>
      <c r="N17" s="33"/>
      <c r="O17" s="33"/>
      <c r="P17" s="33"/>
      <c r="Q17" s="33"/>
      <c r="R17" s="33"/>
      <c r="S17" s="33"/>
      <c r="T17" s="33"/>
      <c r="U17" s="29"/>
      <c r="W17" s="213" t="s">
        <v>10</v>
      </c>
      <c r="X17" s="214">
        <v>2.7247999999999998E-2</v>
      </c>
    </row>
    <row r="18" spans="2:24" ht="15" customHeight="1" x14ac:dyDescent="0.25">
      <c r="B18" s="82"/>
      <c r="C18" s="16" t="s">
        <v>38</v>
      </c>
      <c r="D18" s="18" t="s">
        <v>148</v>
      </c>
      <c r="E18" s="20">
        <v>2.5908E-2</v>
      </c>
      <c r="F18" s="33"/>
      <c r="G18" s="33"/>
      <c r="H18" s="33"/>
      <c r="I18" s="33"/>
      <c r="J18" s="33"/>
      <c r="K18" s="33"/>
      <c r="L18" s="33"/>
      <c r="M18" s="33"/>
      <c r="N18" s="33"/>
      <c r="O18" s="33"/>
      <c r="P18" s="33"/>
      <c r="Q18" s="33"/>
      <c r="R18" s="33"/>
      <c r="S18" s="33"/>
      <c r="T18" s="33"/>
      <c r="U18" s="29"/>
      <c r="W18" s="213" t="s">
        <v>99</v>
      </c>
      <c r="X18" s="214">
        <v>2.5321000000000003E-2</v>
      </c>
    </row>
    <row r="19" spans="2:24" ht="15" customHeight="1" x14ac:dyDescent="0.25">
      <c r="B19" s="82"/>
      <c r="C19" s="16" t="s">
        <v>95</v>
      </c>
      <c r="D19" s="18" t="s">
        <v>3</v>
      </c>
      <c r="E19" s="20">
        <v>2.2801999999999999E-2</v>
      </c>
      <c r="F19" s="33"/>
      <c r="G19" s="33"/>
      <c r="H19" s="33"/>
      <c r="I19" s="33"/>
      <c r="J19" s="33"/>
      <c r="K19" s="33"/>
      <c r="L19" s="33"/>
      <c r="M19" s="33"/>
      <c r="N19" s="33"/>
      <c r="O19" s="33"/>
      <c r="P19" s="33"/>
      <c r="Q19" s="33"/>
      <c r="R19" s="33"/>
      <c r="S19" s="33"/>
      <c r="T19" s="33"/>
      <c r="U19" s="29"/>
      <c r="W19" s="213" t="s">
        <v>12</v>
      </c>
      <c r="X19" s="214">
        <v>2.2216999999999997E-2</v>
      </c>
    </row>
    <row r="20" spans="2:24" ht="15" customHeight="1" x14ac:dyDescent="0.25">
      <c r="B20" s="82"/>
      <c r="C20" s="16" t="s">
        <v>77</v>
      </c>
      <c r="D20" s="18" t="s">
        <v>12</v>
      </c>
      <c r="E20" s="20">
        <v>2.0861999999999999E-2</v>
      </c>
      <c r="F20" s="33"/>
      <c r="G20" s="33"/>
      <c r="H20" s="33"/>
      <c r="I20" s="33"/>
      <c r="J20" s="33"/>
      <c r="K20" s="33"/>
      <c r="L20" s="33"/>
      <c r="M20" s="33"/>
      <c r="N20" s="33"/>
      <c r="O20" s="33"/>
      <c r="P20" s="33"/>
      <c r="Q20" s="33"/>
      <c r="R20" s="33"/>
      <c r="S20" s="33"/>
      <c r="T20" s="33"/>
      <c r="U20" s="29"/>
      <c r="W20" s="213" t="s">
        <v>102</v>
      </c>
      <c r="X20" s="214">
        <v>1.7365999999999999E-2</v>
      </c>
    </row>
    <row r="21" spans="2:24" ht="15" customHeight="1" x14ac:dyDescent="0.25">
      <c r="B21" s="82"/>
      <c r="C21" s="16" t="s">
        <v>97</v>
      </c>
      <c r="D21" s="18" t="s">
        <v>4</v>
      </c>
      <c r="E21" s="20">
        <v>1.6945000000000002E-2</v>
      </c>
      <c r="F21" s="33"/>
      <c r="G21" s="33"/>
      <c r="H21" s="33"/>
      <c r="I21" s="33"/>
      <c r="J21" s="33"/>
      <c r="K21" s="33"/>
      <c r="L21" s="33"/>
      <c r="M21" s="33"/>
      <c r="N21" s="33"/>
      <c r="O21" s="33"/>
      <c r="P21" s="33"/>
      <c r="Q21" s="33"/>
      <c r="R21" s="33"/>
      <c r="S21" s="33"/>
      <c r="T21" s="33"/>
      <c r="U21" s="29"/>
      <c r="W21" s="213" t="s">
        <v>11</v>
      </c>
      <c r="X21" s="214">
        <v>1.6878000000000001E-2</v>
      </c>
    </row>
    <row r="22" spans="2:24" ht="15" customHeight="1" x14ac:dyDescent="0.25">
      <c r="B22" s="82"/>
      <c r="C22" s="16" t="s">
        <v>222</v>
      </c>
      <c r="D22" s="18" t="s">
        <v>16</v>
      </c>
      <c r="E22" s="20">
        <v>1.4109E-2</v>
      </c>
      <c r="F22" s="33"/>
      <c r="G22" s="33"/>
      <c r="H22" s="33"/>
      <c r="I22" s="33"/>
      <c r="J22" s="33"/>
      <c r="K22" s="33"/>
      <c r="L22" s="33"/>
      <c r="M22" s="33"/>
      <c r="N22" s="33"/>
      <c r="O22" s="33"/>
      <c r="P22" s="33"/>
      <c r="Q22" s="33"/>
      <c r="R22" s="33"/>
      <c r="S22" s="33"/>
      <c r="T22" s="33"/>
      <c r="U22" s="29"/>
      <c r="W22" s="213" t="s">
        <v>138</v>
      </c>
      <c r="X22" s="214">
        <v>1.3704999999999998E-2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213" t="s">
        <v>26</v>
      </c>
      <c r="X23" s="214">
        <v>1.3067E-2</v>
      </c>
    </row>
    <row r="24" spans="2:24" ht="15" customHeight="1" x14ac:dyDescent="0.25">
      <c r="B24" s="82"/>
      <c r="C24" s="92" t="s">
        <v>56</v>
      </c>
      <c r="D24" s="93"/>
      <c r="E24" s="94">
        <f>SUM(E8:E22)</f>
        <v>0.6116520000000002</v>
      </c>
      <c r="F24" s="33"/>
      <c r="G24" s="33"/>
      <c r="H24" s="33"/>
      <c r="I24" s="33"/>
      <c r="J24" s="33"/>
      <c r="K24" s="33"/>
      <c r="L24" s="33"/>
      <c r="M24" s="33"/>
      <c r="N24" s="33"/>
      <c r="O24" s="33"/>
      <c r="P24" s="33"/>
      <c r="Q24" s="33"/>
      <c r="R24" s="33"/>
      <c r="S24" s="33"/>
      <c r="T24" s="33"/>
      <c r="U24" s="29"/>
      <c r="W24" s="213" t="s">
        <v>152</v>
      </c>
      <c r="X24" s="214">
        <v>1.1455E-2</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213" t="s">
        <v>146</v>
      </c>
      <c r="X25" s="214">
        <v>8.3029999999999996E-3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213" t="s">
        <v>147</v>
      </c>
      <c r="X26" s="214">
        <v>8.0299999999999989E-3</v>
      </c>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213" t="s">
        <v>149</v>
      </c>
      <c r="X27" s="214">
        <v>6.9700000000000005E-3</v>
      </c>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213" t="s">
        <v>15</v>
      </c>
      <c r="X28" s="214">
        <v>6.6870000000000002E-3</v>
      </c>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213" t="s">
        <v>13</v>
      </c>
      <c r="X29" s="214">
        <v>6.6800000000000002E-3</v>
      </c>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213" t="s">
        <v>103</v>
      </c>
      <c r="X30" s="214">
        <v>6.5420000000000001E-3</v>
      </c>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213" t="s">
        <v>136</v>
      </c>
      <c r="X31" s="214">
        <v>6.169E-3</v>
      </c>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213" t="s">
        <v>25</v>
      </c>
      <c r="X32" s="214">
        <v>5.9129999999999999E-3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213" t="s">
        <v>164</v>
      </c>
      <c r="X33" s="214">
        <v>5.4429999999999999E-3</v>
      </c>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213" t="s">
        <v>162</v>
      </c>
      <c r="X34" s="214">
        <v>5.4169999999999999E-3</v>
      </c>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213" t="s">
        <v>150</v>
      </c>
      <c r="X35" s="214">
        <v>5.3670000000000002E-3</v>
      </c>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213" t="s">
        <v>163</v>
      </c>
      <c r="X36" s="214">
        <v>5.0699999999999999E-3</v>
      </c>
    </row>
    <row r="37" spans="2:24" ht="15" customHeight="1" x14ac:dyDescent="0.25">
      <c r="B37" s="82"/>
      <c r="C37" s="33"/>
      <c r="D37" s="33"/>
      <c r="E37" s="33"/>
      <c r="F37" s="33"/>
      <c r="G37" s="33"/>
      <c r="H37" s="33"/>
      <c r="I37" s="33"/>
      <c r="J37" s="33"/>
      <c r="K37" s="33"/>
      <c r="L37" s="33"/>
      <c r="M37" s="33"/>
      <c r="N37" s="33"/>
      <c r="O37" s="33"/>
      <c r="P37" s="33"/>
      <c r="Q37" s="33"/>
      <c r="R37" s="33"/>
      <c r="S37" s="33"/>
      <c r="T37" s="33"/>
      <c r="U37" s="29"/>
      <c r="W37" s="213" t="s">
        <v>91</v>
      </c>
      <c r="X37" s="214">
        <v>4.9240000000000004E-3</v>
      </c>
    </row>
    <row r="38" spans="2:24" ht="15" customHeight="1" x14ac:dyDescent="0.25">
      <c r="B38" s="82"/>
      <c r="C38" s="33"/>
      <c r="D38" s="33"/>
      <c r="E38" s="33"/>
      <c r="F38" s="33"/>
      <c r="G38" s="33"/>
      <c r="H38" s="33"/>
      <c r="I38" s="33"/>
      <c r="J38" s="33"/>
      <c r="K38" s="33"/>
      <c r="L38" s="33"/>
      <c r="M38" s="33"/>
      <c r="N38" s="33"/>
      <c r="O38" s="33"/>
      <c r="P38" s="33"/>
      <c r="Q38" s="33"/>
      <c r="R38" s="33"/>
      <c r="S38" s="33"/>
      <c r="T38" s="33"/>
      <c r="U38" s="29"/>
      <c r="W38" s="213" t="s">
        <v>165</v>
      </c>
      <c r="X38" s="214">
        <v>3.467E-3</v>
      </c>
    </row>
    <row r="39" spans="2:24" ht="15" customHeight="1" x14ac:dyDescent="0.25">
      <c r="B39" s="82"/>
      <c r="C39" s="33"/>
      <c r="D39" s="33"/>
      <c r="E39" s="33"/>
      <c r="F39" s="33"/>
      <c r="G39" s="33"/>
      <c r="H39" s="33"/>
      <c r="I39" s="33"/>
      <c r="J39" s="33"/>
      <c r="K39" s="33"/>
      <c r="L39" s="33"/>
      <c r="M39" s="33"/>
      <c r="N39" s="33"/>
      <c r="O39" s="33"/>
      <c r="P39" s="33"/>
      <c r="Q39" s="33"/>
      <c r="R39" s="33"/>
      <c r="S39" s="33"/>
      <c r="T39" s="33"/>
      <c r="U39" s="29"/>
      <c r="W39" s="213" t="s">
        <v>140</v>
      </c>
      <c r="X39" s="214">
        <v>3.4260000000000002E-3</v>
      </c>
    </row>
    <row r="40" spans="2:24" ht="15" customHeight="1" thickBot="1" x14ac:dyDescent="0.3">
      <c r="B40" s="95"/>
      <c r="C40" s="34"/>
      <c r="D40" s="34"/>
      <c r="E40" s="34"/>
      <c r="F40" s="34"/>
      <c r="G40" s="34"/>
      <c r="H40" s="34"/>
      <c r="I40" s="34"/>
      <c r="J40" s="34"/>
      <c r="K40" s="34"/>
      <c r="L40" s="34"/>
      <c r="M40" s="34"/>
      <c r="N40" s="34"/>
      <c r="O40" s="34"/>
      <c r="P40" s="34"/>
      <c r="Q40" s="34"/>
      <c r="R40" s="34"/>
      <c r="S40" s="34"/>
      <c r="T40" s="34"/>
      <c r="U40" s="30"/>
      <c r="W40" s="77" t="s">
        <v>153</v>
      </c>
      <c r="X40" s="79">
        <v>2.5709999999999999E-3</v>
      </c>
    </row>
    <row r="41" spans="2:24" ht="15" customHeight="1" thickBot="1" x14ac:dyDescent="0.3">
      <c r="W41" s="213" t="s">
        <v>144</v>
      </c>
      <c r="X41" s="214">
        <v>2.5070000000000001E-3</v>
      </c>
    </row>
    <row r="42" spans="2:24" ht="15" customHeight="1" x14ac:dyDescent="0.25">
      <c r="B42" s="226" t="s">
        <v>254</v>
      </c>
      <c r="C42" s="227"/>
      <c r="D42" s="227"/>
      <c r="E42" s="227"/>
      <c r="F42" s="227"/>
      <c r="G42" s="227"/>
      <c r="H42" s="227"/>
      <c r="I42" s="227"/>
      <c r="J42" s="227"/>
      <c r="K42" s="227"/>
      <c r="L42" s="227"/>
      <c r="M42" s="227"/>
      <c r="N42" s="228"/>
      <c r="W42" s="213" t="s">
        <v>156</v>
      </c>
      <c r="X42" s="214">
        <v>2.3270000000000001E-3</v>
      </c>
    </row>
    <row r="43" spans="2:24" ht="15" customHeight="1" x14ac:dyDescent="0.25">
      <c r="B43" s="229"/>
      <c r="C43" s="230"/>
      <c r="D43" s="230"/>
      <c r="E43" s="230"/>
      <c r="F43" s="230"/>
      <c r="G43" s="230"/>
      <c r="H43" s="230"/>
      <c r="I43" s="230"/>
      <c r="J43" s="230"/>
      <c r="K43" s="230"/>
      <c r="L43" s="230"/>
      <c r="M43" s="230"/>
      <c r="N43" s="231"/>
      <c r="W43" s="213" t="s">
        <v>100</v>
      </c>
      <c r="X43" s="214">
        <v>1.977E-3</v>
      </c>
    </row>
    <row r="44" spans="2:24" ht="15" customHeight="1" x14ac:dyDescent="0.25">
      <c r="B44" s="229"/>
      <c r="C44" s="230"/>
      <c r="D44" s="230"/>
      <c r="E44" s="230"/>
      <c r="F44" s="230"/>
      <c r="G44" s="230"/>
      <c r="H44" s="230"/>
      <c r="I44" s="230"/>
      <c r="J44" s="230"/>
      <c r="K44" s="230"/>
      <c r="L44" s="230"/>
      <c r="M44" s="230"/>
      <c r="N44" s="231"/>
      <c r="W44" s="213" t="s">
        <v>101</v>
      </c>
      <c r="X44" s="214">
        <v>1.5269999999999999E-3</v>
      </c>
    </row>
    <row r="45" spans="2:24" ht="15" customHeight="1" x14ac:dyDescent="0.25">
      <c r="B45" s="229"/>
      <c r="C45" s="230"/>
      <c r="D45" s="230"/>
      <c r="E45" s="230"/>
      <c r="F45" s="230"/>
      <c r="G45" s="230"/>
      <c r="H45" s="230"/>
      <c r="I45" s="230"/>
      <c r="J45" s="230"/>
      <c r="K45" s="230"/>
      <c r="L45" s="230"/>
      <c r="M45" s="230"/>
      <c r="N45" s="231"/>
    </row>
    <row r="46" spans="2:24" ht="15" customHeight="1" x14ac:dyDescent="0.25">
      <c r="B46" s="229"/>
      <c r="C46" s="230"/>
      <c r="D46" s="230"/>
      <c r="E46" s="230"/>
      <c r="F46" s="230"/>
      <c r="G46" s="230"/>
      <c r="H46" s="230"/>
      <c r="I46" s="230"/>
      <c r="J46" s="230"/>
      <c r="K46" s="230"/>
      <c r="L46" s="230"/>
      <c r="M46" s="230"/>
      <c r="N46" s="231"/>
    </row>
    <row r="47" spans="2:24" ht="15" customHeight="1" x14ac:dyDescent="0.25">
      <c r="B47" s="229"/>
      <c r="C47" s="230"/>
      <c r="D47" s="230"/>
      <c r="E47" s="230"/>
      <c r="F47" s="230"/>
      <c r="G47" s="230"/>
      <c r="H47" s="230"/>
      <c r="I47" s="230"/>
      <c r="J47" s="230"/>
      <c r="K47" s="230"/>
      <c r="L47" s="230"/>
      <c r="M47" s="230"/>
      <c r="N47" s="231"/>
    </row>
    <row r="48" spans="2:24" ht="15" customHeight="1" thickBot="1" x14ac:dyDescent="0.3">
      <c r="B48" s="232"/>
      <c r="C48" s="233"/>
      <c r="D48" s="233"/>
      <c r="E48" s="233"/>
      <c r="F48" s="233"/>
      <c r="G48" s="233"/>
      <c r="H48" s="233"/>
      <c r="I48" s="233"/>
      <c r="J48" s="233"/>
      <c r="K48" s="233"/>
      <c r="L48" s="233"/>
      <c r="M48" s="233"/>
      <c r="N48" s="234"/>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5" t="s">
        <v>225</v>
      </c>
      <c r="D3" s="236"/>
      <c r="E3" s="236"/>
      <c r="F3" s="236"/>
      <c r="G3" s="236"/>
      <c r="H3" s="236"/>
      <c r="I3" s="236"/>
      <c r="J3" s="236"/>
      <c r="K3" s="236"/>
      <c r="L3" s="236"/>
      <c r="M3" s="236"/>
      <c r="N3" s="236"/>
      <c r="O3" s="236"/>
      <c r="P3" s="236"/>
      <c r="Q3" s="236"/>
      <c r="R3" s="236"/>
      <c r="S3" s="236"/>
      <c r="T3" s="83"/>
      <c r="U3" s="84"/>
    </row>
    <row r="4" spans="1:24" ht="15.75" customHeight="1" x14ac:dyDescent="0.25">
      <c r="B4" s="82"/>
      <c r="C4" s="85" t="s">
        <v>273</v>
      </c>
      <c r="D4" s="33"/>
      <c r="E4" s="33"/>
      <c r="F4" s="33"/>
      <c r="G4" s="33"/>
      <c r="H4" s="33"/>
      <c r="I4" s="33"/>
      <c r="J4" s="33"/>
      <c r="K4" s="33"/>
      <c r="L4" s="33"/>
      <c r="M4" s="33"/>
      <c r="N4" s="33"/>
      <c r="O4" s="33"/>
      <c r="P4" s="33"/>
      <c r="Q4" s="33"/>
      <c r="R4" s="33"/>
      <c r="S4" s="33"/>
      <c r="T4" s="33"/>
      <c r="U4" s="29"/>
    </row>
    <row r="5" spans="1:24" ht="18" customHeight="1" x14ac:dyDescent="0.25">
      <c r="B5" s="82"/>
      <c r="C5" s="86" t="s">
        <v>274</v>
      </c>
      <c r="D5" s="239" t="s">
        <v>298</v>
      </c>
      <c r="E5" s="239"/>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31</v>
      </c>
      <c r="D8" s="17" t="s">
        <v>148</v>
      </c>
      <c r="E8" s="19">
        <v>6.0538000000000002E-2</v>
      </c>
      <c r="F8" s="33"/>
      <c r="G8" s="33"/>
      <c r="H8" s="33"/>
      <c r="I8" s="33"/>
      <c r="J8" s="33"/>
      <c r="K8" s="33"/>
      <c r="L8" s="33"/>
      <c r="M8" s="33"/>
      <c r="N8" s="33"/>
      <c r="O8" s="33"/>
      <c r="P8" s="33"/>
      <c r="Q8" s="33"/>
      <c r="R8" s="33"/>
      <c r="S8" s="33"/>
      <c r="T8" s="33"/>
      <c r="U8" s="29"/>
      <c r="W8" s="77" t="s">
        <v>3</v>
      </c>
      <c r="X8" s="79">
        <v>0.28306599999999998</v>
      </c>
    </row>
    <row r="9" spans="1:24" ht="15.75" customHeight="1" x14ac:dyDescent="0.25">
      <c r="B9" s="82"/>
      <c r="C9" s="16" t="s">
        <v>64</v>
      </c>
      <c r="D9" s="18" t="s">
        <v>10</v>
      </c>
      <c r="E9" s="20">
        <v>5.5738999999999997E-2</v>
      </c>
      <c r="F9" s="33"/>
      <c r="G9" s="33"/>
      <c r="H9" s="33"/>
      <c r="I9" s="33"/>
      <c r="J9" s="33"/>
      <c r="K9" s="33"/>
      <c r="L9" s="33"/>
      <c r="M9" s="33"/>
      <c r="N9" s="33"/>
      <c r="O9" s="33"/>
      <c r="P9" s="33"/>
      <c r="Q9" s="33"/>
      <c r="R9" s="33"/>
      <c r="S9" s="33"/>
      <c r="T9" s="33"/>
      <c r="U9" s="29"/>
      <c r="W9" s="77" t="s">
        <v>143</v>
      </c>
      <c r="X9" s="79">
        <v>0.12107800000000001</v>
      </c>
    </row>
    <row r="10" spans="1:24" ht="30" x14ac:dyDescent="0.25">
      <c r="B10" s="82"/>
      <c r="C10" s="16" t="s">
        <v>83</v>
      </c>
      <c r="D10" s="18" t="s">
        <v>142</v>
      </c>
      <c r="E10" s="20">
        <v>5.1704E-2</v>
      </c>
      <c r="F10" s="33"/>
      <c r="G10" s="33"/>
      <c r="H10" s="33"/>
      <c r="I10" s="33"/>
      <c r="J10" s="33"/>
      <c r="K10" s="33"/>
      <c r="L10" s="33"/>
      <c r="M10" s="33"/>
      <c r="N10" s="33"/>
      <c r="O10" s="33"/>
      <c r="P10" s="33"/>
      <c r="Q10" s="33"/>
      <c r="R10" s="33"/>
      <c r="S10" s="33"/>
      <c r="T10" s="33"/>
      <c r="U10" s="29"/>
      <c r="W10" s="77" t="s">
        <v>103</v>
      </c>
      <c r="X10" s="79">
        <v>7.8834999999999988E-2</v>
      </c>
    </row>
    <row r="11" spans="1:24" ht="15.75" customHeight="1" x14ac:dyDescent="0.25">
      <c r="B11" s="82"/>
      <c r="C11" s="16" t="s">
        <v>33</v>
      </c>
      <c r="D11" s="18" t="s">
        <v>3</v>
      </c>
      <c r="E11" s="20">
        <v>5.1199000000000001E-2</v>
      </c>
      <c r="F11" s="33"/>
      <c r="G11" s="33"/>
      <c r="H11" s="33"/>
      <c r="I11" s="33"/>
      <c r="J11" s="33"/>
      <c r="K11" s="33"/>
      <c r="L11" s="33"/>
      <c r="M11" s="33"/>
      <c r="N11" s="33"/>
      <c r="O11" s="33"/>
      <c r="P11" s="33"/>
      <c r="Q11" s="33"/>
      <c r="R11" s="33"/>
      <c r="S11" s="33"/>
      <c r="T11" s="33"/>
      <c r="U11" s="29"/>
      <c r="W11" s="77" t="s">
        <v>148</v>
      </c>
      <c r="X11" s="79">
        <v>6.0538000000000002E-2</v>
      </c>
    </row>
    <row r="12" spans="1:24" ht="15" customHeight="1" x14ac:dyDescent="0.25">
      <c r="B12" s="82"/>
      <c r="C12" s="16" t="s">
        <v>151</v>
      </c>
      <c r="D12" s="18" t="s">
        <v>143</v>
      </c>
      <c r="E12" s="20">
        <v>4.9373E-2</v>
      </c>
      <c r="F12" s="33"/>
      <c r="G12" s="33"/>
      <c r="H12" s="33"/>
      <c r="I12" s="33"/>
      <c r="J12" s="33"/>
      <c r="K12" s="33"/>
      <c r="L12" s="33"/>
      <c r="M12" s="33"/>
      <c r="N12" s="33"/>
      <c r="O12" s="33"/>
      <c r="P12" s="33"/>
      <c r="Q12" s="33"/>
      <c r="R12" s="33"/>
      <c r="S12" s="33"/>
      <c r="T12" s="33"/>
      <c r="U12" s="29"/>
      <c r="W12" s="77" t="s">
        <v>10</v>
      </c>
      <c r="X12" s="79">
        <v>5.5738999999999997E-2</v>
      </c>
    </row>
    <row r="13" spans="1:24" ht="15" customHeight="1" x14ac:dyDescent="0.25">
      <c r="B13" s="82"/>
      <c r="C13" s="16" t="s">
        <v>37</v>
      </c>
      <c r="D13" s="18" t="s">
        <v>3</v>
      </c>
      <c r="E13" s="20">
        <v>4.8430000000000001E-2</v>
      </c>
      <c r="F13" s="33"/>
      <c r="G13" s="33"/>
      <c r="H13" s="33"/>
      <c r="I13" s="33"/>
      <c r="J13" s="33"/>
      <c r="K13" s="33"/>
      <c r="L13" s="33"/>
      <c r="M13" s="33"/>
      <c r="N13" s="33"/>
      <c r="O13" s="33"/>
      <c r="P13" s="33"/>
      <c r="Q13" s="33"/>
      <c r="R13" s="33"/>
      <c r="S13" s="33"/>
      <c r="T13" s="33"/>
      <c r="U13" s="29"/>
      <c r="W13" s="77" t="s">
        <v>142</v>
      </c>
      <c r="X13" s="79">
        <v>5.1704E-2</v>
      </c>
    </row>
    <row r="14" spans="1:24" ht="15" customHeight="1" x14ac:dyDescent="0.25">
      <c r="B14" s="82"/>
      <c r="C14" s="16" t="s">
        <v>77</v>
      </c>
      <c r="D14" s="18" t="s">
        <v>12</v>
      </c>
      <c r="E14" s="20">
        <v>4.8346E-2</v>
      </c>
      <c r="F14" s="33"/>
      <c r="G14" s="33"/>
      <c r="H14" s="33"/>
      <c r="I14" s="33"/>
      <c r="J14" s="33"/>
      <c r="K14" s="33"/>
      <c r="L14" s="33"/>
      <c r="M14" s="33"/>
      <c r="N14" s="33"/>
      <c r="O14" s="33"/>
      <c r="P14" s="33"/>
      <c r="Q14" s="33"/>
      <c r="R14" s="33"/>
      <c r="S14" s="33"/>
      <c r="T14" s="33"/>
      <c r="U14" s="29"/>
      <c r="W14" s="77" t="s">
        <v>12</v>
      </c>
      <c r="X14" s="79">
        <v>4.8346E-2</v>
      </c>
    </row>
    <row r="15" spans="1:24" ht="15" customHeight="1" x14ac:dyDescent="0.25">
      <c r="B15" s="82"/>
      <c r="C15" s="16" t="s">
        <v>180</v>
      </c>
      <c r="D15" s="18" t="s">
        <v>3</v>
      </c>
      <c r="E15" s="20">
        <v>4.768E-2</v>
      </c>
      <c r="F15" s="33"/>
      <c r="G15" s="33"/>
      <c r="H15" s="33"/>
      <c r="I15" s="33"/>
      <c r="J15" s="33"/>
      <c r="K15" s="33"/>
      <c r="L15" s="33"/>
      <c r="M15" s="33"/>
      <c r="N15" s="33"/>
      <c r="O15" s="33"/>
      <c r="P15" s="33"/>
      <c r="Q15" s="33"/>
      <c r="R15" s="33"/>
      <c r="S15" s="33"/>
      <c r="T15" s="33"/>
      <c r="U15" s="29"/>
      <c r="W15" s="77" t="s">
        <v>150</v>
      </c>
      <c r="X15" s="79">
        <v>4.5850000000000002E-2</v>
      </c>
    </row>
    <row r="16" spans="1:24" ht="15" customHeight="1" x14ac:dyDescent="0.25">
      <c r="B16" s="82"/>
      <c r="C16" s="16" t="s">
        <v>95</v>
      </c>
      <c r="D16" s="18" t="s">
        <v>3</v>
      </c>
      <c r="E16" s="20">
        <v>4.5754999999999997E-2</v>
      </c>
      <c r="F16" s="33"/>
      <c r="G16" s="33"/>
      <c r="H16" s="33"/>
      <c r="I16" s="33"/>
      <c r="J16" s="33"/>
      <c r="K16" s="33"/>
      <c r="L16" s="33"/>
      <c r="M16" s="33"/>
      <c r="N16" s="33"/>
      <c r="O16" s="33"/>
      <c r="P16" s="33"/>
      <c r="Q16" s="33"/>
      <c r="R16" s="33"/>
      <c r="S16" s="33"/>
      <c r="T16" s="33"/>
      <c r="U16" s="29"/>
      <c r="W16" s="77" t="s">
        <v>163</v>
      </c>
      <c r="X16" s="79">
        <v>3.5097000000000003E-2</v>
      </c>
    </row>
    <row r="17" spans="2:24" ht="15" customHeight="1" x14ac:dyDescent="0.25">
      <c r="B17" s="82"/>
      <c r="C17" s="16" t="s">
        <v>198</v>
      </c>
      <c r="D17" s="18" t="s">
        <v>143</v>
      </c>
      <c r="E17" s="20">
        <v>4.0745000000000003E-2</v>
      </c>
      <c r="F17" s="33"/>
      <c r="G17" s="33"/>
      <c r="H17" s="33"/>
      <c r="I17" s="33"/>
      <c r="J17" s="33"/>
      <c r="K17" s="33"/>
      <c r="L17" s="33"/>
      <c r="M17" s="33"/>
      <c r="N17" s="33"/>
      <c r="O17" s="33"/>
      <c r="P17" s="33"/>
      <c r="Q17" s="33"/>
      <c r="R17" s="33"/>
      <c r="S17" s="33"/>
      <c r="T17" s="33"/>
      <c r="U17" s="29"/>
      <c r="W17" s="77" t="s">
        <v>100</v>
      </c>
      <c r="X17" s="79">
        <v>3.4882000000000003E-2</v>
      </c>
    </row>
    <row r="18" spans="2:24" ht="15" customHeight="1" x14ac:dyDescent="0.25">
      <c r="B18" s="82"/>
      <c r="C18" s="16" t="s">
        <v>161</v>
      </c>
      <c r="D18" s="18" t="s">
        <v>103</v>
      </c>
      <c r="E18" s="20">
        <v>3.9601999999999998E-2</v>
      </c>
      <c r="F18" s="33"/>
      <c r="G18" s="33"/>
      <c r="H18" s="33"/>
      <c r="I18" s="33"/>
      <c r="J18" s="33"/>
      <c r="K18" s="33"/>
      <c r="L18" s="33"/>
      <c r="M18" s="33"/>
      <c r="N18" s="33"/>
      <c r="O18" s="33"/>
      <c r="P18" s="33"/>
      <c r="Q18" s="33"/>
      <c r="R18" s="33"/>
      <c r="S18" s="33"/>
      <c r="T18" s="33"/>
      <c r="U18" s="29"/>
      <c r="W18" s="77" t="s">
        <v>99</v>
      </c>
      <c r="X18" s="79">
        <v>3.4592999999999999E-2</v>
      </c>
    </row>
    <row r="19" spans="2:24" ht="15" customHeight="1" x14ac:dyDescent="0.25">
      <c r="B19" s="82"/>
      <c r="C19" s="16" t="s">
        <v>206</v>
      </c>
      <c r="D19" s="18" t="s">
        <v>103</v>
      </c>
      <c r="E19" s="20">
        <v>3.9232999999999997E-2</v>
      </c>
      <c r="F19" s="33"/>
      <c r="G19" s="33"/>
      <c r="H19" s="33"/>
      <c r="I19" s="33"/>
      <c r="J19" s="33"/>
      <c r="K19" s="33"/>
      <c r="L19" s="33"/>
      <c r="M19" s="33"/>
      <c r="N19" s="33"/>
      <c r="O19" s="33"/>
      <c r="P19" s="33"/>
      <c r="Q19" s="33"/>
      <c r="R19" s="33"/>
      <c r="S19" s="33"/>
      <c r="T19" s="33"/>
      <c r="U19" s="29"/>
      <c r="W19" s="77" t="s">
        <v>24</v>
      </c>
      <c r="X19" s="79">
        <v>3.0306E-2</v>
      </c>
    </row>
    <row r="20" spans="2:24" ht="15" customHeight="1" x14ac:dyDescent="0.25">
      <c r="B20" s="82"/>
      <c r="C20" s="16" t="s">
        <v>185</v>
      </c>
      <c r="D20" s="18" t="s">
        <v>163</v>
      </c>
      <c r="E20" s="20">
        <v>3.5097000000000003E-2</v>
      </c>
      <c r="F20" s="33"/>
      <c r="G20" s="33"/>
      <c r="H20" s="33"/>
      <c r="I20" s="33"/>
      <c r="J20" s="33"/>
      <c r="K20" s="33"/>
      <c r="L20" s="33"/>
      <c r="M20" s="33"/>
      <c r="N20" s="33"/>
      <c r="O20" s="33"/>
      <c r="P20" s="33"/>
      <c r="Q20" s="33"/>
      <c r="R20" s="33"/>
      <c r="S20" s="33"/>
      <c r="T20" s="33"/>
      <c r="U20" s="29"/>
      <c r="W20" s="77" t="s">
        <v>147</v>
      </c>
      <c r="X20" s="79">
        <v>3.0130000000000001E-2</v>
      </c>
    </row>
    <row r="21" spans="2:24" ht="15" customHeight="1" x14ac:dyDescent="0.25">
      <c r="B21" s="82"/>
      <c r="C21" s="16" t="s">
        <v>112</v>
      </c>
      <c r="D21" s="18" t="s">
        <v>100</v>
      </c>
      <c r="E21" s="20">
        <v>3.4882000000000003E-2</v>
      </c>
      <c r="F21" s="33"/>
      <c r="G21" s="33"/>
      <c r="H21" s="33"/>
      <c r="I21" s="33"/>
      <c r="J21" s="33"/>
      <c r="K21" s="33"/>
      <c r="L21" s="33"/>
      <c r="M21" s="33"/>
      <c r="N21" s="33"/>
      <c r="O21" s="33"/>
      <c r="P21" s="33"/>
      <c r="Q21" s="33"/>
      <c r="R21" s="33"/>
      <c r="S21" s="33"/>
      <c r="T21" s="33"/>
      <c r="U21" s="29"/>
      <c r="W21" s="77" t="s">
        <v>26</v>
      </c>
      <c r="X21" s="79">
        <v>2.9128999999999999E-2</v>
      </c>
    </row>
    <row r="22" spans="2:24" ht="15" customHeight="1" x14ac:dyDescent="0.25">
      <c r="B22" s="82"/>
      <c r="C22" s="16" t="s">
        <v>209</v>
      </c>
      <c r="D22" s="18" t="s">
        <v>3</v>
      </c>
      <c r="E22" s="20">
        <v>3.4699000000000001E-2</v>
      </c>
      <c r="F22" s="33"/>
      <c r="G22" s="33"/>
      <c r="H22" s="33"/>
      <c r="I22" s="33"/>
      <c r="J22" s="33"/>
      <c r="K22" s="33"/>
      <c r="L22" s="33"/>
      <c r="M22" s="33"/>
      <c r="N22" s="33"/>
      <c r="O22" s="33"/>
      <c r="P22" s="33"/>
      <c r="Q22" s="33"/>
      <c r="R22" s="33"/>
      <c r="S22" s="33"/>
      <c r="T22" s="33"/>
      <c r="U22" s="29"/>
      <c r="W22" s="77" t="s">
        <v>164</v>
      </c>
      <c r="X22" s="79">
        <v>2.4441999999999998E-2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t="s">
        <v>11</v>
      </c>
      <c r="X23" s="79">
        <v>1.8962E-2</v>
      </c>
    </row>
    <row r="24" spans="2:24" ht="15" customHeight="1" x14ac:dyDescent="0.25">
      <c r="B24" s="82"/>
      <c r="C24" s="92" t="s">
        <v>56</v>
      </c>
      <c r="D24" s="93"/>
      <c r="E24" s="94">
        <f>SUM(E8:E22)</f>
        <v>0.68302200000000002</v>
      </c>
      <c r="F24" s="33"/>
      <c r="G24" s="33"/>
      <c r="H24" s="33"/>
      <c r="I24" s="33"/>
      <c r="J24" s="33"/>
      <c r="K24" s="33"/>
      <c r="L24" s="33"/>
      <c r="M24" s="33"/>
      <c r="N24" s="33"/>
      <c r="O24" s="33"/>
      <c r="P24" s="33"/>
      <c r="Q24" s="33"/>
      <c r="R24" s="33"/>
      <c r="S24" s="33"/>
      <c r="T24" s="33"/>
      <c r="U24" s="29"/>
      <c r="W24" s="77" t="s">
        <v>4</v>
      </c>
      <c r="X24" s="79">
        <v>9.0290000000000006E-3</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t="s">
        <v>159</v>
      </c>
      <c r="X25" s="79">
        <v>5.7229999999999998E-3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6" t="s">
        <v>254</v>
      </c>
      <c r="C39" s="227"/>
      <c r="D39" s="227"/>
      <c r="E39" s="227"/>
      <c r="F39" s="227"/>
      <c r="G39" s="227"/>
      <c r="H39" s="227"/>
      <c r="I39" s="227"/>
      <c r="J39" s="227"/>
      <c r="K39" s="227"/>
      <c r="L39" s="227"/>
      <c r="M39" s="227"/>
      <c r="N39" s="228"/>
      <c r="W39" s="77"/>
      <c r="X39" s="79"/>
    </row>
    <row r="40" spans="2:24" ht="15" customHeight="1" x14ac:dyDescent="0.25">
      <c r="B40" s="229"/>
      <c r="C40" s="230"/>
      <c r="D40" s="230"/>
      <c r="E40" s="230"/>
      <c r="F40" s="230"/>
      <c r="G40" s="230"/>
      <c r="H40" s="230"/>
      <c r="I40" s="230"/>
      <c r="J40" s="230"/>
      <c r="K40" s="230"/>
      <c r="L40" s="230"/>
      <c r="M40" s="230"/>
      <c r="N40" s="231"/>
      <c r="W40" s="77"/>
      <c r="X40" s="79"/>
    </row>
    <row r="41" spans="2:24" ht="15" customHeight="1" x14ac:dyDescent="0.25">
      <c r="B41" s="229"/>
      <c r="C41" s="230"/>
      <c r="D41" s="230"/>
      <c r="E41" s="230"/>
      <c r="F41" s="230"/>
      <c r="G41" s="230"/>
      <c r="H41" s="230"/>
      <c r="I41" s="230"/>
      <c r="J41" s="230"/>
      <c r="K41" s="230"/>
      <c r="L41" s="230"/>
      <c r="M41" s="230"/>
      <c r="N41" s="231"/>
      <c r="W41" s="77"/>
      <c r="X41" s="79"/>
    </row>
    <row r="42" spans="2:24" ht="15" customHeight="1" x14ac:dyDescent="0.25">
      <c r="B42" s="229"/>
      <c r="C42" s="230"/>
      <c r="D42" s="230"/>
      <c r="E42" s="230"/>
      <c r="F42" s="230"/>
      <c r="G42" s="230"/>
      <c r="H42" s="230"/>
      <c r="I42" s="230"/>
      <c r="J42" s="230"/>
      <c r="K42" s="230"/>
      <c r="L42" s="230"/>
      <c r="M42" s="230"/>
      <c r="N42" s="231"/>
      <c r="W42" s="77"/>
      <c r="X42" s="79"/>
    </row>
    <row r="43" spans="2:24" ht="15" customHeight="1" x14ac:dyDescent="0.25">
      <c r="B43" s="229"/>
      <c r="C43" s="230"/>
      <c r="D43" s="230"/>
      <c r="E43" s="230"/>
      <c r="F43" s="230"/>
      <c r="G43" s="230"/>
      <c r="H43" s="230"/>
      <c r="I43" s="230"/>
      <c r="J43" s="230"/>
      <c r="K43" s="230"/>
      <c r="L43" s="230"/>
      <c r="M43" s="230"/>
      <c r="N43" s="231"/>
    </row>
    <row r="44" spans="2:24" ht="15" customHeight="1" x14ac:dyDescent="0.25">
      <c r="B44" s="229"/>
      <c r="C44" s="230"/>
      <c r="D44" s="230"/>
      <c r="E44" s="230"/>
      <c r="F44" s="230"/>
      <c r="G44" s="230"/>
      <c r="H44" s="230"/>
      <c r="I44" s="230"/>
      <c r="J44" s="230"/>
      <c r="K44" s="230"/>
      <c r="L44" s="230"/>
      <c r="M44" s="230"/>
      <c r="N44" s="231"/>
    </row>
    <row r="45" spans="2:24" ht="15" customHeight="1" thickBot="1" x14ac:dyDescent="0.3">
      <c r="B45" s="232"/>
      <c r="C45" s="233"/>
      <c r="D45" s="233"/>
      <c r="E45" s="233"/>
      <c r="F45" s="233"/>
      <c r="G45" s="233"/>
      <c r="H45" s="233"/>
      <c r="I45" s="233"/>
      <c r="J45" s="233"/>
      <c r="K45" s="233"/>
      <c r="L45" s="233"/>
      <c r="M45" s="233"/>
      <c r="N45" s="23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6">
    <sortCondition descending="1" ref="X8"/>
  </sortState>
  <mergeCells count="3">
    <mergeCell ref="C3:S3"/>
    <mergeCell ref="D5:E5"/>
    <mergeCell ref="B39:N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5" t="s">
        <v>224</v>
      </c>
      <c r="D3" s="236"/>
      <c r="E3" s="236"/>
      <c r="F3" s="236"/>
      <c r="G3" s="236"/>
      <c r="H3" s="236"/>
      <c r="I3" s="236"/>
      <c r="J3" s="236"/>
      <c r="K3" s="236"/>
      <c r="L3" s="236"/>
      <c r="M3" s="236"/>
      <c r="N3" s="236"/>
      <c r="O3" s="236"/>
      <c r="P3" s="236"/>
      <c r="Q3" s="236"/>
      <c r="R3" s="236"/>
      <c r="S3" s="236"/>
      <c r="T3" s="83"/>
      <c r="U3" s="84"/>
    </row>
    <row r="4" spans="1:24" ht="15.75" customHeight="1" x14ac:dyDescent="0.25">
      <c r="B4" s="82"/>
      <c r="C4" s="85" t="s">
        <v>273</v>
      </c>
      <c r="D4" s="33"/>
      <c r="E4" s="33"/>
      <c r="F4" s="33"/>
      <c r="G4" s="33"/>
      <c r="H4" s="33"/>
      <c r="I4" s="33"/>
      <c r="J4" s="33"/>
      <c r="K4" s="33"/>
      <c r="L4" s="33"/>
      <c r="M4" s="33"/>
      <c r="N4" s="33"/>
      <c r="O4" s="33"/>
      <c r="P4" s="33"/>
      <c r="Q4" s="33"/>
      <c r="R4" s="33"/>
      <c r="S4" s="33"/>
      <c r="T4" s="33"/>
      <c r="U4" s="29"/>
    </row>
    <row r="5" spans="1:24" ht="18" customHeight="1" x14ac:dyDescent="0.25">
      <c r="B5" s="82"/>
      <c r="C5" s="86" t="s">
        <v>274</v>
      </c>
      <c r="D5" s="239" t="s">
        <v>299</v>
      </c>
      <c r="E5" s="239"/>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166</v>
      </c>
      <c r="D8" s="17" t="s">
        <v>138</v>
      </c>
      <c r="E8" s="19">
        <v>4.2845000000000001E-2</v>
      </c>
      <c r="F8" s="33"/>
      <c r="G8" s="33"/>
      <c r="H8" s="33"/>
      <c r="I8" s="33"/>
      <c r="J8" s="33"/>
      <c r="K8" s="33"/>
      <c r="L8" s="33"/>
      <c r="M8" s="33"/>
      <c r="N8" s="33"/>
      <c r="O8" s="33"/>
      <c r="P8" s="33"/>
      <c r="Q8" s="33"/>
      <c r="R8" s="33"/>
      <c r="S8" s="33"/>
      <c r="T8" s="33"/>
      <c r="U8" s="29"/>
      <c r="W8" s="215" t="s">
        <v>137</v>
      </c>
      <c r="X8" s="214">
        <v>0.16561899999999999</v>
      </c>
    </row>
    <row r="9" spans="1:24" ht="15.75" customHeight="1" x14ac:dyDescent="0.25">
      <c r="B9" s="82"/>
      <c r="C9" s="16" t="s">
        <v>31</v>
      </c>
      <c r="D9" s="18" t="s">
        <v>148</v>
      </c>
      <c r="E9" s="20">
        <v>3.9579000000000003E-2</v>
      </c>
      <c r="F9" s="33"/>
      <c r="G9" s="33"/>
      <c r="H9" s="33"/>
      <c r="I9" s="33"/>
      <c r="J9" s="33"/>
      <c r="K9" s="33"/>
      <c r="L9" s="33"/>
      <c r="M9" s="33"/>
      <c r="N9" s="33"/>
      <c r="O9" s="33"/>
      <c r="P9" s="33"/>
      <c r="Q9" s="33"/>
      <c r="R9" s="33"/>
      <c r="S9" s="33"/>
      <c r="T9" s="33"/>
      <c r="U9" s="29"/>
      <c r="W9" s="215" t="s">
        <v>142</v>
      </c>
      <c r="X9" s="214">
        <v>0.11052100000000001</v>
      </c>
    </row>
    <row r="10" spans="1:24" ht="30" x14ac:dyDescent="0.25">
      <c r="B10" s="82"/>
      <c r="C10" s="16" t="s">
        <v>83</v>
      </c>
      <c r="D10" s="18" t="s">
        <v>142</v>
      </c>
      <c r="E10" s="20">
        <v>3.8553999999999998E-2</v>
      </c>
      <c r="F10" s="33"/>
      <c r="G10" s="33"/>
      <c r="H10" s="33"/>
      <c r="I10" s="33"/>
      <c r="J10" s="33"/>
      <c r="K10" s="33"/>
      <c r="L10" s="33"/>
      <c r="M10" s="33"/>
      <c r="N10" s="33"/>
      <c r="O10" s="33"/>
      <c r="P10" s="33"/>
      <c r="Q10" s="33"/>
      <c r="R10" s="33"/>
      <c r="S10" s="33"/>
      <c r="T10" s="33"/>
      <c r="U10" s="29"/>
      <c r="W10" s="215" t="s">
        <v>138</v>
      </c>
      <c r="X10" s="214">
        <v>7.8490000000000004E-2</v>
      </c>
    </row>
    <row r="11" spans="1:24" ht="15.75" customHeight="1" x14ac:dyDescent="0.25">
      <c r="B11" s="82"/>
      <c r="C11" s="16" t="s">
        <v>34</v>
      </c>
      <c r="D11" s="18" t="s">
        <v>137</v>
      </c>
      <c r="E11" s="20">
        <v>3.7243999999999999E-2</v>
      </c>
      <c r="F11" s="33"/>
      <c r="G11" s="33"/>
      <c r="H11" s="33"/>
      <c r="I11" s="33"/>
      <c r="J11" s="33"/>
      <c r="K11" s="33"/>
      <c r="L11" s="33"/>
      <c r="M11" s="33"/>
      <c r="N11" s="33"/>
      <c r="O11" s="33"/>
      <c r="P11" s="33"/>
      <c r="Q11" s="33"/>
      <c r="R11" s="33"/>
      <c r="S11" s="33"/>
      <c r="T11" s="33"/>
      <c r="U11" s="29"/>
      <c r="W11" s="215" t="s">
        <v>148</v>
      </c>
      <c r="X11" s="214">
        <v>7.3658000000000001E-2</v>
      </c>
    </row>
    <row r="12" spans="1:24" ht="15" customHeight="1" x14ac:dyDescent="0.25">
      <c r="B12" s="82"/>
      <c r="C12" s="16" t="s">
        <v>36</v>
      </c>
      <c r="D12" s="18" t="s">
        <v>3</v>
      </c>
      <c r="E12" s="20">
        <v>3.7005999999999997E-2</v>
      </c>
      <c r="F12" s="33"/>
      <c r="G12" s="33"/>
      <c r="H12" s="33"/>
      <c r="I12" s="33"/>
      <c r="J12" s="33"/>
      <c r="K12" s="33"/>
      <c r="L12" s="33"/>
      <c r="M12" s="33"/>
      <c r="N12" s="33"/>
      <c r="O12" s="33"/>
      <c r="P12" s="33"/>
      <c r="Q12" s="33"/>
      <c r="R12" s="33"/>
      <c r="S12" s="33"/>
      <c r="T12" s="33"/>
      <c r="U12" s="29"/>
      <c r="W12" s="215" t="s">
        <v>3</v>
      </c>
      <c r="X12" s="214">
        <v>7.1278999999999995E-2</v>
      </c>
    </row>
    <row r="13" spans="1:24" ht="15" customHeight="1" x14ac:dyDescent="0.25">
      <c r="B13" s="82"/>
      <c r="C13" s="16" t="s">
        <v>187</v>
      </c>
      <c r="D13" s="18" t="s">
        <v>142</v>
      </c>
      <c r="E13" s="20">
        <v>3.6401000000000003E-2</v>
      </c>
      <c r="F13" s="33"/>
      <c r="G13" s="33"/>
      <c r="H13" s="33"/>
      <c r="I13" s="33"/>
      <c r="J13" s="33"/>
      <c r="K13" s="33"/>
      <c r="L13" s="33"/>
      <c r="M13" s="33"/>
      <c r="N13" s="33"/>
      <c r="O13" s="33"/>
      <c r="P13" s="33"/>
      <c r="Q13" s="33"/>
      <c r="R13" s="33"/>
      <c r="S13" s="33"/>
      <c r="T13" s="33"/>
      <c r="U13" s="29"/>
      <c r="W13" s="215" t="s">
        <v>10</v>
      </c>
      <c r="X13" s="214">
        <v>6.837E-2</v>
      </c>
    </row>
    <row r="14" spans="1:24" ht="15" customHeight="1" x14ac:dyDescent="0.25">
      <c r="B14" s="82"/>
      <c r="C14" s="16" t="s">
        <v>104</v>
      </c>
      <c r="D14" s="18" t="s">
        <v>138</v>
      </c>
      <c r="E14" s="20">
        <v>3.5645000000000003E-2</v>
      </c>
      <c r="F14" s="33"/>
      <c r="G14" s="33"/>
      <c r="H14" s="33"/>
      <c r="I14" s="33"/>
      <c r="J14" s="33"/>
      <c r="K14" s="33"/>
      <c r="L14" s="33"/>
      <c r="M14" s="33"/>
      <c r="N14" s="33"/>
      <c r="O14" s="33"/>
      <c r="P14" s="33"/>
      <c r="Q14" s="33"/>
      <c r="R14" s="33"/>
      <c r="S14" s="33"/>
      <c r="T14" s="33"/>
      <c r="U14" s="29"/>
      <c r="W14" s="215" t="s">
        <v>143</v>
      </c>
      <c r="X14" s="214">
        <v>6.5935999999999995E-2</v>
      </c>
    </row>
    <row r="15" spans="1:24" ht="15" customHeight="1" x14ac:dyDescent="0.25">
      <c r="B15" s="82"/>
      <c r="C15" s="16" t="s">
        <v>134</v>
      </c>
      <c r="D15" s="18" t="s">
        <v>142</v>
      </c>
      <c r="E15" s="20">
        <v>3.5566E-2</v>
      </c>
      <c r="F15" s="33"/>
      <c r="G15" s="33"/>
      <c r="H15" s="33"/>
      <c r="I15" s="33"/>
      <c r="J15" s="33"/>
      <c r="K15" s="33"/>
      <c r="L15" s="33"/>
      <c r="M15" s="33"/>
      <c r="N15" s="33"/>
      <c r="O15" s="33"/>
      <c r="P15" s="33"/>
      <c r="Q15" s="33"/>
      <c r="R15" s="33"/>
      <c r="S15" s="33"/>
      <c r="T15" s="33"/>
      <c r="U15" s="29"/>
      <c r="W15" s="215" t="s">
        <v>6</v>
      </c>
      <c r="X15" s="214">
        <v>6.2622999999999998E-2</v>
      </c>
    </row>
    <row r="16" spans="1:24" ht="15" customHeight="1" x14ac:dyDescent="0.25">
      <c r="B16" s="82"/>
      <c r="C16" s="16" t="s">
        <v>82</v>
      </c>
      <c r="D16" s="18" t="s">
        <v>137</v>
      </c>
      <c r="E16" s="20">
        <v>3.5548000000000003E-2</v>
      </c>
      <c r="F16" s="33"/>
      <c r="G16" s="33"/>
      <c r="H16" s="33"/>
      <c r="I16" s="33"/>
      <c r="J16" s="33"/>
      <c r="K16" s="33"/>
      <c r="L16" s="33"/>
      <c r="M16" s="33"/>
      <c r="N16" s="33"/>
      <c r="O16" s="33"/>
      <c r="P16" s="33"/>
      <c r="Q16" s="33"/>
      <c r="R16" s="33"/>
      <c r="S16" s="33"/>
      <c r="T16" s="33"/>
      <c r="U16" s="29"/>
      <c r="W16" s="215" t="s">
        <v>16</v>
      </c>
      <c r="X16" s="214">
        <v>6.0281000000000001E-2</v>
      </c>
    </row>
    <row r="17" spans="2:24" ht="15" customHeight="1" x14ac:dyDescent="0.25">
      <c r="B17" s="82"/>
      <c r="C17" s="16" t="s">
        <v>188</v>
      </c>
      <c r="D17" s="18" t="s">
        <v>143</v>
      </c>
      <c r="E17" s="20">
        <v>3.4874000000000002E-2</v>
      </c>
      <c r="F17" s="33"/>
      <c r="G17" s="33"/>
      <c r="H17" s="33"/>
      <c r="I17" s="33"/>
      <c r="J17" s="33"/>
      <c r="K17" s="33"/>
      <c r="L17" s="33"/>
      <c r="M17" s="33"/>
      <c r="N17" s="33"/>
      <c r="O17" s="33"/>
      <c r="P17" s="33"/>
      <c r="Q17" s="33"/>
      <c r="R17" s="33"/>
      <c r="S17" s="33"/>
      <c r="T17" s="33"/>
      <c r="U17" s="29"/>
      <c r="W17" s="215" t="s">
        <v>152</v>
      </c>
      <c r="X17" s="214">
        <v>5.9277999999999997E-2</v>
      </c>
    </row>
    <row r="18" spans="2:24" ht="15" customHeight="1" x14ac:dyDescent="0.25">
      <c r="B18" s="82"/>
      <c r="C18" s="16" t="s">
        <v>35</v>
      </c>
      <c r="D18" s="18" t="s">
        <v>23</v>
      </c>
      <c r="E18" s="20">
        <v>3.4554000000000001E-2</v>
      </c>
      <c r="F18" s="33"/>
      <c r="G18" s="33"/>
      <c r="H18" s="33"/>
      <c r="I18" s="33"/>
      <c r="J18" s="33"/>
      <c r="K18" s="33"/>
      <c r="L18" s="33"/>
      <c r="M18" s="33"/>
      <c r="N18" s="33"/>
      <c r="O18" s="33"/>
      <c r="P18" s="33"/>
      <c r="Q18" s="33"/>
      <c r="R18" s="33"/>
      <c r="S18" s="33"/>
      <c r="T18" s="33"/>
      <c r="U18" s="29"/>
      <c r="W18" s="215" t="s">
        <v>102</v>
      </c>
      <c r="X18" s="214">
        <v>5.7720999999999995E-2</v>
      </c>
    </row>
    <row r="19" spans="2:24" ht="15" customHeight="1" x14ac:dyDescent="0.25">
      <c r="B19" s="82"/>
      <c r="C19" s="16" t="s">
        <v>29</v>
      </c>
      <c r="D19" s="18" t="s">
        <v>3</v>
      </c>
      <c r="E19" s="20">
        <v>3.4272999999999998E-2</v>
      </c>
      <c r="F19" s="33"/>
      <c r="G19" s="33"/>
      <c r="H19" s="33"/>
      <c r="I19" s="33"/>
      <c r="J19" s="33"/>
      <c r="K19" s="33"/>
      <c r="L19" s="33"/>
      <c r="M19" s="33"/>
      <c r="N19" s="33"/>
      <c r="O19" s="33"/>
      <c r="P19" s="33"/>
      <c r="Q19" s="33"/>
      <c r="R19" s="33"/>
      <c r="S19" s="33"/>
      <c r="T19" s="33"/>
      <c r="U19" s="29"/>
      <c r="W19" s="215" t="s">
        <v>23</v>
      </c>
      <c r="X19" s="214">
        <v>3.4554000000000001E-2</v>
      </c>
    </row>
    <row r="20" spans="2:24" ht="15" customHeight="1" x14ac:dyDescent="0.25">
      <c r="B20" s="82"/>
      <c r="C20" s="16" t="s">
        <v>64</v>
      </c>
      <c r="D20" s="18" t="s">
        <v>10</v>
      </c>
      <c r="E20" s="20">
        <v>3.422E-2</v>
      </c>
      <c r="F20" s="33"/>
      <c r="G20" s="33"/>
      <c r="H20" s="33"/>
      <c r="I20" s="33"/>
      <c r="J20" s="33"/>
      <c r="K20" s="33"/>
      <c r="L20" s="33"/>
      <c r="M20" s="33"/>
      <c r="N20" s="33"/>
      <c r="O20" s="33"/>
      <c r="P20" s="33"/>
      <c r="Q20" s="33"/>
      <c r="R20" s="33"/>
      <c r="S20" s="33"/>
      <c r="T20" s="33"/>
      <c r="U20" s="29"/>
      <c r="W20" s="215" t="s">
        <v>99</v>
      </c>
      <c r="X20" s="214">
        <v>3.1607999999999997E-2</v>
      </c>
    </row>
    <row r="21" spans="2:24" ht="15" customHeight="1" x14ac:dyDescent="0.25">
      <c r="B21" s="82"/>
      <c r="C21" s="16" t="s">
        <v>184</v>
      </c>
      <c r="D21" s="18" t="s">
        <v>10</v>
      </c>
      <c r="E21" s="20">
        <v>3.415E-2</v>
      </c>
      <c r="F21" s="33"/>
      <c r="G21" s="33"/>
      <c r="H21" s="33"/>
      <c r="I21" s="33"/>
      <c r="J21" s="33"/>
      <c r="K21" s="33"/>
      <c r="L21" s="33"/>
      <c r="M21" s="33"/>
      <c r="N21" s="33"/>
      <c r="O21" s="33"/>
      <c r="P21" s="33"/>
      <c r="Q21" s="33"/>
      <c r="R21" s="33"/>
      <c r="S21" s="33"/>
      <c r="T21" s="33"/>
      <c r="U21" s="29"/>
      <c r="W21" s="215" t="s">
        <v>147</v>
      </c>
      <c r="X21" s="214">
        <v>2.9492000000000001E-2</v>
      </c>
    </row>
    <row r="22" spans="2:24" ht="15" customHeight="1" x14ac:dyDescent="0.25">
      <c r="B22" s="82"/>
      <c r="C22" s="16" t="s">
        <v>38</v>
      </c>
      <c r="D22" s="18" t="s">
        <v>148</v>
      </c>
      <c r="E22" s="20">
        <v>3.4078999999999998E-2</v>
      </c>
      <c r="F22" s="33"/>
      <c r="G22" s="33"/>
      <c r="H22" s="33"/>
      <c r="I22" s="33"/>
      <c r="J22" s="33"/>
      <c r="K22" s="33"/>
      <c r="L22" s="33"/>
      <c r="M22" s="33"/>
      <c r="N22" s="33"/>
      <c r="O22" s="33"/>
      <c r="P22" s="33"/>
      <c r="Q22" s="33"/>
      <c r="R22" s="33"/>
      <c r="S22" s="33"/>
      <c r="T22" s="33"/>
      <c r="U22" s="29"/>
      <c r="W22" s="77" t="s">
        <v>146</v>
      </c>
      <c r="X22" s="79">
        <v>2.9472000000000002E-2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56</v>
      </c>
      <c r="D24" s="93"/>
      <c r="E24" s="94">
        <f>SUM(E8:E22)</f>
        <v>0.54453800000000008</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6" t="s">
        <v>254</v>
      </c>
      <c r="C39" s="227"/>
      <c r="D39" s="227"/>
      <c r="E39" s="227"/>
      <c r="F39" s="227"/>
      <c r="G39" s="227"/>
      <c r="H39" s="227"/>
      <c r="I39" s="227"/>
      <c r="J39" s="227"/>
      <c r="K39" s="227"/>
      <c r="L39" s="227"/>
      <c r="M39" s="227"/>
      <c r="N39" s="228"/>
      <c r="W39" s="77"/>
      <c r="X39" s="79"/>
    </row>
    <row r="40" spans="2:24" ht="15" customHeight="1" x14ac:dyDescent="0.25">
      <c r="B40" s="229"/>
      <c r="C40" s="230"/>
      <c r="D40" s="230"/>
      <c r="E40" s="230"/>
      <c r="F40" s="230"/>
      <c r="G40" s="230"/>
      <c r="H40" s="230"/>
      <c r="I40" s="230"/>
      <c r="J40" s="230"/>
      <c r="K40" s="230"/>
      <c r="L40" s="230"/>
      <c r="M40" s="230"/>
      <c r="N40" s="231"/>
      <c r="W40" s="77"/>
      <c r="X40" s="79"/>
    </row>
    <row r="41" spans="2:24" ht="15" customHeight="1" x14ac:dyDescent="0.25">
      <c r="B41" s="229"/>
      <c r="C41" s="230"/>
      <c r="D41" s="230"/>
      <c r="E41" s="230"/>
      <c r="F41" s="230"/>
      <c r="G41" s="230"/>
      <c r="H41" s="230"/>
      <c r="I41" s="230"/>
      <c r="J41" s="230"/>
      <c r="K41" s="230"/>
      <c r="L41" s="230"/>
      <c r="M41" s="230"/>
      <c r="N41" s="231"/>
      <c r="W41" s="77"/>
      <c r="X41" s="79"/>
    </row>
    <row r="42" spans="2:24" ht="15" customHeight="1" x14ac:dyDescent="0.25">
      <c r="B42" s="229"/>
      <c r="C42" s="230"/>
      <c r="D42" s="230"/>
      <c r="E42" s="230"/>
      <c r="F42" s="230"/>
      <c r="G42" s="230"/>
      <c r="H42" s="230"/>
      <c r="I42" s="230"/>
      <c r="J42" s="230"/>
      <c r="K42" s="230"/>
      <c r="L42" s="230"/>
      <c r="M42" s="230"/>
      <c r="N42" s="231"/>
      <c r="W42" s="77"/>
      <c r="X42" s="79"/>
    </row>
    <row r="43" spans="2:24" ht="15" customHeight="1" x14ac:dyDescent="0.25">
      <c r="B43" s="229"/>
      <c r="C43" s="230"/>
      <c r="D43" s="230"/>
      <c r="E43" s="230"/>
      <c r="F43" s="230"/>
      <c r="G43" s="230"/>
      <c r="H43" s="230"/>
      <c r="I43" s="230"/>
      <c r="J43" s="230"/>
      <c r="K43" s="230"/>
      <c r="L43" s="230"/>
      <c r="M43" s="230"/>
      <c r="N43" s="231"/>
    </row>
    <row r="44" spans="2:24" ht="15" customHeight="1" x14ac:dyDescent="0.25">
      <c r="B44" s="229"/>
      <c r="C44" s="230"/>
      <c r="D44" s="230"/>
      <c r="E44" s="230"/>
      <c r="F44" s="230"/>
      <c r="G44" s="230"/>
      <c r="H44" s="230"/>
      <c r="I44" s="230"/>
      <c r="J44" s="230"/>
      <c r="K44" s="230"/>
      <c r="L44" s="230"/>
      <c r="M44" s="230"/>
      <c r="N44" s="231"/>
    </row>
    <row r="45" spans="2:24" ht="25.5" customHeight="1" thickBot="1" x14ac:dyDescent="0.3">
      <c r="B45" s="232"/>
      <c r="C45" s="233"/>
      <c r="D45" s="233"/>
      <c r="E45" s="233"/>
      <c r="F45" s="233"/>
      <c r="G45" s="233"/>
      <c r="H45" s="233"/>
      <c r="I45" s="233"/>
      <c r="J45" s="233"/>
      <c r="K45" s="233"/>
      <c r="L45" s="233"/>
      <c r="M45" s="233"/>
      <c r="N45" s="23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BANDHAN-USFOF</vt:lpstr>
      <vt:lpstr>BANDHAN-US TB FOF 0-1 yr</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2023-04-12T05:42:07Z</dcterms:modified>
</cp:coreProperties>
</file>