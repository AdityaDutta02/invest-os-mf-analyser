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defaultThemeVersion="166925"/>
  <mc:AlternateContent xmlns:mc="http://schemas.openxmlformats.org/markup-compatibility/2006">
    <mc:Choice Requires="x15">
      <x15ac:absPath xmlns:x15ac="http://schemas.microsoft.com/office/spreadsheetml/2010/11/ac" url="\\mumfilesvr.bandhanamc.int\Users\Ruchi\Products Team\MONTH END DELIVERABLES-1\Portfolios_All\2023\Oct 2023\"/>
    </mc:Choice>
  </mc:AlternateContent>
  <xr:revisionPtr revIDLastSave="0" documentId="13_ncr:1_{7B759812-8CBF-43F0-9603-52C5E4ED6DAE}" xr6:coauthVersionLast="36" xr6:coauthVersionMax="36" xr10:uidLastSave="{00000000-0000-0000-0000-000000000000}"/>
  <bookViews>
    <workbookView xWindow="0" yWindow="0" windowWidth="20490" windowHeight="7545" tabRatio="911" xr2:uid="{33876660-F660-4A4C-9D64-965F4A61B0AE}"/>
  </bookViews>
  <sheets>
    <sheet name="BANDHAN OF" sheetId="23" r:id="rId1"/>
    <sheet name="BANDHAN L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CRF" sheetId="8" r:id="rId12"/>
    <sheet name="BANDHAN FRF" sheetId="17"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 name="BANDHAN US TB 0-1yr FOF" sheetId="25" r:id="rId24"/>
  </sheets>
  <externalReferences>
    <externalReference r:id="rId25"/>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5" l="1"/>
  <c r="J10" i="25"/>
  <c r="J9" i="25"/>
  <c r="J8" i="25"/>
</calcChain>
</file>

<file path=xl/sharedStrings.xml><?xml version="1.0" encoding="utf-8"?>
<sst xmlns="http://schemas.openxmlformats.org/spreadsheetml/2006/main" count="1337" uniqueCount="325">
  <si>
    <t>Bandhan All Seasons Bond Fund (30 September, 2023 )</t>
  </si>
  <si>
    <t>Net Assets as on 30 September, 2023</t>
  </si>
  <si>
    <t>120.53 crs</t>
  </si>
  <si>
    <t>Name</t>
  </si>
  <si>
    <t>Rating</t>
  </si>
  <si>
    <t>Total</t>
  </si>
  <si>
    <t>Bandhan Bond Fund -Short Term Pl Direct Pl-Growth</t>
  </si>
  <si>
    <t>Bandhan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</si>
  <si>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</si>
  <si>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</si>
  <si>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</si>
  <si>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</si>
  <si>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</si>
  <si>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</si>
  <si>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</si>
  <si>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</si>
  <si>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</si>
  <si>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</si>
  <si>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</si>
  <si>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</si>
  <si>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(30 September, 2023 )</t>
  </si>
  <si>
    <t>14657.18 crs</t>
  </si>
  <si>
    <t>Kotak Mahindra Bank Limited</t>
  </si>
  <si>
    <t xml:space="preserve"> A1+</t>
  </si>
  <si>
    <t>State Bank of India</t>
  </si>
  <si>
    <t>Certificate of Deposit Total</t>
  </si>
  <si>
    <t>National Bank For Agriculture and Rural Development</t>
  </si>
  <si>
    <t xml:space="preserve"> AAA</t>
  </si>
  <si>
    <t>Indian Railway Finance Corporation Limited</t>
  </si>
  <si>
    <t>Small Industries Dev Bank of India</t>
  </si>
  <si>
    <t>HDFC Bank Limited</t>
  </si>
  <si>
    <t>Power Finance Corporation Limited</t>
  </si>
  <si>
    <t>REC Limited</t>
  </si>
  <si>
    <t>Bajaj Housing Finance Limited</t>
  </si>
  <si>
    <t>Hindustan Petroleum Corporation Limited</t>
  </si>
  <si>
    <t>NTPC Limited</t>
  </si>
  <si>
    <t>Axis Bank Limited</t>
  </si>
  <si>
    <t>Nuclear Power Corporation Of India Limited</t>
  </si>
  <si>
    <t>Indian Oil Corporation Limited</t>
  </si>
  <si>
    <t>National Housing Bank</t>
  </si>
  <si>
    <t>Export Import Bank of India</t>
  </si>
  <si>
    <t>ICICI Bank Limited</t>
  </si>
  <si>
    <t>Power Grid Corporation of India Limited</t>
  </si>
  <si>
    <t>NHPC Limited</t>
  </si>
  <si>
    <t>Corporate Bond Total</t>
  </si>
  <si>
    <t>7.27% GOI (MD 08/04/2026)</t>
  </si>
  <si>
    <t>SOV</t>
  </si>
  <si>
    <t>7.38% GOI (MD 20/06/2027)</t>
  </si>
  <si>
    <t>5.63% GOI (MD 12/04/2026)</t>
  </si>
  <si>
    <t>7.59% GOI(MD 11/01/2026)</t>
  </si>
  <si>
    <t>Government Bond Total</t>
  </si>
  <si>
    <t>State Government Bond Total</t>
  </si>
  <si>
    <t>Certificate of Deposit</t>
  </si>
  <si>
    <t>Corporate Bond</t>
  </si>
  <si>
    <t>Government Bond</t>
  </si>
  <si>
    <t>State Government Bond</t>
  </si>
  <si>
    <t>Bandhan Bond Fund - Income Plan (30 September, 2023 )</t>
  </si>
  <si>
    <t>490.93 crs</t>
  </si>
  <si>
    <t>7.18% GOI (MD 14/08/2033)</t>
  </si>
  <si>
    <t>7.18% GOI (MD 24/07/2037)</t>
  </si>
  <si>
    <t>7.1% GOI (MD 18/04/2029)</t>
  </si>
  <si>
    <t>7.26% GOI (MD 06/02/2033)</t>
  </si>
  <si>
    <t>6.1% GOI (MD 12/07/2031)</t>
  </si>
  <si>
    <t>6.79% GOI (MD 15/05/2027)</t>
  </si>
  <si>
    <t>7.73% GOI (MD 19/12/2034)</t>
  </si>
  <si>
    <t>Bandhan Bond Fund - Medium Term Plan (30 September, 2023 )</t>
  </si>
  <si>
    <t>1813.34 crs</t>
  </si>
  <si>
    <t>8.24% GOI (MD 15/02/2027)</t>
  </si>
  <si>
    <t xml:space="preserve"> AAA(SO)</t>
  </si>
  <si>
    <t>PTC Total</t>
  </si>
  <si>
    <t>PTC</t>
  </si>
  <si>
    <t>Bandhan Bond Fund - Short Term Plan (30 September, 2023 )</t>
  </si>
  <si>
    <t>8687.58 crs</t>
  </si>
  <si>
    <t>Bajaj Finance Limited</t>
  </si>
  <si>
    <t>Kotak Mahindra Prime Limited</t>
  </si>
  <si>
    <t>Commercial Paper Total</t>
  </si>
  <si>
    <t>Sundaram Finance Limited</t>
  </si>
  <si>
    <t>Commercial Paper</t>
  </si>
  <si>
    <t>Bandhan Corporate Bond Fund (30 September, 2023 )</t>
  </si>
  <si>
    <t>14173.80 crs</t>
  </si>
  <si>
    <t>UltraTech Cement Limited</t>
  </si>
  <si>
    <t>Larsen &amp; Toubro Limited</t>
  </si>
  <si>
    <t>Oil &amp; Natural Gas Corporation Limited</t>
  </si>
  <si>
    <t>Tata Capital Financial Services Limited</t>
  </si>
  <si>
    <t>Grasim Industries Limited</t>
  </si>
  <si>
    <t>Reliance Industries Limited</t>
  </si>
  <si>
    <t>7.68% GOI (MD 15/12/2023)</t>
  </si>
  <si>
    <t>364 Days Tbill (MD 14/03/2024)</t>
  </si>
  <si>
    <t>364 Days Tbill (MD 22/03/2024)</t>
  </si>
  <si>
    <t>364 Days Tbill (MD 07/03/2024)</t>
  </si>
  <si>
    <t>Treasury Bill Total</t>
  </si>
  <si>
    <t>Zero Coupon Bond Total</t>
  </si>
  <si>
    <t>Treasury Bill</t>
  </si>
  <si>
    <t>Zero Coupon Bond</t>
  </si>
  <si>
    <t>Bandhan Credit Risk Fund (30 September, 2023 )</t>
  </si>
  <si>
    <t>399.83 crs</t>
  </si>
  <si>
    <t>Century Textiles &amp; Industries Limited</t>
  </si>
  <si>
    <t xml:space="preserve"> AA</t>
  </si>
  <si>
    <t>Godrej Industries Limited</t>
  </si>
  <si>
    <t>Tata Power Company Limited</t>
  </si>
  <si>
    <t>Union Bank of India</t>
  </si>
  <si>
    <t>Punjab National Bank</t>
  </si>
  <si>
    <t>AU Small Finance Bank Limited</t>
  </si>
  <si>
    <t>Aadhar Housing Finance Limited</t>
  </si>
  <si>
    <t>Godrej Housing Finance Limited</t>
  </si>
  <si>
    <t>Aditya Birla Fashion and Retail Limited</t>
  </si>
  <si>
    <t xml:space="preserve"> AA+</t>
  </si>
  <si>
    <t>AA</t>
  </si>
  <si>
    <t>AA+</t>
  </si>
  <si>
    <t>Bandhan CRISIL IBX 90:10 SDL+Gilt Apr32 Index Fund (30 September, 2023 )</t>
  </si>
  <si>
    <t>324.93 crs</t>
  </si>
  <si>
    <t>6.54% GOI (MD 17/01/2032)</t>
  </si>
  <si>
    <t>Bandhan CRISIL IBX 90:10 SDL+Gilt Nov26 Index Fund (30 September, 2023 )</t>
  </si>
  <si>
    <t>107.50 crs</t>
  </si>
  <si>
    <t>5.74% GOI (MD 15/11/2026)</t>
  </si>
  <si>
    <t>Bandhan CRISIL IBX 90:10 SDL+Gilt Sep27 Index Fund (30 September, 2023 )</t>
  </si>
  <si>
    <t>155.87 crs</t>
  </si>
  <si>
    <t>Bandhan CRISIL IBX Gilt April 2026 Index Fund (30 September, 2023 )</t>
  </si>
  <si>
    <t>481.43 crs</t>
  </si>
  <si>
    <t>5.15% GOI (MD 09/11/2025)</t>
  </si>
  <si>
    <t>6.99% GOI (MD 17/04/2026)</t>
  </si>
  <si>
    <t>Bandhan CRISIL IBX Gilt April 2028 Index Fund (30 September, 2023 )</t>
  </si>
  <si>
    <t>4735.41 crs</t>
  </si>
  <si>
    <t>7.17% GOI (MD 08/01/2028)</t>
  </si>
  <si>
    <t>8.28% GOI (M/D 21/09/2027)</t>
  </si>
  <si>
    <t>182 Days Tbill (MD 09/11/2023)</t>
  </si>
  <si>
    <t>Bandhan CRISIL IBX GILT APRIL 2032 INDEX FUND (30 September, 2023 )</t>
  </si>
  <si>
    <t>Average Maturity in Days</t>
  </si>
  <si>
    <t>Bandhan CRISIL IBX Gilt June 2027 Index Fund (30 September, 2023 )</t>
  </si>
  <si>
    <t>8243.85 crs</t>
  </si>
  <si>
    <t>Bandhan Dynamic Bond Fund (30 September, 2023 )</t>
  </si>
  <si>
    <t>2225.43 crs</t>
  </si>
  <si>
    <t>8.20% GOI (MD 24/09/2025)</t>
  </si>
  <si>
    <t>Bandhan Floating Rate Fund (30 September, 2023 )</t>
  </si>
  <si>
    <t>205.58 crs</t>
  </si>
  <si>
    <t>Bharti Telecom Limited</t>
  </si>
  <si>
    <t>7.06% GOI (MD 10/04/2028)</t>
  </si>
  <si>
    <t>Interest Rate Swaps</t>
  </si>
  <si>
    <t>Bandhan Government Sec Fund-Constant Maturity Plan (30 September, 2023 )</t>
  </si>
  <si>
    <t>307.47 crs</t>
  </si>
  <si>
    <t>Bandhan Government Securities Fund-Investment Plan (30 September, 2023 )</t>
  </si>
  <si>
    <t>1428.76 crs</t>
  </si>
  <si>
    <t>Bandhan Liquid Fund (30 September, 2023 )</t>
  </si>
  <si>
    <t>11015.78 crs</t>
  </si>
  <si>
    <t>Canara Bank</t>
  </si>
  <si>
    <t>Bank of Baroda</t>
  </si>
  <si>
    <t>Indian Bank</t>
  </si>
  <si>
    <t>The Federal Bank Limited</t>
  </si>
  <si>
    <t>IndusInd Bank Limited</t>
  </si>
  <si>
    <t>Reliance Retail Ventures Limited</t>
  </si>
  <si>
    <t>Kotak Securities Limited</t>
  </si>
  <si>
    <t>Tata Steel Limited</t>
  </si>
  <si>
    <t>ICICI Securities Limited</t>
  </si>
  <si>
    <t>HDFC Securities Limited</t>
  </si>
  <si>
    <t>L&amp;T Finance Limited</t>
  </si>
  <si>
    <t>Mahindra &amp; Mahindra Financial Services Limited</t>
  </si>
  <si>
    <t>91 Days Tbill (MD 17/11/2023)</t>
  </si>
  <si>
    <t>91 Days Tbill (MD 02/11/2023)</t>
  </si>
  <si>
    <t>91 Days Tbill (MD 09/11/2023)</t>
  </si>
  <si>
    <t>91 Days Tbill (MD 26/10/2023)</t>
  </si>
  <si>
    <t>91 Days Tbill (MD 23/11/2023)</t>
  </si>
  <si>
    <t>182 Days Tbill (MD 02/11/2023)</t>
  </si>
  <si>
    <t>182 Days Tbill (MD 07/12/2023)</t>
  </si>
  <si>
    <t>91 Days Tbill (MD 19/10/2023)</t>
  </si>
  <si>
    <t>364 Days Tbill (MD 27/10/2023)</t>
  </si>
  <si>
    <t>Bandhan Low Duration Fund (30 September, 2023 )</t>
  </si>
  <si>
    <t>5195.20 crs</t>
  </si>
  <si>
    <t>182 Days Tbill (MD 29/02/2024)</t>
  </si>
  <si>
    <t>Bandhan Money Manager Fund (30 September, 2023 )</t>
  </si>
  <si>
    <t>3196.98 crs</t>
  </si>
  <si>
    <t>Kotak Mahindra Investments Limited</t>
  </si>
  <si>
    <t>182 Days Tbill (MD 29/03/2024)</t>
  </si>
  <si>
    <t>182 Days Tbill (MD 16/02/2024)</t>
  </si>
  <si>
    <t>182 Days Tbill (MD 22/02/2024)</t>
  </si>
  <si>
    <t>364 Days Tbill (MD 08/02/2024)</t>
  </si>
  <si>
    <t>182 Days Tbill (MD 18/01/2024)</t>
  </si>
  <si>
    <t>Bandhan Overnight Fund (30 September, 2023 )</t>
  </si>
  <si>
    <t>1593.80 crs</t>
  </si>
  <si>
    <t>REPO Total</t>
  </si>
  <si>
    <t>182 Days Tbill (MD 12/10/2023)</t>
  </si>
  <si>
    <t>REPO</t>
  </si>
  <si>
    <t>Bandhan Ultra Short Term Fund (30 September, 2023 )</t>
  </si>
  <si>
    <t>3446.51 crs</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</si>
  <si>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</si>
  <si>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</si>
  <si>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</si>
  <si>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^PTC originated by Reliance Industries Limited</t>
  </si>
  <si>
    <t>^^AT1 Bonds under Basel III</t>
  </si>
  <si>
    <t>First Business Receivables Trust^</t>
  </si>
  <si>
    <t>8.05% Karnataka SDL (MD 25/02/2025)</t>
  </si>
  <si>
    <t>8.25% Gujarat SDL  ( MD 24/12/2024)</t>
  </si>
  <si>
    <t>8.29%  Rajasthan SDL (MD 13/05/2025)</t>
  </si>
  <si>
    <t>8.23% Gujarat SDL  (09/09/2025)</t>
  </si>
  <si>
    <t>8.05% Maharashtra SDL (MD 28/01/2025)</t>
  </si>
  <si>
    <t>8.15% Gujarat SDL (MD 23/09/2025)</t>
  </si>
  <si>
    <t>8.24% Maharashtra SDL (MD 24/12/2024)</t>
  </si>
  <si>
    <t>8.27% Haryana SDL (MD 13/05/2025)</t>
  </si>
  <si>
    <t>8.08% Haryana SDL (MD 28/01/2025)</t>
  </si>
  <si>
    <t>8.05% Haryana SDL (MD 25/02/2025)</t>
  </si>
  <si>
    <t>8.08% Uttar Pradesh SDL (MD 25/02/2025)</t>
  </si>
  <si>
    <t>6.69% Madhya Pradesh SDL (MD 17/03/2025)</t>
  </si>
  <si>
    <t>8.1% Uttar Pradesh SDL (MD 28/01/2025)</t>
  </si>
  <si>
    <t>8.09% Andhra Pradesh SDL (MD 28/01/2025)</t>
  </si>
  <si>
    <t>5.8% Maharashtra SDL (MD 02/02/2025)</t>
  </si>
  <si>
    <t>7.41% Uttar Pradesh SDL (MD 09/11/2026)</t>
  </si>
  <si>
    <t>8.05% Gujarat SDL (MD 28/01/2025)</t>
  </si>
  <si>
    <t>7.38% Madhya Pradesh SDL (MD 15/03/2025)</t>
  </si>
  <si>
    <t>9.24% Maharashtra SDL (MD 16/01/2024)</t>
  </si>
  <si>
    <t>9.35% Maharashtra SDL (MD 30/01/2024)</t>
  </si>
  <si>
    <t>7.97% Odisha SDL (MD 17/01/2024)</t>
  </si>
  <si>
    <t>8.07% Gujrat SDL (MD 11/02/2025)</t>
  </si>
  <si>
    <t>5.77% Gujarat SDL (MD 12/01/2025)</t>
  </si>
  <si>
    <t>5.77% Gujarat SDL (MD 02/02/2025)</t>
  </si>
  <si>
    <t>8.25% Maharastra SDL  ( MD 13/05/2025)</t>
  </si>
  <si>
    <t>8.2% Gujarat SDL (MD 24/06/2025)</t>
  </si>
  <si>
    <t>8.37% Tamil Nadu SDL (MD 05/12/2028)</t>
  </si>
  <si>
    <t>8.26% Maharashtra SDL (MD 12/08/2025)</t>
  </si>
  <si>
    <t>7.96% Gujarat SDL (14/10/2025)</t>
  </si>
  <si>
    <t>8.12% Maharashtra SDL (MD 13/11/2025)</t>
  </si>
  <si>
    <t>8.27% Karnataka SDL(MD 23/12/2025)</t>
  </si>
  <si>
    <t>8.27% Tamilnadu SDL (MD 13/01/2026)</t>
  </si>
  <si>
    <t>8.27% Gujarat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</si>
  <si>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</si>
  <si>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</si>
  <si>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</si>
  <si>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</si>
  <si>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</si>
  <si>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</si>
  <si>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</si>
  <si>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7.93% Chattisgarh SDL (MD 13/02/2024)</t>
  </si>
  <si>
    <t>8.03% Gujarat SDL (MD 16/04/2025)</t>
  </si>
  <si>
    <t>8.27% Haryana SDL (MD 09/12/2025)</t>
  </si>
  <si>
    <t>8.27% Haryana SDL (MD 23/12/2025)</t>
  </si>
  <si>
    <t>6.18% Gujarat SDL (MD 25/01/2026)</t>
  </si>
  <si>
    <t>7.47% Gujarat SDL (MD 27/10/2025)</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</si>
  <si>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</si>
  <si>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</si>
  <si>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</si>
  <si>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</si>
  <si>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</si>
  <si>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</si>
  <si>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</si>
  <si>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</si>
  <si>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</si>
  <si>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</si>
  <si>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</si>
  <si>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</si>
  <si>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</si>
  <si>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</si>
  <si>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5.6% Haryana SDL (MD 20/05/2024)</t>
  </si>
  <si>
    <t>5.75% Tamilnadu SDL (MD 27/05/2025)</t>
  </si>
  <si>
    <t>Union Bank of India^^</t>
  </si>
  <si>
    <t>Punjab National Bank^^</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</si>
  <si>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</si>
  <si>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</si>
  <si>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</si>
  <si>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</si>
  <si>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</si>
  <si>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</si>
  <si>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</si>
  <si>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</si>
  <si>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</si>
  <si>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</si>
  <si>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</si>
  <si>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</si>
  <si>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</si>
  <si>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</si>
  <si>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</si>
  <si>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</si>
  <si>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</si>
  <si>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</si>
  <si>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</si>
  <si>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</si>
  <si>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</si>
  <si>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</si>
  <si>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</si>
  <si>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</si>
  <si>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</si>
  <si>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</si>
  <si>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</si>
  <si>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</si>
  <si>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</si>
  <si>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</si>
  <si>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</si>
  <si>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</si>
  <si>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</si>
  <si>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</si>
  <si>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</si>
  <si>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</si>
  <si>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</si>
  <si>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</si>
  <si>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</si>
  <si>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</si>
  <si>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</si>
  <si>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</si>
  <si>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</si>
  <si>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</si>
  <si>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</si>
  <si>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</si>
  <si>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</si>
  <si>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</si>
  <si>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</si>
  <si>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</si>
  <si>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320.16 crs</t>
  </si>
  <si>
    <t>BANDHAN US TREASURY BOND 0-1 YEAR FUND OF FUND</t>
  </si>
  <si>
    <t>Portfolio as on - (30th September 2023)</t>
  </si>
  <si>
    <t>Net Assets as on 30th September 2023</t>
  </si>
  <si>
    <t>124.30 crs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</si>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</sst>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3"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1"/>
      <name val="Calibri"/>
      <family val="2"/>
      <scheme val="minor"/>
    </font>
    <font>
      <sz val="12"/>
      <name val="Arial"/>
      <family val="2"/>
    </font>
    <font>
      <b/>
      <sz val="16"/>
      <name val="Arial"/>
      <family val="2"/>
    </font>
    <font>
      <b/>
      <sz val="12"/>
      <name val="Arial"/>
      <family val="2"/>
    </font>
    <font>
      <sz val="11"/>
      <name val="Calibri"/>
      <family val="2"/>
      <scheme val="minor"/>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102">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0" fontId="1" fillId="0" borderId="29" xfId="0" applyFont="1" applyBorder="1" applyAlignment="1">
      <alignment vertical="center"/>
    </xf>
    <xf numFmtId="164" fontId="1" fillId="0" borderId="29" xfId="0" applyNumberFormat="1" applyFont="1" applyBorder="1" applyAlignment="1">
      <alignment vertical="center"/>
    </xf>
    <xf numFmtId="165" fontId="1" fillId="0" borderId="2" xfId="0" applyNumberFormat="1" applyFont="1"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8" fillId="0" borderId="0" xfId="0" applyFont="1"/>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9" fillId="3" borderId="0"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10" fillId="0" borderId="0" xfId="0" applyFont="1" applyBorder="1" applyAlignment="1">
      <alignment horizontal="left"/>
    </xf>
    <xf numFmtId="0" fontId="11" fillId="0" borderId="0" xfId="0" applyFont="1" applyBorder="1"/>
    <xf numFmtId="0" fontId="8" fillId="0" borderId="0" xfId="0" applyFont="1" applyBorder="1"/>
    <xf numFmtId="0" fontId="8" fillId="0" borderId="22" xfId="0" applyFont="1" applyBorder="1"/>
    <xf numFmtId="0" fontId="9" fillId="2" borderId="0" xfId="0" applyFont="1" applyFill="1" applyBorder="1" applyAlignment="1">
      <alignment horizontal="left" vertical="center"/>
    </xf>
    <xf numFmtId="0" fontId="9" fillId="3" borderId="0" xfId="0" applyFont="1" applyFill="1" applyBorder="1" applyAlignment="1">
      <alignment vertical="center"/>
    </xf>
    <xf numFmtId="0" fontId="11" fillId="0" borderId="0" xfId="0" applyFont="1"/>
    <xf numFmtId="0" fontId="10" fillId="3" borderId="30" xfId="0" applyFont="1" applyFill="1" applyBorder="1" applyAlignment="1">
      <alignment horizontal="center" vertical="center" wrapText="1"/>
    </xf>
    <xf numFmtId="0" fontId="10" fillId="3" borderId="31" xfId="0" applyFont="1" applyFill="1" applyBorder="1" applyAlignment="1">
      <alignment horizontal="center" vertical="center" wrapText="1"/>
    </xf>
    <xf numFmtId="0" fontId="12" fillId="3" borderId="0" xfId="0" applyFont="1" applyFill="1" applyBorder="1" applyAlignment="1">
      <alignment vertical="center" wrapText="1"/>
    </xf>
    <xf numFmtId="0" fontId="12" fillId="3" borderId="22" xfId="0" applyFont="1" applyFill="1" applyBorder="1" applyAlignment="1">
      <alignment vertical="center" wrapText="1"/>
    </xf>
    <xf numFmtId="0" fontId="8" fillId="0" borderId="32" xfId="0" applyFont="1" applyBorder="1" applyAlignment="1">
      <alignment horizontal="left" vertical="center" wrapText="1"/>
    </xf>
    <xf numFmtId="166" fontId="8" fillId="0" borderId="33" xfId="1" applyNumberFormat="1" applyFont="1" applyBorder="1" applyAlignment="1">
      <alignment horizontal="right"/>
    </xf>
    <xf numFmtId="10" fontId="8" fillId="0" borderId="0" xfId="0" applyNumberFormat="1" applyFont="1" applyBorder="1"/>
    <xf numFmtId="10" fontId="8" fillId="0" borderId="0" xfId="1" applyNumberFormat="1" applyFont="1" applyBorder="1"/>
    <xf numFmtId="14" fontId="8" fillId="0" borderId="0" xfId="0" applyNumberFormat="1" applyFont="1"/>
    <xf numFmtId="0" fontId="10" fillId="3" borderId="32" xfId="0" applyFont="1" applyFill="1" applyBorder="1" applyAlignment="1">
      <alignment horizontal="left"/>
    </xf>
    <xf numFmtId="166" fontId="10" fillId="3" borderId="33" xfId="0" applyNumberFormat="1" applyFont="1" applyFill="1" applyBorder="1" applyAlignment="1">
      <alignment horizontal="right"/>
    </xf>
    <xf numFmtId="0" fontId="8" fillId="0" borderId="8" xfId="0" applyFont="1" applyBorder="1" applyAlignment="1">
      <alignment vertical="center"/>
    </xf>
    <xf numFmtId="166" fontId="8" fillId="0" borderId="33" xfId="0" applyNumberFormat="1" applyFont="1" applyBorder="1" applyAlignment="1">
      <alignment vertical="center"/>
    </xf>
    <xf numFmtId="0" fontId="10" fillId="2" borderId="8" xfId="0" applyFont="1" applyFill="1" applyBorder="1" applyAlignment="1">
      <alignment horizontal="left" vertical="center"/>
    </xf>
    <xf numFmtId="166" fontId="10" fillId="2" borderId="33" xfId="0" applyNumberFormat="1" applyFont="1" applyFill="1" applyBorder="1" applyAlignment="1">
      <alignment horizontal="right" vertical="center"/>
    </xf>
    <xf numFmtId="164" fontId="8" fillId="0" borderId="33" xfId="0" applyNumberFormat="1" applyFont="1" applyBorder="1" applyAlignment="1">
      <alignment vertical="center"/>
    </xf>
    <xf numFmtId="0" fontId="10" fillId="2" borderId="9" xfId="0" applyFont="1" applyFill="1" applyBorder="1" applyAlignment="1">
      <alignment horizontal="left" vertical="center"/>
    </xf>
    <xf numFmtId="164" fontId="10" fillId="2" borderId="34" xfId="0" applyNumberFormat="1" applyFont="1" applyFill="1" applyBorder="1" applyAlignment="1">
      <alignment horizontal="right" vertical="center"/>
    </xf>
    <xf numFmtId="0" fontId="10" fillId="0" borderId="0" xfId="0" applyFont="1" applyFill="1" applyBorder="1" applyAlignment="1">
      <alignment horizontal="left"/>
    </xf>
    <xf numFmtId="167" fontId="10" fillId="0" borderId="0" xfId="0" applyNumberFormat="1" applyFont="1" applyFill="1" applyBorder="1" applyAlignment="1">
      <alignment horizontal="right"/>
    </xf>
    <xf numFmtId="0" fontId="8" fillId="0" borderId="0" xfId="0" applyFont="1" applyFill="1" applyBorder="1"/>
    <xf numFmtId="10" fontId="10" fillId="0" borderId="0" xfId="1" applyNumberFormat="1" applyFont="1" applyFill="1" applyBorder="1" applyAlignment="1">
      <alignment horizontal="right"/>
    </xf>
    <xf numFmtId="0" fontId="8" fillId="0" borderId="23" xfId="0" applyFont="1" applyBorder="1"/>
    <xf numFmtId="0" fontId="10" fillId="0" borderId="24" xfId="0" applyFont="1" applyBorder="1" applyAlignment="1"/>
    <xf numFmtId="0" fontId="10" fillId="0" borderId="25" xfId="0" applyFont="1" applyBorder="1" applyAlignment="1"/>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1" fillId="0" borderId="0" xfId="0" applyFont="1" applyBorder="1" applyAlignment="1">
      <alignment horizontal="left" vertical="top" wrapText="1"/>
    </xf>
    <xf numFmtId="0" fontId="11" fillId="0" borderId="22" xfId="0" applyFont="1" applyBorder="1" applyAlignment="1">
      <alignment horizontal="left" vertical="top" wrapText="1"/>
    </xf>
    <xf numFmtId="0" fontId="11" fillId="0" borderId="23" xfId="0" applyFont="1" applyBorder="1" applyAlignment="1">
      <alignment horizontal="left"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3" fontId="5" fillId="2" borderId="0" xfId="0" applyNumberFormat="1" applyFont="1" applyFill="1" applyBorder="1" applyAlignment="1">
      <alignment vertical="center"/>
    </xf>
    <xf numFmtId="4" fontId="5" fillId="2" borderId="0" xfId="0" applyNumberFormat="1" applyFont="1" applyFill="1"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67F-4B1D-8F98-26B3D41266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C67F-4B1D-8F98-26B3D41266C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356-4E54-9C1C-34C1807BAAA6}"/>
                </c:ext>
              </c:extLst>
            </c:dLbl>
            <c:dLbl>
              <c:idx val="1"/>
              <c:layout>
                <c:manualLayout>
                  <c:x val="-0.14572004248933551"/>
                  <c:y val="-0.14960874890638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356-4E54-9C1C-34C1807BAAA6}"/>
                </c:ext>
              </c:extLst>
            </c:dLbl>
            <c:dLbl>
              <c:idx val="2"/>
              <c:layout>
                <c:manualLayout>
                  <c:x val="3.8450235208821598E-2"/>
                  <c:y val="0.209620997375328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356-4E54-9C1C-34C1807BAAA6}"/>
                </c:ext>
              </c:extLst>
            </c:dLbl>
            <c:dLbl>
              <c:idx val="3"/>
              <c:layout>
                <c:manualLayout>
                  <c:x val="-0.22433652565377937"/>
                  <c:y val="-7.3811373578302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356-4E54-9C1C-34C1807BAA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9.9099999999999991E-4</c:v>
                </c:pt>
                <c:pt idx="1">
                  <c:v>0.38731199999999999</c:v>
                </c:pt>
                <c:pt idx="2">
                  <c:v>0.596055</c:v>
                </c:pt>
                <c:pt idx="3">
                  <c:v>1.5642E-2</c:v>
                </c:pt>
              </c:numCache>
            </c:numRef>
          </c:val>
          <c:extLst>
            <c:ext xmlns:c16="http://schemas.microsoft.com/office/drawing/2014/chart" uri="{C3380CC4-5D6E-409C-BE32-E72D297353CC}">
              <c16:uniqueId val="{0000000C-7356-4E54-9C1C-34C1807BAAA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506-44C5-B2FD-318E7729A88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LF'!$G$8</c:f>
              <c:strCache>
                <c:ptCount val="1"/>
                <c:pt idx="0">
                  <c:v>AAA EQUIVALENT</c:v>
                </c:pt>
              </c:strCache>
            </c:strRef>
          </c:cat>
          <c:val>
            <c:numRef>
              <c:f>'BANDHAN LF'!$H$8</c:f>
              <c:numCache>
                <c:formatCode>0%</c:formatCode>
                <c:ptCount val="1"/>
                <c:pt idx="0">
                  <c:v>1</c:v>
                </c:pt>
              </c:numCache>
            </c:numRef>
          </c:val>
          <c:extLst>
            <c:ext xmlns:c16="http://schemas.microsoft.com/office/drawing/2014/chart" uri="{C3380CC4-5D6E-409C-BE32-E72D297353CC}">
              <c16:uniqueId val="{0000000C-7506-44C5-B2FD-318E7729A88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LF'!$K$8</c:f>
              <c:strCache>
                <c:ptCount val="1"/>
                <c:pt idx="0">
                  <c:v>Total</c:v>
                </c:pt>
              </c:strCache>
            </c:strRef>
          </c:tx>
          <c:dLbls>
            <c:dLbl>
              <c:idx val="0"/>
              <c:layout>
                <c:manualLayout>
                  <c:x val="-0.33361513429664974"/>
                  <c:y val="-5.17983207900117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06B-423A-99B3-F8DDFD249E00}"/>
                </c:ext>
              </c:extLst>
            </c:dLbl>
            <c:dLbl>
              <c:idx val="1"/>
              <c:layout>
                <c:manualLayout>
                  <c:x val="-0.16494730985179315"/>
                  <c:y val="-9.62585809370513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06B-423A-99B3-F8DDFD249E00}"/>
                </c:ext>
              </c:extLst>
            </c:dLbl>
            <c:dLbl>
              <c:idx val="2"/>
              <c:layout>
                <c:manualLayout>
                  <c:x val="-6.8632248056787332E-2"/>
                  <c:y val="-0.134518118936790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06B-423A-99B3-F8DDFD249E00}"/>
                </c:ext>
              </c:extLst>
            </c:dLbl>
            <c:dLbl>
              <c:idx val="3"/>
              <c:layout>
                <c:manualLayout>
                  <c:x val="-8.3471648485052855E-2"/>
                  <c:y val="0.200614956279636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06B-423A-99B3-F8DDFD249E00}"/>
                </c:ext>
              </c:extLst>
            </c:dLbl>
            <c:dLbl>
              <c:idx val="4"/>
              <c:layout>
                <c:manualLayout>
                  <c:x val="-3.9494680402637039E-2"/>
                  <c:y val="-2.0805498760168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06B-423A-99B3-F8DDFD249E00}"/>
                </c:ext>
              </c:extLst>
            </c:dLbl>
            <c:dLbl>
              <c:idx val="5"/>
              <c:layout>
                <c:manualLayout>
                  <c:x val="-4.347451482911531E-2"/>
                  <c:y val="-2.42975594901466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06B-423A-99B3-F8DDFD249E0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LF'!$J$9:$J$14</c:f>
              <c:strCache>
                <c:ptCount val="6"/>
                <c:pt idx="0">
                  <c:v>Net Current Asset</c:v>
                </c:pt>
                <c:pt idx="1">
                  <c:v>TRI Party Repo</c:v>
                </c:pt>
                <c:pt idx="2">
                  <c:v>Certificate of Deposit</c:v>
                </c:pt>
                <c:pt idx="3">
                  <c:v>Corporate Bond</c:v>
                </c:pt>
                <c:pt idx="4">
                  <c:v>Commercial Paper</c:v>
                </c:pt>
                <c:pt idx="5">
                  <c:v>Treasury Bill</c:v>
                </c:pt>
              </c:strCache>
            </c:strRef>
          </c:cat>
          <c:val>
            <c:numRef>
              <c:f>'BANDHAN LF'!$K$9:$K$14</c:f>
              <c:numCache>
                <c:formatCode>0.00%</c:formatCode>
                <c:ptCount val="6"/>
                <c:pt idx="0">
                  <c:v>-0.15376300000000001</c:v>
                </c:pt>
                <c:pt idx="1">
                  <c:v>3.8299999999999999E-4</c:v>
                </c:pt>
                <c:pt idx="2">
                  <c:v>0.24761900000000001</c:v>
                </c:pt>
                <c:pt idx="3">
                  <c:v>6.9875000000000007E-2</c:v>
                </c:pt>
                <c:pt idx="4">
                  <c:v>0.55743699999999996</c:v>
                </c:pt>
                <c:pt idx="5">
                  <c:v>0.278449</c:v>
                </c:pt>
              </c:numCache>
            </c:numRef>
          </c:val>
          <c:extLst>
            <c:ext xmlns:c16="http://schemas.microsoft.com/office/drawing/2014/chart" uri="{C3380CC4-5D6E-409C-BE32-E72D297353CC}">
              <c16:uniqueId val="{0000000C-806B-423A-99B3-F8DDFD249E0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E8-4D72-86FA-ED2DEE2CC7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B3E8-4D72-86FA-ED2DEE2CC7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15444409786035845"/>
                  <c:y val="-5.482635363970619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C4-4A2D-B21F-D13F1EF303D5}"/>
                </c:ext>
              </c:extLst>
            </c:dLbl>
            <c:dLbl>
              <c:idx val="1"/>
              <c:layout>
                <c:manualLayout>
                  <c:x val="0.1210089531099833"/>
                  <c:y val="-7.48217469566033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C4-4A2D-B21F-D13F1EF303D5}"/>
                </c:ext>
              </c:extLst>
            </c:dLbl>
            <c:dLbl>
              <c:idx val="2"/>
              <c:layout>
                <c:manualLayout>
                  <c:x val="0.13921698224552767"/>
                  <c:y val="4.220062958002405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C4-4A2D-B21F-D13F1EF303D5}"/>
                </c:ext>
              </c:extLst>
            </c:dLbl>
            <c:dLbl>
              <c:idx val="3"/>
              <c:layout>
                <c:manualLayout>
                  <c:x val="-4.3257515722740225E-2"/>
                  <c:y val="0.198380494962506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C4-4A2D-B21F-D13F1EF303D5}"/>
                </c:ext>
              </c:extLst>
            </c:dLbl>
            <c:dLbl>
              <c:idx val="4"/>
              <c:layout>
                <c:manualLayout>
                  <c:x val="4.7722183816958641E-2"/>
                  <c:y val="9.06015133807082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BC4-4A2D-B21F-D13F1EF303D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BC4-4A2D-B21F-D13F1EF303D5}"/>
                </c:ext>
              </c:extLst>
            </c:dLbl>
            <c:dLbl>
              <c:idx val="6"/>
              <c:layout>
                <c:manualLayout>
                  <c:x val="-4.1635670808814848E-2"/>
                  <c:y val="-0.141136485783264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BC4-4A2D-B21F-D13F1EF303D5}"/>
                </c:ext>
              </c:extLst>
            </c:dLbl>
            <c:dLbl>
              <c:idx val="7"/>
              <c:layout>
                <c:manualLayout>
                  <c:x val="7.2269132846616874E-2"/>
                  <c:y val="-2.82345313553032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BC4-4A2D-B21F-D13F1EF303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'BANDHAN LDF'!$K$9:$K$16</c:f>
              <c:numCache>
                <c:formatCode>0.00%</c:formatCode>
                <c:ptCount val="8"/>
                <c:pt idx="0">
                  <c:v>-1.5579999999999999E-3</c:v>
                </c:pt>
                <c:pt idx="1">
                  <c:v>3.4062000000000002E-2</c:v>
                </c:pt>
                <c:pt idx="2">
                  <c:v>9.2496999999999996E-2</c:v>
                </c:pt>
                <c:pt idx="3">
                  <c:v>0.391156</c:v>
                </c:pt>
                <c:pt idx="4">
                  <c:v>0.18970600000000001</c:v>
                </c:pt>
                <c:pt idx="5">
                  <c:v>5.5607999999999998E-2</c:v>
                </c:pt>
                <c:pt idx="6">
                  <c:v>0.23835300000000001</c:v>
                </c:pt>
                <c:pt idx="7">
                  <c:v>1.76E-4</c:v>
                </c:pt>
              </c:numCache>
            </c:numRef>
          </c:val>
          <c:extLst>
            <c:ext xmlns:c16="http://schemas.microsoft.com/office/drawing/2014/chart" uri="{C3380CC4-5D6E-409C-BE32-E72D297353CC}">
              <c16:uniqueId val="{0000000C-2BC4-4A2D-B21F-D13F1EF303D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404635046957459"/>
                  <c:y val="-2.4336283185840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592920353982302"/>
                    </c:manualLayout>
                  </c15:layout>
                </c:ext>
                <c:ext xmlns:c16="http://schemas.microsoft.com/office/drawing/2014/chart" uri="{C3380CC4-5D6E-409C-BE32-E72D297353CC}">
                  <c16:uniqueId val="{0000000D-8BC1-456A-9CFE-AD0C82F3CA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8BC1-456A-9CFE-AD0C82F3CA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D72-407D-8381-D9ADF5EE6B1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D72-407D-8381-D9ADF5EE6B13}"/>
                </c:ext>
              </c:extLst>
            </c:dLbl>
            <c:dLbl>
              <c:idx val="2"/>
              <c:layout>
                <c:manualLayout>
                  <c:x val="-0.12055944291760104"/>
                  <c:y val="0.2030420923861541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D72-407D-8381-D9ADF5EE6B13}"/>
                </c:ext>
              </c:extLst>
            </c:dLbl>
            <c:dLbl>
              <c:idx val="3"/>
              <c:layout>
                <c:manualLayout>
                  <c:x val="2.2561584245224166E-2"/>
                  <c:y val="0.215701511052912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D72-407D-8381-D9ADF5EE6B1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D72-407D-8381-D9ADF5EE6B13}"/>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D72-407D-8381-D9ADF5EE6B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'BANDHAN MMF'!$K$9:$K$14</c:f>
              <c:numCache>
                <c:formatCode>0.00%</c:formatCode>
                <c:ptCount val="6"/>
                <c:pt idx="0">
                  <c:v>-3.9962999999999999E-2</c:v>
                </c:pt>
                <c:pt idx="1">
                  <c:v>4.6398000000000002E-2</c:v>
                </c:pt>
                <c:pt idx="2">
                  <c:v>0.52530900000000003</c:v>
                </c:pt>
                <c:pt idx="3">
                  <c:v>0.28822700000000001</c:v>
                </c:pt>
                <c:pt idx="4">
                  <c:v>2.3567000000000001E-2</c:v>
                </c:pt>
                <c:pt idx="5">
                  <c:v>0.15646199999999999</c:v>
                </c:pt>
              </c:numCache>
            </c:numRef>
          </c:val>
          <c:extLst>
            <c:ext xmlns:c16="http://schemas.microsoft.com/office/drawing/2014/chart" uri="{C3380CC4-5D6E-409C-BE32-E72D297353CC}">
              <c16:uniqueId val="{0000000C-ED72-407D-8381-D9ADF5EE6B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CFE-474D-B55D-10F2B62B20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CCFE-474D-B55D-10F2B62B20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3.8002748318130469E-2"/>
                  <c:y val="-6.4429989729544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9BE-426F-AF73-4F2B2314AC43}"/>
                </c:ext>
              </c:extLst>
            </c:dLbl>
            <c:dLbl>
              <c:idx val="1"/>
              <c:layout>
                <c:manualLayout>
                  <c:x val="4.7572965317236843E-2"/>
                  <c:y val="-0.100661417322834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9BE-426F-AF73-4F2B2314AC4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9BE-426F-AF73-4F2B2314AC43}"/>
                </c:ext>
              </c:extLst>
            </c:dLbl>
            <c:dLbl>
              <c:idx val="3"/>
              <c:layout>
                <c:manualLayout>
                  <c:x val="9.8736279485406933E-3"/>
                  <c:y val="-1.0629921259842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9BE-426F-AF73-4F2B2314AC43}"/>
                </c:ext>
              </c:extLst>
            </c:dLbl>
            <c:dLbl>
              <c:idx val="4"/>
              <c:layout>
                <c:manualLayout>
                  <c:x val="1.8278928998971489E-2"/>
                  <c:y val="0.52490482711400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9BE-426F-AF73-4F2B2314AC43}"/>
                </c:ext>
              </c:extLst>
            </c:dLbl>
            <c:dLbl>
              <c:idx val="5"/>
              <c:layout>
                <c:manualLayout>
                  <c:x val="-0.29043745468647253"/>
                  <c:y val="-4.96703183841150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9BE-426F-AF73-4F2B2314AC43}"/>
                </c:ext>
              </c:extLst>
            </c:dLbl>
            <c:dLbl>
              <c:idx val="6"/>
              <c:layout>
                <c:manualLayout>
                  <c:x val="-0.11654816301067292"/>
                  <c:y val="-4.23125641903457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9BE-426F-AF73-4F2B2314AC4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'BANDHAN USTF'!$K$9:$K$15</c:f>
              <c:numCache>
                <c:formatCode>0.00%</c:formatCode>
                <c:ptCount val="7"/>
                <c:pt idx="0">
                  <c:v>9.4859999999999996E-3</c:v>
                </c:pt>
                <c:pt idx="1">
                  <c:v>9.6289E-2</c:v>
                </c:pt>
                <c:pt idx="2">
                  <c:v>0.216529</c:v>
                </c:pt>
                <c:pt idx="3">
                  <c:v>0.28196300000000002</c:v>
                </c:pt>
                <c:pt idx="4">
                  <c:v>0.33533200000000002</c:v>
                </c:pt>
                <c:pt idx="5">
                  <c:v>5.4495000000000002E-2</c:v>
                </c:pt>
                <c:pt idx="6">
                  <c:v>5.9059999999999998E-3</c:v>
                </c:pt>
              </c:numCache>
            </c:numRef>
          </c:val>
          <c:extLst>
            <c:ext xmlns:c16="http://schemas.microsoft.com/office/drawing/2014/chart" uri="{C3380CC4-5D6E-409C-BE32-E72D297353CC}">
              <c16:uniqueId val="{0000000C-D9BE-426F-AF73-4F2B2314AC4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B6F-44E3-9EE1-516E11DD77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0B6F-44E3-9EE1-516E11DD77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493-4034-BCA8-292840AA3316}"/>
                </c:ext>
              </c:extLst>
            </c:dLbl>
            <c:dLbl>
              <c:idx val="1"/>
              <c:layout>
                <c:manualLayout>
                  <c:x val="0.12936603213677528"/>
                  <c:y val="1.28552930883639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493-4034-BCA8-292840AA3316}"/>
                </c:ext>
              </c:extLst>
            </c:dLbl>
            <c:dLbl>
              <c:idx val="2"/>
              <c:layout>
                <c:manualLayout>
                  <c:x val="-0.21711687939435836"/>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493-4034-BCA8-292840AA33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DBF'!$J$9:$J$11</c:f>
              <c:strCache>
                <c:ptCount val="3"/>
                <c:pt idx="0">
                  <c:v>Net Current Asset</c:v>
                </c:pt>
                <c:pt idx="1">
                  <c:v>TRI Party Repo</c:v>
                </c:pt>
                <c:pt idx="2">
                  <c:v>Government Bond</c:v>
                </c:pt>
              </c:strCache>
            </c:strRef>
          </c:cat>
          <c:val>
            <c:numRef>
              <c:f>'BANDHAN DBF'!$K$9:$K$11</c:f>
              <c:numCache>
                <c:formatCode>0.00%</c:formatCode>
                <c:ptCount val="3"/>
                <c:pt idx="0">
                  <c:v>1.1651E-2</c:v>
                </c:pt>
                <c:pt idx="1">
                  <c:v>3.9830000000000004E-3</c:v>
                </c:pt>
                <c:pt idx="2">
                  <c:v>0.98436599999999996</c:v>
                </c:pt>
              </c:numCache>
            </c:numRef>
          </c:val>
          <c:extLst>
            <c:ext xmlns:c16="http://schemas.microsoft.com/office/drawing/2014/chart" uri="{C3380CC4-5D6E-409C-BE32-E72D297353CC}">
              <c16:uniqueId val="{0000000C-3493-4034-BCA8-292840AA331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02-4584-B6C9-87BE2B03AB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EB02-4584-B6C9-87BE2B03AB8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B41-4A40-B80E-2EE11C565FCD}"/>
                </c:ext>
              </c:extLst>
            </c:dLbl>
            <c:dLbl>
              <c:idx val="1"/>
              <c:layout>
                <c:manualLayout>
                  <c:x val="0.11044099546443205"/>
                  <c:y val="2.95219597550306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B41-4A40-B80E-2EE11C565FCD}"/>
                </c:ext>
              </c:extLst>
            </c:dLbl>
            <c:dLbl>
              <c:idx val="2"/>
              <c:layout>
                <c:manualLayout>
                  <c:x val="-0.23847653813080646"/>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B41-4A40-B80E-2EE11C565FC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IP'!$J$9:$J$11</c:f>
              <c:strCache>
                <c:ptCount val="3"/>
                <c:pt idx="0">
                  <c:v>Net Current Asset</c:v>
                </c:pt>
                <c:pt idx="1">
                  <c:v>TRI Party Repo</c:v>
                </c:pt>
                <c:pt idx="2">
                  <c:v>Government Bond</c:v>
                </c:pt>
              </c:strCache>
            </c:strRef>
          </c:cat>
          <c:val>
            <c:numRef>
              <c:f>'BANDHAN BOND IP'!$K$9:$K$11</c:f>
              <c:numCache>
                <c:formatCode>0.00%</c:formatCode>
                <c:ptCount val="3"/>
                <c:pt idx="0">
                  <c:v>1.5755000000000002E-2</c:v>
                </c:pt>
                <c:pt idx="1">
                  <c:v>9.2599999999999991E-3</c:v>
                </c:pt>
                <c:pt idx="2">
                  <c:v>0.97498499999999999</c:v>
                </c:pt>
              </c:numCache>
            </c:numRef>
          </c:val>
          <c:extLst>
            <c:ext xmlns:c16="http://schemas.microsoft.com/office/drawing/2014/chart" uri="{C3380CC4-5D6E-409C-BE32-E72D297353CC}">
              <c16:uniqueId val="{0000000C-BB41-4A40-B80E-2EE11C565FC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82608695652173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0FA-4398-9F4D-C8D3D67E55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20FA-4398-9F4D-C8D3D67E55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15750046367330423"/>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CB3-446D-B2D1-E2191CA7F12D}"/>
                </c:ext>
              </c:extLst>
            </c:dLbl>
            <c:dLbl>
              <c:idx val="1"/>
              <c:layout>
                <c:manualLayout>
                  <c:x val="1.1897351160869346E-2"/>
                  <c:y val="-1.03030621172353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CB3-446D-B2D1-E2191CA7F12D}"/>
                </c:ext>
              </c:extLst>
            </c:dLbl>
            <c:dLbl>
              <c:idx val="2"/>
              <c:layout>
                <c:manualLayout>
                  <c:x val="-0.36295587516228567"/>
                  <c:y val="-6.58190726159230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CB3-446D-B2D1-E2191CA7F12D}"/>
                </c:ext>
              </c:extLst>
            </c:dLbl>
            <c:dLbl>
              <c:idx val="3"/>
              <c:layout>
                <c:manualLayout>
                  <c:x val="-9.0864118430592278E-2"/>
                  <c:y val="-1.71447069116360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CB3-446D-B2D1-E2191CA7F12D}"/>
                </c:ext>
              </c:extLst>
            </c:dLbl>
            <c:dLbl>
              <c:idx val="4"/>
              <c:layout>
                <c:manualLayout>
                  <c:x val="-0.26781736330067951"/>
                  <c:y val="7.299737532808398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CB3-446D-B2D1-E2191CA7F12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MT'!$J$9:$J$13</c:f>
              <c:strCache>
                <c:ptCount val="5"/>
                <c:pt idx="0">
                  <c:v>Net Current Asset</c:v>
                </c:pt>
                <c:pt idx="1">
                  <c:v>TRI Party Repo</c:v>
                </c:pt>
                <c:pt idx="2">
                  <c:v>Government Bond</c:v>
                </c:pt>
                <c:pt idx="3">
                  <c:v>PTC</c:v>
                </c:pt>
                <c:pt idx="4">
                  <c:v>State Government Bond</c:v>
                </c:pt>
              </c:strCache>
            </c:strRef>
          </c:cat>
          <c:val>
            <c:numRef>
              <c:f>'BANDHAN BOND MT'!$K$9:$K$13</c:f>
              <c:numCache>
                <c:formatCode>0.00%</c:formatCode>
                <c:ptCount val="5"/>
                <c:pt idx="0">
                  <c:v>2.3285E-2</c:v>
                </c:pt>
                <c:pt idx="1">
                  <c:v>4.8520000000000004E-3</c:v>
                </c:pt>
                <c:pt idx="2">
                  <c:v>0.94567699999999999</c:v>
                </c:pt>
                <c:pt idx="3">
                  <c:v>8.3180000000000007E-3</c:v>
                </c:pt>
                <c:pt idx="4">
                  <c:v>1.7867999999999998E-2</c:v>
                </c:pt>
              </c:numCache>
            </c:numRef>
          </c:val>
          <c:extLst>
            <c:ext xmlns:c16="http://schemas.microsoft.com/office/drawing/2014/chart" uri="{C3380CC4-5D6E-409C-BE32-E72D297353CC}">
              <c16:uniqueId val="{0000000C-CCB3-446D-B2D1-E2191CA7F12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81-4F5E-880A-EDF75992E2B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2481-4F5E-880A-EDF75992E2B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5204690687753967"/>
                  <c:y val="-2.4091562325201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F13-4CA0-81EE-1A7C164D410F}"/>
                </c:ext>
              </c:extLst>
            </c:dLbl>
            <c:dLbl>
              <c:idx val="1"/>
              <c:layout>
                <c:manualLayout>
                  <c:x val="-0.12485803166467146"/>
                  <c:y val="-5.51232735252355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F13-4CA0-81EE-1A7C164D410F}"/>
                </c:ext>
              </c:extLst>
            </c:dLbl>
            <c:dLbl>
              <c:idx val="2"/>
              <c:layout>
                <c:manualLayout>
                  <c:x val="3.199725168186953E-2"/>
                  <c:y val="-2.93326448947979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F13-4CA0-81EE-1A7C164D410F}"/>
                </c:ext>
              </c:extLst>
            </c:dLbl>
            <c:dLbl>
              <c:idx val="3"/>
              <c:layout>
                <c:manualLayout>
                  <c:x val="0.10713744962821832"/>
                  <c:y val="-0.128808915279032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F13-4CA0-81EE-1A7C164D410F}"/>
                </c:ext>
              </c:extLst>
            </c:dLbl>
            <c:dLbl>
              <c:idx val="4"/>
              <c:layout>
                <c:manualLayout>
                  <c:x val="-2.3632248056787333E-2"/>
                  <c:y val="-4.57846047932533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F13-4CA0-81EE-1A7C164D410F}"/>
                </c:ext>
              </c:extLst>
            </c:dLbl>
            <c:dLbl>
              <c:idx val="5"/>
              <c:layout>
                <c:manualLayout>
                  <c:x val="3.4156873324453281E-2"/>
                  <c:y val="8.58537928660556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F13-4CA0-81EE-1A7C164D410F}"/>
                </c:ext>
              </c:extLst>
            </c:dLbl>
            <c:dLbl>
              <c:idx val="6"/>
              <c:layout>
                <c:manualLayout>
                  <c:x val="-0.28409195906186246"/>
                  <c:y val="-4.419431177660169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F13-4CA0-81EE-1A7C164D410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'BANDHAN BOND ST'!$K$9:$K$15</c:f>
              <c:numCache>
                <c:formatCode>0.00%</c:formatCode>
                <c:ptCount val="7"/>
                <c:pt idx="0">
                  <c:v>2.0108999999999998E-2</c:v>
                </c:pt>
                <c:pt idx="1">
                  <c:v>3.5969999999999999E-3</c:v>
                </c:pt>
                <c:pt idx="2">
                  <c:v>2.2638999999999999E-2</c:v>
                </c:pt>
                <c:pt idx="3">
                  <c:v>0.100506</c:v>
                </c:pt>
                <c:pt idx="4">
                  <c:v>0.113006</c:v>
                </c:pt>
                <c:pt idx="5">
                  <c:v>0.73677400000000004</c:v>
                </c:pt>
                <c:pt idx="6">
                  <c:v>3.369E-3</c:v>
                </c:pt>
              </c:numCache>
            </c:numRef>
          </c:val>
          <c:extLst>
            <c:ext xmlns:c16="http://schemas.microsoft.com/office/drawing/2014/chart" uri="{C3380CC4-5D6E-409C-BE32-E72D297353CC}">
              <c16:uniqueId val="{0000000C-2F13-4CA0-81EE-1A7C164D410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23264597278658"/>
                  <c:y val="-2.4336283185840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02C-41E9-A413-1EE8B91553F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D02C-41E9-A413-1EE8B91553F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0.12872734323627105"/>
                  <c:y val="-1.39544389012442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9C-48B5-B655-D22CBFB8F2A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A9C-48B5-B655-D22CBFB8F2A5}"/>
                </c:ext>
              </c:extLst>
            </c:dLbl>
            <c:dLbl>
              <c:idx val="2"/>
              <c:layout>
                <c:manualLayout>
                  <c:x val="0.13072147566136674"/>
                  <c:y val="-3.64135017473960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A9C-48B5-B655-D22CBFB8F2A5}"/>
                </c:ext>
              </c:extLst>
            </c:dLbl>
            <c:dLbl>
              <c:idx val="3"/>
              <c:layout>
                <c:manualLayout>
                  <c:x val="-5.5460554047446424E-2"/>
                  <c:y val="6.47496543848049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A9C-48B5-B655-D22CBFB8F2A5}"/>
                </c:ext>
              </c:extLst>
            </c:dLbl>
            <c:dLbl>
              <c:idx val="4"/>
              <c:layout>
                <c:manualLayout>
                  <c:x val="-0.10908614206950042"/>
                  <c:y val="-1.96560162804076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A9C-48B5-B655-D22CBFB8F2A5}"/>
                </c:ext>
              </c:extLst>
            </c:dLbl>
            <c:dLbl>
              <c:idx val="5"/>
              <c:layout>
                <c:manualLayout>
                  <c:x val="-5.9768669173312652E-2"/>
                  <c:y val="-1.70745069080105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A9C-48B5-B655-D22CBFB8F2A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'BANDHAN BPDF'!$K$9:$K$14</c:f>
              <c:numCache>
                <c:formatCode>0.00%</c:formatCode>
                <c:ptCount val="6"/>
                <c:pt idx="0">
                  <c:v>2.7934E-2</c:v>
                </c:pt>
                <c:pt idx="1">
                  <c:v>9.6539999999999994E-3</c:v>
                </c:pt>
                <c:pt idx="2">
                  <c:v>9.9109999999999997E-3</c:v>
                </c:pt>
                <c:pt idx="3">
                  <c:v>0.77581</c:v>
                </c:pt>
                <c:pt idx="4">
                  <c:v>0.119307</c:v>
                </c:pt>
                <c:pt idx="5">
                  <c:v>5.7383999999999998E-2</c:v>
                </c:pt>
              </c:numCache>
            </c:numRef>
          </c:val>
          <c:extLst>
            <c:ext xmlns:c16="http://schemas.microsoft.com/office/drawing/2014/chart" uri="{C3380CC4-5D6E-409C-BE32-E72D297353CC}">
              <c16:uniqueId val="{0000000C-4A9C-48B5-B655-D22CBFB8F2A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3D4-4B0F-820D-4B6AAC2030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D3D4-4B0F-820D-4B6AAC2030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7.0315382151106914E-2"/>
                  <c:y val="-1.303140876791731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6E6-4925-A8F5-DC3BA0957586}"/>
                </c:ext>
              </c:extLst>
            </c:dLbl>
            <c:dLbl>
              <c:idx val="1"/>
              <c:layout>
                <c:manualLayout>
                  <c:x val="0.28381931915898095"/>
                  <c:y val="5.541002496639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6E6-4925-A8F5-DC3BA0957586}"/>
                </c:ext>
              </c:extLst>
            </c:dLbl>
            <c:dLbl>
              <c:idx val="2"/>
              <c:layout>
                <c:manualLayout>
                  <c:x val="0.1548183243689828"/>
                  <c:y val="-0.101699809696736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6E6-4925-A8F5-DC3BA0957586}"/>
                </c:ext>
              </c:extLst>
            </c:dLbl>
            <c:dLbl>
              <c:idx val="3"/>
              <c:layout>
                <c:manualLayout>
                  <c:x val="-1.5677131632635777E-2"/>
                  <c:y val="2.25598407737835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6E6-4925-A8F5-DC3BA0957586}"/>
                </c:ext>
              </c:extLst>
            </c:dLbl>
            <c:dLbl>
              <c:idx val="4"/>
              <c:layout>
                <c:manualLayout>
                  <c:x val="-4.3409263349575948E-2"/>
                  <c:y val="0.5708043368193166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6E6-4925-A8F5-DC3BA0957586}"/>
                </c:ext>
              </c:extLst>
            </c:dLbl>
            <c:dLbl>
              <c:idx val="5"/>
              <c:layout>
                <c:manualLayout>
                  <c:x val="-9.1640391846094186E-3"/>
                  <c:y val="-0.17803935261972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6E6-4925-A8F5-DC3BA0957586}"/>
                </c:ext>
              </c:extLst>
            </c:dLbl>
            <c:dLbl>
              <c:idx val="6"/>
              <c:layout>
                <c:manualLayout>
                  <c:x val="-0.18555978013454957"/>
                  <c:y val="-3.85369345461528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6E6-4925-A8F5-DC3BA0957586}"/>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56E6-4925-A8F5-DC3BA0957586}"/>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56E6-4925-A8F5-DC3BA09575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'BANDHAN CBF'!$K$9:$K$17</c:f>
              <c:numCache>
                <c:formatCode>0.00%</c:formatCode>
                <c:ptCount val="9"/>
                <c:pt idx="0">
                  <c:v>2.818E-2</c:v>
                </c:pt>
                <c:pt idx="1">
                  <c:v>1.7080000000000001E-3</c:v>
                </c:pt>
                <c:pt idx="2">
                  <c:v>3.7144000000000003E-2</c:v>
                </c:pt>
                <c:pt idx="3">
                  <c:v>0.75125500000000001</c:v>
                </c:pt>
                <c:pt idx="4">
                  <c:v>7.6985999999999999E-2</c:v>
                </c:pt>
                <c:pt idx="5">
                  <c:v>3.5300000000000002E-4</c:v>
                </c:pt>
                <c:pt idx="6">
                  <c:v>2.8103E-2</c:v>
                </c:pt>
                <c:pt idx="7">
                  <c:v>7.3513999999999996E-2</c:v>
                </c:pt>
                <c:pt idx="8">
                  <c:v>2.7569999999999999E-3</c:v>
                </c:pt>
              </c:numCache>
            </c:numRef>
          </c:val>
          <c:extLst>
            <c:ext xmlns:c16="http://schemas.microsoft.com/office/drawing/2014/chart" uri="{C3380CC4-5D6E-409C-BE32-E72D297353CC}">
              <c16:uniqueId val="{0000000C-56E6-4925-A8F5-DC3BA095758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4016329730732266"/>
                  <c:y val="-0.378413056297478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A6-4D95-BB01-C03FC218CCBB}"/>
                </c:ext>
              </c:extLst>
            </c:dLbl>
            <c:dLbl>
              <c:idx val="1"/>
              <c:layout>
                <c:manualLayout>
                  <c:x val="2.3932033924025015E-2"/>
                  <c:y val="-0.141190467931596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192179938963732"/>
                      <c:h val="0.16519823788546256"/>
                    </c:manualLayout>
                  </c15:layout>
                </c:ext>
                <c:ext xmlns:c16="http://schemas.microsoft.com/office/drawing/2014/chart" uri="{C3380CC4-5D6E-409C-BE32-E72D297353CC}">
                  <c16:uniqueId val="{0000000E-8BA6-4D95-BB01-C03FC218CCBB}"/>
                </c:ext>
              </c:extLst>
            </c:dLbl>
            <c:dLbl>
              <c:idx val="2"/>
              <c:layout>
                <c:manualLayout>
                  <c:x val="5.9635299870171472E-2"/>
                  <c:y val="-4.78160879669776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BA6-4D95-BB01-C03FC218CCB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0.55155399999999999</c:v>
                </c:pt>
                <c:pt idx="1">
                  <c:v>0.41162399999999999</c:v>
                </c:pt>
                <c:pt idx="2">
                  <c:v>3.6822000000000001E-2</c:v>
                </c:pt>
              </c:numCache>
            </c:numRef>
          </c:val>
          <c:extLst>
            <c:ext xmlns:c16="http://schemas.microsoft.com/office/drawing/2014/chart" uri="{C3380CC4-5D6E-409C-BE32-E72D297353CC}">
              <c16:uniqueId val="{0000000C-8BA6-4D95-BB01-C03FC218CCB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071-4359-8EDA-E292880BAC7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071-4359-8EDA-E292880BAC72}"/>
                </c:ext>
              </c:extLst>
            </c:dLbl>
            <c:dLbl>
              <c:idx val="2"/>
              <c:layout>
                <c:manualLayout>
                  <c:x val="-6.3464735537608119E-2"/>
                  <c:y val="2.93782123388422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071-4359-8EDA-E292880BAC72}"/>
                </c:ext>
              </c:extLst>
            </c:dLbl>
            <c:dLbl>
              <c:idx val="3"/>
              <c:layout>
                <c:manualLayout>
                  <c:x val="8.5235208821595368E-2"/>
                  <c:y val="-8.8115600934498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071-4359-8EDA-E292880BAC72}"/>
                </c:ext>
              </c:extLst>
            </c:dLbl>
            <c:dLbl>
              <c:idx val="4"/>
              <c:layout>
                <c:manualLayout>
                  <c:x val="9.1097472558970809E-3"/>
                  <c:y val="-4.31056502552565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071-4359-8EDA-E292880BAC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Government Bond</c:v>
                </c:pt>
                <c:pt idx="4">
                  <c:v>PTC</c:v>
                </c:pt>
              </c:strCache>
            </c:strRef>
          </c:cat>
          <c:val>
            <c:numRef>
              <c:f>'BANDHAN CRF'!$K$9:$K$13</c:f>
              <c:numCache>
                <c:formatCode>0.00%</c:formatCode>
                <c:ptCount val="5"/>
                <c:pt idx="0">
                  <c:v>-4.9443000000000001E-2</c:v>
                </c:pt>
                <c:pt idx="1">
                  <c:v>9.4959000000000002E-2</c:v>
                </c:pt>
                <c:pt idx="2">
                  <c:v>0.62581600000000004</c:v>
                </c:pt>
                <c:pt idx="3">
                  <c:v>0.25795000000000001</c:v>
                </c:pt>
                <c:pt idx="4">
                  <c:v>7.0718000000000003E-2</c:v>
                </c:pt>
              </c:numCache>
            </c:numRef>
          </c:val>
          <c:extLst>
            <c:ext xmlns:c16="http://schemas.microsoft.com/office/drawing/2014/chart" uri="{C3380CC4-5D6E-409C-BE32-E72D297353CC}">
              <c16:uniqueId val="{0000000C-C071-4359-8EDA-E292880BAC7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2.4301202178421452E-2"/>
                  <c:y val="-1.26391766818621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1551922979648952"/>
                      <c:h val="0.16447368421052633"/>
                    </c:manualLayout>
                  </c15:layout>
                </c:ext>
                <c:ext xmlns:c16="http://schemas.microsoft.com/office/drawing/2014/chart" uri="{C3380CC4-5D6E-409C-BE32-E72D297353CC}">
                  <c16:uniqueId val="{0000000D-AA53-4F79-A49B-4062765FA8BC}"/>
                </c:ext>
              </c:extLst>
            </c:dLbl>
            <c:dLbl>
              <c:idx val="1"/>
              <c:layout>
                <c:manualLayout>
                  <c:x val="-6.6923232561668551E-3"/>
                  <c:y val="-7.87612239259566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A53-4F79-A49B-4062765FA8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0.90264999999999995</c:v>
                </c:pt>
                <c:pt idx="1">
                  <c:v>9.7350000000000006E-2</c:v>
                </c:pt>
              </c:numCache>
            </c:numRef>
          </c:val>
          <c:extLst>
            <c:ext xmlns:c16="http://schemas.microsoft.com/office/drawing/2014/chart" uri="{C3380CC4-5D6E-409C-BE32-E72D297353CC}">
              <c16:uniqueId val="{0000000C-AA53-4F79-A49B-4062765FA8B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37-4C7C-B532-D7797DF68751}"/>
                </c:ext>
              </c:extLst>
            </c:dLbl>
            <c:dLbl>
              <c:idx val="1"/>
              <c:layout>
                <c:manualLayout>
                  <c:x val="4.061415636749903E-2"/>
                  <c:y val="-1.70597336145276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337-4C7C-B532-D7797DF68751}"/>
                </c:ext>
              </c:extLst>
            </c:dLbl>
            <c:dLbl>
              <c:idx val="2"/>
              <c:layout>
                <c:manualLayout>
                  <c:x val="-1.528941644607058E-2"/>
                  <c:y val="-9.99012938969895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337-4C7C-B532-D7797DF68751}"/>
                </c:ext>
              </c:extLst>
            </c:dLbl>
            <c:dLbl>
              <c:idx val="3"/>
              <c:layout>
                <c:manualLayout>
                  <c:x val="-1.2417339695493095E-2"/>
                  <c:y val="5.58966956792310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337-4C7C-B532-D7797DF68751}"/>
                </c:ext>
              </c:extLst>
            </c:dLbl>
            <c:dLbl>
              <c:idx val="4"/>
              <c:layout>
                <c:manualLayout>
                  <c:x val="4.5313190240941513E-2"/>
                  <c:y val="0.258297103641408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337-4C7C-B532-D7797DF68751}"/>
                </c:ext>
              </c:extLst>
            </c:dLbl>
            <c:dLbl>
              <c:idx val="5"/>
              <c:layout>
                <c:manualLayout>
                  <c:x val="5.2523141513092446E-2"/>
                  <c:y val="-5.73003621528648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337-4C7C-B532-D7797DF6875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337-4C7C-B532-D7797DF6875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Commercial Paper</c:v>
                </c:pt>
                <c:pt idx="5">
                  <c:v>Government Bond</c:v>
                </c:pt>
              </c:strCache>
            </c:strRef>
          </c:cat>
          <c:val>
            <c:numRef>
              <c:f>'BANDHAN FRF'!$K$9:$K$15</c:f>
              <c:numCache>
                <c:formatCode>0.00%</c:formatCode>
                <c:ptCount val="7"/>
                <c:pt idx="0">
                  <c:v>1.2335E-2</c:v>
                </c:pt>
                <c:pt idx="1">
                  <c:v>4.7369999999999999E-3</c:v>
                </c:pt>
                <c:pt idx="2">
                  <c:v>0.233656</c:v>
                </c:pt>
                <c:pt idx="3">
                  <c:v>0.35674099999999997</c:v>
                </c:pt>
                <c:pt idx="4">
                  <c:v>0.23741599999999999</c:v>
                </c:pt>
                <c:pt idx="5">
                  <c:v>0.15512400000000001</c:v>
                </c:pt>
              </c:numCache>
            </c:numRef>
          </c:val>
          <c:extLst>
            <c:ext xmlns:c16="http://schemas.microsoft.com/office/drawing/2014/chart" uri="{C3380CC4-5D6E-409C-BE32-E72D297353CC}">
              <c16:uniqueId val="{0000000C-F337-4C7C-B532-D7797DF6875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291-47E1-AB0B-54D963E01A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C291-47E1-AB0B-54D963E01A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5E7-4766-9EDE-C63B2D35ED44}"/>
                </c:ext>
              </c:extLst>
            </c:dLbl>
            <c:dLbl>
              <c:idx val="1"/>
              <c:layout>
                <c:manualLayout>
                  <c:x val="8.8398303798749009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5E7-4766-9EDE-C63B2D35ED44}"/>
                </c:ext>
              </c:extLst>
            </c:dLbl>
            <c:dLbl>
              <c:idx val="2"/>
              <c:layout>
                <c:manualLayout>
                  <c:x val="-0.23925980879799019"/>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5E7-4766-9EDE-C63B2D35ED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1.3594E-2</c:v>
                </c:pt>
                <c:pt idx="1">
                  <c:v>2.8679999999999999E-3</c:v>
                </c:pt>
                <c:pt idx="2">
                  <c:v>0.98353800000000002</c:v>
                </c:pt>
              </c:numCache>
            </c:numRef>
          </c:val>
          <c:extLst>
            <c:ext xmlns:c16="http://schemas.microsoft.com/office/drawing/2014/chart" uri="{C3380CC4-5D6E-409C-BE32-E72D297353CC}">
              <c16:uniqueId val="{0000000C-A5E7-4766-9EDE-C63B2D35ED4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447-425C-BC19-C11C1B24DDC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7447-425C-BC19-C11C1B24DDC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A0-40B2-8F17-43DD434AE79E}"/>
                </c:ext>
              </c:extLst>
            </c:dLbl>
            <c:dLbl>
              <c:idx val="1"/>
              <c:layout>
                <c:manualLayout>
                  <c:x val="5.7108448970645265E-2"/>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6A0-40B2-8F17-43DD434AE79E}"/>
                </c:ext>
              </c:extLst>
            </c:dLbl>
            <c:dLbl>
              <c:idx val="2"/>
              <c:layout>
                <c:manualLayout>
                  <c:x val="-0.20082769900015174"/>
                  <c:y val="-5.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6A0-40B2-8F17-43DD434AE79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1.5322000000000001E-2</c:v>
                </c:pt>
                <c:pt idx="1">
                  <c:v>1.4822E-2</c:v>
                </c:pt>
                <c:pt idx="2">
                  <c:v>0.96985600000000005</c:v>
                </c:pt>
              </c:numCache>
            </c:numRef>
          </c:val>
          <c:extLst>
            <c:ext xmlns:c16="http://schemas.microsoft.com/office/drawing/2014/chart" uri="{C3380CC4-5D6E-409C-BE32-E72D297353CC}">
              <c16:uniqueId val="{0000000C-76A0-40B2-8F17-43DD434AE79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FC8-449C-A585-95289EFFAB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FFC8-449C-A585-95289EFFAB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DDB-4F76-8A1F-5251318AF418}"/>
                </c:ext>
              </c:extLst>
            </c:dLbl>
            <c:dLbl>
              <c:idx val="1"/>
              <c:layout>
                <c:manualLayout>
                  <c:x val="0.11383086883946796"/>
                  <c:y val="1.919160104986876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DDB-4F76-8A1F-5251318AF418}"/>
                </c:ext>
              </c:extLst>
            </c:dLbl>
            <c:dLbl>
              <c:idx val="2"/>
              <c:layout>
                <c:manualLayout>
                  <c:x val="-0.25141723853040854"/>
                  <c:y val="-6.02635170603674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DDB-4F76-8A1F-5251318AF4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2.1635000000000001E-2</c:v>
                </c:pt>
                <c:pt idx="1">
                  <c:v>6.1190000000000003E-3</c:v>
                </c:pt>
                <c:pt idx="2">
                  <c:v>0.97224600000000005</c:v>
                </c:pt>
              </c:numCache>
            </c:numRef>
          </c:val>
          <c:extLst>
            <c:ext xmlns:c16="http://schemas.microsoft.com/office/drawing/2014/chart" uri="{C3380CC4-5D6E-409C-BE32-E72D297353CC}">
              <c16:uniqueId val="{0000000C-8DDB-4F76-8A1F-5251318AF4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4192139737991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3D-4FEA-8CF4-96ED62EC8A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193D-4FEA-8CF4-96ED62EC8A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4D-4581-A272-55FE0E40D75D}"/>
                </c:ext>
              </c:extLst>
            </c:dLbl>
            <c:dLbl>
              <c:idx val="1"/>
              <c:layout>
                <c:manualLayout>
                  <c:x val="0.11438896288927482"/>
                  <c:y val="1.08080489938757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4D-4581-A272-55FE0E40D75D}"/>
                </c:ext>
              </c:extLst>
            </c:dLbl>
            <c:dLbl>
              <c:idx val="2"/>
              <c:layout>
                <c:manualLayout>
                  <c:x val="-0.27147296363115209"/>
                  <c:y val="-7.02635170603674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4D-4581-A272-55FE0E40D75D}"/>
                </c:ext>
              </c:extLst>
            </c:dLbl>
            <c:dLbl>
              <c:idx val="3"/>
              <c:layout>
                <c:manualLayout>
                  <c:x val="-0.10608996948186616"/>
                  <c:y val="-5.60335958005249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4D-4581-A272-55FE0E40D75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GIF2027'!$J$9:$J$12</c:f>
              <c:strCache>
                <c:ptCount val="4"/>
                <c:pt idx="0">
                  <c:v>Net Current Asset</c:v>
                </c:pt>
                <c:pt idx="1">
                  <c:v>TRI Party Repo</c:v>
                </c:pt>
                <c:pt idx="2">
                  <c:v>Government Bond</c:v>
                </c:pt>
                <c:pt idx="3">
                  <c:v>Treasury Bill</c:v>
                </c:pt>
              </c:strCache>
            </c:strRef>
          </c:cat>
          <c:val>
            <c:numRef>
              <c:f>'BANDHAN GIF2027'!$K$9:$K$12</c:f>
              <c:numCache>
                <c:formatCode>0.00%</c:formatCode>
                <c:ptCount val="4"/>
                <c:pt idx="0">
                  <c:v>1.9066E-2</c:v>
                </c:pt>
                <c:pt idx="1">
                  <c:v>7.9710000000000007E-3</c:v>
                </c:pt>
                <c:pt idx="2">
                  <c:v>0.96778399999999998</c:v>
                </c:pt>
                <c:pt idx="3">
                  <c:v>5.1789999999999996E-3</c:v>
                </c:pt>
              </c:numCache>
            </c:numRef>
          </c:val>
          <c:extLst>
            <c:ext xmlns:c16="http://schemas.microsoft.com/office/drawing/2014/chart" uri="{C3380CC4-5D6E-409C-BE32-E72D297353CC}">
              <c16:uniqueId val="{0000000C-2B4D-4581-A272-55FE0E40D75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803-4BFF-8982-CA52137BEE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3803-4BFF-8982-CA52137BEE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E09-49B9-AA98-3391546F361D}"/>
                </c:ext>
              </c:extLst>
            </c:dLbl>
            <c:dLbl>
              <c:idx val="1"/>
              <c:layout>
                <c:manualLayout>
                  <c:x val="9.7553322429985337E-2"/>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E09-49B9-AA98-3391546F361D}"/>
                </c:ext>
              </c:extLst>
            </c:dLbl>
            <c:dLbl>
              <c:idx val="2"/>
              <c:layout>
                <c:manualLayout>
                  <c:x val="-0.29466666104638417"/>
                  <c:y val="-5.8190726159230086E-3"/>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6937361951811697"/>
                      <c:h val="0.19111111111111112"/>
                    </c:manualLayout>
                  </c15:layout>
                </c:ext>
                <c:ext xmlns:c16="http://schemas.microsoft.com/office/drawing/2014/chart" uri="{C3380CC4-5D6E-409C-BE32-E72D297353CC}">
                  <c16:uniqueId val="{0000000F-BE09-49B9-AA98-3391546F361D}"/>
                </c:ext>
              </c:extLst>
            </c:dLbl>
            <c:dLbl>
              <c:idx val="3"/>
              <c:layout>
                <c:manualLayout>
                  <c:x val="-0.19334907012426444"/>
                  <c:y val="-5.49224846894138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E09-49B9-AA98-3391546F36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GIF2028'!$J$9:$J$12</c:f>
              <c:strCache>
                <c:ptCount val="4"/>
                <c:pt idx="0">
                  <c:v>Net Current Asset</c:v>
                </c:pt>
                <c:pt idx="1">
                  <c:v>TRI Party Repo</c:v>
                </c:pt>
                <c:pt idx="2">
                  <c:v>Government Bond</c:v>
                </c:pt>
                <c:pt idx="3">
                  <c:v>Treasury Bill</c:v>
                </c:pt>
              </c:strCache>
            </c:strRef>
          </c:cat>
          <c:val>
            <c:numRef>
              <c:f>'BANDHAN GIF2028'!$K$9:$K$12</c:f>
              <c:numCache>
                <c:formatCode>0.00%</c:formatCode>
                <c:ptCount val="4"/>
                <c:pt idx="0">
                  <c:v>9.9279999999999993E-3</c:v>
                </c:pt>
                <c:pt idx="1">
                  <c:v>1.2939000000000001E-2</c:v>
                </c:pt>
                <c:pt idx="2">
                  <c:v>0.97252000000000005</c:v>
                </c:pt>
                <c:pt idx="3">
                  <c:v>4.6129999999999999E-3</c:v>
                </c:pt>
              </c:numCache>
            </c:numRef>
          </c:val>
          <c:extLst>
            <c:ext xmlns:c16="http://schemas.microsoft.com/office/drawing/2014/chart" uri="{C3380CC4-5D6E-409C-BE32-E72D297353CC}">
              <c16:uniqueId val="{0000000C-BE09-49B9-AA98-3391546F361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B23-4144-A5C0-7E7535A0DC8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3B23-4144-A5C0-7E7535A0DC8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layout>
                <c:manualLayout>
                  <c:x val="-0.21789981284459356"/>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DBE-4E89-B318-C2A7537D0F04}"/>
                </c:ext>
              </c:extLst>
            </c:dLbl>
            <c:dLbl>
              <c:idx val="1"/>
              <c:layout>
                <c:manualLayout>
                  <c:x val="5.2317776391441431E-2"/>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DBE-4E89-B318-C2A7537D0F04}"/>
                </c:ext>
              </c:extLst>
            </c:dLbl>
            <c:dLbl>
              <c:idx val="2"/>
              <c:layout>
                <c:manualLayout>
                  <c:x val="-0.22275776020502791"/>
                  <c:y val="-6.13746281714785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DBE-4E89-B318-C2A7537D0F0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1.2481000000000001E-2</c:v>
                </c:pt>
                <c:pt idx="1">
                  <c:v>8.7670000000000005E-3</c:v>
                </c:pt>
                <c:pt idx="2">
                  <c:v>0.97875199999999996</c:v>
                </c:pt>
              </c:numCache>
            </c:numRef>
          </c:val>
          <c:extLst>
            <c:ext xmlns:c16="http://schemas.microsoft.com/office/drawing/2014/chart" uri="{C3380CC4-5D6E-409C-BE32-E72D297353CC}">
              <c16:uniqueId val="{0000000C-9DBE-4E89-B318-C2A7537D0F0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39-4D7F-8FC0-1CE24BA8639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8139-4D7F-8FC0-1CE24BA8639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573-4B56-BFB8-B495A01C00D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573-4B56-BFB8-B495A01C00D7}"/>
                </c:ext>
              </c:extLst>
            </c:dLbl>
            <c:dLbl>
              <c:idx val="2"/>
              <c:layout>
                <c:manualLayout>
                  <c:x val="6.1166602033418199E-2"/>
                  <c:y val="-4.09063867016622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573-4B56-BFB8-B495A01C00D7}"/>
                </c:ext>
              </c:extLst>
            </c:dLbl>
            <c:dLbl>
              <c:idx val="3"/>
              <c:layout>
                <c:manualLayout>
                  <c:x val="3.2069331804616499E-3"/>
                  <c:y val="4.1110061242344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573-4B56-BFB8-B495A01C00D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1.5963000000000001E-2</c:v>
                </c:pt>
                <c:pt idx="1">
                  <c:v>1.627E-2</c:v>
                </c:pt>
                <c:pt idx="2">
                  <c:v>0.133685</c:v>
                </c:pt>
                <c:pt idx="3">
                  <c:v>0.83408199999999999</c:v>
                </c:pt>
              </c:numCache>
            </c:numRef>
          </c:val>
          <c:extLst>
            <c:ext xmlns:c16="http://schemas.microsoft.com/office/drawing/2014/chart" uri="{C3380CC4-5D6E-409C-BE32-E72D297353CC}">
              <c16:uniqueId val="{0000000C-A573-4B56-BFB8-B495A01C00D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79A-49F3-9590-A7C2D41EF3C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879A-49F3-9590-A7C2D41EF3C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DAE-4ED9-921C-6B884FFCA6B5}"/>
                </c:ext>
              </c:extLst>
            </c:dLbl>
            <c:dLbl>
              <c:idx val="1"/>
              <c:layout>
                <c:manualLayout>
                  <c:x val="5.9316798462290717E-2"/>
                  <c:y val="5.0775153105861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DAE-4ED9-921C-6B884FFCA6B5}"/>
                </c:ext>
              </c:extLst>
            </c:dLbl>
            <c:dLbl>
              <c:idx val="2"/>
              <c:layout>
                <c:manualLayout>
                  <c:x val="6.8922507545229217E-2"/>
                  <c:y val="-4.69777777777777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DAE-4ED9-921C-6B884FFCA6B5}"/>
                </c:ext>
              </c:extLst>
            </c:dLbl>
            <c:dLbl>
              <c:idx val="3"/>
              <c:layout>
                <c:manualLayout>
                  <c:x val="2.5741455765566777E-2"/>
                  <c:y val="3.88545931758530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DAE-4ED9-921C-6B884FFCA6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1.0501999999999999E-2</c:v>
                </c:pt>
                <c:pt idx="1">
                  <c:v>1.8342000000000001E-2</c:v>
                </c:pt>
                <c:pt idx="2">
                  <c:v>0.159887</c:v>
                </c:pt>
                <c:pt idx="3">
                  <c:v>0.81126900000000002</c:v>
                </c:pt>
              </c:numCache>
            </c:numRef>
          </c:val>
          <c:extLst>
            <c:ext xmlns:c16="http://schemas.microsoft.com/office/drawing/2014/chart" uri="{C3380CC4-5D6E-409C-BE32-E72D297353CC}">
              <c16:uniqueId val="{0000000C-0DAE-4ED9-921C-6B884FFCA6B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456026909912492"/>
                  <c:y val="-3.60262008733624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312094285858806"/>
                      <c:h val="0.16375545851528386"/>
                    </c:manualLayout>
                  </c15:layout>
                </c:ext>
                <c:ext xmlns:c16="http://schemas.microsoft.com/office/drawing/2014/chart" uri="{C3380CC4-5D6E-409C-BE32-E72D297353CC}">
                  <c16:uniqueId val="{0000000D-C26D-45CB-8E06-0C136FDCB6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C26D-45CB-8E06-0C136FDCB6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12366251327791734"/>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6DE-4497-B03A-AB1B315A7C9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6DE-4497-B03A-AB1B315A7C93}"/>
                </c:ext>
              </c:extLst>
            </c:dLbl>
            <c:dLbl>
              <c:idx val="2"/>
              <c:layout>
                <c:manualLayout>
                  <c:x val="9.0286465797770211E-3"/>
                  <c:y val="-4.1902362204724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6DE-4497-B03A-AB1B315A7C93}"/>
                </c:ext>
              </c:extLst>
            </c:dLbl>
            <c:dLbl>
              <c:idx val="3"/>
              <c:layout>
                <c:manualLayout>
                  <c:x val="-6.7781281087187437E-2"/>
                  <c:y val="-1.08101487314085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6DE-4497-B03A-AB1B315A7C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1.616E-3</c:v>
                </c:pt>
                <c:pt idx="1">
                  <c:v>3.2384000000000003E-2</c:v>
                </c:pt>
                <c:pt idx="2">
                  <c:v>6.3188999999999995E-2</c:v>
                </c:pt>
                <c:pt idx="3">
                  <c:v>0.90281100000000003</c:v>
                </c:pt>
              </c:numCache>
            </c:numRef>
          </c:val>
          <c:extLst>
            <c:ext xmlns:c16="http://schemas.microsoft.com/office/drawing/2014/chart" uri="{C3380CC4-5D6E-409C-BE32-E72D297353CC}">
              <c16:uniqueId val="{0000000C-36DE-4497-B03A-AB1B315A7C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DA2-44CB-BB0E-2353F619F7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2DA2-44CB-BB0E-2353F619F7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2D8-495C-8A8C-E9CAEFDC67B2}"/>
                </c:ext>
              </c:extLst>
            </c:dLbl>
            <c:dLbl>
              <c:idx val="1"/>
              <c:layout>
                <c:manualLayout>
                  <c:x val="0.14733075924395961"/>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2D8-495C-8A8C-E9CAEFDC67B2}"/>
                </c:ext>
              </c:extLst>
            </c:dLbl>
            <c:dLbl>
              <c:idx val="2"/>
              <c:layout>
                <c:manualLayout>
                  <c:x val="0.29550245325330049"/>
                  <c:y val="-4.70796150481189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2D8-495C-8A8C-E9CAEFDC67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-4.1399999999999998E-4</c:v>
                </c:pt>
                <c:pt idx="1">
                  <c:v>2.666E-3</c:v>
                </c:pt>
                <c:pt idx="2">
                  <c:v>0.99774799999999997</c:v>
                </c:pt>
              </c:numCache>
            </c:numRef>
          </c:val>
          <c:extLst>
            <c:ext xmlns:c16="http://schemas.microsoft.com/office/drawing/2014/chart" uri="{C3380CC4-5D6E-409C-BE32-E72D297353CC}">
              <c16:uniqueId val="{0000000C-62D8-495C-8A8C-E9CAEFDC67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822-48E8-9312-6E4A28E643C3}"/>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822-48E8-9312-6E4A28E643C3}"/>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822-48E8-9312-6E4A28E643C3}"/>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822-48E8-9312-6E4A28E643C3}"/>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0.97421000000000002</c:v>
                </c:pt>
                <c:pt idx="1">
                  <c:v>-7.3340000000000002E-3</c:v>
                </c:pt>
                <c:pt idx="2">
                  <c:v>3.3124000000000001E-2</c:v>
                </c:pt>
              </c:numCache>
            </c:numRef>
          </c:val>
          <c:extLst>
            <c:ext xmlns:c16="http://schemas.microsoft.com/office/drawing/2014/chart" uri="{C3380CC4-5D6E-409C-BE32-E72D297353CC}">
              <c16:uniqueId val="{00000004-D822-48E8-9312-6E4A28E643C3}"/>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1756279-CDAA-4080-9985-78A9C25CB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88413E0-E492-45DB-ABA1-FC39DB36C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A81135A-217F-47EC-9EA4-A74ADC1EA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692533AF-AD57-47F4-A50F-25FE65FC8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596D408-FFF9-493E-A1AC-BA51D31C8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919A5C86-865C-4436-9211-FAD929EF1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E254E92-B61E-4365-AF37-2E9C37860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2877EDD7-904B-4F89-BAEF-96827BB18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C0271E4-872F-415B-81BC-B8E4584E6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8F9C7606-3124-4B27-ABB7-E3B9E58B4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527BA18-6FBA-4F9D-B0B1-D2CFA8257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326144D-7FCC-4177-99BC-3B00FF086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EAA8053-53F4-45EB-A17B-7771E6BF9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1498F47-0AF9-4614-8CCD-A44FDA1A4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27B8E63-A8E8-4C91-AFBA-67C44885E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69567A1-EB98-474A-8C88-D7FDD87E7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914DA81-A64E-4D73-A033-2F9923482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86130704-03DF-46E6-AD8B-8F1381099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BF36C45-DA65-40E3-9E33-1F5317299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5128B559-5C9D-4BE9-8EAC-A950FCCA5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1FE853D-2E4E-4F38-9F91-640F2708F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594CE52B-E019-469C-825F-5D1559EB7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C6A6ED9-850B-488A-82F5-0A154C6E7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45834FDA-3DEE-42D9-B196-C018379C2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25400</xdr:colOff>
      <xdr:row>7</xdr:row>
      <xdr:rowOff>25401</xdr:rowOff>
    </xdr:from>
    <xdr:to>
      <xdr:col>13</xdr:col>
      <xdr:colOff>571500</xdr:colOff>
      <xdr:row>22</xdr:row>
      <xdr:rowOff>25401</xdr:rowOff>
    </xdr:to>
    <xdr:graphicFrame macro="">
      <xdr:nvGraphicFramePr>
        <xdr:cNvPr id="2" name="Chart 1">
          <a:extLst>
            <a:ext uri="{FF2B5EF4-FFF2-40B4-BE49-F238E27FC236}">
              <a16:creationId xmlns:a16="http://schemas.microsoft.com/office/drawing/2014/main" id="{BD0C784B-2CA8-484E-9900-C27055563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EF0E8712-D7DC-48AF-8D44-9976A596C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0971E36-9B97-4A11-AC4E-4543C70F5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DAEBDBD-85A4-4A35-95D8-B35871DC6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E6A5999-70E7-4026-B1D0-34325D8C3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55701F3-1814-411E-B98B-F9EFF50CE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A65C093-082A-4EAF-9B1A-753279823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746270A-26D6-4CE6-815F-14070369B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884F7AC-E382-4BE4-8A42-72BEB34C2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EAF9A7D-F49C-4542-AE66-F81E25833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7BB4CC0-1304-4BAB-A829-0D7D5D795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F3A3D8B-E1AA-4304-9459-C6275379F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4A7DCF9-4608-4CC4-B197-FB7042464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9395F0E-1B40-46E3-8517-7BDCA9D0E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05EB57F-2C68-485D-AE33-36B46B77F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F18D3F9-8766-45DF-B7DB-B29AFE972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F639E9B-8FAB-4D4A-B9A2-D9D1E0B45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6B96CFB-EB83-4C16-8B66-D0CB2B090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7290066-2572-4B71-9E3E-270A31902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7AC9D26-75AF-4B93-9A26-A075816AF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20079CD-6216-4C2E-A5AB-71B0CAC1E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8C8401E-56E1-4D44-B09F-C7456EBBF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96058CB9-8638-4B25-9A13-01AFDEB7D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ndhan%20Equity%20&amp;%20Hybrid%20Fund%20Portfolios%20as%20on%2030th%20Sept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DHAN-USFOF"/>
      <sheetName val="BANDHAN CEF"/>
      <sheetName val="BANDHAN LCF"/>
      <sheetName val="BANDHAN FEF"/>
      <sheetName val="BANDHAN SVF"/>
      <sheetName val="BANDHAN-MCAP"/>
      <sheetName val="BANDHAN MCF"/>
      <sheetName val="BANDHAN FCF"/>
      <sheetName val="BANDHAN EBF"/>
      <sheetName val="BANDHAN IF"/>
      <sheetName val="BANDHAN TLF"/>
      <sheetName val="BANDHAN FSF"/>
      <sheetName val="BANDHAN-TAF"/>
      <sheetName val="BANDHAN-AF"/>
      <sheetName val="BANDHAN BAF"/>
      <sheetName val="BANDHAN-ESF"/>
      <sheetName val="BANDHAN-RSF"/>
      <sheetName val="BANDHAN-HEF"/>
      <sheetName val="BANDHANAAF-AP"/>
      <sheetName val="BANDHANAAF-MP"/>
      <sheetName val="BANDHANAAF-CP"/>
      <sheetName val="BANDHAN-NIFTY 50 Index"/>
      <sheetName val="BANDHAN- S&amp;P BSE SENSEX ETF"/>
      <sheetName val="BANDHAN- Nifty 50 ETF"/>
      <sheetName val="BANDHAN-Nifty 100 Index"/>
      <sheetName val="BANDHAN-Nifty200 Mom30 Index"/>
      <sheetName val="BANDHAN NIF100LV30"/>
      <sheetName val="BANDHAN NIFTY IT 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EC6D-9412-41C3-8239-EF1216C7862C}">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176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177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9</v>
      </c>
      <c r="D8" s="6"/>
      <c r="E8" s="11">
        <v>0.596055</v>
      </c>
      <c r="F8" s="1"/>
      <c r="G8" s="24" t="s">
        <v>16</v>
      </c>
      <c r="H8" s="25">
        <v>1</v>
      </c>
      <c r="I8" s="1"/>
      <c r="J8" s="24" t="s">
        <v>13</v>
      </c>
      <c r="K8" s="24" t="s">
        <v>5</v>
      </c>
      <c r="L8" s="1"/>
      <c r="M8" s="1"/>
      <c r="N8" s="18"/>
    </row>
    <row r="9" spans="2:14" ht="15.75" customHeight="1" x14ac:dyDescent="0.25">
      <c r="B9" s="20"/>
      <c r="C9" s="7" t="s">
        <v>178</v>
      </c>
      <c r="D9" s="8"/>
      <c r="E9" s="12">
        <v>0.596055</v>
      </c>
      <c r="F9" s="1"/>
      <c r="G9" s="1"/>
      <c r="H9" s="1"/>
      <c r="I9" s="1"/>
      <c r="J9" s="24" t="s">
        <v>11</v>
      </c>
      <c r="K9" s="28">
        <v>9.9099999999999991E-4</v>
      </c>
      <c r="L9" s="1"/>
      <c r="M9" s="1"/>
      <c r="N9" s="18"/>
    </row>
    <row r="10" spans="2:14" ht="15" customHeight="1" x14ac:dyDescent="0.25">
      <c r="B10" s="20"/>
      <c r="C10" s="5" t="s">
        <v>163</v>
      </c>
      <c r="D10" s="6" t="s">
        <v>46</v>
      </c>
      <c r="E10" s="11">
        <v>9.3799999999999994E-3</v>
      </c>
      <c r="F10" s="1"/>
      <c r="G10" s="1"/>
      <c r="H10" s="1"/>
      <c r="I10" s="1"/>
      <c r="J10" s="24" t="s">
        <v>14</v>
      </c>
      <c r="K10" s="28">
        <v>0.38731199999999999</v>
      </c>
      <c r="L10" s="1"/>
      <c r="M10" s="1"/>
      <c r="N10" s="18"/>
    </row>
    <row r="11" spans="2:14" ht="15" customHeight="1" x14ac:dyDescent="0.25">
      <c r="B11" s="20"/>
      <c r="C11" s="5" t="s">
        <v>179</v>
      </c>
      <c r="D11" s="6" t="s">
        <v>46</v>
      </c>
      <c r="E11" s="11">
        <v>6.2620000000000002E-3</v>
      </c>
      <c r="F11" s="1"/>
      <c r="G11" s="1"/>
      <c r="H11" s="1"/>
      <c r="I11" s="1"/>
      <c r="J11" s="24" t="s">
        <v>180</v>
      </c>
      <c r="K11" s="28">
        <v>0.596055</v>
      </c>
      <c r="L11" s="1"/>
      <c r="M11" s="1"/>
      <c r="N11" s="18"/>
    </row>
    <row r="12" spans="2:14" ht="15.75" customHeight="1" x14ac:dyDescent="0.25">
      <c r="B12" s="20"/>
      <c r="C12" s="7" t="s">
        <v>90</v>
      </c>
      <c r="D12" s="8"/>
      <c r="E12" s="12">
        <v>1.5642E-2</v>
      </c>
      <c r="F12" s="1"/>
      <c r="G12" s="1"/>
      <c r="H12" s="1"/>
      <c r="I12" s="1"/>
      <c r="J12" s="24" t="s">
        <v>92</v>
      </c>
      <c r="K12" s="28">
        <v>1.5642E-2</v>
      </c>
      <c r="L12" s="1"/>
      <c r="M12" s="1"/>
      <c r="N12" s="18"/>
    </row>
    <row r="13" spans="2:14" ht="15" customHeight="1" x14ac:dyDescent="0.25">
      <c r="B13" s="20"/>
      <c r="C13" s="5" t="s">
        <v>9</v>
      </c>
      <c r="D13" s="6"/>
      <c r="E13" s="11">
        <v>0.38731199999999999</v>
      </c>
      <c r="F13" s="1"/>
      <c r="G13" s="1"/>
      <c r="H13" s="1"/>
      <c r="I13" s="1"/>
      <c r="J13" s="1"/>
      <c r="K13" s="1"/>
      <c r="L13" s="1"/>
      <c r="M13" s="1"/>
      <c r="N13" s="18"/>
    </row>
    <row r="14" spans="2:14" ht="15.75" customHeight="1" x14ac:dyDescent="0.25">
      <c r="B14" s="20"/>
      <c r="C14" s="7" t="s">
        <v>10</v>
      </c>
      <c r="D14" s="8"/>
      <c r="E14" s="12">
        <v>0.38731199999999999</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9.9099999999999991E-4</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127</v>
      </c>
      <c r="H24" s="50"/>
      <c r="I24" s="50"/>
      <c r="J24" s="50"/>
      <c r="K24" s="50"/>
      <c r="L24" s="100">
        <v>3.2041413919704169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32" t="s">
        <v>183</v>
      </c>
      <c r="C45" s="33"/>
      <c r="D45" s="33"/>
      <c r="E45" s="33"/>
      <c r="F45" s="33"/>
      <c r="G45" s="33"/>
      <c r="H45" s="33"/>
      <c r="I45" s="33"/>
      <c r="J45" s="33"/>
      <c r="K45" s="33"/>
      <c r="L45" s="33"/>
      <c r="M45" s="33"/>
      <c r="N45" s="34"/>
    </row>
    <row r="46" spans="2:14" x14ac:dyDescent="0.25">
      <c r="B46" s="35"/>
      <c r="C46" s="36"/>
      <c r="D46" s="36"/>
      <c r="E46" s="36"/>
      <c r="F46" s="36"/>
      <c r="G46" s="36"/>
      <c r="H46" s="36"/>
      <c r="I46" s="36"/>
      <c r="J46" s="36"/>
      <c r="K46" s="36"/>
      <c r="L46" s="36"/>
      <c r="M46" s="36"/>
      <c r="N46" s="37"/>
    </row>
    <row r="47" spans="2:14" ht="15.75" thickBot="1" x14ac:dyDescent="0.3">
      <c r="B47" s="38"/>
      <c r="C47" s="39"/>
      <c r="D47" s="39"/>
      <c r="E47" s="39"/>
      <c r="F47" s="39"/>
      <c r="G47" s="39"/>
      <c r="H47" s="39"/>
      <c r="I47" s="39"/>
      <c r="J47" s="39"/>
      <c r="K47" s="39"/>
      <c r="L47" s="39"/>
      <c r="M47" s="39"/>
      <c r="N47" s="40"/>
    </row>
    <row r="48" spans="2:14" ht="15.75" thickBot="1" x14ac:dyDescent="0.3"/>
    <row r="49" spans="2:14" ht="123" customHeight="1" thickBot="1" x14ac:dyDescent="0.3">
      <c r="B49" s="41" t="s">
        <v>184</v>
      </c>
      <c r="C49" s="42"/>
      <c r="D49" s="42"/>
      <c r="E49" s="42"/>
      <c r="F49" s="42"/>
      <c r="G49" s="42"/>
      <c r="H49" s="42"/>
      <c r="I49" s="42"/>
      <c r="J49" s="42"/>
      <c r="K49" s="42"/>
      <c r="L49" s="42"/>
      <c r="M49" s="42"/>
      <c r="N49" s="43"/>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83FB1-DC4D-4888-983B-29E5933BFED0}">
  <dimension ref="B1:N8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142</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143</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144</v>
      </c>
      <c r="D8" s="6" t="s">
        <v>23</v>
      </c>
      <c r="E8" s="11">
        <v>7.4349999999999999E-2</v>
      </c>
      <c r="F8" s="1"/>
      <c r="G8" s="24" t="s">
        <v>16</v>
      </c>
      <c r="H8" s="25">
        <v>1</v>
      </c>
      <c r="I8" s="1"/>
      <c r="J8" s="24" t="s">
        <v>13</v>
      </c>
      <c r="K8" s="24" t="s">
        <v>5</v>
      </c>
      <c r="L8" s="1"/>
      <c r="M8" s="1"/>
      <c r="N8" s="18"/>
    </row>
    <row r="9" spans="2:14" ht="15" customHeight="1" x14ac:dyDescent="0.25">
      <c r="B9" s="20"/>
      <c r="C9" s="5" t="s">
        <v>30</v>
      </c>
      <c r="D9" s="6" t="s">
        <v>23</v>
      </c>
      <c r="E9" s="11">
        <v>5.1630000000000002E-2</v>
      </c>
      <c r="F9" s="1"/>
      <c r="G9" s="1"/>
      <c r="H9" s="1"/>
      <c r="I9" s="1"/>
      <c r="J9" s="24" t="s">
        <v>11</v>
      </c>
      <c r="K9" s="28">
        <v>-0.15376300000000001</v>
      </c>
      <c r="L9" s="1"/>
      <c r="M9" s="1"/>
      <c r="N9" s="18"/>
    </row>
    <row r="10" spans="2:14" ht="15" customHeight="1" x14ac:dyDescent="0.25">
      <c r="B10" s="20"/>
      <c r="C10" s="5" t="s">
        <v>101</v>
      </c>
      <c r="D10" s="6" t="s">
        <v>23</v>
      </c>
      <c r="E10" s="11">
        <v>3.6061000000000003E-2</v>
      </c>
      <c r="F10" s="1"/>
      <c r="G10" s="1"/>
      <c r="H10" s="1"/>
      <c r="I10" s="1"/>
      <c r="J10" s="24" t="s">
        <v>14</v>
      </c>
      <c r="K10" s="28">
        <v>3.8299999999999999E-4</v>
      </c>
      <c r="L10" s="1"/>
      <c r="M10" s="1"/>
      <c r="N10" s="18"/>
    </row>
    <row r="11" spans="2:14" ht="15" customHeight="1" x14ac:dyDescent="0.25">
      <c r="B11" s="20"/>
      <c r="C11" s="5" t="s">
        <v>145</v>
      </c>
      <c r="D11" s="6" t="s">
        <v>23</v>
      </c>
      <c r="E11" s="11">
        <v>2.6960000000000001E-2</v>
      </c>
      <c r="F11" s="1"/>
      <c r="G11" s="1"/>
      <c r="H11" s="1"/>
      <c r="I11" s="1"/>
      <c r="J11" s="24" t="s">
        <v>52</v>
      </c>
      <c r="K11" s="28">
        <v>0.24761900000000001</v>
      </c>
      <c r="L11" s="1"/>
      <c r="M11" s="1"/>
      <c r="N11" s="18"/>
    </row>
    <row r="12" spans="2:14" ht="15" customHeight="1" x14ac:dyDescent="0.25">
      <c r="B12" s="20"/>
      <c r="C12" s="5" t="s">
        <v>146</v>
      </c>
      <c r="D12" s="6" t="s">
        <v>23</v>
      </c>
      <c r="E12" s="11">
        <v>1.8072000000000001E-2</v>
      </c>
      <c r="F12" s="1"/>
      <c r="G12" s="1"/>
      <c r="H12" s="1"/>
      <c r="I12" s="1"/>
      <c r="J12" s="24" t="s">
        <v>53</v>
      </c>
      <c r="K12" s="28">
        <v>6.9875000000000007E-2</v>
      </c>
      <c r="L12" s="1"/>
      <c r="M12" s="1"/>
      <c r="N12" s="18"/>
    </row>
    <row r="13" spans="2:14" ht="15" customHeight="1" x14ac:dyDescent="0.25">
      <c r="B13" s="20"/>
      <c r="C13" s="5" t="s">
        <v>147</v>
      </c>
      <c r="D13" s="6" t="s">
        <v>23</v>
      </c>
      <c r="E13" s="11">
        <v>1.1299E-2</v>
      </c>
      <c r="F13" s="1"/>
      <c r="G13" s="1"/>
      <c r="H13" s="1"/>
      <c r="I13" s="1"/>
      <c r="J13" s="24" t="s">
        <v>77</v>
      </c>
      <c r="K13" s="28">
        <v>0.55743699999999996</v>
      </c>
      <c r="L13" s="1"/>
      <c r="M13" s="1"/>
      <c r="N13" s="18"/>
    </row>
    <row r="14" spans="2:14" ht="15" customHeight="1" x14ac:dyDescent="0.25">
      <c r="B14" s="20"/>
      <c r="C14" s="5" t="s">
        <v>29</v>
      </c>
      <c r="D14" s="6" t="s">
        <v>23</v>
      </c>
      <c r="E14" s="11">
        <v>1.1224E-2</v>
      </c>
      <c r="F14" s="1"/>
      <c r="G14" s="1"/>
      <c r="H14" s="1"/>
      <c r="I14" s="1"/>
      <c r="J14" s="24" t="s">
        <v>92</v>
      </c>
      <c r="K14" s="28">
        <v>0.278449</v>
      </c>
      <c r="L14" s="1"/>
      <c r="M14" s="1"/>
      <c r="N14" s="18"/>
    </row>
    <row r="15" spans="2:14" ht="15" customHeight="1" x14ac:dyDescent="0.25">
      <c r="B15" s="20"/>
      <c r="C15" s="5" t="s">
        <v>41</v>
      </c>
      <c r="D15" s="6" t="s">
        <v>23</v>
      </c>
      <c r="E15" s="11">
        <v>9.0039999999999999E-3</v>
      </c>
      <c r="F15" s="1"/>
      <c r="G15" s="1"/>
      <c r="H15" s="1"/>
      <c r="I15" s="1"/>
      <c r="J15" s="1"/>
      <c r="K15" s="1"/>
      <c r="L15" s="1"/>
      <c r="M15" s="1"/>
      <c r="N15" s="18"/>
    </row>
    <row r="16" spans="2:14" ht="15" customHeight="1" x14ac:dyDescent="0.25">
      <c r="B16" s="20"/>
      <c r="C16" s="5" t="s">
        <v>148</v>
      </c>
      <c r="D16" s="6" t="s">
        <v>23</v>
      </c>
      <c r="E16" s="11">
        <v>4.5319999999999996E-3</v>
      </c>
      <c r="F16" s="1"/>
      <c r="G16" s="1"/>
      <c r="H16" s="1"/>
      <c r="I16" s="1"/>
      <c r="J16" s="1"/>
      <c r="K16" s="1"/>
      <c r="L16" s="1"/>
      <c r="M16" s="1"/>
      <c r="N16" s="18"/>
    </row>
    <row r="17" spans="2:14" ht="15" customHeight="1" x14ac:dyDescent="0.25">
      <c r="B17" s="20"/>
      <c r="C17" s="5" t="s">
        <v>36</v>
      </c>
      <c r="D17" s="6" t="s">
        <v>23</v>
      </c>
      <c r="E17" s="11">
        <v>4.4869999999999997E-3</v>
      </c>
      <c r="F17" s="1"/>
      <c r="G17" s="1"/>
      <c r="H17" s="1"/>
      <c r="I17" s="1"/>
      <c r="J17" s="1"/>
      <c r="K17" s="1"/>
      <c r="L17" s="1"/>
      <c r="M17" s="1"/>
      <c r="N17" s="18"/>
    </row>
    <row r="18" spans="2:14" ht="15.75" customHeight="1" x14ac:dyDescent="0.25">
      <c r="B18" s="20"/>
      <c r="C18" s="7" t="s">
        <v>25</v>
      </c>
      <c r="D18" s="8"/>
      <c r="E18" s="12">
        <v>0.24761900000000001</v>
      </c>
      <c r="F18" s="1"/>
      <c r="G18" s="1"/>
      <c r="H18" s="1"/>
      <c r="I18" s="1"/>
      <c r="J18" s="1"/>
      <c r="K18" s="1"/>
      <c r="L18" s="1"/>
      <c r="M18" s="1"/>
      <c r="N18" s="18"/>
    </row>
    <row r="19" spans="2:14" ht="15" customHeight="1" x14ac:dyDescent="0.25">
      <c r="B19" s="20"/>
      <c r="C19" s="5" t="s">
        <v>81</v>
      </c>
      <c r="D19" s="6" t="s">
        <v>23</v>
      </c>
      <c r="E19" s="11">
        <v>0.104229</v>
      </c>
      <c r="F19" s="1"/>
      <c r="G19" s="1"/>
      <c r="H19" s="1"/>
      <c r="I19" s="1"/>
      <c r="J19" s="1"/>
      <c r="K19" s="1"/>
      <c r="L19" s="1"/>
      <c r="M19" s="1"/>
      <c r="N19" s="18"/>
    </row>
    <row r="20" spans="2:14" ht="15" customHeight="1" x14ac:dyDescent="0.25">
      <c r="B20" s="20"/>
      <c r="C20" s="5" t="s">
        <v>149</v>
      </c>
      <c r="D20" s="6" t="s">
        <v>23</v>
      </c>
      <c r="E20" s="11">
        <v>8.7632000000000002E-2</v>
      </c>
      <c r="F20" s="1"/>
      <c r="G20" s="1"/>
      <c r="H20" s="1"/>
      <c r="I20" s="1"/>
      <c r="J20" s="1"/>
      <c r="K20" s="1"/>
      <c r="L20" s="1"/>
      <c r="M20" s="1"/>
      <c r="N20" s="18"/>
    </row>
    <row r="21" spans="2:14" ht="15" customHeight="1" x14ac:dyDescent="0.25">
      <c r="B21" s="20"/>
      <c r="C21" s="5" t="s">
        <v>73</v>
      </c>
      <c r="D21" s="6" t="s">
        <v>23</v>
      </c>
      <c r="E21" s="11">
        <v>8.3047999999999997E-2</v>
      </c>
      <c r="F21" s="1"/>
      <c r="G21" s="1"/>
      <c r="H21" s="1"/>
      <c r="I21" s="1"/>
      <c r="J21" s="1"/>
      <c r="K21" s="1"/>
      <c r="L21" s="1"/>
      <c r="M21" s="1"/>
      <c r="N21" s="18"/>
    </row>
    <row r="22" spans="2:14" ht="15" customHeight="1" x14ac:dyDescent="0.25">
      <c r="B22" s="20"/>
      <c r="C22" s="5" t="s">
        <v>29</v>
      </c>
      <c r="D22" s="6" t="s">
        <v>23</v>
      </c>
      <c r="E22" s="11">
        <v>5.8484000000000001E-2</v>
      </c>
      <c r="F22" s="1"/>
      <c r="G22" s="1"/>
      <c r="H22" s="1"/>
      <c r="I22" s="1"/>
      <c r="J22" s="1"/>
      <c r="K22" s="1"/>
      <c r="L22" s="1"/>
      <c r="M22" s="1"/>
      <c r="N22" s="18"/>
    </row>
    <row r="23" spans="2:14" ht="15" customHeight="1" x14ac:dyDescent="0.25">
      <c r="B23" s="20"/>
      <c r="C23" s="5" t="s">
        <v>150</v>
      </c>
      <c r="D23" s="6" t="s">
        <v>23</v>
      </c>
      <c r="E23" s="11">
        <v>3.5895999999999997E-2</v>
      </c>
      <c r="F23" s="1"/>
      <c r="G23" s="1"/>
      <c r="H23" s="1"/>
      <c r="I23" s="1"/>
      <c r="J23" s="1"/>
      <c r="K23" s="1"/>
      <c r="L23" s="1"/>
      <c r="M23" s="1"/>
      <c r="N23" s="18"/>
    </row>
    <row r="24" spans="2:14" ht="15" customHeight="1" x14ac:dyDescent="0.25">
      <c r="B24" s="20"/>
      <c r="C24" s="5" t="s">
        <v>151</v>
      </c>
      <c r="D24" s="6" t="s">
        <v>23</v>
      </c>
      <c r="E24" s="11">
        <v>3.5816000000000001E-2</v>
      </c>
      <c r="F24" s="1"/>
      <c r="G24" s="49" t="s">
        <v>127</v>
      </c>
      <c r="H24" s="50"/>
      <c r="I24" s="50"/>
      <c r="J24" s="50"/>
      <c r="K24" s="50"/>
      <c r="L24" s="100">
        <v>52.422388658563577</v>
      </c>
      <c r="M24" s="26"/>
      <c r="N24" s="27"/>
    </row>
    <row r="25" spans="2:14" ht="15" customHeight="1" x14ac:dyDescent="0.25">
      <c r="B25" s="20"/>
      <c r="C25" s="5" t="s">
        <v>152</v>
      </c>
      <c r="D25" s="6" t="s">
        <v>23</v>
      </c>
      <c r="E25" s="11">
        <v>2.7001000000000001E-2</v>
      </c>
      <c r="F25" s="1"/>
      <c r="G25" s="1"/>
      <c r="H25" s="1"/>
      <c r="I25" s="1"/>
      <c r="J25" s="1"/>
      <c r="K25" s="1"/>
      <c r="L25" s="1"/>
      <c r="M25" s="1"/>
      <c r="N25" s="18"/>
    </row>
    <row r="26" spans="2:14" ht="15" customHeight="1" x14ac:dyDescent="0.25">
      <c r="B26" s="20"/>
      <c r="C26" s="5" t="s">
        <v>153</v>
      </c>
      <c r="D26" s="6" t="s">
        <v>23</v>
      </c>
      <c r="E26" s="11">
        <v>2.6964999999999999E-2</v>
      </c>
      <c r="F26" s="1"/>
      <c r="G26" s="49" t="s">
        <v>19</v>
      </c>
      <c r="H26" s="50"/>
      <c r="I26" s="50"/>
      <c r="J26" s="50"/>
      <c r="K26" s="50"/>
      <c r="L26" s="50"/>
      <c r="M26" s="50"/>
      <c r="N26" s="51"/>
    </row>
    <row r="27" spans="2:14" ht="15" customHeight="1" x14ac:dyDescent="0.25">
      <c r="B27" s="20"/>
      <c r="C27" s="5" t="s">
        <v>33</v>
      </c>
      <c r="D27" s="6" t="s">
        <v>23</v>
      </c>
      <c r="E27" s="11">
        <v>2.2477E-2</v>
      </c>
      <c r="F27" s="1"/>
      <c r="G27" s="1"/>
      <c r="H27" s="1"/>
      <c r="I27" s="1"/>
      <c r="J27" s="1"/>
      <c r="K27" s="1"/>
      <c r="L27" s="1"/>
      <c r="M27" s="1"/>
      <c r="N27" s="18"/>
    </row>
    <row r="28" spans="2:14" ht="15" customHeight="1" x14ac:dyDescent="0.25">
      <c r="B28" s="20"/>
      <c r="C28" s="5" t="s">
        <v>26</v>
      </c>
      <c r="D28" s="6" t="s">
        <v>23</v>
      </c>
      <c r="E28" s="11">
        <v>2.2443999999999999E-2</v>
      </c>
      <c r="F28" s="1"/>
      <c r="G28" s="1"/>
      <c r="H28" s="1"/>
      <c r="I28" s="1"/>
      <c r="J28" s="1"/>
      <c r="K28" s="1"/>
      <c r="L28" s="1"/>
      <c r="M28" s="1"/>
      <c r="N28" s="18"/>
    </row>
    <row r="29" spans="2:14" ht="15" customHeight="1" x14ac:dyDescent="0.25">
      <c r="B29" s="20"/>
      <c r="C29" s="5" t="s">
        <v>30</v>
      </c>
      <c r="D29" s="6" t="s">
        <v>23</v>
      </c>
      <c r="E29" s="11">
        <v>2.1999999999999999E-2</v>
      </c>
      <c r="F29" s="1"/>
      <c r="G29" s="1"/>
      <c r="H29" s="1"/>
      <c r="I29" s="1"/>
      <c r="J29" s="1"/>
      <c r="K29" s="1"/>
      <c r="L29" s="1"/>
      <c r="M29" s="1"/>
      <c r="N29" s="18"/>
    </row>
    <row r="30" spans="2:14" ht="15" customHeight="1" x14ac:dyDescent="0.25">
      <c r="B30" s="20"/>
      <c r="C30" s="5" t="s">
        <v>154</v>
      </c>
      <c r="D30" s="6" t="s">
        <v>23</v>
      </c>
      <c r="E30" s="11">
        <v>1.1224E-2</v>
      </c>
      <c r="F30" s="1"/>
      <c r="G30" s="1"/>
      <c r="H30" s="1"/>
      <c r="I30" s="1"/>
      <c r="J30" s="1"/>
      <c r="K30" s="1"/>
      <c r="L30" s="1"/>
      <c r="M30" s="1"/>
      <c r="N30" s="18"/>
    </row>
    <row r="31" spans="2:14" ht="15" customHeight="1" x14ac:dyDescent="0.25">
      <c r="B31" s="20"/>
      <c r="C31" s="5" t="s">
        <v>85</v>
      </c>
      <c r="D31" s="6" t="s">
        <v>23</v>
      </c>
      <c r="E31" s="11">
        <v>9.0080000000000004E-3</v>
      </c>
      <c r="F31" s="1"/>
      <c r="G31" s="1"/>
      <c r="H31" s="1"/>
      <c r="I31" s="1"/>
      <c r="J31" s="1"/>
      <c r="K31" s="1"/>
      <c r="L31" s="1"/>
      <c r="M31" s="1"/>
      <c r="N31" s="18"/>
    </row>
    <row r="32" spans="2:14" ht="15" customHeight="1" x14ac:dyDescent="0.25">
      <c r="B32" s="20"/>
      <c r="C32" s="5" t="s">
        <v>155</v>
      </c>
      <c r="D32" s="6" t="s">
        <v>23</v>
      </c>
      <c r="E32" s="11">
        <v>8.9709999999999998E-3</v>
      </c>
      <c r="F32" s="1"/>
      <c r="G32" s="1"/>
      <c r="H32" s="1"/>
      <c r="I32" s="1"/>
      <c r="J32" s="1"/>
      <c r="K32" s="1"/>
      <c r="L32" s="1"/>
      <c r="M32" s="1"/>
      <c r="N32" s="18"/>
    </row>
    <row r="33" spans="2:14" ht="15" customHeight="1" x14ac:dyDescent="0.25">
      <c r="B33" s="20"/>
      <c r="C33" s="5" t="s">
        <v>83</v>
      </c>
      <c r="D33" s="6" t="s">
        <v>23</v>
      </c>
      <c r="E33" s="11">
        <v>2.2420000000000001E-3</v>
      </c>
      <c r="F33" s="1"/>
      <c r="G33" s="1"/>
      <c r="H33" s="1"/>
      <c r="I33" s="1"/>
      <c r="J33" s="1"/>
      <c r="K33" s="1"/>
      <c r="L33" s="1"/>
      <c r="M33" s="1"/>
      <c r="N33" s="18"/>
    </row>
    <row r="34" spans="2:14" ht="15.75" customHeight="1" x14ac:dyDescent="0.25">
      <c r="B34" s="20"/>
      <c r="C34" s="7" t="s">
        <v>75</v>
      </c>
      <c r="D34" s="8"/>
      <c r="E34" s="12">
        <v>0.55743699999999996</v>
      </c>
      <c r="F34" s="1"/>
      <c r="G34" s="1"/>
      <c r="H34" s="1"/>
      <c r="I34" s="1"/>
      <c r="J34" s="1"/>
      <c r="K34" s="1"/>
      <c r="L34" s="1"/>
      <c r="M34" s="1"/>
      <c r="N34" s="18"/>
    </row>
    <row r="35" spans="2:14" ht="15" customHeight="1" x14ac:dyDescent="0.25">
      <c r="B35" s="20"/>
      <c r="C35" s="5" t="s">
        <v>41</v>
      </c>
      <c r="D35" s="6" t="s">
        <v>27</v>
      </c>
      <c r="E35" s="11">
        <v>2.8594000000000001E-2</v>
      </c>
      <c r="F35" s="1"/>
      <c r="G35" s="1"/>
      <c r="H35" s="1"/>
      <c r="I35" s="1"/>
      <c r="J35" s="1"/>
      <c r="K35" s="1"/>
      <c r="L35" s="1"/>
      <c r="M35" s="1"/>
      <c r="N35" s="18"/>
    </row>
    <row r="36" spans="2:14" ht="15" customHeight="1" x14ac:dyDescent="0.25">
      <c r="B36" s="20"/>
      <c r="C36" s="5" t="s">
        <v>30</v>
      </c>
      <c r="D36" s="6" t="s">
        <v>27</v>
      </c>
      <c r="E36" s="11">
        <v>2.0455999999999998E-2</v>
      </c>
      <c r="F36" s="1"/>
      <c r="G36" s="1"/>
      <c r="H36" s="1"/>
      <c r="I36" s="1"/>
      <c r="J36" s="1"/>
      <c r="K36" s="1"/>
      <c r="L36" s="1"/>
      <c r="M36" s="1"/>
      <c r="N36" s="18"/>
    </row>
    <row r="37" spans="2:14" ht="15" customHeight="1" x14ac:dyDescent="0.25">
      <c r="B37" s="20"/>
      <c r="C37" s="5" t="s">
        <v>34</v>
      </c>
      <c r="D37" s="6" t="s">
        <v>27</v>
      </c>
      <c r="E37" s="11">
        <v>9.0639999999999991E-3</v>
      </c>
      <c r="F37" s="1"/>
      <c r="G37" s="1"/>
      <c r="H37" s="1"/>
      <c r="I37" s="1"/>
      <c r="J37" s="1"/>
      <c r="K37" s="1"/>
      <c r="L37" s="1"/>
      <c r="M37" s="1"/>
      <c r="N37" s="18"/>
    </row>
    <row r="38" spans="2:14" ht="15" customHeight="1" x14ac:dyDescent="0.25">
      <c r="B38" s="20"/>
      <c r="C38" s="5" t="s">
        <v>155</v>
      </c>
      <c r="D38" s="6" t="s">
        <v>27</v>
      </c>
      <c r="E38" s="11">
        <v>7.2319999999999997E-3</v>
      </c>
      <c r="F38" s="1"/>
      <c r="G38" s="1"/>
      <c r="H38" s="1"/>
      <c r="I38" s="1"/>
      <c r="J38" s="1"/>
      <c r="K38" s="1"/>
      <c r="L38" s="1"/>
      <c r="M38" s="1"/>
      <c r="N38" s="18"/>
    </row>
    <row r="39" spans="2:14" ht="15" customHeight="1" x14ac:dyDescent="0.25">
      <c r="B39" s="20"/>
      <c r="C39" s="5" t="s">
        <v>74</v>
      </c>
      <c r="D39" s="6" t="s">
        <v>27</v>
      </c>
      <c r="E39" s="11">
        <v>4.529E-3</v>
      </c>
      <c r="F39" s="1"/>
      <c r="G39" s="1"/>
      <c r="H39" s="1"/>
      <c r="I39" s="1"/>
      <c r="J39" s="1"/>
      <c r="K39" s="1"/>
      <c r="L39" s="1"/>
      <c r="M39" s="1"/>
      <c r="N39" s="18"/>
    </row>
    <row r="40" spans="2:14" ht="15.75" customHeight="1" x14ac:dyDescent="0.25">
      <c r="B40" s="20"/>
      <c r="C40" s="7" t="s">
        <v>44</v>
      </c>
      <c r="D40" s="8"/>
      <c r="E40" s="12">
        <v>6.9875000000000007E-2</v>
      </c>
      <c r="F40" s="1"/>
      <c r="G40" s="1"/>
      <c r="H40" s="1"/>
      <c r="I40" s="1"/>
      <c r="J40" s="1"/>
      <c r="K40" s="1"/>
      <c r="L40" s="1"/>
      <c r="M40" s="1"/>
      <c r="N40" s="18"/>
    </row>
    <row r="41" spans="2:14" ht="15" customHeight="1" x14ac:dyDescent="0.25">
      <c r="B41" s="20"/>
      <c r="C41" s="5" t="s">
        <v>156</v>
      </c>
      <c r="D41" s="6" t="s">
        <v>46</v>
      </c>
      <c r="E41" s="11">
        <v>7.2900000000000006E-2</v>
      </c>
      <c r="F41" s="1"/>
      <c r="G41" s="1"/>
      <c r="H41" s="1"/>
      <c r="I41" s="1"/>
      <c r="J41" s="1"/>
      <c r="K41" s="1"/>
      <c r="L41" s="1"/>
      <c r="M41" s="1"/>
      <c r="N41" s="18"/>
    </row>
    <row r="42" spans="2:14" ht="15" customHeight="1" x14ac:dyDescent="0.25">
      <c r="B42" s="20"/>
      <c r="C42" s="5" t="s">
        <v>157</v>
      </c>
      <c r="D42" s="6" t="s">
        <v>46</v>
      </c>
      <c r="E42" s="11">
        <v>4.6928999999999998E-2</v>
      </c>
      <c r="F42" s="1"/>
      <c r="G42" s="1"/>
      <c r="H42" s="1"/>
      <c r="I42" s="1"/>
      <c r="J42" s="1"/>
      <c r="K42" s="1"/>
      <c r="L42" s="1"/>
      <c r="M42" s="1"/>
      <c r="N42" s="18"/>
    </row>
    <row r="43" spans="2:14" ht="15" customHeight="1" x14ac:dyDescent="0.25">
      <c r="B43" s="20"/>
      <c r="C43" s="5" t="s">
        <v>158</v>
      </c>
      <c r="D43" s="6" t="s">
        <v>46</v>
      </c>
      <c r="E43" s="11">
        <v>4.2812999999999997E-2</v>
      </c>
      <c r="F43" s="1"/>
      <c r="G43" s="1"/>
      <c r="H43" s="1"/>
      <c r="I43" s="1"/>
      <c r="J43" s="1"/>
      <c r="K43" s="1"/>
      <c r="L43" s="1"/>
      <c r="M43" s="1"/>
      <c r="N43" s="18"/>
    </row>
    <row r="44" spans="2:14" ht="15" customHeight="1" x14ac:dyDescent="0.25">
      <c r="B44" s="20"/>
      <c r="C44" s="5" t="s">
        <v>159</v>
      </c>
      <c r="D44" s="6" t="s">
        <v>46</v>
      </c>
      <c r="E44" s="11">
        <v>3.6145999999999998E-2</v>
      </c>
      <c r="F44" s="1"/>
      <c r="G44" s="1"/>
      <c r="H44" s="1"/>
      <c r="I44" s="1"/>
      <c r="J44" s="1"/>
      <c r="K44" s="1"/>
      <c r="L44" s="1"/>
      <c r="M44" s="1"/>
      <c r="N44" s="18"/>
    </row>
    <row r="45" spans="2:14" ht="15" customHeight="1" x14ac:dyDescent="0.25">
      <c r="B45" s="20"/>
      <c r="C45" s="5" t="s">
        <v>160</v>
      </c>
      <c r="D45" s="6" t="s">
        <v>46</v>
      </c>
      <c r="E45" s="11">
        <v>3.5961E-2</v>
      </c>
      <c r="F45" s="1"/>
      <c r="G45" s="1"/>
      <c r="H45" s="1"/>
      <c r="I45" s="1"/>
      <c r="J45" s="1"/>
      <c r="K45" s="1"/>
      <c r="L45" s="1"/>
      <c r="M45" s="1"/>
      <c r="N45" s="18"/>
    </row>
    <row r="46" spans="2:14" ht="15" customHeight="1" x14ac:dyDescent="0.25">
      <c r="B46" s="20"/>
      <c r="C46" s="5" t="s">
        <v>161</v>
      </c>
      <c r="D46" s="6" t="s">
        <v>46</v>
      </c>
      <c r="E46" s="11">
        <v>2.1208000000000001E-2</v>
      </c>
      <c r="F46" s="1"/>
      <c r="G46" s="1"/>
      <c r="H46" s="1"/>
      <c r="I46" s="1"/>
      <c r="J46" s="1"/>
      <c r="K46" s="1"/>
      <c r="L46" s="1"/>
      <c r="M46" s="1"/>
      <c r="N46" s="18"/>
    </row>
    <row r="47" spans="2:14" ht="15" customHeight="1" x14ac:dyDescent="0.25">
      <c r="B47" s="20"/>
      <c r="C47" s="5" t="s">
        <v>162</v>
      </c>
      <c r="D47" s="6" t="s">
        <v>46</v>
      </c>
      <c r="E47" s="11">
        <v>1.3450999999999999E-2</v>
      </c>
      <c r="F47" s="1"/>
      <c r="G47" s="1"/>
      <c r="H47" s="1"/>
      <c r="I47" s="1"/>
      <c r="J47" s="1"/>
      <c r="K47" s="1"/>
      <c r="L47" s="1"/>
      <c r="M47" s="1"/>
      <c r="N47" s="18"/>
    </row>
    <row r="48" spans="2:14" ht="15" customHeight="1" x14ac:dyDescent="0.25">
      <c r="B48" s="20"/>
      <c r="C48" s="5" t="s">
        <v>163</v>
      </c>
      <c r="D48" s="6" t="s">
        <v>46</v>
      </c>
      <c r="E48" s="11">
        <v>4.5240000000000002E-3</v>
      </c>
      <c r="F48" s="1"/>
      <c r="G48" s="1"/>
      <c r="H48" s="1"/>
      <c r="I48" s="1"/>
      <c r="J48" s="1"/>
      <c r="K48" s="1"/>
      <c r="L48" s="1"/>
      <c r="M48" s="1"/>
      <c r="N48" s="18"/>
    </row>
    <row r="49" spans="2:14" ht="15" customHeight="1" x14ac:dyDescent="0.25">
      <c r="B49" s="20"/>
      <c r="C49" s="5" t="s">
        <v>164</v>
      </c>
      <c r="D49" s="6" t="s">
        <v>46</v>
      </c>
      <c r="E49" s="11">
        <v>4.5170000000000002E-3</v>
      </c>
      <c r="F49" s="1"/>
      <c r="G49" s="1"/>
      <c r="H49" s="1"/>
      <c r="I49" s="1"/>
      <c r="J49" s="1"/>
      <c r="K49" s="1"/>
      <c r="L49" s="1"/>
      <c r="M49" s="1"/>
      <c r="N49" s="18"/>
    </row>
    <row r="50" spans="2:14" ht="15.75" customHeight="1" x14ac:dyDescent="0.25">
      <c r="B50" s="20"/>
      <c r="C50" s="7" t="s">
        <v>90</v>
      </c>
      <c r="D50" s="8"/>
      <c r="E50" s="12">
        <v>0.278449</v>
      </c>
      <c r="F50" s="1"/>
      <c r="G50" s="1"/>
      <c r="H50" s="1"/>
      <c r="I50" s="1"/>
      <c r="J50" s="1"/>
      <c r="K50" s="1"/>
      <c r="L50" s="1"/>
      <c r="M50" s="1"/>
      <c r="N50" s="18"/>
    </row>
    <row r="51" spans="2:14" ht="15" customHeight="1" x14ac:dyDescent="0.25">
      <c r="B51" s="20"/>
      <c r="C51" s="5" t="s">
        <v>9</v>
      </c>
      <c r="D51" s="6"/>
      <c r="E51" s="11">
        <v>3.8299999999999999E-4</v>
      </c>
      <c r="F51" s="1"/>
      <c r="G51" s="1"/>
      <c r="H51" s="1"/>
      <c r="I51" s="1"/>
      <c r="J51" s="1"/>
      <c r="K51" s="1"/>
      <c r="L51" s="1"/>
      <c r="M51" s="1"/>
      <c r="N51" s="18"/>
    </row>
    <row r="52" spans="2:14" ht="15.75" customHeight="1" x14ac:dyDescent="0.25">
      <c r="B52" s="20"/>
      <c r="C52" s="7" t="s">
        <v>10</v>
      </c>
      <c r="D52" s="8"/>
      <c r="E52" s="12">
        <v>3.8299999999999999E-4</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75" customHeight="1" x14ac:dyDescent="0.25">
      <c r="B54" s="20"/>
      <c r="C54" s="7" t="s">
        <v>11</v>
      </c>
      <c r="D54" s="8"/>
      <c r="E54" s="12">
        <v>-0.15376300000000001</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 customHeight="1" x14ac:dyDescent="0.25">
      <c r="B56" s="20"/>
      <c r="C56" s="9" t="s">
        <v>12</v>
      </c>
      <c r="D56" s="10"/>
      <c r="E56" s="13">
        <v>1</v>
      </c>
      <c r="F56" s="1"/>
      <c r="G56" s="1"/>
      <c r="H56" s="1"/>
      <c r="I56" s="1"/>
      <c r="J56" s="1"/>
      <c r="K56" s="1"/>
      <c r="L56" s="1"/>
      <c r="M56" s="1"/>
      <c r="N56" s="18"/>
    </row>
    <row r="57" spans="2:14" ht="15" customHeight="1" x14ac:dyDescent="0.25">
      <c r="B57" s="20"/>
      <c r="C57" s="1"/>
      <c r="D57" s="1"/>
      <c r="E57" s="1"/>
      <c r="F57" s="1"/>
      <c r="G57" s="1"/>
      <c r="H57" s="1"/>
      <c r="I57" s="1"/>
      <c r="J57" s="1"/>
      <c r="K57" s="1"/>
      <c r="L57" s="1"/>
      <c r="M57" s="1"/>
      <c r="N57" s="18"/>
    </row>
    <row r="58" spans="2:14" ht="15" customHeight="1" thickBot="1" x14ac:dyDescent="0.3">
      <c r="B58" s="21"/>
      <c r="C58" s="22"/>
      <c r="D58" s="22"/>
      <c r="E58" s="22"/>
      <c r="F58" s="22"/>
      <c r="G58" s="22"/>
      <c r="H58" s="22"/>
      <c r="I58" s="22"/>
      <c r="J58" s="22"/>
      <c r="K58" s="22"/>
      <c r="L58" s="22"/>
      <c r="M58" s="22"/>
      <c r="N58" s="23"/>
    </row>
    <row r="59" spans="2:14" ht="15" customHeight="1" thickBot="1" x14ac:dyDescent="0.3"/>
    <row r="60" spans="2:14" ht="125.25" customHeight="1" thickBot="1" x14ac:dyDescent="0.3">
      <c r="B60" s="41" t="s">
        <v>184</v>
      </c>
      <c r="C60" s="42"/>
      <c r="D60" s="42"/>
      <c r="E60" s="42"/>
      <c r="F60" s="42"/>
      <c r="G60" s="42"/>
      <c r="H60" s="42"/>
      <c r="I60" s="42"/>
      <c r="J60" s="42"/>
      <c r="K60" s="42"/>
      <c r="L60" s="42"/>
      <c r="M60" s="42"/>
      <c r="N60" s="43"/>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sheetData>
  <mergeCells count="6">
    <mergeCell ref="B60:N60"/>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650B0-6C64-4EFA-9970-B2F3546C67B3}">
  <dimension ref="B1:N7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165</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166</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36</v>
      </c>
      <c r="D8" s="6" t="s">
        <v>23</v>
      </c>
      <c r="E8" s="11">
        <v>4.1855999999999997E-2</v>
      </c>
      <c r="F8" s="1"/>
      <c r="G8" s="24" t="s">
        <v>16</v>
      </c>
      <c r="H8" s="25">
        <v>1</v>
      </c>
      <c r="I8" s="1"/>
      <c r="J8" s="24" t="s">
        <v>13</v>
      </c>
      <c r="K8" s="24" t="s">
        <v>5</v>
      </c>
      <c r="L8" s="1"/>
      <c r="M8" s="1"/>
      <c r="N8" s="18"/>
    </row>
    <row r="9" spans="2:14" ht="15" customHeight="1" x14ac:dyDescent="0.25">
      <c r="B9" s="20"/>
      <c r="C9" s="5" t="s">
        <v>29</v>
      </c>
      <c r="D9" s="6" t="s">
        <v>23</v>
      </c>
      <c r="E9" s="11">
        <v>3.2722000000000001E-2</v>
      </c>
      <c r="F9" s="1"/>
      <c r="G9" s="1"/>
      <c r="H9" s="1"/>
      <c r="I9" s="1"/>
      <c r="J9" s="24" t="s">
        <v>11</v>
      </c>
      <c r="K9" s="28">
        <v>-1.5579999999999999E-3</v>
      </c>
      <c r="L9" s="1"/>
      <c r="M9" s="1"/>
      <c r="N9" s="18"/>
    </row>
    <row r="10" spans="2:14" ht="15" customHeight="1" x14ac:dyDescent="0.25">
      <c r="B10" s="20"/>
      <c r="C10" s="5" t="s">
        <v>22</v>
      </c>
      <c r="D10" s="6" t="s">
        <v>23</v>
      </c>
      <c r="E10" s="11">
        <v>1.7919000000000001E-2</v>
      </c>
      <c r="F10" s="1"/>
      <c r="G10" s="1"/>
      <c r="H10" s="1"/>
      <c r="I10" s="1"/>
      <c r="J10" s="24" t="s">
        <v>14</v>
      </c>
      <c r="K10" s="28">
        <v>3.4062000000000002E-2</v>
      </c>
      <c r="L10" s="1"/>
      <c r="M10" s="1"/>
      <c r="N10" s="18"/>
    </row>
    <row r="11" spans="2:14" ht="15.75" customHeight="1" x14ac:dyDescent="0.25">
      <c r="B11" s="20"/>
      <c r="C11" s="7" t="s">
        <v>25</v>
      </c>
      <c r="D11" s="8"/>
      <c r="E11" s="12">
        <v>9.2496999999999996E-2</v>
      </c>
      <c r="F11" s="1"/>
      <c r="G11" s="1"/>
      <c r="H11" s="1"/>
      <c r="I11" s="1"/>
      <c r="J11" s="24" t="s">
        <v>52</v>
      </c>
      <c r="K11" s="28">
        <v>9.2496999999999996E-2</v>
      </c>
      <c r="L11" s="1"/>
      <c r="M11" s="1"/>
      <c r="N11" s="18"/>
    </row>
    <row r="12" spans="2:14" ht="15" customHeight="1" x14ac:dyDescent="0.25">
      <c r="B12" s="20"/>
      <c r="C12" s="5" t="s">
        <v>81</v>
      </c>
      <c r="D12" s="6" t="s">
        <v>23</v>
      </c>
      <c r="E12" s="11">
        <v>9.5767000000000005E-2</v>
      </c>
      <c r="F12" s="1"/>
      <c r="G12" s="1"/>
      <c r="H12" s="1"/>
      <c r="I12" s="1"/>
      <c r="J12" s="24" t="s">
        <v>53</v>
      </c>
      <c r="K12" s="28">
        <v>0.391156</v>
      </c>
      <c r="L12" s="1"/>
      <c r="M12" s="1"/>
      <c r="N12" s="18"/>
    </row>
    <row r="13" spans="2:14" ht="15" customHeight="1" x14ac:dyDescent="0.25">
      <c r="B13" s="20"/>
      <c r="C13" s="5" t="s">
        <v>29</v>
      </c>
      <c r="D13" s="6" t="s">
        <v>23</v>
      </c>
      <c r="E13" s="11">
        <v>6.0738E-2</v>
      </c>
      <c r="F13" s="1"/>
      <c r="G13" s="1"/>
      <c r="H13" s="1"/>
      <c r="I13" s="1"/>
      <c r="J13" s="24" t="s">
        <v>77</v>
      </c>
      <c r="K13" s="28">
        <v>0.18970600000000001</v>
      </c>
      <c r="L13" s="1"/>
      <c r="M13" s="1"/>
      <c r="N13" s="18"/>
    </row>
    <row r="14" spans="2:14" ht="15" customHeight="1" x14ac:dyDescent="0.25">
      <c r="B14" s="20"/>
      <c r="C14" s="5" t="s">
        <v>149</v>
      </c>
      <c r="D14" s="6" t="s">
        <v>23</v>
      </c>
      <c r="E14" s="11">
        <v>2.3890000000000002E-2</v>
      </c>
      <c r="F14" s="1"/>
      <c r="G14" s="1"/>
      <c r="H14" s="1"/>
      <c r="I14" s="1"/>
      <c r="J14" s="24" t="s">
        <v>54</v>
      </c>
      <c r="K14" s="28">
        <v>5.5607999999999998E-2</v>
      </c>
      <c r="L14" s="1"/>
      <c r="M14" s="1"/>
      <c r="N14" s="18"/>
    </row>
    <row r="15" spans="2:14" ht="15" customHeight="1" x14ac:dyDescent="0.25">
      <c r="B15" s="20"/>
      <c r="C15" s="5" t="s">
        <v>30</v>
      </c>
      <c r="D15" s="6" t="s">
        <v>23</v>
      </c>
      <c r="E15" s="11">
        <v>9.3109999999999998E-3</v>
      </c>
      <c r="F15" s="1"/>
      <c r="G15" s="1"/>
      <c r="H15" s="1"/>
      <c r="I15" s="1"/>
      <c r="J15" s="24" t="s">
        <v>55</v>
      </c>
      <c r="K15" s="28">
        <v>0.23835300000000001</v>
      </c>
      <c r="L15" s="1"/>
      <c r="M15" s="1"/>
      <c r="N15" s="18"/>
    </row>
    <row r="16" spans="2:14" ht="15.75" customHeight="1" x14ac:dyDescent="0.25">
      <c r="B16" s="20"/>
      <c r="C16" s="7" t="s">
        <v>75</v>
      </c>
      <c r="D16" s="8"/>
      <c r="E16" s="12">
        <v>0.18970600000000001</v>
      </c>
      <c r="F16" s="1"/>
      <c r="G16" s="1"/>
      <c r="H16" s="1"/>
      <c r="I16" s="1"/>
      <c r="J16" s="24" t="s">
        <v>92</v>
      </c>
      <c r="K16" s="28">
        <v>1.76E-4</v>
      </c>
      <c r="L16" s="1"/>
      <c r="M16" s="1"/>
      <c r="N16" s="18"/>
    </row>
    <row r="17" spans="2:14" ht="15" customHeight="1" x14ac:dyDescent="0.25">
      <c r="B17" s="20"/>
      <c r="C17" s="5" t="s">
        <v>73</v>
      </c>
      <c r="D17" s="6" t="s">
        <v>27</v>
      </c>
      <c r="E17" s="11">
        <v>0.113564</v>
      </c>
      <c r="F17" s="1"/>
      <c r="G17" s="1"/>
      <c r="H17" s="1"/>
      <c r="I17" s="1"/>
      <c r="J17" s="1"/>
      <c r="K17" s="1"/>
      <c r="L17" s="1"/>
      <c r="M17" s="1"/>
      <c r="N17" s="18"/>
    </row>
    <row r="18" spans="2:14" ht="15" customHeight="1" x14ac:dyDescent="0.25">
      <c r="B18" s="20"/>
      <c r="C18" s="5" t="s">
        <v>26</v>
      </c>
      <c r="D18" s="6" t="s">
        <v>27</v>
      </c>
      <c r="E18" s="11">
        <v>0.105728</v>
      </c>
      <c r="F18" s="1"/>
      <c r="G18" s="1"/>
      <c r="H18" s="1"/>
      <c r="I18" s="1"/>
      <c r="J18" s="1"/>
      <c r="K18" s="1"/>
      <c r="L18" s="1"/>
      <c r="M18" s="1"/>
      <c r="N18" s="18"/>
    </row>
    <row r="19" spans="2:14" ht="15" customHeight="1" x14ac:dyDescent="0.25">
      <c r="B19" s="20"/>
      <c r="C19" s="5" t="s">
        <v>30</v>
      </c>
      <c r="D19" s="6" t="s">
        <v>27</v>
      </c>
      <c r="E19" s="11">
        <v>6.2318999999999999E-2</v>
      </c>
      <c r="F19" s="1"/>
      <c r="G19" s="1"/>
      <c r="H19" s="1"/>
      <c r="I19" s="1"/>
      <c r="J19" s="1"/>
      <c r="K19" s="1"/>
      <c r="L19" s="1"/>
      <c r="M19" s="1"/>
      <c r="N19" s="18"/>
    </row>
    <row r="20" spans="2:14" ht="15" customHeight="1" x14ac:dyDescent="0.25">
      <c r="B20" s="20"/>
      <c r="C20" s="5" t="s">
        <v>31</v>
      </c>
      <c r="D20" s="6" t="s">
        <v>27</v>
      </c>
      <c r="E20" s="11">
        <v>5.2039000000000002E-2</v>
      </c>
      <c r="F20" s="1"/>
      <c r="G20" s="1"/>
      <c r="H20" s="1"/>
      <c r="I20" s="1"/>
      <c r="J20" s="1"/>
      <c r="K20" s="1"/>
      <c r="L20" s="1"/>
      <c r="M20" s="1"/>
      <c r="N20" s="18"/>
    </row>
    <row r="21" spans="2:14" ht="15" customHeight="1" x14ac:dyDescent="0.25">
      <c r="B21" s="20"/>
      <c r="C21" s="5" t="s">
        <v>74</v>
      </c>
      <c r="D21" s="6" t="s">
        <v>27</v>
      </c>
      <c r="E21" s="11">
        <v>2.2120999999999998E-2</v>
      </c>
      <c r="F21" s="1"/>
      <c r="G21" s="1"/>
      <c r="H21" s="1"/>
      <c r="I21" s="1"/>
      <c r="J21" s="1"/>
      <c r="K21" s="1"/>
      <c r="L21" s="1"/>
      <c r="M21" s="1"/>
      <c r="N21" s="18"/>
    </row>
    <row r="22" spans="2:14" ht="15" customHeight="1" x14ac:dyDescent="0.25">
      <c r="B22" s="20"/>
      <c r="C22" s="5" t="s">
        <v>29</v>
      </c>
      <c r="D22" s="6" t="s">
        <v>27</v>
      </c>
      <c r="E22" s="11">
        <v>1.4368000000000001E-2</v>
      </c>
      <c r="F22" s="1"/>
      <c r="G22" s="1"/>
      <c r="H22" s="1"/>
      <c r="I22" s="1"/>
      <c r="J22" s="1"/>
      <c r="K22" s="1"/>
      <c r="L22" s="1"/>
      <c r="M22" s="1"/>
      <c r="N22" s="18"/>
    </row>
    <row r="23" spans="2:14" ht="15" customHeight="1" x14ac:dyDescent="0.25">
      <c r="B23" s="20"/>
      <c r="C23" s="5" t="s">
        <v>40</v>
      </c>
      <c r="D23" s="6" t="s">
        <v>27</v>
      </c>
      <c r="E23" s="11">
        <v>1.4297000000000001E-2</v>
      </c>
      <c r="F23" s="1"/>
      <c r="G23" s="1"/>
      <c r="H23" s="1"/>
      <c r="I23" s="1"/>
      <c r="J23" s="1"/>
      <c r="K23" s="1"/>
      <c r="L23" s="1"/>
      <c r="M23" s="1"/>
      <c r="N23" s="18"/>
    </row>
    <row r="24" spans="2:14" ht="15" customHeight="1" x14ac:dyDescent="0.25">
      <c r="B24" s="20"/>
      <c r="C24" s="5" t="s">
        <v>32</v>
      </c>
      <c r="D24" s="6" t="s">
        <v>27</v>
      </c>
      <c r="E24" s="11">
        <v>6.7200000000000003E-3</v>
      </c>
      <c r="F24" s="1"/>
      <c r="G24" s="49" t="s">
        <v>127</v>
      </c>
      <c r="H24" s="50"/>
      <c r="I24" s="50"/>
      <c r="J24" s="50"/>
      <c r="K24" s="50"/>
      <c r="L24" s="100">
        <v>360.76532214729161</v>
      </c>
      <c r="M24" s="26"/>
      <c r="N24" s="27"/>
    </row>
    <row r="25" spans="2:14" ht="15.75" customHeight="1" x14ac:dyDescent="0.25">
      <c r="B25" s="20"/>
      <c r="C25" s="7" t="s">
        <v>44</v>
      </c>
      <c r="D25" s="8"/>
      <c r="E25" s="12">
        <v>0.391156</v>
      </c>
      <c r="F25" s="1"/>
      <c r="G25" s="1"/>
      <c r="H25" s="1"/>
      <c r="I25" s="1"/>
      <c r="J25" s="1"/>
      <c r="K25" s="1"/>
      <c r="L25" s="1"/>
      <c r="M25" s="1"/>
      <c r="N25" s="18"/>
    </row>
    <row r="26" spans="2:14" ht="15" customHeight="1" x14ac:dyDescent="0.25">
      <c r="B26" s="20"/>
      <c r="C26" s="5" t="s">
        <v>48</v>
      </c>
      <c r="D26" s="6" t="s">
        <v>46</v>
      </c>
      <c r="E26" s="11">
        <v>5.5607999999999998E-2</v>
      </c>
      <c r="F26" s="1"/>
      <c r="G26" s="49" t="s">
        <v>19</v>
      </c>
      <c r="H26" s="50"/>
      <c r="I26" s="50"/>
      <c r="J26" s="50"/>
      <c r="K26" s="50"/>
      <c r="L26" s="50"/>
      <c r="M26" s="50"/>
      <c r="N26" s="51"/>
    </row>
    <row r="27" spans="2:14" ht="15.75" customHeight="1" x14ac:dyDescent="0.25">
      <c r="B27" s="20"/>
      <c r="C27" s="7" t="s">
        <v>50</v>
      </c>
      <c r="D27" s="8"/>
      <c r="E27" s="12">
        <v>5.5607999999999998E-2</v>
      </c>
      <c r="F27" s="1"/>
      <c r="G27" s="1"/>
      <c r="H27" s="1"/>
      <c r="I27" s="1"/>
      <c r="J27" s="1"/>
      <c r="K27" s="1"/>
      <c r="L27" s="1"/>
      <c r="M27" s="1"/>
      <c r="N27" s="18"/>
    </row>
    <row r="28" spans="2:14" ht="15" customHeight="1" x14ac:dyDescent="0.25">
      <c r="B28" s="20"/>
      <c r="C28" s="5" t="s">
        <v>201</v>
      </c>
      <c r="D28" s="6" t="s">
        <v>46</v>
      </c>
      <c r="E28" s="11">
        <v>4.6600999999999997E-2</v>
      </c>
      <c r="F28" s="1"/>
      <c r="G28" s="1"/>
      <c r="H28" s="1"/>
      <c r="I28" s="1"/>
      <c r="J28" s="1"/>
      <c r="K28" s="1"/>
      <c r="L28" s="1"/>
      <c r="M28" s="1"/>
      <c r="N28" s="18"/>
    </row>
    <row r="29" spans="2:14" ht="15.75" customHeight="1" x14ac:dyDescent="0.25">
      <c r="B29" s="20"/>
      <c r="C29" s="5" t="s">
        <v>202</v>
      </c>
      <c r="D29" s="6" t="s">
        <v>46</v>
      </c>
      <c r="E29" s="11">
        <v>4.0774999999999999E-2</v>
      </c>
      <c r="F29" s="1"/>
      <c r="G29" s="1"/>
      <c r="H29" s="1"/>
      <c r="I29" s="1"/>
      <c r="J29" s="1"/>
      <c r="K29" s="1"/>
      <c r="L29" s="1"/>
      <c r="M29" s="1"/>
      <c r="N29" s="18"/>
    </row>
    <row r="30" spans="2:14" ht="15" customHeight="1" x14ac:dyDescent="0.25">
      <c r="B30" s="20"/>
      <c r="C30" s="5" t="s">
        <v>199</v>
      </c>
      <c r="D30" s="6" t="s">
        <v>46</v>
      </c>
      <c r="E30" s="11">
        <v>2.9132999999999999E-2</v>
      </c>
      <c r="F30" s="1"/>
      <c r="G30" s="1"/>
      <c r="H30" s="1"/>
      <c r="I30" s="1"/>
      <c r="J30" s="1"/>
      <c r="K30" s="1"/>
      <c r="L30" s="1"/>
      <c r="M30" s="1"/>
      <c r="N30" s="18"/>
    </row>
    <row r="31" spans="2:14" ht="15.75" customHeight="1" x14ac:dyDescent="0.25">
      <c r="B31" s="20"/>
      <c r="C31" s="5" t="s">
        <v>206</v>
      </c>
      <c r="D31" s="6" t="s">
        <v>46</v>
      </c>
      <c r="E31" s="11">
        <v>1.9248999999999999E-2</v>
      </c>
      <c r="F31" s="1"/>
      <c r="G31" s="1"/>
      <c r="H31" s="1"/>
      <c r="I31" s="1"/>
      <c r="J31" s="1"/>
      <c r="K31" s="1"/>
      <c r="L31" s="1"/>
      <c r="M31" s="1"/>
      <c r="N31" s="18"/>
    </row>
    <row r="32" spans="2:14" ht="15" customHeight="1" x14ac:dyDescent="0.25">
      <c r="B32" s="20"/>
      <c r="C32" s="5" t="s">
        <v>203</v>
      </c>
      <c r="D32" s="6" t="s">
        <v>46</v>
      </c>
      <c r="E32" s="11">
        <v>1.8873999999999998E-2</v>
      </c>
      <c r="F32" s="1"/>
      <c r="G32" s="1"/>
      <c r="H32" s="1"/>
      <c r="I32" s="1"/>
      <c r="J32" s="1"/>
      <c r="K32" s="1"/>
      <c r="L32" s="1"/>
      <c r="M32" s="1"/>
      <c r="N32" s="18"/>
    </row>
    <row r="33" spans="2:14" ht="15.75" customHeight="1" x14ac:dyDescent="0.25">
      <c r="B33" s="20"/>
      <c r="C33" s="5" t="s">
        <v>191</v>
      </c>
      <c r="D33" s="6" t="s">
        <v>46</v>
      </c>
      <c r="E33" s="11">
        <v>1.4628E-2</v>
      </c>
      <c r="F33" s="1"/>
      <c r="G33" s="1"/>
      <c r="H33" s="1"/>
      <c r="I33" s="1"/>
      <c r="J33" s="1"/>
      <c r="K33" s="1"/>
      <c r="L33" s="1"/>
      <c r="M33" s="1"/>
      <c r="N33" s="18"/>
    </row>
    <row r="34" spans="2:14" ht="15" customHeight="1" x14ac:dyDescent="0.25">
      <c r="B34" s="20"/>
      <c r="C34" s="5" t="s">
        <v>200</v>
      </c>
      <c r="D34" s="6" t="s">
        <v>46</v>
      </c>
      <c r="E34" s="11">
        <v>1.1443999999999999E-2</v>
      </c>
      <c r="F34" s="1"/>
      <c r="G34" s="1"/>
      <c r="H34" s="1"/>
      <c r="I34" s="1"/>
      <c r="J34" s="1"/>
      <c r="K34" s="1"/>
      <c r="L34" s="1"/>
      <c r="M34" s="1"/>
      <c r="N34" s="18"/>
    </row>
    <row r="35" spans="2:14" ht="15.75" customHeight="1" x14ac:dyDescent="0.25">
      <c r="B35" s="20"/>
      <c r="C35" s="5" t="s">
        <v>190</v>
      </c>
      <c r="D35" s="6" t="s">
        <v>46</v>
      </c>
      <c r="E35" s="11">
        <v>9.7280000000000005E-3</v>
      </c>
      <c r="F35" s="1"/>
      <c r="G35" s="1"/>
      <c r="H35" s="1"/>
      <c r="I35" s="1"/>
      <c r="J35" s="1"/>
      <c r="K35" s="1"/>
      <c r="L35" s="1"/>
      <c r="M35" s="1"/>
      <c r="N35" s="18"/>
    </row>
    <row r="36" spans="2:14" ht="15" customHeight="1" x14ac:dyDescent="0.25">
      <c r="B36" s="20"/>
      <c r="C36" s="5" t="s">
        <v>193</v>
      </c>
      <c r="D36" s="6" t="s">
        <v>46</v>
      </c>
      <c r="E36" s="11">
        <v>7.7619999999999998E-3</v>
      </c>
      <c r="F36" s="1"/>
      <c r="G36" s="1"/>
      <c r="H36" s="1"/>
      <c r="I36" s="1"/>
      <c r="J36" s="1"/>
      <c r="K36" s="1"/>
      <c r="L36" s="1"/>
      <c r="M36" s="1"/>
      <c r="N36" s="18"/>
    </row>
    <row r="37" spans="2:14" ht="15" customHeight="1" x14ac:dyDescent="0.25">
      <c r="B37" s="20"/>
      <c r="C37" s="5" t="s">
        <v>192</v>
      </c>
      <c r="D37" s="6" t="s">
        <v>46</v>
      </c>
      <c r="E37" s="11">
        <v>6.8339999999999998E-3</v>
      </c>
      <c r="F37" s="1"/>
      <c r="G37" s="1"/>
      <c r="H37" s="1"/>
      <c r="I37" s="1"/>
      <c r="J37" s="1"/>
      <c r="K37" s="1"/>
      <c r="L37" s="1"/>
      <c r="M37" s="1"/>
      <c r="N37" s="18"/>
    </row>
    <row r="38" spans="2:14" ht="15" customHeight="1" x14ac:dyDescent="0.25">
      <c r="B38" s="20"/>
      <c r="C38" s="5" t="s">
        <v>198</v>
      </c>
      <c r="D38" s="6" t="s">
        <v>46</v>
      </c>
      <c r="E38" s="11">
        <v>6.7939999999999997E-3</v>
      </c>
      <c r="F38" s="1"/>
      <c r="G38" s="1"/>
      <c r="H38" s="1"/>
      <c r="I38" s="1"/>
      <c r="J38" s="1"/>
      <c r="K38" s="1"/>
      <c r="L38" s="1"/>
      <c r="M38" s="1"/>
      <c r="N38" s="18"/>
    </row>
    <row r="39" spans="2:14" ht="15" customHeight="1" x14ac:dyDescent="0.25">
      <c r="B39" s="20"/>
      <c r="C39" s="5" t="s">
        <v>197</v>
      </c>
      <c r="D39" s="6" t="s">
        <v>46</v>
      </c>
      <c r="E39" s="11">
        <v>6.7930000000000004E-3</v>
      </c>
      <c r="F39" s="1"/>
      <c r="G39" s="1"/>
      <c r="H39" s="1"/>
      <c r="I39" s="1"/>
      <c r="J39" s="1"/>
      <c r="K39" s="1"/>
      <c r="L39" s="1"/>
      <c r="M39" s="1"/>
      <c r="N39" s="18"/>
    </row>
    <row r="40" spans="2:14" ht="15" customHeight="1" x14ac:dyDescent="0.25">
      <c r="B40" s="20"/>
      <c r="C40" s="5" t="s">
        <v>194</v>
      </c>
      <c r="D40" s="6" t="s">
        <v>46</v>
      </c>
      <c r="E40" s="11">
        <v>4.8760000000000001E-3</v>
      </c>
      <c r="F40" s="1"/>
      <c r="G40" s="1"/>
      <c r="H40" s="1"/>
      <c r="I40" s="1"/>
      <c r="J40" s="1"/>
      <c r="K40" s="1"/>
      <c r="L40" s="1"/>
      <c r="M40" s="1"/>
      <c r="N40" s="18"/>
    </row>
    <row r="41" spans="2:14" ht="15" customHeight="1" x14ac:dyDescent="0.25">
      <c r="B41" s="20"/>
      <c r="C41" s="5" t="s">
        <v>189</v>
      </c>
      <c r="D41" s="6" t="s">
        <v>46</v>
      </c>
      <c r="E41" s="11">
        <v>4.8539999999999998E-3</v>
      </c>
      <c r="F41" s="1"/>
      <c r="G41" s="1"/>
      <c r="H41" s="1"/>
      <c r="I41" s="1"/>
      <c r="J41" s="1"/>
      <c r="K41" s="1"/>
      <c r="L41" s="1"/>
      <c r="M41" s="1"/>
      <c r="N41" s="18"/>
    </row>
    <row r="42" spans="2:14" ht="15" customHeight="1" x14ac:dyDescent="0.25">
      <c r="B42" s="20"/>
      <c r="C42" s="5" t="s">
        <v>205</v>
      </c>
      <c r="D42" s="6" t="s">
        <v>46</v>
      </c>
      <c r="E42" s="11">
        <v>4.8510000000000003E-3</v>
      </c>
      <c r="F42" s="1"/>
      <c r="G42" s="1"/>
      <c r="H42" s="1"/>
      <c r="I42" s="1"/>
      <c r="J42" s="1"/>
      <c r="K42" s="1"/>
      <c r="L42" s="1"/>
      <c r="M42" s="1"/>
      <c r="N42" s="18"/>
    </row>
    <row r="43" spans="2:14" ht="15" customHeight="1" x14ac:dyDescent="0.25">
      <c r="B43" s="20"/>
      <c r="C43" s="5" t="s">
        <v>196</v>
      </c>
      <c r="D43" s="6" t="s">
        <v>46</v>
      </c>
      <c r="E43" s="11">
        <v>2.9239999999999999E-3</v>
      </c>
      <c r="F43" s="1"/>
      <c r="G43" s="1"/>
      <c r="H43" s="1"/>
      <c r="I43" s="1"/>
      <c r="J43" s="1"/>
      <c r="K43" s="1"/>
      <c r="L43" s="1"/>
      <c r="M43" s="1"/>
      <c r="N43" s="18"/>
    </row>
    <row r="44" spans="2:14" ht="15" customHeight="1" x14ac:dyDescent="0.25">
      <c r="B44" s="20"/>
      <c r="C44" s="5" t="s">
        <v>195</v>
      </c>
      <c r="D44" s="6" t="s">
        <v>46</v>
      </c>
      <c r="E44" s="11">
        <v>1.9449999999999999E-3</v>
      </c>
      <c r="F44" s="1"/>
      <c r="G44" s="1"/>
      <c r="H44" s="1"/>
      <c r="I44" s="1"/>
      <c r="J44" s="1"/>
      <c r="K44" s="1"/>
      <c r="L44" s="1"/>
      <c r="M44" s="1"/>
      <c r="N44" s="18"/>
    </row>
    <row r="45" spans="2:14" ht="15" customHeight="1" x14ac:dyDescent="0.25">
      <c r="B45" s="20"/>
      <c r="C45" s="5" t="s">
        <v>204</v>
      </c>
      <c r="D45" s="6" t="s">
        <v>46</v>
      </c>
      <c r="E45" s="11">
        <v>2.8800000000000001E-4</v>
      </c>
      <c r="F45" s="1"/>
      <c r="G45" s="1"/>
      <c r="H45" s="1"/>
      <c r="I45" s="1"/>
      <c r="J45" s="1"/>
      <c r="K45" s="1"/>
      <c r="L45" s="1"/>
      <c r="M45" s="1"/>
      <c r="N45" s="18"/>
    </row>
    <row r="46" spans="2:14" ht="15" customHeight="1" x14ac:dyDescent="0.25">
      <c r="B46" s="20"/>
      <c r="C46" s="7" t="s">
        <v>51</v>
      </c>
      <c r="D46" s="8"/>
      <c r="E46" s="12">
        <v>0.23835300000000001</v>
      </c>
      <c r="F46" s="1"/>
      <c r="G46" s="1"/>
      <c r="H46" s="1"/>
      <c r="I46" s="1"/>
      <c r="J46" s="1"/>
      <c r="K46" s="1"/>
      <c r="L46" s="1"/>
      <c r="M46" s="1"/>
      <c r="N46" s="18"/>
    </row>
    <row r="47" spans="2:14" ht="15" customHeight="1" x14ac:dyDescent="0.25">
      <c r="B47" s="20"/>
      <c r="C47" s="5" t="s">
        <v>167</v>
      </c>
      <c r="D47" s="6" t="s">
        <v>46</v>
      </c>
      <c r="E47" s="11">
        <v>1.76E-4</v>
      </c>
      <c r="F47" s="1"/>
      <c r="G47" s="1"/>
      <c r="H47" s="1"/>
      <c r="I47" s="1"/>
      <c r="J47" s="1"/>
      <c r="K47" s="1"/>
      <c r="L47" s="1"/>
      <c r="M47" s="1"/>
      <c r="N47" s="18"/>
    </row>
    <row r="48" spans="2:14" ht="15" customHeight="1" x14ac:dyDescent="0.25">
      <c r="B48" s="20"/>
      <c r="C48" s="7" t="s">
        <v>90</v>
      </c>
      <c r="D48" s="8"/>
      <c r="E48" s="12">
        <v>1.76E-4</v>
      </c>
      <c r="F48" s="1"/>
      <c r="G48" s="1"/>
      <c r="H48" s="1"/>
      <c r="I48" s="1"/>
      <c r="J48" s="1"/>
      <c r="K48" s="1"/>
      <c r="L48" s="1"/>
      <c r="M48" s="1"/>
      <c r="N48" s="18"/>
    </row>
    <row r="49" spans="2:14" ht="15" customHeight="1" x14ac:dyDescent="0.25">
      <c r="B49" s="20"/>
      <c r="C49" s="5" t="s">
        <v>9</v>
      </c>
      <c r="D49" s="6"/>
      <c r="E49" s="11">
        <v>3.4062000000000002E-2</v>
      </c>
      <c r="F49" s="1"/>
      <c r="G49" s="1"/>
      <c r="H49" s="1"/>
      <c r="I49" s="1"/>
      <c r="J49" s="1"/>
      <c r="K49" s="1"/>
      <c r="L49" s="1"/>
      <c r="M49" s="1"/>
      <c r="N49" s="18"/>
    </row>
    <row r="50" spans="2:14" ht="15" customHeight="1" x14ac:dyDescent="0.25">
      <c r="B50" s="20"/>
      <c r="C50" s="7" t="s">
        <v>10</v>
      </c>
      <c r="D50" s="8"/>
      <c r="E50" s="12">
        <v>3.4062000000000002E-2</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7" t="s">
        <v>11</v>
      </c>
      <c r="D52" s="8"/>
      <c r="E52" s="12">
        <v>-1.5579999999999999E-3</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9" t="s">
        <v>12</v>
      </c>
      <c r="D54" s="10"/>
      <c r="E54" s="13">
        <v>1</v>
      </c>
      <c r="F54" s="1"/>
      <c r="G54" s="1"/>
      <c r="H54" s="1"/>
      <c r="I54" s="1"/>
      <c r="J54" s="1"/>
      <c r="K54" s="1"/>
      <c r="L54" s="1"/>
      <c r="M54" s="1"/>
      <c r="N54" s="18"/>
    </row>
    <row r="55" spans="2:14" ht="15" customHeight="1" x14ac:dyDescent="0.25">
      <c r="B55" s="20"/>
      <c r="C55" s="1"/>
      <c r="D55" s="1"/>
      <c r="E55" s="1"/>
      <c r="F55" s="1"/>
      <c r="G55" s="1"/>
      <c r="H55" s="1"/>
      <c r="I55" s="1"/>
      <c r="J55" s="1"/>
      <c r="K55" s="1"/>
      <c r="L55" s="1"/>
      <c r="M55" s="1"/>
      <c r="N55" s="18"/>
    </row>
    <row r="56" spans="2:14" ht="15" customHeight="1" thickBot="1" x14ac:dyDescent="0.3">
      <c r="B56" s="21"/>
      <c r="C56" s="22"/>
      <c r="D56" s="22"/>
      <c r="E56" s="22"/>
      <c r="F56" s="22"/>
      <c r="G56" s="22"/>
      <c r="H56" s="22"/>
      <c r="I56" s="22"/>
      <c r="J56" s="22"/>
      <c r="K56" s="22"/>
      <c r="L56" s="22"/>
      <c r="M56" s="22"/>
      <c r="N56" s="23"/>
    </row>
    <row r="57" spans="2:14" ht="15" customHeight="1" thickBot="1" x14ac:dyDescent="0.3"/>
    <row r="58" spans="2:14" ht="131.25" customHeight="1" thickBot="1" x14ac:dyDescent="0.3">
      <c r="B58" s="41" t="s">
        <v>184</v>
      </c>
      <c r="C58" s="42"/>
      <c r="D58" s="42"/>
      <c r="E58" s="42"/>
      <c r="F58" s="42"/>
      <c r="G58" s="42"/>
      <c r="H58" s="42"/>
      <c r="I58" s="42"/>
      <c r="J58" s="42"/>
      <c r="K58" s="42"/>
      <c r="L58" s="42"/>
      <c r="M58" s="42"/>
      <c r="N58" s="43"/>
    </row>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sortState ref="C28:E45">
    <sortCondition descending="1" ref="E28"/>
  </sortState>
  <mergeCells count="6">
    <mergeCell ref="B58:N58"/>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EDC2-866F-4F7D-AE23-6F01563FC07E}">
  <dimension ref="B1:N6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168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169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26</v>
      </c>
      <c r="D8" s="6" t="s">
        <v>23</v>
      </c>
      <c r="E8" s="11">
        <v>0.118934</v>
      </c>
      <c r="F8" s="1"/>
      <c r="G8" s="24" t="s">
        <v>16</v>
      </c>
      <c r="H8" s="25">
        <v>1</v>
      </c>
      <c r="I8" s="1"/>
      <c r="J8" s="24" t="s">
        <v>13</v>
      </c>
      <c r="K8" s="24" t="s">
        <v>5</v>
      </c>
      <c r="L8" s="1"/>
      <c r="M8" s="1"/>
      <c r="N8" s="18"/>
    </row>
    <row r="9" spans="2:14" ht="15" customHeight="1" x14ac:dyDescent="0.25">
      <c r="B9" s="20"/>
      <c r="C9" s="5" t="s">
        <v>36</v>
      </c>
      <c r="D9" s="6" t="s">
        <v>23</v>
      </c>
      <c r="E9" s="11">
        <v>0.10478</v>
      </c>
      <c r="F9" s="1"/>
      <c r="G9" s="1"/>
      <c r="H9" s="1"/>
      <c r="I9" s="1"/>
      <c r="J9" s="24" t="s">
        <v>11</v>
      </c>
      <c r="K9" s="28">
        <v>-3.9962999999999999E-2</v>
      </c>
      <c r="L9" s="1"/>
      <c r="M9" s="1"/>
      <c r="N9" s="18"/>
    </row>
    <row r="10" spans="2:14" ht="15" customHeight="1" x14ac:dyDescent="0.25">
      <c r="B10" s="20"/>
      <c r="C10" s="5" t="s">
        <v>100</v>
      </c>
      <c r="D10" s="6" t="s">
        <v>23</v>
      </c>
      <c r="E10" s="11">
        <v>5.3532999999999997E-2</v>
      </c>
      <c r="F10" s="1"/>
      <c r="G10" s="1"/>
      <c r="H10" s="1"/>
      <c r="I10" s="1"/>
      <c r="J10" s="24" t="s">
        <v>14</v>
      </c>
      <c r="K10" s="28">
        <v>4.6398000000000002E-2</v>
      </c>
      <c r="L10" s="1"/>
      <c r="M10" s="1"/>
      <c r="N10" s="18"/>
    </row>
    <row r="11" spans="2:14" ht="15" customHeight="1" x14ac:dyDescent="0.25">
      <c r="B11" s="20"/>
      <c r="C11" s="5" t="s">
        <v>29</v>
      </c>
      <c r="D11" s="6" t="s">
        <v>23</v>
      </c>
      <c r="E11" s="11">
        <v>4.8612000000000002E-2</v>
      </c>
      <c r="F11" s="1"/>
      <c r="G11" s="1"/>
      <c r="H11" s="1"/>
      <c r="I11" s="1"/>
      <c r="J11" s="24" t="s">
        <v>52</v>
      </c>
      <c r="K11" s="28">
        <v>0.52530900000000003</v>
      </c>
      <c r="L11" s="1"/>
      <c r="M11" s="1"/>
      <c r="N11" s="18"/>
    </row>
    <row r="12" spans="2:14" ht="15" customHeight="1" x14ac:dyDescent="0.25">
      <c r="B12" s="20"/>
      <c r="C12" s="5" t="s">
        <v>145</v>
      </c>
      <c r="D12" s="6" t="s">
        <v>23</v>
      </c>
      <c r="E12" s="11">
        <v>4.6378000000000003E-2</v>
      </c>
      <c r="F12" s="1"/>
      <c r="G12" s="1"/>
      <c r="H12" s="1"/>
      <c r="I12" s="1"/>
      <c r="J12" s="24" t="s">
        <v>77</v>
      </c>
      <c r="K12" s="28">
        <v>0.28822700000000001</v>
      </c>
      <c r="L12" s="1"/>
      <c r="M12" s="1"/>
      <c r="N12" s="18"/>
    </row>
    <row r="13" spans="2:14" ht="15" customHeight="1" x14ac:dyDescent="0.25">
      <c r="B13" s="20"/>
      <c r="C13" s="5" t="s">
        <v>41</v>
      </c>
      <c r="D13" s="6" t="s">
        <v>23</v>
      </c>
      <c r="E13" s="11">
        <v>3.7988000000000001E-2</v>
      </c>
      <c r="F13" s="1"/>
      <c r="G13" s="1"/>
      <c r="H13" s="1"/>
      <c r="I13" s="1"/>
      <c r="J13" s="24" t="s">
        <v>55</v>
      </c>
      <c r="K13" s="28">
        <v>2.3567000000000001E-2</v>
      </c>
      <c r="L13" s="1"/>
      <c r="M13" s="1"/>
      <c r="N13" s="18"/>
    </row>
    <row r="14" spans="2:14" ht="15" customHeight="1" x14ac:dyDescent="0.25">
      <c r="B14" s="20"/>
      <c r="C14" s="5" t="s">
        <v>30</v>
      </c>
      <c r="D14" s="6" t="s">
        <v>23</v>
      </c>
      <c r="E14" s="11">
        <v>3.0509999999999999E-2</v>
      </c>
      <c r="F14" s="1"/>
      <c r="G14" s="1"/>
      <c r="H14" s="1"/>
      <c r="I14" s="1"/>
      <c r="J14" s="24" t="s">
        <v>92</v>
      </c>
      <c r="K14" s="28">
        <v>0.15646199999999999</v>
      </c>
      <c r="L14" s="1"/>
      <c r="M14" s="1"/>
      <c r="N14" s="18"/>
    </row>
    <row r="15" spans="2:14" ht="15" customHeight="1" x14ac:dyDescent="0.25">
      <c r="B15" s="20"/>
      <c r="C15" s="5" t="s">
        <v>101</v>
      </c>
      <c r="D15" s="6" t="s">
        <v>23</v>
      </c>
      <c r="E15" s="11">
        <v>3.0329999999999999E-2</v>
      </c>
      <c r="F15" s="1"/>
      <c r="G15" s="1"/>
      <c r="H15" s="1"/>
      <c r="I15" s="1"/>
      <c r="J15" s="1"/>
      <c r="K15" s="1"/>
      <c r="L15" s="1"/>
      <c r="M15" s="1"/>
      <c r="N15" s="18"/>
    </row>
    <row r="16" spans="2:14" ht="15" customHeight="1" x14ac:dyDescent="0.25">
      <c r="B16" s="20"/>
      <c r="C16" s="5" t="s">
        <v>24</v>
      </c>
      <c r="D16" s="6" t="s">
        <v>23</v>
      </c>
      <c r="E16" s="11">
        <v>2.9909999999999999E-2</v>
      </c>
      <c r="F16" s="1"/>
      <c r="G16" s="1"/>
      <c r="H16" s="1"/>
      <c r="I16" s="1"/>
      <c r="J16" s="1"/>
      <c r="K16" s="1"/>
      <c r="L16" s="1"/>
      <c r="M16" s="1"/>
      <c r="N16" s="18"/>
    </row>
    <row r="17" spans="2:14" ht="15" customHeight="1" x14ac:dyDescent="0.25">
      <c r="B17" s="20"/>
      <c r="C17" s="5" t="s">
        <v>22</v>
      </c>
      <c r="D17" s="6" t="s">
        <v>23</v>
      </c>
      <c r="E17" s="11">
        <v>2.4334000000000001E-2</v>
      </c>
      <c r="F17" s="1"/>
      <c r="G17" s="1"/>
      <c r="H17" s="1"/>
      <c r="I17" s="1"/>
      <c r="J17" s="1"/>
      <c r="K17" s="1"/>
      <c r="L17" s="1"/>
      <c r="M17" s="1"/>
      <c r="N17" s="18"/>
    </row>
    <row r="18" spans="2:14" ht="15.75" customHeight="1" x14ac:dyDescent="0.25">
      <c r="B18" s="20"/>
      <c r="C18" s="7" t="s">
        <v>25</v>
      </c>
      <c r="D18" s="8"/>
      <c r="E18" s="12">
        <v>0.52530900000000003</v>
      </c>
      <c r="F18" s="1"/>
      <c r="G18" s="1"/>
      <c r="H18" s="1"/>
      <c r="I18" s="1"/>
      <c r="J18" s="1"/>
      <c r="K18" s="1"/>
      <c r="L18" s="1"/>
      <c r="M18" s="1"/>
      <c r="N18" s="18"/>
    </row>
    <row r="19" spans="2:14" ht="15" customHeight="1" x14ac:dyDescent="0.25">
      <c r="B19" s="20"/>
      <c r="C19" s="5" t="s">
        <v>30</v>
      </c>
      <c r="D19" s="6" t="s">
        <v>23</v>
      </c>
      <c r="E19" s="11">
        <v>7.5978000000000004E-2</v>
      </c>
      <c r="F19" s="1"/>
      <c r="G19" s="1"/>
      <c r="H19" s="1"/>
      <c r="I19" s="1"/>
      <c r="J19" s="1"/>
      <c r="K19" s="1"/>
      <c r="L19" s="1"/>
      <c r="M19" s="1"/>
      <c r="N19" s="18"/>
    </row>
    <row r="20" spans="2:14" ht="15" customHeight="1" x14ac:dyDescent="0.25">
      <c r="B20" s="20"/>
      <c r="C20" s="5" t="s">
        <v>29</v>
      </c>
      <c r="D20" s="6" t="s">
        <v>23</v>
      </c>
      <c r="E20" s="11">
        <v>6.8788000000000002E-2</v>
      </c>
      <c r="F20" s="1"/>
      <c r="G20" s="1"/>
      <c r="H20" s="1"/>
      <c r="I20" s="1"/>
      <c r="J20" s="1"/>
      <c r="K20" s="1"/>
      <c r="L20" s="1"/>
      <c r="M20" s="1"/>
      <c r="N20" s="18"/>
    </row>
    <row r="21" spans="2:14" ht="15" customHeight="1" x14ac:dyDescent="0.25">
      <c r="B21" s="20"/>
      <c r="C21" s="5" t="s">
        <v>154</v>
      </c>
      <c r="D21" s="6" t="s">
        <v>23</v>
      </c>
      <c r="E21" s="11">
        <v>5.2916999999999999E-2</v>
      </c>
      <c r="F21" s="1"/>
      <c r="G21" s="1"/>
      <c r="H21" s="1"/>
      <c r="I21" s="1"/>
      <c r="J21" s="1"/>
      <c r="K21" s="1"/>
      <c r="L21" s="1"/>
      <c r="M21" s="1"/>
      <c r="N21" s="18"/>
    </row>
    <row r="22" spans="2:14" ht="15" customHeight="1" x14ac:dyDescent="0.25">
      <c r="B22" s="20"/>
      <c r="C22" s="5" t="s">
        <v>33</v>
      </c>
      <c r="D22" s="6" t="s">
        <v>23</v>
      </c>
      <c r="E22" s="11">
        <v>3.0195E-2</v>
      </c>
      <c r="F22" s="1"/>
      <c r="G22" s="1"/>
      <c r="H22" s="1"/>
      <c r="I22" s="1"/>
      <c r="J22" s="1"/>
      <c r="K22" s="1"/>
      <c r="L22" s="1"/>
      <c r="M22" s="1"/>
      <c r="N22" s="18"/>
    </row>
    <row r="23" spans="2:14" ht="15" customHeight="1" x14ac:dyDescent="0.25">
      <c r="B23" s="20"/>
      <c r="C23" s="5" t="s">
        <v>170</v>
      </c>
      <c r="D23" s="6" t="s">
        <v>23</v>
      </c>
      <c r="E23" s="11">
        <v>2.2370000000000001E-2</v>
      </c>
      <c r="F23" s="1"/>
      <c r="G23" s="1"/>
      <c r="H23" s="1"/>
      <c r="I23" s="1"/>
      <c r="J23" s="1"/>
      <c r="K23" s="1"/>
      <c r="L23" s="1"/>
      <c r="M23" s="1"/>
      <c r="N23" s="18"/>
    </row>
    <row r="24" spans="2:14" ht="15" customHeight="1" x14ac:dyDescent="0.25">
      <c r="B24" s="20"/>
      <c r="C24" s="5" t="s">
        <v>74</v>
      </c>
      <c r="D24" s="6" t="s">
        <v>23</v>
      </c>
      <c r="E24" s="11">
        <v>1.5337999999999999E-2</v>
      </c>
      <c r="F24" s="1"/>
      <c r="G24" s="49" t="s">
        <v>127</v>
      </c>
      <c r="H24" s="50"/>
      <c r="I24" s="50"/>
      <c r="J24" s="50"/>
      <c r="K24" s="50"/>
      <c r="L24" s="100">
        <v>143.11970235477318</v>
      </c>
      <c r="M24" s="26"/>
      <c r="N24" s="27"/>
    </row>
    <row r="25" spans="2:14" ht="15" customHeight="1" x14ac:dyDescent="0.25">
      <c r="B25" s="20"/>
      <c r="C25" s="5" t="s">
        <v>152</v>
      </c>
      <c r="D25" s="6" t="s">
        <v>23</v>
      </c>
      <c r="E25" s="11">
        <v>1.5092E-2</v>
      </c>
      <c r="F25" s="1"/>
      <c r="G25" s="1"/>
      <c r="H25" s="1"/>
      <c r="I25" s="1"/>
      <c r="J25" s="1"/>
      <c r="K25" s="1"/>
      <c r="L25" s="1"/>
      <c r="M25" s="1"/>
      <c r="N25" s="18"/>
    </row>
    <row r="26" spans="2:14" ht="15" customHeight="1" x14ac:dyDescent="0.25">
      <c r="B26" s="20"/>
      <c r="C26" s="5" t="s">
        <v>73</v>
      </c>
      <c r="D26" s="6" t="s">
        <v>23</v>
      </c>
      <c r="E26" s="11">
        <v>7.5490000000000002E-3</v>
      </c>
      <c r="F26" s="1"/>
      <c r="G26" s="49" t="s">
        <v>19</v>
      </c>
      <c r="H26" s="50"/>
      <c r="I26" s="50"/>
      <c r="J26" s="50"/>
      <c r="K26" s="50"/>
      <c r="L26" s="50"/>
      <c r="M26" s="50"/>
      <c r="N26" s="51"/>
    </row>
    <row r="27" spans="2:14" ht="15.75" customHeight="1" x14ac:dyDescent="0.25">
      <c r="B27" s="20"/>
      <c r="C27" s="7" t="s">
        <v>75</v>
      </c>
      <c r="D27" s="8"/>
      <c r="E27" s="12">
        <v>0.28822700000000001</v>
      </c>
      <c r="F27" s="1"/>
      <c r="G27" s="1"/>
      <c r="H27" s="1"/>
      <c r="I27" s="1"/>
      <c r="J27" s="1"/>
      <c r="K27" s="1"/>
      <c r="L27" s="1"/>
      <c r="M27" s="1"/>
      <c r="N27" s="18"/>
    </row>
    <row r="28" spans="2:14" ht="15" customHeight="1" x14ac:dyDescent="0.25">
      <c r="B28" s="20"/>
      <c r="C28" s="5" t="s">
        <v>209</v>
      </c>
      <c r="D28" s="6" t="s">
        <v>46</v>
      </c>
      <c r="E28" s="11">
        <v>9.4039999999999992E-3</v>
      </c>
      <c r="F28" s="1"/>
      <c r="G28" s="1"/>
      <c r="H28" s="1"/>
      <c r="I28" s="1"/>
      <c r="J28" s="1"/>
      <c r="K28" s="1"/>
      <c r="L28" s="1"/>
      <c r="M28" s="1"/>
      <c r="N28" s="18"/>
    </row>
    <row r="29" spans="2:14" ht="15.75" customHeight="1" x14ac:dyDescent="0.25">
      <c r="B29" s="20"/>
      <c r="C29" s="5" t="s">
        <v>207</v>
      </c>
      <c r="D29" s="6" t="s">
        <v>46</v>
      </c>
      <c r="E29" s="11">
        <v>7.8639999999999995E-3</v>
      </c>
      <c r="F29" s="1"/>
      <c r="G29" s="1"/>
      <c r="H29" s="1"/>
      <c r="I29" s="1"/>
      <c r="J29" s="1"/>
      <c r="K29" s="1"/>
      <c r="L29" s="1"/>
      <c r="M29" s="1"/>
      <c r="N29" s="18"/>
    </row>
    <row r="30" spans="2:14" ht="15" customHeight="1" x14ac:dyDescent="0.25">
      <c r="B30" s="20"/>
      <c r="C30" s="5" t="s">
        <v>208</v>
      </c>
      <c r="D30" s="6" t="s">
        <v>46</v>
      </c>
      <c r="E30" s="11">
        <v>6.2989999999999999E-3</v>
      </c>
      <c r="F30" s="1"/>
      <c r="G30" s="1"/>
      <c r="H30" s="1"/>
      <c r="I30" s="1"/>
      <c r="J30" s="1"/>
      <c r="K30" s="1"/>
      <c r="L30" s="1"/>
      <c r="M30" s="1"/>
      <c r="N30" s="18"/>
    </row>
    <row r="31" spans="2:14" ht="15" customHeight="1" x14ac:dyDescent="0.25">
      <c r="B31" s="20"/>
      <c r="C31" s="7" t="s">
        <v>51</v>
      </c>
      <c r="D31" s="8"/>
      <c r="E31" s="12">
        <v>2.3567000000000001E-2</v>
      </c>
      <c r="F31" s="1"/>
      <c r="G31" s="1"/>
      <c r="H31" s="1"/>
      <c r="I31" s="1"/>
      <c r="J31" s="1"/>
      <c r="K31" s="1"/>
      <c r="L31" s="1"/>
      <c r="M31" s="1"/>
      <c r="N31" s="18"/>
    </row>
    <row r="32" spans="2:14" ht="15" customHeight="1" x14ac:dyDescent="0.25">
      <c r="B32" s="20"/>
      <c r="C32" s="5" t="s">
        <v>171</v>
      </c>
      <c r="D32" s="6" t="s">
        <v>46</v>
      </c>
      <c r="E32" s="11">
        <v>4.3837000000000001E-2</v>
      </c>
      <c r="F32" s="1"/>
      <c r="G32" s="1"/>
      <c r="H32" s="1"/>
      <c r="I32" s="1"/>
      <c r="J32" s="1"/>
      <c r="K32" s="1"/>
      <c r="L32" s="1"/>
      <c r="M32" s="1"/>
      <c r="N32" s="18"/>
    </row>
    <row r="33" spans="2:14" ht="15" customHeight="1" x14ac:dyDescent="0.25">
      <c r="B33" s="20"/>
      <c r="C33" s="5" t="s">
        <v>167</v>
      </c>
      <c r="D33" s="6" t="s">
        <v>46</v>
      </c>
      <c r="E33" s="11">
        <v>3.0401000000000001E-2</v>
      </c>
      <c r="F33" s="1"/>
      <c r="G33" s="1"/>
      <c r="H33" s="1"/>
      <c r="I33" s="1"/>
      <c r="J33" s="1"/>
      <c r="K33" s="1"/>
      <c r="L33" s="1"/>
      <c r="M33" s="1"/>
      <c r="N33" s="18"/>
    </row>
    <row r="34" spans="2:14" ht="15" customHeight="1" x14ac:dyDescent="0.25">
      <c r="B34" s="20"/>
      <c r="C34" s="5" t="s">
        <v>89</v>
      </c>
      <c r="D34" s="6" t="s">
        <v>46</v>
      </c>
      <c r="E34" s="11">
        <v>2.5805000000000002E-2</v>
      </c>
      <c r="F34" s="1"/>
      <c r="G34" s="1"/>
      <c r="H34" s="1"/>
      <c r="I34" s="1"/>
      <c r="J34" s="1"/>
      <c r="K34" s="1"/>
      <c r="L34" s="1"/>
      <c r="M34" s="1"/>
      <c r="N34" s="18"/>
    </row>
    <row r="35" spans="2:14" ht="15" customHeight="1" x14ac:dyDescent="0.25">
      <c r="B35" s="20"/>
      <c r="C35" s="5" t="s">
        <v>172</v>
      </c>
      <c r="D35" s="6" t="s">
        <v>46</v>
      </c>
      <c r="E35" s="11">
        <v>2.4379999999999999E-2</v>
      </c>
      <c r="F35" s="1"/>
      <c r="G35" s="1"/>
      <c r="H35" s="1"/>
      <c r="I35" s="1"/>
      <c r="J35" s="1"/>
      <c r="K35" s="1"/>
      <c r="L35" s="1"/>
      <c r="M35" s="1"/>
      <c r="N35" s="18"/>
    </row>
    <row r="36" spans="2:14" ht="15" customHeight="1" x14ac:dyDescent="0.25">
      <c r="B36" s="20"/>
      <c r="C36" s="5" t="s">
        <v>173</v>
      </c>
      <c r="D36" s="6" t="s">
        <v>46</v>
      </c>
      <c r="E36" s="11">
        <v>1.5221E-2</v>
      </c>
      <c r="F36" s="1"/>
      <c r="G36" s="1"/>
      <c r="H36" s="1"/>
      <c r="I36" s="1"/>
      <c r="J36" s="1"/>
      <c r="K36" s="1"/>
      <c r="L36" s="1"/>
      <c r="M36" s="1"/>
      <c r="N36" s="18"/>
    </row>
    <row r="37" spans="2:14" ht="15.75" customHeight="1" x14ac:dyDescent="0.25">
      <c r="B37" s="20"/>
      <c r="C37" s="5" t="s">
        <v>174</v>
      </c>
      <c r="D37" s="6" t="s">
        <v>46</v>
      </c>
      <c r="E37" s="11">
        <v>9.1559999999999992E-3</v>
      </c>
      <c r="F37" s="1"/>
      <c r="G37" s="1"/>
      <c r="H37" s="1"/>
      <c r="I37" s="1"/>
      <c r="J37" s="1"/>
      <c r="K37" s="1"/>
      <c r="L37" s="1"/>
      <c r="M37" s="1"/>
      <c r="N37" s="18"/>
    </row>
    <row r="38" spans="2:14" ht="15" customHeight="1" x14ac:dyDescent="0.25">
      <c r="B38" s="20"/>
      <c r="C38" s="5" t="s">
        <v>175</v>
      </c>
      <c r="D38" s="6" t="s">
        <v>46</v>
      </c>
      <c r="E38" s="11">
        <v>7.6620000000000004E-3</v>
      </c>
      <c r="F38" s="1"/>
      <c r="G38" s="1"/>
      <c r="H38" s="1"/>
      <c r="I38" s="1"/>
      <c r="J38" s="1"/>
      <c r="K38" s="1"/>
      <c r="L38" s="1"/>
      <c r="M38" s="1"/>
      <c r="N38" s="18"/>
    </row>
    <row r="39" spans="2:14" ht="15.75" customHeight="1" x14ac:dyDescent="0.25">
      <c r="B39" s="20"/>
      <c r="C39" s="7" t="s">
        <v>90</v>
      </c>
      <c r="D39" s="8"/>
      <c r="E39" s="12">
        <v>0.15646199999999999</v>
      </c>
      <c r="F39" s="1"/>
      <c r="G39" s="1"/>
      <c r="H39" s="1"/>
      <c r="I39" s="1"/>
      <c r="J39" s="1"/>
      <c r="K39" s="1"/>
      <c r="L39" s="1"/>
      <c r="M39" s="1"/>
      <c r="N39" s="18"/>
    </row>
    <row r="40" spans="2:14" ht="15" customHeight="1" x14ac:dyDescent="0.25">
      <c r="B40" s="20"/>
      <c r="C40" s="5" t="s">
        <v>9</v>
      </c>
      <c r="D40" s="6"/>
      <c r="E40" s="11">
        <v>4.6398000000000002E-2</v>
      </c>
      <c r="F40" s="1"/>
      <c r="G40" s="1"/>
      <c r="H40" s="1"/>
      <c r="I40" s="1"/>
      <c r="J40" s="1"/>
      <c r="K40" s="1"/>
      <c r="L40" s="1"/>
      <c r="M40" s="1"/>
      <c r="N40" s="18"/>
    </row>
    <row r="41" spans="2:14" ht="15.75" customHeight="1" x14ac:dyDescent="0.25">
      <c r="B41" s="20"/>
      <c r="C41" s="7" t="s">
        <v>10</v>
      </c>
      <c r="D41" s="8"/>
      <c r="E41" s="12">
        <v>4.6398000000000002E-2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7" t="s">
        <v>11</v>
      </c>
      <c r="D43" s="8"/>
      <c r="E43" s="12">
        <v>-3.9962999999999999E-2</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9" t="s">
        <v>12</v>
      </c>
      <c r="D45" s="10"/>
      <c r="E45" s="13">
        <v>1</v>
      </c>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21.5" customHeight="1" thickBot="1" x14ac:dyDescent="0.3">
      <c r="B49" s="41" t="s">
        <v>184</v>
      </c>
      <c r="C49" s="42"/>
      <c r="D49" s="42"/>
      <c r="E49" s="42"/>
      <c r="F49" s="42"/>
      <c r="G49" s="42"/>
      <c r="H49" s="42"/>
      <c r="I49" s="42"/>
      <c r="J49" s="42"/>
      <c r="K49" s="42"/>
      <c r="L49" s="42"/>
      <c r="M49" s="42"/>
      <c r="N49" s="43"/>
    </row>
    <row r="50" spans="2:14" ht="15" customHeight="1" x14ac:dyDescent="0.25"/>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sheetData>
  <sortState ref="C28:E30">
    <sortCondition descending="1" ref="E28"/>
  </sortState>
  <mergeCells count="6">
    <mergeCell ref="B49:N49"/>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B10F-27AB-4BF7-A7A6-89DD6EAEC283}">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181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182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36</v>
      </c>
      <c r="D8" s="6" t="s">
        <v>23</v>
      </c>
      <c r="E8" s="11">
        <v>0.118729</v>
      </c>
      <c r="F8" s="1"/>
      <c r="G8" s="24" t="s">
        <v>16</v>
      </c>
      <c r="H8" s="25">
        <v>1</v>
      </c>
      <c r="I8" s="1"/>
      <c r="J8" s="24" t="s">
        <v>13</v>
      </c>
      <c r="K8" s="24" t="s">
        <v>5</v>
      </c>
      <c r="L8" s="1"/>
      <c r="M8" s="1"/>
      <c r="N8" s="18"/>
    </row>
    <row r="9" spans="2:14" ht="15" customHeight="1" x14ac:dyDescent="0.25">
      <c r="B9" s="20"/>
      <c r="C9" s="5" t="s">
        <v>29</v>
      </c>
      <c r="D9" s="6" t="s">
        <v>23</v>
      </c>
      <c r="E9" s="11">
        <v>9.0648999999999993E-2</v>
      </c>
      <c r="F9" s="1"/>
      <c r="G9" s="1"/>
      <c r="H9" s="1"/>
      <c r="I9" s="1"/>
      <c r="J9" s="24" t="s">
        <v>11</v>
      </c>
      <c r="K9" s="28">
        <v>9.4859999999999996E-3</v>
      </c>
      <c r="L9" s="1"/>
      <c r="M9" s="1"/>
      <c r="N9" s="18"/>
    </row>
    <row r="10" spans="2:14" ht="15" customHeight="1" x14ac:dyDescent="0.25">
      <c r="B10" s="20"/>
      <c r="C10" s="5" t="s">
        <v>144</v>
      </c>
      <c r="D10" s="6" t="s">
        <v>23</v>
      </c>
      <c r="E10" s="11">
        <v>7.1510000000000002E-3</v>
      </c>
      <c r="F10" s="1"/>
      <c r="G10" s="1"/>
      <c r="H10" s="1"/>
      <c r="I10" s="1"/>
      <c r="J10" s="24" t="s">
        <v>14</v>
      </c>
      <c r="K10" s="28">
        <v>9.6289E-2</v>
      </c>
      <c r="L10" s="1"/>
      <c r="M10" s="1"/>
      <c r="N10" s="18"/>
    </row>
    <row r="11" spans="2:14" ht="15.75" customHeight="1" x14ac:dyDescent="0.25">
      <c r="B11" s="20"/>
      <c r="C11" s="7" t="s">
        <v>25</v>
      </c>
      <c r="D11" s="8"/>
      <c r="E11" s="12">
        <v>0.216529</v>
      </c>
      <c r="F11" s="1"/>
      <c r="G11" s="1"/>
      <c r="H11" s="1"/>
      <c r="I11" s="1"/>
      <c r="J11" s="24" t="s">
        <v>52</v>
      </c>
      <c r="K11" s="28">
        <v>0.216529</v>
      </c>
      <c r="L11" s="1"/>
      <c r="M11" s="1"/>
      <c r="N11" s="18"/>
    </row>
    <row r="12" spans="2:14" ht="15" customHeight="1" x14ac:dyDescent="0.25">
      <c r="B12" s="20"/>
      <c r="C12" s="5" t="s">
        <v>81</v>
      </c>
      <c r="D12" s="6" t="s">
        <v>23</v>
      </c>
      <c r="E12" s="11">
        <v>0.10825899999999999</v>
      </c>
      <c r="F12" s="1"/>
      <c r="G12" s="1"/>
      <c r="H12" s="1"/>
      <c r="I12" s="1"/>
      <c r="J12" s="24" t="s">
        <v>53</v>
      </c>
      <c r="K12" s="28">
        <v>0.28196300000000002</v>
      </c>
      <c r="L12" s="1"/>
      <c r="M12" s="1"/>
      <c r="N12" s="18"/>
    </row>
    <row r="13" spans="2:14" ht="15" customHeight="1" x14ac:dyDescent="0.25">
      <c r="B13" s="20"/>
      <c r="C13" s="5" t="s">
        <v>30</v>
      </c>
      <c r="D13" s="6" t="s">
        <v>23</v>
      </c>
      <c r="E13" s="11">
        <v>0.10571</v>
      </c>
      <c r="F13" s="1"/>
      <c r="G13" s="1"/>
      <c r="H13" s="1"/>
      <c r="I13" s="1"/>
      <c r="J13" s="24" t="s">
        <v>77</v>
      </c>
      <c r="K13" s="28">
        <v>0.33533200000000002</v>
      </c>
      <c r="L13" s="1"/>
      <c r="M13" s="1"/>
      <c r="N13" s="18"/>
    </row>
    <row r="14" spans="2:14" ht="15" customHeight="1" x14ac:dyDescent="0.25">
      <c r="B14" s="20"/>
      <c r="C14" s="5" t="s">
        <v>149</v>
      </c>
      <c r="D14" s="6" t="s">
        <v>23</v>
      </c>
      <c r="E14" s="11">
        <v>7.2023000000000004E-2</v>
      </c>
      <c r="F14" s="1"/>
      <c r="G14" s="1"/>
      <c r="H14" s="1"/>
      <c r="I14" s="1"/>
      <c r="J14" s="24" t="s">
        <v>55</v>
      </c>
      <c r="K14" s="28">
        <v>5.4495000000000002E-2</v>
      </c>
      <c r="L14" s="1"/>
      <c r="M14" s="1"/>
      <c r="N14" s="18"/>
    </row>
    <row r="15" spans="2:14" ht="15" customHeight="1" x14ac:dyDescent="0.25">
      <c r="B15" s="20"/>
      <c r="C15" s="5" t="s">
        <v>29</v>
      </c>
      <c r="D15" s="6" t="s">
        <v>23</v>
      </c>
      <c r="E15" s="11">
        <v>2.8086E-2</v>
      </c>
      <c r="F15" s="1"/>
      <c r="G15" s="1"/>
      <c r="H15" s="1"/>
      <c r="I15" s="1"/>
      <c r="J15" s="24" t="s">
        <v>92</v>
      </c>
      <c r="K15" s="28">
        <v>5.9059999999999998E-3</v>
      </c>
      <c r="L15" s="1"/>
      <c r="M15" s="1"/>
      <c r="N15" s="18"/>
    </row>
    <row r="16" spans="2:14" ht="15" customHeight="1" x14ac:dyDescent="0.25">
      <c r="B16" s="20"/>
      <c r="C16" s="5" t="s">
        <v>74</v>
      </c>
      <c r="D16" s="6" t="s">
        <v>23</v>
      </c>
      <c r="E16" s="11">
        <v>2.1253999999999999E-2</v>
      </c>
      <c r="F16" s="1"/>
      <c r="G16" s="1"/>
      <c r="H16" s="1"/>
      <c r="I16" s="1"/>
      <c r="J16" s="1"/>
      <c r="K16" s="1"/>
      <c r="L16" s="1"/>
      <c r="M16" s="1"/>
      <c r="N16" s="18"/>
    </row>
    <row r="17" spans="2:14" ht="15.75" customHeight="1" x14ac:dyDescent="0.25">
      <c r="B17" s="20"/>
      <c r="C17" s="7" t="s">
        <v>75</v>
      </c>
      <c r="D17" s="8"/>
      <c r="E17" s="12">
        <v>0.33533200000000002</v>
      </c>
      <c r="F17" s="1"/>
      <c r="G17" s="1"/>
      <c r="H17" s="1"/>
      <c r="I17" s="1"/>
      <c r="J17" s="1"/>
      <c r="K17" s="1"/>
      <c r="L17" s="1"/>
      <c r="M17" s="1"/>
      <c r="N17" s="18"/>
    </row>
    <row r="18" spans="2:14" ht="15" customHeight="1" x14ac:dyDescent="0.25">
      <c r="B18" s="20"/>
      <c r="C18" s="5" t="s">
        <v>26</v>
      </c>
      <c r="D18" s="6" t="s">
        <v>27</v>
      </c>
      <c r="E18" s="11">
        <v>0.122174</v>
      </c>
      <c r="F18" s="1"/>
      <c r="G18" s="1"/>
      <c r="H18" s="1"/>
      <c r="I18" s="1"/>
      <c r="J18" s="1"/>
      <c r="K18" s="1"/>
      <c r="L18" s="1"/>
      <c r="M18" s="1"/>
      <c r="N18" s="18"/>
    </row>
    <row r="19" spans="2:14" ht="15" customHeight="1" x14ac:dyDescent="0.25">
      <c r="B19" s="20"/>
      <c r="C19" s="5" t="s">
        <v>73</v>
      </c>
      <c r="D19" s="6" t="s">
        <v>27</v>
      </c>
      <c r="E19" s="11">
        <v>5.0722000000000003E-2</v>
      </c>
      <c r="F19" s="1"/>
      <c r="G19" s="1"/>
      <c r="H19" s="1"/>
      <c r="I19" s="1"/>
      <c r="J19" s="1"/>
      <c r="K19" s="1"/>
      <c r="L19" s="1"/>
      <c r="M19" s="1"/>
      <c r="N19" s="18"/>
    </row>
    <row r="20" spans="2:14" ht="15" customHeight="1" x14ac:dyDescent="0.25">
      <c r="B20" s="20"/>
      <c r="C20" s="5" t="s">
        <v>39</v>
      </c>
      <c r="D20" s="6" t="s">
        <v>27</v>
      </c>
      <c r="E20" s="11">
        <v>3.7739000000000002E-2</v>
      </c>
      <c r="F20" s="1"/>
      <c r="G20" s="1"/>
      <c r="H20" s="1"/>
      <c r="I20" s="1"/>
      <c r="J20" s="1"/>
      <c r="K20" s="1"/>
      <c r="L20" s="1"/>
      <c r="M20" s="1"/>
      <c r="N20" s="18"/>
    </row>
    <row r="21" spans="2:14" ht="15" customHeight="1" x14ac:dyDescent="0.25">
      <c r="B21" s="20"/>
      <c r="C21" s="5" t="s">
        <v>31</v>
      </c>
      <c r="D21" s="6" t="s">
        <v>27</v>
      </c>
      <c r="E21" s="11">
        <v>2.2010999999999999E-2</v>
      </c>
      <c r="F21" s="1"/>
      <c r="G21" s="1"/>
      <c r="H21" s="1"/>
      <c r="I21" s="1"/>
      <c r="J21" s="1"/>
      <c r="K21" s="1"/>
      <c r="L21" s="1"/>
      <c r="M21" s="1"/>
      <c r="N21" s="18"/>
    </row>
    <row r="22" spans="2:14" ht="15" customHeight="1" x14ac:dyDescent="0.25">
      <c r="B22" s="20"/>
      <c r="C22" s="5" t="s">
        <v>30</v>
      </c>
      <c r="D22" s="6" t="s">
        <v>27</v>
      </c>
      <c r="E22" s="11">
        <v>1.5872000000000001E-2</v>
      </c>
      <c r="F22" s="1"/>
      <c r="G22" s="1"/>
      <c r="H22" s="1"/>
      <c r="I22" s="1"/>
      <c r="J22" s="1"/>
      <c r="K22" s="1"/>
      <c r="L22" s="1"/>
      <c r="M22" s="1"/>
      <c r="N22" s="18"/>
    </row>
    <row r="23" spans="2:14" ht="15" customHeight="1" x14ac:dyDescent="0.25">
      <c r="B23" s="20"/>
      <c r="C23" s="5" t="s">
        <v>40</v>
      </c>
      <c r="D23" s="6" t="s">
        <v>27</v>
      </c>
      <c r="E23" s="11">
        <v>1.4461999999999999E-2</v>
      </c>
      <c r="F23" s="1"/>
      <c r="G23" s="1"/>
      <c r="H23" s="1"/>
      <c r="I23" s="1"/>
      <c r="J23" s="1"/>
      <c r="K23" s="1"/>
      <c r="L23" s="1"/>
      <c r="M23" s="1"/>
      <c r="N23" s="18"/>
    </row>
    <row r="24" spans="2:14" ht="15" customHeight="1" x14ac:dyDescent="0.25">
      <c r="B24" s="20"/>
      <c r="C24" s="5" t="s">
        <v>85</v>
      </c>
      <c r="D24" s="6" t="s">
        <v>27</v>
      </c>
      <c r="E24" s="11">
        <v>7.3330000000000001E-3</v>
      </c>
      <c r="F24" s="1"/>
      <c r="G24" s="49" t="s">
        <v>127</v>
      </c>
      <c r="H24" s="50"/>
      <c r="I24" s="50"/>
      <c r="J24" s="50"/>
      <c r="K24" s="50"/>
      <c r="L24" s="100">
        <v>174.28207466886718</v>
      </c>
      <c r="M24" s="26"/>
      <c r="N24" s="27"/>
    </row>
    <row r="25" spans="2:14" ht="15" customHeight="1" x14ac:dyDescent="0.25">
      <c r="B25" s="20"/>
      <c r="C25" s="5" t="s">
        <v>74</v>
      </c>
      <c r="D25" s="6" t="s">
        <v>27</v>
      </c>
      <c r="E25" s="11">
        <v>7.2509999999999996E-3</v>
      </c>
      <c r="F25" s="1"/>
      <c r="G25" s="1"/>
      <c r="H25" s="1"/>
      <c r="I25" s="1"/>
      <c r="J25" s="1"/>
      <c r="K25" s="1"/>
      <c r="L25" s="1"/>
      <c r="M25" s="1"/>
      <c r="N25" s="18"/>
    </row>
    <row r="26" spans="2:14" ht="15" customHeight="1" x14ac:dyDescent="0.25">
      <c r="B26" s="20"/>
      <c r="C26" s="5" t="s">
        <v>32</v>
      </c>
      <c r="D26" s="6" t="s">
        <v>27</v>
      </c>
      <c r="E26" s="11">
        <v>4.3990000000000001E-3</v>
      </c>
      <c r="F26" s="1"/>
      <c r="G26" s="49" t="s">
        <v>19</v>
      </c>
      <c r="H26" s="50"/>
      <c r="I26" s="50"/>
      <c r="J26" s="50"/>
      <c r="K26" s="50"/>
      <c r="L26" s="50"/>
      <c r="M26" s="50"/>
      <c r="N26" s="51"/>
    </row>
    <row r="27" spans="2:14" ht="15.75" customHeight="1" x14ac:dyDescent="0.25">
      <c r="B27" s="20"/>
      <c r="C27" s="7" t="s">
        <v>44</v>
      </c>
      <c r="D27" s="8"/>
      <c r="E27" s="12">
        <v>0.28196300000000002</v>
      </c>
      <c r="F27" s="1"/>
      <c r="G27" s="1"/>
      <c r="H27" s="1"/>
      <c r="I27" s="1"/>
      <c r="J27" s="1"/>
      <c r="K27" s="1"/>
      <c r="L27" s="1"/>
      <c r="M27" s="1"/>
      <c r="N27" s="18"/>
    </row>
    <row r="28" spans="2:14" ht="15" customHeight="1" x14ac:dyDescent="0.25">
      <c r="B28" s="20"/>
      <c r="C28" s="5" t="s">
        <v>197</v>
      </c>
      <c r="D28" s="6" t="s">
        <v>46</v>
      </c>
      <c r="E28" s="11">
        <v>2.3404999999999999E-2</v>
      </c>
      <c r="F28" s="1"/>
      <c r="G28" s="1"/>
      <c r="H28" s="1"/>
      <c r="I28" s="1"/>
      <c r="J28" s="1"/>
      <c r="K28" s="1"/>
      <c r="L28" s="1"/>
      <c r="M28" s="1"/>
      <c r="N28" s="18"/>
    </row>
    <row r="29" spans="2:14" ht="15.75" customHeight="1" x14ac:dyDescent="0.25">
      <c r="B29" s="20"/>
      <c r="C29" s="5" t="s">
        <v>212</v>
      </c>
      <c r="D29" s="6" t="s">
        <v>46</v>
      </c>
      <c r="E29" s="11">
        <v>1.4217E-2</v>
      </c>
      <c r="F29" s="1"/>
      <c r="G29" s="1"/>
      <c r="H29" s="1"/>
      <c r="I29" s="1"/>
      <c r="J29" s="1"/>
      <c r="K29" s="1"/>
      <c r="L29" s="1"/>
      <c r="M29" s="1"/>
      <c r="N29" s="18"/>
    </row>
    <row r="30" spans="2:14" ht="15" customHeight="1" x14ac:dyDescent="0.25">
      <c r="B30" s="20"/>
      <c r="C30" s="5" t="s">
        <v>211</v>
      </c>
      <c r="D30" s="6" t="s">
        <v>46</v>
      </c>
      <c r="E30" s="11">
        <v>9.2639999999999997E-3</v>
      </c>
      <c r="F30" s="1"/>
      <c r="G30" s="1"/>
      <c r="H30" s="1"/>
      <c r="I30" s="1"/>
      <c r="J30" s="1"/>
      <c r="K30" s="1"/>
      <c r="L30" s="1"/>
      <c r="M30" s="1"/>
      <c r="N30" s="18"/>
    </row>
    <row r="31" spans="2:14" ht="15.75" customHeight="1" x14ac:dyDescent="0.25">
      <c r="B31" s="20"/>
      <c r="C31" s="5" t="s">
        <v>210</v>
      </c>
      <c r="D31" s="6" t="s">
        <v>46</v>
      </c>
      <c r="E31" s="11">
        <v>7.6090000000000003E-3</v>
      </c>
      <c r="F31" s="1"/>
      <c r="G31" s="1"/>
      <c r="H31" s="1"/>
      <c r="I31" s="1"/>
      <c r="J31" s="1"/>
      <c r="K31" s="1"/>
      <c r="L31" s="1"/>
      <c r="M31" s="1"/>
      <c r="N31" s="18"/>
    </row>
    <row r="32" spans="2:14" ht="15" customHeight="1" x14ac:dyDescent="0.25">
      <c r="B32" s="20"/>
      <c r="C32" s="7" t="s">
        <v>51</v>
      </c>
      <c r="D32" s="8"/>
      <c r="E32" s="12">
        <v>5.4495000000000002E-2</v>
      </c>
      <c r="F32" s="1"/>
      <c r="G32" s="1"/>
      <c r="H32" s="1"/>
      <c r="I32" s="1"/>
      <c r="J32" s="1"/>
      <c r="K32" s="1"/>
      <c r="L32" s="1"/>
      <c r="M32" s="1"/>
      <c r="N32" s="18"/>
    </row>
    <row r="33" spans="2:14" ht="15.75" customHeight="1" x14ac:dyDescent="0.25">
      <c r="B33" s="20"/>
      <c r="C33" s="5" t="s">
        <v>167</v>
      </c>
      <c r="D33" s="6" t="s">
        <v>46</v>
      </c>
      <c r="E33" s="11">
        <v>5.9059999999999998E-3</v>
      </c>
      <c r="F33" s="1"/>
      <c r="G33" s="1"/>
      <c r="H33" s="1"/>
      <c r="I33" s="1"/>
      <c r="J33" s="1"/>
      <c r="K33" s="1"/>
      <c r="L33" s="1"/>
      <c r="M33" s="1"/>
      <c r="N33" s="18"/>
    </row>
    <row r="34" spans="2:14" ht="15" customHeight="1" x14ac:dyDescent="0.25">
      <c r="B34" s="20"/>
      <c r="C34" s="7" t="s">
        <v>90</v>
      </c>
      <c r="D34" s="8"/>
      <c r="E34" s="12">
        <v>5.9059999999999998E-3</v>
      </c>
      <c r="F34" s="1"/>
      <c r="G34" s="1"/>
      <c r="H34" s="1"/>
      <c r="I34" s="1"/>
      <c r="J34" s="1"/>
      <c r="K34" s="1"/>
      <c r="L34" s="1"/>
      <c r="M34" s="1"/>
      <c r="N34" s="18"/>
    </row>
    <row r="35" spans="2:14" ht="15.75" customHeight="1" x14ac:dyDescent="0.25">
      <c r="B35" s="20"/>
      <c r="C35" s="5" t="s">
        <v>9</v>
      </c>
      <c r="D35" s="6"/>
      <c r="E35" s="11">
        <v>9.6289E-2</v>
      </c>
      <c r="F35" s="1"/>
      <c r="G35" s="1"/>
      <c r="H35" s="1"/>
      <c r="I35" s="1"/>
      <c r="J35" s="1"/>
      <c r="K35" s="1"/>
      <c r="L35" s="1"/>
      <c r="M35" s="1"/>
      <c r="N35" s="18"/>
    </row>
    <row r="36" spans="2:14" ht="15" customHeight="1" x14ac:dyDescent="0.25">
      <c r="B36" s="20"/>
      <c r="C36" s="7" t="s">
        <v>10</v>
      </c>
      <c r="D36" s="8"/>
      <c r="E36" s="12">
        <v>9.6289E-2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11</v>
      </c>
      <c r="D38" s="8"/>
      <c r="E38" s="12">
        <v>9.4859999999999996E-3</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12</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4.5" customHeight="1" thickBot="1" x14ac:dyDescent="0.3">
      <c r="B45" s="41" t="s">
        <v>184</v>
      </c>
      <c r="C45" s="42"/>
      <c r="D45" s="42"/>
      <c r="E45" s="42"/>
      <c r="F45" s="42"/>
      <c r="G45" s="42"/>
      <c r="H45" s="42"/>
      <c r="I45" s="42"/>
      <c r="J45" s="42"/>
      <c r="K45" s="42"/>
      <c r="L45" s="42"/>
      <c r="M45" s="42"/>
      <c r="N45" s="4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sortState ref="C28:E31">
    <sortCondition descending="1" ref="E28"/>
  </sortState>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2A6B2-02EA-4E7F-AA89-7177A52A1F23}">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131</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59</v>
      </c>
      <c r="D8" s="6" t="s">
        <v>46</v>
      </c>
      <c r="E8" s="11">
        <v>0.45640700000000001</v>
      </c>
      <c r="F8" s="1"/>
      <c r="G8" s="24" t="s">
        <v>16</v>
      </c>
      <c r="H8" s="25">
        <v>1</v>
      </c>
      <c r="I8" s="1"/>
      <c r="J8" s="24" t="s">
        <v>13</v>
      </c>
      <c r="K8" s="24" t="s">
        <v>5</v>
      </c>
      <c r="L8" s="1"/>
      <c r="M8" s="1"/>
      <c r="N8" s="18"/>
    </row>
    <row r="9" spans="2:14" ht="15" customHeight="1" x14ac:dyDescent="0.25">
      <c r="B9" s="20"/>
      <c r="C9" s="5" t="s">
        <v>58</v>
      </c>
      <c r="D9" s="6" t="s">
        <v>46</v>
      </c>
      <c r="E9" s="11">
        <v>0.45240799999999998</v>
      </c>
      <c r="F9" s="1"/>
      <c r="G9" s="1"/>
      <c r="H9" s="1"/>
      <c r="I9" s="1"/>
      <c r="J9" s="24" t="s">
        <v>11</v>
      </c>
      <c r="K9" s="28">
        <v>1.1651E-2</v>
      </c>
      <c r="L9" s="1"/>
      <c r="M9" s="1"/>
      <c r="N9" s="18"/>
    </row>
    <row r="10" spans="2:14" ht="15" customHeight="1" x14ac:dyDescent="0.25">
      <c r="B10" s="20"/>
      <c r="C10" s="5" t="s">
        <v>60</v>
      </c>
      <c r="D10" s="6" t="s">
        <v>46</v>
      </c>
      <c r="E10" s="11">
        <v>7.1857000000000004E-2</v>
      </c>
      <c r="F10" s="1"/>
      <c r="G10" s="1"/>
      <c r="H10" s="1"/>
      <c r="I10" s="1"/>
      <c r="J10" s="24" t="s">
        <v>14</v>
      </c>
      <c r="K10" s="28">
        <v>3.9830000000000004E-3</v>
      </c>
      <c r="L10" s="1"/>
      <c r="M10" s="1"/>
      <c r="N10" s="18"/>
    </row>
    <row r="11" spans="2:14" ht="15" customHeight="1" x14ac:dyDescent="0.25">
      <c r="B11" s="20"/>
      <c r="C11" s="5" t="s">
        <v>61</v>
      </c>
      <c r="D11" s="6" t="s">
        <v>46</v>
      </c>
      <c r="E11" s="11">
        <v>2.2490000000000001E-3</v>
      </c>
      <c r="F11" s="1"/>
      <c r="G11" s="1"/>
      <c r="H11" s="1"/>
      <c r="I11" s="1"/>
      <c r="J11" s="24" t="s">
        <v>54</v>
      </c>
      <c r="K11" s="28">
        <v>0.98436599999999996</v>
      </c>
      <c r="L11" s="1"/>
      <c r="M11" s="1"/>
      <c r="N11" s="18"/>
    </row>
    <row r="12" spans="2:14" ht="15" customHeight="1" x14ac:dyDescent="0.25">
      <c r="B12" s="20"/>
      <c r="C12" s="5" t="s">
        <v>47</v>
      </c>
      <c r="D12" s="6" t="s">
        <v>46</v>
      </c>
      <c r="E12" s="11">
        <v>1.354E-3</v>
      </c>
      <c r="F12" s="1"/>
      <c r="G12" s="1"/>
      <c r="H12" s="1"/>
      <c r="I12" s="1"/>
      <c r="J12" s="1"/>
      <c r="K12" s="1"/>
      <c r="L12" s="1"/>
      <c r="M12" s="1"/>
      <c r="N12" s="18"/>
    </row>
    <row r="13" spans="2:14" ht="15" customHeight="1" x14ac:dyDescent="0.25">
      <c r="B13" s="20"/>
      <c r="C13" s="5" t="s">
        <v>132</v>
      </c>
      <c r="D13" s="6" t="s">
        <v>46</v>
      </c>
      <c r="E13" s="31">
        <v>4.6E-5</v>
      </c>
      <c r="F13" s="1"/>
      <c r="G13" s="1"/>
      <c r="H13" s="1"/>
      <c r="I13" s="1"/>
      <c r="J13" s="1"/>
      <c r="K13" s="1"/>
      <c r="L13" s="1"/>
      <c r="M13" s="1"/>
      <c r="N13" s="18"/>
    </row>
    <row r="14" spans="2:14" ht="15" customHeight="1" x14ac:dyDescent="0.25">
      <c r="B14" s="20"/>
      <c r="C14" s="5" t="s">
        <v>123</v>
      </c>
      <c r="D14" s="6" t="s">
        <v>46</v>
      </c>
      <c r="E14" s="31">
        <v>4.5000000000000003E-5</v>
      </c>
      <c r="F14" s="1"/>
      <c r="G14" s="1"/>
      <c r="H14" s="1"/>
      <c r="I14" s="1"/>
      <c r="J14" s="1"/>
      <c r="K14" s="1"/>
      <c r="L14" s="1"/>
      <c r="M14" s="1"/>
      <c r="N14" s="18"/>
    </row>
    <row r="15" spans="2:14" ht="15.75" customHeight="1" x14ac:dyDescent="0.25">
      <c r="B15" s="20"/>
      <c r="C15" s="7" t="s">
        <v>50</v>
      </c>
      <c r="D15" s="8"/>
      <c r="E15" s="12">
        <v>0.98436599999999996</v>
      </c>
      <c r="F15" s="1"/>
      <c r="G15" s="1"/>
      <c r="H15" s="1"/>
      <c r="I15" s="1"/>
      <c r="J15" s="1"/>
      <c r="K15" s="1"/>
      <c r="L15" s="1"/>
      <c r="M15" s="1"/>
      <c r="N15" s="18"/>
    </row>
    <row r="16" spans="2:14" ht="15" customHeight="1" x14ac:dyDescent="0.25">
      <c r="B16" s="20"/>
      <c r="C16" s="5" t="s">
        <v>9</v>
      </c>
      <c r="D16" s="6"/>
      <c r="E16" s="11">
        <v>3.9830000000000004E-3</v>
      </c>
      <c r="F16" s="1"/>
      <c r="G16" s="1"/>
      <c r="H16" s="1"/>
      <c r="I16" s="1"/>
      <c r="J16" s="1"/>
      <c r="K16" s="1"/>
      <c r="L16" s="1"/>
      <c r="M16" s="1"/>
      <c r="N16" s="18"/>
    </row>
    <row r="17" spans="2:14" ht="15.75" customHeight="1" x14ac:dyDescent="0.25">
      <c r="B17" s="20"/>
      <c r="C17" s="7" t="s">
        <v>10</v>
      </c>
      <c r="D17" s="8"/>
      <c r="E17" s="12">
        <v>3.9830000000000004E-3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11</v>
      </c>
      <c r="D19" s="8"/>
      <c r="E19" s="12">
        <v>1.1651E-2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12</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11.345331882256867</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185B-99A1-40A3-A446-2D7337CF7789}">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56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57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58</v>
      </c>
      <c r="D8" s="6" t="s">
        <v>46</v>
      </c>
      <c r="E8" s="11">
        <v>0.32520100000000002</v>
      </c>
      <c r="F8" s="1"/>
      <c r="G8" s="24" t="s">
        <v>16</v>
      </c>
      <c r="H8" s="25">
        <v>1</v>
      </c>
      <c r="I8" s="1"/>
      <c r="J8" s="24" t="s">
        <v>13</v>
      </c>
      <c r="K8" s="24" t="s">
        <v>5</v>
      </c>
      <c r="L8" s="1"/>
      <c r="M8" s="1"/>
      <c r="N8" s="18"/>
    </row>
    <row r="9" spans="2:14" ht="15" customHeight="1" x14ac:dyDescent="0.25">
      <c r="B9" s="20"/>
      <c r="C9" s="5" t="s">
        <v>59</v>
      </c>
      <c r="D9" s="6" t="s">
        <v>46</v>
      </c>
      <c r="E9" s="11">
        <v>0.305614</v>
      </c>
      <c r="F9" s="1"/>
      <c r="G9" s="1"/>
      <c r="H9" s="1"/>
      <c r="I9" s="1"/>
      <c r="J9" s="24" t="s">
        <v>11</v>
      </c>
      <c r="K9" s="28">
        <v>1.5755000000000002E-2</v>
      </c>
      <c r="L9" s="1"/>
      <c r="M9" s="1"/>
      <c r="N9" s="18"/>
    </row>
    <row r="10" spans="2:14" ht="15" customHeight="1" x14ac:dyDescent="0.25">
      <c r="B10" s="20"/>
      <c r="C10" s="5" t="s">
        <v>60</v>
      </c>
      <c r="D10" s="6" t="s">
        <v>46</v>
      </c>
      <c r="E10" s="11">
        <v>0.23469000000000001</v>
      </c>
      <c r="F10" s="1"/>
      <c r="G10" s="1"/>
      <c r="H10" s="1"/>
      <c r="I10" s="1"/>
      <c r="J10" s="24" t="s">
        <v>14</v>
      </c>
      <c r="K10" s="28">
        <v>9.2599999999999991E-3</v>
      </c>
      <c r="L10" s="1"/>
      <c r="M10" s="1"/>
      <c r="N10" s="18"/>
    </row>
    <row r="11" spans="2:14" ht="15" customHeight="1" x14ac:dyDescent="0.25">
      <c r="B11" s="20"/>
      <c r="C11" s="5" t="s">
        <v>61</v>
      </c>
      <c r="D11" s="6" t="s">
        <v>46</v>
      </c>
      <c r="E11" s="11">
        <v>8.7656999999999999E-2</v>
      </c>
      <c r="F11" s="1"/>
      <c r="G11" s="1"/>
      <c r="H11" s="1"/>
      <c r="I11" s="1"/>
      <c r="J11" s="24" t="s">
        <v>54</v>
      </c>
      <c r="K11" s="28">
        <v>0.97498499999999999</v>
      </c>
      <c r="L11" s="1"/>
      <c r="M11" s="1"/>
      <c r="N11" s="18"/>
    </row>
    <row r="12" spans="2:14" ht="15" customHeight="1" x14ac:dyDescent="0.25">
      <c r="B12" s="20"/>
      <c r="C12" s="5" t="s">
        <v>62</v>
      </c>
      <c r="D12" s="6" t="s">
        <v>46</v>
      </c>
      <c r="E12" s="11">
        <v>1.9023999999999999E-2</v>
      </c>
      <c r="F12" s="1"/>
      <c r="G12" s="1"/>
      <c r="H12" s="1"/>
      <c r="I12" s="1"/>
      <c r="J12" s="1"/>
      <c r="K12" s="1"/>
      <c r="L12" s="1"/>
      <c r="M12" s="1"/>
      <c r="N12" s="18"/>
    </row>
    <row r="13" spans="2:14" ht="15" customHeight="1" x14ac:dyDescent="0.25">
      <c r="B13" s="20"/>
      <c r="C13" s="5" t="s">
        <v>63</v>
      </c>
      <c r="D13" s="6" t="s">
        <v>46</v>
      </c>
      <c r="E13" s="11">
        <v>2.0100000000000001E-3</v>
      </c>
      <c r="F13" s="1"/>
      <c r="G13" s="1"/>
      <c r="H13" s="1"/>
      <c r="I13" s="1"/>
      <c r="J13" s="1"/>
      <c r="K13" s="1"/>
      <c r="L13" s="1"/>
      <c r="M13" s="1"/>
      <c r="N13" s="18"/>
    </row>
    <row r="14" spans="2:14" ht="15" customHeight="1" x14ac:dyDescent="0.25">
      <c r="B14" s="20"/>
      <c r="C14" s="5" t="s">
        <v>64</v>
      </c>
      <c r="D14" s="6" t="s">
        <v>46</v>
      </c>
      <c r="E14" s="11">
        <v>7.8899999999999999E-4</v>
      </c>
      <c r="F14" s="1"/>
      <c r="G14" s="1"/>
      <c r="H14" s="1"/>
      <c r="I14" s="1"/>
      <c r="J14" s="1"/>
      <c r="K14" s="1"/>
      <c r="L14" s="1"/>
      <c r="M14" s="1"/>
      <c r="N14" s="18"/>
    </row>
    <row r="15" spans="2:14" ht="15.75" customHeight="1" x14ac:dyDescent="0.25">
      <c r="B15" s="20"/>
      <c r="C15" s="7" t="s">
        <v>50</v>
      </c>
      <c r="D15" s="8"/>
      <c r="E15" s="12">
        <v>0.97498499999999999</v>
      </c>
      <c r="F15" s="1"/>
      <c r="G15" s="1"/>
      <c r="H15" s="1"/>
      <c r="I15" s="1"/>
      <c r="J15" s="1"/>
      <c r="K15" s="1"/>
      <c r="L15" s="1"/>
      <c r="M15" s="1"/>
      <c r="N15" s="18"/>
    </row>
    <row r="16" spans="2:14" ht="15" customHeight="1" x14ac:dyDescent="0.25">
      <c r="B16" s="20"/>
      <c r="C16" s="5" t="s">
        <v>9</v>
      </c>
      <c r="D16" s="6"/>
      <c r="E16" s="11">
        <v>9.2599999999999991E-3</v>
      </c>
      <c r="F16" s="1"/>
      <c r="G16" s="1"/>
      <c r="H16" s="1"/>
      <c r="I16" s="1"/>
      <c r="J16" s="1"/>
      <c r="K16" s="1"/>
      <c r="L16" s="1"/>
      <c r="M16" s="1"/>
      <c r="N16" s="18"/>
    </row>
    <row r="17" spans="2:14" ht="15.75" customHeight="1" x14ac:dyDescent="0.25">
      <c r="B17" s="20"/>
      <c r="C17" s="7" t="s">
        <v>10</v>
      </c>
      <c r="D17" s="8"/>
      <c r="E17" s="12">
        <v>9.2599999999999991E-3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11</v>
      </c>
      <c r="D19" s="8"/>
      <c r="E19" s="12">
        <v>1.5755000000000002E-2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12</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9.8672783990746069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BFC6F-8CAD-473D-B95F-ECDE4655B2DD}">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65</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66</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60</v>
      </c>
      <c r="D8" s="6" t="s">
        <v>46</v>
      </c>
      <c r="E8" s="11">
        <v>0.58718099999999995</v>
      </c>
      <c r="F8" s="1"/>
      <c r="G8" s="24" t="s">
        <v>16</v>
      </c>
      <c r="H8" s="25">
        <v>1</v>
      </c>
      <c r="I8" s="1"/>
      <c r="J8" s="24" t="s">
        <v>13</v>
      </c>
      <c r="K8" s="24" t="s">
        <v>5</v>
      </c>
      <c r="L8" s="1"/>
      <c r="M8" s="1"/>
      <c r="N8" s="18"/>
    </row>
    <row r="9" spans="2:14" ht="15" customHeight="1" x14ac:dyDescent="0.25">
      <c r="B9" s="20"/>
      <c r="C9" s="5" t="s">
        <v>47</v>
      </c>
      <c r="D9" s="6" t="s">
        <v>46</v>
      </c>
      <c r="E9" s="11">
        <v>0.358325</v>
      </c>
      <c r="F9" s="1"/>
      <c r="G9" s="1"/>
      <c r="H9" s="1"/>
      <c r="I9" s="1"/>
      <c r="J9" s="24" t="s">
        <v>11</v>
      </c>
      <c r="K9" s="28">
        <v>2.3285E-2</v>
      </c>
      <c r="L9" s="1"/>
      <c r="M9" s="1"/>
      <c r="N9" s="18"/>
    </row>
    <row r="10" spans="2:14" ht="15" customHeight="1" x14ac:dyDescent="0.25">
      <c r="B10" s="20"/>
      <c r="C10" s="5" t="s">
        <v>63</v>
      </c>
      <c r="D10" s="6" t="s">
        <v>46</v>
      </c>
      <c r="E10" s="11">
        <v>1.0900000000000001E-4</v>
      </c>
      <c r="F10" s="1"/>
      <c r="G10" s="1"/>
      <c r="H10" s="1"/>
      <c r="I10" s="1"/>
      <c r="J10" s="24" t="s">
        <v>14</v>
      </c>
      <c r="K10" s="28">
        <v>4.8520000000000004E-3</v>
      </c>
      <c r="L10" s="1"/>
      <c r="M10" s="1"/>
      <c r="N10" s="18"/>
    </row>
    <row r="11" spans="2:14" ht="15" customHeight="1" x14ac:dyDescent="0.25">
      <c r="B11" s="20"/>
      <c r="C11" s="5" t="s">
        <v>67</v>
      </c>
      <c r="D11" s="6" t="s">
        <v>46</v>
      </c>
      <c r="E11" s="11">
        <v>6.2000000000000003E-5</v>
      </c>
      <c r="F11" s="1"/>
      <c r="G11" s="1"/>
      <c r="H11" s="1"/>
      <c r="I11" s="1"/>
      <c r="J11" s="24" t="s">
        <v>54</v>
      </c>
      <c r="K11" s="28">
        <v>0.94567699999999999</v>
      </c>
      <c r="L11" s="1"/>
      <c r="M11" s="1"/>
      <c r="N11" s="18"/>
    </row>
    <row r="12" spans="2:14" ht="15.75" customHeight="1" x14ac:dyDescent="0.25">
      <c r="B12" s="20"/>
      <c r="C12" s="7" t="s">
        <v>50</v>
      </c>
      <c r="D12" s="8"/>
      <c r="E12" s="12">
        <v>0.94567699999999999</v>
      </c>
      <c r="F12" s="1"/>
      <c r="G12" s="1"/>
      <c r="H12" s="1"/>
      <c r="I12" s="1"/>
      <c r="J12" s="24" t="s">
        <v>70</v>
      </c>
      <c r="K12" s="28">
        <v>8.3180000000000007E-3</v>
      </c>
      <c r="L12" s="1"/>
      <c r="M12" s="1"/>
      <c r="N12" s="18"/>
    </row>
    <row r="13" spans="2:14" ht="15" customHeight="1" x14ac:dyDescent="0.25">
      <c r="B13" s="20"/>
      <c r="C13" s="5" t="s">
        <v>188</v>
      </c>
      <c r="D13" s="6" t="s">
        <v>68</v>
      </c>
      <c r="E13" s="11">
        <v>8.3180000000000007E-3</v>
      </c>
      <c r="F13" s="1"/>
      <c r="G13" s="1"/>
      <c r="H13" s="1"/>
      <c r="I13" s="1"/>
      <c r="J13" s="24" t="s">
        <v>55</v>
      </c>
      <c r="K13" s="28">
        <v>1.7867999999999998E-2</v>
      </c>
      <c r="L13" s="1"/>
      <c r="M13" s="1"/>
      <c r="N13" s="18"/>
    </row>
    <row r="14" spans="2:14" ht="15.75" customHeight="1" x14ac:dyDescent="0.25">
      <c r="B14" s="20"/>
      <c r="C14" s="7" t="s">
        <v>69</v>
      </c>
      <c r="D14" s="8"/>
      <c r="E14" s="12">
        <v>8.3180000000000007E-3</v>
      </c>
      <c r="F14" s="1"/>
      <c r="G14" s="1"/>
      <c r="H14" s="1"/>
      <c r="I14" s="1"/>
      <c r="J14" s="1"/>
      <c r="K14" s="1"/>
      <c r="L14" s="1"/>
      <c r="M14" s="1"/>
      <c r="N14" s="18"/>
    </row>
    <row r="15" spans="2:14" ht="15" customHeight="1" x14ac:dyDescent="0.25">
      <c r="B15" s="20"/>
      <c r="C15" s="5" t="s">
        <v>213</v>
      </c>
      <c r="D15" s="6" t="s">
        <v>46</v>
      </c>
      <c r="E15" s="11">
        <v>8.3770000000000008E-3</v>
      </c>
      <c r="F15" s="1"/>
      <c r="G15" s="1"/>
      <c r="H15" s="1"/>
      <c r="I15" s="1"/>
      <c r="J15" s="1"/>
      <c r="K15" s="1"/>
      <c r="L15" s="1"/>
      <c r="M15" s="1"/>
      <c r="N15" s="18"/>
    </row>
    <row r="16" spans="2:14" ht="15.75" customHeight="1" x14ac:dyDescent="0.25">
      <c r="B16" s="20"/>
      <c r="C16" s="5" t="s">
        <v>214</v>
      </c>
      <c r="D16" s="6" t="s">
        <v>46</v>
      </c>
      <c r="E16" s="11">
        <v>8.3770000000000008E-3</v>
      </c>
      <c r="F16" s="1"/>
      <c r="G16" s="1"/>
      <c r="H16" s="1"/>
      <c r="I16" s="1"/>
      <c r="J16" s="1"/>
      <c r="K16" s="1"/>
      <c r="L16" s="1"/>
      <c r="M16" s="1"/>
      <c r="N16" s="18"/>
    </row>
    <row r="17" spans="2:14" ht="15" customHeight="1" x14ac:dyDescent="0.25">
      <c r="B17" s="20"/>
      <c r="C17" s="5" t="s">
        <v>215</v>
      </c>
      <c r="D17" s="6" t="s">
        <v>46</v>
      </c>
      <c r="E17" s="11">
        <v>1.114E-3</v>
      </c>
      <c r="F17" s="1"/>
      <c r="G17" s="1"/>
      <c r="H17" s="1"/>
      <c r="I17" s="1"/>
      <c r="J17" s="1"/>
      <c r="K17" s="1"/>
      <c r="L17" s="1"/>
      <c r="M17" s="1"/>
      <c r="N17" s="18"/>
    </row>
    <row r="18" spans="2:14" ht="15.75" customHeight="1" x14ac:dyDescent="0.25">
      <c r="B18" s="20"/>
      <c r="C18" s="7" t="s">
        <v>51</v>
      </c>
      <c r="D18" s="8"/>
      <c r="E18" s="12">
        <v>1.7867999999999998E-2</v>
      </c>
      <c r="F18" s="1"/>
      <c r="G18" s="1"/>
      <c r="H18" s="1"/>
      <c r="I18" s="1"/>
      <c r="J18" s="1"/>
      <c r="K18" s="1"/>
      <c r="L18" s="1"/>
      <c r="M18" s="1"/>
      <c r="N18" s="18"/>
    </row>
    <row r="19" spans="2:14" ht="15" customHeight="1" x14ac:dyDescent="0.25">
      <c r="B19" s="20"/>
      <c r="C19" s="5" t="s">
        <v>9</v>
      </c>
      <c r="D19" s="6"/>
      <c r="E19" s="11">
        <v>4.8520000000000004E-3</v>
      </c>
      <c r="F19" s="1"/>
      <c r="G19" s="1"/>
      <c r="H19" s="1"/>
      <c r="I19" s="1"/>
      <c r="J19" s="1"/>
      <c r="K19" s="1"/>
      <c r="L19" s="1"/>
      <c r="M19" s="1"/>
      <c r="N19" s="18"/>
    </row>
    <row r="20" spans="2:14" ht="15.75" customHeight="1" x14ac:dyDescent="0.25">
      <c r="B20" s="20"/>
      <c r="C20" s="7" t="s">
        <v>10</v>
      </c>
      <c r="D20" s="8"/>
      <c r="E20" s="12">
        <v>4.8520000000000004E-3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7" t="s">
        <v>11</v>
      </c>
      <c r="D22" s="8"/>
      <c r="E22" s="12">
        <v>2.3285E-2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9" t="s">
        <v>12</v>
      </c>
      <c r="D24" s="10"/>
      <c r="E24" s="13">
        <v>1</v>
      </c>
      <c r="F24" s="1"/>
      <c r="G24" s="49" t="s">
        <v>18</v>
      </c>
      <c r="H24" s="50"/>
      <c r="I24" s="50"/>
      <c r="J24" s="50"/>
      <c r="K24" s="50"/>
      <c r="L24" s="101">
        <v>4.7699306940994388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t="s">
        <v>186</v>
      </c>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75" customHeight="1" thickBot="1" x14ac:dyDescent="0.3">
      <c r="B45" s="41" t="s">
        <v>184</v>
      </c>
      <c r="C45" s="42"/>
      <c r="D45" s="42"/>
      <c r="E45" s="42"/>
      <c r="F45" s="42"/>
      <c r="G45" s="42"/>
      <c r="H45" s="42"/>
      <c r="I45" s="42"/>
      <c r="J45" s="42"/>
      <c r="K45" s="42"/>
      <c r="L45" s="42"/>
      <c r="M45" s="42"/>
      <c r="N45" s="43"/>
    </row>
  </sheetData>
  <sortState ref="C15:E17">
    <sortCondition descending="1" ref="E15"/>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BDB8-930B-4EE0-A5A5-0B2F79C46E0D}">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71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72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29</v>
      </c>
      <c r="D8" s="6" t="s">
        <v>23</v>
      </c>
      <c r="E8" s="11">
        <v>2.2638999999999999E-2</v>
      </c>
      <c r="F8" s="1"/>
      <c r="G8" s="24" t="s">
        <v>16</v>
      </c>
      <c r="H8" s="25">
        <v>1</v>
      </c>
      <c r="I8" s="1"/>
      <c r="J8" s="24" t="s">
        <v>13</v>
      </c>
      <c r="K8" s="24" t="s">
        <v>5</v>
      </c>
      <c r="L8" s="1"/>
      <c r="M8" s="1"/>
      <c r="N8" s="18"/>
    </row>
    <row r="9" spans="2:14" ht="15.75" customHeight="1" x14ac:dyDescent="0.25">
      <c r="B9" s="20"/>
      <c r="C9" s="7" t="s">
        <v>25</v>
      </c>
      <c r="D9" s="8"/>
      <c r="E9" s="12">
        <v>2.2638999999999999E-2</v>
      </c>
      <c r="F9" s="1"/>
      <c r="G9" s="1"/>
      <c r="H9" s="1"/>
      <c r="I9" s="1"/>
      <c r="J9" s="24" t="s">
        <v>11</v>
      </c>
      <c r="K9" s="28">
        <v>2.0108999999999998E-2</v>
      </c>
      <c r="L9" s="1"/>
      <c r="M9" s="1"/>
      <c r="N9" s="18"/>
    </row>
    <row r="10" spans="2:14" ht="15" customHeight="1" x14ac:dyDescent="0.25">
      <c r="B10" s="20"/>
      <c r="C10" s="5" t="s">
        <v>30</v>
      </c>
      <c r="D10" s="6" t="s">
        <v>23</v>
      </c>
      <c r="E10" s="11">
        <v>7.8931000000000001E-2</v>
      </c>
      <c r="F10" s="1"/>
      <c r="G10" s="1"/>
      <c r="H10" s="1"/>
      <c r="I10" s="1"/>
      <c r="J10" s="24" t="s">
        <v>14</v>
      </c>
      <c r="K10" s="28">
        <v>3.5969999999999999E-3</v>
      </c>
      <c r="L10" s="1"/>
      <c r="M10" s="1"/>
      <c r="N10" s="18"/>
    </row>
    <row r="11" spans="2:14" ht="15" customHeight="1" x14ac:dyDescent="0.25">
      <c r="B11" s="20"/>
      <c r="C11" s="5" t="s">
        <v>73</v>
      </c>
      <c r="D11" s="6" t="s">
        <v>23</v>
      </c>
      <c r="E11" s="11">
        <v>1.6669E-2</v>
      </c>
      <c r="F11" s="1"/>
      <c r="G11" s="1"/>
      <c r="H11" s="1"/>
      <c r="I11" s="1"/>
      <c r="J11" s="24" t="s">
        <v>52</v>
      </c>
      <c r="K11" s="28">
        <v>2.2638999999999999E-2</v>
      </c>
      <c r="L11" s="1"/>
      <c r="M11" s="1"/>
      <c r="N11" s="18"/>
    </row>
    <row r="12" spans="2:14" ht="15" customHeight="1" x14ac:dyDescent="0.25">
      <c r="B12" s="20"/>
      <c r="C12" s="5" t="s">
        <v>29</v>
      </c>
      <c r="D12" s="6" t="s">
        <v>23</v>
      </c>
      <c r="E12" s="11">
        <v>1.1762E-2</v>
      </c>
      <c r="F12" s="1"/>
      <c r="G12" s="1"/>
      <c r="H12" s="1"/>
      <c r="I12" s="1"/>
      <c r="J12" s="24" t="s">
        <v>53</v>
      </c>
      <c r="K12" s="28">
        <v>0.100506</v>
      </c>
      <c r="L12" s="1"/>
      <c r="M12" s="1"/>
      <c r="N12" s="18"/>
    </row>
    <row r="13" spans="2:14" ht="15" customHeight="1" x14ac:dyDescent="0.25">
      <c r="B13" s="20"/>
      <c r="C13" s="5" t="s">
        <v>74</v>
      </c>
      <c r="D13" s="6" t="s">
        <v>23</v>
      </c>
      <c r="E13" s="11">
        <v>5.6439999999999997E-3</v>
      </c>
      <c r="F13" s="1"/>
      <c r="G13" s="1"/>
      <c r="H13" s="1"/>
      <c r="I13" s="1"/>
      <c r="J13" s="24" t="s">
        <v>77</v>
      </c>
      <c r="K13" s="28">
        <v>0.113006</v>
      </c>
      <c r="L13" s="1"/>
      <c r="M13" s="1"/>
      <c r="N13" s="18"/>
    </row>
    <row r="14" spans="2:14" ht="15.75" customHeight="1" x14ac:dyDescent="0.25">
      <c r="B14" s="20"/>
      <c r="C14" s="7" t="s">
        <v>75</v>
      </c>
      <c r="D14" s="8"/>
      <c r="E14" s="12">
        <v>0.113006</v>
      </c>
      <c r="F14" s="1"/>
      <c r="G14" s="1"/>
      <c r="H14" s="1"/>
      <c r="I14" s="1"/>
      <c r="J14" s="24" t="s">
        <v>54</v>
      </c>
      <c r="K14" s="28">
        <v>0.73677400000000004</v>
      </c>
      <c r="L14" s="1"/>
      <c r="M14" s="1"/>
      <c r="N14" s="18"/>
    </row>
    <row r="15" spans="2:14" ht="15" customHeight="1" x14ac:dyDescent="0.25">
      <c r="B15" s="20"/>
      <c r="C15" s="5" t="s">
        <v>73</v>
      </c>
      <c r="D15" s="6" t="s">
        <v>27</v>
      </c>
      <c r="E15" s="11">
        <v>7.3935000000000001E-2</v>
      </c>
      <c r="F15" s="1"/>
      <c r="G15" s="1"/>
      <c r="H15" s="1"/>
      <c r="I15" s="1"/>
      <c r="J15" s="24" t="s">
        <v>70</v>
      </c>
      <c r="K15" s="28">
        <v>3.369E-3</v>
      </c>
      <c r="L15" s="1"/>
      <c r="M15" s="1"/>
      <c r="N15" s="18"/>
    </row>
    <row r="16" spans="2:14" ht="15" customHeight="1" x14ac:dyDescent="0.25">
      <c r="B16" s="20"/>
      <c r="C16" s="5" t="s">
        <v>76</v>
      </c>
      <c r="D16" s="6" t="s">
        <v>27</v>
      </c>
      <c r="E16" s="11">
        <v>1.7309000000000001E-2</v>
      </c>
      <c r="F16" s="1"/>
      <c r="G16" s="1"/>
      <c r="H16" s="1"/>
      <c r="I16" s="1"/>
      <c r="J16" s="1"/>
      <c r="K16" s="1"/>
      <c r="L16" s="1"/>
      <c r="M16" s="1"/>
      <c r="N16" s="18"/>
    </row>
    <row r="17" spans="2:14" ht="15" customHeight="1" x14ac:dyDescent="0.25">
      <c r="B17" s="20"/>
      <c r="C17" s="5" t="s">
        <v>26</v>
      </c>
      <c r="D17" s="6" t="s">
        <v>27</v>
      </c>
      <c r="E17" s="11">
        <v>5.8259999999999996E-3</v>
      </c>
      <c r="F17" s="1"/>
      <c r="G17" s="1"/>
      <c r="H17" s="1"/>
      <c r="I17" s="1"/>
      <c r="J17" s="1"/>
      <c r="K17" s="1"/>
      <c r="L17" s="1"/>
      <c r="M17" s="1"/>
      <c r="N17" s="18"/>
    </row>
    <row r="18" spans="2:14" ht="15" customHeight="1" x14ac:dyDescent="0.25">
      <c r="B18" s="20"/>
      <c r="C18" s="5" t="s">
        <v>30</v>
      </c>
      <c r="D18" s="6" t="s">
        <v>27</v>
      </c>
      <c r="E18" s="11">
        <v>2.869E-3</v>
      </c>
      <c r="F18" s="1"/>
      <c r="G18" s="1"/>
      <c r="H18" s="1"/>
      <c r="I18" s="1"/>
      <c r="J18" s="1"/>
      <c r="K18" s="1"/>
      <c r="L18" s="1"/>
      <c r="M18" s="1"/>
      <c r="N18" s="18"/>
    </row>
    <row r="19" spans="2:14" ht="15" customHeight="1" x14ac:dyDescent="0.25">
      <c r="B19" s="20"/>
      <c r="C19" s="5" t="s">
        <v>74</v>
      </c>
      <c r="D19" s="6" t="s">
        <v>27</v>
      </c>
      <c r="E19" s="11">
        <v>5.6700000000000001E-4</v>
      </c>
      <c r="F19" s="1"/>
      <c r="G19" s="1"/>
      <c r="H19" s="1"/>
      <c r="I19" s="1"/>
      <c r="J19" s="1"/>
      <c r="K19" s="1"/>
      <c r="L19" s="1"/>
      <c r="M19" s="1"/>
      <c r="N19" s="18"/>
    </row>
    <row r="20" spans="2:14" ht="15.75" customHeight="1" x14ac:dyDescent="0.25">
      <c r="B20" s="20"/>
      <c r="C20" s="7" t="s">
        <v>44</v>
      </c>
      <c r="D20" s="8"/>
      <c r="E20" s="12">
        <v>0.100506</v>
      </c>
      <c r="F20" s="1"/>
      <c r="G20" s="1"/>
      <c r="H20" s="1"/>
      <c r="I20" s="1"/>
      <c r="J20" s="1"/>
      <c r="K20" s="1"/>
      <c r="L20" s="1"/>
      <c r="M20" s="1"/>
      <c r="N20" s="18"/>
    </row>
    <row r="21" spans="2:14" ht="15" customHeight="1" x14ac:dyDescent="0.25">
      <c r="B21" s="20"/>
      <c r="C21" s="5" t="s">
        <v>47</v>
      </c>
      <c r="D21" s="6" t="s">
        <v>46</v>
      </c>
      <c r="E21" s="11">
        <v>0.54042299999999999</v>
      </c>
      <c r="F21" s="1"/>
      <c r="G21" s="1"/>
      <c r="H21" s="1"/>
      <c r="I21" s="1"/>
      <c r="J21" s="1"/>
      <c r="K21" s="1"/>
      <c r="L21" s="1"/>
      <c r="M21" s="1"/>
      <c r="N21" s="18"/>
    </row>
    <row r="22" spans="2:14" ht="15" customHeight="1" x14ac:dyDescent="0.25">
      <c r="B22" s="20"/>
      <c r="C22" s="5" t="s">
        <v>48</v>
      </c>
      <c r="D22" s="6" t="s">
        <v>46</v>
      </c>
      <c r="E22" s="11">
        <v>0.15451999999999999</v>
      </c>
      <c r="F22" s="1"/>
      <c r="G22" s="1"/>
      <c r="H22" s="1"/>
      <c r="I22" s="1"/>
      <c r="J22" s="1"/>
      <c r="K22" s="1"/>
      <c r="L22" s="1"/>
      <c r="M22" s="1"/>
      <c r="N22" s="18"/>
    </row>
    <row r="23" spans="2:14" ht="15" customHeight="1" x14ac:dyDescent="0.25">
      <c r="B23" s="20"/>
      <c r="C23" s="5" t="s">
        <v>60</v>
      </c>
      <c r="D23" s="6" t="s">
        <v>46</v>
      </c>
      <c r="E23" s="11">
        <v>4.1616E-2</v>
      </c>
      <c r="F23" s="1"/>
      <c r="G23" s="1"/>
      <c r="H23" s="1"/>
      <c r="I23" s="1"/>
      <c r="J23" s="1"/>
      <c r="K23" s="1"/>
      <c r="L23" s="1"/>
      <c r="M23" s="1"/>
      <c r="N23" s="18"/>
    </row>
    <row r="24" spans="2:14" ht="15" customHeight="1" x14ac:dyDescent="0.25">
      <c r="B24" s="20"/>
      <c r="C24" s="5" t="s">
        <v>67</v>
      </c>
      <c r="D24" s="6" t="s">
        <v>46</v>
      </c>
      <c r="E24" s="11">
        <v>1.18E-4</v>
      </c>
      <c r="F24" s="1"/>
      <c r="G24" s="49" t="s">
        <v>18</v>
      </c>
      <c r="H24" s="50"/>
      <c r="I24" s="50"/>
      <c r="J24" s="50"/>
      <c r="K24" s="50"/>
      <c r="L24" s="101">
        <v>2.9253279526454152</v>
      </c>
      <c r="M24" s="26"/>
      <c r="N24" s="27"/>
    </row>
    <row r="25" spans="2:14" ht="15" customHeight="1" x14ac:dyDescent="0.25">
      <c r="B25" s="20"/>
      <c r="C25" s="5" t="s">
        <v>63</v>
      </c>
      <c r="D25" s="6" t="s">
        <v>46</v>
      </c>
      <c r="E25" s="11">
        <v>9.7E-5</v>
      </c>
      <c r="F25" s="1"/>
      <c r="G25" s="1"/>
      <c r="H25" s="1"/>
      <c r="I25" s="1"/>
      <c r="J25" s="1"/>
      <c r="K25" s="1"/>
      <c r="L25" s="1"/>
      <c r="M25" s="1"/>
      <c r="N25" s="18"/>
    </row>
    <row r="26" spans="2:14" ht="15.75" customHeight="1" x14ac:dyDescent="0.25">
      <c r="B26" s="20"/>
      <c r="C26" s="7" t="s">
        <v>50</v>
      </c>
      <c r="D26" s="8"/>
      <c r="E26" s="12">
        <v>0.73677400000000004</v>
      </c>
      <c r="F26" s="1"/>
      <c r="G26" s="49" t="s">
        <v>19</v>
      </c>
      <c r="H26" s="50"/>
      <c r="I26" s="50"/>
      <c r="J26" s="50"/>
      <c r="K26" s="50"/>
      <c r="L26" s="50"/>
      <c r="M26" s="50"/>
      <c r="N26" s="51"/>
    </row>
    <row r="27" spans="2:14" ht="15" customHeight="1" x14ac:dyDescent="0.25">
      <c r="B27" s="20"/>
      <c r="C27" s="5" t="s">
        <v>188</v>
      </c>
      <c r="D27" s="6" t="s">
        <v>68</v>
      </c>
      <c r="E27" s="11">
        <v>3.369E-3</v>
      </c>
      <c r="F27" s="1"/>
      <c r="G27" s="1"/>
      <c r="H27" s="1"/>
      <c r="I27" s="1"/>
      <c r="J27" s="1"/>
      <c r="K27" s="1"/>
      <c r="L27" s="1"/>
      <c r="M27" s="1"/>
      <c r="N27" s="18"/>
    </row>
    <row r="28" spans="2:14" ht="15.75" customHeight="1" x14ac:dyDescent="0.25">
      <c r="B28" s="20"/>
      <c r="C28" s="7" t="s">
        <v>69</v>
      </c>
      <c r="D28" s="8"/>
      <c r="E28" s="12">
        <v>3.369E-3</v>
      </c>
      <c r="F28" s="1"/>
      <c r="G28" s="1"/>
      <c r="H28" s="1"/>
      <c r="I28" s="1"/>
      <c r="J28" s="1"/>
      <c r="K28" s="1"/>
      <c r="L28" s="1"/>
      <c r="M28" s="1"/>
      <c r="N28" s="18"/>
    </row>
    <row r="29" spans="2:14" ht="15" customHeight="1" x14ac:dyDescent="0.25">
      <c r="B29" s="20"/>
      <c r="C29" s="5" t="s">
        <v>9</v>
      </c>
      <c r="D29" s="6"/>
      <c r="E29" s="11">
        <v>3.5969999999999999E-3</v>
      </c>
      <c r="F29" s="1"/>
      <c r="G29" s="1"/>
      <c r="H29" s="1"/>
      <c r="I29" s="1"/>
      <c r="J29" s="1"/>
      <c r="K29" s="1"/>
      <c r="L29" s="1"/>
      <c r="M29" s="1"/>
      <c r="N29" s="18"/>
    </row>
    <row r="30" spans="2:14" ht="15.75" customHeight="1" x14ac:dyDescent="0.25">
      <c r="B30" s="20"/>
      <c r="C30" s="7" t="s">
        <v>10</v>
      </c>
      <c r="D30" s="8"/>
      <c r="E30" s="12">
        <v>3.5969999999999999E-3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11</v>
      </c>
      <c r="D32" s="8"/>
      <c r="E32" s="12">
        <v>2.0108999999999998E-2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12</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t="s">
        <v>186</v>
      </c>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2.25" customHeight="1" thickBot="1" x14ac:dyDescent="0.3">
      <c r="B45" s="41" t="s">
        <v>184</v>
      </c>
      <c r="C45" s="42"/>
      <c r="D45" s="42"/>
      <c r="E45" s="42"/>
      <c r="F45" s="42"/>
      <c r="G45" s="42"/>
      <c r="H45" s="42"/>
      <c r="I45" s="42"/>
      <c r="J45" s="42"/>
      <c r="K45" s="42"/>
      <c r="L45" s="42"/>
      <c r="M45" s="42"/>
      <c r="N45" s="4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3E043-4CE6-42FA-AA54-3D660101AADD}">
  <dimension ref="B1:N7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20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21</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22</v>
      </c>
      <c r="D8" s="6" t="s">
        <v>23</v>
      </c>
      <c r="E8" s="11">
        <v>6.607E-3</v>
      </c>
      <c r="F8" s="1"/>
      <c r="G8" s="24" t="s">
        <v>16</v>
      </c>
      <c r="H8" s="25">
        <v>1</v>
      </c>
      <c r="I8" s="1"/>
      <c r="J8" s="24" t="s">
        <v>13</v>
      </c>
      <c r="K8" s="24" t="s">
        <v>5</v>
      </c>
      <c r="L8" s="1"/>
      <c r="M8" s="1"/>
      <c r="N8" s="18"/>
    </row>
    <row r="9" spans="2:14" ht="15" customHeight="1" x14ac:dyDescent="0.25">
      <c r="B9" s="20"/>
      <c r="C9" s="5" t="s">
        <v>24</v>
      </c>
      <c r="D9" s="6" t="s">
        <v>23</v>
      </c>
      <c r="E9" s="11">
        <v>3.3040000000000001E-3</v>
      </c>
      <c r="F9" s="1"/>
      <c r="G9" s="1"/>
      <c r="H9" s="1"/>
      <c r="I9" s="1"/>
      <c r="J9" s="24" t="s">
        <v>11</v>
      </c>
      <c r="K9" s="28">
        <v>2.7934E-2</v>
      </c>
      <c r="L9" s="1"/>
      <c r="M9" s="1"/>
      <c r="N9" s="18"/>
    </row>
    <row r="10" spans="2:14" ht="15.75" customHeight="1" x14ac:dyDescent="0.25">
      <c r="B10" s="20"/>
      <c r="C10" s="7" t="s">
        <v>25</v>
      </c>
      <c r="D10" s="8"/>
      <c r="E10" s="12">
        <v>9.9109999999999997E-3</v>
      </c>
      <c r="F10" s="1"/>
      <c r="G10" s="1"/>
      <c r="H10" s="1"/>
      <c r="I10" s="1"/>
      <c r="J10" s="24" t="s">
        <v>14</v>
      </c>
      <c r="K10" s="28">
        <v>9.6539999999999994E-3</v>
      </c>
      <c r="L10" s="1"/>
      <c r="M10" s="1"/>
      <c r="N10" s="18"/>
    </row>
    <row r="11" spans="2:14" ht="15" customHeight="1" x14ac:dyDescent="0.25">
      <c r="B11" s="20"/>
      <c r="C11" s="5" t="s">
        <v>26</v>
      </c>
      <c r="D11" s="6" t="s">
        <v>27</v>
      </c>
      <c r="E11" s="11">
        <v>0.110058</v>
      </c>
      <c r="F11" s="1"/>
      <c r="G11" s="1"/>
      <c r="H11" s="1"/>
      <c r="I11" s="1"/>
      <c r="J11" s="24" t="s">
        <v>52</v>
      </c>
      <c r="K11" s="28">
        <v>9.9109999999999997E-3</v>
      </c>
      <c r="L11" s="1"/>
      <c r="M11" s="1"/>
      <c r="N11" s="18"/>
    </row>
    <row r="12" spans="2:14" ht="15" customHeight="1" x14ac:dyDescent="0.25">
      <c r="B12" s="20"/>
      <c r="C12" s="5" t="s">
        <v>28</v>
      </c>
      <c r="D12" s="6" t="s">
        <v>27</v>
      </c>
      <c r="E12" s="11">
        <v>0.104974</v>
      </c>
      <c r="F12" s="1"/>
      <c r="G12" s="1"/>
      <c r="H12" s="1"/>
      <c r="I12" s="1"/>
      <c r="J12" s="24" t="s">
        <v>53</v>
      </c>
      <c r="K12" s="28">
        <v>0.77581</v>
      </c>
      <c r="L12" s="1"/>
      <c r="M12" s="1"/>
      <c r="N12" s="18"/>
    </row>
    <row r="13" spans="2:14" ht="15" customHeight="1" x14ac:dyDescent="0.25">
      <c r="B13" s="20"/>
      <c r="C13" s="5" t="s">
        <v>29</v>
      </c>
      <c r="D13" s="6" t="s">
        <v>27</v>
      </c>
      <c r="E13" s="11">
        <v>0.103843</v>
      </c>
      <c r="F13" s="1"/>
      <c r="G13" s="1"/>
      <c r="H13" s="1"/>
      <c r="I13" s="1"/>
      <c r="J13" s="24" t="s">
        <v>54</v>
      </c>
      <c r="K13" s="28">
        <v>0.119307</v>
      </c>
      <c r="L13" s="1"/>
      <c r="M13" s="1"/>
      <c r="N13" s="18"/>
    </row>
    <row r="14" spans="2:14" ht="15" customHeight="1" x14ac:dyDescent="0.25">
      <c r="B14" s="20"/>
      <c r="C14" s="5" t="s">
        <v>30</v>
      </c>
      <c r="D14" s="6" t="s">
        <v>27</v>
      </c>
      <c r="E14" s="11">
        <v>0.10133300000000001</v>
      </c>
      <c r="F14" s="1"/>
      <c r="G14" s="1"/>
      <c r="H14" s="1"/>
      <c r="I14" s="1"/>
      <c r="J14" s="24" t="s">
        <v>55</v>
      </c>
      <c r="K14" s="28">
        <v>5.7383999999999998E-2</v>
      </c>
      <c r="L14" s="1"/>
      <c r="M14" s="1"/>
      <c r="N14" s="18"/>
    </row>
    <row r="15" spans="2:14" ht="15" customHeight="1" x14ac:dyDescent="0.25">
      <c r="B15" s="20"/>
      <c r="C15" s="5" t="s">
        <v>31</v>
      </c>
      <c r="D15" s="6" t="s">
        <v>27</v>
      </c>
      <c r="E15" s="11">
        <v>7.1964E-2</v>
      </c>
      <c r="F15" s="1"/>
      <c r="G15" s="1"/>
      <c r="H15" s="1"/>
      <c r="I15" s="1"/>
      <c r="J15" s="1"/>
      <c r="K15" s="1"/>
      <c r="L15" s="1"/>
      <c r="M15" s="1"/>
      <c r="N15" s="18"/>
    </row>
    <row r="16" spans="2:14" ht="15" customHeight="1" x14ac:dyDescent="0.25">
      <c r="B16" s="20"/>
      <c r="C16" s="5" t="s">
        <v>32</v>
      </c>
      <c r="D16" s="6" t="s">
        <v>27</v>
      </c>
      <c r="E16" s="11">
        <v>7.1483000000000005E-2</v>
      </c>
      <c r="F16" s="1"/>
      <c r="G16" s="1"/>
      <c r="H16" s="1"/>
      <c r="I16" s="1"/>
      <c r="J16" s="1"/>
      <c r="K16" s="1"/>
      <c r="L16" s="1"/>
      <c r="M16" s="1"/>
      <c r="N16" s="18"/>
    </row>
    <row r="17" spans="2:14" ht="15" customHeight="1" x14ac:dyDescent="0.25">
      <c r="B17" s="20"/>
      <c r="C17" s="5" t="s">
        <v>33</v>
      </c>
      <c r="D17" s="6" t="s">
        <v>27</v>
      </c>
      <c r="E17" s="11">
        <v>6.3488000000000003E-2</v>
      </c>
      <c r="F17" s="1"/>
      <c r="G17" s="1"/>
      <c r="H17" s="1"/>
      <c r="I17" s="1"/>
      <c r="J17" s="1"/>
      <c r="K17" s="1"/>
      <c r="L17" s="1"/>
      <c r="M17" s="1"/>
      <c r="N17" s="18"/>
    </row>
    <row r="18" spans="2:14" ht="15" customHeight="1" x14ac:dyDescent="0.25">
      <c r="B18" s="20"/>
      <c r="C18" s="5" t="s">
        <v>34</v>
      </c>
      <c r="D18" s="6" t="s">
        <v>27</v>
      </c>
      <c r="E18" s="11">
        <v>4.5643999999999997E-2</v>
      </c>
      <c r="F18" s="1"/>
      <c r="G18" s="1"/>
      <c r="H18" s="1"/>
      <c r="I18" s="1"/>
      <c r="J18" s="1"/>
      <c r="K18" s="1"/>
      <c r="L18" s="1"/>
      <c r="M18" s="1"/>
      <c r="N18" s="18"/>
    </row>
    <row r="19" spans="2:14" ht="15" customHeight="1" x14ac:dyDescent="0.25">
      <c r="B19" s="20"/>
      <c r="C19" s="5" t="s">
        <v>35</v>
      </c>
      <c r="D19" s="6" t="s">
        <v>27</v>
      </c>
      <c r="E19" s="11">
        <v>3.0377000000000001E-2</v>
      </c>
      <c r="F19" s="1"/>
      <c r="G19" s="1"/>
      <c r="H19" s="1"/>
      <c r="I19" s="1"/>
      <c r="J19" s="1"/>
      <c r="K19" s="1"/>
      <c r="L19" s="1"/>
      <c r="M19" s="1"/>
      <c r="N19" s="18"/>
    </row>
    <row r="20" spans="2:14" ht="15" customHeight="1" x14ac:dyDescent="0.25">
      <c r="B20" s="20"/>
      <c r="C20" s="5" t="s">
        <v>36</v>
      </c>
      <c r="D20" s="6" t="s">
        <v>27</v>
      </c>
      <c r="E20" s="11">
        <v>2.2273000000000001E-2</v>
      </c>
      <c r="F20" s="1"/>
      <c r="G20" s="1"/>
      <c r="H20" s="1"/>
      <c r="I20" s="1"/>
      <c r="J20" s="1"/>
      <c r="K20" s="1"/>
      <c r="L20" s="1"/>
      <c r="M20" s="1"/>
      <c r="N20" s="18"/>
    </row>
    <row r="21" spans="2:14" ht="15" customHeight="1" x14ac:dyDescent="0.25">
      <c r="B21" s="20"/>
      <c r="C21" s="5" t="s">
        <v>37</v>
      </c>
      <c r="D21" s="6" t="s">
        <v>27</v>
      </c>
      <c r="E21" s="11">
        <v>1.7856E-2</v>
      </c>
      <c r="F21" s="1"/>
      <c r="G21" s="1"/>
      <c r="H21" s="1"/>
      <c r="I21" s="1"/>
      <c r="J21" s="1"/>
      <c r="K21" s="1"/>
      <c r="L21" s="1"/>
      <c r="M21" s="1"/>
      <c r="N21" s="18"/>
    </row>
    <row r="22" spans="2:14" ht="15" customHeight="1" x14ac:dyDescent="0.25">
      <c r="B22" s="20"/>
      <c r="C22" s="5" t="s">
        <v>38</v>
      </c>
      <c r="D22" s="6" t="s">
        <v>27</v>
      </c>
      <c r="E22" s="11">
        <v>1.7255E-2</v>
      </c>
      <c r="F22" s="1"/>
      <c r="G22" s="1"/>
      <c r="H22" s="1"/>
      <c r="I22" s="1"/>
      <c r="J22" s="1"/>
      <c r="K22" s="1"/>
      <c r="L22" s="1"/>
      <c r="M22" s="1"/>
      <c r="N22" s="18"/>
    </row>
    <row r="23" spans="2:14" ht="15" customHeight="1" x14ac:dyDescent="0.25">
      <c r="B23" s="20"/>
      <c r="C23" s="5" t="s">
        <v>39</v>
      </c>
      <c r="D23" s="6" t="s">
        <v>27</v>
      </c>
      <c r="E23" s="11">
        <v>5.7739999999999996E-3</v>
      </c>
      <c r="F23" s="1"/>
      <c r="G23" s="1"/>
      <c r="H23" s="1"/>
      <c r="I23" s="1"/>
      <c r="J23" s="1"/>
      <c r="K23" s="1"/>
      <c r="L23" s="1"/>
      <c r="M23" s="1"/>
      <c r="N23" s="18"/>
    </row>
    <row r="24" spans="2:14" ht="15" customHeight="1" x14ac:dyDescent="0.25">
      <c r="B24" s="20"/>
      <c r="C24" s="5" t="s">
        <v>40</v>
      </c>
      <c r="D24" s="6" t="s">
        <v>27</v>
      </c>
      <c r="E24" s="11">
        <v>3.4429999999999999E-3</v>
      </c>
      <c r="F24" s="1"/>
      <c r="G24" s="49" t="s">
        <v>18</v>
      </c>
      <c r="H24" s="50"/>
      <c r="I24" s="50"/>
      <c r="J24" s="50"/>
      <c r="K24" s="50"/>
      <c r="L24" s="101">
        <v>2.5502449837856376</v>
      </c>
      <c r="M24" s="26"/>
      <c r="N24" s="27"/>
    </row>
    <row r="25" spans="2:14" ht="15" customHeight="1" x14ac:dyDescent="0.25">
      <c r="B25" s="20"/>
      <c r="C25" s="5" t="s">
        <v>41</v>
      </c>
      <c r="D25" s="6" t="s">
        <v>27</v>
      </c>
      <c r="E25" s="11">
        <v>3.1120000000000002E-3</v>
      </c>
      <c r="F25" s="1"/>
      <c r="G25" s="1"/>
      <c r="H25" s="1"/>
      <c r="I25" s="1"/>
      <c r="J25" s="1"/>
      <c r="K25" s="1"/>
      <c r="L25" s="1"/>
      <c r="M25" s="1"/>
      <c r="N25" s="18"/>
    </row>
    <row r="26" spans="2:14" ht="15" customHeight="1" x14ac:dyDescent="0.25">
      <c r="B26" s="20"/>
      <c r="C26" s="5" t="s">
        <v>42</v>
      </c>
      <c r="D26" s="6" t="s">
        <v>27</v>
      </c>
      <c r="E26" s="11">
        <v>1.5629999999999999E-3</v>
      </c>
      <c r="F26" s="1"/>
      <c r="G26" s="49" t="s">
        <v>19</v>
      </c>
      <c r="H26" s="50"/>
      <c r="I26" s="50"/>
      <c r="J26" s="50"/>
      <c r="K26" s="50"/>
      <c r="L26" s="50"/>
      <c r="M26" s="50"/>
      <c r="N26" s="51"/>
    </row>
    <row r="27" spans="2:14" ht="15" customHeight="1" x14ac:dyDescent="0.25">
      <c r="B27" s="20"/>
      <c r="C27" s="5" t="s">
        <v>43</v>
      </c>
      <c r="D27" s="6" t="s">
        <v>27</v>
      </c>
      <c r="E27" s="11">
        <v>1.3699999999999999E-3</v>
      </c>
      <c r="F27" s="1"/>
      <c r="G27" s="1"/>
      <c r="H27" s="1"/>
      <c r="I27" s="1"/>
      <c r="J27" s="1"/>
      <c r="K27" s="1"/>
      <c r="L27" s="1"/>
      <c r="M27" s="1"/>
      <c r="N27" s="18"/>
    </row>
    <row r="28" spans="2:14" ht="15.75" customHeight="1" x14ac:dyDescent="0.25">
      <c r="B28" s="20"/>
      <c r="C28" s="7" t="s">
        <v>44</v>
      </c>
      <c r="D28" s="8"/>
      <c r="E28" s="12">
        <v>0.77581</v>
      </c>
      <c r="F28" s="1"/>
      <c r="G28" s="1"/>
      <c r="H28" s="1"/>
      <c r="I28" s="1"/>
      <c r="J28" s="1"/>
      <c r="K28" s="1"/>
      <c r="L28" s="1"/>
      <c r="M28" s="1"/>
      <c r="N28" s="18"/>
    </row>
    <row r="29" spans="2:14" ht="15" customHeight="1" x14ac:dyDescent="0.25">
      <c r="B29" s="20"/>
      <c r="C29" s="5" t="s">
        <v>45</v>
      </c>
      <c r="D29" s="6" t="s">
        <v>46</v>
      </c>
      <c r="E29" s="11">
        <v>3.7523000000000001E-2</v>
      </c>
      <c r="F29" s="1"/>
      <c r="G29" s="1"/>
      <c r="H29" s="1"/>
      <c r="I29" s="1"/>
      <c r="J29" s="1"/>
      <c r="K29" s="1"/>
      <c r="L29" s="1"/>
      <c r="M29" s="1"/>
      <c r="N29" s="18"/>
    </row>
    <row r="30" spans="2:14" ht="15" customHeight="1" x14ac:dyDescent="0.25">
      <c r="B30" s="20"/>
      <c r="C30" s="5" t="s">
        <v>47</v>
      </c>
      <c r="D30" s="6" t="s">
        <v>46</v>
      </c>
      <c r="E30" s="11">
        <v>3.6657000000000002E-2</v>
      </c>
      <c r="F30" s="1"/>
      <c r="G30" s="1"/>
      <c r="H30" s="1"/>
      <c r="I30" s="1"/>
      <c r="J30" s="1"/>
      <c r="K30" s="1"/>
      <c r="L30" s="1"/>
      <c r="M30" s="1"/>
      <c r="N30" s="18"/>
    </row>
    <row r="31" spans="2:14" ht="15" customHeight="1" x14ac:dyDescent="0.25">
      <c r="B31" s="20"/>
      <c r="C31" s="5" t="s">
        <v>48</v>
      </c>
      <c r="D31" s="6" t="s">
        <v>46</v>
      </c>
      <c r="E31" s="11">
        <v>3.4821999999999999E-2</v>
      </c>
      <c r="F31" s="1"/>
      <c r="G31" s="1"/>
      <c r="H31" s="1"/>
      <c r="I31" s="1"/>
      <c r="J31" s="1"/>
      <c r="K31" s="1"/>
      <c r="L31" s="1"/>
      <c r="M31" s="1"/>
      <c r="N31" s="18"/>
    </row>
    <row r="32" spans="2:14" ht="15" customHeight="1" x14ac:dyDescent="0.25">
      <c r="B32" s="20"/>
      <c r="C32" s="5" t="s">
        <v>49</v>
      </c>
      <c r="D32" s="6" t="s">
        <v>46</v>
      </c>
      <c r="E32" s="11">
        <v>1.0305E-2</v>
      </c>
      <c r="F32" s="1"/>
      <c r="G32" s="1"/>
      <c r="H32" s="1"/>
      <c r="I32" s="1"/>
      <c r="J32" s="1"/>
      <c r="K32" s="1"/>
      <c r="L32" s="1"/>
      <c r="M32" s="1"/>
      <c r="N32" s="18"/>
    </row>
    <row r="33" spans="2:14" ht="15.75" customHeight="1" x14ac:dyDescent="0.25">
      <c r="B33" s="20"/>
      <c r="C33" s="7" t="s">
        <v>50</v>
      </c>
      <c r="D33" s="8"/>
      <c r="E33" s="12">
        <v>0.119307</v>
      </c>
      <c r="F33" s="1"/>
      <c r="G33" s="1"/>
      <c r="H33" s="1"/>
      <c r="I33" s="1"/>
      <c r="J33" s="1"/>
      <c r="K33" s="1"/>
      <c r="L33" s="1"/>
      <c r="M33" s="1"/>
      <c r="N33" s="18"/>
    </row>
    <row r="34" spans="2:14" ht="15" customHeight="1" x14ac:dyDescent="0.25">
      <c r="B34" s="20"/>
      <c r="C34" s="5" t="s">
        <v>233</v>
      </c>
      <c r="D34" s="6" t="s">
        <v>46</v>
      </c>
      <c r="E34" s="11">
        <v>1.2959E-2</v>
      </c>
      <c r="F34" s="1"/>
      <c r="G34" s="1"/>
      <c r="H34" s="1"/>
      <c r="I34" s="1"/>
      <c r="J34" s="1"/>
      <c r="K34" s="1"/>
      <c r="L34" s="1"/>
      <c r="M34" s="1"/>
      <c r="N34" s="18"/>
    </row>
    <row r="35" spans="2:14" ht="15.75" customHeight="1" x14ac:dyDescent="0.25">
      <c r="B35" s="20"/>
      <c r="C35" s="5" t="s">
        <v>223</v>
      </c>
      <c r="D35" s="6" t="s">
        <v>46</v>
      </c>
      <c r="E35" s="11">
        <v>9.7730000000000004E-3</v>
      </c>
      <c r="F35" s="1"/>
      <c r="G35" s="1"/>
      <c r="H35" s="1"/>
      <c r="I35" s="1"/>
      <c r="J35" s="1"/>
      <c r="K35" s="1"/>
      <c r="L35" s="1"/>
      <c r="M35" s="1"/>
      <c r="N35" s="18"/>
    </row>
    <row r="36" spans="2:14" ht="15" customHeight="1" x14ac:dyDescent="0.25">
      <c r="B36" s="20"/>
      <c r="C36" s="5" t="s">
        <v>219</v>
      </c>
      <c r="D36" s="6" t="s">
        <v>46</v>
      </c>
      <c r="E36" s="11">
        <v>5.1789999999999996E-3</v>
      </c>
      <c r="F36" s="1"/>
      <c r="G36" s="1"/>
      <c r="H36" s="1"/>
      <c r="I36" s="1"/>
      <c r="J36" s="1"/>
      <c r="K36" s="1"/>
      <c r="L36" s="1"/>
      <c r="M36" s="1"/>
      <c r="N36" s="18"/>
    </row>
    <row r="37" spans="2:14" ht="15.75" customHeight="1" x14ac:dyDescent="0.25">
      <c r="B37" s="20"/>
      <c r="C37" s="5" t="s">
        <v>222</v>
      </c>
      <c r="D37" s="6" t="s">
        <v>46</v>
      </c>
      <c r="E37" s="11">
        <v>4.8659999999999997E-3</v>
      </c>
      <c r="F37" s="1"/>
      <c r="G37" s="1"/>
      <c r="H37" s="1"/>
      <c r="I37" s="1"/>
      <c r="J37" s="1"/>
      <c r="K37" s="1"/>
      <c r="L37" s="1"/>
      <c r="M37" s="1"/>
      <c r="N37" s="18"/>
    </row>
    <row r="38" spans="2:14" ht="15" customHeight="1" x14ac:dyDescent="0.25">
      <c r="B38" s="20"/>
      <c r="C38" s="5" t="s">
        <v>227</v>
      </c>
      <c r="D38" s="6" t="s">
        <v>46</v>
      </c>
      <c r="E38" s="11">
        <v>3.7940000000000001E-3</v>
      </c>
      <c r="F38" s="1"/>
      <c r="G38" s="1"/>
      <c r="H38" s="1"/>
      <c r="I38" s="1"/>
      <c r="J38" s="1"/>
      <c r="K38" s="1"/>
      <c r="L38" s="1"/>
      <c r="M38" s="1"/>
      <c r="N38" s="18"/>
    </row>
    <row r="39" spans="2:14" ht="15.75" customHeight="1" x14ac:dyDescent="0.25">
      <c r="B39" s="20"/>
      <c r="C39" s="5" t="s">
        <v>226</v>
      </c>
      <c r="D39" s="6" t="s">
        <v>46</v>
      </c>
      <c r="E39" s="11">
        <v>3.4640000000000001E-3</v>
      </c>
      <c r="F39" s="1"/>
      <c r="G39" s="1"/>
      <c r="H39" s="1"/>
      <c r="I39" s="1"/>
      <c r="J39" s="1"/>
      <c r="K39" s="1"/>
      <c r="L39" s="1"/>
      <c r="M39" s="1"/>
      <c r="N39" s="18"/>
    </row>
    <row r="40" spans="2:14" ht="15" customHeight="1" x14ac:dyDescent="0.25">
      <c r="B40" s="20"/>
      <c r="C40" s="5" t="s">
        <v>234</v>
      </c>
      <c r="D40" s="6" t="s">
        <v>46</v>
      </c>
      <c r="E40" s="11">
        <v>3.4160000000000002E-3</v>
      </c>
      <c r="F40" s="1"/>
      <c r="G40" s="1"/>
      <c r="H40" s="1"/>
      <c r="I40" s="1"/>
      <c r="J40" s="1"/>
      <c r="K40" s="1"/>
      <c r="L40" s="1"/>
      <c r="M40" s="1"/>
      <c r="N40" s="18"/>
    </row>
    <row r="41" spans="2:14" ht="15" customHeight="1" x14ac:dyDescent="0.25">
      <c r="B41" s="20"/>
      <c r="C41" s="5" t="s">
        <v>217</v>
      </c>
      <c r="D41" s="6" t="s">
        <v>46</v>
      </c>
      <c r="E41" s="11">
        <v>2.068E-3</v>
      </c>
      <c r="F41" s="1"/>
      <c r="G41" s="1"/>
      <c r="H41" s="1"/>
      <c r="I41" s="1"/>
      <c r="J41" s="1"/>
      <c r="K41" s="1"/>
      <c r="L41" s="1"/>
      <c r="M41" s="1"/>
      <c r="N41" s="18"/>
    </row>
    <row r="42" spans="2:14" ht="15" customHeight="1" x14ac:dyDescent="0.25">
      <c r="B42" s="20"/>
      <c r="C42" s="5" t="s">
        <v>224</v>
      </c>
      <c r="D42" s="6" t="s">
        <v>46</v>
      </c>
      <c r="E42" s="11">
        <v>1.7459999999999999E-3</v>
      </c>
      <c r="F42" s="1"/>
      <c r="G42" s="1"/>
      <c r="H42" s="1"/>
      <c r="I42" s="1"/>
      <c r="J42" s="1"/>
      <c r="K42" s="1"/>
      <c r="L42" s="1"/>
      <c r="M42" s="1"/>
      <c r="N42" s="18"/>
    </row>
    <row r="43" spans="2:14" ht="15" customHeight="1" x14ac:dyDescent="0.25">
      <c r="B43" s="20"/>
      <c r="C43" s="5" t="s">
        <v>225</v>
      </c>
      <c r="D43" s="6" t="s">
        <v>46</v>
      </c>
      <c r="E43" s="11">
        <v>1.7340000000000001E-3</v>
      </c>
      <c r="F43" s="1"/>
      <c r="G43" s="1"/>
      <c r="H43" s="1"/>
      <c r="I43" s="1"/>
      <c r="J43" s="1"/>
      <c r="K43" s="1"/>
      <c r="L43" s="1"/>
      <c r="M43" s="1"/>
      <c r="N43" s="18"/>
    </row>
    <row r="44" spans="2:14" ht="15" customHeight="1" x14ac:dyDescent="0.25">
      <c r="B44" s="20"/>
      <c r="C44" s="5" t="s">
        <v>216</v>
      </c>
      <c r="D44" s="6" t="s">
        <v>46</v>
      </c>
      <c r="E44" s="11">
        <v>1.73E-3</v>
      </c>
      <c r="F44" s="1"/>
      <c r="G44" s="1"/>
      <c r="H44" s="1"/>
      <c r="I44" s="1"/>
      <c r="J44" s="1"/>
      <c r="K44" s="1"/>
      <c r="L44" s="1"/>
      <c r="M44" s="1"/>
      <c r="N44" s="18"/>
    </row>
    <row r="45" spans="2:14" ht="15" customHeight="1" x14ac:dyDescent="0.25">
      <c r="B45" s="20"/>
      <c r="C45" s="5" t="s">
        <v>218</v>
      </c>
      <c r="D45" s="6" t="s">
        <v>46</v>
      </c>
      <c r="E45" s="11">
        <v>1.7290000000000001E-3</v>
      </c>
      <c r="F45" s="1"/>
      <c r="G45" s="1"/>
      <c r="H45" s="1"/>
      <c r="I45" s="1"/>
      <c r="J45" s="1"/>
      <c r="K45" s="1"/>
      <c r="L45" s="1"/>
      <c r="M45" s="1"/>
      <c r="N45" s="18"/>
    </row>
    <row r="46" spans="2:14" ht="15" customHeight="1" x14ac:dyDescent="0.25">
      <c r="B46" s="20"/>
      <c r="C46" s="5" t="s">
        <v>220</v>
      </c>
      <c r="D46" s="6" t="s">
        <v>46</v>
      </c>
      <c r="E46" s="11">
        <v>1.3879999999999999E-3</v>
      </c>
      <c r="F46" s="1"/>
      <c r="G46" s="1"/>
      <c r="H46" s="1"/>
      <c r="I46" s="1"/>
      <c r="J46" s="1"/>
      <c r="K46" s="1"/>
      <c r="L46" s="1"/>
      <c r="M46" s="1"/>
      <c r="N46" s="18"/>
    </row>
    <row r="47" spans="2:14" ht="15" customHeight="1" x14ac:dyDescent="0.25">
      <c r="B47" s="20"/>
      <c r="C47" s="5" t="s">
        <v>221</v>
      </c>
      <c r="D47" s="6" t="s">
        <v>46</v>
      </c>
      <c r="E47" s="11">
        <v>1.041E-3</v>
      </c>
      <c r="F47" s="1"/>
      <c r="G47" s="1"/>
      <c r="H47" s="1"/>
      <c r="I47" s="1"/>
      <c r="J47" s="1"/>
      <c r="K47" s="1"/>
      <c r="L47" s="1"/>
      <c r="M47" s="1"/>
      <c r="N47" s="18"/>
    </row>
    <row r="48" spans="2:14" ht="15" customHeight="1" x14ac:dyDescent="0.25">
      <c r="B48" s="20"/>
      <c r="C48" s="5" t="s">
        <v>231</v>
      </c>
      <c r="D48" s="6" t="s">
        <v>46</v>
      </c>
      <c r="E48" s="11">
        <v>6.9399999999999996E-4</v>
      </c>
      <c r="F48" s="1"/>
      <c r="G48" s="1"/>
      <c r="H48" s="1"/>
      <c r="I48" s="1"/>
      <c r="J48" s="1"/>
      <c r="K48" s="1"/>
      <c r="L48" s="1"/>
      <c r="M48" s="1"/>
      <c r="N48" s="18"/>
    </row>
    <row r="49" spans="2:14" ht="15" customHeight="1" x14ac:dyDescent="0.25">
      <c r="B49" s="20"/>
      <c r="C49" s="5" t="s">
        <v>232</v>
      </c>
      <c r="D49" s="6" t="s">
        <v>46</v>
      </c>
      <c r="E49" s="11">
        <v>6.9399999999999996E-4</v>
      </c>
      <c r="F49" s="1"/>
      <c r="G49" s="1"/>
      <c r="H49" s="1"/>
      <c r="I49" s="1"/>
      <c r="J49" s="1"/>
      <c r="K49" s="1"/>
      <c r="L49" s="1"/>
      <c r="M49" s="1"/>
      <c r="N49" s="18"/>
    </row>
    <row r="50" spans="2:14" ht="15" customHeight="1" x14ac:dyDescent="0.25">
      <c r="B50" s="20"/>
      <c r="C50" s="5" t="s">
        <v>229</v>
      </c>
      <c r="D50" s="6" t="s">
        <v>46</v>
      </c>
      <c r="E50" s="11">
        <v>6.8400000000000004E-4</v>
      </c>
      <c r="F50" s="1"/>
      <c r="G50" s="1"/>
      <c r="H50" s="1"/>
      <c r="I50" s="1"/>
      <c r="J50" s="1"/>
      <c r="K50" s="1"/>
      <c r="L50" s="1"/>
      <c r="M50" s="1"/>
      <c r="N50" s="18"/>
    </row>
    <row r="51" spans="2:14" ht="15" customHeight="1" x14ac:dyDescent="0.25">
      <c r="B51" s="20"/>
      <c r="C51" s="5" t="s">
        <v>230</v>
      </c>
      <c r="D51" s="6" t="s">
        <v>46</v>
      </c>
      <c r="E51" s="11">
        <v>3.4400000000000001E-4</v>
      </c>
      <c r="F51" s="1"/>
      <c r="G51" s="1"/>
      <c r="H51" s="1"/>
      <c r="I51" s="1"/>
      <c r="J51" s="1"/>
      <c r="K51" s="1"/>
      <c r="L51" s="1"/>
      <c r="M51" s="1"/>
      <c r="N51" s="18"/>
    </row>
    <row r="52" spans="2:14" ht="15" customHeight="1" x14ac:dyDescent="0.25">
      <c r="B52" s="20"/>
      <c r="C52" s="5" t="s">
        <v>228</v>
      </c>
      <c r="D52" s="6" t="s">
        <v>46</v>
      </c>
      <c r="E52" s="11">
        <v>8.1000000000000004E-5</v>
      </c>
      <c r="F52" s="1"/>
      <c r="G52" s="1"/>
      <c r="H52" s="1"/>
      <c r="I52" s="1"/>
      <c r="J52" s="1"/>
      <c r="K52" s="1"/>
      <c r="L52" s="1"/>
      <c r="M52" s="1"/>
      <c r="N52" s="18"/>
    </row>
    <row r="53" spans="2:14" ht="15" customHeight="1" x14ac:dyDescent="0.25">
      <c r="B53" s="20"/>
      <c r="C53" s="7" t="s">
        <v>51</v>
      </c>
      <c r="D53" s="8"/>
      <c r="E53" s="12">
        <v>5.7383999999999998E-2</v>
      </c>
      <c r="F53" s="1"/>
      <c r="G53" s="1"/>
      <c r="H53" s="1"/>
      <c r="I53" s="1"/>
      <c r="J53" s="1"/>
      <c r="K53" s="1"/>
      <c r="L53" s="1"/>
      <c r="M53" s="1"/>
      <c r="N53" s="18"/>
    </row>
    <row r="54" spans="2:14" ht="15" customHeight="1" x14ac:dyDescent="0.25">
      <c r="B54" s="20"/>
      <c r="C54" s="5" t="s">
        <v>9</v>
      </c>
      <c r="D54" s="6"/>
      <c r="E54" s="11">
        <v>9.6539999999999994E-3</v>
      </c>
      <c r="F54" s="1"/>
      <c r="G54" s="1"/>
      <c r="H54" s="1"/>
      <c r="I54" s="1"/>
      <c r="J54" s="1"/>
      <c r="K54" s="1"/>
      <c r="L54" s="1"/>
      <c r="M54" s="1"/>
      <c r="N54" s="18"/>
    </row>
    <row r="55" spans="2:14" ht="15" customHeight="1" x14ac:dyDescent="0.25">
      <c r="B55" s="20"/>
      <c r="C55" s="7" t="s">
        <v>10</v>
      </c>
      <c r="D55" s="8"/>
      <c r="E55" s="12">
        <v>9.6539999999999994E-3</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7" t="s">
        <v>11</v>
      </c>
      <c r="D57" s="8"/>
      <c r="E57" s="12">
        <v>2.7934E-2</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12</v>
      </c>
      <c r="D59" s="10"/>
      <c r="E59" s="13">
        <v>1</v>
      </c>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35" customHeight="1" thickBot="1" x14ac:dyDescent="0.3">
      <c r="B63" s="41" t="s">
        <v>184</v>
      </c>
      <c r="C63" s="42"/>
      <c r="D63" s="42"/>
      <c r="E63" s="42"/>
      <c r="F63" s="42"/>
      <c r="G63" s="42"/>
      <c r="H63" s="42"/>
      <c r="I63" s="42"/>
      <c r="J63" s="42"/>
      <c r="K63" s="42"/>
      <c r="L63" s="42"/>
      <c r="M63" s="42"/>
      <c r="N63" s="43"/>
    </row>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sheetData>
  <sortState ref="C34:E52">
    <sortCondition descending="1" ref="E34"/>
  </sortState>
  <mergeCells count="6">
    <mergeCell ref="B63:N63"/>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87345-C10B-45D2-AFCF-6C8A13BC1DD1}">
  <dimension ref="B1:N9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78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79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29</v>
      </c>
      <c r="D8" s="6" t="s">
        <v>23</v>
      </c>
      <c r="E8" s="11">
        <v>2.8603E-2</v>
      </c>
      <c r="F8" s="1"/>
      <c r="G8" s="24" t="s">
        <v>16</v>
      </c>
      <c r="H8" s="25">
        <v>1</v>
      </c>
      <c r="I8" s="1"/>
      <c r="J8" s="24" t="s">
        <v>13</v>
      </c>
      <c r="K8" s="24" t="s">
        <v>5</v>
      </c>
      <c r="L8" s="1"/>
      <c r="M8" s="1"/>
      <c r="N8" s="18"/>
    </row>
    <row r="9" spans="2:14" ht="15" customHeight="1" x14ac:dyDescent="0.25">
      <c r="B9" s="20"/>
      <c r="C9" s="5" t="s">
        <v>24</v>
      </c>
      <c r="D9" s="6" t="s">
        <v>23</v>
      </c>
      <c r="E9" s="11">
        <v>6.8329999999999997E-3</v>
      </c>
      <c r="F9" s="1"/>
      <c r="G9" s="1"/>
      <c r="H9" s="1"/>
      <c r="I9" s="1"/>
      <c r="J9" s="24" t="s">
        <v>11</v>
      </c>
      <c r="K9" s="28">
        <v>2.818E-2</v>
      </c>
      <c r="L9" s="1"/>
      <c r="M9" s="1"/>
      <c r="N9" s="18"/>
    </row>
    <row r="10" spans="2:14" ht="15" customHeight="1" x14ac:dyDescent="0.25">
      <c r="B10" s="20"/>
      <c r="C10" s="5" t="s">
        <v>36</v>
      </c>
      <c r="D10" s="6" t="s">
        <v>23</v>
      </c>
      <c r="E10" s="11">
        <v>1.7080000000000001E-3</v>
      </c>
      <c r="F10" s="1"/>
      <c r="G10" s="1"/>
      <c r="H10" s="1"/>
      <c r="I10" s="1"/>
      <c r="J10" s="24" t="s">
        <v>14</v>
      </c>
      <c r="K10" s="28">
        <v>1.7080000000000001E-3</v>
      </c>
      <c r="L10" s="1"/>
      <c r="M10" s="1"/>
      <c r="N10" s="18"/>
    </row>
    <row r="11" spans="2:14" ht="15.75" customHeight="1" x14ac:dyDescent="0.25">
      <c r="B11" s="20"/>
      <c r="C11" s="7" t="s">
        <v>25</v>
      </c>
      <c r="D11" s="8"/>
      <c r="E11" s="12">
        <v>3.7144000000000003E-2</v>
      </c>
      <c r="F11" s="1"/>
      <c r="G11" s="1"/>
      <c r="H11" s="1"/>
      <c r="I11" s="1"/>
      <c r="J11" s="24" t="s">
        <v>52</v>
      </c>
      <c r="K11" s="28">
        <v>3.7144000000000003E-2</v>
      </c>
      <c r="L11" s="1"/>
      <c r="M11" s="1"/>
      <c r="N11" s="18"/>
    </row>
    <row r="12" spans="2:14" ht="15" customHeight="1" x14ac:dyDescent="0.25">
      <c r="B12" s="20"/>
      <c r="C12" s="5" t="s">
        <v>30</v>
      </c>
      <c r="D12" s="6" t="s">
        <v>23</v>
      </c>
      <c r="E12" s="11">
        <v>2.562E-2</v>
      </c>
      <c r="F12" s="1"/>
      <c r="G12" s="1"/>
      <c r="H12" s="1"/>
      <c r="I12" s="1"/>
      <c r="J12" s="24" t="s">
        <v>53</v>
      </c>
      <c r="K12" s="28">
        <v>0.75125500000000001</v>
      </c>
      <c r="L12" s="1"/>
      <c r="M12" s="1"/>
      <c r="N12" s="18"/>
    </row>
    <row r="13" spans="2:14" ht="15" customHeight="1" x14ac:dyDescent="0.25">
      <c r="B13" s="20"/>
      <c r="C13" s="5" t="s">
        <v>73</v>
      </c>
      <c r="D13" s="6" t="s">
        <v>23</v>
      </c>
      <c r="E13" s="11">
        <v>2.0525000000000002E-2</v>
      </c>
      <c r="F13" s="1"/>
      <c r="G13" s="1"/>
      <c r="H13" s="1"/>
      <c r="I13" s="1"/>
      <c r="J13" s="24" t="s">
        <v>77</v>
      </c>
      <c r="K13" s="28">
        <v>7.6985999999999999E-2</v>
      </c>
      <c r="L13" s="1"/>
      <c r="M13" s="1"/>
      <c r="N13" s="18"/>
    </row>
    <row r="14" spans="2:14" ht="15" customHeight="1" x14ac:dyDescent="0.25">
      <c r="B14" s="20"/>
      <c r="C14" s="5" t="s">
        <v>74</v>
      </c>
      <c r="D14" s="6" t="s">
        <v>23</v>
      </c>
      <c r="E14" s="11">
        <v>1.7181999999999999E-2</v>
      </c>
      <c r="F14" s="1"/>
      <c r="G14" s="1"/>
      <c r="H14" s="1"/>
      <c r="I14" s="1"/>
      <c r="J14" s="24" t="s">
        <v>54</v>
      </c>
      <c r="K14" s="28">
        <v>3.5300000000000002E-4</v>
      </c>
      <c r="L14" s="1"/>
      <c r="M14" s="1"/>
      <c r="N14" s="18"/>
    </row>
    <row r="15" spans="2:14" ht="15" customHeight="1" x14ac:dyDescent="0.25">
      <c r="B15" s="20"/>
      <c r="C15" s="5" t="s">
        <v>29</v>
      </c>
      <c r="D15" s="6" t="s">
        <v>23</v>
      </c>
      <c r="E15" s="11">
        <v>1.3658999999999999E-2</v>
      </c>
      <c r="F15" s="1"/>
      <c r="G15" s="1"/>
      <c r="H15" s="1"/>
      <c r="I15" s="1"/>
      <c r="J15" s="24" t="s">
        <v>55</v>
      </c>
      <c r="K15" s="28">
        <v>2.8103E-2</v>
      </c>
      <c r="L15" s="1"/>
      <c r="M15" s="1"/>
      <c r="N15" s="18"/>
    </row>
    <row r="16" spans="2:14" ht="15.75" customHeight="1" x14ac:dyDescent="0.25">
      <c r="B16" s="20"/>
      <c r="C16" s="7" t="s">
        <v>75</v>
      </c>
      <c r="D16" s="8"/>
      <c r="E16" s="12">
        <v>7.6985999999999999E-2</v>
      </c>
      <c r="F16" s="1"/>
      <c r="G16" s="1"/>
      <c r="H16" s="1"/>
      <c r="I16" s="1"/>
      <c r="J16" s="24" t="s">
        <v>92</v>
      </c>
      <c r="K16" s="28">
        <v>7.3513999999999996E-2</v>
      </c>
      <c r="L16" s="1"/>
      <c r="M16" s="1"/>
      <c r="N16" s="18"/>
    </row>
    <row r="17" spans="2:14" ht="15" customHeight="1" x14ac:dyDescent="0.25">
      <c r="B17" s="20"/>
      <c r="C17" s="5" t="s">
        <v>26</v>
      </c>
      <c r="D17" s="6" t="s">
        <v>27</v>
      </c>
      <c r="E17" s="11">
        <v>0.10668900000000001</v>
      </c>
      <c r="F17" s="1"/>
      <c r="G17" s="1"/>
      <c r="H17" s="1"/>
      <c r="I17" s="1"/>
      <c r="J17" s="24" t="s">
        <v>93</v>
      </c>
      <c r="K17" s="28">
        <v>2.7569999999999999E-3</v>
      </c>
      <c r="L17" s="1"/>
      <c r="M17" s="1"/>
      <c r="N17" s="18"/>
    </row>
    <row r="18" spans="2:14" ht="15" customHeight="1" x14ac:dyDescent="0.25">
      <c r="B18" s="20"/>
      <c r="C18" s="5" t="s">
        <v>39</v>
      </c>
      <c r="D18" s="6" t="s">
        <v>27</v>
      </c>
      <c r="E18" s="11">
        <v>0.102313</v>
      </c>
      <c r="F18" s="1"/>
      <c r="G18" s="1"/>
      <c r="H18" s="1"/>
      <c r="I18" s="1"/>
      <c r="J18" s="1"/>
      <c r="K18" s="1"/>
      <c r="L18" s="1"/>
      <c r="M18" s="1"/>
      <c r="N18" s="18"/>
    </row>
    <row r="19" spans="2:14" ht="15" customHeight="1" x14ac:dyDescent="0.25">
      <c r="B19" s="20"/>
      <c r="C19" s="5" t="s">
        <v>30</v>
      </c>
      <c r="D19" s="6" t="s">
        <v>27</v>
      </c>
      <c r="E19" s="11">
        <v>9.0812000000000004E-2</v>
      </c>
      <c r="F19" s="1"/>
      <c r="G19" s="1"/>
      <c r="H19" s="1"/>
      <c r="I19" s="1"/>
      <c r="J19" s="1"/>
      <c r="K19" s="1"/>
      <c r="L19" s="1"/>
      <c r="M19" s="1"/>
      <c r="N19" s="18"/>
    </row>
    <row r="20" spans="2:14" ht="15" customHeight="1" x14ac:dyDescent="0.25">
      <c r="B20" s="20"/>
      <c r="C20" s="5" t="s">
        <v>32</v>
      </c>
      <c r="D20" s="6" t="s">
        <v>27</v>
      </c>
      <c r="E20" s="11">
        <v>8.6550000000000002E-2</v>
      </c>
      <c r="F20" s="1"/>
      <c r="G20" s="1"/>
      <c r="H20" s="1"/>
      <c r="I20" s="1"/>
      <c r="J20" s="1"/>
      <c r="K20" s="1"/>
      <c r="L20" s="1"/>
      <c r="M20" s="1"/>
      <c r="N20" s="18"/>
    </row>
    <row r="21" spans="2:14" ht="15" customHeight="1" x14ac:dyDescent="0.25">
      <c r="B21" s="20"/>
      <c r="C21" s="5" t="s">
        <v>80</v>
      </c>
      <c r="D21" s="6" t="s">
        <v>27</v>
      </c>
      <c r="E21" s="11">
        <v>6.1032000000000003E-2</v>
      </c>
      <c r="F21" s="1"/>
      <c r="G21" s="1"/>
      <c r="H21" s="1"/>
      <c r="I21" s="1"/>
      <c r="J21" s="1"/>
      <c r="K21" s="1"/>
      <c r="L21" s="1"/>
      <c r="M21" s="1"/>
      <c r="N21" s="18"/>
    </row>
    <row r="22" spans="2:14" ht="15" customHeight="1" x14ac:dyDescent="0.25">
      <c r="B22" s="20"/>
      <c r="C22" s="5" t="s">
        <v>40</v>
      </c>
      <c r="D22" s="6" t="s">
        <v>27</v>
      </c>
      <c r="E22" s="11">
        <v>5.389E-2</v>
      </c>
      <c r="F22" s="1"/>
      <c r="G22" s="1"/>
      <c r="H22" s="1"/>
      <c r="I22" s="1"/>
      <c r="J22" s="1"/>
      <c r="K22" s="1"/>
      <c r="L22" s="1"/>
      <c r="M22" s="1"/>
      <c r="N22" s="18"/>
    </row>
    <row r="23" spans="2:14" ht="15" customHeight="1" x14ac:dyDescent="0.25">
      <c r="B23" s="20"/>
      <c r="C23" s="5" t="s">
        <v>36</v>
      </c>
      <c r="D23" s="6" t="s">
        <v>27</v>
      </c>
      <c r="E23" s="11">
        <v>3.5624000000000003E-2</v>
      </c>
      <c r="F23" s="1"/>
      <c r="G23" s="1"/>
      <c r="H23" s="1"/>
      <c r="I23" s="1"/>
      <c r="J23" s="1"/>
      <c r="K23" s="1"/>
      <c r="L23" s="1"/>
      <c r="M23" s="1"/>
      <c r="N23" s="18"/>
    </row>
    <row r="24" spans="2:14" ht="15" customHeight="1" x14ac:dyDescent="0.25">
      <c r="B24" s="20"/>
      <c r="C24" s="5" t="s">
        <v>28</v>
      </c>
      <c r="D24" s="6" t="s">
        <v>27</v>
      </c>
      <c r="E24" s="11">
        <v>2.7392E-2</v>
      </c>
      <c r="F24" s="1"/>
      <c r="G24" s="49" t="s">
        <v>18</v>
      </c>
      <c r="H24" s="50"/>
      <c r="I24" s="50"/>
      <c r="J24" s="50"/>
      <c r="K24" s="50"/>
      <c r="L24" s="101">
        <v>0.4606054594357929</v>
      </c>
      <c r="M24" s="26"/>
      <c r="N24" s="27"/>
    </row>
    <row r="25" spans="2:14" ht="15" customHeight="1" x14ac:dyDescent="0.25">
      <c r="B25" s="20"/>
      <c r="C25" s="5" t="s">
        <v>73</v>
      </c>
      <c r="D25" s="6" t="s">
        <v>27</v>
      </c>
      <c r="E25" s="11">
        <v>2.2020999999999999E-2</v>
      </c>
      <c r="F25" s="1"/>
      <c r="G25" s="1"/>
      <c r="H25" s="1"/>
      <c r="I25" s="1"/>
      <c r="J25" s="1"/>
      <c r="K25" s="1"/>
      <c r="L25" s="1"/>
      <c r="M25" s="1"/>
      <c r="N25" s="18"/>
    </row>
    <row r="26" spans="2:14" ht="15" customHeight="1" x14ac:dyDescent="0.25">
      <c r="B26" s="20"/>
      <c r="C26" s="5" t="s">
        <v>35</v>
      </c>
      <c r="D26" s="6" t="s">
        <v>27</v>
      </c>
      <c r="E26" s="11">
        <v>2.2012E-2</v>
      </c>
      <c r="F26" s="1"/>
      <c r="G26" s="49" t="s">
        <v>19</v>
      </c>
      <c r="H26" s="50"/>
      <c r="I26" s="50"/>
      <c r="J26" s="50"/>
      <c r="K26" s="50"/>
      <c r="L26" s="50"/>
      <c r="M26" s="50"/>
      <c r="N26" s="51"/>
    </row>
    <row r="27" spans="2:14" ht="15" customHeight="1" x14ac:dyDescent="0.25">
      <c r="B27" s="20"/>
      <c r="C27" s="5" t="s">
        <v>29</v>
      </c>
      <c r="D27" s="6" t="s">
        <v>27</v>
      </c>
      <c r="E27" s="11">
        <v>2.1967E-2</v>
      </c>
      <c r="F27" s="1"/>
      <c r="G27" s="1"/>
      <c r="H27" s="1"/>
      <c r="I27" s="1"/>
      <c r="J27" s="1"/>
      <c r="K27" s="1"/>
      <c r="L27" s="1"/>
      <c r="M27" s="1"/>
      <c r="N27" s="18"/>
    </row>
    <row r="28" spans="2:14" ht="15" customHeight="1" x14ac:dyDescent="0.25">
      <c r="B28" s="20"/>
      <c r="C28" s="5" t="s">
        <v>33</v>
      </c>
      <c r="D28" s="6" t="s">
        <v>27</v>
      </c>
      <c r="E28" s="11">
        <v>1.9959999999999999E-2</v>
      </c>
      <c r="F28" s="1"/>
      <c r="G28" s="1"/>
      <c r="H28" s="1"/>
      <c r="I28" s="1"/>
      <c r="J28" s="1"/>
      <c r="K28" s="1"/>
      <c r="L28" s="1"/>
      <c r="M28" s="1"/>
      <c r="N28" s="18"/>
    </row>
    <row r="29" spans="2:14" ht="15" customHeight="1" x14ac:dyDescent="0.25">
      <c r="B29" s="20"/>
      <c r="C29" s="5" t="s">
        <v>81</v>
      </c>
      <c r="D29" s="6" t="s">
        <v>27</v>
      </c>
      <c r="E29" s="11">
        <v>1.9354E-2</v>
      </c>
      <c r="F29" s="1"/>
      <c r="G29" s="1"/>
      <c r="H29" s="1"/>
      <c r="I29" s="1"/>
      <c r="J29" s="1"/>
      <c r="K29" s="1"/>
      <c r="L29" s="1"/>
      <c r="M29" s="1"/>
      <c r="N29" s="18"/>
    </row>
    <row r="30" spans="2:14" ht="15" customHeight="1" x14ac:dyDescent="0.25">
      <c r="B30" s="20"/>
      <c r="C30" s="5" t="s">
        <v>31</v>
      </c>
      <c r="D30" s="6" t="s">
        <v>27</v>
      </c>
      <c r="E30" s="11">
        <v>1.6938000000000002E-2</v>
      </c>
      <c r="F30" s="1"/>
      <c r="G30" s="1"/>
      <c r="H30" s="1"/>
      <c r="I30" s="1"/>
      <c r="J30" s="1"/>
      <c r="K30" s="1"/>
      <c r="L30" s="1"/>
      <c r="M30" s="1"/>
      <c r="N30" s="18"/>
    </row>
    <row r="31" spans="2:14" ht="15" customHeight="1" x14ac:dyDescent="0.25">
      <c r="B31" s="20"/>
      <c r="C31" s="5" t="s">
        <v>34</v>
      </c>
      <c r="D31" s="6" t="s">
        <v>27</v>
      </c>
      <c r="E31" s="11">
        <v>1.4846E-2</v>
      </c>
      <c r="F31" s="1"/>
      <c r="G31" s="1"/>
      <c r="H31" s="1"/>
      <c r="I31" s="1"/>
      <c r="J31" s="1"/>
      <c r="K31" s="1"/>
      <c r="L31" s="1"/>
      <c r="M31" s="1"/>
      <c r="N31" s="18"/>
    </row>
    <row r="32" spans="2:14" ht="15" customHeight="1" x14ac:dyDescent="0.25">
      <c r="B32" s="20"/>
      <c r="C32" s="5" t="s">
        <v>82</v>
      </c>
      <c r="D32" s="6" t="s">
        <v>27</v>
      </c>
      <c r="E32" s="11">
        <v>1.4671999999999999E-2</v>
      </c>
      <c r="F32" s="1"/>
      <c r="G32" s="1"/>
      <c r="H32" s="1"/>
      <c r="I32" s="1"/>
      <c r="J32" s="1"/>
      <c r="K32" s="1"/>
      <c r="L32" s="1"/>
      <c r="M32" s="1"/>
      <c r="N32" s="18"/>
    </row>
    <row r="33" spans="2:14" ht="15" customHeight="1" x14ac:dyDescent="0.25">
      <c r="B33" s="20"/>
      <c r="C33" s="5" t="s">
        <v>83</v>
      </c>
      <c r="D33" s="6" t="s">
        <v>27</v>
      </c>
      <c r="E33" s="11">
        <v>1.1887E-2</v>
      </c>
      <c r="F33" s="1"/>
      <c r="G33" s="1"/>
      <c r="H33" s="1"/>
      <c r="I33" s="1"/>
      <c r="J33" s="1"/>
      <c r="K33" s="1"/>
      <c r="L33" s="1"/>
      <c r="M33" s="1"/>
      <c r="N33" s="18"/>
    </row>
    <row r="34" spans="2:14" ht="15" customHeight="1" x14ac:dyDescent="0.25">
      <c r="B34" s="20"/>
      <c r="C34" s="5" t="s">
        <v>41</v>
      </c>
      <c r="D34" s="6" t="s">
        <v>27</v>
      </c>
      <c r="E34" s="11">
        <v>8.8350000000000008E-3</v>
      </c>
      <c r="F34" s="1"/>
      <c r="G34" s="1"/>
      <c r="H34" s="1"/>
      <c r="I34" s="1"/>
      <c r="J34" s="1"/>
      <c r="K34" s="1"/>
      <c r="L34" s="1"/>
      <c r="M34" s="1"/>
      <c r="N34" s="18"/>
    </row>
    <row r="35" spans="2:14" ht="15" customHeight="1" x14ac:dyDescent="0.25">
      <c r="B35" s="20"/>
      <c r="C35" s="5" t="s">
        <v>42</v>
      </c>
      <c r="D35" s="6" t="s">
        <v>27</v>
      </c>
      <c r="E35" s="11">
        <v>6.352E-3</v>
      </c>
      <c r="F35" s="1"/>
      <c r="G35" s="1"/>
      <c r="H35" s="1"/>
      <c r="I35" s="1"/>
      <c r="J35" s="1"/>
      <c r="K35" s="1"/>
      <c r="L35" s="1"/>
      <c r="M35" s="1"/>
      <c r="N35" s="18"/>
    </row>
    <row r="36" spans="2:14" ht="15" customHeight="1" x14ac:dyDescent="0.25">
      <c r="B36" s="20"/>
      <c r="C36" s="5" t="s">
        <v>84</v>
      </c>
      <c r="D36" s="6" t="s">
        <v>27</v>
      </c>
      <c r="E36" s="11">
        <v>5.2950000000000002E-3</v>
      </c>
      <c r="F36" s="1"/>
      <c r="G36" s="1"/>
      <c r="H36" s="1"/>
      <c r="I36" s="1"/>
      <c r="J36" s="1"/>
      <c r="K36" s="1"/>
      <c r="L36" s="1"/>
      <c r="M36" s="1"/>
      <c r="N36" s="18"/>
    </row>
    <row r="37" spans="2:14" ht="15" customHeight="1" x14ac:dyDescent="0.25">
      <c r="B37" s="20"/>
      <c r="C37" s="5" t="s">
        <v>74</v>
      </c>
      <c r="D37" s="6" t="s">
        <v>27</v>
      </c>
      <c r="E37" s="11">
        <v>1.738E-3</v>
      </c>
      <c r="F37" s="1"/>
      <c r="G37" s="1"/>
      <c r="H37" s="1"/>
      <c r="I37" s="1"/>
      <c r="J37" s="1"/>
      <c r="K37" s="1"/>
      <c r="L37" s="1"/>
      <c r="M37" s="1"/>
      <c r="N37" s="18"/>
    </row>
    <row r="38" spans="2:14" ht="15" customHeight="1" x14ac:dyDescent="0.25">
      <c r="B38" s="20"/>
      <c r="C38" s="5" t="s">
        <v>85</v>
      </c>
      <c r="D38" s="6" t="s">
        <v>27</v>
      </c>
      <c r="E38" s="11">
        <v>1.0759999999999999E-3</v>
      </c>
      <c r="F38" s="1"/>
      <c r="G38" s="1"/>
      <c r="H38" s="1"/>
      <c r="I38" s="1"/>
      <c r="J38" s="1"/>
      <c r="K38" s="1"/>
      <c r="L38" s="1"/>
      <c r="M38" s="1"/>
      <c r="N38" s="18"/>
    </row>
    <row r="39" spans="2:14" ht="15.75" customHeight="1" x14ac:dyDescent="0.25">
      <c r="B39" s="20"/>
      <c r="C39" s="7" t="s">
        <v>44</v>
      </c>
      <c r="D39" s="8"/>
      <c r="E39" s="12">
        <v>0.75125500000000001</v>
      </c>
      <c r="F39" s="1"/>
      <c r="G39" s="1"/>
      <c r="H39" s="1"/>
      <c r="I39" s="1"/>
      <c r="J39" s="1"/>
      <c r="K39" s="1"/>
      <c r="L39" s="1"/>
      <c r="M39" s="1"/>
      <c r="N39" s="18"/>
    </row>
    <row r="40" spans="2:14" ht="15" customHeight="1" x14ac:dyDescent="0.25">
      <c r="B40" s="20"/>
      <c r="C40" s="5" t="s">
        <v>86</v>
      </c>
      <c r="D40" s="6" t="s">
        <v>46</v>
      </c>
      <c r="E40" s="11">
        <v>3.5300000000000002E-4</v>
      </c>
      <c r="F40" s="1"/>
      <c r="G40" s="1"/>
      <c r="H40" s="1"/>
      <c r="I40" s="1"/>
      <c r="J40" s="1"/>
      <c r="K40" s="1"/>
      <c r="L40" s="1"/>
      <c r="M40" s="1"/>
      <c r="N40" s="18"/>
    </row>
    <row r="41" spans="2:14" ht="15.75" customHeight="1" x14ac:dyDescent="0.25">
      <c r="B41" s="20"/>
      <c r="C41" s="7" t="s">
        <v>50</v>
      </c>
      <c r="D41" s="8"/>
      <c r="E41" s="12">
        <v>3.5300000000000002E-4</v>
      </c>
      <c r="F41" s="1"/>
      <c r="G41" s="1"/>
      <c r="H41" s="1"/>
      <c r="I41" s="1"/>
      <c r="J41" s="1"/>
      <c r="K41" s="1"/>
      <c r="L41" s="1"/>
      <c r="M41" s="1"/>
      <c r="N41" s="18"/>
    </row>
    <row r="42" spans="2:14" ht="15" customHeight="1" x14ac:dyDescent="0.25">
      <c r="B42" s="20"/>
      <c r="C42" s="5" t="s">
        <v>243</v>
      </c>
      <c r="D42" s="6" t="s">
        <v>46</v>
      </c>
      <c r="E42" s="11">
        <v>4.2839999999999996E-3</v>
      </c>
      <c r="F42" s="1"/>
      <c r="G42" s="1"/>
      <c r="H42" s="1"/>
      <c r="I42" s="1"/>
      <c r="J42" s="1"/>
      <c r="K42" s="1"/>
      <c r="L42" s="1"/>
      <c r="M42" s="1"/>
      <c r="N42" s="18"/>
    </row>
    <row r="43" spans="2:14" ht="15.75" customHeight="1" x14ac:dyDescent="0.25">
      <c r="B43" s="20"/>
      <c r="C43" s="5" t="s">
        <v>247</v>
      </c>
      <c r="D43" s="6" t="s">
        <v>46</v>
      </c>
      <c r="E43" s="11">
        <v>3.5660000000000002E-3</v>
      </c>
      <c r="F43" s="1"/>
      <c r="G43" s="1"/>
      <c r="H43" s="1"/>
      <c r="I43" s="1"/>
      <c r="J43" s="1"/>
      <c r="K43" s="1"/>
      <c r="L43" s="1"/>
      <c r="M43" s="1"/>
      <c r="N43" s="18"/>
    </row>
    <row r="44" spans="2:14" ht="15" customHeight="1" x14ac:dyDescent="0.25">
      <c r="B44" s="20"/>
      <c r="C44" s="5" t="s">
        <v>249</v>
      </c>
      <c r="D44" s="6" t="s">
        <v>46</v>
      </c>
      <c r="E44" s="11">
        <v>2.9859999999999999E-3</v>
      </c>
      <c r="F44" s="1"/>
      <c r="G44" s="1"/>
      <c r="H44" s="1"/>
      <c r="I44" s="1"/>
      <c r="J44" s="1"/>
      <c r="K44" s="1"/>
      <c r="L44" s="1"/>
      <c r="M44" s="1"/>
      <c r="N44" s="18"/>
    </row>
    <row r="45" spans="2:14" ht="15" customHeight="1" x14ac:dyDescent="0.25">
      <c r="B45" s="20"/>
      <c r="C45" s="5" t="s">
        <v>242</v>
      </c>
      <c r="D45" s="6" t="s">
        <v>46</v>
      </c>
      <c r="E45" s="11">
        <v>2.496E-3</v>
      </c>
      <c r="F45" s="1"/>
      <c r="G45" s="1"/>
      <c r="H45" s="1"/>
      <c r="I45" s="1"/>
      <c r="J45" s="1"/>
      <c r="K45" s="1"/>
      <c r="L45" s="1"/>
      <c r="M45" s="1"/>
      <c r="N45" s="18"/>
    </row>
    <row r="46" spans="2:14" ht="15" customHeight="1" x14ac:dyDescent="0.25">
      <c r="B46" s="20"/>
      <c r="C46" s="5" t="s">
        <v>236</v>
      </c>
      <c r="D46" s="6" t="s">
        <v>46</v>
      </c>
      <c r="E46" s="11">
        <v>2.4889999999999999E-3</v>
      </c>
      <c r="F46" s="1"/>
      <c r="G46" s="1"/>
      <c r="H46" s="1"/>
      <c r="I46" s="1"/>
      <c r="J46" s="1"/>
      <c r="K46" s="1"/>
      <c r="L46" s="1"/>
      <c r="M46" s="1"/>
      <c r="N46" s="18"/>
    </row>
    <row r="47" spans="2:14" ht="15.75" customHeight="1" x14ac:dyDescent="0.25">
      <c r="B47" s="20"/>
      <c r="C47" s="5" t="s">
        <v>237</v>
      </c>
      <c r="D47" s="6" t="s">
        <v>46</v>
      </c>
      <c r="E47" s="11">
        <v>2.134E-3</v>
      </c>
      <c r="F47" s="1"/>
      <c r="G47" s="1"/>
      <c r="H47" s="1"/>
      <c r="I47" s="1"/>
      <c r="J47" s="1"/>
      <c r="K47" s="1"/>
      <c r="L47" s="1"/>
      <c r="M47" s="1"/>
      <c r="N47" s="18"/>
    </row>
    <row r="48" spans="2:14" ht="15" customHeight="1" x14ac:dyDescent="0.25">
      <c r="B48" s="20"/>
      <c r="C48" s="5" t="s">
        <v>238</v>
      </c>
      <c r="D48" s="6" t="s">
        <v>46</v>
      </c>
      <c r="E48" s="11">
        <v>1.7819999999999999E-3</v>
      </c>
      <c r="F48" s="1"/>
      <c r="G48" s="1"/>
      <c r="H48" s="1"/>
      <c r="I48" s="1"/>
      <c r="J48" s="1"/>
      <c r="K48" s="1"/>
      <c r="L48" s="1"/>
      <c r="M48" s="1"/>
      <c r="N48" s="18"/>
    </row>
    <row r="49" spans="2:14" ht="15.75" customHeight="1" x14ac:dyDescent="0.25">
      <c r="B49" s="20"/>
      <c r="C49" s="5" t="s">
        <v>248</v>
      </c>
      <c r="D49" s="6" t="s">
        <v>46</v>
      </c>
      <c r="E49" s="11">
        <v>1.4270000000000001E-3</v>
      </c>
      <c r="F49" s="1"/>
      <c r="G49" s="1"/>
      <c r="H49" s="1"/>
      <c r="I49" s="1"/>
      <c r="J49" s="1"/>
      <c r="K49" s="1"/>
      <c r="L49" s="1"/>
      <c r="M49" s="1"/>
      <c r="N49" s="18"/>
    </row>
    <row r="50" spans="2:14" ht="15" customHeight="1" x14ac:dyDescent="0.25">
      <c r="B50" s="20"/>
      <c r="C50" s="5" t="s">
        <v>246</v>
      </c>
      <c r="D50" s="6" t="s">
        <v>46</v>
      </c>
      <c r="E50" s="11">
        <v>1.426E-3</v>
      </c>
      <c r="F50" s="1"/>
      <c r="G50" s="1"/>
      <c r="H50" s="1"/>
      <c r="I50" s="1"/>
      <c r="J50" s="1"/>
      <c r="K50" s="1"/>
      <c r="L50" s="1"/>
      <c r="M50" s="1"/>
      <c r="N50" s="18"/>
    </row>
    <row r="51" spans="2:14" ht="15.75" customHeight="1" x14ac:dyDescent="0.25">
      <c r="B51" s="20"/>
      <c r="C51" s="5" t="s">
        <v>235</v>
      </c>
      <c r="D51" s="6" t="s">
        <v>46</v>
      </c>
      <c r="E51" s="11">
        <v>1.421E-3</v>
      </c>
      <c r="F51" s="1"/>
      <c r="G51" s="1"/>
      <c r="H51" s="1"/>
      <c r="I51" s="1"/>
      <c r="J51" s="1"/>
      <c r="K51" s="1"/>
      <c r="L51" s="1"/>
      <c r="M51" s="1"/>
      <c r="N51" s="18"/>
    </row>
    <row r="52" spans="2:14" ht="15" customHeight="1" x14ac:dyDescent="0.25">
      <c r="B52" s="20"/>
      <c r="C52" s="5" t="s">
        <v>241</v>
      </c>
      <c r="D52" s="6" t="s">
        <v>46</v>
      </c>
      <c r="E52" s="11">
        <v>1.07E-3</v>
      </c>
      <c r="F52" s="1"/>
      <c r="G52" s="1"/>
      <c r="H52" s="1"/>
      <c r="I52" s="1"/>
      <c r="J52" s="1"/>
      <c r="K52" s="1"/>
      <c r="L52" s="1"/>
      <c r="M52" s="1"/>
      <c r="N52" s="18"/>
    </row>
    <row r="53" spans="2:14" ht="15.75" customHeight="1" x14ac:dyDescent="0.25">
      <c r="B53" s="20"/>
      <c r="C53" s="5" t="s">
        <v>245</v>
      </c>
      <c r="D53" s="6" t="s">
        <v>46</v>
      </c>
      <c r="E53" s="11">
        <v>7.1400000000000001E-4</v>
      </c>
      <c r="F53" s="1"/>
      <c r="G53" s="1"/>
      <c r="H53" s="1"/>
      <c r="I53" s="1"/>
      <c r="J53" s="1"/>
      <c r="K53" s="1"/>
      <c r="L53" s="1"/>
      <c r="M53" s="1"/>
      <c r="N53" s="18"/>
    </row>
    <row r="54" spans="2:14" ht="15" customHeight="1" x14ac:dyDescent="0.25">
      <c r="B54" s="20"/>
      <c r="C54" s="5" t="s">
        <v>239</v>
      </c>
      <c r="D54" s="6" t="s">
        <v>46</v>
      </c>
      <c r="E54" s="11">
        <v>7.1299999999999998E-4</v>
      </c>
      <c r="F54" s="1"/>
      <c r="G54" s="1"/>
      <c r="H54" s="1"/>
      <c r="I54" s="1"/>
      <c r="J54" s="1"/>
      <c r="K54" s="1"/>
      <c r="L54" s="1"/>
      <c r="M54" s="1"/>
      <c r="N54" s="18"/>
    </row>
    <row r="55" spans="2:14" ht="15" customHeight="1" x14ac:dyDescent="0.25">
      <c r="B55" s="20"/>
      <c r="C55" s="5" t="s">
        <v>240</v>
      </c>
      <c r="D55" s="6" t="s">
        <v>46</v>
      </c>
      <c r="E55" s="11">
        <v>7.1299999999999998E-4</v>
      </c>
      <c r="F55" s="1"/>
      <c r="G55" s="1"/>
      <c r="H55" s="1"/>
      <c r="I55" s="1"/>
      <c r="J55" s="1"/>
      <c r="K55" s="1"/>
      <c r="L55" s="1"/>
      <c r="M55" s="1"/>
      <c r="N55" s="18"/>
    </row>
    <row r="56" spans="2:14" ht="15" customHeight="1" x14ac:dyDescent="0.25">
      <c r="B56" s="20"/>
      <c r="C56" s="5" t="s">
        <v>244</v>
      </c>
      <c r="D56" s="6" t="s">
        <v>46</v>
      </c>
      <c r="E56" s="11">
        <v>7.1000000000000002E-4</v>
      </c>
      <c r="F56" s="1"/>
      <c r="G56" s="1"/>
      <c r="H56" s="1"/>
      <c r="I56" s="1"/>
      <c r="J56" s="1"/>
      <c r="K56" s="1"/>
      <c r="L56" s="1"/>
      <c r="M56" s="1"/>
      <c r="N56" s="18"/>
    </row>
    <row r="57" spans="2:14" ht="15" customHeight="1" x14ac:dyDescent="0.25">
      <c r="B57" s="20"/>
      <c r="C57" s="5" t="s">
        <v>250</v>
      </c>
      <c r="D57" s="6" t="s">
        <v>46</v>
      </c>
      <c r="E57" s="11">
        <v>1.7200000000000001E-4</v>
      </c>
      <c r="F57" s="1"/>
      <c r="G57" s="1"/>
      <c r="H57" s="1"/>
      <c r="I57" s="1"/>
      <c r="J57" s="1"/>
      <c r="K57" s="1"/>
      <c r="L57" s="1"/>
      <c r="M57" s="1"/>
      <c r="N57" s="18"/>
    </row>
    <row r="58" spans="2:14" ht="15" customHeight="1" x14ac:dyDescent="0.25">
      <c r="B58" s="20"/>
      <c r="C58" s="7" t="s">
        <v>51</v>
      </c>
      <c r="D58" s="8"/>
      <c r="E58" s="12">
        <v>2.8103E-2</v>
      </c>
      <c r="F58" s="1"/>
      <c r="G58" s="1"/>
      <c r="H58" s="1"/>
      <c r="I58" s="1"/>
      <c r="J58" s="1"/>
      <c r="K58" s="1"/>
      <c r="L58" s="1"/>
      <c r="M58" s="1"/>
      <c r="N58" s="18"/>
    </row>
    <row r="59" spans="2:14" ht="15" customHeight="1" x14ac:dyDescent="0.25">
      <c r="B59" s="20"/>
      <c r="C59" s="5" t="s">
        <v>87</v>
      </c>
      <c r="D59" s="6" t="s">
        <v>46</v>
      </c>
      <c r="E59" s="11">
        <v>5.4711000000000003E-2</v>
      </c>
      <c r="F59" s="1"/>
      <c r="G59" s="1"/>
      <c r="H59" s="1"/>
      <c r="I59" s="1"/>
      <c r="J59" s="1"/>
      <c r="K59" s="1"/>
      <c r="L59" s="1"/>
      <c r="M59" s="1"/>
      <c r="N59" s="18"/>
    </row>
    <row r="60" spans="2:14" ht="15" customHeight="1" x14ac:dyDescent="0.25">
      <c r="B60" s="20"/>
      <c r="C60" s="5" t="s">
        <v>88</v>
      </c>
      <c r="D60" s="6" t="s">
        <v>46</v>
      </c>
      <c r="E60" s="11">
        <v>1.0243E-2</v>
      </c>
      <c r="F60" s="1"/>
      <c r="G60" s="1"/>
      <c r="H60" s="1"/>
      <c r="I60" s="1"/>
      <c r="J60" s="1"/>
      <c r="K60" s="1"/>
      <c r="L60" s="1"/>
      <c r="M60" s="1"/>
      <c r="N60" s="18"/>
    </row>
    <row r="61" spans="2:14" ht="15" customHeight="1" x14ac:dyDescent="0.25">
      <c r="B61" s="20"/>
      <c r="C61" s="5" t="s">
        <v>89</v>
      </c>
      <c r="D61" s="6" t="s">
        <v>46</v>
      </c>
      <c r="E61" s="11">
        <v>8.5599999999999999E-3</v>
      </c>
      <c r="F61" s="1"/>
      <c r="G61" s="1"/>
      <c r="H61" s="1"/>
      <c r="I61" s="1"/>
      <c r="J61" s="1"/>
      <c r="K61" s="1"/>
      <c r="L61" s="1"/>
      <c r="M61" s="1"/>
      <c r="N61" s="18"/>
    </row>
    <row r="62" spans="2:14" ht="15" customHeight="1" x14ac:dyDescent="0.25">
      <c r="B62" s="20"/>
      <c r="C62" s="7" t="s">
        <v>90</v>
      </c>
      <c r="D62" s="8"/>
      <c r="E62" s="12">
        <v>7.3513999999999996E-2</v>
      </c>
      <c r="F62" s="1"/>
      <c r="G62" s="1"/>
      <c r="H62" s="1"/>
      <c r="I62" s="1"/>
      <c r="J62" s="1"/>
      <c r="K62" s="1"/>
      <c r="L62" s="1"/>
      <c r="M62" s="1"/>
      <c r="N62" s="18"/>
    </row>
    <row r="63" spans="2:14" ht="15" customHeight="1" x14ac:dyDescent="0.25">
      <c r="B63" s="20"/>
      <c r="C63" s="5" t="s">
        <v>9</v>
      </c>
      <c r="D63" s="6"/>
      <c r="E63" s="11">
        <v>1.7080000000000001E-3</v>
      </c>
      <c r="F63" s="1"/>
      <c r="G63" s="1"/>
      <c r="H63" s="1"/>
      <c r="I63" s="1"/>
      <c r="J63" s="1"/>
      <c r="K63" s="1"/>
      <c r="L63" s="1"/>
      <c r="M63" s="1"/>
      <c r="N63" s="18"/>
    </row>
    <row r="64" spans="2:14" ht="15" customHeight="1" x14ac:dyDescent="0.25">
      <c r="B64" s="20"/>
      <c r="C64" s="7" t="s">
        <v>10</v>
      </c>
      <c r="D64" s="8"/>
      <c r="E64" s="12">
        <v>1.7080000000000001E-3</v>
      </c>
      <c r="F64" s="1"/>
      <c r="G64" s="1"/>
      <c r="H64" s="1"/>
      <c r="I64" s="1"/>
      <c r="J64" s="1"/>
      <c r="K64" s="1"/>
      <c r="L64" s="1"/>
      <c r="M64" s="1"/>
      <c r="N64" s="18"/>
    </row>
    <row r="65" spans="2:14" ht="15" customHeight="1" x14ac:dyDescent="0.25">
      <c r="B65" s="20"/>
      <c r="C65" s="5" t="s">
        <v>74</v>
      </c>
      <c r="D65" s="6" t="s">
        <v>27</v>
      </c>
      <c r="E65" s="11">
        <v>2.7569999999999999E-3</v>
      </c>
      <c r="F65" s="1"/>
      <c r="G65" s="1"/>
      <c r="H65" s="1"/>
      <c r="I65" s="1"/>
      <c r="J65" s="1"/>
      <c r="K65" s="1"/>
      <c r="L65" s="1"/>
      <c r="M65" s="1"/>
      <c r="N65" s="18"/>
    </row>
    <row r="66" spans="2:14" ht="15" customHeight="1" x14ac:dyDescent="0.25">
      <c r="B66" s="20"/>
      <c r="C66" s="7" t="s">
        <v>91</v>
      </c>
      <c r="D66" s="8"/>
      <c r="E66" s="12">
        <v>2.7569999999999999E-3</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7" t="s">
        <v>11</v>
      </c>
      <c r="D68" s="8"/>
      <c r="E68" s="12">
        <v>2.818E-2</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 customHeight="1" x14ac:dyDescent="0.25">
      <c r="B70" s="20"/>
      <c r="C70" s="9" t="s">
        <v>12</v>
      </c>
      <c r="D70" s="10"/>
      <c r="E70" s="13">
        <v>1</v>
      </c>
      <c r="F70" s="1"/>
      <c r="G70" s="1"/>
      <c r="H70" s="1"/>
      <c r="I70" s="1"/>
      <c r="J70" s="1"/>
      <c r="K70" s="1"/>
      <c r="L70" s="1"/>
      <c r="M70" s="1"/>
      <c r="N70" s="18"/>
    </row>
    <row r="71" spans="2:14" ht="15" customHeight="1" thickBot="1" x14ac:dyDescent="0.3">
      <c r="B71" s="21"/>
      <c r="C71" s="22"/>
      <c r="D71" s="22"/>
      <c r="E71" s="22"/>
      <c r="F71" s="22"/>
      <c r="G71" s="22"/>
      <c r="H71" s="22"/>
      <c r="I71" s="22"/>
      <c r="J71" s="22"/>
      <c r="K71" s="22"/>
      <c r="L71" s="22"/>
      <c r="M71" s="22"/>
      <c r="N71" s="23"/>
    </row>
    <row r="72" spans="2:14" ht="15" customHeight="1" thickBot="1" x14ac:dyDescent="0.3"/>
    <row r="73" spans="2:14" ht="126.75" customHeight="1" thickBot="1" x14ac:dyDescent="0.3">
      <c r="B73" s="41" t="s">
        <v>184</v>
      </c>
      <c r="C73" s="42"/>
      <c r="D73" s="42"/>
      <c r="E73" s="42"/>
      <c r="F73" s="42"/>
      <c r="G73" s="42"/>
      <c r="H73" s="42"/>
      <c r="I73" s="42"/>
      <c r="J73" s="42"/>
      <c r="K73" s="42"/>
      <c r="L73" s="42"/>
      <c r="M73" s="42"/>
      <c r="N73" s="43"/>
    </row>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sheetData>
  <sortState ref="C42:E57">
    <sortCondition descending="1" ref="E42"/>
  </sortState>
  <mergeCells count="6">
    <mergeCell ref="B73:N73"/>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10DAF-8CF5-4A7B-B652-3D2920E3091E}">
  <dimension ref="B1:N50"/>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94</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95</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96</v>
      </c>
      <c r="D8" s="6" t="s">
        <v>97</v>
      </c>
      <c r="E8" s="11">
        <v>9.9315000000000001E-2</v>
      </c>
      <c r="F8" s="1"/>
      <c r="G8" s="24" t="s">
        <v>107</v>
      </c>
      <c r="H8" s="28">
        <v>0.55155399999999999</v>
      </c>
      <c r="I8" s="1"/>
      <c r="J8" s="24" t="s">
        <v>13</v>
      </c>
      <c r="K8" s="24" t="s">
        <v>5</v>
      </c>
      <c r="L8" s="1"/>
      <c r="M8" s="1"/>
      <c r="N8" s="18"/>
    </row>
    <row r="9" spans="2:14" ht="15" customHeight="1" x14ac:dyDescent="0.25">
      <c r="B9" s="20"/>
      <c r="C9" s="5" t="s">
        <v>98</v>
      </c>
      <c r="D9" s="6" t="s">
        <v>97</v>
      </c>
      <c r="E9" s="11">
        <v>9.8363000000000006E-2</v>
      </c>
      <c r="F9" s="1"/>
      <c r="G9" s="24" t="s">
        <v>16</v>
      </c>
      <c r="H9" s="28">
        <v>0.41162399999999999</v>
      </c>
      <c r="I9" s="1"/>
      <c r="J9" s="24" t="s">
        <v>11</v>
      </c>
      <c r="K9" s="28">
        <v>-4.9443000000000001E-2</v>
      </c>
      <c r="L9" s="1"/>
      <c r="M9" s="1"/>
      <c r="N9" s="18"/>
    </row>
    <row r="10" spans="2:14" ht="15" customHeight="1" x14ac:dyDescent="0.25">
      <c r="B10" s="20"/>
      <c r="C10" s="5" t="s">
        <v>99</v>
      </c>
      <c r="D10" s="6" t="s">
        <v>97</v>
      </c>
      <c r="E10" s="11">
        <v>8.5130999999999998E-2</v>
      </c>
      <c r="F10" s="1"/>
      <c r="G10" s="24" t="s">
        <v>108</v>
      </c>
      <c r="H10" s="28">
        <v>3.6822000000000001E-2</v>
      </c>
      <c r="I10" s="1"/>
      <c r="J10" s="24" t="s">
        <v>14</v>
      </c>
      <c r="K10" s="28">
        <v>9.4959000000000002E-2</v>
      </c>
      <c r="L10" s="1"/>
      <c r="M10" s="1"/>
      <c r="N10" s="18"/>
    </row>
    <row r="11" spans="2:14" ht="15" customHeight="1" x14ac:dyDescent="0.25">
      <c r="B11" s="20"/>
      <c r="C11" s="5" t="s">
        <v>251</v>
      </c>
      <c r="D11" s="6" t="s">
        <v>97</v>
      </c>
      <c r="E11" s="11">
        <v>6.7087999999999995E-2</v>
      </c>
      <c r="F11" s="1"/>
      <c r="G11" s="1"/>
      <c r="H11" s="1"/>
      <c r="I11" s="1"/>
      <c r="J11" s="24" t="s">
        <v>53</v>
      </c>
      <c r="K11" s="28">
        <v>0.62581600000000004</v>
      </c>
      <c r="L11" s="1"/>
      <c r="M11" s="1"/>
      <c r="N11" s="18"/>
    </row>
    <row r="12" spans="2:14" ht="15" customHeight="1" x14ac:dyDescent="0.25">
      <c r="B12" s="20"/>
      <c r="C12" s="5" t="s">
        <v>252</v>
      </c>
      <c r="D12" s="6" t="s">
        <v>97</v>
      </c>
      <c r="E12" s="11">
        <v>6.2917000000000001E-2</v>
      </c>
      <c r="F12" s="1"/>
      <c r="G12" s="1"/>
      <c r="H12" s="1"/>
      <c r="I12" s="1"/>
      <c r="J12" s="24" t="s">
        <v>54</v>
      </c>
      <c r="K12" s="28">
        <v>0.25795000000000001</v>
      </c>
      <c r="L12" s="1"/>
      <c r="M12" s="1"/>
      <c r="N12" s="18"/>
    </row>
    <row r="13" spans="2:14" ht="15" customHeight="1" x14ac:dyDescent="0.25">
      <c r="B13" s="20"/>
      <c r="C13" s="5" t="s">
        <v>102</v>
      </c>
      <c r="D13" s="6" t="s">
        <v>97</v>
      </c>
      <c r="E13" s="11">
        <v>5.1338000000000002E-2</v>
      </c>
      <c r="F13" s="1"/>
      <c r="G13" s="1"/>
      <c r="H13" s="1"/>
      <c r="I13" s="1"/>
      <c r="J13" s="24" t="s">
        <v>70</v>
      </c>
      <c r="K13" s="28">
        <v>7.0718000000000003E-2</v>
      </c>
      <c r="L13" s="1"/>
      <c r="M13" s="1"/>
      <c r="N13" s="18"/>
    </row>
    <row r="14" spans="2:14" ht="15" customHeight="1" x14ac:dyDescent="0.25">
      <c r="B14" s="20"/>
      <c r="C14" s="5" t="s">
        <v>103</v>
      </c>
      <c r="D14" s="6" t="s">
        <v>97</v>
      </c>
      <c r="E14" s="11">
        <v>4.9957000000000001E-2</v>
      </c>
      <c r="F14" s="1"/>
      <c r="G14" s="1"/>
      <c r="H14" s="1"/>
      <c r="I14" s="1"/>
      <c r="J14" s="1"/>
      <c r="K14" s="1"/>
      <c r="L14" s="1"/>
      <c r="M14" s="1"/>
      <c r="N14" s="18"/>
    </row>
    <row r="15" spans="2:14" ht="15" customHeight="1" x14ac:dyDescent="0.25">
      <c r="B15" s="20"/>
      <c r="C15" s="5" t="s">
        <v>104</v>
      </c>
      <c r="D15" s="6" t="s">
        <v>97</v>
      </c>
      <c r="E15" s="11">
        <v>3.7444999999999999E-2</v>
      </c>
      <c r="F15" s="1"/>
      <c r="G15" s="1"/>
      <c r="H15" s="1"/>
      <c r="I15" s="1"/>
      <c r="J15" s="1"/>
      <c r="K15" s="1"/>
      <c r="L15" s="1"/>
      <c r="M15" s="1"/>
      <c r="N15" s="18"/>
    </row>
    <row r="16" spans="2:14" ht="15" customHeight="1" x14ac:dyDescent="0.25">
      <c r="B16" s="20"/>
      <c r="C16" s="5" t="s">
        <v>24</v>
      </c>
      <c r="D16" s="6" t="s">
        <v>27</v>
      </c>
      <c r="E16" s="11">
        <v>3.7440000000000001E-2</v>
      </c>
      <c r="F16" s="1"/>
      <c r="G16" s="1"/>
      <c r="H16" s="1"/>
      <c r="I16" s="1"/>
      <c r="J16" s="1"/>
      <c r="K16" s="1"/>
      <c r="L16" s="1"/>
      <c r="M16" s="1"/>
      <c r="N16" s="18"/>
    </row>
    <row r="17" spans="2:14" ht="15" customHeight="1" x14ac:dyDescent="0.25">
      <c r="B17" s="20"/>
      <c r="C17" s="5" t="s">
        <v>105</v>
      </c>
      <c r="D17" s="6" t="s">
        <v>106</v>
      </c>
      <c r="E17" s="11">
        <v>3.6822000000000001E-2</v>
      </c>
      <c r="F17" s="1"/>
      <c r="G17" s="1"/>
      <c r="H17" s="1"/>
      <c r="I17" s="1"/>
      <c r="J17" s="1"/>
      <c r="K17" s="1"/>
      <c r="L17" s="1"/>
      <c r="M17" s="1"/>
      <c r="N17" s="18"/>
    </row>
    <row r="18" spans="2:14" ht="15.75" customHeight="1" x14ac:dyDescent="0.25">
      <c r="B18" s="20"/>
      <c r="C18" s="7" t="s">
        <v>44</v>
      </c>
      <c r="D18" s="8"/>
      <c r="E18" s="12">
        <v>0.62581600000000004</v>
      </c>
      <c r="F18" s="1"/>
      <c r="G18" s="1"/>
      <c r="H18" s="1"/>
      <c r="I18" s="1"/>
      <c r="J18" s="1"/>
      <c r="K18" s="1"/>
      <c r="L18" s="1"/>
      <c r="M18" s="1"/>
      <c r="N18" s="18"/>
    </row>
    <row r="19" spans="2:14" ht="15" customHeight="1" x14ac:dyDescent="0.25">
      <c r="B19" s="20"/>
      <c r="C19" s="5" t="s">
        <v>47</v>
      </c>
      <c r="D19" s="6" t="s">
        <v>46</v>
      </c>
      <c r="E19" s="11">
        <v>0.15823999999999999</v>
      </c>
      <c r="F19" s="1"/>
      <c r="G19" s="1"/>
      <c r="H19" s="1"/>
      <c r="I19" s="1"/>
      <c r="J19" s="1"/>
      <c r="K19" s="1"/>
      <c r="L19" s="1"/>
      <c r="M19" s="1"/>
      <c r="N19" s="18"/>
    </row>
    <row r="20" spans="2:14" ht="15" customHeight="1" x14ac:dyDescent="0.25">
      <c r="B20" s="20"/>
      <c r="C20" s="5" t="s">
        <v>58</v>
      </c>
      <c r="D20" s="6" t="s">
        <v>46</v>
      </c>
      <c r="E20" s="11">
        <v>7.4868000000000004E-2</v>
      </c>
      <c r="F20" s="1"/>
      <c r="G20" s="1"/>
      <c r="H20" s="1"/>
      <c r="I20" s="1"/>
      <c r="J20" s="1"/>
      <c r="K20" s="1"/>
      <c r="L20" s="1"/>
      <c r="M20" s="1"/>
      <c r="N20" s="18"/>
    </row>
    <row r="21" spans="2:14" ht="15" customHeight="1" x14ac:dyDescent="0.25">
      <c r="B21" s="20"/>
      <c r="C21" s="5" t="s">
        <v>60</v>
      </c>
      <c r="D21" s="6" t="s">
        <v>46</v>
      </c>
      <c r="E21" s="11">
        <v>2.4841999999999999E-2</v>
      </c>
      <c r="F21" s="1"/>
      <c r="G21" s="1"/>
      <c r="H21" s="1"/>
      <c r="I21" s="1"/>
      <c r="J21" s="1"/>
      <c r="K21" s="1"/>
      <c r="L21" s="1"/>
      <c r="M21" s="1"/>
      <c r="N21" s="18"/>
    </row>
    <row r="22" spans="2:14" ht="15.75" customHeight="1" x14ac:dyDescent="0.25">
      <c r="B22" s="20"/>
      <c r="C22" s="7" t="s">
        <v>50</v>
      </c>
      <c r="D22" s="8"/>
      <c r="E22" s="12">
        <v>0.25795000000000001</v>
      </c>
      <c r="F22" s="1"/>
      <c r="G22" s="1"/>
      <c r="H22" s="1"/>
      <c r="I22" s="1"/>
      <c r="J22" s="1"/>
      <c r="K22" s="1"/>
      <c r="L22" s="1"/>
      <c r="M22" s="1"/>
      <c r="N22" s="18"/>
    </row>
    <row r="23" spans="2:14" ht="15" customHeight="1" x14ac:dyDescent="0.25">
      <c r="B23" s="20"/>
      <c r="C23" s="5" t="s">
        <v>188</v>
      </c>
      <c r="D23" s="6" t="s">
        <v>68</v>
      </c>
      <c r="E23" s="11">
        <v>7.0718000000000003E-2</v>
      </c>
      <c r="F23" s="1"/>
      <c r="G23" s="1"/>
      <c r="H23" s="1"/>
      <c r="I23" s="1"/>
      <c r="J23" s="1"/>
      <c r="K23" s="1"/>
      <c r="L23" s="1"/>
      <c r="M23" s="1"/>
      <c r="N23" s="18"/>
    </row>
    <row r="24" spans="2:14" ht="15.75" customHeight="1" x14ac:dyDescent="0.25">
      <c r="B24" s="20"/>
      <c r="C24" s="7" t="s">
        <v>69</v>
      </c>
      <c r="D24" s="8"/>
      <c r="E24" s="12">
        <v>7.0718000000000003E-2</v>
      </c>
      <c r="F24" s="1"/>
      <c r="G24" s="49" t="s">
        <v>18</v>
      </c>
      <c r="H24" s="50"/>
      <c r="I24" s="50"/>
      <c r="J24" s="50"/>
      <c r="K24" s="50"/>
      <c r="L24" s="101">
        <v>15.684246716090355</v>
      </c>
      <c r="M24" s="26"/>
      <c r="N24" s="27"/>
    </row>
    <row r="25" spans="2:14" ht="15" customHeight="1" x14ac:dyDescent="0.25">
      <c r="B25" s="20"/>
      <c r="C25" s="5" t="s">
        <v>9</v>
      </c>
      <c r="D25" s="6"/>
      <c r="E25" s="11">
        <v>9.4959000000000002E-2</v>
      </c>
      <c r="F25" s="1"/>
      <c r="G25" s="1"/>
      <c r="H25" s="1"/>
      <c r="I25" s="1"/>
      <c r="J25" s="1"/>
      <c r="K25" s="1"/>
      <c r="L25" s="1"/>
      <c r="M25" s="1"/>
      <c r="N25" s="18"/>
    </row>
    <row r="26" spans="2:14" ht="15.75" customHeight="1" x14ac:dyDescent="0.25">
      <c r="B26" s="20"/>
      <c r="C26" s="7" t="s">
        <v>10</v>
      </c>
      <c r="D26" s="8"/>
      <c r="E26" s="12">
        <v>9.4959000000000002E-2</v>
      </c>
      <c r="F26" s="1"/>
      <c r="G26" s="49" t="s">
        <v>19</v>
      </c>
      <c r="H26" s="50"/>
      <c r="I26" s="50"/>
      <c r="J26" s="50"/>
      <c r="K26" s="50"/>
      <c r="L26" s="50"/>
      <c r="M26" s="50"/>
      <c r="N26" s="51"/>
    </row>
    <row r="27" spans="2:14" ht="15" customHeight="1" x14ac:dyDescent="0.25">
      <c r="B27" s="20"/>
      <c r="C27" s="5"/>
      <c r="D27" s="6"/>
      <c r="E27" s="11"/>
      <c r="F27" s="1"/>
      <c r="G27" s="1"/>
      <c r="H27" s="1"/>
      <c r="I27" s="1"/>
      <c r="J27" s="1"/>
      <c r="K27" s="1"/>
      <c r="L27" s="1"/>
      <c r="M27" s="1"/>
      <c r="N27" s="18"/>
    </row>
    <row r="28" spans="2:14" ht="15.75" customHeight="1" x14ac:dyDescent="0.25">
      <c r="B28" s="20"/>
      <c r="C28" s="7" t="s">
        <v>11</v>
      </c>
      <c r="D28" s="8"/>
      <c r="E28" s="12">
        <v>-4.9443000000000001E-2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12</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t="s">
        <v>186</v>
      </c>
      <c r="D32" s="1"/>
      <c r="E32" s="1"/>
      <c r="F32" s="1"/>
      <c r="G32" s="1"/>
      <c r="H32" s="1"/>
      <c r="I32" s="1"/>
      <c r="J32" s="1"/>
      <c r="K32" s="1"/>
      <c r="L32" s="1"/>
      <c r="M32" s="1"/>
      <c r="N32" s="18"/>
    </row>
    <row r="33" spans="2:14" ht="15" customHeight="1" x14ac:dyDescent="0.25">
      <c r="B33" s="20"/>
      <c r="C33" s="1" t="s">
        <v>187</v>
      </c>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7.5" customHeight="1" thickBot="1" x14ac:dyDescent="0.3">
      <c r="B45" s="41" t="s">
        <v>184</v>
      </c>
      <c r="C45" s="42"/>
      <c r="D45" s="42"/>
      <c r="E45" s="42"/>
      <c r="F45" s="42"/>
      <c r="G45" s="42"/>
      <c r="H45" s="42"/>
      <c r="I45" s="42"/>
      <c r="J45" s="42"/>
      <c r="K45" s="42"/>
      <c r="L45" s="42"/>
      <c r="M45" s="42"/>
      <c r="N45" s="43"/>
    </row>
    <row r="46" spans="2:14" ht="15" customHeight="1" x14ac:dyDescent="0.25"/>
    <row r="47" spans="2:14" ht="15" customHeight="1" x14ac:dyDescent="0.25"/>
    <row r="48" spans="2:14" ht="15" customHeight="1" x14ac:dyDescent="0.25"/>
    <row r="49" ht="15" customHeight="1" x14ac:dyDescent="0.25"/>
    <row r="50"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3176-B37E-4079-9253-47CBE62165AC}">
  <dimension ref="B1:N5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133</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134</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26</v>
      </c>
      <c r="D8" s="6" t="s">
        <v>23</v>
      </c>
      <c r="E8" s="11">
        <v>0.117456</v>
      </c>
      <c r="F8" s="1"/>
      <c r="G8" s="24" t="s">
        <v>16</v>
      </c>
      <c r="H8" s="28">
        <v>0.90264999999999995</v>
      </c>
      <c r="I8" s="1"/>
      <c r="J8" s="24" t="s">
        <v>13</v>
      </c>
      <c r="K8" s="24" t="s">
        <v>5</v>
      </c>
      <c r="L8" s="1"/>
      <c r="M8" s="1"/>
      <c r="N8" s="18"/>
    </row>
    <row r="9" spans="2:14" ht="15" customHeight="1" x14ac:dyDescent="0.25">
      <c r="B9" s="20"/>
      <c r="C9" s="5" t="s">
        <v>36</v>
      </c>
      <c r="D9" s="6" t="s">
        <v>23</v>
      </c>
      <c r="E9" s="11">
        <v>0.1162</v>
      </c>
      <c r="F9" s="1"/>
      <c r="G9" s="24" t="s">
        <v>108</v>
      </c>
      <c r="H9" s="28">
        <v>9.7350000000000006E-2</v>
      </c>
      <c r="I9" s="1"/>
      <c r="J9" s="24" t="s">
        <v>11</v>
      </c>
      <c r="K9" s="28">
        <v>1.2335E-2</v>
      </c>
      <c r="L9" s="1"/>
      <c r="M9" s="1"/>
      <c r="N9" s="18"/>
    </row>
    <row r="10" spans="2:14" ht="15.75" customHeight="1" x14ac:dyDescent="0.25">
      <c r="B10" s="20"/>
      <c r="C10" s="7" t="s">
        <v>25</v>
      </c>
      <c r="D10" s="8"/>
      <c r="E10" s="12">
        <v>0.233656</v>
      </c>
      <c r="F10" s="1"/>
      <c r="G10" s="1"/>
      <c r="H10" s="1"/>
      <c r="I10" s="1"/>
      <c r="J10" s="24" t="s">
        <v>14</v>
      </c>
      <c r="K10" s="28">
        <v>4.7369999999999999E-3</v>
      </c>
      <c r="L10" s="1"/>
      <c r="M10" s="1"/>
      <c r="N10" s="18"/>
    </row>
    <row r="11" spans="2:14" ht="15" customHeight="1" x14ac:dyDescent="0.25">
      <c r="B11" s="20"/>
      <c r="C11" s="5" t="s">
        <v>30</v>
      </c>
      <c r="D11" s="6" t="s">
        <v>23</v>
      </c>
      <c r="E11" s="11">
        <v>0.14324700000000001</v>
      </c>
      <c r="F11" s="1"/>
      <c r="G11" s="1"/>
      <c r="H11" s="1"/>
      <c r="I11" s="1"/>
      <c r="J11" s="24" t="s">
        <v>52</v>
      </c>
      <c r="K11" s="28">
        <v>0.233656</v>
      </c>
      <c r="L11" s="1"/>
      <c r="M11" s="1"/>
      <c r="N11" s="18"/>
    </row>
    <row r="12" spans="2:14" ht="15" customHeight="1" x14ac:dyDescent="0.25">
      <c r="B12" s="20"/>
      <c r="C12" s="5" t="s">
        <v>29</v>
      </c>
      <c r="D12" s="6" t="s">
        <v>23</v>
      </c>
      <c r="E12" s="11">
        <v>9.4169000000000003E-2</v>
      </c>
      <c r="F12" s="1"/>
      <c r="G12" s="1"/>
      <c r="H12" s="1"/>
      <c r="I12" s="1"/>
      <c r="J12" s="24" t="s">
        <v>53</v>
      </c>
      <c r="K12" s="28">
        <v>0.35674099999999997</v>
      </c>
      <c r="L12" s="1"/>
      <c r="M12" s="1"/>
      <c r="N12" s="18"/>
    </row>
    <row r="13" spans="2:14" ht="15.75" customHeight="1" x14ac:dyDescent="0.25">
      <c r="B13" s="20"/>
      <c r="C13" s="7" t="s">
        <v>75</v>
      </c>
      <c r="D13" s="8"/>
      <c r="E13" s="12">
        <v>0.23741599999999999</v>
      </c>
      <c r="F13" s="1"/>
      <c r="G13" s="1"/>
      <c r="H13" s="1"/>
      <c r="I13" s="1"/>
      <c r="J13" s="24" t="s">
        <v>77</v>
      </c>
      <c r="K13" s="28">
        <v>0.23741599999999999</v>
      </c>
      <c r="L13" s="1"/>
      <c r="M13" s="1"/>
      <c r="N13" s="18"/>
    </row>
    <row r="14" spans="2:14" ht="15" customHeight="1" x14ac:dyDescent="0.25">
      <c r="B14" s="20"/>
      <c r="C14" s="5" t="s">
        <v>135</v>
      </c>
      <c r="D14" s="6" t="s">
        <v>106</v>
      </c>
      <c r="E14" s="11">
        <v>9.7350000000000006E-2</v>
      </c>
      <c r="F14" s="1"/>
      <c r="G14" s="1"/>
      <c r="H14" s="1"/>
      <c r="I14" s="1"/>
      <c r="J14" s="24" t="s">
        <v>54</v>
      </c>
      <c r="K14" s="28">
        <v>0.15512400000000001</v>
      </c>
      <c r="L14" s="1"/>
      <c r="M14" s="1"/>
      <c r="N14" s="18"/>
    </row>
    <row r="15" spans="2:14" ht="15" customHeight="1" x14ac:dyDescent="0.25">
      <c r="B15" s="20"/>
      <c r="C15" s="5" t="s">
        <v>73</v>
      </c>
      <c r="D15" s="6" t="s">
        <v>27</v>
      </c>
      <c r="E15" s="11">
        <v>9.572E-2</v>
      </c>
      <c r="F15" s="1"/>
      <c r="G15" s="1"/>
      <c r="H15" s="1"/>
      <c r="I15" s="1"/>
      <c r="J15" s="24"/>
      <c r="K15" s="28"/>
      <c r="L15" s="1"/>
      <c r="M15" s="1"/>
      <c r="N15" s="18"/>
    </row>
    <row r="16" spans="2:14" ht="15" customHeight="1" x14ac:dyDescent="0.25">
      <c r="B16" s="20"/>
      <c r="C16" s="5" t="s">
        <v>31</v>
      </c>
      <c r="D16" s="6" t="s">
        <v>27</v>
      </c>
      <c r="E16" s="11">
        <v>7.2345000000000007E-2</v>
      </c>
      <c r="F16" s="1"/>
      <c r="G16" s="1"/>
      <c r="H16" s="1"/>
      <c r="I16" s="1"/>
      <c r="J16" s="1"/>
      <c r="K16" s="1"/>
      <c r="L16" s="1"/>
      <c r="M16" s="1"/>
      <c r="N16" s="18"/>
    </row>
    <row r="17" spans="2:14" ht="15" customHeight="1" x14ac:dyDescent="0.25">
      <c r="B17" s="20"/>
      <c r="C17" s="5" t="s">
        <v>74</v>
      </c>
      <c r="D17" s="6" t="s">
        <v>27</v>
      </c>
      <c r="E17" s="11">
        <v>4.7924000000000001E-2</v>
      </c>
      <c r="F17" s="1"/>
      <c r="G17" s="1"/>
      <c r="H17" s="1"/>
      <c r="I17" s="1"/>
      <c r="J17" s="1"/>
      <c r="K17" s="1"/>
      <c r="L17" s="1"/>
      <c r="M17" s="1"/>
      <c r="N17" s="18"/>
    </row>
    <row r="18" spans="2:14" ht="15" customHeight="1" x14ac:dyDescent="0.25">
      <c r="B18" s="20"/>
      <c r="C18" s="5" t="s">
        <v>26</v>
      </c>
      <c r="D18" s="6" t="s">
        <v>27</v>
      </c>
      <c r="E18" s="11">
        <v>4.3402000000000003E-2</v>
      </c>
      <c r="F18" s="1"/>
      <c r="G18" s="1"/>
      <c r="H18" s="1"/>
      <c r="I18" s="1"/>
      <c r="J18" s="1"/>
      <c r="K18" s="1"/>
      <c r="L18" s="1"/>
      <c r="M18" s="1"/>
      <c r="N18" s="18"/>
    </row>
    <row r="19" spans="2:14" ht="15.75" customHeight="1" x14ac:dyDescent="0.25">
      <c r="B19" s="20"/>
      <c r="C19" s="7" t="s">
        <v>44</v>
      </c>
      <c r="D19" s="8"/>
      <c r="E19" s="12">
        <v>0.35674099999999997</v>
      </c>
      <c r="F19" s="1"/>
      <c r="G19" s="1"/>
      <c r="H19" s="1"/>
      <c r="I19" s="1"/>
      <c r="J19" s="1"/>
      <c r="K19" s="1"/>
      <c r="L19" s="1"/>
      <c r="M19" s="1"/>
      <c r="N19" s="18"/>
    </row>
    <row r="20" spans="2:14" ht="15" customHeight="1" x14ac:dyDescent="0.25">
      <c r="B20" s="20"/>
      <c r="C20" s="5" t="s">
        <v>47</v>
      </c>
      <c r="D20" s="6" t="s">
        <v>46</v>
      </c>
      <c r="E20" s="11">
        <v>7.3275000000000007E-2</v>
      </c>
      <c r="F20" s="1"/>
      <c r="G20" s="1"/>
      <c r="H20" s="1"/>
      <c r="I20" s="1"/>
      <c r="J20" s="1"/>
      <c r="K20" s="1"/>
      <c r="L20" s="1"/>
      <c r="M20" s="1"/>
      <c r="N20" s="18"/>
    </row>
    <row r="21" spans="2:14" ht="15" customHeight="1" x14ac:dyDescent="0.25">
      <c r="B21" s="20"/>
      <c r="C21" s="5" t="s">
        <v>136</v>
      </c>
      <c r="D21" s="6" t="s">
        <v>46</v>
      </c>
      <c r="E21" s="11">
        <v>7.2481000000000004E-2</v>
      </c>
      <c r="F21" s="1"/>
      <c r="G21" s="1"/>
      <c r="H21" s="1"/>
      <c r="I21" s="1"/>
      <c r="J21" s="1"/>
      <c r="K21" s="1"/>
      <c r="L21" s="1"/>
      <c r="M21" s="1"/>
      <c r="N21" s="18"/>
    </row>
    <row r="22" spans="2:14" ht="15" customHeight="1" x14ac:dyDescent="0.25">
      <c r="B22" s="20"/>
      <c r="C22" s="5" t="s">
        <v>48</v>
      </c>
      <c r="D22" s="6" t="s">
        <v>46</v>
      </c>
      <c r="E22" s="11">
        <v>9.3679999999999996E-3</v>
      </c>
      <c r="F22" s="1"/>
      <c r="G22" s="1"/>
      <c r="H22" s="1"/>
      <c r="I22" s="1"/>
      <c r="J22" s="1"/>
      <c r="K22" s="1"/>
      <c r="L22" s="1"/>
      <c r="M22" s="1"/>
      <c r="N22" s="18"/>
    </row>
    <row r="23" spans="2:14" ht="15.75" customHeight="1" x14ac:dyDescent="0.25">
      <c r="B23" s="20"/>
      <c r="C23" s="7" t="s">
        <v>50</v>
      </c>
      <c r="D23" s="8"/>
      <c r="E23" s="12">
        <v>0.15512400000000001</v>
      </c>
      <c r="F23" s="1"/>
      <c r="G23" s="1"/>
      <c r="H23" s="1"/>
      <c r="I23" s="1"/>
      <c r="J23" s="1"/>
      <c r="K23" s="1"/>
      <c r="L23" s="1"/>
      <c r="M23" s="1"/>
      <c r="N23" s="18"/>
    </row>
    <row r="24" spans="2:14" ht="15" customHeight="1" x14ac:dyDescent="0.25">
      <c r="B24" s="20"/>
      <c r="C24" s="5" t="s">
        <v>9</v>
      </c>
      <c r="D24" s="6"/>
      <c r="E24" s="11">
        <v>4.7369999999999999E-3</v>
      </c>
      <c r="F24" s="1"/>
      <c r="G24" s="49" t="s">
        <v>18</v>
      </c>
      <c r="H24" s="50"/>
      <c r="I24" s="50"/>
      <c r="J24" s="50"/>
      <c r="K24" s="50"/>
      <c r="L24" s="101">
        <v>1.3202587157271617</v>
      </c>
      <c r="M24" s="26"/>
      <c r="N24" s="27"/>
    </row>
    <row r="25" spans="2:14" ht="15.75" customHeight="1" x14ac:dyDescent="0.25">
      <c r="B25" s="20"/>
      <c r="C25" s="7" t="s">
        <v>10</v>
      </c>
      <c r="D25" s="8"/>
      <c r="E25" s="12">
        <v>4.7369999999999999E-3</v>
      </c>
      <c r="F25" s="1"/>
      <c r="G25" s="1"/>
      <c r="H25" s="1"/>
      <c r="I25" s="1"/>
      <c r="J25" s="1"/>
      <c r="K25" s="1"/>
      <c r="L25" s="1"/>
      <c r="M25" s="1"/>
      <c r="N25" s="18"/>
    </row>
    <row r="26" spans="2:14" ht="15" customHeight="1" x14ac:dyDescent="0.25">
      <c r="B26" s="20"/>
      <c r="C26" s="5"/>
      <c r="D26" s="6"/>
      <c r="E26" s="11"/>
      <c r="F26" s="1"/>
      <c r="G26" s="49" t="s">
        <v>19</v>
      </c>
      <c r="H26" s="50"/>
      <c r="I26" s="50"/>
      <c r="J26" s="50"/>
      <c r="K26" s="50"/>
      <c r="L26" s="50"/>
      <c r="M26" s="50"/>
      <c r="N26" s="51"/>
    </row>
    <row r="27" spans="2:14" ht="15.75" customHeight="1" x14ac:dyDescent="0.25">
      <c r="B27" s="20"/>
      <c r="C27" s="7" t="s">
        <v>11</v>
      </c>
      <c r="D27" s="8"/>
      <c r="E27" s="12">
        <v>1.2335E-2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9" t="s">
        <v>12</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29" t="s">
        <v>137</v>
      </c>
      <c r="D31" s="29"/>
      <c r="E31" s="30">
        <v>0.60803099999999999</v>
      </c>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66.75" customHeight="1" thickBot="1" x14ac:dyDescent="0.3">
      <c r="B45" s="41" t="s">
        <v>185</v>
      </c>
      <c r="C45" s="42"/>
      <c r="D45" s="42"/>
      <c r="E45" s="42"/>
      <c r="F45" s="42"/>
      <c r="G45" s="42"/>
      <c r="H45" s="42"/>
      <c r="I45" s="42"/>
      <c r="J45" s="42"/>
      <c r="K45" s="42"/>
      <c r="L45" s="42"/>
      <c r="M45" s="42"/>
      <c r="N45" s="43"/>
    </row>
    <row r="46" spans="2:14" ht="15" customHeight="1" thickBot="1" x14ac:dyDescent="0.3"/>
    <row r="47" spans="2:14" ht="127.5" customHeight="1" thickBot="1" x14ac:dyDescent="0.3">
      <c r="B47" s="41" t="s">
        <v>184</v>
      </c>
      <c r="C47" s="42"/>
      <c r="D47" s="42"/>
      <c r="E47" s="42"/>
      <c r="F47" s="42"/>
      <c r="G47" s="42"/>
      <c r="H47" s="42"/>
      <c r="I47" s="42"/>
      <c r="J47" s="42"/>
      <c r="K47" s="42"/>
      <c r="L47" s="42"/>
      <c r="M47" s="42"/>
      <c r="N47" s="43"/>
    </row>
    <row r="48" spans="2:14" ht="15" customHeight="1" x14ac:dyDescent="0.25"/>
    <row r="49" ht="15" customHeight="1" x14ac:dyDescent="0.25"/>
    <row r="50" ht="15" customHeight="1" x14ac:dyDescent="0.25"/>
    <row r="51" ht="15" customHeight="1" x14ac:dyDescent="0.25"/>
  </sheetData>
  <mergeCells count="7">
    <mergeCell ref="B45:N45"/>
    <mergeCell ref="B47:N47"/>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CAFC-09AF-4CA9-A4E0-4A56E9C5159D}">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140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141</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59</v>
      </c>
      <c r="D8" s="6" t="s">
        <v>46</v>
      </c>
      <c r="E8" s="11">
        <v>0.49673</v>
      </c>
      <c r="F8" s="1"/>
      <c r="G8" s="24" t="s">
        <v>16</v>
      </c>
      <c r="H8" s="25">
        <v>1</v>
      </c>
      <c r="I8" s="1"/>
      <c r="J8" s="24" t="s">
        <v>13</v>
      </c>
      <c r="K8" s="24" t="s">
        <v>5</v>
      </c>
      <c r="L8" s="1"/>
      <c r="M8" s="1"/>
      <c r="N8" s="18"/>
    </row>
    <row r="9" spans="2:14" ht="15" customHeight="1" x14ac:dyDescent="0.25">
      <c r="B9" s="20"/>
      <c r="C9" s="5" t="s">
        <v>58</v>
      </c>
      <c r="D9" s="6" t="s">
        <v>46</v>
      </c>
      <c r="E9" s="11">
        <v>0.47909099999999999</v>
      </c>
      <c r="F9" s="1"/>
      <c r="G9" s="1"/>
      <c r="H9" s="1"/>
      <c r="I9" s="1"/>
      <c r="J9" s="24" t="s">
        <v>11</v>
      </c>
      <c r="K9" s="28">
        <v>1.3594E-2</v>
      </c>
      <c r="L9" s="1"/>
      <c r="M9" s="1"/>
      <c r="N9" s="18"/>
    </row>
    <row r="10" spans="2:14" ht="15" customHeight="1" x14ac:dyDescent="0.25">
      <c r="B10" s="20"/>
      <c r="C10" s="5" t="s">
        <v>60</v>
      </c>
      <c r="D10" s="6" t="s">
        <v>46</v>
      </c>
      <c r="E10" s="11">
        <v>4.8659999999999997E-3</v>
      </c>
      <c r="F10" s="1"/>
      <c r="G10" s="1"/>
      <c r="H10" s="1"/>
      <c r="I10" s="1"/>
      <c r="J10" s="24" t="s">
        <v>14</v>
      </c>
      <c r="K10" s="28">
        <v>2.8679999999999999E-3</v>
      </c>
      <c r="L10" s="1"/>
      <c r="M10" s="1"/>
      <c r="N10" s="18"/>
    </row>
    <row r="11" spans="2:14" ht="15" customHeight="1" x14ac:dyDescent="0.25">
      <c r="B11" s="20"/>
      <c r="C11" s="5" t="s">
        <v>47</v>
      </c>
      <c r="D11" s="6" t="s">
        <v>46</v>
      </c>
      <c r="E11" s="11">
        <v>1.4059999999999999E-3</v>
      </c>
      <c r="F11" s="1"/>
      <c r="G11" s="1"/>
      <c r="H11" s="1"/>
      <c r="I11" s="1"/>
      <c r="J11" s="24" t="s">
        <v>54</v>
      </c>
      <c r="K11" s="28">
        <v>0.98353800000000002</v>
      </c>
      <c r="L11" s="1"/>
      <c r="M11" s="1"/>
      <c r="N11" s="18"/>
    </row>
    <row r="12" spans="2:14" ht="15" customHeight="1" x14ac:dyDescent="0.25">
      <c r="B12" s="20"/>
      <c r="C12" s="5" t="s">
        <v>61</v>
      </c>
      <c r="D12" s="6" t="s">
        <v>46</v>
      </c>
      <c r="E12" s="11">
        <v>1.4009999999999999E-3</v>
      </c>
      <c r="F12" s="1"/>
      <c r="G12" s="1"/>
      <c r="H12" s="1"/>
      <c r="I12" s="1"/>
      <c r="J12" s="1"/>
      <c r="K12" s="1"/>
      <c r="L12" s="1"/>
      <c r="M12" s="1"/>
      <c r="N12" s="18"/>
    </row>
    <row r="13" spans="2:14" ht="15" customHeight="1" x14ac:dyDescent="0.25">
      <c r="B13" s="20"/>
      <c r="C13" s="5" t="s">
        <v>123</v>
      </c>
      <c r="D13" s="6" t="s">
        <v>46</v>
      </c>
      <c r="E13" s="31">
        <v>4.3999999999999999E-5</v>
      </c>
      <c r="F13" s="1"/>
      <c r="G13" s="1"/>
      <c r="H13" s="1"/>
      <c r="I13" s="1"/>
      <c r="J13" s="1"/>
      <c r="K13" s="1"/>
      <c r="L13" s="1"/>
      <c r="M13" s="1"/>
      <c r="N13" s="18"/>
    </row>
    <row r="14" spans="2:14" ht="15.75" customHeight="1" x14ac:dyDescent="0.25">
      <c r="B14" s="20"/>
      <c r="C14" s="7" t="s">
        <v>50</v>
      </c>
      <c r="D14" s="8"/>
      <c r="E14" s="12">
        <v>0.98353800000000002</v>
      </c>
      <c r="F14" s="1"/>
      <c r="G14" s="1"/>
      <c r="H14" s="1"/>
      <c r="I14" s="1"/>
      <c r="J14" s="1"/>
      <c r="K14" s="1"/>
      <c r="L14" s="1"/>
      <c r="M14" s="1"/>
      <c r="N14" s="18"/>
    </row>
    <row r="15" spans="2:14" ht="15" customHeight="1" x14ac:dyDescent="0.25">
      <c r="B15" s="20"/>
      <c r="C15" s="5" t="s">
        <v>9</v>
      </c>
      <c r="D15" s="6"/>
      <c r="E15" s="11">
        <v>2.8679999999999999E-3</v>
      </c>
      <c r="F15" s="1"/>
      <c r="G15" s="1"/>
      <c r="H15" s="1"/>
      <c r="I15" s="1"/>
      <c r="J15" s="1"/>
      <c r="K15" s="1"/>
      <c r="L15" s="1"/>
      <c r="M15" s="1"/>
      <c r="N15" s="18"/>
    </row>
    <row r="16" spans="2:14" ht="15.75" customHeight="1" x14ac:dyDescent="0.25">
      <c r="B16" s="20"/>
      <c r="C16" s="7" t="s">
        <v>10</v>
      </c>
      <c r="D16" s="8"/>
      <c r="E16" s="12">
        <v>2.8679999999999999E-3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1.3594E-2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11.784431370017336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42FB-DB81-4179-94DC-8BF4B9DA03E6}">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58</v>
      </c>
      <c r="D8" s="6" t="s">
        <v>46</v>
      </c>
      <c r="E8" s="11">
        <v>0.63282700000000003</v>
      </c>
      <c r="F8" s="1"/>
      <c r="G8" s="24" t="s">
        <v>16</v>
      </c>
      <c r="H8" s="25">
        <v>1</v>
      </c>
      <c r="I8" s="1"/>
      <c r="J8" s="24" t="s">
        <v>13</v>
      </c>
      <c r="K8" s="24" t="s">
        <v>5</v>
      </c>
      <c r="L8" s="1"/>
      <c r="M8" s="1"/>
      <c r="N8" s="18"/>
    </row>
    <row r="9" spans="2:14" ht="15" customHeight="1" x14ac:dyDescent="0.25">
      <c r="B9" s="20"/>
      <c r="C9" s="5" t="s">
        <v>59</v>
      </c>
      <c r="D9" s="6" t="s">
        <v>46</v>
      </c>
      <c r="E9" s="11">
        <v>0.32103199999999998</v>
      </c>
      <c r="F9" s="1"/>
      <c r="G9" s="1"/>
      <c r="H9" s="1"/>
      <c r="I9" s="1"/>
      <c r="J9" s="24" t="s">
        <v>11</v>
      </c>
      <c r="K9" s="28">
        <v>1.5322000000000001E-2</v>
      </c>
      <c r="L9" s="1"/>
      <c r="M9" s="1"/>
      <c r="N9" s="18"/>
    </row>
    <row r="10" spans="2:14" ht="15" customHeight="1" x14ac:dyDescent="0.25">
      <c r="B10" s="20"/>
      <c r="C10" s="5" t="s">
        <v>67</v>
      </c>
      <c r="D10" s="6" t="s">
        <v>46</v>
      </c>
      <c r="E10" s="11">
        <v>7.2620000000000002E-3</v>
      </c>
      <c r="F10" s="1"/>
      <c r="G10" s="1"/>
      <c r="H10" s="1"/>
      <c r="I10" s="1"/>
      <c r="J10" s="24" t="s">
        <v>14</v>
      </c>
      <c r="K10" s="28">
        <v>1.4822E-2</v>
      </c>
      <c r="L10" s="1"/>
      <c r="M10" s="1"/>
      <c r="N10" s="18"/>
    </row>
    <row r="11" spans="2:14" ht="15" customHeight="1" x14ac:dyDescent="0.25">
      <c r="B11" s="20"/>
      <c r="C11" s="5" t="s">
        <v>63</v>
      </c>
      <c r="D11" s="6" t="s">
        <v>46</v>
      </c>
      <c r="E11" s="11">
        <v>4.8780000000000004E-3</v>
      </c>
      <c r="F11" s="1"/>
      <c r="G11" s="1"/>
      <c r="H11" s="1"/>
      <c r="I11" s="1"/>
      <c r="J11" s="24" t="s">
        <v>54</v>
      </c>
      <c r="K11" s="28">
        <v>0.96985600000000005</v>
      </c>
      <c r="L11" s="1"/>
      <c r="M11" s="1"/>
      <c r="N11" s="18"/>
    </row>
    <row r="12" spans="2:14" ht="15" customHeight="1" x14ac:dyDescent="0.25">
      <c r="B12" s="20"/>
      <c r="C12" s="5" t="s">
        <v>123</v>
      </c>
      <c r="D12" s="6" t="s">
        <v>46</v>
      </c>
      <c r="E12" s="11">
        <v>2.3040000000000001E-3</v>
      </c>
      <c r="F12" s="1"/>
      <c r="G12" s="1"/>
      <c r="H12" s="1"/>
      <c r="I12" s="1"/>
      <c r="J12" s="1"/>
      <c r="K12" s="1"/>
      <c r="L12" s="1"/>
      <c r="M12" s="1"/>
      <c r="N12" s="18"/>
    </row>
    <row r="13" spans="2:14" ht="15" customHeight="1" x14ac:dyDescent="0.25">
      <c r="B13" s="20"/>
      <c r="C13" s="5" t="s">
        <v>111</v>
      </c>
      <c r="D13" s="6" t="s">
        <v>46</v>
      </c>
      <c r="E13" s="11">
        <v>1.5529999999999999E-3</v>
      </c>
      <c r="F13" s="1"/>
      <c r="G13" s="1"/>
      <c r="H13" s="1"/>
      <c r="I13" s="1"/>
      <c r="J13" s="1"/>
      <c r="K13" s="1"/>
      <c r="L13" s="1"/>
      <c r="M13" s="1"/>
      <c r="N13" s="18"/>
    </row>
    <row r="14" spans="2:14" ht="15.75" customHeight="1" x14ac:dyDescent="0.25">
      <c r="B14" s="20"/>
      <c r="C14" s="7" t="s">
        <v>50</v>
      </c>
      <c r="D14" s="8"/>
      <c r="E14" s="12">
        <v>0.96985600000000005</v>
      </c>
      <c r="F14" s="1"/>
      <c r="G14" s="1"/>
      <c r="H14" s="1"/>
      <c r="I14" s="1"/>
      <c r="J14" s="1"/>
      <c r="K14" s="1"/>
      <c r="L14" s="1"/>
      <c r="M14" s="1"/>
      <c r="N14" s="18"/>
    </row>
    <row r="15" spans="2:14" ht="15" customHeight="1" x14ac:dyDescent="0.25">
      <c r="B15" s="20"/>
      <c r="C15" s="5" t="s">
        <v>9</v>
      </c>
      <c r="D15" s="6"/>
      <c r="E15" s="11">
        <v>1.4822E-2</v>
      </c>
      <c r="F15" s="1"/>
      <c r="G15" s="1"/>
      <c r="H15" s="1"/>
      <c r="I15" s="1"/>
      <c r="J15" s="1"/>
      <c r="K15" s="1"/>
      <c r="L15" s="1"/>
      <c r="M15" s="1"/>
      <c r="N15" s="18"/>
    </row>
    <row r="16" spans="2:14" ht="15.75" customHeight="1" x14ac:dyDescent="0.25">
      <c r="B16" s="20"/>
      <c r="C16" s="7" t="s">
        <v>10</v>
      </c>
      <c r="D16" s="8"/>
      <c r="E16" s="12">
        <v>1.4822E-2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1.5322000000000001E-2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10.875366535018657</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8C843-96EE-49E5-952C-5CD78BDE4BC4}">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117</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118</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48</v>
      </c>
      <c r="D8" s="6" t="s">
        <v>46</v>
      </c>
      <c r="E8" s="11">
        <v>0.45805899999999999</v>
      </c>
      <c r="F8" s="1"/>
      <c r="G8" s="24" t="s">
        <v>16</v>
      </c>
      <c r="H8" s="25">
        <v>1</v>
      </c>
      <c r="I8" s="1"/>
      <c r="J8" s="24" t="s">
        <v>13</v>
      </c>
      <c r="K8" s="24" t="s">
        <v>5</v>
      </c>
      <c r="L8" s="1"/>
      <c r="M8" s="1"/>
      <c r="N8" s="18"/>
    </row>
    <row r="9" spans="2:14" ht="15" customHeight="1" x14ac:dyDescent="0.25">
      <c r="B9" s="20"/>
      <c r="C9" s="5" t="s">
        <v>49</v>
      </c>
      <c r="D9" s="6" t="s">
        <v>46</v>
      </c>
      <c r="E9" s="11">
        <v>0.21961800000000001</v>
      </c>
      <c r="F9" s="1"/>
      <c r="G9" s="1"/>
      <c r="H9" s="1"/>
      <c r="I9" s="1"/>
      <c r="J9" s="24" t="s">
        <v>11</v>
      </c>
      <c r="K9" s="28">
        <v>2.1635000000000001E-2</v>
      </c>
      <c r="L9" s="1"/>
      <c r="M9" s="1"/>
      <c r="N9" s="18"/>
    </row>
    <row r="10" spans="2:14" ht="15" customHeight="1" x14ac:dyDescent="0.25">
      <c r="B10" s="20"/>
      <c r="C10" s="5" t="s">
        <v>119</v>
      </c>
      <c r="D10" s="6" t="s">
        <v>46</v>
      </c>
      <c r="E10" s="11">
        <v>0.13949600000000001</v>
      </c>
      <c r="F10" s="1"/>
      <c r="G10" s="1"/>
      <c r="H10" s="1"/>
      <c r="I10" s="1"/>
      <c r="J10" s="24" t="s">
        <v>14</v>
      </c>
      <c r="K10" s="28">
        <v>6.1190000000000003E-3</v>
      </c>
      <c r="L10" s="1"/>
      <c r="M10" s="1"/>
      <c r="N10" s="18"/>
    </row>
    <row r="11" spans="2:14" ht="15" customHeight="1" x14ac:dyDescent="0.25">
      <c r="B11" s="20"/>
      <c r="C11" s="5" t="s">
        <v>120</v>
      </c>
      <c r="D11" s="6" t="s">
        <v>46</v>
      </c>
      <c r="E11" s="11">
        <v>0.11353199999999999</v>
      </c>
      <c r="F11" s="1"/>
      <c r="G11" s="1"/>
      <c r="H11" s="1"/>
      <c r="I11" s="1"/>
      <c r="J11" s="24" t="s">
        <v>54</v>
      </c>
      <c r="K11" s="28">
        <v>0.97224600000000005</v>
      </c>
      <c r="L11" s="1"/>
      <c r="M11" s="1"/>
      <c r="N11" s="18"/>
    </row>
    <row r="12" spans="2:14" ht="15" customHeight="1" x14ac:dyDescent="0.25">
      <c r="B12" s="20"/>
      <c r="C12" s="5" t="s">
        <v>45</v>
      </c>
      <c r="D12" s="6" t="s">
        <v>46</v>
      </c>
      <c r="E12" s="11">
        <v>4.1541000000000002E-2</v>
      </c>
      <c r="F12" s="1"/>
      <c r="G12" s="1"/>
      <c r="H12" s="1"/>
      <c r="I12" s="1"/>
      <c r="J12" s="1"/>
      <c r="K12" s="1"/>
      <c r="L12" s="1"/>
      <c r="M12" s="1"/>
      <c r="N12" s="18"/>
    </row>
    <row r="13" spans="2:14" ht="15.75" customHeight="1" x14ac:dyDescent="0.25">
      <c r="B13" s="20"/>
      <c r="C13" s="7" t="s">
        <v>50</v>
      </c>
      <c r="D13" s="8"/>
      <c r="E13" s="12">
        <v>0.97224600000000005</v>
      </c>
      <c r="F13" s="1"/>
      <c r="G13" s="1"/>
      <c r="H13" s="1"/>
      <c r="I13" s="1"/>
      <c r="J13" s="1"/>
      <c r="K13" s="1"/>
      <c r="L13" s="1"/>
      <c r="M13" s="1"/>
      <c r="N13" s="18"/>
    </row>
    <row r="14" spans="2:14" ht="15" customHeight="1" x14ac:dyDescent="0.25">
      <c r="B14" s="20"/>
      <c r="C14" s="5" t="s">
        <v>9</v>
      </c>
      <c r="D14" s="6"/>
      <c r="E14" s="11">
        <v>6.1190000000000003E-3</v>
      </c>
      <c r="F14" s="1"/>
      <c r="G14" s="1"/>
      <c r="H14" s="1"/>
      <c r="I14" s="1"/>
      <c r="J14" s="1"/>
      <c r="K14" s="1"/>
      <c r="L14" s="1"/>
      <c r="M14" s="1"/>
      <c r="N14" s="18"/>
    </row>
    <row r="15" spans="2:14" ht="15.75" customHeight="1" x14ac:dyDescent="0.25">
      <c r="B15" s="20"/>
      <c r="C15" s="7" t="s">
        <v>10</v>
      </c>
      <c r="D15" s="8"/>
      <c r="E15" s="12">
        <v>6.1190000000000003E-3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2.1635000000000001E-2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2.4108966194971786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5D2C-2225-4A85-8D37-EE7FEC8E4E5A}">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129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47</v>
      </c>
      <c r="D8" s="6" t="s">
        <v>46</v>
      </c>
      <c r="E8" s="11">
        <v>0.68341399999999997</v>
      </c>
      <c r="F8" s="1"/>
      <c r="G8" s="24" t="s">
        <v>16</v>
      </c>
      <c r="H8" s="25">
        <v>1</v>
      </c>
      <c r="I8" s="1"/>
      <c r="J8" s="24" t="s">
        <v>13</v>
      </c>
      <c r="K8" s="24" t="s">
        <v>5</v>
      </c>
      <c r="L8" s="1"/>
      <c r="M8" s="1"/>
      <c r="N8" s="18"/>
    </row>
    <row r="9" spans="2:14" ht="15" customHeight="1" x14ac:dyDescent="0.25">
      <c r="B9" s="20"/>
      <c r="C9" s="5" t="s">
        <v>67</v>
      </c>
      <c r="D9" s="6" t="s">
        <v>46</v>
      </c>
      <c r="E9" s="11">
        <v>0.14394399999999999</v>
      </c>
      <c r="F9" s="1"/>
      <c r="G9" s="1"/>
      <c r="H9" s="1"/>
      <c r="I9" s="1"/>
      <c r="J9" s="24" t="s">
        <v>11</v>
      </c>
      <c r="K9" s="28">
        <v>1.9066E-2</v>
      </c>
      <c r="L9" s="1"/>
      <c r="M9" s="1"/>
      <c r="N9" s="18"/>
    </row>
    <row r="10" spans="2:14" ht="15" customHeight="1" x14ac:dyDescent="0.25">
      <c r="B10" s="20"/>
      <c r="C10" s="5" t="s">
        <v>63</v>
      </c>
      <c r="D10" s="6" t="s">
        <v>46</v>
      </c>
      <c r="E10" s="11">
        <v>0.140426</v>
      </c>
      <c r="F10" s="1"/>
      <c r="G10" s="1"/>
      <c r="H10" s="1"/>
      <c r="I10" s="1"/>
      <c r="J10" s="24" t="s">
        <v>14</v>
      </c>
      <c r="K10" s="28">
        <v>7.9710000000000007E-3</v>
      </c>
      <c r="L10" s="1"/>
      <c r="M10" s="1"/>
      <c r="N10" s="18"/>
    </row>
    <row r="11" spans="2:14" ht="15.75" customHeight="1" x14ac:dyDescent="0.25">
      <c r="B11" s="20"/>
      <c r="C11" s="7" t="s">
        <v>50</v>
      </c>
      <c r="D11" s="8"/>
      <c r="E11" s="12">
        <v>0.96778399999999998</v>
      </c>
      <c r="F11" s="1"/>
      <c r="G11" s="1"/>
      <c r="H11" s="1"/>
      <c r="I11" s="1"/>
      <c r="J11" s="24" t="s">
        <v>54</v>
      </c>
      <c r="K11" s="28">
        <v>0.96778399999999998</v>
      </c>
      <c r="L11" s="1"/>
      <c r="M11" s="1"/>
      <c r="N11" s="18"/>
    </row>
    <row r="12" spans="2:14" ht="15" customHeight="1" x14ac:dyDescent="0.25">
      <c r="B12" s="20"/>
      <c r="C12" s="5" t="s">
        <v>125</v>
      </c>
      <c r="D12" s="6" t="s">
        <v>46</v>
      </c>
      <c r="E12" s="11">
        <v>5.1789999999999996E-3</v>
      </c>
      <c r="F12" s="1"/>
      <c r="G12" s="1"/>
      <c r="H12" s="1"/>
      <c r="I12" s="1"/>
      <c r="J12" s="24" t="s">
        <v>92</v>
      </c>
      <c r="K12" s="28">
        <v>5.1789999999999996E-3</v>
      </c>
      <c r="L12" s="1"/>
      <c r="M12" s="1"/>
      <c r="N12" s="18"/>
    </row>
    <row r="13" spans="2:14" ht="15.75" customHeight="1" x14ac:dyDescent="0.25">
      <c r="B13" s="20"/>
      <c r="C13" s="7" t="s">
        <v>90</v>
      </c>
      <c r="D13" s="8"/>
      <c r="E13" s="12">
        <v>5.1789999999999996E-3</v>
      </c>
      <c r="F13" s="1"/>
      <c r="G13" s="1"/>
      <c r="H13" s="1"/>
      <c r="I13" s="1"/>
      <c r="J13" s="1"/>
      <c r="K13" s="1"/>
      <c r="L13" s="1"/>
      <c r="M13" s="1"/>
      <c r="N13" s="18"/>
    </row>
    <row r="14" spans="2:14" ht="15" customHeight="1" x14ac:dyDescent="0.25">
      <c r="B14" s="20"/>
      <c r="C14" s="5" t="s">
        <v>9</v>
      </c>
      <c r="D14" s="6"/>
      <c r="E14" s="11">
        <v>7.9710000000000007E-3</v>
      </c>
      <c r="F14" s="1"/>
      <c r="G14" s="1"/>
      <c r="H14" s="1"/>
      <c r="I14" s="1"/>
      <c r="J14" s="1"/>
      <c r="K14" s="1"/>
      <c r="L14" s="1"/>
      <c r="M14" s="1"/>
      <c r="N14" s="18"/>
    </row>
    <row r="15" spans="2:14" ht="15.75" customHeight="1" x14ac:dyDescent="0.25">
      <c r="B15" s="20"/>
      <c r="C15" s="7" t="s">
        <v>10</v>
      </c>
      <c r="D15" s="8"/>
      <c r="E15" s="12">
        <v>7.9710000000000007E-3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1.9066E-2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3.6114974033986176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641E2-2EFF-4436-A36C-5DCCE943BDCC}">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122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123</v>
      </c>
      <c r="D8" s="6" t="s">
        <v>46</v>
      </c>
      <c r="E8" s="11">
        <v>0.52659199999999995</v>
      </c>
      <c r="F8" s="1"/>
      <c r="G8" s="24" t="s">
        <v>16</v>
      </c>
      <c r="H8" s="25">
        <v>1</v>
      </c>
      <c r="I8" s="1"/>
      <c r="J8" s="24" t="s">
        <v>13</v>
      </c>
      <c r="K8" s="24" t="s">
        <v>5</v>
      </c>
      <c r="L8" s="1"/>
      <c r="M8" s="1"/>
      <c r="N8" s="18"/>
    </row>
    <row r="9" spans="2:14" ht="15" customHeight="1" x14ac:dyDescent="0.25">
      <c r="B9" s="20"/>
      <c r="C9" s="5" t="s">
        <v>124</v>
      </c>
      <c r="D9" s="6" t="s">
        <v>46</v>
      </c>
      <c r="E9" s="11">
        <v>0.42259999999999998</v>
      </c>
      <c r="F9" s="1"/>
      <c r="G9" s="1"/>
      <c r="H9" s="1"/>
      <c r="I9" s="1"/>
      <c r="J9" s="24" t="s">
        <v>11</v>
      </c>
      <c r="K9" s="28">
        <v>9.9279999999999993E-3</v>
      </c>
      <c r="L9" s="1"/>
      <c r="M9" s="1"/>
      <c r="N9" s="18"/>
    </row>
    <row r="10" spans="2:14" ht="15" customHeight="1" x14ac:dyDescent="0.25">
      <c r="B10" s="20"/>
      <c r="C10" s="5" t="s">
        <v>47</v>
      </c>
      <c r="D10" s="6" t="s">
        <v>46</v>
      </c>
      <c r="E10" s="11">
        <v>2.3328000000000002E-2</v>
      </c>
      <c r="F10" s="1"/>
      <c r="G10" s="1"/>
      <c r="H10" s="1"/>
      <c r="I10" s="1"/>
      <c r="J10" s="24" t="s">
        <v>14</v>
      </c>
      <c r="K10" s="28">
        <v>1.2939000000000001E-2</v>
      </c>
      <c r="L10" s="1"/>
      <c r="M10" s="1"/>
      <c r="N10" s="18"/>
    </row>
    <row r="11" spans="2:14" ht="15.75" customHeight="1" x14ac:dyDescent="0.25">
      <c r="B11" s="20"/>
      <c r="C11" s="7" t="s">
        <v>50</v>
      </c>
      <c r="D11" s="8"/>
      <c r="E11" s="12">
        <v>0.97252000000000005</v>
      </c>
      <c r="F11" s="1"/>
      <c r="G11" s="1"/>
      <c r="H11" s="1"/>
      <c r="I11" s="1"/>
      <c r="J11" s="24" t="s">
        <v>54</v>
      </c>
      <c r="K11" s="28">
        <v>0.97252000000000005</v>
      </c>
      <c r="L11" s="1"/>
      <c r="M11" s="1"/>
      <c r="N11" s="18"/>
    </row>
    <row r="12" spans="2:14" ht="15" customHeight="1" x14ac:dyDescent="0.25">
      <c r="B12" s="20"/>
      <c r="C12" s="5" t="s">
        <v>125</v>
      </c>
      <c r="D12" s="6" t="s">
        <v>46</v>
      </c>
      <c r="E12" s="11">
        <v>4.6129999999999999E-3</v>
      </c>
      <c r="F12" s="1"/>
      <c r="G12" s="1"/>
      <c r="H12" s="1"/>
      <c r="I12" s="1"/>
      <c r="J12" s="24" t="s">
        <v>92</v>
      </c>
      <c r="K12" s="28">
        <v>4.6129999999999999E-3</v>
      </c>
      <c r="L12" s="1"/>
      <c r="M12" s="1"/>
      <c r="N12" s="18"/>
    </row>
    <row r="13" spans="2:14" ht="15.75" customHeight="1" x14ac:dyDescent="0.25">
      <c r="B13" s="20"/>
      <c r="C13" s="7" t="s">
        <v>90</v>
      </c>
      <c r="D13" s="8"/>
      <c r="E13" s="12">
        <v>4.6129999999999999E-3</v>
      </c>
      <c r="F13" s="1"/>
      <c r="G13" s="1"/>
      <c r="H13" s="1"/>
      <c r="I13" s="1"/>
      <c r="J13" s="1"/>
      <c r="K13" s="1"/>
      <c r="L13" s="1"/>
      <c r="M13" s="1"/>
      <c r="N13" s="18"/>
    </row>
    <row r="14" spans="2:14" ht="15" customHeight="1" x14ac:dyDescent="0.25">
      <c r="B14" s="20"/>
      <c r="C14" s="5" t="s">
        <v>9</v>
      </c>
      <c r="D14" s="6"/>
      <c r="E14" s="11">
        <v>1.2939000000000001E-2</v>
      </c>
      <c r="F14" s="1"/>
      <c r="G14" s="1"/>
      <c r="H14" s="1"/>
      <c r="I14" s="1"/>
      <c r="J14" s="1"/>
      <c r="K14" s="1"/>
      <c r="L14" s="1"/>
      <c r="M14" s="1"/>
      <c r="N14" s="18"/>
    </row>
    <row r="15" spans="2:14" ht="15.75" customHeight="1" x14ac:dyDescent="0.25">
      <c r="B15" s="20"/>
      <c r="C15" s="7" t="s">
        <v>10</v>
      </c>
      <c r="D15" s="8"/>
      <c r="E15" s="12">
        <v>1.2939000000000001E-2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9.9279999999999993E-3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4.0635248241985984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07670-E418-4C39-9CBA-BCAD2A583FC2}">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303</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111</v>
      </c>
      <c r="D8" s="6" t="s">
        <v>46</v>
      </c>
      <c r="E8" s="11">
        <v>0.73005900000000001</v>
      </c>
      <c r="F8" s="1"/>
      <c r="G8" s="24" t="s">
        <v>16</v>
      </c>
      <c r="H8" s="25">
        <v>1</v>
      </c>
      <c r="I8" s="1"/>
      <c r="J8" s="24" t="s">
        <v>13</v>
      </c>
      <c r="K8" s="24" t="s">
        <v>5</v>
      </c>
      <c r="L8" s="1"/>
      <c r="M8" s="1"/>
      <c r="N8" s="18"/>
    </row>
    <row r="9" spans="2:14" ht="15" customHeight="1" x14ac:dyDescent="0.25">
      <c r="B9" s="20"/>
      <c r="C9" s="5" t="s">
        <v>62</v>
      </c>
      <c r="D9" s="6" t="s">
        <v>46</v>
      </c>
      <c r="E9" s="11">
        <v>0.248693</v>
      </c>
      <c r="F9" s="1"/>
      <c r="G9" s="1"/>
      <c r="H9" s="1"/>
      <c r="I9" s="1"/>
      <c r="J9" s="24" t="s">
        <v>11</v>
      </c>
      <c r="K9" s="28">
        <v>1.2481000000000001E-2</v>
      </c>
      <c r="L9" s="1"/>
      <c r="M9" s="1"/>
      <c r="N9" s="18"/>
    </row>
    <row r="10" spans="2:14" ht="15.75" customHeight="1" x14ac:dyDescent="0.25">
      <c r="B10" s="20"/>
      <c r="C10" s="7" t="s">
        <v>50</v>
      </c>
      <c r="D10" s="8"/>
      <c r="E10" s="12">
        <v>0.97875199999999996</v>
      </c>
      <c r="F10" s="1"/>
      <c r="G10" s="1"/>
      <c r="H10" s="1"/>
      <c r="I10" s="1"/>
      <c r="J10" s="24" t="s">
        <v>14</v>
      </c>
      <c r="K10" s="28">
        <v>8.7670000000000005E-3</v>
      </c>
      <c r="L10" s="1"/>
      <c r="M10" s="1"/>
      <c r="N10" s="18"/>
    </row>
    <row r="11" spans="2:14" ht="15" customHeight="1" x14ac:dyDescent="0.25">
      <c r="B11" s="20"/>
      <c r="C11" s="5" t="s">
        <v>9</v>
      </c>
      <c r="D11" s="6"/>
      <c r="E11" s="11">
        <v>8.7670000000000005E-3</v>
      </c>
      <c r="F11" s="1"/>
      <c r="G11" s="1"/>
      <c r="H11" s="1"/>
      <c r="I11" s="1"/>
      <c r="J11" s="24" t="s">
        <v>54</v>
      </c>
      <c r="K11" s="28">
        <v>0.97875199999999996</v>
      </c>
      <c r="L11" s="1"/>
      <c r="M11" s="1"/>
      <c r="N11" s="18"/>
    </row>
    <row r="12" spans="2:14" ht="15.75" customHeight="1" x14ac:dyDescent="0.25">
      <c r="B12" s="20"/>
      <c r="C12" s="7" t="s">
        <v>10</v>
      </c>
      <c r="D12" s="8"/>
      <c r="E12" s="12">
        <v>8.7670000000000005E-3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1.2481000000000001E-2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8.1120529134210546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4F66-2241-4FDF-A035-DA3FF0C0413B}">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112</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113</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114</v>
      </c>
      <c r="D8" s="6" t="s">
        <v>46</v>
      </c>
      <c r="E8" s="11">
        <v>0.133685</v>
      </c>
      <c r="F8" s="1"/>
      <c r="G8" s="24" t="s">
        <v>16</v>
      </c>
      <c r="H8" s="25">
        <v>1</v>
      </c>
      <c r="I8" s="1"/>
      <c r="J8" s="24" t="s">
        <v>13</v>
      </c>
      <c r="K8" s="24" t="s">
        <v>5</v>
      </c>
      <c r="L8" s="1"/>
      <c r="M8" s="1"/>
      <c r="N8" s="18"/>
    </row>
    <row r="9" spans="2:14" ht="15.75" customHeight="1" x14ac:dyDescent="0.25">
      <c r="B9" s="20"/>
      <c r="C9" s="7" t="s">
        <v>50</v>
      </c>
      <c r="D9" s="8"/>
      <c r="E9" s="12">
        <v>0.133685</v>
      </c>
      <c r="F9" s="1"/>
      <c r="G9" s="1"/>
      <c r="H9" s="1"/>
      <c r="I9" s="1"/>
      <c r="J9" s="24" t="s">
        <v>11</v>
      </c>
      <c r="K9" s="28">
        <v>1.5963000000000001E-2</v>
      </c>
      <c r="L9" s="1"/>
      <c r="M9" s="1"/>
      <c r="N9" s="18"/>
    </row>
    <row r="10" spans="2:14" ht="15" customHeight="1" x14ac:dyDescent="0.25">
      <c r="B10" s="20"/>
      <c r="C10" s="5" t="s">
        <v>262</v>
      </c>
      <c r="D10" s="6" t="s">
        <v>46</v>
      </c>
      <c r="E10" s="11">
        <v>0.16336300000000001</v>
      </c>
      <c r="F10" s="1"/>
      <c r="G10" s="1"/>
      <c r="H10" s="1"/>
      <c r="I10" s="1"/>
      <c r="J10" s="24" t="s">
        <v>14</v>
      </c>
      <c r="K10" s="28">
        <v>1.627E-2</v>
      </c>
      <c r="L10" s="1"/>
      <c r="M10" s="1"/>
      <c r="N10" s="18"/>
    </row>
    <row r="11" spans="2:14" ht="15.75" customHeight="1" x14ac:dyDescent="0.25">
      <c r="B11" s="20"/>
      <c r="C11" s="5" t="s">
        <v>257</v>
      </c>
      <c r="D11" s="6" t="s">
        <v>46</v>
      </c>
      <c r="E11" s="11">
        <v>0.13533200000000001</v>
      </c>
      <c r="F11" s="1"/>
      <c r="G11" s="1"/>
      <c r="H11" s="1"/>
      <c r="I11" s="1"/>
      <c r="J11" s="24" t="s">
        <v>54</v>
      </c>
      <c r="K11" s="28">
        <v>0.133685</v>
      </c>
      <c r="L11" s="1"/>
      <c r="M11" s="1"/>
      <c r="N11" s="18"/>
    </row>
    <row r="12" spans="2:14" ht="15" customHeight="1" x14ac:dyDescent="0.25">
      <c r="B12" s="20"/>
      <c r="C12" s="5" t="s">
        <v>259</v>
      </c>
      <c r="D12" s="6" t="s">
        <v>46</v>
      </c>
      <c r="E12" s="11">
        <v>9.2877000000000001E-2</v>
      </c>
      <c r="F12" s="1"/>
      <c r="G12" s="1"/>
      <c r="H12" s="1"/>
      <c r="I12" s="1"/>
      <c r="J12" s="24" t="s">
        <v>55</v>
      </c>
      <c r="K12" s="28">
        <v>0.83408199999999999</v>
      </c>
      <c r="L12" s="1"/>
      <c r="M12" s="1"/>
      <c r="N12" s="18"/>
    </row>
    <row r="13" spans="2:14" ht="15.75" customHeight="1" x14ac:dyDescent="0.25">
      <c r="B13" s="20"/>
      <c r="C13" s="5" t="s">
        <v>265</v>
      </c>
      <c r="D13" s="6" t="s">
        <v>46</v>
      </c>
      <c r="E13" s="11">
        <v>5.7041000000000001E-2</v>
      </c>
      <c r="F13" s="1"/>
      <c r="G13" s="1"/>
      <c r="H13" s="1"/>
      <c r="I13" s="1"/>
      <c r="J13" s="1"/>
      <c r="K13" s="1"/>
      <c r="L13" s="1"/>
      <c r="M13" s="1"/>
      <c r="N13" s="18"/>
    </row>
    <row r="14" spans="2:14" ht="15" customHeight="1" x14ac:dyDescent="0.25">
      <c r="B14" s="20"/>
      <c r="C14" s="5" t="s">
        <v>255</v>
      </c>
      <c r="D14" s="6" t="s">
        <v>46</v>
      </c>
      <c r="E14" s="11">
        <v>4.6246000000000002E-2</v>
      </c>
      <c r="F14" s="1"/>
      <c r="G14" s="1"/>
      <c r="H14" s="1"/>
      <c r="I14" s="1"/>
      <c r="J14" s="1"/>
      <c r="K14" s="1"/>
      <c r="L14" s="1"/>
      <c r="M14" s="1"/>
      <c r="N14" s="18"/>
    </row>
    <row r="15" spans="2:14" ht="15.75" customHeight="1" x14ac:dyDescent="0.25">
      <c r="B15" s="20"/>
      <c r="C15" s="5" t="s">
        <v>260</v>
      </c>
      <c r="D15" s="6" t="s">
        <v>46</v>
      </c>
      <c r="E15" s="11">
        <v>4.6175000000000001E-2</v>
      </c>
      <c r="F15" s="1"/>
      <c r="G15" s="1"/>
      <c r="H15" s="1"/>
      <c r="I15" s="1"/>
      <c r="J15" s="1"/>
      <c r="K15" s="1"/>
      <c r="L15" s="1"/>
      <c r="M15" s="1"/>
      <c r="N15" s="18"/>
    </row>
    <row r="16" spans="2:14" ht="15" customHeight="1" x14ac:dyDescent="0.25">
      <c r="B16" s="20"/>
      <c r="C16" s="5" t="s">
        <v>254</v>
      </c>
      <c r="D16" s="6" t="s">
        <v>46</v>
      </c>
      <c r="E16" s="11">
        <v>4.6057000000000001E-2</v>
      </c>
      <c r="F16" s="1"/>
      <c r="G16" s="1"/>
      <c r="H16" s="1"/>
      <c r="I16" s="1"/>
      <c r="J16" s="1"/>
      <c r="K16" s="1"/>
      <c r="L16" s="1"/>
      <c r="M16" s="1"/>
      <c r="N16" s="18"/>
    </row>
    <row r="17" spans="2:14" ht="15" customHeight="1" x14ac:dyDescent="0.25">
      <c r="B17" s="20"/>
      <c r="C17" s="5" t="s">
        <v>261</v>
      </c>
      <c r="D17" s="6" t="s">
        <v>46</v>
      </c>
      <c r="E17" s="11">
        <v>3.7879000000000003E-2</v>
      </c>
      <c r="F17" s="1"/>
      <c r="G17" s="1"/>
      <c r="H17" s="1"/>
      <c r="I17" s="1"/>
      <c r="J17" s="1"/>
      <c r="K17" s="1"/>
      <c r="L17" s="1"/>
      <c r="M17" s="1"/>
      <c r="N17" s="18"/>
    </row>
    <row r="18" spans="2:14" ht="15" customHeight="1" x14ac:dyDescent="0.25">
      <c r="B18" s="20"/>
      <c r="C18" s="5" t="s">
        <v>266</v>
      </c>
      <c r="D18" s="6" t="s">
        <v>46</v>
      </c>
      <c r="E18" s="11">
        <v>3.7596999999999998E-2</v>
      </c>
      <c r="F18" s="1"/>
      <c r="G18" s="1"/>
      <c r="H18" s="1"/>
      <c r="I18" s="1"/>
      <c r="J18" s="1"/>
      <c r="K18" s="1"/>
      <c r="L18" s="1"/>
      <c r="M18" s="1"/>
      <c r="N18" s="18"/>
    </row>
    <row r="19" spans="2:14" ht="15" customHeight="1" x14ac:dyDescent="0.25">
      <c r="B19" s="20"/>
      <c r="C19" s="5" t="s">
        <v>263</v>
      </c>
      <c r="D19" s="6" t="s">
        <v>46</v>
      </c>
      <c r="E19" s="11">
        <v>3.7324000000000003E-2</v>
      </c>
      <c r="F19" s="1"/>
      <c r="G19" s="1"/>
      <c r="H19" s="1"/>
      <c r="I19" s="1"/>
      <c r="J19" s="1"/>
      <c r="K19" s="1"/>
      <c r="L19" s="1"/>
      <c r="M19" s="1"/>
      <c r="N19" s="18"/>
    </row>
    <row r="20" spans="2:14" ht="15" customHeight="1" x14ac:dyDescent="0.25">
      <c r="B20" s="20"/>
      <c r="C20" s="5" t="s">
        <v>204</v>
      </c>
      <c r="D20" s="6" t="s">
        <v>46</v>
      </c>
      <c r="E20" s="11">
        <v>3.2516999999999997E-2</v>
      </c>
      <c r="F20" s="1"/>
      <c r="G20" s="1"/>
      <c r="H20" s="1"/>
      <c r="I20" s="1"/>
      <c r="J20" s="1"/>
      <c r="K20" s="1"/>
      <c r="L20" s="1"/>
      <c r="M20" s="1"/>
      <c r="N20" s="18"/>
    </row>
    <row r="21" spans="2:14" ht="15" customHeight="1" x14ac:dyDescent="0.25">
      <c r="B21" s="20"/>
      <c r="C21" s="5" t="s">
        <v>264</v>
      </c>
      <c r="D21" s="6" t="s">
        <v>46</v>
      </c>
      <c r="E21" s="11">
        <v>3.1715E-2</v>
      </c>
      <c r="F21" s="1"/>
      <c r="G21" s="1"/>
      <c r="H21" s="1"/>
      <c r="I21" s="1"/>
      <c r="J21" s="1"/>
      <c r="K21" s="1"/>
      <c r="L21" s="1"/>
      <c r="M21" s="1"/>
      <c r="N21" s="18"/>
    </row>
    <row r="22" spans="2:14" ht="15" customHeight="1" x14ac:dyDescent="0.25">
      <c r="B22" s="20"/>
      <c r="C22" s="5" t="s">
        <v>253</v>
      </c>
      <c r="D22" s="6" t="s">
        <v>46</v>
      </c>
      <c r="E22" s="11">
        <v>2.3068000000000002E-2</v>
      </c>
      <c r="F22" s="1"/>
      <c r="G22" s="1"/>
      <c r="H22" s="1"/>
      <c r="I22" s="1"/>
      <c r="J22" s="1"/>
      <c r="K22" s="1"/>
      <c r="L22" s="1"/>
      <c r="M22" s="1"/>
      <c r="N22" s="18"/>
    </row>
    <row r="23" spans="2:14" ht="15" customHeight="1" x14ac:dyDescent="0.25">
      <c r="B23" s="20"/>
      <c r="C23" s="5" t="s">
        <v>268</v>
      </c>
      <c r="D23" s="6" t="s">
        <v>46</v>
      </c>
      <c r="E23" s="11">
        <v>1.8471000000000001E-2</v>
      </c>
      <c r="F23" s="1"/>
      <c r="G23" s="1"/>
      <c r="H23" s="1"/>
      <c r="I23" s="1"/>
      <c r="J23" s="1"/>
      <c r="K23" s="1"/>
      <c r="L23" s="1"/>
      <c r="M23" s="1"/>
      <c r="N23" s="18"/>
    </row>
    <row r="24" spans="2:14" ht="15" customHeight="1" x14ac:dyDescent="0.25">
      <c r="B24" s="20"/>
      <c r="C24" s="5" t="s">
        <v>267</v>
      </c>
      <c r="D24" s="6" t="s">
        <v>46</v>
      </c>
      <c r="E24" s="11">
        <v>9.2429999999999995E-3</v>
      </c>
      <c r="F24" s="1"/>
      <c r="G24" s="49" t="s">
        <v>18</v>
      </c>
      <c r="H24" s="50"/>
      <c r="I24" s="50"/>
      <c r="J24" s="50"/>
      <c r="K24" s="50"/>
      <c r="L24" s="101">
        <v>2.9653869375074042</v>
      </c>
      <c r="M24" s="26"/>
      <c r="N24" s="27"/>
    </row>
    <row r="25" spans="2:14" ht="15" customHeight="1" x14ac:dyDescent="0.25">
      <c r="B25" s="20"/>
      <c r="C25" s="5" t="s">
        <v>269</v>
      </c>
      <c r="D25" s="6" t="s">
        <v>46</v>
      </c>
      <c r="E25" s="11">
        <v>9.2270000000000008E-3</v>
      </c>
      <c r="F25" s="1"/>
      <c r="G25" s="1"/>
      <c r="H25" s="1"/>
      <c r="I25" s="1"/>
      <c r="J25" s="1"/>
      <c r="K25" s="1"/>
      <c r="L25" s="1"/>
      <c r="M25" s="1"/>
      <c r="N25" s="18"/>
    </row>
    <row r="26" spans="2:14" ht="15" customHeight="1" x14ac:dyDescent="0.25">
      <c r="B26" s="20"/>
      <c r="C26" s="5" t="s">
        <v>258</v>
      </c>
      <c r="D26" s="6" t="s">
        <v>46</v>
      </c>
      <c r="E26" s="11">
        <v>5.3769999999999998E-3</v>
      </c>
      <c r="F26" s="1"/>
      <c r="G26" s="49" t="s">
        <v>19</v>
      </c>
      <c r="H26" s="50"/>
      <c r="I26" s="50"/>
      <c r="J26" s="50"/>
      <c r="K26" s="50"/>
      <c r="L26" s="50"/>
      <c r="M26" s="50"/>
      <c r="N26" s="51"/>
    </row>
    <row r="27" spans="2:14" ht="15" customHeight="1" x14ac:dyDescent="0.25">
      <c r="B27" s="20"/>
      <c r="C27" s="5" t="s">
        <v>256</v>
      </c>
      <c r="D27" s="6" t="s">
        <v>46</v>
      </c>
      <c r="E27" s="11">
        <v>4.5729999999999998E-3</v>
      </c>
      <c r="F27" s="1"/>
      <c r="G27" s="1"/>
      <c r="H27" s="1"/>
      <c r="I27" s="1"/>
      <c r="J27" s="1"/>
      <c r="K27" s="1"/>
      <c r="L27" s="1"/>
      <c r="M27" s="1"/>
      <c r="N27" s="18"/>
    </row>
    <row r="28" spans="2:14" ht="15" customHeight="1" x14ac:dyDescent="0.25">
      <c r="B28" s="20"/>
      <c r="C28" s="7" t="s">
        <v>51</v>
      </c>
      <c r="D28" s="8"/>
      <c r="E28" s="12">
        <v>0.83408199999999999</v>
      </c>
      <c r="F28" s="1"/>
      <c r="G28" s="1"/>
      <c r="H28" s="1"/>
      <c r="I28" s="1"/>
      <c r="J28" s="1"/>
      <c r="K28" s="1"/>
      <c r="L28" s="1"/>
      <c r="M28" s="1"/>
      <c r="N28" s="18"/>
    </row>
    <row r="29" spans="2:14" ht="15" customHeight="1" x14ac:dyDescent="0.25">
      <c r="B29" s="20"/>
      <c r="C29" s="5" t="s">
        <v>9</v>
      </c>
      <c r="D29" s="6"/>
      <c r="E29" s="11">
        <v>1.627E-2</v>
      </c>
      <c r="F29" s="1"/>
      <c r="G29" s="1"/>
      <c r="H29" s="1"/>
      <c r="I29" s="1"/>
      <c r="J29" s="1"/>
      <c r="K29" s="1"/>
      <c r="L29" s="1"/>
      <c r="M29" s="1"/>
      <c r="N29" s="18"/>
    </row>
    <row r="30" spans="2:14" ht="15" customHeight="1" x14ac:dyDescent="0.25">
      <c r="B30" s="20"/>
      <c r="C30" s="7" t="s">
        <v>10</v>
      </c>
      <c r="D30" s="8"/>
      <c r="E30" s="12">
        <v>1.627E-2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11</v>
      </c>
      <c r="D32" s="8"/>
      <c r="E32" s="12">
        <v>1.5963000000000001E-2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12</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sortState ref="C10:E27">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DBAD-497B-439C-83AD-62BEB1CB0421}">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115</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116</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47</v>
      </c>
      <c r="D8" s="6" t="s">
        <v>46</v>
      </c>
      <c r="E8" s="11">
        <v>0.159887</v>
      </c>
      <c r="F8" s="1"/>
      <c r="G8" s="24" t="s">
        <v>16</v>
      </c>
      <c r="H8" s="25">
        <v>1</v>
      </c>
      <c r="I8" s="1"/>
      <c r="J8" s="24" t="s">
        <v>13</v>
      </c>
      <c r="K8" s="24" t="s">
        <v>5</v>
      </c>
      <c r="L8" s="1"/>
      <c r="M8" s="1"/>
      <c r="N8" s="18"/>
    </row>
    <row r="9" spans="2:14" ht="15.75" customHeight="1" x14ac:dyDescent="0.25">
      <c r="B9" s="20"/>
      <c r="C9" s="7" t="s">
        <v>50</v>
      </c>
      <c r="D9" s="8"/>
      <c r="E9" s="12">
        <v>0.159887</v>
      </c>
      <c r="F9" s="1"/>
      <c r="G9" s="1"/>
      <c r="H9" s="1"/>
      <c r="I9" s="1"/>
      <c r="J9" s="24" t="s">
        <v>11</v>
      </c>
      <c r="K9" s="28">
        <v>1.0501999999999999E-2</v>
      </c>
      <c r="L9" s="1"/>
      <c r="M9" s="1"/>
      <c r="N9" s="18"/>
    </row>
    <row r="10" spans="2:14" ht="15" customHeight="1" x14ac:dyDescent="0.25">
      <c r="B10" s="20"/>
      <c r="C10" s="5" t="s">
        <v>272</v>
      </c>
      <c r="D10" s="6" t="s">
        <v>46</v>
      </c>
      <c r="E10" s="11">
        <v>0.18535599999999999</v>
      </c>
      <c r="F10" s="1"/>
      <c r="G10" s="1"/>
      <c r="H10" s="1"/>
      <c r="I10" s="1"/>
      <c r="J10" s="24" t="s">
        <v>14</v>
      </c>
      <c r="K10" s="28">
        <v>1.8342000000000001E-2</v>
      </c>
      <c r="L10" s="1"/>
      <c r="M10" s="1"/>
      <c r="N10" s="18"/>
    </row>
    <row r="11" spans="2:14" ht="15.75" customHeight="1" x14ac:dyDescent="0.25">
      <c r="B11" s="20"/>
      <c r="C11" s="5" t="s">
        <v>270</v>
      </c>
      <c r="D11" s="6" t="s">
        <v>46</v>
      </c>
      <c r="E11" s="11">
        <v>0.14001</v>
      </c>
      <c r="F11" s="1"/>
      <c r="G11" s="1"/>
      <c r="H11" s="1"/>
      <c r="I11" s="1"/>
      <c r="J11" s="24" t="s">
        <v>54</v>
      </c>
      <c r="K11" s="28">
        <v>0.159887</v>
      </c>
      <c r="L11" s="1"/>
      <c r="M11" s="1"/>
      <c r="N11" s="18"/>
    </row>
    <row r="12" spans="2:14" ht="15" customHeight="1" x14ac:dyDescent="0.25">
      <c r="B12" s="20"/>
      <c r="C12" s="5" t="s">
        <v>228</v>
      </c>
      <c r="D12" s="6" t="s">
        <v>46</v>
      </c>
      <c r="E12" s="11">
        <v>0.130109</v>
      </c>
      <c r="F12" s="1"/>
      <c r="G12" s="1"/>
      <c r="H12" s="1"/>
      <c r="I12" s="1"/>
      <c r="J12" s="24" t="s">
        <v>55</v>
      </c>
      <c r="K12" s="28">
        <v>0.81126900000000002</v>
      </c>
      <c r="L12" s="1"/>
      <c r="M12" s="1"/>
      <c r="N12" s="18"/>
    </row>
    <row r="13" spans="2:14" ht="15.75" customHeight="1" x14ac:dyDescent="0.25">
      <c r="B13" s="20"/>
      <c r="C13" s="5" t="s">
        <v>278</v>
      </c>
      <c r="D13" s="6" t="s">
        <v>46</v>
      </c>
      <c r="E13" s="11">
        <v>0.12759599999999999</v>
      </c>
      <c r="F13" s="1"/>
      <c r="G13" s="1"/>
      <c r="H13" s="1"/>
      <c r="I13" s="1"/>
      <c r="J13" s="1"/>
      <c r="K13" s="1"/>
      <c r="L13" s="1"/>
      <c r="M13" s="1"/>
      <c r="N13" s="18"/>
    </row>
    <row r="14" spans="2:14" ht="15" customHeight="1" x14ac:dyDescent="0.25">
      <c r="B14" s="20"/>
      <c r="C14" s="5" t="s">
        <v>275</v>
      </c>
      <c r="D14" s="6" t="s">
        <v>46</v>
      </c>
      <c r="E14" s="11">
        <v>6.3749E-2</v>
      </c>
      <c r="F14" s="1"/>
      <c r="G14" s="1"/>
      <c r="H14" s="1"/>
      <c r="I14" s="1"/>
      <c r="J14" s="1"/>
      <c r="K14" s="1"/>
      <c r="L14" s="1"/>
      <c r="M14" s="1"/>
      <c r="N14" s="18"/>
    </row>
    <row r="15" spans="2:14" ht="15.75" customHeight="1" x14ac:dyDescent="0.25">
      <c r="B15" s="20"/>
      <c r="C15" s="5" t="s">
        <v>273</v>
      </c>
      <c r="D15" s="6" t="s">
        <v>46</v>
      </c>
      <c r="E15" s="11">
        <v>6.1550000000000001E-2</v>
      </c>
      <c r="F15" s="1"/>
      <c r="G15" s="1"/>
      <c r="H15" s="1"/>
      <c r="I15" s="1"/>
      <c r="J15" s="1"/>
      <c r="K15" s="1"/>
      <c r="L15" s="1"/>
      <c r="M15" s="1"/>
      <c r="N15" s="18"/>
    </row>
    <row r="16" spans="2:14" ht="15" customHeight="1" x14ac:dyDescent="0.25">
      <c r="B16" s="20"/>
      <c r="C16" s="5" t="s">
        <v>274</v>
      </c>
      <c r="D16" s="6" t="s">
        <v>46</v>
      </c>
      <c r="E16" s="11">
        <v>3.8276999999999999E-2</v>
      </c>
      <c r="F16" s="1"/>
      <c r="G16" s="1"/>
      <c r="H16" s="1"/>
      <c r="I16" s="1"/>
      <c r="J16" s="1"/>
      <c r="K16" s="1"/>
      <c r="L16" s="1"/>
      <c r="M16" s="1"/>
      <c r="N16" s="18"/>
    </row>
    <row r="17" spans="2:14" ht="15" customHeight="1" x14ac:dyDescent="0.25">
      <c r="B17" s="20"/>
      <c r="C17" s="5" t="s">
        <v>277</v>
      </c>
      <c r="D17" s="6" t="s">
        <v>46</v>
      </c>
      <c r="E17" s="11">
        <v>3.1831999999999999E-2</v>
      </c>
      <c r="F17" s="1"/>
      <c r="G17" s="1"/>
      <c r="H17" s="1"/>
      <c r="I17" s="1"/>
      <c r="J17" s="1"/>
      <c r="K17" s="1"/>
      <c r="L17" s="1"/>
      <c r="M17" s="1"/>
      <c r="N17" s="18"/>
    </row>
    <row r="18" spans="2:14" ht="15" customHeight="1" x14ac:dyDescent="0.25">
      <c r="B18" s="20"/>
      <c r="C18" s="5" t="s">
        <v>276</v>
      </c>
      <c r="D18" s="6" t="s">
        <v>46</v>
      </c>
      <c r="E18" s="11">
        <v>2.8910000000000002E-2</v>
      </c>
      <c r="F18" s="1"/>
      <c r="G18" s="1"/>
      <c r="H18" s="1"/>
      <c r="I18" s="1"/>
      <c r="J18" s="1"/>
      <c r="K18" s="1"/>
      <c r="L18" s="1"/>
      <c r="M18" s="1"/>
      <c r="N18" s="18"/>
    </row>
    <row r="19" spans="2:14" ht="15" customHeight="1" x14ac:dyDescent="0.25">
      <c r="B19" s="20"/>
      <c r="C19" s="5" t="s">
        <v>271</v>
      </c>
      <c r="D19" s="6" t="s">
        <v>46</v>
      </c>
      <c r="E19" s="11">
        <v>3.8800000000000002E-3</v>
      </c>
      <c r="F19" s="1"/>
      <c r="G19" s="1"/>
      <c r="H19" s="1"/>
      <c r="I19" s="1"/>
      <c r="J19" s="1"/>
      <c r="K19" s="1"/>
      <c r="L19" s="1"/>
      <c r="M19" s="1"/>
      <c r="N19" s="18"/>
    </row>
    <row r="20" spans="2:14" ht="15" customHeight="1" x14ac:dyDescent="0.25">
      <c r="B20" s="20"/>
      <c r="C20" s="7" t="s">
        <v>51</v>
      </c>
      <c r="D20" s="8"/>
      <c r="E20" s="12">
        <v>0.81126900000000002</v>
      </c>
      <c r="F20" s="1"/>
      <c r="G20" s="1"/>
      <c r="H20" s="1"/>
      <c r="I20" s="1"/>
      <c r="J20" s="1"/>
      <c r="K20" s="1"/>
      <c r="L20" s="1"/>
      <c r="M20" s="1"/>
      <c r="N20" s="18"/>
    </row>
    <row r="21" spans="2:14" ht="15" customHeight="1" x14ac:dyDescent="0.25">
      <c r="B21" s="20"/>
      <c r="C21" s="5" t="s">
        <v>9</v>
      </c>
      <c r="D21" s="6"/>
      <c r="E21" s="11">
        <v>1.8342000000000001E-2</v>
      </c>
      <c r="F21" s="1"/>
      <c r="G21" s="1"/>
      <c r="H21" s="1"/>
      <c r="I21" s="1"/>
      <c r="J21" s="1"/>
      <c r="K21" s="1"/>
      <c r="L21" s="1"/>
      <c r="M21" s="1"/>
      <c r="N21" s="18"/>
    </row>
    <row r="22" spans="2:14" ht="15" customHeight="1" x14ac:dyDescent="0.25">
      <c r="B22" s="20"/>
      <c r="C22" s="7" t="s">
        <v>10</v>
      </c>
      <c r="D22" s="8"/>
      <c r="E22" s="12">
        <v>1.8342000000000001E-2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1.0501999999999999E-2</v>
      </c>
      <c r="F24" s="1"/>
      <c r="G24" s="49" t="s">
        <v>18</v>
      </c>
      <c r="H24" s="50"/>
      <c r="I24" s="50"/>
      <c r="J24" s="50"/>
      <c r="K24" s="50"/>
      <c r="L24" s="101">
        <v>3.7787657098255987</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6FEE-4B5B-4FC2-A1A8-4D02002DB13F}">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109</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110</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111</v>
      </c>
      <c r="D8" s="6" t="s">
        <v>46</v>
      </c>
      <c r="E8" s="11">
        <v>6.3188999999999995E-2</v>
      </c>
      <c r="F8" s="1"/>
      <c r="G8" s="24" t="s">
        <v>16</v>
      </c>
      <c r="H8" s="25">
        <v>1</v>
      </c>
      <c r="I8" s="1"/>
      <c r="J8" s="24" t="s">
        <v>13</v>
      </c>
      <c r="K8" s="24" t="s">
        <v>5</v>
      </c>
      <c r="L8" s="1"/>
      <c r="M8" s="1"/>
      <c r="N8" s="18"/>
    </row>
    <row r="9" spans="2:14" ht="15.75" customHeight="1" x14ac:dyDescent="0.25">
      <c r="B9" s="20"/>
      <c r="C9" s="7" t="s">
        <v>50</v>
      </c>
      <c r="D9" s="8"/>
      <c r="E9" s="12">
        <v>6.3188999999999995E-2</v>
      </c>
      <c r="F9" s="1"/>
      <c r="G9" s="1"/>
      <c r="H9" s="1"/>
      <c r="I9" s="1"/>
      <c r="J9" s="24" t="s">
        <v>11</v>
      </c>
      <c r="K9" s="28">
        <v>1.616E-3</v>
      </c>
      <c r="L9" s="1"/>
      <c r="M9" s="1"/>
      <c r="N9" s="18"/>
    </row>
    <row r="10" spans="2:14" ht="15" customHeight="1" x14ac:dyDescent="0.25">
      <c r="B10" s="20"/>
      <c r="C10" s="5" t="s">
        <v>300</v>
      </c>
      <c r="D10" s="6" t="s">
        <v>46</v>
      </c>
      <c r="E10" s="11">
        <v>0.15650500000000001</v>
      </c>
      <c r="F10" s="1"/>
      <c r="G10" s="1"/>
      <c r="H10" s="1"/>
      <c r="I10" s="1"/>
      <c r="J10" s="24" t="s">
        <v>14</v>
      </c>
      <c r="K10" s="28">
        <v>3.2384000000000003E-2</v>
      </c>
      <c r="L10" s="1"/>
      <c r="M10" s="1"/>
      <c r="N10" s="18"/>
    </row>
    <row r="11" spans="2:14" ht="15.75" customHeight="1" x14ac:dyDescent="0.25">
      <c r="B11" s="20"/>
      <c r="C11" s="5" t="s">
        <v>301</v>
      </c>
      <c r="D11" s="6" t="s">
        <v>46</v>
      </c>
      <c r="E11" s="11">
        <v>0.15646499999999999</v>
      </c>
      <c r="F11" s="1"/>
      <c r="G11" s="1"/>
      <c r="H11" s="1"/>
      <c r="I11" s="1"/>
      <c r="J11" s="24" t="s">
        <v>54</v>
      </c>
      <c r="K11" s="28">
        <v>6.3188999999999995E-2</v>
      </c>
      <c r="L11" s="1"/>
      <c r="M11" s="1"/>
      <c r="N11" s="18"/>
    </row>
    <row r="12" spans="2:14" ht="15" customHeight="1" x14ac:dyDescent="0.25">
      <c r="B12" s="20"/>
      <c r="C12" s="5" t="s">
        <v>298</v>
      </c>
      <c r="D12" s="6" t="s">
        <v>46</v>
      </c>
      <c r="E12" s="11">
        <v>0.13147300000000001</v>
      </c>
      <c r="F12" s="1"/>
      <c r="G12" s="1"/>
      <c r="H12" s="1"/>
      <c r="I12" s="1"/>
      <c r="J12" s="24" t="s">
        <v>55</v>
      </c>
      <c r="K12" s="28">
        <v>0.90281100000000003</v>
      </c>
      <c r="L12" s="1"/>
      <c r="M12" s="1"/>
      <c r="N12" s="18"/>
    </row>
    <row r="13" spans="2:14" ht="15.75" customHeight="1" x14ac:dyDescent="0.25">
      <c r="B13" s="20"/>
      <c r="C13" s="5" t="s">
        <v>299</v>
      </c>
      <c r="D13" s="6" t="s">
        <v>46</v>
      </c>
      <c r="E13" s="11">
        <v>8.7706000000000006E-2</v>
      </c>
      <c r="F13" s="1"/>
      <c r="G13" s="1"/>
      <c r="H13" s="1"/>
      <c r="I13" s="1"/>
      <c r="J13" s="1"/>
      <c r="K13" s="1"/>
      <c r="L13" s="1"/>
      <c r="M13" s="1"/>
      <c r="N13" s="18"/>
    </row>
    <row r="14" spans="2:14" ht="15" customHeight="1" x14ac:dyDescent="0.25">
      <c r="B14" s="20"/>
      <c r="C14" s="5" t="s">
        <v>289</v>
      </c>
      <c r="D14" s="6" t="s">
        <v>46</v>
      </c>
      <c r="E14" s="11">
        <v>4.5789999999999997E-2</v>
      </c>
      <c r="F14" s="1"/>
      <c r="G14" s="1"/>
      <c r="H14" s="1"/>
      <c r="I14" s="1"/>
      <c r="J14" s="1"/>
      <c r="K14" s="1"/>
      <c r="L14" s="1"/>
      <c r="M14" s="1"/>
      <c r="N14" s="18"/>
    </row>
    <row r="15" spans="2:14" ht="15.75" customHeight="1" x14ac:dyDescent="0.25">
      <c r="B15" s="20"/>
      <c r="C15" s="5" t="s">
        <v>296</v>
      </c>
      <c r="D15" s="6" t="s">
        <v>46</v>
      </c>
      <c r="E15" s="11">
        <v>4.0448999999999999E-2</v>
      </c>
      <c r="F15" s="1"/>
      <c r="G15" s="1"/>
      <c r="H15" s="1"/>
      <c r="I15" s="1"/>
      <c r="J15" s="1"/>
      <c r="K15" s="1"/>
      <c r="L15" s="1"/>
      <c r="M15" s="1"/>
      <c r="N15" s="18"/>
    </row>
    <row r="16" spans="2:14" ht="15" customHeight="1" x14ac:dyDescent="0.25">
      <c r="B16" s="20"/>
      <c r="C16" s="5" t="s">
        <v>291</v>
      </c>
      <c r="D16" s="6" t="s">
        <v>46</v>
      </c>
      <c r="E16" s="11">
        <v>3.5247000000000001E-2</v>
      </c>
      <c r="F16" s="1"/>
      <c r="G16" s="1"/>
      <c r="H16" s="1"/>
      <c r="I16" s="1"/>
      <c r="J16" s="1"/>
      <c r="K16" s="1"/>
      <c r="L16" s="1"/>
      <c r="M16" s="1"/>
      <c r="N16" s="18"/>
    </row>
    <row r="17" spans="2:14" ht="15" customHeight="1" x14ac:dyDescent="0.25">
      <c r="B17" s="20"/>
      <c r="C17" s="5" t="s">
        <v>292</v>
      </c>
      <c r="D17" s="6" t="s">
        <v>46</v>
      </c>
      <c r="E17" s="11">
        <v>3.1118E-2</v>
      </c>
      <c r="F17" s="1"/>
      <c r="G17" s="1"/>
      <c r="H17" s="1"/>
      <c r="I17" s="1"/>
      <c r="J17" s="1"/>
      <c r="K17" s="1"/>
      <c r="L17" s="1"/>
      <c r="M17" s="1"/>
      <c r="N17" s="18"/>
    </row>
    <row r="18" spans="2:14" ht="15" customHeight="1" x14ac:dyDescent="0.25">
      <c r="B18" s="20"/>
      <c r="C18" s="5" t="s">
        <v>285</v>
      </c>
      <c r="D18" s="6" t="s">
        <v>46</v>
      </c>
      <c r="E18" s="11">
        <v>3.0089999999999999E-2</v>
      </c>
      <c r="F18" s="1"/>
      <c r="G18" s="1"/>
      <c r="H18" s="1"/>
      <c r="I18" s="1"/>
      <c r="J18" s="1"/>
      <c r="K18" s="1"/>
      <c r="L18" s="1"/>
      <c r="M18" s="1"/>
      <c r="N18" s="18"/>
    </row>
    <row r="19" spans="2:14" ht="15" customHeight="1" x14ac:dyDescent="0.25">
      <c r="B19" s="20"/>
      <c r="C19" s="5" t="s">
        <v>282</v>
      </c>
      <c r="D19" s="6" t="s">
        <v>46</v>
      </c>
      <c r="E19" s="11">
        <v>2.8112000000000002E-2</v>
      </c>
      <c r="F19" s="1"/>
      <c r="G19" s="1"/>
      <c r="H19" s="1"/>
      <c r="I19" s="1"/>
      <c r="J19" s="1"/>
      <c r="K19" s="1"/>
      <c r="L19" s="1"/>
      <c r="M19" s="1"/>
      <c r="N19" s="18"/>
    </row>
    <row r="20" spans="2:14" ht="15" customHeight="1" x14ac:dyDescent="0.25">
      <c r="B20" s="20"/>
      <c r="C20" s="5" t="s">
        <v>284</v>
      </c>
      <c r="D20" s="6" t="s">
        <v>46</v>
      </c>
      <c r="E20" s="11">
        <v>2.1166999999999998E-2</v>
      </c>
      <c r="F20" s="1"/>
      <c r="G20" s="1"/>
      <c r="H20" s="1"/>
      <c r="I20" s="1"/>
      <c r="J20" s="1"/>
      <c r="K20" s="1"/>
      <c r="L20" s="1"/>
      <c r="M20" s="1"/>
      <c r="N20" s="18"/>
    </row>
    <row r="21" spans="2:14" ht="15" customHeight="1" x14ac:dyDescent="0.25">
      <c r="B21" s="20"/>
      <c r="C21" s="5" t="s">
        <v>287</v>
      </c>
      <c r="D21" s="6" t="s">
        <v>46</v>
      </c>
      <c r="E21" s="11">
        <v>1.6716000000000002E-2</v>
      </c>
      <c r="F21" s="1"/>
      <c r="G21" s="1"/>
      <c r="H21" s="1"/>
      <c r="I21" s="1"/>
      <c r="J21" s="1"/>
      <c r="K21" s="1"/>
      <c r="L21" s="1"/>
      <c r="M21" s="1"/>
      <c r="N21" s="18"/>
    </row>
    <row r="22" spans="2:14" ht="15" customHeight="1" x14ac:dyDescent="0.25">
      <c r="B22" s="20"/>
      <c r="C22" s="5" t="s">
        <v>279</v>
      </c>
      <c r="D22" s="6" t="s">
        <v>46</v>
      </c>
      <c r="E22" s="11">
        <v>1.5768999999999998E-2</v>
      </c>
      <c r="F22" s="1"/>
      <c r="G22" s="1"/>
      <c r="H22" s="1"/>
      <c r="I22" s="1"/>
      <c r="J22" s="1"/>
      <c r="K22" s="1"/>
      <c r="L22" s="1"/>
      <c r="M22" s="1"/>
      <c r="N22" s="18"/>
    </row>
    <row r="23" spans="2:14" ht="15" customHeight="1" x14ac:dyDescent="0.25">
      <c r="B23" s="20"/>
      <c r="C23" s="5" t="s">
        <v>297</v>
      </c>
      <c r="D23" s="6" t="s">
        <v>46</v>
      </c>
      <c r="E23" s="11">
        <v>1.5657999999999998E-2</v>
      </c>
      <c r="F23" s="1"/>
      <c r="G23" s="1"/>
      <c r="H23" s="1"/>
      <c r="I23" s="1"/>
      <c r="J23" s="1"/>
      <c r="K23" s="1"/>
      <c r="L23" s="1"/>
      <c r="M23" s="1"/>
      <c r="N23" s="18"/>
    </row>
    <row r="24" spans="2:14" ht="15" customHeight="1" x14ac:dyDescent="0.25">
      <c r="B24" s="20"/>
      <c r="C24" s="5" t="s">
        <v>290</v>
      </c>
      <c r="D24" s="6" t="s">
        <v>46</v>
      </c>
      <c r="E24" s="11">
        <v>1.5647999999999999E-2</v>
      </c>
      <c r="F24" s="1"/>
      <c r="G24" s="49" t="s">
        <v>18</v>
      </c>
      <c r="H24" s="50"/>
      <c r="I24" s="50"/>
      <c r="J24" s="50"/>
      <c r="K24" s="50"/>
      <c r="L24" s="101">
        <v>8.1578131062915116</v>
      </c>
      <c r="M24" s="26"/>
      <c r="N24" s="27"/>
    </row>
    <row r="25" spans="2:14" ht="15" customHeight="1" x14ac:dyDescent="0.25">
      <c r="B25" s="20"/>
      <c r="C25" s="5" t="s">
        <v>288</v>
      </c>
      <c r="D25" s="6" t="s">
        <v>46</v>
      </c>
      <c r="E25" s="11">
        <v>1.5252E-2</v>
      </c>
      <c r="F25" s="1"/>
      <c r="G25" s="1"/>
      <c r="H25" s="1"/>
      <c r="I25" s="1"/>
      <c r="J25" s="1"/>
      <c r="K25" s="1"/>
      <c r="L25" s="1"/>
      <c r="M25" s="1"/>
      <c r="N25" s="18"/>
    </row>
    <row r="26" spans="2:14" ht="15" customHeight="1" x14ac:dyDescent="0.25">
      <c r="B26" s="20"/>
      <c r="C26" s="5" t="s">
        <v>283</v>
      </c>
      <c r="D26" s="6" t="s">
        <v>46</v>
      </c>
      <c r="E26" s="11">
        <v>1.5089999999999999E-2</v>
      </c>
      <c r="F26" s="1"/>
      <c r="G26" s="49" t="s">
        <v>19</v>
      </c>
      <c r="H26" s="50"/>
      <c r="I26" s="50"/>
      <c r="J26" s="50"/>
      <c r="K26" s="50"/>
      <c r="L26" s="50"/>
      <c r="M26" s="50"/>
      <c r="N26" s="51"/>
    </row>
    <row r="27" spans="2:14" ht="15" customHeight="1" x14ac:dyDescent="0.25">
      <c r="B27" s="20"/>
      <c r="C27" s="5" t="s">
        <v>281</v>
      </c>
      <c r="D27" s="6" t="s">
        <v>46</v>
      </c>
      <c r="E27" s="11">
        <v>1.4815999999999999E-2</v>
      </c>
      <c r="F27" s="1"/>
      <c r="G27" s="1"/>
      <c r="H27" s="1"/>
      <c r="I27" s="1"/>
      <c r="J27" s="1"/>
      <c r="K27" s="1"/>
      <c r="L27" s="1"/>
      <c r="M27" s="1"/>
      <c r="N27" s="18"/>
    </row>
    <row r="28" spans="2:14" ht="15" customHeight="1" x14ac:dyDescent="0.25">
      <c r="B28" s="20"/>
      <c r="C28" s="5" t="s">
        <v>295</v>
      </c>
      <c r="D28" s="6" t="s">
        <v>46</v>
      </c>
      <c r="E28" s="11">
        <v>9.2999999999999992E-3</v>
      </c>
      <c r="F28" s="1"/>
      <c r="G28" s="1"/>
      <c r="H28" s="1"/>
      <c r="I28" s="1"/>
      <c r="J28" s="1"/>
      <c r="K28" s="1"/>
      <c r="L28" s="1"/>
      <c r="M28" s="1"/>
      <c r="N28" s="18"/>
    </row>
    <row r="29" spans="2:14" ht="15" customHeight="1" x14ac:dyDescent="0.25">
      <c r="B29" s="20"/>
      <c r="C29" s="5" t="s">
        <v>294</v>
      </c>
      <c r="D29" s="6" t="s">
        <v>46</v>
      </c>
      <c r="E29" s="11">
        <v>7.5680000000000001E-3</v>
      </c>
      <c r="F29" s="1"/>
      <c r="G29" s="1"/>
      <c r="H29" s="1"/>
      <c r="I29" s="1"/>
      <c r="J29" s="1"/>
      <c r="K29" s="1"/>
      <c r="L29" s="1"/>
      <c r="M29" s="1"/>
      <c r="N29" s="18"/>
    </row>
    <row r="30" spans="2:14" ht="15" customHeight="1" x14ac:dyDescent="0.25">
      <c r="B30" s="20"/>
      <c r="C30" s="5" t="s">
        <v>293</v>
      </c>
      <c r="D30" s="6" t="s">
        <v>46</v>
      </c>
      <c r="E30" s="11">
        <v>5.953E-3</v>
      </c>
      <c r="F30" s="1"/>
      <c r="G30" s="1"/>
      <c r="H30" s="1"/>
      <c r="I30" s="1"/>
      <c r="J30" s="1"/>
      <c r="K30" s="1"/>
      <c r="L30" s="1"/>
      <c r="M30" s="1"/>
      <c r="N30" s="18"/>
    </row>
    <row r="31" spans="2:14" ht="15" customHeight="1" x14ac:dyDescent="0.25">
      <c r="B31" s="20"/>
      <c r="C31" s="5" t="s">
        <v>286</v>
      </c>
      <c r="D31" s="6" t="s">
        <v>46</v>
      </c>
      <c r="E31" s="11">
        <v>4.2469999999999999E-3</v>
      </c>
      <c r="F31" s="1"/>
      <c r="G31" s="1"/>
      <c r="H31" s="1"/>
      <c r="I31" s="1"/>
      <c r="J31" s="1"/>
      <c r="K31" s="1"/>
      <c r="L31" s="1"/>
      <c r="M31" s="1"/>
      <c r="N31" s="18"/>
    </row>
    <row r="32" spans="2:14" ht="15" customHeight="1" x14ac:dyDescent="0.25">
      <c r="B32" s="20"/>
      <c r="C32" s="5" t="s">
        <v>280</v>
      </c>
      <c r="D32" s="6" t="s">
        <v>46</v>
      </c>
      <c r="E32" s="11">
        <v>2.6719999999999999E-3</v>
      </c>
      <c r="F32" s="1"/>
      <c r="G32" s="1"/>
      <c r="H32" s="1"/>
      <c r="I32" s="1"/>
      <c r="J32" s="1"/>
      <c r="K32" s="1"/>
      <c r="L32" s="1"/>
      <c r="M32" s="1"/>
      <c r="N32" s="18"/>
    </row>
    <row r="33" spans="2:14" ht="15" customHeight="1" x14ac:dyDescent="0.25">
      <c r="B33" s="20"/>
      <c r="C33" s="7" t="s">
        <v>51</v>
      </c>
      <c r="D33" s="8"/>
      <c r="E33" s="12">
        <v>0.90281100000000003</v>
      </c>
      <c r="F33" s="1"/>
      <c r="G33" s="1"/>
      <c r="H33" s="1"/>
      <c r="I33" s="1"/>
      <c r="J33" s="1"/>
      <c r="K33" s="1"/>
      <c r="L33" s="1"/>
      <c r="M33" s="1"/>
      <c r="N33" s="18"/>
    </row>
    <row r="34" spans="2:14" ht="15" customHeight="1" x14ac:dyDescent="0.25">
      <c r="B34" s="20"/>
      <c r="C34" s="5" t="s">
        <v>9</v>
      </c>
      <c r="D34" s="6"/>
      <c r="E34" s="11">
        <v>3.2384000000000003E-2</v>
      </c>
      <c r="F34" s="1"/>
      <c r="G34" s="1"/>
      <c r="H34" s="1"/>
      <c r="I34" s="1"/>
      <c r="J34" s="1"/>
      <c r="K34" s="1"/>
      <c r="L34" s="1"/>
      <c r="M34" s="1"/>
      <c r="N34" s="18"/>
    </row>
    <row r="35" spans="2:14" ht="15" customHeight="1" x14ac:dyDescent="0.25">
      <c r="B35" s="20"/>
      <c r="C35" s="7" t="s">
        <v>10</v>
      </c>
      <c r="D35" s="8"/>
      <c r="E35" s="12">
        <v>3.2384000000000003E-2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7" t="s">
        <v>11</v>
      </c>
      <c r="D37" s="8"/>
      <c r="E37" s="12">
        <v>1.616E-3</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sortState ref="C10:E32">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DA83D-4B65-4CFF-949C-960EBA44225C}">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6</v>
      </c>
      <c r="D8" s="6"/>
      <c r="E8" s="11">
        <v>0.60470000000000002</v>
      </c>
      <c r="F8" s="1"/>
      <c r="G8" s="24" t="s">
        <v>16</v>
      </c>
      <c r="H8" s="25">
        <v>1</v>
      </c>
      <c r="I8" s="1"/>
      <c r="J8" s="24" t="s">
        <v>13</v>
      </c>
      <c r="K8" s="24" t="s">
        <v>5</v>
      </c>
      <c r="L8" s="1"/>
      <c r="M8" s="1"/>
      <c r="N8" s="18"/>
    </row>
    <row r="9" spans="2:14" ht="15" customHeight="1" x14ac:dyDescent="0.25">
      <c r="B9" s="20"/>
      <c r="C9" s="5" t="s">
        <v>302</v>
      </c>
      <c r="D9" s="6"/>
      <c r="E9" s="11">
        <v>0.38310499999999997</v>
      </c>
      <c r="F9" s="1"/>
      <c r="G9" s="1"/>
      <c r="H9" s="1"/>
      <c r="I9" s="1"/>
      <c r="J9" s="24" t="s">
        <v>11</v>
      </c>
      <c r="K9" s="28">
        <v>-4.1399999999999998E-4</v>
      </c>
      <c r="L9" s="1"/>
      <c r="M9" s="1"/>
      <c r="N9" s="18"/>
    </row>
    <row r="10" spans="2:14" ht="15" customHeight="1" x14ac:dyDescent="0.25">
      <c r="B10" s="20"/>
      <c r="C10" s="5" t="s">
        <v>7</v>
      </c>
      <c r="D10" s="6"/>
      <c r="E10" s="11">
        <v>9.9430000000000004E-3</v>
      </c>
      <c r="F10" s="1"/>
      <c r="G10" s="1"/>
      <c r="H10" s="1"/>
      <c r="I10" s="1"/>
      <c r="J10" s="24" t="s">
        <v>14</v>
      </c>
      <c r="K10" s="28">
        <v>2.666E-3</v>
      </c>
      <c r="L10" s="1"/>
      <c r="M10" s="1"/>
      <c r="N10" s="18"/>
    </row>
    <row r="11" spans="2:14" ht="15.75" customHeight="1" x14ac:dyDescent="0.25">
      <c r="B11" s="20"/>
      <c r="C11" s="7" t="s">
        <v>8</v>
      </c>
      <c r="D11" s="8"/>
      <c r="E11" s="12">
        <v>0.99774799999999997</v>
      </c>
      <c r="F11" s="1"/>
      <c r="G11" s="1"/>
      <c r="H11" s="1"/>
      <c r="I11" s="1"/>
      <c r="J11" s="24" t="s">
        <v>15</v>
      </c>
      <c r="K11" s="28">
        <v>0.99774799999999997</v>
      </c>
      <c r="L11" s="1"/>
      <c r="M11" s="1"/>
      <c r="N11" s="18"/>
    </row>
    <row r="12" spans="2:14" ht="15" customHeight="1" x14ac:dyDescent="0.25">
      <c r="B12" s="20"/>
      <c r="C12" s="5" t="s">
        <v>9</v>
      </c>
      <c r="D12" s="6"/>
      <c r="E12" s="11">
        <v>2.666E-3</v>
      </c>
      <c r="F12" s="1"/>
      <c r="G12" s="1"/>
      <c r="H12" s="1"/>
      <c r="I12" s="1"/>
      <c r="J12" s="1"/>
      <c r="K12" s="1"/>
      <c r="L12" s="1"/>
      <c r="M12" s="1"/>
      <c r="N12" s="18"/>
    </row>
    <row r="13" spans="2:14" ht="15.75" customHeight="1" x14ac:dyDescent="0.25">
      <c r="B13" s="20"/>
      <c r="C13" s="7" t="s">
        <v>10</v>
      </c>
      <c r="D13" s="8"/>
      <c r="E13" s="12">
        <v>2.666E-3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-4.1399999999999998E-4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101">
        <v>2.7505570339237035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184</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pageSetup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4C1E0-24F0-45F4-9517-AF9EE1DA9C7C}">
  <sheetPr>
    <tabColor rgb="FFE5E3E3"/>
    <pageSetUpPr fitToPage="1"/>
  </sheetPr>
  <dimension ref="B1:X691"/>
  <sheetViews>
    <sheetView showGridLines="0" zoomScale="75" zoomScaleNormal="75" workbookViewId="0"/>
  </sheetViews>
  <sheetFormatPr defaultRowHeight="15" x14ac:dyDescent="0.2"/>
  <cols>
    <col min="1" max="1" width="2.85546875" style="52" customWidth="1"/>
    <col min="2" max="2" width="3.85546875" style="52" customWidth="1"/>
    <col min="3" max="3" width="60.5703125" style="52" customWidth="1"/>
    <col min="4" max="4" width="15.42578125" style="52" bestFit="1" customWidth="1"/>
    <col min="5" max="5" width="9.140625" style="52"/>
    <col min="6" max="6" width="10.7109375" style="52" customWidth="1"/>
    <col min="7" max="7" width="10.5703125" style="52" bestFit="1" customWidth="1"/>
    <col min="8" max="9" width="9.140625" style="52"/>
    <col min="10" max="11" width="16.42578125" style="52" customWidth="1"/>
    <col min="12" max="18" width="9.140625" style="52"/>
    <col min="19" max="19" width="9.85546875" style="52" customWidth="1"/>
    <col min="20" max="21" width="9.28515625" style="52" bestFit="1" customWidth="1"/>
    <col min="22" max="16384" width="9.140625" style="52"/>
  </cols>
  <sheetData>
    <row r="1" spans="2:24" ht="15.75" thickBot="1" x14ac:dyDescent="0.25"/>
    <row r="2" spans="2:24" x14ac:dyDescent="0.2">
      <c r="B2" s="53"/>
      <c r="C2" s="54"/>
      <c r="D2" s="54"/>
      <c r="E2" s="54"/>
      <c r="F2" s="54"/>
      <c r="G2" s="54"/>
      <c r="H2" s="54"/>
      <c r="I2" s="54"/>
      <c r="J2" s="54"/>
      <c r="K2" s="54"/>
      <c r="L2" s="54"/>
      <c r="M2" s="55"/>
    </row>
    <row r="3" spans="2:24" ht="20.25" customHeight="1" x14ac:dyDescent="0.2">
      <c r="B3" s="56"/>
      <c r="C3" s="57" t="s">
        <v>304</v>
      </c>
      <c r="D3" s="57"/>
      <c r="E3" s="57"/>
      <c r="F3" s="57"/>
      <c r="G3" s="57"/>
      <c r="H3" s="57"/>
      <c r="I3" s="57"/>
      <c r="J3" s="57"/>
      <c r="K3" s="57"/>
      <c r="L3" s="57"/>
      <c r="M3" s="58"/>
    </row>
    <row r="4" spans="2:24" ht="15.75" x14ac:dyDescent="0.25">
      <c r="B4" s="56"/>
      <c r="C4" s="59" t="s">
        <v>305</v>
      </c>
      <c r="D4" s="60"/>
      <c r="E4" s="60"/>
      <c r="F4" s="61"/>
      <c r="G4" s="61"/>
      <c r="H4" s="61"/>
      <c r="I4" s="61"/>
      <c r="J4" s="61"/>
      <c r="K4" s="61"/>
      <c r="L4" s="61"/>
      <c r="M4" s="62"/>
    </row>
    <row r="5" spans="2:24" ht="20.25" customHeight="1" x14ac:dyDescent="0.25">
      <c r="B5" s="56"/>
      <c r="C5" s="63" t="s">
        <v>306</v>
      </c>
      <c r="D5" s="64" t="s">
        <v>307</v>
      </c>
      <c r="E5" s="65"/>
      <c r="F5" s="61"/>
      <c r="G5" s="61"/>
      <c r="H5" s="61"/>
      <c r="I5" s="61"/>
      <c r="J5" s="61"/>
      <c r="K5" s="61"/>
      <c r="L5" s="61"/>
      <c r="M5" s="62"/>
    </row>
    <row r="6" spans="2:24" x14ac:dyDescent="0.2">
      <c r="B6" s="56"/>
      <c r="C6" s="61"/>
      <c r="D6" s="61"/>
      <c r="E6" s="61"/>
      <c r="F6" s="61"/>
      <c r="G6" s="61"/>
      <c r="H6" s="61"/>
      <c r="I6" s="61"/>
      <c r="J6" s="61"/>
      <c r="K6" s="61"/>
      <c r="L6" s="61"/>
      <c r="M6" s="62"/>
    </row>
    <row r="7" spans="2:24" ht="15.75" x14ac:dyDescent="0.2">
      <c r="B7" s="56"/>
      <c r="C7" s="66" t="s">
        <v>3</v>
      </c>
      <c r="D7" s="67" t="s">
        <v>5</v>
      </c>
      <c r="E7" s="61"/>
      <c r="F7" s="68" t="s">
        <v>19</v>
      </c>
      <c r="G7" s="68"/>
      <c r="H7" s="68"/>
      <c r="I7" s="68"/>
      <c r="J7" s="68"/>
      <c r="K7" s="68"/>
      <c r="L7" s="68"/>
      <c r="M7" s="69"/>
    </row>
    <row r="8" spans="2:24" x14ac:dyDescent="0.2">
      <c r="B8" s="56"/>
      <c r="C8" s="70" t="s">
        <v>308</v>
      </c>
      <c r="D8" s="71">
        <v>0.97421000000000002</v>
      </c>
      <c r="E8" s="61"/>
      <c r="F8" s="61"/>
      <c r="G8" s="72"/>
      <c r="H8" s="61"/>
      <c r="I8" s="61" t="s">
        <v>309</v>
      </c>
      <c r="J8" s="73">
        <f>D9</f>
        <v>0.97421000000000002</v>
      </c>
      <c r="K8" s="61"/>
      <c r="L8" s="61"/>
      <c r="M8" s="62"/>
      <c r="S8" s="74"/>
      <c r="W8" s="52" t="s">
        <v>310</v>
      </c>
      <c r="X8" s="52">
        <v>0.25058799999999998</v>
      </c>
    </row>
    <row r="9" spans="2:24" ht="15.75" x14ac:dyDescent="0.25">
      <c r="B9" s="56"/>
      <c r="C9" s="75" t="s">
        <v>309</v>
      </c>
      <c r="D9" s="76">
        <v>0.97421000000000002</v>
      </c>
      <c r="E9" s="61"/>
      <c r="F9" s="61"/>
      <c r="G9" s="61"/>
      <c r="H9" s="61"/>
      <c r="I9" s="61" t="s">
        <v>11</v>
      </c>
      <c r="J9" s="73">
        <f>D13</f>
        <v>-7.3340000000000002E-3</v>
      </c>
      <c r="K9" s="61"/>
      <c r="L9" s="61"/>
      <c r="M9" s="62"/>
      <c r="S9" s="74"/>
      <c r="W9" s="52" t="s">
        <v>311</v>
      </c>
      <c r="X9" s="52">
        <v>6.1296999999999997E-2</v>
      </c>
    </row>
    <row r="10" spans="2:24" x14ac:dyDescent="0.2">
      <c r="B10" s="56"/>
      <c r="C10" s="77" t="s">
        <v>9</v>
      </c>
      <c r="D10" s="78">
        <v>3.3124000000000001E-2</v>
      </c>
      <c r="E10" s="61"/>
      <c r="F10" s="61"/>
      <c r="G10" s="61"/>
      <c r="I10" s="52" t="s">
        <v>10</v>
      </c>
      <c r="J10" s="73">
        <f>D11</f>
        <v>3.3124000000000001E-2</v>
      </c>
      <c r="K10" s="61"/>
      <c r="L10" s="61"/>
      <c r="M10" s="62"/>
      <c r="S10" s="74"/>
      <c r="W10" s="52" t="s">
        <v>312</v>
      </c>
      <c r="X10" s="52">
        <v>3.0130999999999998E-2</v>
      </c>
    </row>
    <row r="11" spans="2:24" ht="15.75" x14ac:dyDescent="0.2">
      <c r="B11" s="56"/>
      <c r="C11" s="79" t="s">
        <v>10</v>
      </c>
      <c r="D11" s="80">
        <v>3.3124000000000001E-2</v>
      </c>
      <c r="E11" s="61"/>
      <c r="F11" s="61"/>
      <c r="G11" s="61"/>
      <c r="J11" s="61"/>
      <c r="K11" s="61"/>
      <c r="L11" s="61"/>
      <c r="M11" s="62"/>
      <c r="S11" s="74"/>
      <c r="W11" s="52" t="s">
        <v>313</v>
      </c>
      <c r="X11" s="52">
        <v>2.7299E-2</v>
      </c>
    </row>
    <row r="12" spans="2:24" x14ac:dyDescent="0.2">
      <c r="B12" s="56"/>
      <c r="C12" s="77"/>
      <c r="D12" s="81"/>
      <c r="E12" s="61"/>
      <c r="F12" s="61"/>
      <c r="G12" s="61"/>
      <c r="J12" s="61"/>
      <c r="K12" s="61"/>
      <c r="L12" s="61"/>
      <c r="M12" s="62"/>
      <c r="S12" s="74"/>
      <c r="W12" s="52" t="s">
        <v>314</v>
      </c>
      <c r="X12" s="52">
        <v>2.5925E-2</v>
      </c>
    </row>
    <row r="13" spans="2:24" ht="15.75" x14ac:dyDescent="0.2">
      <c r="B13" s="56"/>
      <c r="C13" s="79" t="s">
        <v>11</v>
      </c>
      <c r="D13" s="80">
        <v>-7.3340000000000002E-3</v>
      </c>
      <c r="E13" s="61"/>
      <c r="F13" s="61"/>
      <c r="G13" s="61"/>
      <c r="J13" s="61"/>
      <c r="K13" s="61"/>
      <c r="L13" s="61"/>
      <c r="M13" s="62"/>
      <c r="S13" s="74"/>
      <c r="W13" s="52" t="s">
        <v>315</v>
      </c>
      <c r="X13" s="52">
        <v>2.3822000000000003E-2</v>
      </c>
    </row>
    <row r="14" spans="2:24" x14ac:dyDescent="0.2">
      <c r="B14" s="56"/>
      <c r="C14" s="77"/>
      <c r="D14" s="81"/>
      <c r="E14" s="61"/>
      <c r="F14" s="61"/>
      <c r="G14" s="61"/>
      <c r="H14" s="61"/>
      <c r="I14" s="61"/>
      <c r="J14" s="61"/>
      <c r="K14" s="61"/>
      <c r="L14" s="61"/>
      <c r="M14" s="62"/>
      <c r="S14" s="74"/>
      <c r="W14" s="52" t="s">
        <v>316</v>
      </c>
      <c r="X14" s="52">
        <v>2.3753E-2</v>
      </c>
    </row>
    <row r="15" spans="2:24" ht="15.75" x14ac:dyDescent="0.2">
      <c r="B15" s="56"/>
      <c r="C15" s="82" t="s">
        <v>12</v>
      </c>
      <c r="D15" s="83">
        <f>D13+D11+D9</f>
        <v>1</v>
      </c>
      <c r="E15" s="61"/>
      <c r="F15" s="61"/>
      <c r="G15" s="61"/>
      <c r="H15" s="61"/>
      <c r="I15" s="61"/>
      <c r="J15" s="61"/>
      <c r="K15" s="61"/>
      <c r="L15" s="61"/>
      <c r="M15" s="62"/>
      <c r="S15" s="74"/>
      <c r="W15" s="52" t="s">
        <v>317</v>
      </c>
      <c r="X15" s="52">
        <v>1.8620999999999999E-2</v>
      </c>
    </row>
    <row r="16" spans="2:24" x14ac:dyDescent="0.2">
      <c r="B16" s="56"/>
      <c r="E16" s="61"/>
      <c r="F16" s="61"/>
      <c r="G16" s="61"/>
      <c r="H16" s="61"/>
      <c r="I16" s="61"/>
      <c r="J16" s="61"/>
      <c r="K16" s="61"/>
      <c r="L16" s="61"/>
      <c r="M16" s="62"/>
      <c r="S16" s="74"/>
      <c r="W16" s="52" t="s">
        <v>318</v>
      </c>
      <c r="X16" s="52">
        <v>1.7219000000000002E-2</v>
      </c>
    </row>
    <row r="17" spans="2:24" ht="15.75" x14ac:dyDescent="0.25">
      <c r="B17" s="56"/>
      <c r="C17" s="84"/>
      <c r="D17" s="85"/>
      <c r="E17" s="61"/>
      <c r="F17" s="61"/>
      <c r="G17" s="61"/>
      <c r="H17" s="61"/>
      <c r="I17" s="61"/>
      <c r="J17" s="61"/>
      <c r="K17" s="61"/>
      <c r="L17" s="61"/>
      <c r="M17" s="62"/>
      <c r="S17" s="74"/>
      <c r="W17" s="52" t="s">
        <v>319</v>
      </c>
      <c r="X17" s="52">
        <v>1.6056000000000001E-2</v>
      </c>
    </row>
    <row r="18" spans="2:24" x14ac:dyDescent="0.2">
      <c r="B18" s="56"/>
      <c r="C18" s="86"/>
      <c r="D18" s="86"/>
      <c r="E18" s="61"/>
      <c r="F18" s="61"/>
      <c r="G18" s="61"/>
      <c r="H18" s="61"/>
      <c r="I18" s="61"/>
      <c r="J18" s="61"/>
      <c r="K18" s="61"/>
      <c r="L18" s="61"/>
      <c r="M18" s="62"/>
      <c r="S18" s="74"/>
      <c r="W18" s="52" t="s">
        <v>320</v>
      </c>
      <c r="X18" s="52">
        <v>1.41E-2</v>
      </c>
    </row>
    <row r="19" spans="2:24" ht="15.75" x14ac:dyDescent="0.25">
      <c r="B19" s="56"/>
      <c r="C19" s="84"/>
      <c r="D19" s="87"/>
      <c r="E19" s="61"/>
      <c r="F19" s="61"/>
      <c r="G19" s="61"/>
      <c r="H19" s="61"/>
      <c r="I19" s="61"/>
      <c r="J19" s="61"/>
      <c r="K19" s="61"/>
      <c r="L19" s="61"/>
      <c r="M19" s="62"/>
      <c r="S19" s="74"/>
      <c r="W19" s="52" t="s">
        <v>321</v>
      </c>
      <c r="X19" s="52">
        <v>1.1167E-2</v>
      </c>
    </row>
    <row r="20" spans="2:24" x14ac:dyDescent="0.2">
      <c r="B20" s="56"/>
      <c r="E20" s="61"/>
      <c r="F20" s="61"/>
      <c r="G20" s="61"/>
      <c r="H20" s="61"/>
      <c r="I20" s="61"/>
      <c r="J20" s="61"/>
      <c r="K20" s="61"/>
      <c r="L20" s="61"/>
      <c r="M20" s="62"/>
      <c r="S20" s="74"/>
      <c r="W20" s="52" t="s">
        <v>322</v>
      </c>
      <c r="X20" s="52">
        <v>1.1159000000000001E-2</v>
      </c>
    </row>
    <row r="21" spans="2:24" x14ac:dyDescent="0.2">
      <c r="B21" s="56"/>
      <c r="E21" s="61"/>
      <c r="F21" s="61"/>
      <c r="G21" s="61"/>
      <c r="H21" s="61"/>
      <c r="I21" s="61"/>
      <c r="J21" s="61"/>
      <c r="K21" s="61"/>
      <c r="L21" s="61"/>
      <c r="M21" s="62"/>
      <c r="S21" s="74"/>
      <c r="W21" s="52" t="s">
        <v>323</v>
      </c>
      <c r="X21" s="52">
        <v>1.0543E-2</v>
      </c>
    </row>
    <row r="22" spans="2:24" ht="16.5" thickBot="1" x14ac:dyDescent="0.3">
      <c r="B22" s="88"/>
      <c r="C22" s="89"/>
      <c r="D22" s="89"/>
      <c r="E22" s="89"/>
      <c r="F22" s="89"/>
      <c r="G22" s="89"/>
      <c r="H22" s="89"/>
      <c r="I22" s="89"/>
      <c r="J22" s="89"/>
      <c r="K22" s="89"/>
      <c r="L22" s="89"/>
      <c r="M22" s="90"/>
      <c r="S22" s="74"/>
    </row>
    <row r="23" spans="2:24" ht="15.75" thickBot="1" x14ac:dyDescent="0.25">
      <c r="S23" s="74"/>
    </row>
    <row r="24" spans="2:24" ht="15" customHeight="1" x14ac:dyDescent="0.2">
      <c r="B24" s="91" t="s">
        <v>184</v>
      </c>
      <c r="C24" s="92"/>
      <c r="D24" s="92"/>
      <c r="E24" s="92"/>
      <c r="F24" s="92"/>
      <c r="G24" s="92"/>
      <c r="H24" s="92"/>
      <c r="I24" s="92"/>
      <c r="J24" s="92"/>
      <c r="K24" s="92"/>
      <c r="L24" s="92"/>
      <c r="M24" s="92"/>
      <c r="N24" s="93"/>
      <c r="S24" s="74"/>
    </row>
    <row r="25" spans="2:24" ht="15.75" customHeight="1" x14ac:dyDescent="0.2">
      <c r="B25" s="94"/>
      <c r="C25" s="95"/>
      <c r="D25" s="95"/>
      <c r="E25" s="95"/>
      <c r="F25" s="95"/>
      <c r="G25" s="95"/>
      <c r="H25" s="95"/>
      <c r="I25" s="95"/>
      <c r="J25" s="95"/>
      <c r="K25" s="95"/>
      <c r="L25" s="95"/>
      <c r="M25" s="95"/>
      <c r="N25" s="96"/>
      <c r="S25" s="74"/>
    </row>
    <row r="26" spans="2:24" ht="15.75" customHeight="1" x14ac:dyDescent="0.2">
      <c r="B26" s="94"/>
      <c r="C26" s="95"/>
      <c r="D26" s="95"/>
      <c r="E26" s="95"/>
      <c r="F26" s="95"/>
      <c r="G26" s="95"/>
      <c r="H26" s="95"/>
      <c r="I26" s="95"/>
      <c r="J26" s="95"/>
      <c r="K26" s="95"/>
      <c r="L26" s="95"/>
      <c r="M26" s="95"/>
      <c r="N26" s="96"/>
      <c r="S26" s="74"/>
    </row>
    <row r="27" spans="2:24" ht="15.75" customHeight="1" x14ac:dyDescent="0.2">
      <c r="B27" s="94"/>
      <c r="C27" s="95"/>
      <c r="D27" s="95"/>
      <c r="E27" s="95"/>
      <c r="F27" s="95"/>
      <c r="G27" s="95"/>
      <c r="H27" s="95"/>
      <c r="I27" s="95"/>
      <c r="J27" s="95"/>
      <c r="K27" s="95"/>
      <c r="L27" s="95"/>
      <c r="M27" s="95"/>
      <c r="N27" s="96"/>
      <c r="S27" s="74"/>
    </row>
    <row r="28" spans="2:24" ht="15.75" customHeight="1" x14ac:dyDescent="0.2">
      <c r="B28" s="94"/>
      <c r="C28" s="95"/>
      <c r="D28" s="95"/>
      <c r="E28" s="95"/>
      <c r="F28" s="95"/>
      <c r="G28" s="95"/>
      <c r="H28" s="95"/>
      <c r="I28" s="95"/>
      <c r="J28" s="95"/>
      <c r="K28" s="95"/>
      <c r="L28" s="95"/>
      <c r="M28" s="95"/>
      <c r="N28" s="96"/>
      <c r="S28" s="74"/>
    </row>
    <row r="29" spans="2:24" ht="15.75" customHeight="1" x14ac:dyDescent="0.2">
      <c r="B29" s="94"/>
      <c r="C29" s="95"/>
      <c r="D29" s="95"/>
      <c r="E29" s="95"/>
      <c r="F29" s="95"/>
      <c r="G29" s="95"/>
      <c r="H29" s="95"/>
      <c r="I29" s="95"/>
      <c r="J29" s="95"/>
      <c r="K29" s="95"/>
      <c r="L29" s="95"/>
      <c r="M29" s="95"/>
      <c r="N29" s="96"/>
      <c r="S29" s="74"/>
    </row>
    <row r="30" spans="2:24" ht="28.5" customHeight="1" thickBot="1" x14ac:dyDescent="0.25">
      <c r="B30" s="97"/>
      <c r="C30" s="98"/>
      <c r="D30" s="98"/>
      <c r="E30" s="98"/>
      <c r="F30" s="98"/>
      <c r="G30" s="98"/>
      <c r="H30" s="98"/>
      <c r="I30" s="98"/>
      <c r="J30" s="98"/>
      <c r="K30" s="98"/>
      <c r="L30" s="98"/>
      <c r="M30" s="98"/>
      <c r="N30" s="99"/>
      <c r="S30" s="74"/>
    </row>
    <row r="31" spans="2:24" ht="15.75" thickBot="1" x14ac:dyDescent="0.25">
      <c r="S31" s="74"/>
    </row>
    <row r="32" spans="2:24" x14ac:dyDescent="0.2">
      <c r="B32" s="91" t="s">
        <v>324</v>
      </c>
      <c r="C32" s="92"/>
      <c r="D32" s="92"/>
      <c r="E32" s="92"/>
      <c r="F32" s="92"/>
      <c r="G32" s="92"/>
      <c r="H32" s="92"/>
      <c r="I32" s="92"/>
      <c r="J32" s="92"/>
      <c r="K32" s="92"/>
      <c r="L32" s="92"/>
      <c r="M32" s="92"/>
      <c r="N32" s="93"/>
      <c r="S32" s="74"/>
    </row>
    <row r="33" spans="2:19" x14ac:dyDescent="0.2">
      <c r="B33" s="94"/>
      <c r="C33" s="95"/>
      <c r="D33" s="95"/>
      <c r="E33" s="95"/>
      <c r="F33" s="95"/>
      <c r="G33" s="95"/>
      <c r="H33" s="95"/>
      <c r="I33" s="95"/>
      <c r="J33" s="95"/>
      <c r="K33" s="95"/>
      <c r="L33" s="95"/>
      <c r="M33" s="95"/>
      <c r="N33" s="96"/>
      <c r="S33" s="74"/>
    </row>
    <row r="34" spans="2:19" x14ac:dyDescent="0.2">
      <c r="B34" s="94"/>
      <c r="C34" s="95"/>
      <c r="D34" s="95"/>
      <c r="E34" s="95"/>
      <c r="F34" s="95"/>
      <c r="G34" s="95"/>
      <c r="H34" s="95"/>
      <c r="I34" s="95"/>
      <c r="J34" s="95"/>
      <c r="K34" s="95"/>
      <c r="L34" s="95"/>
      <c r="M34" s="95"/>
      <c r="N34" s="96"/>
      <c r="S34" s="74"/>
    </row>
    <row r="35" spans="2:19" x14ac:dyDescent="0.2">
      <c r="B35" s="94"/>
      <c r="C35" s="95"/>
      <c r="D35" s="95"/>
      <c r="E35" s="95"/>
      <c r="F35" s="95"/>
      <c r="G35" s="95"/>
      <c r="H35" s="95"/>
      <c r="I35" s="95"/>
      <c r="J35" s="95"/>
      <c r="K35" s="95"/>
      <c r="L35" s="95"/>
      <c r="M35" s="95"/>
      <c r="N35" s="96"/>
      <c r="S35" s="74"/>
    </row>
    <row r="36" spans="2:19" x14ac:dyDescent="0.2">
      <c r="B36" s="94"/>
      <c r="C36" s="95"/>
      <c r="D36" s="95"/>
      <c r="E36" s="95"/>
      <c r="F36" s="95"/>
      <c r="G36" s="95"/>
      <c r="H36" s="95"/>
      <c r="I36" s="95"/>
      <c r="J36" s="95"/>
      <c r="K36" s="95"/>
      <c r="L36" s="95"/>
      <c r="M36" s="95"/>
      <c r="N36" s="96"/>
      <c r="S36" s="74"/>
    </row>
    <row r="37" spans="2:19" x14ac:dyDescent="0.2">
      <c r="B37" s="94"/>
      <c r="C37" s="95"/>
      <c r="D37" s="95"/>
      <c r="E37" s="95"/>
      <c r="F37" s="95"/>
      <c r="G37" s="95"/>
      <c r="H37" s="95"/>
      <c r="I37" s="95"/>
      <c r="J37" s="95"/>
      <c r="K37" s="95"/>
      <c r="L37" s="95"/>
      <c r="M37" s="95"/>
      <c r="N37" s="96"/>
      <c r="S37" s="74"/>
    </row>
    <row r="38" spans="2:19" ht="15.75" thickBot="1" x14ac:dyDescent="0.25">
      <c r="B38" s="97"/>
      <c r="C38" s="98"/>
      <c r="D38" s="98"/>
      <c r="E38" s="98"/>
      <c r="F38" s="98"/>
      <c r="G38" s="98"/>
      <c r="H38" s="98"/>
      <c r="I38" s="98"/>
      <c r="J38" s="98"/>
      <c r="K38" s="98"/>
      <c r="L38" s="98"/>
      <c r="M38" s="98"/>
      <c r="N38" s="99"/>
      <c r="S38" s="74"/>
    </row>
    <row r="39" spans="2:19" x14ac:dyDescent="0.2">
      <c r="S39" s="74"/>
    </row>
    <row r="40" spans="2:19" x14ac:dyDescent="0.2">
      <c r="S40" s="74"/>
    </row>
    <row r="41" spans="2:19" x14ac:dyDescent="0.2">
      <c r="S41" s="74"/>
    </row>
    <row r="42" spans="2:19" x14ac:dyDescent="0.2">
      <c r="S42" s="74"/>
    </row>
    <row r="43" spans="2:19" x14ac:dyDescent="0.2">
      <c r="S43" s="74"/>
    </row>
    <row r="44" spans="2:19" x14ac:dyDescent="0.2">
      <c r="S44" s="74"/>
    </row>
    <row r="45" spans="2:19" x14ac:dyDescent="0.2">
      <c r="S45" s="74"/>
    </row>
    <row r="46" spans="2:19" x14ac:dyDescent="0.2">
      <c r="S46" s="74"/>
    </row>
    <row r="47" spans="2:19" x14ac:dyDescent="0.2">
      <c r="S47" s="74"/>
    </row>
    <row r="48" spans="2:19" x14ac:dyDescent="0.2">
      <c r="S48" s="74"/>
    </row>
    <row r="49" spans="19:19" x14ac:dyDescent="0.2">
      <c r="S49" s="74"/>
    </row>
    <row r="50" spans="19:19" x14ac:dyDescent="0.2">
      <c r="S50" s="74"/>
    </row>
    <row r="51" spans="19:19" x14ac:dyDescent="0.2">
      <c r="S51" s="74"/>
    </row>
    <row r="52" spans="19:19" x14ac:dyDescent="0.2">
      <c r="S52" s="74"/>
    </row>
    <row r="53" spans="19:19" x14ac:dyDescent="0.2">
      <c r="S53" s="74"/>
    </row>
    <row r="54" spans="19:19" x14ac:dyDescent="0.2">
      <c r="S54" s="74"/>
    </row>
    <row r="55" spans="19:19" x14ac:dyDescent="0.2">
      <c r="S55" s="74"/>
    </row>
    <row r="56" spans="19:19" x14ac:dyDescent="0.2">
      <c r="S56" s="74"/>
    </row>
    <row r="57" spans="19:19" x14ac:dyDescent="0.2">
      <c r="S57" s="74"/>
    </row>
    <row r="58" spans="19:19" x14ac:dyDescent="0.2">
      <c r="S58" s="74"/>
    </row>
    <row r="59" spans="19:19" x14ac:dyDescent="0.2">
      <c r="S59" s="74"/>
    </row>
    <row r="60" spans="19:19" x14ac:dyDescent="0.2">
      <c r="S60" s="74"/>
    </row>
    <row r="61" spans="19:19" x14ac:dyDescent="0.2">
      <c r="S61" s="74"/>
    </row>
    <row r="62" spans="19:19" x14ac:dyDescent="0.2">
      <c r="S62" s="74"/>
    </row>
    <row r="63" spans="19:19" x14ac:dyDescent="0.2">
      <c r="S63" s="74"/>
    </row>
    <row r="64" spans="19:19" x14ac:dyDescent="0.2">
      <c r="S64" s="74"/>
    </row>
    <row r="65" spans="19:19" x14ac:dyDescent="0.2">
      <c r="S65" s="74"/>
    </row>
    <row r="66" spans="19:19" x14ac:dyDescent="0.2">
      <c r="S66" s="74"/>
    </row>
    <row r="67" spans="19:19" x14ac:dyDescent="0.2">
      <c r="S67" s="74"/>
    </row>
    <row r="68" spans="19:19" x14ac:dyDescent="0.2">
      <c r="S68" s="74"/>
    </row>
    <row r="69" spans="19:19" x14ac:dyDescent="0.2">
      <c r="S69" s="74"/>
    </row>
    <row r="70" spans="19:19" x14ac:dyDescent="0.2">
      <c r="S70" s="74"/>
    </row>
    <row r="71" spans="19:19" x14ac:dyDescent="0.2">
      <c r="S71" s="74"/>
    </row>
    <row r="72" spans="19:19" x14ac:dyDescent="0.2">
      <c r="S72" s="74"/>
    </row>
    <row r="73" spans="19:19" x14ac:dyDescent="0.2">
      <c r="S73" s="74"/>
    </row>
    <row r="74" spans="19:19" x14ac:dyDescent="0.2">
      <c r="S74" s="74"/>
    </row>
    <row r="75" spans="19:19" x14ac:dyDescent="0.2">
      <c r="S75" s="74"/>
    </row>
    <row r="76" spans="19:19" x14ac:dyDescent="0.2">
      <c r="S76" s="74"/>
    </row>
    <row r="77" spans="19:19" x14ac:dyDescent="0.2">
      <c r="S77" s="74"/>
    </row>
    <row r="78" spans="19:19" x14ac:dyDescent="0.2">
      <c r="S78" s="74"/>
    </row>
    <row r="79" spans="19:19" x14ac:dyDescent="0.2">
      <c r="S79" s="74"/>
    </row>
    <row r="80" spans="19:19" x14ac:dyDescent="0.2">
      <c r="S80" s="74"/>
    </row>
    <row r="81" spans="19:19" x14ac:dyDescent="0.2">
      <c r="S81" s="74"/>
    </row>
    <row r="82" spans="19:19" x14ac:dyDescent="0.2">
      <c r="S82" s="74"/>
    </row>
    <row r="83" spans="19:19" x14ac:dyDescent="0.2">
      <c r="S83" s="74"/>
    </row>
    <row r="84" spans="19:19" x14ac:dyDescent="0.2">
      <c r="S84" s="74"/>
    </row>
    <row r="85" spans="19:19" x14ac:dyDescent="0.2">
      <c r="S85" s="74"/>
    </row>
    <row r="86" spans="19:19" x14ac:dyDescent="0.2">
      <c r="S86" s="74"/>
    </row>
    <row r="87" spans="19:19" x14ac:dyDescent="0.2">
      <c r="S87" s="74"/>
    </row>
    <row r="88" spans="19:19" x14ac:dyDescent="0.2">
      <c r="S88" s="74"/>
    </row>
    <row r="89" spans="19:19" x14ac:dyDescent="0.2">
      <c r="S89" s="74"/>
    </row>
    <row r="90" spans="19:19" x14ac:dyDescent="0.2">
      <c r="S90" s="74"/>
    </row>
    <row r="91" spans="19:19" x14ac:dyDescent="0.2">
      <c r="S91" s="74"/>
    </row>
    <row r="92" spans="19:19" x14ac:dyDescent="0.2">
      <c r="S92" s="74"/>
    </row>
    <row r="93" spans="19:19" x14ac:dyDescent="0.2">
      <c r="S93" s="74"/>
    </row>
    <row r="94" spans="19:19" x14ac:dyDescent="0.2">
      <c r="S94" s="74"/>
    </row>
    <row r="95" spans="19:19" x14ac:dyDescent="0.2">
      <c r="S95" s="74"/>
    </row>
    <row r="96" spans="19:19" x14ac:dyDescent="0.2">
      <c r="S96" s="74"/>
    </row>
    <row r="97" spans="19:19" x14ac:dyDescent="0.2">
      <c r="S97" s="74"/>
    </row>
    <row r="98" spans="19:19" x14ac:dyDescent="0.2">
      <c r="S98" s="74"/>
    </row>
    <row r="99" spans="19:19" x14ac:dyDescent="0.2">
      <c r="S99" s="74"/>
    </row>
    <row r="100" spans="19:19" x14ac:dyDescent="0.2">
      <c r="S100" s="74"/>
    </row>
    <row r="101" spans="19:19" x14ac:dyDescent="0.2">
      <c r="S101" s="74"/>
    </row>
    <row r="102" spans="19:19" x14ac:dyDescent="0.2">
      <c r="S102" s="74"/>
    </row>
    <row r="103" spans="19:19" x14ac:dyDescent="0.2">
      <c r="S103" s="74"/>
    </row>
    <row r="104" spans="19:19" x14ac:dyDescent="0.2">
      <c r="S104" s="74"/>
    </row>
    <row r="105" spans="19:19" x14ac:dyDescent="0.2">
      <c r="S105" s="74"/>
    </row>
    <row r="106" spans="19:19" x14ac:dyDescent="0.2">
      <c r="S106" s="74"/>
    </row>
    <row r="107" spans="19:19" x14ac:dyDescent="0.2">
      <c r="S107" s="74"/>
    </row>
    <row r="108" spans="19:19" x14ac:dyDescent="0.2">
      <c r="S108" s="74"/>
    </row>
    <row r="109" spans="19:19" x14ac:dyDescent="0.2">
      <c r="S109" s="74"/>
    </row>
    <row r="110" spans="19:19" x14ac:dyDescent="0.2">
      <c r="S110" s="74"/>
    </row>
    <row r="111" spans="19:19" x14ac:dyDescent="0.2">
      <c r="S111" s="74"/>
    </row>
    <row r="112" spans="19:19" x14ac:dyDescent="0.2">
      <c r="S112" s="74"/>
    </row>
    <row r="113" spans="19:19" x14ac:dyDescent="0.2">
      <c r="S113" s="74"/>
    </row>
    <row r="114" spans="19:19" x14ac:dyDescent="0.2">
      <c r="S114" s="74"/>
    </row>
    <row r="115" spans="19:19" x14ac:dyDescent="0.2">
      <c r="S115" s="74"/>
    </row>
    <row r="116" spans="19:19" x14ac:dyDescent="0.2">
      <c r="S116" s="74"/>
    </row>
    <row r="117" spans="19:19" x14ac:dyDescent="0.2">
      <c r="S117" s="74"/>
    </row>
    <row r="118" spans="19:19" x14ac:dyDescent="0.2">
      <c r="S118" s="74"/>
    </row>
    <row r="119" spans="19:19" x14ac:dyDescent="0.2">
      <c r="S119" s="74"/>
    </row>
    <row r="120" spans="19:19" x14ac:dyDescent="0.2">
      <c r="S120" s="74"/>
    </row>
    <row r="121" spans="19:19" x14ac:dyDescent="0.2">
      <c r="S121" s="74"/>
    </row>
    <row r="122" spans="19:19" x14ac:dyDescent="0.2">
      <c r="S122" s="74"/>
    </row>
    <row r="123" spans="19:19" x14ac:dyDescent="0.2">
      <c r="S123" s="74"/>
    </row>
    <row r="124" spans="19:19" x14ac:dyDescent="0.2">
      <c r="S124" s="74"/>
    </row>
    <row r="125" spans="19:19" x14ac:dyDescent="0.2">
      <c r="S125" s="74"/>
    </row>
    <row r="126" spans="19:19" x14ac:dyDescent="0.2">
      <c r="S126" s="74"/>
    </row>
    <row r="127" spans="19:19" x14ac:dyDescent="0.2">
      <c r="S127" s="74"/>
    </row>
    <row r="128" spans="19:19" x14ac:dyDescent="0.2">
      <c r="S128" s="74"/>
    </row>
    <row r="129" spans="19:19" x14ac:dyDescent="0.2">
      <c r="S129" s="74"/>
    </row>
    <row r="130" spans="19:19" x14ac:dyDescent="0.2">
      <c r="S130" s="74"/>
    </row>
    <row r="131" spans="19:19" x14ac:dyDescent="0.2">
      <c r="S131" s="74"/>
    </row>
    <row r="132" spans="19:19" x14ac:dyDescent="0.2">
      <c r="S132" s="74"/>
    </row>
    <row r="133" spans="19:19" x14ac:dyDescent="0.2">
      <c r="S133" s="74"/>
    </row>
    <row r="134" spans="19:19" x14ac:dyDescent="0.2">
      <c r="S134" s="74"/>
    </row>
    <row r="135" spans="19:19" x14ac:dyDescent="0.2">
      <c r="S135" s="74"/>
    </row>
    <row r="136" spans="19:19" x14ac:dyDescent="0.2">
      <c r="S136" s="74"/>
    </row>
    <row r="137" spans="19:19" x14ac:dyDescent="0.2">
      <c r="S137" s="74"/>
    </row>
    <row r="138" spans="19:19" x14ac:dyDescent="0.2">
      <c r="S138" s="74"/>
    </row>
    <row r="139" spans="19:19" x14ac:dyDescent="0.2">
      <c r="S139" s="74"/>
    </row>
    <row r="140" spans="19:19" x14ac:dyDescent="0.2">
      <c r="S140" s="74"/>
    </row>
    <row r="141" spans="19:19" x14ac:dyDescent="0.2">
      <c r="S141" s="74"/>
    </row>
    <row r="142" spans="19:19" x14ac:dyDescent="0.2">
      <c r="S142" s="74"/>
    </row>
    <row r="143" spans="19:19" x14ac:dyDescent="0.2">
      <c r="S143" s="74"/>
    </row>
    <row r="144" spans="19:19" x14ac:dyDescent="0.2">
      <c r="S144" s="74"/>
    </row>
    <row r="145" spans="19:19" x14ac:dyDescent="0.2">
      <c r="S145" s="74"/>
    </row>
    <row r="146" spans="19:19" x14ac:dyDescent="0.2">
      <c r="S146" s="74"/>
    </row>
    <row r="147" spans="19:19" x14ac:dyDescent="0.2">
      <c r="S147" s="74"/>
    </row>
    <row r="148" spans="19:19" x14ac:dyDescent="0.2">
      <c r="S148" s="74"/>
    </row>
    <row r="149" spans="19:19" x14ac:dyDescent="0.2">
      <c r="S149" s="74"/>
    </row>
    <row r="150" spans="19:19" x14ac:dyDescent="0.2">
      <c r="S150" s="74"/>
    </row>
    <row r="151" spans="19:19" x14ac:dyDescent="0.2">
      <c r="S151" s="74"/>
    </row>
    <row r="152" spans="19:19" x14ac:dyDescent="0.2">
      <c r="S152" s="74"/>
    </row>
    <row r="153" spans="19:19" x14ac:dyDescent="0.2">
      <c r="S153" s="74"/>
    </row>
    <row r="154" spans="19:19" x14ac:dyDescent="0.2">
      <c r="S154" s="74"/>
    </row>
    <row r="155" spans="19:19" x14ac:dyDescent="0.2">
      <c r="S155" s="74"/>
    </row>
    <row r="156" spans="19:19" x14ac:dyDescent="0.2">
      <c r="S156" s="74"/>
    </row>
    <row r="157" spans="19:19" x14ac:dyDescent="0.2">
      <c r="S157" s="74"/>
    </row>
    <row r="158" spans="19:19" x14ac:dyDescent="0.2">
      <c r="S158" s="74"/>
    </row>
    <row r="159" spans="19:19" x14ac:dyDescent="0.2">
      <c r="S159" s="74"/>
    </row>
    <row r="160" spans="19:19" x14ac:dyDescent="0.2">
      <c r="S160" s="74"/>
    </row>
    <row r="161" spans="19:19" x14ac:dyDescent="0.2">
      <c r="S161" s="74"/>
    </row>
    <row r="162" spans="19:19" x14ac:dyDescent="0.2">
      <c r="S162" s="74"/>
    </row>
    <row r="163" spans="19:19" x14ac:dyDescent="0.2">
      <c r="S163" s="74"/>
    </row>
    <row r="164" spans="19:19" x14ac:dyDescent="0.2">
      <c r="S164" s="74"/>
    </row>
    <row r="165" spans="19:19" x14ac:dyDescent="0.2">
      <c r="S165" s="74"/>
    </row>
    <row r="166" spans="19:19" x14ac:dyDescent="0.2">
      <c r="S166" s="74"/>
    </row>
    <row r="167" spans="19:19" x14ac:dyDescent="0.2">
      <c r="S167" s="74"/>
    </row>
    <row r="168" spans="19:19" x14ac:dyDescent="0.2">
      <c r="S168" s="74"/>
    </row>
    <row r="169" spans="19:19" x14ac:dyDescent="0.2">
      <c r="S169" s="74"/>
    </row>
    <row r="170" spans="19:19" x14ac:dyDescent="0.2">
      <c r="S170" s="74"/>
    </row>
    <row r="171" spans="19:19" x14ac:dyDescent="0.2">
      <c r="S171" s="74"/>
    </row>
    <row r="172" spans="19:19" x14ac:dyDescent="0.2">
      <c r="S172" s="74"/>
    </row>
    <row r="173" spans="19:19" x14ac:dyDescent="0.2">
      <c r="S173" s="74"/>
    </row>
    <row r="174" spans="19:19" x14ac:dyDescent="0.2">
      <c r="S174" s="74"/>
    </row>
    <row r="175" spans="19:19" x14ac:dyDescent="0.2">
      <c r="S175" s="74"/>
    </row>
    <row r="176" spans="19:19" x14ac:dyDescent="0.2">
      <c r="S176" s="74"/>
    </row>
    <row r="177" spans="19:19" x14ac:dyDescent="0.2">
      <c r="S177" s="74"/>
    </row>
    <row r="178" spans="19:19" x14ac:dyDescent="0.2">
      <c r="S178" s="74"/>
    </row>
    <row r="179" spans="19:19" x14ac:dyDescent="0.2">
      <c r="S179" s="74"/>
    </row>
    <row r="180" spans="19:19" x14ac:dyDescent="0.2">
      <c r="S180" s="74"/>
    </row>
    <row r="181" spans="19:19" x14ac:dyDescent="0.2">
      <c r="S181" s="74"/>
    </row>
    <row r="182" spans="19:19" x14ac:dyDescent="0.2">
      <c r="S182" s="74"/>
    </row>
    <row r="183" spans="19:19" x14ac:dyDescent="0.2">
      <c r="S183" s="74"/>
    </row>
    <row r="184" spans="19:19" x14ac:dyDescent="0.2">
      <c r="S184" s="74"/>
    </row>
    <row r="185" spans="19:19" x14ac:dyDescent="0.2">
      <c r="S185" s="74"/>
    </row>
    <row r="186" spans="19:19" x14ac:dyDescent="0.2">
      <c r="S186" s="74"/>
    </row>
    <row r="187" spans="19:19" x14ac:dyDescent="0.2">
      <c r="S187" s="74"/>
    </row>
    <row r="188" spans="19:19" x14ac:dyDescent="0.2">
      <c r="S188" s="74"/>
    </row>
    <row r="189" spans="19:19" x14ac:dyDescent="0.2">
      <c r="S189" s="74"/>
    </row>
    <row r="190" spans="19:19" x14ac:dyDescent="0.2">
      <c r="S190" s="74"/>
    </row>
    <row r="191" spans="19:19" x14ac:dyDescent="0.2">
      <c r="S191" s="74"/>
    </row>
    <row r="192" spans="19:19" x14ac:dyDescent="0.2">
      <c r="S192" s="74"/>
    </row>
    <row r="193" spans="19:19" x14ac:dyDescent="0.2">
      <c r="S193" s="74"/>
    </row>
    <row r="194" spans="19:19" x14ac:dyDescent="0.2">
      <c r="S194" s="74"/>
    </row>
    <row r="195" spans="19:19" x14ac:dyDescent="0.2">
      <c r="S195" s="74"/>
    </row>
    <row r="196" spans="19:19" x14ac:dyDescent="0.2">
      <c r="S196" s="74"/>
    </row>
    <row r="197" spans="19:19" x14ac:dyDescent="0.2">
      <c r="S197" s="74"/>
    </row>
    <row r="198" spans="19:19" x14ac:dyDescent="0.2">
      <c r="S198" s="74"/>
    </row>
    <row r="199" spans="19:19" x14ac:dyDescent="0.2">
      <c r="S199" s="74"/>
    </row>
    <row r="200" spans="19:19" x14ac:dyDescent="0.2">
      <c r="S200" s="74"/>
    </row>
    <row r="201" spans="19:19" x14ac:dyDescent="0.2">
      <c r="S201" s="74"/>
    </row>
    <row r="202" spans="19:19" x14ac:dyDescent="0.2">
      <c r="S202" s="74"/>
    </row>
    <row r="203" spans="19:19" x14ac:dyDescent="0.2">
      <c r="S203" s="74"/>
    </row>
    <row r="204" spans="19:19" x14ac:dyDescent="0.2">
      <c r="S204" s="74"/>
    </row>
    <row r="205" spans="19:19" x14ac:dyDescent="0.2">
      <c r="S205" s="74"/>
    </row>
    <row r="206" spans="19:19" x14ac:dyDescent="0.2">
      <c r="S206" s="74"/>
    </row>
    <row r="207" spans="19:19" x14ac:dyDescent="0.2">
      <c r="S207" s="74"/>
    </row>
    <row r="208" spans="19:19" x14ac:dyDescent="0.2">
      <c r="S208" s="74"/>
    </row>
    <row r="209" spans="19:19" x14ac:dyDescent="0.2">
      <c r="S209" s="74"/>
    </row>
    <row r="210" spans="19:19" x14ac:dyDescent="0.2">
      <c r="S210" s="74"/>
    </row>
    <row r="211" spans="19:19" x14ac:dyDescent="0.2">
      <c r="S211" s="74"/>
    </row>
    <row r="212" spans="19:19" x14ac:dyDescent="0.2">
      <c r="S212" s="74"/>
    </row>
    <row r="213" spans="19:19" x14ac:dyDescent="0.2">
      <c r="S213" s="74"/>
    </row>
    <row r="214" spans="19:19" x14ac:dyDescent="0.2">
      <c r="S214" s="74"/>
    </row>
    <row r="215" spans="19:19" x14ac:dyDescent="0.2">
      <c r="S215" s="74"/>
    </row>
    <row r="216" spans="19:19" x14ac:dyDescent="0.2">
      <c r="S216" s="74"/>
    </row>
    <row r="217" spans="19:19" x14ac:dyDescent="0.2">
      <c r="S217" s="74"/>
    </row>
    <row r="218" spans="19:19" x14ac:dyDescent="0.2">
      <c r="S218" s="74"/>
    </row>
    <row r="219" spans="19:19" x14ac:dyDescent="0.2">
      <c r="S219" s="74"/>
    </row>
    <row r="220" spans="19:19" x14ac:dyDescent="0.2">
      <c r="S220" s="74"/>
    </row>
    <row r="221" spans="19:19" x14ac:dyDescent="0.2">
      <c r="S221" s="74"/>
    </row>
    <row r="222" spans="19:19" x14ac:dyDescent="0.2">
      <c r="S222" s="74"/>
    </row>
    <row r="223" spans="19:19" x14ac:dyDescent="0.2">
      <c r="S223" s="74"/>
    </row>
    <row r="224" spans="19:19" x14ac:dyDescent="0.2">
      <c r="S224" s="74"/>
    </row>
    <row r="225" spans="19:19" x14ac:dyDescent="0.2">
      <c r="S225" s="74"/>
    </row>
    <row r="226" spans="19:19" x14ac:dyDescent="0.2">
      <c r="S226" s="74"/>
    </row>
    <row r="227" spans="19:19" x14ac:dyDescent="0.2">
      <c r="S227" s="74"/>
    </row>
    <row r="228" spans="19:19" x14ac:dyDescent="0.2">
      <c r="S228" s="74"/>
    </row>
    <row r="229" spans="19:19" x14ac:dyDescent="0.2">
      <c r="S229" s="74"/>
    </row>
    <row r="230" spans="19:19" x14ac:dyDescent="0.2">
      <c r="S230" s="74"/>
    </row>
    <row r="231" spans="19:19" x14ac:dyDescent="0.2">
      <c r="S231" s="74"/>
    </row>
    <row r="232" spans="19:19" x14ac:dyDescent="0.2">
      <c r="S232" s="74"/>
    </row>
    <row r="233" spans="19:19" x14ac:dyDescent="0.2">
      <c r="S233" s="74"/>
    </row>
    <row r="234" spans="19:19" x14ac:dyDescent="0.2">
      <c r="S234" s="74"/>
    </row>
    <row r="235" spans="19:19" x14ac:dyDescent="0.2">
      <c r="S235" s="74"/>
    </row>
    <row r="236" spans="19:19" x14ac:dyDescent="0.2">
      <c r="S236" s="74"/>
    </row>
    <row r="237" spans="19:19" x14ac:dyDescent="0.2">
      <c r="S237" s="74"/>
    </row>
    <row r="238" spans="19:19" x14ac:dyDescent="0.2">
      <c r="S238" s="74"/>
    </row>
    <row r="239" spans="19:19" x14ac:dyDescent="0.2">
      <c r="S239" s="74"/>
    </row>
    <row r="240" spans="19:19" x14ac:dyDescent="0.2">
      <c r="S240" s="74"/>
    </row>
    <row r="241" spans="19:19" x14ac:dyDescent="0.2">
      <c r="S241" s="74"/>
    </row>
    <row r="242" spans="19:19" x14ac:dyDescent="0.2">
      <c r="S242" s="74"/>
    </row>
    <row r="243" spans="19:19" x14ac:dyDescent="0.2">
      <c r="S243" s="74"/>
    </row>
    <row r="244" spans="19:19" x14ac:dyDescent="0.2">
      <c r="S244" s="74"/>
    </row>
    <row r="245" spans="19:19" x14ac:dyDescent="0.2">
      <c r="S245" s="74"/>
    </row>
    <row r="246" spans="19:19" x14ac:dyDescent="0.2">
      <c r="S246" s="74"/>
    </row>
    <row r="247" spans="19:19" x14ac:dyDescent="0.2">
      <c r="S247" s="74"/>
    </row>
    <row r="248" spans="19:19" x14ac:dyDescent="0.2">
      <c r="S248" s="74"/>
    </row>
    <row r="249" spans="19:19" x14ac:dyDescent="0.2">
      <c r="S249" s="74"/>
    </row>
    <row r="250" spans="19:19" x14ac:dyDescent="0.2">
      <c r="S250" s="74"/>
    </row>
    <row r="251" spans="19:19" x14ac:dyDescent="0.2">
      <c r="S251" s="74"/>
    </row>
    <row r="252" spans="19:19" x14ac:dyDescent="0.2">
      <c r="S252" s="74"/>
    </row>
    <row r="253" spans="19:19" x14ac:dyDescent="0.2">
      <c r="S253" s="74"/>
    </row>
    <row r="254" spans="19:19" x14ac:dyDescent="0.2">
      <c r="S254" s="74"/>
    </row>
    <row r="255" spans="19:19" x14ac:dyDescent="0.2">
      <c r="S255" s="74"/>
    </row>
    <row r="256" spans="19:19" x14ac:dyDescent="0.2">
      <c r="S256" s="74"/>
    </row>
    <row r="257" spans="19:19" x14ac:dyDescent="0.2">
      <c r="S257" s="74"/>
    </row>
    <row r="258" spans="19:19" x14ac:dyDescent="0.2">
      <c r="S258" s="74"/>
    </row>
    <row r="259" spans="19:19" x14ac:dyDescent="0.2">
      <c r="S259" s="74"/>
    </row>
    <row r="260" spans="19:19" x14ac:dyDescent="0.2">
      <c r="S260" s="74"/>
    </row>
    <row r="261" spans="19:19" x14ac:dyDescent="0.2">
      <c r="S261" s="74"/>
    </row>
    <row r="262" spans="19:19" x14ac:dyDescent="0.2">
      <c r="S262" s="74"/>
    </row>
    <row r="263" spans="19:19" x14ac:dyDescent="0.2">
      <c r="S263" s="74"/>
    </row>
    <row r="264" spans="19:19" x14ac:dyDescent="0.2">
      <c r="S264" s="74"/>
    </row>
    <row r="265" spans="19:19" x14ac:dyDescent="0.2">
      <c r="S265" s="74"/>
    </row>
    <row r="266" spans="19:19" x14ac:dyDescent="0.2">
      <c r="S266" s="74"/>
    </row>
    <row r="267" spans="19:19" x14ac:dyDescent="0.2">
      <c r="S267" s="74"/>
    </row>
    <row r="268" spans="19:19" x14ac:dyDescent="0.2">
      <c r="S268" s="74"/>
    </row>
    <row r="269" spans="19:19" x14ac:dyDescent="0.2">
      <c r="S269" s="74"/>
    </row>
    <row r="270" spans="19:19" x14ac:dyDescent="0.2">
      <c r="S270" s="74"/>
    </row>
    <row r="271" spans="19:19" x14ac:dyDescent="0.2">
      <c r="S271" s="74"/>
    </row>
    <row r="272" spans="19:19" x14ac:dyDescent="0.2">
      <c r="S272" s="74"/>
    </row>
    <row r="273" spans="19:19" x14ac:dyDescent="0.2">
      <c r="S273" s="74"/>
    </row>
    <row r="274" spans="19:19" x14ac:dyDescent="0.2">
      <c r="S274" s="74"/>
    </row>
    <row r="275" spans="19:19" x14ac:dyDescent="0.2">
      <c r="S275" s="74"/>
    </row>
    <row r="276" spans="19:19" x14ac:dyDescent="0.2">
      <c r="S276" s="74"/>
    </row>
    <row r="277" spans="19:19" x14ac:dyDescent="0.2">
      <c r="S277" s="74"/>
    </row>
    <row r="278" spans="19:19" x14ac:dyDescent="0.2">
      <c r="S278" s="74"/>
    </row>
    <row r="279" spans="19:19" x14ac:dyDescent="0.2">
      <c r="S279" s="74"/>
    </row>
    <row r="280" spans="19:19" x14ac:dyDescent="0.2">
      <c r="S280" s="74"/>
    </row>
    <row r="281" spans="19:19" x14ac:dyDescent="0.2">
      <c r="S281" s="74"/>
    </row>
    <row r="282" spans="19:19" x14ac:dyDescent="0.2">
      <c r="S282" s="74"/>
    </row>
    <row r="283" spans="19:19" x14ac:dyDescent="0.2">
      <c r="S283" s="74"/>
    </row>
    <row r="284" spans="19:19" x14ac:dyDescent="0.2">
      <c r="S284" s="74"/>
    </row>
    <row r="285" spans="19:19" x14ac:dyDescent="0.2">
      <c r="S285" s="74"/>
    </row>
    <row r="286" spans="19:19" x14ac:dyDescent="0.2">
      <c r="S286" s="74"/>
    </row>
    <row r="287" spans="19:19" x14ac:dyDescent="0.2">
      <c r="S287" s="74"/>
    </row>
    <row r="288" spans="19:19" x14ac:dyDescent="0.2">
      <c r="S288" s="74"/>
    </row>
    <row r="289" spans="19:19" x14ac:dyDescent="0.2">
      <c r="S289" s="74"/>
    </row>
    <row r="290" spans="19:19" x14ac:dyDescent="0.2">
      <c r="S290" s="74"/>
    </row>
    <row r="291" spans="19:19" x14ac:dyDescent="0.2">
      <c r="S291" s="74"/>
    </row>
    <row r="292" spans="19:19" x14ac:dyDescent="0.2">
      <c r="S292" s="74"/>
    </row>
    <row r="293" spans="19:19" x14ac:dyDescent="0.2">
      <c r="S293" s="74"/>
    </row>
    <row r="294" spans="19:19" x14ac:dyDescent="0.2">
      <c r="S294" s="74"/>
    </row>
    <row r="295" spans="19:19" x14ac:dyDescent="0.2">
      <c r="S295" s="74"/>
    </row>
    <row r="296" spans="19:19" x14ac:dyDescent="0.2">
      <c r="S296" s="74"/>
    </row>
    <row r="297" spans="19:19" x14ac:dyDescent="0.2">
      <c r="S297" s="74"/>
    </row>
    <row r="298" spans="19:19" x14ac:dyDescent="0.2">
      <c r="S298" s="74"/>
    </row>
    <row r="299" spans="19:19" x14ac:dyDescent="0.2">
      <c r="S299" s="74"/>
    </row>
    <row r="300" spans="19:19" x14ac:dyDescent="0.2">
      <c r="S300" s="74"/>
    </row>
    <row r="301" spans="19:19" x14ac:dyDescent="0.2">
      <c r="S301" s="74"/>
    </row>
    <row r="302" spans="19:19" x14ac:dyDescent="0.2">
      <c r="S302" s="74"/>
    </row>
    <row r="303" spans="19:19" x14ac:dyDescent="0.2">
      <c r="S303" s="74"/>
    </row>
    <row r="304" spans="19:19" x14ac:dyDescent="0.2">
      <c r="S304" s="74"/>
    </row>
    <row r="305" spans="19:19" x14ac:dyDescent="0.2">
      <c r="S305" s="74"/>
    </row>
    <row r="306" spans="19:19" x14ac:dyDescent="0.2">
      <c r="S306" s="74"/>
    </row>
    <row r="307" spans="19:19" x14ac:dyDescent="0.2">
      <c r="S307" s="74"/>
    </row>
    <row r="308" spans="19:19" x14ac:dyDescent="0.2">
      <c r="S308" s="74"/>
    </row>
    <row r="309" spans="19:19" x14ac:dyDescent="0.2">
      <c r="S309" s="74"/>
    </row>
    <row r="310" spans="19:19" x14ac:dyDescent="0.2">
      <c r="S310" s="74"/>
    </row>
    <row r="311" spans="19:19" x14ac:dyDescent="0.2">
      <c r="S311" s="74"/>
    </row>
    <row r="312" spans="19:19" x14ac:dyDescent="0.2">
      <c r="S312" s="74"/>
    </row>
    <row r="313" spans="19:19" x14ac:dyDescent="0.2">
      <c r="S313" s="74"/>
    </row>
    <row r="314" spans="19:19" x14ac:dyDescent="0.2">
      <c r="S314" s="74"/>
    </row>
    <row r="315" spans="19:19" x14ac:dyDescent="0.2">
      <c r="S315" s="74"/>
    </row>
    <row r="316" spans="19:19" x14ac:dyDescent="0.2">
      <c r="S316" s="74"/>
    </row>
    <row r="317" spans="19:19" x14ac:dyDescent="0.2">
      <c r="S317" s="74"/>
    </row>
    <row r="318" spans="19:19" x14ac:dyDescent="0.2">
      <c r="S318" s="74"/>
    </row>
    <row r="319" spans="19:19" x14ac:dyDescent="0.2">
      <c r="S319" s="74"/>
    </row>
    <row r="320" spans="19:19" x14ac:dyDescent="0.2">
      <c r="S320" s="74"/>
    </row>
    <row r="321" spans="19:19" x14ac:dyDescent="0.2">
      <c r="S321" s="74"/>
    </row>
    <row r="322" spans="19:19" x14ac:dyDescent="0.2">
      <c r="S322" s="74"/>
    </row>
    <row r="323" spans="19:19" x14ac:dyDescent="0.2">
      <c r="S323" s="74"/>
    </row>
    <row r="324" spans="19:19" x14ac:dyDescent="0.2">
      <c r="S324" s="74"/>
    </row>
    <row r="325" spans="19:19" x14ac:dyDescent="0.2">
      <c r="S325" s="74"/>
    </row>
    <row r="326" spans="19:19" x14ac:dyDescent="0.2">
      <c r="S326" s="74"/>
    </row>
    <row r="327" spans="19:19" x14ac:dyDescent="0.2">
      <c r="S327" s="74"/>
    </row>
    <row r="328" spans="19:19" x14ac:dyDescent="0.2">
      <c r="S328" s="74"/>
    </row>
    <row r="329" spans="19:19" x14ac:dyDescent="0.2">
      <c r="S329" s="74"/>
    </row>
    <row r="330" spans="19:19" x14ac:dyDescent="0.2">
      <c r="S330" s="74"/>
    </row>
    <row r="331" spans="19:19" x14ac:dyDescent="0.2">
      <c r="S331" s="74"/>
    </row>
    <row r="332" spans="19:19" x14ac:dyDescent="0.2">
      <c r="S332" s="74"/>
    </row>
    <row r="333" spans="19:19" x14ac:dyDescent="0.2">
      <c r="S333" s="74"/>
    </row>
    <row r="334" spans="19:19" x14ac:dyDescent="0.2">
      <c r="S334" s="74"/>
    </row>
    <row r="335" spans="19:19" x14ac:dyDescent="0.2">
      <c r="S335" s="74"/>
    </row>
    <row r="336" spans="19:19" x14ac:dyDescent="0.2">
      <c r="S336" s="74"/>
    </row>
    <row r="337" spans="19:19" x14ac:dyDescent="0.2">
      <c r="S337" s="74"/>
    </row>
    <row r="338" spans="19:19" x14ac:dyDescent="0.2">
      <c r="S338" s="74"/>
    </row>
    <row r="339" spans="19:19" x14ac:dyDescent="0.2">
      <c r="S339" s="74"/>
    </row>
    <row r="340" spans="19:19" x14ac:dyDescent="0.2">
      <c r="S340" s="74"/>
    </row>
    <row r="341" spans="19:19" x14ac:dyDescent="0.2">
      <c r="S341" s="74"/>
    </row>
    <row r="342" spans="19:19" x14ac:dyDescent="0.2">
      <c r="S342" s="74"/>
    </row>
    <row r="343" spans="19:19" x14ac:dyDescent="0.2">
      <c r="S343" s="74"/>
    </row>
    <row r="344" spans="19:19" x14ac:dyDescent="0.2">
      <c r="S344" s="74"/>
    </row>
    <row r="345" spans="19:19" x14ac:dyDescent="0.2">
      <c r="S345" s="74"/>
    </row>
    <row r="346" spans="19:19" x14ac:dyDescent="0.2">
      <c r="S346" s="74"/>
    </row>
    <row r="347" spans="19:19" x14ac:dyDescent="0.2">
      <c r="S347" s="74"/>
    </row>
    <row r="348" spans="19:19" x14ac:dyDescent="0.2">
      <c r="S348" s="74"/>
    </row>
    <row r="349" spans="19:19" x14ac:dyDescent="0.2">
      <c r="S349" s="74"/>
    </row>
    <row r="350" spans="19:19" x14ac:dyDescent="0.2">
      <c r="S350" s="74"/>
    </row>
    <row r="351" spans="19:19" x14ac:dyDescent="0.2">
      <c r="S351" s="74"/>
    </row>
    <row r="352" spans="19:19" x14ac:dyDescent="0.2">
      <c r="S352" s="74"/>
    </row>
    <row r="353" spans="19:19" x14ac:dyDescent="0.2">
      <c r="S353" s="74"/>
    </row>
    <row r="354" spans="19:19" x14ac:dyDescent="0.2">
      <c r="S354" s="74"/>
    </row>
    <row r="355" spans="19:19" x14ac:dyDescent="0.2">
      <c r="S355" s="74"/>
    </row>
    <row r="356" spans="19:19" x14ac:dyDescent="0.2">
      <c r="S356" s="74"/>
    </row>
    <row r="357" spans="19:19" x14ac:dyDescent="0.2">
      <c r="S357" s="74"/>
    </row>
    <row r="358" spans="19:19" x14ac:dyDescent="0.2">
      <c r="S358" s="74"/>
    </row>
    <row r="359" spans="19:19" x14ac:dyDescent="0.2">
      <c r="S359" s="74"/>
    </row>
    <row r="360" spans="19:19" x14ac:dyDescent="0.2">
      <c r="S360" s="74"/>
    </row>
    <row r="361" spans="19:19" x14ac:dyDescent="0.2">
      <c r="S361" s="74"/>
    </row>
    <row r="362" spans="19:19" x14ac:dyDescent="0.2">
      <c r="S362" s="74"/>
    </row>
    <row r="363" spans="19:19" x14ac:dyDescent="0.2">
      <c r="S363" s="74"/>
    </row>
    <row r="364" spans="19:19" x14ac:dyDescent="0.2">
      <c r="S364" s="74"/>
    </row>
    <row r="365" spans="19:19" x14ac:dyDescent="0.2">
      <c r="S365" s="74"/>
    </row>
    <row r="366" spans="19:19" x14ac:dyDescent="0.2">
      <c r="S366" s="74"/>
    </row>
    <row r="367" spans="19:19" x14ac:dyDescent="0.2">
      <c r="S367" s="74"/>
    </row>
    <row r="368" spans="19:19" x14ac:dyDescent="0.2">
      <c r="S368" s="74"/>
    </row>
    <row r="369" spans="19:19" x14ac:dyDescent="0.2">
      <c r="S369" s="74"/>
    </row>
    <row r="370" spans="19:19" x14ac:dyDescent="0.2">
      <c r="S370" s="74"/>
    </row>
    <row r="371" spans="19:19" x14ac:dyDescent="0.2">
      <c r="S371" s="74"/>
    </row>
    <row r="372" spans="19:19" x14ac:dyDescent="0.2">
      <c r="S372" s="74"/>
    </row>
    <row r="373" spans="19:19" x14ac:dyDescent="0.2">
      <c r="S373" s="74"/>
    </row>
    <row r="374" spans="19:19" x14ac:dyDescent="0.2">
      <c r="S374" s="74"/>
    </row>
    <row r="375" spans="19:19" x14ac:dyDescent="0.2">
      <c r="S375" s="74"/>
    </row>
    <row r="376" spans="19:19" x14ac:dyDescent="0.2">
      <c r="S376" s="74"/>
    </row>
    <row r="377" spans="19:19" x14ac:dyDescent="0.2">
      <c r="S377" s="74"/>
    </row>
    <row r="378" spans="19:19" x14ac:dyDescent="0.2">
      <c r="S378" s="74"/>
    </row>
    <row r="379" spans="19:19" x14ac:dyDescent="0.2">
      <c r="S379" s="74"/>
    </row>
    <row r="380" spans="19:19" x14ac:dyDescent="0.2">
      <c r="S380" s="74"/>
    </row>
    <row r="381" spans="19:19" x14ac:dyDescent="0.2">
      <c r="S381" s="74"/>
    </row>
    <row r="382" spans="19:19" x14ac:dyDescent="0.2">
      <c r="S382" s="74"/>
    </row>
    <row r="383" spans="19:19" x14ac:dyDescent="0.2">
      <c r="S383" s="74"/>
    </row>
    <row r="384" spans="19:19" x14ac:dyDescent="0.2">
      <c r="S384" s="74"/>
    </row>
    <row r="385" spans="19:19" x14ac:dyDescent="0.2">
      <c r="S385" s="74"/>
    </row>
    <row r="386" spans="19:19" x14ac:dyDescent="0.2">
      <c r="S386" s="74"/>
    </row>
    <row r="387" spans="19:19" x14ac:dyDescent="0.2">
      <c r="S387" s="74"/>
    </row>
    <row r="388" spans="19:19" x14ac:dyDescent="0.2">
      <c r="S388" s="74"/>
    </row>
    <row r="389" spans="19:19" x14ac:dyDescent="0.2">
      <c r="S389" s="74"/>
    </row>
    <row r="390" spans="19:19" x14ac:dyDescent="0.2">
      <c r="S390" s="74"/>
    </row>
    <row r="391" spans="19:19" x14ac:dyDescent="0.2">
      <c r="S391" s="74"/>
    </row>
    <row r="392" spans="19:19" x14ac:dyDescent="0.2">
      <c r="S392" s="74"/>
    </row>
    <row r="393" spans="19:19" x14ac:dyDescent="0.2">
      <c r="S393" s="74"/>
    </row>
    <row r="394" spans="19:19" x14ac:dyDescent="0.2">
      <c r="S394" s="74"/>
    </row>
    <row r="395" spans="19:19" x14ac:dyDescent="0.2">
      <c r="S395" s="74"/>
    </row>
    <row r="396" spans="19:19" x14ac:dyDescent="0.2">
      <c r="S396" s="74"/>
    </row>
    <row r="397" spans="19:19" x14ac:dyDescent="0.2">
      <c r="S397" s="74"/>
    </row>
    <row r="398" spans="19:19" x14ac:dyDescent="0.2">
      <c r="S398" s="74"/>
    </row>
    <row r="399" spans="19:19" x14ac:dyDescent="0.2">
      <c r="S399" s="74"/>
    </row>
    <row r="400" spans="19:19" x14ac:dyDescent="0.2">
      <c r="S400" s="74"/>
    </row>
    <row r="401" spans="19:19" x14ac:dyDescent="0.2">
      <c r="S401" s="74"/>
    </row>
    <row r="402" spans="19:19" x14ac:dyDescent="0.2">
      <c r="S402" s="74"/>
    </row>
    <row r="403" spans="19:19" x14ac:dyDescent="0.2">
      <c r="S403" s="74"/>
    </row>
    <row r="404" spans="19:19" x14ac:dyDescent="0.2">
      <c r="S404" s="74"/>
    </row>
    <row r="405" spans="19:19" x14ac:dyDescent="0.2">
      <c r="S405" s="74"/>
    </row>
    <row r="406" spans="19:19" x14ac:dyDescent="0.2">
      <c r="S406" s="74"/>
    </row>
    <row r="407" spans="19:19" x14ac:dyDescent="0.2">
      <c r="S407" s="74"/>
    </row>
    <row r="408" spans="19:19" x14ac:dyDescent="0.2">
      <c r="S408" s="74"/>
    </row>
    <row r="409" spans="19:19" x14ac:dyDescent="0.2">
      <c r="S409" s="74"/>
    </row>
    <row r="410" spans="19:19" x14ac:dyDescent="0.2">
      <c r="S410" s="74"/>
    </row>
    <row r="411" spans="19:19" x14ac:dyDescent="0.2">
      <c r="S411" s="74"/>
    </row>
    <row r="412" spans="19:19" x14ac:dyDescent="0.2">
      <c r="S412" s="74"/>
    </row>
    <row r="413" spans="19:19" x14ac:dyDescent="0.2">
      <c r="S413" s="74"/>
    </row>
    <row r="414" spans="19:19" x14ac:dyDescent="0.2">
      <c r="S414" s="74"/>
    </row>
    <row r="415" spans="19:19" x14ac:dyDescent="0.2">
      <c r="S415" s="74"/>
    </row>
    <row r="416" spans="19:19" x14ac:dyDescent="0.2">
      <c r="S416" s="74"/>
    </row>
    <row r="417" spans="19:19" x14ac:dyDescent="0.2">
      <c r="S417" s="74"/>
    </row>
    <row r="418" spans="19:19" x14ac:dyDescent="0.2">
      <c r="S418" s="74"/>
    </row>
    <row r="419" spans="19:19" x14ac:dyDescent="0.2">
      <c r="S419" s="74"/>
    </row>
    <row r="420" spans="19:19" x14ac:dyDescent="0.2">
      <c r="S420" s="74"/>
    </row>
    <row r="421" spans="19:19" x14ac:dyDescent="0.2">
      <c r="S421" s="74"/>
    </row>
    <row r="422" spans="19:19" x14ac:dyDescent="0.2">
      <c r="S422" s="74"/>
    </row>
    <row r="423" spans="19:19" x14ac:dyDescent="0.2">
      <c r="S423" s="74"/>
    </row>
    <row r="424" spans="19:19" x14ac:dyDescent="0.2">
      <c r="S424" s="74"/>
    </row>
    <row r="425" spans="19:19" x14ac:dyDescent="0.2">
      <c r="S425" s="74"/>
    </row>
    <row r="426" spans="19:19" x14ac:dyDescent="0.2">
      <c r="S426" s="74"/>
    </row>
    <row r="427" spans="19:19" x14ac:dyDescent="0.2">
      <c r="S427" s="74"/>
    </row>
    <row r="428" spans="19:19" x14ac:dyDescent="0.2">
      <c r="S428" s="74"/>
    </row>
    <row r="429" spans="19:19" x14ac:dyDescent="0.2">
      <c r="S429" s="74"/>
    </row>
    <row r="430" spans="19:19" x14ac:dyDescent="0.2">
      <c r="S430" s="74"/>
    </row>
    <row r="431" spans="19:19" x14ac:dyDescent="0.2">
      <c r="S431" s="74"/>
    </row>
    <row r="432" spans="19:19" x14ac:dyDescent="0.2">
      <c r="S432" s="74"/>
    </row>
    <row r="433" spans="19:19" x14ac:dyDescent="0.2">
      <c r="S433" s="74"/>
    </row>
    <row r="434" spans="19:19" x14ac:dyDescent="0.2">
      <c r="S434" s="74"/>
    </row>
    <row r="435" spans="19:19" x14ac:dyDescent="0.2">
      <c r="S435" s="74"/>
    </row>
    <row r="436" spans="19:19" x14ac:dyDescent="0.2">
      <c r="S436" s="74"/>
    </row>
    <row r="437" spans="19:19" x14ac:dyDescent="0.2">
      <c r="S437" s="74"/>
    </row>
    <row r="438" spans="19:19" x14ac:dyDescent="0.2">
      <c r="S438" s="74"/>
    </row>
    <row r="439" spans="19:19" x14ac:dyDescent="0.2">
      <c r="S439" s="74"/>
    </row>
    <row r="440" spans="19:19" x14ac:dyDescent="0.2">
      <c r="S440" s="74"/>
    </row>
    <row r="441" spans="19:19" x14ac:dyDescent="0.2">
      <c r="S441" s="74"/>
    </row>
    <row r="442" spans="19:19" x14ac:dyDescent="0.2">
      <c r="S442" s="74"/>
    </row>
    <row r="443" spans="19:19" x14ac:dyDescent="0.2">
      <c r="S443" s="74"/>
    </row>
    <row r="444" spans="19:19" x14ac:dyDescent="0.2">
      <c r="S444" s="74"/>
    </row>
    <row r="445" spans="19:19" x14ac:dyDescent="0.2">
      <c r="S445" s="74"/>
    </row>
    <row r="446" spans="19:19" x14ac:dyDescent="0.2">
      <c r="S446" s="74"/>
    </row>
    <row r="447" spans="19:19" x14ac:dyDescent="0.2">
      <c r="S447" s="74"/>
    </row>
    <row r="448" spans="19:19" x14ac:dyDescent="0.2">
      <c r="S448" s="74"/>
    </row>
    <row r="449" spans="19:19" x14ac:dyDescent="0.2">
      <c r="S449" s="74"/>
    </row>
    <row r="450" spans="19:19" x14ac:dyDescent="0.2">
      <c r="S450" s="74"/>
    </row>
    <row r="451" spans="19:19" x14ac:dyDescent="0.2">
      <c r="S451" s="74"/>
    </row>
    <row r="452" spans="19:19" x14ac:dyDescent="0.2">
      <c r="S452" s="74"/>
    </row>
    <row r="453" spans="19:19" x14ac:dyDescent="0.2">
      <c r="S453" s="74"/>
    </row>
    <row r="454" spans="19:19" x14ac:dyDescent="0.2">
      <c r="S454" s="74"/>
    </row>
    <row r="455" spans="19:19" x14ac:dyDescent="0.2">
      <c r="S455" s="74"/>
    </row>
    <row r="456" spans="19:19" x14ac:dyDescent="0.2">
      <c r="S456" s="74"/>
    </row>
    <row r="457" spans="19:19" x14ac:dyDescent="0.2">
      <c r="S457" s="74"/>
    </row>
    <row r="458" spans="19:19" x14ac:dyDescent="0.2">
      <c r="S458" s="74"/>
    </row>
    <row r="459" spans="19:19" x14ac:dyDescent="0.2">
      <c r="S459" s="74"/>
    </row>
    <row r="460" spans="19:19" x14ac:dyDescent="0.2">
      <c r="S460" s="74"/>
    </row>
    <row r="461" spans="19:19" x14ac:dyDescent="0.2">
      <c r="S461" s="74"/>
    </row>
    <row r="462" spans="19:19" x14ac:dyDescent="0.2">
      <c r="S462" s="74"/>
    </row>
    <row r="463" spans="19:19" x14ac:dyDescent="0.2">
      <c r="S463" s="74"/>
    </row>
    <row r="464" spans="19:19" x14ac:dyDescent="0.2">
      <c r="S464" s="74"/>
    </row>
    <row r="465" spans="19:19" x14ac:dyDescent="0.2">
      <c r="S465" s="74"/>
    </row>
    <row r="466" spans="19:19" x14ac:dyDescent="0.2">
      <c r="S466" s="74"/>
    </row>
    <row r="467" spans="19:19" x14ac:dyDescent="0.2">
      <c r="S467" s="74"/>
    </row>
    <row r="468" spans="19:19" x14ac:dyDescent="0.2">
      <c r="S468" s="74"/>
    </row>
    <row r="469" spans="19:19" x14ac:dyDescent="0.2">
      <c r="S469" s="74"/>
    </row>
    <row r="470" spans="19:19" x14ac:dyDescent="0.2">
      <c r="S470" s="74"/>
    </row>
    <row r="471" spans="19:19" x14ac:dyDescent="0.2">
      <c r="S471" s="74"/>
    </row>
    <row r="472" spans="19:19" x14ac:dyDescent="0.2">
      <c r="S472" s="74"/>
    </row>
    <row r="473" spans="19:19" x14ac:dyDescent="0.2">
      <c r="S473" s="74"/>
    </row>
    <row r="474" spans="19:19" x14ac:dyDescent="0.2">
      <c r="S474" s="74"/>
    </row>
    <row r="475" spans="19:19" x14ac:dyDescent="0.2">
      <c r="S475" s="74"/>
    </row>
    <row r="476" spans="19:19" x14ac:dyDescent="0.2">
      <c r="S476" s="74"/>
    </row>
    <row r="477" spans="19:19" x14ac:dyDescent="0.2">
      <c r="S477" s="74"/>
    </row>
    <row r="478" spans="19:19" x14ac:dyDescent="0.2">
      <c r="S478" s="74"/>
    </row>
    <row r="479" spans="19:19" x14ac:dyDescent="0.2">
      <c r="S479" s="74"/>
    </row>
    <row r="480" spans="19:19" x14ac:dyDescent="0.2">
      <c r="S480" s="74"/>
    </row>
    <row r="481" spans="19:19" x14ac:dyDescent="0.2">
      <c r="S481" s="74"/>
    </row>
    <row r="482" spans="19:19" x14ac:dyDescent="0.2">
      <c r="S482" s="74"/>
    </row>
    <row r="483" spans="19:19" x14ac:dyDescent="0.2">
      <c r="S483" s="74"/>
    </row>
    <row r="484" spans="19:19" x14ac:dyDescent="0.2">
      <c r="S484" s="74"/>
    </row>
    <row r="485" spans="19:19" x14ac:dyDescent="0.2">
      <c r="S485" s="74"/>
    </row>
    <row r="486" spans="19:19" x14ac:dyDescent="0.2">
      <c r="S486" s="74"/>
    </row>
    <row r="487" spans="19:19" x14ac:dyDescent="0.2">
      <c r="S487" s="74"/>
    </row>
    <row r="488" spans="19:19" x14ac:dyDescent="0.2">
      <c r="S488" s="74"/>
    </row>
    <row r="489" spans="19:19" x14ac:dyDescent="0.2">
      <c r="S489" s="74"/>
    </row>
    <row r="490" spans="19:19" x14ac:dyDescent="0.2">
      <c r="S490" s="74"/>
    </row>
    <row r="491" spans="19:19" x14ac:dyDescent="0.2">
      <c r="S491" s="74"/>
    </row>
    <row r="492" spans="19:19" x14ac:dyDescent="0.2">
      <c r="S492" s="74"/>
    </row>
    <row r="493" spans="19:19" x14ac:dyDescent="0.2">
      <c r="S493" s="74"/>
    </row>
    <row r="494" spans="19:19" x14ac:dyDescent="0.2">
      <c r="S494" s="74"/>
    </row>
    <row r="495" spans="19:19" x14ac:dyDescent="0.2">
      <c r="S495" s="74"/>
    </row>
    <row r="496" spans="19:19" x14ac:dyDescent="0.2">
      <c r="S496" s="74"/>
    </row>
    <row r="497" spans="19:19" x14ac:dyDescent="0.2">
      <c r="S497" s="74"/>
    </row>
    <row r="498" spans="19:19" x14ac:dyDescent="0.2">
      <c r="S498" s="74"/>
    </row>
    <row r="499" spans="19:19" x14ac:dyDescent="0.2">
      <c r="S499" s="74"/>
    </row>
    <row r="500" spans="19:19" x14ac:dyDescent="0.2">
      <c r="S500" s="74"/>
    </row>
    <row r="501" spans="19:19" x14ac:dyDescent="0.2">
      <c r="S501" s="74"/>
    </row>
    <row r="502" spans="19:19" x14ac:dyDescent="0.2">
      <c r="S502" s="74"/>
    </row>
    <row r="503" spans="19:19" x14ac:dyDescent="0.2">
      <c r="S503" s="74"/>
    </row>
    <row r="504" spans="19:19" x14ac:dyDescent="0.2">
      <c r="S504" s="74"/>
    </row>
    <row r="505" spans="19:19" x14ac:dyDescent="0.2">
      <c r="S505" s="74"/>
    </row>
    <row r="506" spans="19:19" x14ac:dyDescent="0.2">
      <c r="S506" s="74"/>
    </row>
    <row r="507" spans="19:19" x14ac:dyDescent="0.2">
      <c r="S507" s="74"/>
    </row>
    <row r="508" spans="19:19" x14ac:dyDescent="0.2">
      <c r="S508" s="74"/>
    </row>
    <row r="509" spans="19:19" x14ac:dyDescent="0.2">
      <c r="S509" s="74"/>
    </row>
    <row r="510" spans="19:19" x14ac:dyDescent="0.2">
      <c r="S510" s="74"/>
    </row>
    <row r="511" spans="19:19" x14ac:dyDescent="0.2">
      <c r="S511" s="74"/>
    </row>
    <row r="512" spans="19:19" x14ac:dyDescent="0.2">
      <c r="S512" s="74"/>
    </row>
    <row r="513" spans="19:19" x14ac:dyDescent="0.2">
      <c r="S513" s="74"/>
    </row>
    <row r="514" spans="19:19" x14ac:dyDescent="0.2">
      <c r="S514" s="74"/>
    </row>
    <row r="515" spans="19:19" x14ac:dyDescent="0.2">
      <c r="S515" s="74"/>
    </row>
    <row r="516" spans="19:19" x14ac:dyDescent="0.2">
      <c r="S516" s="74"/>
    </row>
    <row r="517" spans="19:19" x14ac:dyDescent="0.2">
      <c r="S517" s="74"/>
    </row>
    <row r="518" spans="19:19" x14ac:dyDescent="0.2">
      <c r="S518" s="74"/>
    </row>
    <row r="519" spans="19:19" x14ac:dyDescent="0.2">
      <c r="S519" s="74"/>
    </row>
    <row r="520" spans="19:19" x14ac:dyDescent="0.2">
      <c r="S520" s="74"/>
    </row>
    <row r="521" spans="19:19" x14ac:dyDescent="0.2">
      <c r="S521" s="74"/>
    </row>
    <row r="522" spans="19:19" x14ac:dyDescent="0.2">
      <c r="S522" s="74"/>
    </row>
    <row r="523" spans="19:19" x14ac:dyDescent="0.2">
      <c r="S523" s="74"/>
    </row>
    <row r="524" spans="19:19" x14ac:dyDescent="0.2">
      <c r="S524" s="74"/>
    </row>
    <row r="525" spans="19:19" x14ac:dyDescent="0.2">
      <c r="S525" s="74"/>
    </row>
    <row r="526" spans="19:19" x14ac:dyDescent="0.2">
      <c r="S526" s="74"/>
    </row>
    <row r="527" spans="19:19" x14ac:dyDescent="0.2">
      <c r="S527" s="74"/>
    </row>
    <row r="528" spans="19:19" x14ac:dyDescent="0.2">
      <c r="S528" s="74"/>
    </row>
    <row r="529" spans="19:19" x14ac:dyDescent="0.2">
      <c r="S529" s="74"/>
    </row>
    <row r="530" spans="19:19" x14ac:dyDescent="0.2">
      <c r="S530" s="74"/>
    </row>
    <row r="531" spans="19:19" x14ac:dyDescent="0.2">
      <c r="S531" s="74"/>
    </row>
    <row r="532" spans="19:19" x14ac:dyDescent="0.2">
      <c r="S532" s="74"/>
    </row>
    <row r="533" spans="19:19" x14ac:dyDescent="0.2">
      <c r="S533" s="74"/>
    </row>
    <row r="534" spans="19:19" x14ac:dyDescent="0.2">
      <c r="S534" s="74"/>
    </row>
    <row r="535" spans="19:19" x14ac:dyDescent="0.2">
      <c r="S535" s="74"/>
    </row>
    <row r="536" spans="19:19" x14ac:dyDescent="0.2">
      <c r="S536" s="74"/>
    </row>
    <row r="537" spans="19:19" x14ac:dyDescent="0.2">
      <c r="S537" s="74"/>
    </row>
    <row r="538" spans="19:19" x14ac:dyDescent="0.2">
      <c r="S538" s="74"/>
    </row>
    <row r="539" spans="19:19" x14ac:dyDescent="0.2">
      <c r="S539" s="74"/>
    </row>
    <row r="540" spans="19:19" x14ac:dyDescent="0.2">
      <c r="S540" s="74"/>
    </row>
    <row r="541" spans="19:19" x14ac:dyDescent="0.2">
      <c r="S541" s="74"/>
    </row>
    <row r="542" spans="19:19" x14ac:dyDescent="0.2">
      <c r="S542" s="74"/>
    </row>
    <row r="543" spans="19:19" x14ac:dyDescent="0.2">
      <c r="S543" s="74"/>
    </row>
    <row r="544" spans="19:19" x14ac:dyDescent="0.2">
      <c r="S544" s="74"/>
    </row>
    <row r="545" spans="19:19" x14ac:dyDescent="0.2">
      <c r="S545" s="74"/>
    </row>
    <row r="546" spans="19:19" x14ac:dyDescent="0.2">
      <c r="S546" s="74"/>
    </row>
    <row r="547" spans="19:19" x14ac:dyDescent="0.2">
      <c r="S547" s="74"/>
    </row>
    <row r="548" spans="19:19" x14ac:dyDescent="0.2">
      <c r="S548" s="74"/>
    </row>
    <row r="549" spans="19:19" x14ac:dyDescent="0.2">
      <c r="S549" s="74"/>
    </row>
    <row r="550" spans="19:19" x14ac:dyDescent="0.2">
      <c r="S550" s="74"/>
    </row>
    <row r="551" spans="19:19" x14ac:dyDescent="0.2">
      <c r="S551" s="74"/>
    </row>
    <row r="552" spans="19:19" x14ac:dyDescent="0.2">
      <c r="S552" s="74"/>
    </row>
    <row r="553" spans="19:19" x14ac:dyDescent="0.2">
      <c r="S553" s="74"/>
    </row>
    <row r="554" spans="19:19" x14ac:dyDescent="0.2">
      <c r="S554" s="74"/>
    </row>
    <row r="555" spans="19:19" x14ac:dyDescent="0.2">
      <c r="S555" s="74"/>
    </row>
    <row r="556" spans="19:19" x14ac:dyDescent="0.2">
      <c r="S556" s="74"/>
    </row>
    <row r="557" spans="19:19" x14ac:dyDescent="0.2">
      <c r="S557" s="74"/>
    </row>
    <row r="558" spans="19:19" x14ac:dyDescent="0.2">
      <c r="S558" s="74"/>
    </row>
    <row r="559" spans="19:19" x14ac:dyDescent="0.2">
      <c r="S559" s="74"/>
    </row>
    <row r="560" spans="19:19" x14ac:dyDescent="0.2">
      <c r="S560" s="74"/>
    </row>
    <row r="561" spans="19:19" x14ac:dyDescent="0.2">
      <c r="S561" s="74"/>
    </row>
    <row r="562" spans="19:19" x14ac:dyDescent="0.2">
      <c r="S562" s="74"/>
    </row>
    <row r="563" spans="19:19" x14ac:dyDescent="0.2">
      <c r="S563" s="74"/>
    </row>
    <row r="564" spans="19:19" x14ac:dyDescent="0.2">
      <c r="S564" s="74"/>
    </row>
    <row r="565" spans="19:19" x14ac:dyDescent="0.2">
      <c r="S565" s="74"/>
    </row>
    <row r="566" spans="19:19" x14ac:dyDescent="0.2">
      <c r="S566" s="74"/>
    </row>
    <row r="567" spans="19:19" x14ac:dyDescent="0.2">
      <c r="S567" s="74"/>
    </row>
    <row r="568" spans="19:19" x14ac:dyDescent="0.2">
      <c r="S568" s="74"/>
    </row>
    <row r="569" spans="19:19" x14ac:dyDescent="0.2">
      <c r="S569" s="74"/>
    </row>
    <row r="570" spans="19:19" x14ac:dyDescent="0.2">
      <c r="S570" s="74"/>
    </row>
    <row r="571" spans="19:19" x14ac:dyDescent="0.2">
      <c r="S571" s="74"/>
    </row>
    <row r="572" spans="19:19" x14ac:dyDescent="0.2">
      <c r="S572" s="74"/>
    </row>
    <row r="573" spans="19:19" x14ac:dyDescent="0.2">
      <c r="S573" s="74"/>
    </row>
    <row r="574" spans="19:19" x14ac:dyDescent="0.2">
      <c r="S574" s="74"/>
    </row>
    <row r="575" spans="19:19" x14ac:dyDescent="0.2">
      <c r="S575" s="74"/>
    </row>
    <row r="576" spans="19:19" x14ac:dyDescent="0.2">
      <c r="S576" s="74"/>
    </row>
    <row r="577" spans="19:19" x14ac:dyDescent="0.2">
      <c r="S577" s="74"/>
    </row>
    <row r="578" spans="19:19" x14ac:dyDescent="0.2">
      <c r="S578" s="74"/>
    </row>
    <row r="579" spans="19:19" x14ac:dyDescent="0.2">
      <c r="S579" s="74"/>
    </row>
    <row r="580" spans="19:19" x14ac:dyDescent="0.2">
      <c r="S580" s="74"/>
    </row>
    <row r="581" spans="19:19" x14ac:dyDescent="0.2">
      <c r="S581" s="74"/>
    </row>
    <row r="582" spans="19:19" x14ac:dyDescent="0.2">
      <c r="S582" s="74"/>
    </row>
    <row r="583" spans="19:19" x14ac:dyDescent="0.2">
      <c r="S583" s="74"/>
    </row>
    <row r="584" spans="19:19" x14ac:dyDescent="0.2">
      <c r="S584" s="74"/>
    </row>
    <row r="585" spans="19:19" x14ac:dyDescent="0.2">
      <c r="S585" s="74"/>
    </row>
    <row r="586" spans="19:19" x14ac:dyDescent="0.2">
      <c r="S586" s="74"/>
    </row>
    <row r="587" spans="19:19" x14ac:dyDescent="0.2">
      <c r="S587" s="74"/>
    </row>
    <row r="588" spans="19:19" x14ac:dyDescent="0.2">
      <c r="S588" s="74"/>
    </row>
    <row r="589" spans="19:19" x14ac:dyDescent="0.2">
      <c r="S589" s="74"/>
    </row>
    <row r="590" spans="19:19" x14ac:dyDescent="0.2">
      <c r="S590" s="74"/>
    </row>
    <row r="591" spans="19:19" x14ac:dyDescent="0.2">
      <c r="S591" s="74"/>
    </row>
    <row r="592" spans="19:19" x14ac:dyDescent="0.2">
      <c r="S592" s="74"/>
    </row>
    <row r="593" spans="19:19" x14ac:dyDescent="0.2">
      <c r="S593" s="74"/>
    </row>
    <row r="594" spans="19:19" x14ac:dyDescent="0.2">
      <c r="S594" s="74"/>
    </row>
    <row r="595" spans="19:19" x14ac:dyDescent="0.2">
      <c r="S595" s="74"/>
    </row>
    <row r="596" spans="19:19" x14ac:dyDescent="0.2">
      <c r="S596" s="74"/>
    </row>
    <row r="597" spans="19:19" x14ac:dyDescent="0.2">
      <c r="S597" s="74"/>
    </row>
    <row r="598" spans="19:19" x14ac:dyDescent="0.2">
      <c r="S598" s="74"/>
    </row>
    <row r="599" spans="19:19" x14ac:dyDescent="0.2">
      <c r="S599" s="74"/>
    </row>
    <row r="600" spans="19:19" x14ac:dyDescent="0.2">
      <c r="S600" s="74"/>
    </row>
    <row r="601" spans="19:19" x14ac:dyDescent="0.2">
      <c r="S601" s="74"/>
    </row>
    <row r="602" spans="19:19" x14ac:dyDescent="0.2">
      <c r="S602" s="74"/>
    </row>
    <row r="603" spans="19:19" x14ac:dyDescent="0.2">
      <c r="S603" s="74"/>
    </row>
    <row r="604" spans="19:19" x14ac:dyDescent="0.2">
      <c r="S604" s="74"/>
    </row>
    <row r="605" spans="19:19" x14ac:dyDescent="0.2">
      <c r="S605" s="74"/>
    </row>
    <row r="606" spans="19:19" x14ac:dyDescent="0.2">
      <c r="S606" s="74"/>
    </row>
    <row r="607" spans="19:19" x14ac:dyDescent="0.2">
      <c r="S607" s="74"/>
    </row>
    <row r="608" spans="19:19" x14ac:dyDescent="0.2">
      <c r="S608" s="74"/>
    </row>
    <row r="609" spans="19:19" x14ac:dyDescent="0.2">
      <c r="S609" s="74"/>
    </row>
    <row r="610" spans="19:19" x14ac:dyDescent="0.2">
      <c r="S610" s="74"/>
    </row>
    <row r="611" spans="19:19" x14ac:dyDescent="0.2">
      <c r="S611" s="74"/>
    </row>
    <row r="612" spans="19:19" x14ac:dyDescent="0.2">
      <c r="S612" s="74"/>
    </row>
    <row r="613" spans="19:19" x14ac:dyDescent="0.2">
      <c r="S613" s="74"/>
    </row>
    <row r="614" spans="19:19" x14ac:dyDescent="0.2">
      <c r="S614" s="74"/>
    </row>
    <row r="615" spans="19:19" x14ac:dyDescent="0.2">
      <c r="S615" s="74"/>
    </row>
    <row r="616" spans="19:19" x14ac:dyDescent="0.2">
      <c r="S616" s="74"/>
    </row>
    <row r="617" spans="19:19" x14ac:dyDescent="0.2">
      <c r="S617" s="74"/>
    </row>
    <row r="618" spans="19:19" x14ac:dyDescent="0.2">
      <c r="S618" s="74"/>
    </row>
    <row r="619" spans="19:19" x14ac:dyDescent="0.2">
      <c r="S619" s="74"/>
    </row>
    <row r="620" spans="19:19" x14ac:dyDescent="0.2">
      <c r="S620" s="74"/>
    </row>
    <row r="621" spans="19:19" x14ac:dyDescent="0.2">
      <c r="S621" s="74"/>
    </row>
    <row r="622" spans="19:19" x14ac:dyDescent="0.2">
      <c r="S622" s="74"/>
    </row>
    <row r="623" spans="19:19" x14ac:dyDescent="0.2">
      <c r="S623" s="74"/>
    </row>
    <row r="624" spans="19:19" x14ac:dyDescent="0.2">
      <c r="S624" s="74"/>
    </row>
    <row r="625" spans="19:19" x14ac:dyDescent="0.2">
      <c r="S625" s="74"/>
    </row>
    <row r="626" spans="19:19" x14ac:dyDescent="0.2">
      <c r="S626" s="74"/>
    </row>
    <row r="627" spans="19:19" x14ac:dyDescent="0.2">
      <c r="S627" s="74"/>
    </row>
    <row r="628" spans="19:19" x14ac:dyDescent="0.2">
      <c r="S628" s="74"/>
    </row>
    <row r="629" spans="19:19" x14ac:dyDescent="0.2">
      <c r="S629" s="74"/>
    </row>
    <row r="630" spans="19:19" x14ac:dyDescent="0.2">
      <c r="S630" s="74"/>
    </row>
    <row r="631" spans="19:19" x14ac:dyDescent="0.2">
      <c r="S631" s="74"/>
    </row>
    <row r="632" spans="19:19" x14ac:dyDescent="0.2">
      <c r="S632" s="74"/>
    </row>
    <row r="633" spans="19:19" x14ac:dyDescent="0.2">
      <c r="S633" s="74"/>
    </row>
    <row r="634" spans="19:19" x14ac:dyDescent="0.2">
      <c r="S634" s="74"/>
    </row>
    <row r="635" spans="19:19" x14ac:dyDescent="0.2">
      <c r="S635" s="74"/>
    </row>
    <row r="636" spans="19:19" x14ac:dyDescent="0.2">
      <c r="S636" s="74"/>
    </row>
    <row r="637" spans="19:19" x14ac:dyDescent="0.2">
      <c r="S637" s="74"/>
    </row>
    <row r="638" spans="19:19" x14ac:dyDescent="0.2">
      <c r="S638" s="74"/>
    </row>
    <row r="639" spans="19:19" x14ac:dyDescent="0.2">
      <c r="S639" s="74"/>
    </row>
    <row r="640" spans="19:19" x14ac:dyDescent="0.2">
      <c r="S640" s="74"/>
    </row>
    <row r="641" spans="19:19" x14ac:dyDescent="0.2">
      <c r="S641" s="74"/>
    </row>
    <row r="642" spans="19:19" x14ac:dyDescent="0.2">
      <c r="S642" s="74"/>
    </row>
    <row r="643" spans="19:19" x14ac:dyDescent="0.2">
      <c r="S643" s="74"/>
    </row>
    <row r="644" spans="19:19" x14ac:dyDescent="0.2">
      <c r="S644" s="74"/>
    </row>
    <row r="645" spans="19:19" x14ac:dyDescent="0.2">
      <c r="S645" s="74"/>
    </row>
    <row r="646" spans="19:19" x14ac:dyDescent="0.2">
      <c r="S646" s="74"/>
    </row>
    <row r="647" spans="19:19" x14ac:dyDescent="0.2">
      <c r="S647" s="74"/>
    </row>
    <row r="648" spans="19:19" x14ac:dyDescent="0.2">
      <c r="S648" s="74"/>
    </row>
    <row r="649" spans="19:19" x14ac:dyDescent="0.2">
      <c r="S649" s="74"/>
    </row>
    <row r="650" spans="19:19" x14ac:dyDescent="0.2">
      <c r="S650" s="74"/>
    </row>
    <row r="651" spans="19:19" x14ac:dyDescent="0.2">
      <c r="S651" s="74"/>
    </row>
    <row r="652" spans="19:19" x14ac:dyDescent="0.2">
      <c r="S652" s="74"/>
    </row>
    <row r="653" spans="19:19" x14ac:dyDescent="0.2">
      <c r="S653" s="74"/>
    </row>
    <row r="654" spans="19:19" x14ac:dyDescent="0.2">
      <c r="S654" s="74"/>
    </row>
    <row r="655" spans="19:19" x14ac:dyDescent="0.2">
      <c r="S655" s="74"/>
    </row>
    <row r="656" spans="19:19" x14ac:dyDescent="0.2">
      <c r="S656" s="74"/>
    </row>
    <row r="657" spans="19:19" x14ac:dyDescent="0.2">
      <c r="S657" s="74"/>
    </row>
    <row r="658" spans="19:19" x14ac:dyDescent="0.2">
      <c r="S658" s="74"/>
    </row>
    <row r="659" spans="19:19" x14ac:dyDescent="0.2">
      <c r="S659" s="74"/>
    </row>
    <row r="660" spans="19:19" x14ac:dyDescent="0.2">
      <c r="S660" s="74"/>
    </row>
    <row r="661" spans="19:19" x14ac:dyDescent="0.2">
      <c r="S661" s="74"/>
    </row>
    <row r="662" spans="19:19" x14ac:dyDescent="0.2">
      <c r="S662" s="74"/>
    </row>
    <row r="663" spans="19:19" x14ac:dyDescent="0.2">
      <c r="S663" s="74"/>
    </row>
    <row r="664" spans="19:19" x14ac:dyDescent="0.2">
      <c r="S664" s="74"/>
    </row>
    <row r="665" spans="19:19" x14ac:dyDescent="0.2">
      <c r="S665" s="74"/>
    </row>
    <row r="666" spans="19:19" x14ac:dyDescent="0.2">
      <c r="S666" s="74"/>
    </row>
    <row r="667" spans="19:19" x14ac:dyDescent="0.2">
      <c r="S667" s="74"/>
    </row>
    <row r="668" spans="19:19" x14ac:dyDescent="0.2">
      <c r="S668" s="74"/>
    </row>
    <row r="669" spans="19:19" x14ac:dyDescent="0.2">
      <c r="S669" s="74"/>
    </row>
    <row r="670" spans="19:19" x14ac:dyDescent="0.2">
      <c r="S670" s="74"/>
    </row>
    <row r="671" spans="19:19" x14ac:dyDescent="0.2">
      <c r="S671" s="74"/>
    </row>
    <row r="672" spans="19:19" x14ac:dyDescent="0.2">
      <c r="S672" s="74"/>
    </row>
    <row r="673" spans="19:19" x14ac:dyDescent="0.2">
      <c r="S673" s="74"/>
    </row>
    <row r="674" spans="19:19" x14ac:dyDescent="0.2">
      <c r="S674" s="74"/>
    </row>
    <row r="675" spans="19:19" x14ac:dyDescent="0.2">
      <c r="S675" s="74"/>
    </row>
    <row r="676" spans="19:19" x14ac:dyDescent="0.2">
      <c r="S676" s="74"/>
    </row>
    <row r="677" spans="19:19" x14ac:dyDescent="0.2">
      <c r="S677" s="74"/>
    </row>
    <row r="678" spans="19:19" x14ac:dyDescent="0.2">
      <c r="S678" s="74"/>
    </row>
    <row r="679" spans="19:19" x14ac:dyDescent="0.2">
      <c r="S679" s="74"/>
    </row>
    <row r="680" spans="19:19" x14ac:dyDescent="0.2">
      <c r="S680" s="74"/>
    </row>
    <row r="681" spans="19:19" x14ac:dyDescent="0.2">
      <c r="S681" s="74"/>
    </row>
    <row r="682" spans="19:19" x14ac:dyDescent="0.2">
      <c r="S682" s="74"/>
    </row>
    <row r="683" spans="19:19" x14ac:dyDescent="0.2">
      <c r="S683" s="74"/>
    </row>
    <row r="684" spans="19:19" x14ac:dyDescent="0.2">
      <c r="S684" s="74"/>
    </row>
    <row r="685" spans="19:19" x14ac:dyDescent="0.2">
      <c r="S685" s="74"/>
    </row>
    <row r="686" spans="19:19" x14ac:dyDescent="0.2">
      <c r="S686" s="74"/>
    </row>
    <row r="687" spans="19:19" x14ac:dyDescent="0.2">
      <c r="S687" s="74"/>
    </row>
    <row r="688" spans="19:19" x14ac:dyDescent="0.2">
      <c r="S688" s="74"/>
    </row>
    <row r="689" spans="19:19" x14ac:dyDescent="0.2">
      <c r="S689" s="74"/>
    </row>
    <row r="690" spans="19:19" x14ac:dyDescent="0.2">
      <c r="S690" s="74"/>
    </row>
    <row r="691" spans="19:19" x14ac:dyDescent="0.2">
      <c r="S691" s="7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BANDHAN OF</vt:lpstr>
      <vt:lpstr>BANDHAN LF</vt:lpstr>
      <vt:lpstr>BANDHAN LDF</vt:lpstr>
      <vt:lpstr>BANDHAN MMF</vt:lpstr>
      <vt:lpstr>BANDHAN USTF</vt:lpstr>
      <vt:lpstr>BANDHAN DBF</vt:lpstr>
      <vt:lpstr>BANDHAN BOND IP</vt:lpstr>
      <vt:lpstr>BANDHAN BOND MT</vt:lpstr>
      <vt:lpstr>BANDHAN BOND ST</vt:lpstr>
      <vt:lpstr>BANDHAN BPDF</vt:lpstr>
      <vt:lpstr>BANDHAN CBF</vt:lpstr>
      <vt:lpstr>BANDHAN CRF</vt:lpstr>
      <vt:lpstr>BANDHAN FRF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2023-10-01T17:22:24Z</dcterms:created>
  <dcterms:modified xsi:type="dcterms:W3CDTF">2023-10-03T14:39:27Z</dcterms:modified>
</cp:coreProperties>
</file>